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ing" sheetId="1" r:id="rId5"/>
    <sheet state="visible" name="Act before sleeping" sheetId="2" r:id="rId6"/>
    <sheet state="visible" name="Habits " sheetId="3" r:id="rId7"/>
    <sheet state="visible" name="Features" sheetId="4" r:id="rId8"/>
  </sheets>
  <definedNames/>
  <calcPr/>
</workbook>
</file>

<file path=xl/sharedStrings.xml><?xml version="1.0" encoding="utf-8"?>
<sst xmlns="http://schemas.openxmlformats.org/spreadsheetml/2006/main" count="59948" uniqueCount="374">
  <si>
    <t>Column 28</t>
  </si>
  <si>
    <t>Timestamp</t>
  </si>
  <si>
    <t>What is your gender?</t>
  </si>
  <si>
    <t>Gender</t>
  </si>
  <si>
    <t xml:space="preserve">  Do you currently live in Bhutan?  
We are only looking for participants who are currently living in Bhutan.  </t>
  </si>
  <si>
    <t>Column 67</t>
  </si>
  <si>
    <t xml:space="preserve">What best describe where you currently live?                  </t>
  </si>
  <si>
    <t>Resident</t>
  </si>
  <si>
    <t>Column 46</t>
  </si>
  <si>
    <t xml:space="preserve">What kind of work do you mostly do during the day?  </t>
  </si>
  <si>
    <t>Work Type : Activty</t>
  </si>
  <si>
    <t>Work type</t>
  </si>
  <si>
    <t>On average how many hours do you work per day?</t>
  </si>
  <si>
    <t>Column 29</t>
  </si>
  <si>
    <t>Please indicate how much you agree with the following statements that applies to you.   [My work makes me feel stressed]</t>
  </si>
  <si>
    <t>Column 32</t>
  </si>
  <si>
    <t>Please indicate how much you agree with the following statements that applies to you.   [My Work hours allow me to get enough sleep]</t>
  </si>
  <si>
    <t>Column 33</t>
  </si>
  <si>
    <t>Please indicate how much you agree with the following statements that applies to you.   [My work schedule affects my daily energy levels]</t>
  </si>
  <si>
    <t>Column 47</t>
  </si>
  <si>
    <t xml:space="preserve">On average, how many hours per night do you spend on your phone before sleeping? </t>
  </si>
  <si>
    <t>Column 48</t>
  </si>
  <si>
    <t xml:space="preserve">What do you do on your phone before sleeping? 
 (Select all that apply)  </t>
  </si>
  <si>
    <t xml:space="preserve">P_Chatting with friends </t>
  </si>
  <si>
    <t>P_Watching videos</t>
  </si>
  <si>
    <t>P_playing</t>
  </si>
  <si>
    <t>P_working</t>
  </si>
  <si>
    <t>Please indicate how much you agree with the following statements that applies to you.   [Using screens before bedtimes makes it difficult for me to fall asleep]</t>
  </si>
  <si>
    <t>Column 37</t>
  </si>
  <si>
    <t>Please indicate how much you agree with the following statements that applies to you.   [I feel less rested when i use my phone before sleeping]</t>
  </si>
  <si>
    <t>Column 38</t>
  </si>
  <si>
    <t xml:space="preserve">On average, how many hours do you sleep per night? </t>
  </si>
  <si>
    <t>Column 40</t>
  </si>
  <si>
    <t xml:space="preserve">I am satisfied with the amount of sleep I get  </t>
  </si>
  <si>
    <t>Column 39</t>
  </si>
  <si>
    <t>Please indicate how much you agree with the following statements about your sleep and daily energy  [I go to sleep at same time every night]</t>
  </si>
  <si>
    <t>Column 41</t>
  </si>
  <si>
    <t>Please indicate how much you agree with the following statements about your sleep and daily energy  [I fall asleep easily ]</t>
  </si>
  <si>
    <t>Column 42</t>
  </si>
  <si>
    <t>Please indicate how much you agree with the following statements about your sleep and daily energy  [I sleep well most of the nights]</t>
  </si>
  <si>
    <t>Column 43</t>
  </si>
  <si>
    <t>Please indicate how much you agree with the following statements about your sleep and daily energy  [I wake up feeling rested]</t>
  </si>
  <si>
    <t>Column 44</t>
  </si>
  <si>
    <t>Please indicate how much you agree with the following statements about your sleep and daily energy  [I have enough energy during the day]</t>
  </si>
  <si>
    <t>Column 45</t>
  </si>
  <si>
    <r>
      <rPr>
        <rFont val="Comfortaa"/>
        <b/>
        <color theme="1"/>
        <sz val="11.0"/>
      </rPr>
      <t>Which habits do you think help improve sleep quality?</t>
    </r>
    <r>
      <rPr>
        <rFont val="Comfortaa"/>
        <color theme="1"/>
        <sz val="11.0"/>
      </rPr>
      <t/>
    </r>
    <r>
      <rPr>
        <rFont val="Comfortaa"/>
        <i/>
        <color theme="1"/>
        <sz val="11.0"/>
      </rPr>
      <t xml:space="preserve">
(Select all that apply)</t>
    </r>
  </si>
  <si>
    <t>I_RSC</t>
  </si>
  <si>
    <t>I_SST</t>
  </si>
  <si>
    <t>I_ACL</t>
  </si>
  <si>
    <t>I_RACT</t>
  </si>
  <si>
    <t>I_ERD</t>
  </si>
  <si>
    <t>I_SSS</t>
  </si>
  <si>
    <t>I_ALR</t>
  </si>
  <si>
    <t xml:space="preserve">Have you ever used a mobile app to track your sleep?  </t>
  </si>
  <si>
    <t>Column 46 2</t>
  </si>
  <si>
    <t xml:space="preserve">Which app have you used?  </t>
  </si>
  <si>
    <t>Column 47 2</t>
  </si>
  <si>
    <r>
      <t>If there were a mobile app to support better sleep, which features would you like to use?</t>
    </r>
    <r>
      <rPr>
        <rFont val="Comfortaa"/>
        <i/>
        <color theme="1"/>
        <sz val="11.0"/>
      </rPr>
      <t xml:space="preserve">
(Select all that apply)</t>
    </r>
  </si>
  <si>
    <t>A_RRS</t>
  </si>
  <si>
    <t>A_SMS</t>
  </si>
  <si>
    <t>A_TBB</t>
  </si>
  <si>
    <t>A_STS</t>
  </si>
  <si>
    <t>A_RBE</t>
  </si>
  <si>
    <t>A_EDU</t>
  </si>
  <si>
    <t>A_HMS</t>
  </si>
  <si>
    <t xml:space="preserve">Would you be willing to try a mobile app in the future if it included features you liked?  </t>
  </si>
  <si>
    <t>Column 1</t>
  </si>
  <si>
    <t>Male</t>
  </si>
  <si>
    <t>Yes</t>
  </si>
  <si>
    <t>Rural resident</t>
  </si>
  <si>
    <t>A mix of mental and physical activities</t>
  </si>
  <si>
    <t>7 - 8</t>
  </si>
  <si>
    <t>Strongly Disagree</t>
  </si>
  <si>
    <t>Disagree</t>
  </si>
  <si>
    <t>1 - 2 hours</t>
  </si>
  <si>
    <t>Watching videos / streaming, Working</t>
  </si>
  <si>
    <t>5 - 6</t>
  </si>
  <si>
    <t>Strongly disagree</t>
  </si>
  <si>
    <t>Neutral</t>
  </si>
  <si>
    <t>Reducing screen use before bedtime, Avoiding caffeine late in the day, Managing work time better, Creating a quiet and comfortable sleeping environment</t>
  </si>
  <si>
    <t>Sleeping tracking</t>
  </si>
  <si>
    <t>Reminders to reduce screen use before bed, SMS reminders, Relaxation or breathing exercises, Education about healthy sleep habits</t>
  </si>
  <si>
    <t>Semi Urban</t>
  </si>
  <si>
    <t>Mental activities (studying, reading, writing, using a phone or computer)</t>
  </si>
  <si>
    <t>Mental</t>
  </si>
  <si>
    <t>Agree</t>
  </si>
  <si>
    <t>Chatting with friends and family, Watching videos / streaming, Playing games</t>
  </si>
  <si>
    <t>Reducing screen use before bedtime, Going to bed at the same time each night, Doing relaxing activities before sleep (reading, breathing, prayer, meditation), Managing work time better, Exercising regularly during the day</t>
  </si>
  <si>
    <t>No</t>
  </si>
  <si>
    <t>Reminders to reduce screen use before bed, SMS reminders, Tips for better bedtime routines, Sleep tracking and sleep reports, Relaxation or breathing exercises, Education about healthy sleep habits, Help managing work and rest schedules</t>
  </si>
  <si>
    <t>Female</t>
  </si>
  <si>
    <t>Urban resident</t>
  </si>
  <si>
    <t>More than 3 hours</t>
  </si>
  <si>
    <t>Watching videos / streaming</t>
  </si>
  <si>
    <t>Avoiding caffeine late in the day, Creating a quiet and comfortable sleeping environment</t>
  </si>
  <si>
    <t>Reminders to reduce screen use before bed, Tips for better bedtime routines, Sleep tracking and sleep reports</t>
  </si>
  <si>
    <t>2 - 3 hours</t>
  </si>
  <si>
    <t>Chatting with friends and family, Playing games</t>
  </si>
  <si>
    <t>Going to bed at the same time each night, Creating a quiet and comfortable sleeping environment</t>
  </si>
  <si>
    <t>Health</t>
  </si>
  <si>
    <t>Both</t>
  </si>
  <si>
    <t>0 - 4</t>
  </si>
  <si>
    <t>Chatting with friends and family, Watching videos / streaming, Playing games, Working</t>
  </si>
  <si>
    <t>Strongly Agree</t>
  </si>
  <si>
    <t>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 Using reminders (alarms) for bedtime</t>
  </si>
  <si>
    <t>Chatting with friends and family, Watching videos / streaming</t>
  </si>
  <si>
    <t>Avoiding caffeine late in the day, Managing work time better, Creating a quiet and comfortable sleeping environment</t>
  </si>
  <si>
    <t>Reminders to reduce screen use before bed</t>
  </si>
  <si>
    <t>Maybe</t>
  </si>
  <si>
    <t>8 or more</t>
  </si>
  <si>
    <t>30 minutes – 1 hour</t>
  </si>
  <si>
    <t>Chatting with friends and family, Watching videos / streaming, Working</t>
  </si>
  <si>
    <t>Managing work time better, Exercising regularly during the day, Creating a quiet and comfortable sleeping environment</t>
  </si>
  <si>
    <t>Help managing work and rest schedules</t>
  </si>
  <si>
    <t>Reducing screen use before bedtime, Going to bed at the same time each night, Avoiding caffeine late in the day, Doing relaxing activities before sleep (reading, breathing, prayer, meditation), Managing work time better, Creating a quiet and comfortable sleeping environment</t>
  </si>
  <si>
    <t>Reminders to reduce screen use before bed, Tips for better bedtime routines, Sleep tracking and sleep reports, Education about healthy sleep habits</t>
  </si>
  <si>
    <t>Reducing screen use before bedtime, Creating a quiet and comfortable sleeping environment</t>
  </si>
  <si>
    <t>Tips for better bedtime routines, Sleep tracking and sleep reports</t>
  </si>
  <si>
    <t>Going to bed at the same time each night, Managing work time better, Creating a quiet and comfortable sleeping environment</t>
  </si>
  <si>
    <t>Reminders to reduce screen use before bed, Help managing work and rest schedules</t>
  </si>
  <si>
    <t>Strongly agree</t>
  </si>
  <si>
    <t>Relaxation or breathing exercises, Education about healthy sleep habits, Help managing work and rest schedules</t>
  </si>
  <si>
    <t>Playing games</t>
  </si>
  <si>
    <t>Reducing screen use before bedtime, Going to bed at the same time each night, Avoiding caffeine late in the day</t>
  </si>
  <si>
    <t>Reminders to reduce screen use before bed, Tips for better bedtime routines</t>
  </si>
  <si>
    <t>Doing relaxing activities before sleep (reading, breathing, prayer, meditation)</t>
  </si>
  <si>
    <t>Reminders to reduce screen use before bed, Tips for better bedtime routines, Sleep tracking and sleep reports, Relaxation or breathing exercises, Education about healthy sleep habits</t>
  </si>
  <si>
    <t>Reducing screen use before bedtime, Going to bed at the same time each night, Avoiding caffeine late in the day, Doing relaxing activities before sleep (reading, breathing, prayer, meditation), Exercising regularly during the day</t>
  </si>
  <si>
    <t>Reminders to reduce screen use before bed, SMS reminders, Sleep tracking and sleep reports, Education about healthy sleep habits</t>
  </si>
  <si>
    <t>Education about healthy sleep habits</t>
  </si>
  <si>
    <t>Reminders to reduce screen use before bed, Sleep tracking and sleep reports, Relaxation or breathing exercises</t>
  </si>
  <si>
    <t>Reducing screen use before bedtime, Going to bed at the same time each night, Creating a quiet and comfortable sleeping environment</t>
  </si>
  <si>
    <t>Using reminders (alarms) for bedtime</t>
  </si>
  <si>
    <t>Going to bed at the same time each night</t>
  </si>
  <si>
    <t>Reducing screen use before bedtime, Going to bed at the same time each night, Managing work time better, Creating a quiet and comfortable sleeping environment</t>
  </si>
  <si>
    <t>Reminders to reduce screen use before bed, Sleep tracking and sleep reports, Education about healthy sleep habits</t>
  </si>
  <si>
    <t>No phone before bed</t>
  </si>
  <si>
    <t>Reducing screen use before bedtime, Doing relaxing activities before sleep (reading, breathing, prayer, meditation), Managing work time better</t>
  </si>
  <si>
    <t xml:space="preserve">Tenzin </t>
  </si>
  <si>
    <t>Reducing screen use before bedtime, Going to bed at the same time each night, Exercising regularly during the day</t>
  </si>
  <si>
    <t>Going to bed at the same time each night, Doing relaxing activities before sleep (reading, breathing, prayer, meditation)</t>
  </si>
  <si>
    <t xml:space="preserve">Samsung Health </t>
  </si>
  <si>
    <t>Relaxation or breathing exercises, Education about healthy sleep habits</t>
  </si>
  <si>
    <t>Chatting with friends and family</t>
  </si>
  <si>
    <t>SMS reminders, Tips for better bedtime routines, Sleep tracking and sleep reports, Relaxation or breathing exercises, Education about healthy sleep habits</t>
  </si>
  <si>
    <t>Physical activities (walking a lot, sports, helping at home or farm)</t>
  </si>
  <si>
    <t>Physical</t>
  </si>
  <si>
    <t>Reducing screen use before bedtime</t>
  </si>
  <si>
    <t>Tips for better bedtime routines, Education about healthy sleep habits, Help managing work and rest schedules</t>
  </si>
  <si>
    <t>Youtub</t>
  </si>
  <si>
    <t>Relaxation or breathing exercises</t>
  </si>
  <si>
    <t>Idk</t>
  </si>
  <si>
    <t xml:space="preserve">Preparing dinners </t>
  </si>
  <si>
    <t>Reducing screen use before bedtime, Creating a quiet and comfortable sleeping environment, Using reminders (alarms) for bedtime</t>
  </si>
  <si>
    <t>It depends.</t>
  </si>
  <si>
    <t>Reducing screen use before bedtime, Doing relaxing activities before sleep (reading, breathing, prayer, meditation), Managing work time better, Creating a quiet and comfortable sleeping environment</t>
  </si>
  <si>
    <t>Going to bed at the same time each night, Avoiding caffeine late in the day, Doing relaxing activities before sleep (reading, breathing, prayer, meditation), Managing work time better</t>
  </si>
  <si>
    <t>Sleep tracking and sleep reports, Education about healthy sleep habits, Help managing work and rest schedules</t>
  </si>
  <si>
    <t>Avoiding caffeine late in the day, Doing relaxing activities before sleep (reading, breathing, prayer, meditation), Creating a quiet and comfortable sleeping environment</t>
  </si>
  <si>
    <t xml:space="preserve">Samsung health </t>
  </si>
  <si>
    <t>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t>
  </si>
  <si>
    <t>Sleep tracking and sleep reports</t>
  </si>
  <si>
    <t>Creating a quiet and comfortable sleeping environment</t>
  </si>
  <si>
    <t xml:space="preserve">Alarm clock </t>
  </si>
  <si>
    <t>Sleep tracking and sleep reports, Relaxation or breathing exercises, Education about healthy sleep habits, Help managing work and rest schedules</t>
  </si>
  <si>
    <t>Reducing screen use before bedtime, Going to bed at the same time each night, Doing relaxing activities before sleep (reading, breathing, prayer, meditation), Managing work time better, Exercising regularly during the day, Creating a quiet and comfortable sleeping environment, Using reminders (alarms) for bedtime</t>
  </si>
  <si>
    <t>Reminders to reduce screen use before bed, Tips for better bedtime routines, Sleep tracking and sleep reports, Relaxation or breathing exercises, Education about healthy sleep habits, Help managing work and rest schedules</t>
  </si>
  <si>
    <t>Avoiding caffeine late in the day, Doing relaxing activities before sleep (reading, breathing, prayer, meditation), Exercising regularly during the day</t>
  </si>
  <si>
    <t>Dont remember now</t>
  </si>
  <si>
    <t>Reducing screen use before bedtime, Going to bed at the same time each night, Avoiding caffeine late in the day, Doing relaxing activities before sleep (reading, breathing, prayer, meditation), Managing work time better, Exercising regularly during the day, Using reminders (alarms) for bedtime</t>
  </si>
  <si>
    <t>Reducing screen use before bedtime, Going to bed at the same time each night, Avoiding caffeine late in the day, Creating a quiet and comfortable sleeping environment</t>
  </si>
  <si>
    <t>Reminders to reduce screen use before bed, SMS reminders, Relaxation or breathing exercises, Education about healthy sleep habits, Help managing work and rest schedules</t>
  </si>
  <si>
    <t>Reminders to reduce screen use before bed, Sleep tracking and sleep reports, Help managing work and rest schedules</t>
  </si>
  <si>
    <t>Sleep tracking and sleep reports, Education about healthy sleep habits</t>
  </si>
  <si>
    <t xml:space="preserve">Chatting with friends and family, Watching videos / streaming, Playing games, Working, </t>
  </si>
  <si>
    <t>Going to bed at the same time each night, Doing relaxing activities before sleep (reading, breathing, prayer, meditation), Managing work time better, Creating a quiet and comfortable sleeping environment, Using reminders (alarms) for bedtime</t>
  </si>
  <si>
    <t>Reminders to reduce screen use before bed, Relaxation or breathing exercises</t>
  </si>
  <si>
    <t>Sleep tracker</t>
  </si>
  <si>
    <t>Reducing screen use before bedtime, Doing relaxing activities before sleep (reading, breathing, prayer, meditation)</t>
  </si>
  <si>
    <t>Reminders to reduce screen use before bed, Education about healthy sleep habits, Help managing work and rest schedules</t>
  </si>
  <si>
    <t>Watching videos / streaming, Playing games</t>
  </si>
  <si>
    <t>Reducing screen use before bedtime, Going to bed at the same time each night, Managing work time better, Exercising regularly during the day</t>
  </si>
  <si>
    <t>Exercising regularly during the day</t>
  </si>
  <si>
    <t xml:space="preserve">Chatting with friends and family, Watching videos / streaming, Playing games, </t>
  </si>
  <si>
    <t>Tips for better bedtime routines, Relaxation or breathing exercises</t>
  </si>
  <si>
    <t>Reminders to reduce screen use before bed, SMS reminders, Help managing work and rest schedules</t>
  </si>
  <si>
    <t>Reducing screen use before bedtime, Avoiding caffeine late in the day, Creating a quiet and comfortable sleeping environment</t>
  </si>
  <si>
    <t>Reminders to reduce screen use before bed, Education about healthy sleep habits</t>
  </si>
  <si>
    <t>Reducing screen use before bedtime, Going to bed at the same time each night, Doing relaxing activities before sleep (reading, breathing, prayer, meditation)</t>
  </si>
  <si>
    <t>Reducing screen use before bedtime, Going to bed at the same time each night, Doing relaxing activities before sleep (reading, breathing, prayer, meditation), Managing work time better, Exercising regularly during the day, Creating a quiet and comfortable sleeping environment</t>
  </si>
  <si>
    <t>Reducing screen use before bedtime, Going to bed at the same time each night, Using reminders (alarms) for bedtime</t>
  </si>
  <si>
    <t>SMS reminders</t>
  </si>
  <si>
    <t>Going to bed at the same time each night, Doing relaxing activities before sleep (reading, breathing, prayer, meditation), Creating a quiet and comfortable sleeping environment, Using reminders (alarms) for bedtime</t>
  </si>
  <si>
    <t>Tips for better bedtime routines, Relaxation or breathing exercises, Education about healthy sleep habits, Help managing work and rest schedules</t>
  </si>
  <si>
    <t>Avoiding caffeine late in the day, Doing relaxing activities before sleep (reading, breathing, prayer, meditation), Managing work time better, Creating a quiet and comfortable sleeping environment</t>
  </si>
  <si>
    <t>Education about healthy sleep habits, Help managing work and rest schedules</t>
  </si>
  <si>
    <t>Reminders to reduce screen use before bed, Relaxation or breathing exercises, Education about healthy sleep habits</t>
  </si>
  <si>
    <t>Going to bed at the same time each night, Using reminders (alarms) for bedtime</t>
  </si>
  <si>
    <t>Tips for better bedtime routines, Sleep tracking and sleep reports, Relaxation or breathing exercises, Education about healthy sleep habits, Help managing work and rest schedules</t>
  </si>
  <si>
    <t>Doing relaxing activities before sleep (reading, breathing, prayer, meditation), Managing work time better</t>
  </si>
  <si>
    <t>Samsung health</t>
  </si>
  <si>
    <t>Going to bed at the same time each night, Doing relaxing activities before sleep (reading, breathing, prayer, meditation), Managing work time better, Exercising regularly during the day, Creating a quiet and comfortable sleeping environment</t>
  </si>
  <si>
    <t>Reminders to reduce screen use before bed, Tips for better bedtime routines, Sleep tracking and sleep reports, Relaxation or breathing exercises, Help managing work and rest schedules</t>
  </si>
  <si>
    <t>Reducing screen use before bedtime, Going to bed at the same time each night, Avoiding caffeine late in the day, Exercising regularly during the day, Creating a quiet and comfortable sleeping environment</t>
  </si>
  <si>
    <t>Tips for better bedtime routines, Sleep tracking and sleep reports, Relaxation or breathing exercises</t>
  </si>
  <si>
    <t>Tips for better bedtime routines, Help managing work and rest schedules</t>
  </si>
  <si>
    <t>Reminders to reduce screen use before bed, Sleep tracking and sleep reports</t>
  </si>
  <si>
    <t>Reducing screen use before bedtime, Managing work time better, Exercising regularly during the day, Creating a quiet and comfortable sleeping environment</t>
  </si>
  <si>
    <t>Going to bed at the same time each night, Avoiding caffeine late in the day, Exercising regularly during the day</t>
  </si>
  <si>
    <t xml:space="preserve">Watching YouTube , few chats and scrolling facebook </t>
  </si>
  <si>
    <t>Reducing screen use before bedtime, Going to bed at the same time each night, Avoiding caffeine late in the day, Doing relaxing activities before sleep (reading, breathing, prayer, meditation), Creating a quiet and comfortable sleeping environment</t>
  </si>
  <si>
    <t>Reminders to reduce screen use before bed, Tips for better bedtime routines, Sleep tracking and sleep reports, Relaxation or breathing exercises</t>
  </si>
  <si>
    <t>SMS reminders, Relaxation or breathing exercises, Education about healthy sleep habits, Help managing work and rest schedules</t>
  </si>
  <si>
    <t>Doing relaxing activities before sleep (reading, breathing, prayer, meditation), Using reminders (alarms) for bedtime</t>
  </si>
  <si>
    <t>Tips for better bedtime routines, Relaxation or breathing exercises, Help managing work and rest schedules</t>
  </si>
  <si>
    <t xml:space="preserve">Tiktok </t>
  </si>
  <si>
    <t>Reminders to reduce screen use before bed, Sleep tracking and sleep reports, Relaxation or breathing exercises, Education about healthy sleep habits, Help managing work and rest schedules</t>
  </si>
  <si>
    <t>Facebook, TikTok, and playit app for watching Movies ect...</t>
  </si>
  <si>
    <t>Tips for better bedtime routines, Sleep tracking and sleep reports, Help managing work and rest schedules</t>
  </si>
  <si>
    <t>Managing work time better, Exercising regularly during the day</t>
  </si>
  <si>
    <t>Reminders to reduce screen use before bed, SMS reminders, Tips for better bedtime routines</t>
  </si>
  <si>
    <t>Reducing screen use before bedtime, Going to bed at the same time each night</t>
  </si>
  <si>
    <t>Reminders to reduce screen use before bed, Sleep tracking and sleep reports, Relaxation or breathing exercises, Education about healthy sleep habits</t>
  </si>
  <si>
    <t>Reducing screen use before bedtime, Doing relaxing activities before sleep (reading, breathing, prayer, meditation), Exercising regularly during the day, Using reminders (alarms) for bedtime</t>
  </si>
  <si>
    <t>Tips for better bedtime routines</t>
  </si>
  <si>
    <t>Music</t>
  </si>
  <si>
    <t xml:space="preserve">Music </t>
  </si>
  <si>
    <t>Reducing screen use before bedtime, Doing relaxing activities before sleep (reading, breathing, prayer, meditation), Managing work time better, Exercising regularly during the day, Creating a quiet and comfortable sleeping environment</t>
  </si>
  <si>
    <t>Reducing screen use before bedtime, Exercising regularly during the day, Creating a quiet and comfortable sleeping environment</t>
  </si>
  <si>
    <t>Avoiding caffeine late in the day, Doing relaxing activities before sleep (reading, breathing, prayer, meditation), Managing work time better</t>
  </si>
  <si>
    <t>Doing relaxing activities before sleep (reading, breathing, prayer, meditation), Managing work time better, Exercising regularly during the day</t>
  </si>
  <si>
    <t>Reminders to reduce screen use before bed, Tips for better bedtime routines, Relaxation or breathing exercises, Help managing work and rest schedules</t>
  </si>
  <si>
    <t>Reducing screen use before bedtime, Doing relaxing activities before sleep (reading, breathing, prayer, meditation), Exercising regularly during the day</t>
  </si>
  <si>
    <t>Reminders to reduce screen use before bed, Tips for better bedtime routines, Education about healthy sleep habits</t>
  </si>
  <si>
    <t>Doing relaxing activities before sleep (reading, breathing, prayer, meditation), Managing work time better, Creating a quiet and comfortable sleeping environment</t>
  </si>
  <si>
    <t>Reminders to reduce screen use before bed, Tips for better bedtime routines, Relaxation or breathing exercises</t>
  </si>
  <si>
    <t>Managing work time better, Creating a quiet and comfortable sleeping environment</t>
  </si>
  <si>
    <t>Tips for better bedtime routines, Sleep tracking and sleep reports, Education about healthy sleep habits, Help managing work and rest schedules</t>
  </si>
  <si>
    <t>Reducing screen use before bedtime, Doing relaxing activities before sleep (reading, breathing, prayer, meditation), Creating a quiet and comfortable sleeping environment</t>
  </si>
  <si>
    <t>Reducing screen use before bedtime, Going to bed at the same time each night, Creating a quiet and comfortable sleeping environment, Using reminders (alarms) for bedtime</t>
  </si>
  <si>
    <t>SMS reminders, Tips for better bedtime routines, Help managing work and rest schedules</t>
  </si>
  <si>
    <t>Prefer not to answer</t>
  </si>
  <si>
    <t>Reducing screen use before bedtime, Managing work time better, Creating a quiet and comfortable sleeping environment</t>
  </si>
  <si>
    <t>Reducing screen use before bedtime, Going to bed at the same time each night, Avoiding caffeine late in the day, Doing relaxing activities before sleep (reading, breathing, prayer, meditation), Managing work time better</t>
  </si>
  <si>
    <t xml:space="preserve">Alarm </t>
  </si>
  <si>
    <t>SMS reminders, Tips for better bedtime routines, Sleep tracking and sleep reports, Relaxation or breathing exercises, Education about healthy sleep habits, Help managing work and rest schedules</t>
  </si>
  <si>
    <t>Reducing screen use before bedtime, Going to bed at the same time each night, Avoiding caffeine late in the day, Doing relaxing activities before sleep (reading, breathing, prayer, meditation), Creating a quiet and comfortable sleeping environment, Using reminders (alarms) for bedtime</t>
  </si>
  <si>
    <t>Reducing screen use before bedtime, Managing work time better</t>
  </si>
  <si>
    <t>Sleep tracking and sleep reports, Help managing work and rest schedules</t>
  </si>
  <si>
    <t>Reminders to reduce screen use before bed, Tips for better bedtime routines, Help managing work and rest schedules</t>
  </si>
  <si>
    <t>Reminders to reduce screen use before bed, Tips for better bedtime routines, Sleep tracking and sleep reports, Education about healthy sleep habits, Help managing work and rest schedules</t>
  </si>
  <si>
    <t>Reducing screen use before bedtime, Going to bed at the same time each night, Doing relaxing activities before sleep (reading, breathing, prayer, meditation), Creating a quiet and comfortable sleeping environment, Using reminders (alarms) for bedtime</t>
  </si>
  <si>
    <t>Reminders to reduce screen use before bed, SMS reminders</t>
  </si>
  <si>
    <t>Reducing screen use before bedtime, Avoiding caffeine late in the day, Doing relaxing activities before sleep (reading, breathing, prayer, meditation), Exercising regularly during the day</t>
  </si>
  <si>
    <t>Reminders to reduce screen use before bed, SMS reminders, Tips for better bedtime routines, Sleep tracking and sleep reports</t>
  </si>
  <si>
    <t>Avoiding caffeine late in the day, Doing relaxing activities before sleep (reading, breathing, prayer, meditation), Managing work time better, Creating a quiet and comfortable sleeping environment, Using reminders (alarms) for bedtime</t>
  </si>
  <si>
    <t>Reducing screen use before bedtime, Going to bed at the same time each night, Doing relaxing activities before sleep (reading, breathing, prayer, meditation), Managing work time better</t>
  </si>
  <si>
    <t>Reminders to reduce screen use before bed, SMS reminders, Relaxation or breathing exercises, Help managing work and rest schedules</t>
  </si>
  <si>
    <t>Going to bed at the same time each night, Avoiding caffeine late in the day, Managing work time better, Exercising regularly during the day, Creating a quiet and comfortable sleeping environment</t>
  </si>
  <si>
    <t>Youtube app</t>
  </si>
  <si>
    <t xml:space="preserve">Reminders to reduce screen use before bed, SMS reminders, Tips for better bedtime routines, Sleep tracking and sleep reports, Relaxation or breathing exercises, Education about healthy sleep habits, Help managing work and rest schedules, </t>
  </si>
  <si>
    <t xml:space="preserve">Reducing screen use before bedtime, Going to bed at the same time each night, Avoiding caffeine late in the day, Doing relaxing activities before sleep (reading, breathing, prayer, meditation), Managing work time better, Exercising regularly during the day, Creating a quiet and comfortable sleeping environment, Using reminders (alarms) for bedtime, </t>
  </si>
  <si>
    <t>My health app</t>
  </si>
  <si>
    <t>Reminders to reduce screen use before bed, SMS reminders, Sleep tracking and sleep reports, Relaxation or breathing exercises</t>
  </si>
  <si>
    <t>Reducing screen use before bedtime, Avoiding caffeine late in the day, Doing relaxing activities before sleep (reading, breathing, prayer, meditation), Creating a quiet and comfortable sleeping environment</t>
  </si>
  <si>
    <t>Avoiding caffeine late in the day</t>
  </si>
  <si>
    <t>Reducing screen use before bedtime, Going to bed at the same time each night, Doing relaxing activities before sleep (reading, breathing, prayer, meditation), Creating a quiet and comfortable sleeping environment</t>
  </si>
  <si>
    <t>Going to bed at the same time each night, Avoiding caffeine late in the day, Doing relaxing activities before sleep (reading, breathing, prayer, meditation), Creating a quiet and comfortable sleeping environment</t>
  </si>
  <si>
    <t>Reminders to reduce screen use before bed, Tips for better bedtime routines, Relaxation or breathing exercises, Education about healthy sleep habits</t>
  </si>
  <si>
    <t>Going to bed at the same time each night, Managing work time better, Exercising regularly during the day, Creating a quiet and comfortable sleeping environment</t>
  </si>
  <si>
    <t>Less than 30 minutes</t>
  </si>
  <si>
    <t>Doing relaxing activities before sleep (reading, breathing, prayer, meditation), Managing work time better, Exercising regularly during the day, Creating a quiet and comfortable sleeping environment</t>
  </si>
  <si>
    <t>Tips for better bedtime routines, Relaxation or breathing exercises, Education about healthy sleep habits</t>
  </si>
  <si>
    <t>Going to bed at the same time each night, Exercising regularly during the day</t>
  </si>
  <si>
    <t>Reducing screen use before bedtime, Doing relaxing activities before sleep (reading, breathing, prayer, meditation), Exercising regularly during the day, Creating a quiet and comfortable sleeping environment</t>
  </si>
  <si>
    <t>Reminders to reduce screen use before bed, Tips for better bedtime routines, Education about healthy sleep habits, Help managing work and rest schedules</t>
  </si>
  <si>
    <t>Reminders to reduce screen use before bed, SMS reminders, Tips for better bedtime routines, Relaxation or breathing exercises, Help managing work and rest schedules</t>
  </si>
  <si>
    <t xml:space="preserve">Smartwatch /wearable apps </t>
  </si>
  <si>
    <t xml:space="preserve">Going to bed at the same time each night, Listening to music </t>
  </si>
  <si>
    <t>Shuteye</t>
  </si>
  <si>
    <t>Reminders to reduce screen use before bed, SMS reminders, Sleep tracking and sleep reports</t>
  </si>
  <si>
    <t>Reducing screen use before bedtime, Managing work time better, Using reminders (alarms) for bedtime</t>
  </si>
  <si>
    <t>Reducing screen use before bedtime, Avoiding caffeine late in the day, Doing relaxing activities before sleep (reading, breathing, prayer, meditation), Managing work time better, Exercising regularly during the day</t>
  </si>
  <si>
    <t>Reducing screen use before bedtime, Doing relaxing activities before sleep (reading, breathing, prayer, meditation), Managing work time better, Exercising regularly during the day</t>
  </si>
  <si>
    <t>Reducing screen use before bedtime, Going to bed at the same time each night, Avoiding caffeine late in the day, Managing work time better</t>
  </si>
  <si>
    <t>Tips for better bedtime routines, Sleep tracking and sleep reports, Relaxation or breathing exercises, Education about healthy sleep habits</t>
  </si>
  <si>
    <t>Physical works</t>
  </si>
  <si>
    <t>Avoiding caffeine late in the day, Managing work time better, Exercising regularly during the day</t>
  </si>
  <si>
    <t xml:space="preserve">Sleep tracking and sleep reports, </t>
  </si>
  <si>
    <t>Reducing screen use before bedtime, Going to bed at the same time each night, Avoiding caffeine late in the day, Doing relaxing activities before sleep (reading, breathing, prayer, meditation), Exercising regularly during the day, Creating a quiet and comfortable sleeping environment, Using reminders (alarms) for bedtime</t>
  </si>
  <si>
    <t>Tiktok</t>
  </si>
  <si>
    <t xml:space="preserve">Reminders to reduce screen use before bed, Tips for better bedtime routines, Sleep tracking and sleep reports, </t>
  </si>
  <si>
    <t xml:space="preserve">YouTube </t>
  </si>
  <si>
    <t>Going to bed at the same time each night, Avoiding caffeine late in the day, Managing work time better</t>
  </si>
  <si>
    <t>Managing work time better</t>
  </si>
  <si>
    <t xml:space="preserve">Reducing screen use before bedtime, Doing relaxing activities before sleep (reading, breathing, prayer, meditation), Managing work time better, Exercising regularly during the day, Creating a quiet and comfortable sleeping environment, Using reminders (alarms) for bedtime, </t>
  </si>
  <si>
    <t>YouTube▶️</t>
  </si>
  <si>
    <t>Reducing screen use before bedtime, Going to bed at the same time each night, Doing relaxing activities before sleep (reading, breathing, prayer, meditation), Using reminders (alarms) for bedtime</t>
  </si>
  <si>
    <t>Reminders to reduce screen use before bed, Tips for better bedtime routines, Sleep tracking and sleep reports, Help managing work and rest schedules</t>
  </si>
  <si>
    <t>Kim</t>
  </si>
  <si>
    <t>Reducing screen use before bedtime, Avoiding caffeine late in the day, Doing relaxing activities before sleep (reading, breathing, prayer, meditation), Managing work time better, Creating a quiet and comfortable sleeping environment, Using reminders (alarms) for bedtime</t>
  </si>
  <si>
    <t>Sleep tracking and sleep reports, Relaxation or breathing exercises, Help managing work and rest schedules</t>
  </si>
  <si>
    <t>Going to bed at the same time each night, Doing relaxing activities before sleep (reading, breathing, prayer, meditation), Managing work time better</t>
  </si>
  <si>
    <t>SMS reminders, Relaxation or breathing exercises, Help managing work and rest schedules</t>
  </si>
  <si>
    <t>Reducing screen use before bedtime, Using reminders (alarms) for bedtime</t>
  </si>
  <si>
    <t>Exercising regularly during the day, Creating a quiet and comfortable sleeping environment, Using reminders (alarms) for bedtime</t>
  </si>
  <si>
    <t>Reminders to reduce screen use before bed, Tips for better bedtime routines, Relaxation or breathing exercises, Education about healthy sleep habits, Help managing work and rest schedules</t>
  </si>
  <si>
    <t>Playing games, calling and chatting family, and watching videos</t>
  </si>
  <si>
    <t>Relaxation or breathing exercises, Help managing work and rest schedules</t>
  </si>
  <si>
    <t>Workout</t>
  </si>
  <si>
    <t>Reducing screen use before bedtime, Going to bed at the same time each night, Doing relaxing activities before sleep (reading, breathing, prayer, meditation), Exercising regularly during the day, Creating a quiet and comfortable sleeping environment</t>
  </si>
  <si>
    <t>Chatting with friends and family, Working</t>
  </si>
  <si>
    <t>Exercising regularly during the day, Using reminders (alarms) for bedtime</t>
  </si>
  <si>
    <t>SMS reminders, Sleep tracking and sleep reports, Relaxation or breathing exercises, Help managing work and rest schedules</t>
  </si>
  <si>
    <t>Going to bed at the same time each night, Avoiding caffeine late in the day, Doing relaxing activities before sleep (reading, breathing, prayer, meditation), Managing work time better, Using reminders (alarms) for bedtime</t>
  </si>
  <si>
    <t>SMS reminders, Tips for better bedtime routines, Sleep tracking and sleep reports, Relaxation or breathing exercises</t>
  </si>
  <si>
    <t/>
  </si>
  <si>
    <t>Reducing screen use before bedtime, Going to bed at the same time each night, Exercising regularly during the day, Creating a quiet and comfortable sleeping environment</t>
  </si>
  <si>
    <t>Exercising regularly during the day, Creating a quiet and comfortable sleeping environment</t>
  </si>
  <si>
    <t>Chatting with friends and family, Watching videos / streaming, Working, Watching Tiktoks</t>
  </si>
  <si>
    <t>SMS reminders, Relaxation or breathing exercises</t>
  </si>
  <si>
    <t>Doing relaxing activities before sleep (reading, breathing, prayer, meditation), Creating a quiet and comfortable sleeping environment</t>
  </si>
  <si>
    <t>Reducing screen use before bedtime, Going to bed at the same time each night, Avoiding caffeine late in the day, Doing relaxing activities before sleep (reading, breathing, prayer, meditation), Managing work time better, Using reminders (alarms) for bedtime</t>
  </si>
  <si>
    <t xml:space="preserve">Doing relaxing activities before sleep (reading, breathing, prayer, meditation), Managing work time better, </t>
  </si>
  <si>
    <t>Avoiding caffeine late in the day, Managing work time better, Using reminders (alarms) for bedtime</t>
  </si>
  <si>
    <t xml:space="preserve">Sleeping time alarm </t>
  </si>
  <si>
    <t>Alarm app</t>
  </si>
  <si>
    <t>Reminders to reduce screen use before bed, SMS reminders, Sleep tracking and sleep reports, Help managing work and rest schedules</t>
  </si>
  <si>
    <t>Reducing screen use before bedtime, Going to bed at the same time each night, Avoiding caffeine late in the day, Doing relaxing activities before sleep (reading, breathing, prayer, meditation)</t>
  </si>
  <si>
    <t>Chatting with friends and family, Playing games, Working</t>
  </si>
  <si>
    <t xml:space="preserve">Chatting with friends and family, Watching videos / streaming, Working, </t>
  </si>
  <si>
    <t>Reducing screen use before bedtime, Going to bed at the same time each night, Avoiding caffeine late in the day, Managing work time better, Exercising regularly during the day, Creating a quiet and comfortable sleeping environment, Using reminders (alarms) for bedtime</t>
  </si>
  <si>
    <t>Reducing screen use before bedtime, Going to bed at the same time each night, Managing work time better, Exercising regularly during the day, Creating a quiet and comfortable sleeping environment</t>
  </si>
  <si>
    <t xml:space="preserve">Google </t>
  </si>
  <si>
    <t>Working</t>
  </si>
  <si>
    <t>Chatting with friends and family, looking for informations</t>
  </si>
  <si>
    <t>Watching videos / streaming, Playing games, Working</t>
  </si>
  <si>
    <t>Reducing screen use before bedtime, Going to bed at the same time each night, Managing work time better, Using reminders (alarms) for bedtime</t>
  </si>
  <si>
    <t>Online app</t>
  </si>
  <si>
    <t>Reducing screen use before bedtime, Going to bed at the same time each night, Doing relaxing activities before sleep (reading, breathing, prayer, meditation), Managing work time better, Creating a quiet and comfortable sleeping environment, Using reminders (alarms) for bedtime</t>
  </si>
  <si>
    <t>Going to bed at the same time each night, Managing work time better</t>
  </si>
  <si>
    <t>Tips for better bedtime routines, Education about healthy sleep habits</t>
  </si>
  <si>
    <t xml:space="preserve">Managing work time better, </t>
  </si>
  <si>
    <t>Going to bed at the same time each night, Avoiding caffeine late in the day, Doing relaxing activities before sleep (reading, breathing, prayer, meditation), Managing work time better, Creating a quiet and comfortable sleeping environment, Using reminders (alarms) for bedtime</t>
  </si>
  <si>
    <t>Reminders to reduce screen use before bed, SMS reminders, Tips for better bedtime routines, Relaxation or breathing exercises</t>
  </si>
  <si>
    <t>Work site</t>
  </si>
  <si>
    <t>Reducing screen use before bedtime, Going to bed at the same time each night, Avoiding caffeine late in the day, Doing relaxing activities before sleep (reading, breathing, prayer, meditation), Managing work time better, Exercising regularly during the day</t>
  </si>
  <si>
    <t>Reminders to reduce screen use before bed, Sleep tracking and sleep reports, Education about healthy sleep habits, Help managing work and rest schedules</t>
  </si>
  <si>
    <t xml:space="preserve">Reducing screen use before bedtime, Going to bed at the same time each night, Doing relaxing activities before sleep (reading, breathing, prayer, meditation), Managing work time better, Creating a quiet and comfortable sleeping environment, Using reminders (alarms) for bedtime, </t>
  </si>
  <si>
    <t xml:space="preserve">Using reminders (alarms) for bedtime, </t>
  </si>
  <si>
    <t>Instagram</t>
  </si>
  <si>
    <t>Going to bed at the same time each night, Doing relaxing activities before sleep (reading, breathing, prayer, meditation), Exercising regularly during the day, Creating a quiet and comfortable sleeping environment</t>
  </si>
  <si>
    <t>SMS reminders, Sleep tracking and sleep reports</t>
  </si>
  <si>
    <t xml:space="preserve">Watching videos / streaming, Working, </t>
  </si>
  <si>
    <t xml:space="preserve">Going to bed at the same time each night, Doing relaxing activities before sleep (reading, breathing, prayer, meditation), Managing work time better, </t>
  </si>
  <si>
    <t>Reducing screen use before bedtime, Managing work time better, Exercising regularly during the day, Using reminders (alarms) for bedtime</t>
  </si>
  <si>
    <t>Reducing screen use before bedtime, Avoiding caffeine late in the day, Doing relaxing activities before sleep (reading, breathing, prayer, meditation), Exercising regularly during the day, Creating a quiet and comfortable sleeping environment, Using reminders (alarms) for bedtime</t>
  </si>
  <si>
    <t>Reducing screen use before bedtime, Exercising regularly during the day</t>
  </si>
  <si>
    <t>Reducing screen use before bedtime, Going to bed at the same time each night, Doing relaxing activities before sleep (reading, breathing, prayer, meditation), Managing work time better, Creating a quiet and comfortable sleeping environment</t>
  </si>
  <si>
    <t>Reducing screen use before bedtime, Doing relaxing activities before sleep (reading, breathing, prayer, meditation), Using reminders (alarms) for bedtime</t>
  </si>
  <si>
    <t>SMS reminders, Relaxation or breathing exercises, Education about healthy sleep habits</t>
  </si>
  <si>
    <t>Going to bed at the same time each night, Doing relaxing activities before sleep (reading, breathing, prayer, meditation), Managing work time better, Using reminders (alarms) for bedtime</t>
  </si>
  <si>
    <t xml:space="preserve">i actually used my watch to track my sleeping pattern and my watch was connected to my mobile phone via an App called HryFine and Bluetooth </t>
  </si>
  <si>
    <t>HryFine app</t>
  </si>
  <si>
    <t>SMS reminders, Sleep tracking and sleep reports, Education about healthy sleep habits</t>
  </si>
  <si>
    <t>Reducing screen use before bedtime, Going to bed at the same time each night, Avoiding caffeine late in the day, Managing work time better, Creating a quiet and comfortable sleeping environment</t>
  </si>
  <si>
    <t xml:space="preserve">Chatting with friends and family, Watching videos / streaming, </t>
  </si>
  <si>
    <t xml:space="preserve">TikTok </t>
  </si>
  <si>
    <t>Reducing screen use before bedtime, Going to bed at the same time each night, Avoiding caffeine late in the day, Managing work time better, Exercising regularly during the day, Creating a quiet and comfortable sleeping environment</t>
  </si>
  <si>
    <t>Reminders to reduce screen use before bed, Relaxation or breathing exercises, Help managing work and rest schedules</t>
  </si>
  <si>
    <t>Sleep tracking and sleep reports, Relaxation or breathing exercises, Education about healthy sleep habits</t>
  </si>
  <si>
    <t xml:space="preserve">Sure </t>
  </si>
  <si>
    <t>Which habits do you think help improve sleep quality?
(Select all that apply)</t>
  </si>
  <si>
    <t>If there were a mobile app to support better sleep, which features would you like to use?
(Select all that apply)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</si>
</sst>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1.0"/>
      <color theme="1"/>
      <name val="Comfortaa"/>
    </font>
    <font>
      <b/>
      <sz val="11.0"/>
      <color theme="1"/>
      <name val="Comfortaa"/>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3" numFmtId="0" xfId="0" applyFont="1"/>
    <xf borderId="0" fillId="0" fontId="3" numFmtId="0" xfId="0" applyFont="1"/>
    <xf borderId="0" fillId="0" fontId="3" numFmtId="0" xfId="0" applyAlignment="1" applyFont="1">
      <alignment readingOrder="0"/>
    </xf>
    <xf borderId="1" fillId="0" fontId="3" numFmtId="0" xfId="0" applyAlignment="1" applyBorder="1" applyFont="1">
      <alignment readingOrder="0"/>
    </xf>
    <xf borderId="1" fillId="0" fontId="3" numFmtId="0" xfId="0" applyAlignment="1" applyBorder="1" applyFont="1">
      <alignment readingOrder="0"/>
    </xf>
    <xf borderId="1" fillId="0" fontId="3" numFmtId="0" xfId="0" applyBorder="1"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Cleaning-style">
      <tableStyleElement dxfId="1" type="headerRow"/>
      <tableStyleElement dxfId="2" type="firstRowStripe"/>
      <tableStyleElement dxfId="3" type="secondRowStripe"/>
      <tableStyleElement dxfId="4" size="0" type="wholeTable"/>
    </tableStyle>
    <tableStyle count="2" pivot="0" name="Act before sleeping-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O255" displayName="Form_Responses" name="Form_Responses" id="1">
  <tableColumns count="67">
    <tableColumn name="Column 28" id="1"/>
    <tableColumn name="Timestamp" id="2"/>
    <tableColumn name="What is your gender?" id="3"/>
    <tableColumn name="Gender" id="4"/>
    <tableColumn name="  Do you currently live in Bhutan?  _x000a__x000a_We are only looking for participants who are currently living in Bhutan.  " id="5"/>
    <tableColumn name="Column 67" id="6"/>
    <tableColumn name="What best describe where you currently live?                  " id="7"/>
    <tableColumn name="Resident" id="8"/>
    <tableColumn name="Column 46" id="9"/>
    <tableColumn name="What kind of work do you mostly do during the day?  " id="10"/>
    <tableColumn name="Work Type : Activty" id="11"/>
    <tableColumn name="Work type" id="12"/>
    <tableColumn name="On average how many hours do you work per day?" id="13"/>
    <tableColumn name="Column 29" id="14"/>
    <tableColumn name="Please indicate how much you agree with the following statements that applies to you.   [My work makes me feel stressed]" id="15"/>
    <tableColumn name="Column 32" id="16"/>
    <tableColumn name="Please indicate how much you agree with the following statements that applies to you.   [My Work hours allow me to get enough sleep]" id="17"/>
    <tableColumn name="Column 33" id="18"/>
    <tableColumn name="Please indicate how much you agree with the following statements that applies to you.   [My work schedule affects my daily energy levels]" id="19"/>
    <tableColumn name="Column 47" id="20"/>
    <tableColumn name="On average, how many hours per night do you spend on your phone before sleeping? " id="21"/>
    <tableColumn name="Column 48" id="22"/>
    <tableColumn name="What do you do on your phone before sleeping? _x000a_ (Select all that apply)  " id="23"/>
    <tableColumn name="P_Chatting with friends " id="24"/>
    <tableColumn name="P_Watching videos" id="25"/>
    <tableColumn name="P_playing" id="26"/>
    <tableColumn name="P_working" id="27"/>
    <tableColumn name="Please indicate how much you agree with the following statements that applies to you.   [Using screens before bedtimes makes it difficult for me to fall asleep]" id="28"/>
    <tableColumn name="Column 37" id="29"/>
    <tableColumn name="Please indicate how much you agree with the following statements that applies to you.   [I feel less rested when i use my phone before sleeping]" id="30"/>
    <tableColumn name="Column 38" id="31"/>
    <tableColumn name="On average, how many hours do you sleep per night? " id="32"/>
    <tableColumn name="Column 40" id="33"/>
    <tableColumn name="I am satisfied with the amount of sleep I get  " id="34"/>
    <tableColumn name="Column 39" id="35"/>
    <tableColumn name="Please indicate how much you agree with the following statements about your sleep and daily energy  [I go to sleep at same time every night]" id="36"/>
    <tableColumn name="Column 41" id="37"/>
    <tableColumn name="Please indicate how much you agree with the following statements about your sleep and daily energy  [I fall asleep easily ]" id="38"/>
    <tableColumn name="Column 42" id="39"/>
    <tableColumn name="Please indicate how much you agree with the following statements about your sleep and daily energy  [I sleep well most of the nights]" id="40"/>
    <tableColumn name="Column 43" id="41"/>
    <tableColumn name="Please indicate how much you agree with the following statements about your sleep and daily energy  [I wake up feeling rested]" id="42"/>
    <tableColumn name="Column 44" id="43"/>
    <tableColumn name="Please indicate how much you agree with the following statements about your sleep and daily energy  [I have enough energy during the day]" id="44"/>
    <tableColumn name="Column 45" id="45"/>
    <tableColumn name="Which habits do you think help improve sleep quality?_x000a_(Select all that apply)" id="46"/>
    <tableColumn name="I_RSC" id="47"/>
    <tableColumn name="I_SST" id="48"/>
    <tableColumn name="I_ACL" id="49"/>
    <tableColumn name="I_RACT" id="50"/>
    <tableColumn name="I_ERD" id="51"/>
    <tableColumn name="I_SSS" id="52"/>
    <tableColumn name="I_ALR" id="53"/>
    <tableColumn name="Have you ever used a mobile app to track your sleep?  " id="54"/>
    <tableColumn name="Column 46 2" id="55"/>
    <tableColumn name="Which app have you used?  " id="56"/>
    <tableColumn name="Column 47 2" id="57"/>
    <tableColumn name="If there were a mobile app to support better sleep, which features would you like to use?_x000a_(Select all that apply)" id="58"/>
    <tableColumn name="A_RRS" id="59"/>
    <tableColumn name="A_SMS" id="60"/>
    <tableColumn name="A_TBB" id="61"/>
    <tableColumn name="A_STS" id="62"/>
    <tableColumn name="A_RBE" id="63"/>
    <tableColumn name="A_EDU" id="64"/>
    <tableColumn name="A_HMS" id="65"/>
    <tableColumn name="Would you be willing to try a mobile app in the future if it included features you liked?  " id="66"/>
    <tableColumn name="Column 1" id="67"/>
  </tableColumns>
  <tableStyleInfo name="Cleaning-style" showColumnStripes="0" showFirstColumn="1" showLastColumn="1" showRowStripes="1"/>
</table>
</file>

<file path=xl/tables/table2.xml><?xml version="1.0" encoding="utf-8"?>
<table xmlns="http://schemas.openxmlformats.org/spreadsheetml/2006/main" headerRowCount="0" ref="A2:A255" displayName="Table_1" name="Table_1" id="2">
  <tableColumns count="1">
    <tableColumn name="Column1" id="1"/>
  </tableColumns>
  <tableStyleInfo name="Act before sleep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4.0"/>
    <col customWidth="1" min="4" max="6" width="22.38"/>
    <col customWidth="1" min="7" max="7" width="21.5"/>
    <col customWidth="1" min="8" max="9" width="13.88"/>
    <col customWidth="1" min="10" max="10" width="24.63"/>
    <col customWidth="1" min="11" max="12" width="17.63"/>
    <col customWidth="1" min="13" max="13" width="24.25"/>
    <col customWidth="1" min="14" max="18" width="37.63"/>
    <col customWidth="1" min="19" max="20" width="33.75"/>
    <col customWidth="1" min="21" max="22" width="37.63"/>
    <col customWidth="1" min="23" max="27" width="45.5"/>
    <col customWidth="1" min="28" max="33" width="37.63"/>
    <col customWidth="1" min="34" max="35" width="18.88"/>
    <col customWidth="1" min="36" max="37" width="37.63"/>
    <col customWidth="1" min="38" max="39" width="21.88"/>
    <col customWidth="1" min="40" max="41" width="19.75"/>
    <col customWidth="1" min="42" max="43" width="20.38"/>
    <col customWidth="1" min="44" max="45" width="22.25"/>
    <col customWidth="1" min="46" max="46" width="76.75"/>
    <col customWidth="1" min="47" max="55" width="19.38"/>
    <col customWidth="1" min="56" max="57" width="18.88"/>
    <col customWidth="1" min="58" max="58" width="55.63"/>
    <col customWidth="1" min="59" max="59" width="35.38"/>
    <col customWidth="1" min="60" max="65" width="30.75"/>
    <col customWidth="1" min="66" max="72" width="18.88"/>
  </cols>
  <sheetData>
    <row r="1" ht="22.5" customHeight="1">
      <c r="A1" s="1" t="s">
        <v>0</v>
      </c>
      <c r="B1" s="2" t="s">
        <v>1</v>
      </c>
      <c r="C1" s="3" t="s">
        <v>2</v>
      </c>
      <c r="D1" s="4" t="s">
        <v>3</v>
      </c>
      <c r="E1" s="1" t="s">
        <v>4</v>
      </c>
      <c r="F1" s="4" t="s">
        <v>5</v>
      </c>
      <c r="G1" s="3" t="s">
        <v>6</v>
      </c>
      <c r="H1" s="2" t="s">
        <v>7</v>
      </c>
      <c r="I1" s="2" t="s">
        <v>8</v>
      </c>
      <c r="J1" s="2" t="s">
        <v>9</v>
      </c>
      <c r="K1" s="2" t="s">
        <v>10</v>
      </c>
      <c r="L1" s="2" t="s">
        <v>11</v>
      </c>
      <c r="M1" s="2" t="s">
        <v>12</v>
      </c>
      <c r="N1" s="2" t="s">
        <v>13</v>
      </c>
      <c r="O1" s="2" t="s">
        <v>14</v>
      </c>
      <c r="P1" s="2" t="s">
        <v>15</v>
      </c>
      <c r="Q1" s="2" t="s">
        <v>16</v>
      </c>
      <c r="R1" s="2" t="s">
        <v>17</v>
      </c>
      <c r="S1" s="1" t="s">
        <v>18</v>
      </c>
      <c r="T1" s="4" t="s">
        <v>19</v>
      </c>
      <c r="U1" s="2" t="s">
        <v>20</v>
      </c>
      <c r="V1" s="2" t="s">
        <v>21</v>
      </c>
      <c r="W1" s="2" t="s">
        <v>22</v>
      </c>
      <c r="X1" s="2" t="s">
        <v>23</v>
      </c>
      <c r="Y1" s="2" t="s">
        <v>24</v>
      </c>
      <c r="Z1" s="2" t="s">
        <v>25</v>
      </c>
      <c r="AA1" s="2" t="s">
        <v>26</v>
      </c>
      <c r="AB1" s="2" t="s">
        <v>27</v>
      </c>
      <c r="AC1" s="2" t="s">
        <v>28</v>
      </c>
      <c r="AD1" s="2" t="s">
        <v>29</v>
      </c>
      <c r="AE1" s="2" t="s">
        <v>30</v>
      </c>
      <c r="AF1" s="2" t="s">
        <v>31</v>
      </c>
      <c r="AG1" s="2" t="s">
        <v>32</v>
      </c>
      <c r="AH1" s="1" t="s">
        <v>33</v>
      </c>
      <c r="AI1" s="4" t="s">
        <v>34</v>
      </c>
      <c r="AJ1" s="2" t="s">
        <v>35</v>
      </c>
      <c r="AK1" s="2" t="s">
        <v>36</v>
      </c>
      <c r="AL1" s="2" t="s">
        <v>37</v>
      </c>
      <c r="AM1" s="2" t="s">
        <v>38</v>
      </c>
      <c r="AN1" s="2" t="s">
        <v>39</v>
      </c>
      <c r="AO1" s="2" t="s">
        <v>40</v>
      </c>
      <c r="AP1" s="2" t="s">
        <v>41</v>
      </c>
      <c r="AQ1" s="2" t="s">
        <v>42</v>
      </c>
      <c r="AR1" s="2" t="s">
        <v>43</v>
      </c>
      <c r="AS1" s="2" t="s">
        <v>44</v>
      </c>
      <c r="AT1" s="5" t="s">
        <v>45</v>
      </c>
      <c r="AU1" s="4" t="s">
        <v>46</v>
      </c>
      <c r="AV1" s="4" t="s">
        <v>47</v>
      </c>
      <c r="AW1" s="4" t="s">
        <v>48</v>
      </c>
      <c r="AX1" s="4" t="s">
        <v>49</v>
      </c>
      <c r="AY1" s="4" t="s">
        <v>50</v>
      </c>
      <c r="AZ1" s="4" t="s">
        <v>51</v>
      </c>
      <c r="BA1" s="4" t="s">
        <v>52</v>
      </c>
      <c r="BB1" s="1" t="s">
        <v>53</v>
      </c>
      <c r="BC1" s="4" t="s">
        <v>54</v>
      </c>
      <c r="BD1" s="1" t="s">
        <v>55</v>
      </c>
      <c r="BE1" s="4" t="s">
        <v>56</v>
      </c>
      <c r="BF1" s="6" t="s">
        <v>57</v>
      </c>
      <c r="BG1" s="7" t="s">
        <v>58</v>
      </c>
      <c r="BH1" s="7" t="s">
        <v>59</v>
      </c>
      <c r="BI1" s="7" t="s">
        <v>60</v>
      </c>
      <c r="BJ1" s="7" t="s">
        <v>61</v>
      </c>
      <c r="BK1" s="7" t="s">
        <v>62</v>
      </c>
      <c r="BL1" s="7" t="s">
        <v>63</v>
      </c>
      <c r="BM1" s="7" t="s">
        <v>64</v>
      </c>
      <c r="BN1" s="1" t="s">
        <v>65</v>
      </c>
      <c r="BO1" s="8" t="s">
        <v>66</v>
      </c>
    </row>
    <row r="2" ht="22.5" customHeight="1">
      <c r="A2" s="9">
        <v>1.0</v>
      </c>
      <c r="B2" s="10">
        <v>46050.65956428241</v>
      </c>
      <c r="C2" s="9" t="s">
        <v>67</v>
      </c>
      <c r="D2" s="9">
        <f t="shared" ref="D2:D367" si="1">IF(C2:C50613="","N/A",IF((C2:C50613="Male"),1,IF(C2:C50613="Female",2,"N/A")))</f>
        <v>1</v>
      </c>
      <c r="E2" s="9" t="s">
        <v>68</v>
      </c>
      <c r="F2" s="9">
        <f t="shared" ref="F2:F367" si="2">IF(E2="Yes",1,IF(E2="No",2,"N/A"))
</f>
        <v>1</v>
      </c>
      <c r="G2" s="9" t="s">
        <v>69</v>
      </c>
      <c r="H2" s="9" t="str">
        <f t="shared" ref="H2:H367" si="3">IF(G2:G50613="","N/A",
   IF((G2:G50613="Urban resident")+(G2:G50613="Semi Urban"),"Urban",
   IF((G2:G50613="Rural resident")+(G2:G50613="Worksite"),"Rural","N/A")))
</f>
        <v>Rural</v>
      </c>
      <c r="I2" s="9">
        <f t="shared" ref="I2:I367" si="4">IF(H2:H50613="N/A","N/A",IF(H2:H50613="Rural", 1, IF(H2:H50613="Urban",2)))</f>
        <v>1</v>
      </c>
      <c r="J2" s="9" t="s">
        <v>70</v>
      </c>
      <c r="K2" s="9" t="str">
        <f t="array" ref="K2:K50613">IF(J2:J50613="","",IF(J2:J50613="Mental activities (studying, reading, writing, using a phone or computer)","Mental",IF(J2:J50613="Physical activities (walking a lot, sports, helping at home or farm)","Physical",IF(J2:J50613="A mix of mental and physical activities","Both",""))))
</f>
        <v>Both</v>
      </c>
      <c r="L2" s="9">
        <f t="shared" ref="L2:L367" si="5">IF(K2:K50613="","N/A",
   IF(K2:K50613="Physical",1,
   IF(K2:K50613="Mental",2,
   IF(K2:K50613="Both",3,"N/A"))))</f>
        <v>3</v>
      </c>
      <c r="M2" s="9" t="s">
        <v>71</v>
      </c>
      <c r="N2" s="9">
        <f t="shared" ref="N2:N367" si="6">IF(M2="0 - 4",2,IF(M2="5 - 6",5.5,IF(M2="7 - 8",7.7,IF(M2="8 or more",9,"N/A"))))
</f>
        <v>7.7</v>
      </c>
      <c r="O2" s="9" t="s">
        <v>72</v>
      </c>
      <c r="P2" s="9">
        <f t="shared" ref="P2:P367" si="7">(IF(O2:O50613="","N/A",IF(O2:O50613="Strongly Disagree",1,IF(O2:O50613="Disagree",2,IF(O2:O50613="Neutral",3 ,IF(O2:O50613="Agree",4 ,IF(O2:O50613="Strongly Agree",5,"N/A")))))))
</f>
        <v>1</v>
      </c>
      <c r="Q2" s="9" t="s">
        <v>73</v>
      </c>
      <c r="R2" s="9">
        <f t="shared" ref="R2:R367" si="8">(IF(Q2:Q50613="","N/A",IF(Q2:Q50613="Strongly Disagree",1,IF(Q2:Q50613="Disagree",2,IF(Q2:Q50613="Neutral",3 ,IF(Q2:Q50613="Agree",4 ,IF(Q2:Q50613="Strongly Agree",5,"N/A")))))))
</f>
        <v>2</v>
      </c>
      <c r="S2" s="9" t="s">
        <v>72</v>
      </c>
      <c r="T2" s="9">
        <f t="shared" ref="T2:T367" si="9">(IF(S2:S50613="","N/A",IF(S2:S50613="Strongly Disagree",1,IF(S2:S50613="Disagree",2,IF(S2:S50613="Neutral",3 ,IF(S2:S50613="Agree",4 ,IF(S2:S50613="Strongly Agree",5,"N/A")))))))
</f>
        <v>1</v>
      </c>
      <c r="U2" s="9" t="s">
        <v>74</v>
      </c>
      <c r="V2" s="9">
        <f t="shared" ref="V2:V367" si="10">IF(U2:U50613="","N/A",IF(U2:U50613="No phone before bed",0,IF(U2:U50613="Less than 30 minutes",0.25,IF(U2:U50613="30 minutes – 1 hour",0.75,IF(U2:U50613="1 - 2 hours",1.5,IF(U2:U50613="2 - 3 hours",2.5,IF(U2:U50613="More than 3 hours",3.5,"N/A")))))))</f>
        <v>1.5</v>
      </c>
      <c r="W2" s="9" t="s">
        <v>75</v>
      </c>
      <c r="X2" s="9">
        <f t="shared" ref="X2:X368" si="11">IF(ISNUMBER(SEARCH("Chatting with friends and family",W2)),1,0)
</f>
        <v>0</v>
      </c>
      <c r="Y2" s="9">
        <f t="shared" ref="Y2:Y368" si="12">IF(ISNUMBER(SEARCH("Watching videos / streaming",W2)),1,0)
</f>
        <v>1</v>
      </c>
      <c r="Z2" s="9">
        <f t="shared" ref="Z2:Z368" si="13">IF(ISNUMBER(SEARCH("Playing games",W2)),1,0)
</f>
        <v>0</v>
      </c>
      <c r="AA2" s="9">
        <f t="shared" ref="AA2:AA368" si="14">IF(ISNUMBER(SEARCH("Working",W2)),1,0)
</f>
        <v>1</v>
      </c>
      <c r="AB2" s="9" t="s">
        <v>72</v>
      </c>
      <c r="AC2" s="9">
        <f t="shared" ref="AC2:AC367" si="15">(IF(AB2:AB50613="","N/A",IF(AB2:AB50613="Strongly Disagree",1,IF(AB2:AB50613="Disagree",2,IF(AB2:AB50613="Neutral",3 ,IF(AB2:AB50613="Agree",4 ,IF(AB2:AB50613="Strongly Agree",5,"N/A")))))))
</f>
        <v>1</v>
      </c>
      <c r="AD2" s="9" t="s">
        <v>73</v>
      </c>
      <c r="AE2" s="9">
        <f t="shared" ref="AE2:AE367" si="16">(IF(AD2:AD50613="","N/A",IF(AD2:AD50613="Strongly Disagree",1,IF(AD2:AD50613="Disagree",2,IF(AD2:AD50613="Neutral",3 ,IF(AD2:AD50613="Agree",4 ,IF(AD2:AD50613="Strongly Agree",5,"N/A")))))))
</f>
        <v>2</v>
      </c>
      <c r="AF2" s="9" t="s">
        <v>76</v>
      </c>
      <c r="AG2" s="9">
        <f t="shared" ref="AG2:AG368" si="17">IF(AF2="0 - 4",2,IF(AF2="5 - 6",5.5,IF(AF2="7 - 8",7.7,IF(AF2="8 or more",9,"N/A"))))
</f>
        <v>5.5</v>
      </c>
      <c r="AH2" s="9" t="s">
        <v>72</v>
      </c>
      <c r="AI2" s="9">
        <f t="shared" ref="AI2:AI367" si="18">(IF(AH2:AH50613="","N/A",IF(AH2:AH50613="Strongly Disagree",1,IF(AH2:AH50613="Disagree",2,IF(AH2:AH50613="Neutral",3 ,IF(AH2:AH50613="Agree",4 ,IF(AH2:AH50613="Strongly Agree",5,"N/A")))))))
</f>
        <v>1</v>
      </c>
      <c r="AJ2" s="9" t="s">
        <v>77</v>
      </c>
      <c r="AK2" s="9">
        <f t="shared" ref="AK2:AK367" si="19">(IF(AJ2:AJ50613="","N/A",IF(AJ2:AJ50613="Strongly Disagree",1,IF(AJ2:AJ50613="Disagree",2,IF(AJ2:AJ50613="Neutral",3 ,IF(AJ2:AJ50613="Agree",4 ,IF(AJ2:AJ50613="Strongly Agree",5,"N/A")))))))
</f>
        <v>1</v>
      </c>
      <c r="AL2" s="9" t="s">
        <v>73</v>
      </c>
      <c r="AM2" s="9">
        <f t="shared" ref="AM2:AM368" si="20">(IF(AL2:AL50613="","N/A",IF(AL2:AL50613="Strongly Disagree",1,IF(AL2:AL50613="Disagree",2,IF(AL2:AL50613="Neutral",3 ,IF(AL2:AL50613="Agree",4 ,IF(AL2:AL50613="Strongly Agree",5,"N/A")))))))
</f>
        <v>2</v>
      </c>
      <c r="AN2" s="9" t="s">
        <v>77</v>
      </c>
      <c r="AO2" s="9">
        <f t="shared" ref="AO2:AO367" si="21">(IF(AN2:AN50613="","N/A",IF(AN2:AN50613="Strongly Disagree",1,IF(AN2:AN50613="Disagree",2,IF(AN2:AN50613="Neutral",3 ,IF(AN2:AN50613="Agree",4 ,IF(AN2:AN50613="Strongly Agree",5,"N/A")))))))
</f>
        <v>1</v>
      </c>
      <c r="AP2" s="9" t="s">
        <v>78</v>
      </c>
      <c r="AQ2" s="9">
        <f t="shared" ref="AQ2:AQ367" si="22">(IF(AP2:AP50613="","N/A",IF(AP2:AP50613="Strongly Disagree",1,IF(AP2:AP50613="Disagree",2,IF(AP2:AP50613="Neutral",3 ,IF(AP2:AP50613="Agree",4 ,IF(AP2:AP50613="Strongly Agree",5,"N/A")))))))
</f>
        <v>3</v>
      </c>
      <c r="AR2" s="9" t="s">
        <v>78</v>
      </c>
      <c r="AS2" s="9">
        <f t="shared" ref="AS2:AS367" si="23">(IF(AR2:AR50613="","N/A",IF(AR2:AR50613="Strongly Disagree",1,IF(AR2:AR50613="Disagree",2,IF(AR2:AR50613="Neutral",3 ,IF(AR2:AR50613="Agree",4 ,IF(AR2:AR50613="Strongly Agree",5,"N/A")))))))
</f>
        <v>3</v>
      </c>
      <c r="AT2" s="9" t="s">
        <v>79</v>
      </c>
      <c r="AU2" s="9">
        <f t="shared" ref="AU2:AU367" si="24">IF(ISNUMBER(SEARCH("Reducing screen use", AT2)), 1, 0)
</f>
        <v>1</v>
      </c>
      <c r="AV2" s="9">
        <f t="shared" ref="AV2:AV367" si="25">IF(ISNUMBER(SEARCH("Going to bed at the same time each night", AT2)), 1, 0)
</f>
        <v>0</v>
      </c>
      <c r="AW2" s="9">
        <f t="shared" ref="AW2:AW367" si="26">IF(ISNUMBER(SEARCH("Avoiding caffeine late in the day", AT2)), 1, 0)
</f>
        <v>1</v>
      </c>
      <c r="AX2" s="9">
        <f t="shared" ref="AX2:AX367" si="27">IF(ISNUMBER(SEARCH("Doing relaxing activities before sleep (reading, breathing, prayer, meditation", AT2)), 1, 0)
</f>
        <v>0</v>
      </c>
      <c r="AY2" s="9">
        <f t="shared" ref="AY2:AY367" si="28">IF(ISNUMBER(SEARCH("Exercising regularly during the day", AT2)), 1, 0)
</f>
        <v>0</v>
      </c>
      <c r="AZ2" s="9">
        <f t="shared" ref="AZ2:AZ367" si="29">IF(ISNUMBER(SEARCH("Creating a quiet and comfortable sleeping environment", AT2)), 1, 0)</f>
        <v>1</v>
      </c>
      <c r="BA2" s="9">
        <f t="shared" ref="BA2:BA367" si="30">IF(ISNUMBER(SEARCH("Using reminders (alarms) for bedtime", AT2)), 1, 0)</f>
        <v>0</v>
      </c>
      <c r="BB2" s="9" t="s">
        <v>68</v>
      </c>
      <c r="BC2" s="9">
        <f t="shared" ref="BC2:BC367" si="31">IF(BB2="Yes",1,IF(BB2="No",2,"N/A"))
</f>
        <v>1</v>
      </c>
      <c r="BD2" s="9" t="s">
        <v>80</v>
      </c>
      <c r="BE2" s="9" t="str">
        <f t="shared" ref="BE2:BE25" si="32">IFS(OR(BD2="Sleeping tracking",BD2="Sleep tracker"),"Sleep tracker app",BD2="Health","Health app",OR(BD2="Samsung Health",BD2="samsung responses"),"Samsung Health app",OR(BD2="Alarm clock",BD2="Alarm"),"Alarm app",BD2="My health app","My health app",BD2="Smartwatch / wearable apps","Wearable app",BD2="HryFine","HryFine app",TRUE,"N/A")
</f>
        <v>Sleep tracker app</v>
      </c>
      <c r="BF2" s="9" t="s">
        <v>81</v>
      </c>
      <c r="BG2" s="9">
        <f t="shared" ref="BG2:BG367" si="33">IF(ISNUMBER(SEARCH("Reminders to reduce screen use before bed", BF2)), 1, 0)
</f>
        <v>1</v>
      </c>
      <c r="BH2" s="9">
        <f t="shared" ref="BH2:BH367" si="34">IF(ISNUMBER(SEARCH("SMS reminders", BF2)), 1, 0)
</f>
        <v>1</v>
      </c>
      <c r="BI2" s="9">
        <f t="shared" ref="BI2:BI367" si="35">IF(ISNUMBER(SEARCH("Tips for better bedtime routines", BF2)), 1, 0)</f>
        <v>0</v>
      </c>
      <c r="BJ2" s="9">
        <f t="shared" ref="BJ2:BJ367" si="36">IF(ISNUMBER(SEARCH("Sleep tracking and sleep reports", BF2)), 1, 0)</f>
        <v>0</v>
      </c>
      <c r="BK2" s="9">
        <f t="shared" ref="BK2:BK367" si="37">IF(ISNUMBER(SEARCH("Relaxation or breathing exercises", BF2)), 1, 0)</f>
        <v>1</v>
      </c>
      <c r="BL2" s="9">
        <f t="shared" ref="BL2:BL367" si="38">IF(ISNUMBER(SEARCH("Education about healthy sleep habits", BF2)), 1, 0)</f>
        <v>1</v>
      </c>
      <c r="BM2" s="9">
        <f t="shared" ref="BM2:BM367" si="39">IF(ISNUMBER(SEARCH("Help managing work and rest schedules", BF2)), 1, 0)</f>
        <v>0</v>
      </c>
      <c r="BN2" s="9" t="s">
        <v>68</v>
      </c>
      <c r="BO2" s="11">
        <f t="shared" ref="BO2:BO367" si="40">IFS(BN2="Yes",1, BN2="No",2, BN2="Maybe",3, BN2="","N/A")
</f>
        <v>1</v>
      </c>
    </row>
    <row r="3" ht="22.5" customHeight="1">
      <c r="A3" s="9">
        <f t="shared" ref="A3:A367" si="41">1+A2</f>
        <v>2</v>
      </c>
      <c r="B3" s="10">
        <v>46050.66038353009</v>
      </c>
      <c r="C3" s="9" t="s">
        <v>67</v>
      </c>
      <c r="D3" s="9">
        <f t="shared" si="1"/>
        <v>1</v>
      </c>
      <c r="E3" s="9" t="s">
        <v>68</v>
      </c>
      <c r="F3" s="9">
        <f t="shared" si="2"/>
        <v>1</v>
      </c>
      <c r="G3" s="9" t="s">
        <v>82</v>
      </c>
      <c r="H3" s="9" t="str">
        <f t="shared" si="3"/>
        <v>Urban</v>
      </c>
      <c r="I3" s="9">
        <f t="shared" si="4"/>
        <v>2</v>
      </c>
      <c r="J3" s="9" t="s">
        <v>83</v>
      </c>
      <c r="K3" s="9" t="s">
        <v>84</v>
      </c>
      <c r="L3" s="9">
        <f t="shared" si="5"/>
        <v>2</v>
      </c>
      <c r="M3" s="9" t="s">
        <v>76</v>
      </c>
      <c r="N3" s="9">
        <f t="shared" si="6"/>
        <v>5.5</v>
      </c>
      <c r="O3" s="9" t="s">
        <v>85</v>
      </c>
      <c r="P3" s="9">
        <f t="shared" si="7"/>
        <v>4</v>
      </c>
      <c r="Q3" s="9" t="s">
        <v>85</v>
      </c>
      <c r="R3" s="9">
        <f t="shared" si="8"/>
        <v>4</v>
      </c>
      <c r="S3" s="9" t="s">
        <v>85</v>
      </c>
      <c r="T3" s="9">
        <f t="shared" si="9"/>
        <v>4</v>
      </c>
      <c r="U3" s="9" t="s">
        <v>74</v>
      </c>
      <c r="V3" s="9">
        <f t="shared" si="10"/>
        <v>1.5</v>
      </c>
      <c r="W3" s="9" t="s">
        <v>86</v>
      </c>
      <c r="X3" s="9">
        <f t="shared" si="11"/>
        <v>1</v>
      </c>
      <c r="Y3" s="9">
        <f t="shared" si="12"/>
        <v>1</v>
      </c>
      <c r="Z3" s="9">
        <f t="shared" si="13"/>
        <v>1</v>
      </c>
      <c r="AA3" s="9">
        <f t="shared" si="14"/>
        <v>0</v>
      </c>
      <c r="AB3" s="9" t="s">
        <v>85</v>
      </c>
      <c r="AC3" s="9">
        <f t="shared" si="15"/>
        <v>4</v>
      </c>
      <c r="AD3" s="9" t="s">
        <v>85</v>
      </c>
      <c r="AE3" s="9">
        <f t="shared" si="16"/>
        <v>4</v>
      </c>
      <c r="AF3" s="9" t="s">
        <v>71</v>
      </c>
      <c r="AG3" s="9">
        <f t="shared" si="17"/>
        <v>7.7</v>
      </c>
      <c r="AH3" s="9" t="s">
        <v>85</v>
      </c>
      <c r="AI3" s="9">
        <f t="shared" si="18"/>
        <v>4</v>
      </c>
      <c r="AJ3" s="9" t="s">
        <v>85</v>
      </c>
      <c r="AK3" s="9">
        <f t="shared" si="19"/>
        <v>4</v>
      </c>
      <c r="AL3" s="9" t="s">
        <v>85</v>
      </c>
      <c r="AM3" s="9">
        <f t="shared" si="20"/>
        <v>4</v>
      </c>
      <c r="AN3" s="9" t="s">
        <v>85</v>
      </c>
      <c r="AO3" s="9">
        <f t="shared" si="21"/>
        <v>4</v>
      </c>
      <c r="AP3" s="9" t="s">
        <v>85</v>
      </c>
      <c r="AQ3" s="9">
        <f t="shared" si="22"/>
        <v>4</v>
      </c>
      <c r="AR3" s="9" t="s">
        <v>85</v>
      </c>
      <c r="AS3" s="9">
        <f t="shared" si="23"/>
        <v>4</v>
      </c>
      <c r="AT3" s="9" t="s">
        <v>87</v>
      </c>
      <c r="AU3" s="9">
        <f t="shared" si="24"/>
        <v>1</v>
      </c>
      <c r="AV3" s="9">
        <f t="shared" si="25"/>
        <v>1</v>
      </c>
      <c r="AW3" s="9">
        <f t="shared" si="26"/>
        <v>0</v>
      </c>
      <c r="AX3" s="9">
        <f t="shared" si="27"/>
        <v>1</v>
      </c>
      <c r="AY3" s="9">
        <f t="shared" si="28"/>
        <v>1</v>
      </c>
      <c r="AZ3" s="9">
        <f t="shared" si="29"/>
        <v>0</v>
      </c>
      <c r="BA3" s="9">
        <f t="shared" si="30"/>
        <v>0</v>
      </c>
      <c r="BB3" s="9" t="s">
        <v>88</v>
      </c>
      <c r="BC3" s="9">
        <f t="shared" si="31"/>
        <v>2</v>
      </c>
      <c r="BD3" s="12"/>
      <c r="BE3" s="9" t="str">
        <f t="shared" si="32"/>
        <v>N/A</v>
      </c>
      <c r="BF3" s="9" t="s">
        <v>89</v>
      </c>
      <c r="BG3" s="9">
        <f t="shared" si="33"/>
        <v>1</v>
      </c>
      <c r="BH3" s="9">
        <f t="shared" si="34"/>
        <v>1</v>
      </c>
      <c r="BI3" s="9">
        <f t="shared" si="35"/>
        <v>1</v>
      </c>
      <c r="BJ3" s="9">
        <f t="shared" si="36"/>
        <v>1</v>
      </c>
      <c r="BK3" s="9">
        <f t="shared" si="37"/>
        <v>1</v>
      </c>
      <c r="BL3" s="9">
        <f t="shared" si="38"/>
        <v>1</v>
      </c>
      <c r="BM3" s="9">
        <f t="shared" si="39"/>
        <v>1</v>
      </c>
      <c r="BN3" s="9" t="s">
        <v>68</v>
      </c>
      <c r="BO3" s="11">
        <f t="shared" si="40"/>
        <v>1</v>
      </c>
    </row>
    <row r="4" ht="22.5" customHeight="1">
      <c r="A4" s="9">
        <f t="shared" si="41"/>
        <v>3</v>
      </c>
      <c r="B4" s="10">
        <v>46050.66050670139</v>
      </c>
      <c r="C4" s="9" t="s">
        <v>90</v>
      </c>
      <c r="D4" s="9">
        <f t="shared" si="1"/>
        <v>2</v>
      </c>
      <c r="E4" s="9" t="s">
        <v>68</v>
      </c>
      <c r="F4" s="9">
        <f t="shared" si="2"/>
        <v>1</v>
      </c>
      <c r="G4" s="9" t="s">
        <v>91</v>
      </c>
      <c r="H4" s="9" t="str">
        <f t="shared" si="3"/>
        <v>Urban</v>
      </c>
      <c r="I4" s="9">
        <f t="shared" si="4"/>
        <v>2</v>
      </c>
      <c r="J4" s="9" t="s">
        <v>83</v>
      </c>
      <c r="K4" s="9" t="s">
        <v>84</v>
      </c>
      <c r="L4" s="9">
        <f t="shared" si="5"/>
        <v>2</v>
      </c>
      <c r="M4" s="9" t="s">
        <v>76</v>
      </c>
      <c r="N4" s="9">
        <f t="shared" si="6"/>
        <v>5.5</v>
      </c>
      <c r="O4" s="9" t="s">
        <v>85</v>
      </c>
      <c r="P4" s="9">
        <f t="shared" si="7"/>
        <v>4</v>
      </c>
      <c r="Q4" s="9" t="s">
        <v>85</v>
      </c>
      <c r="R4" s="9">
        <f t="shared" si="8"/>
        <v>4</v>
      </c>
      <c r="S4" s="9" t="s">
        <v>85</v>
      </c>
      <c r="T4" s="9">
        <f t="shared" si="9"/>
        <v>4</v>
      </c>
      <c r="U4" s="9" t="s">
        <v>92</v>
      </c>
      <c r="V4" s="9">
        <f t="shared" si="10"/>
        <v>3.5</v>
      </c>
      <c r="W4" s="9" t="s">
        <v>93</v>
      </c>
      <c r="X4" s="9">
        <f t="shared" si="11"/>
        <v>0</v>
      </c>
      <c r="Y4" s="9">
        <f t="shared" si="12"/>
        <v>1</v>
      </c>
      <c r="Z4" s="9">
        <f t="shared" si="13"/>
        <v>0</v>
      </c>
      <c r="AA4" s="9">
        <f t="shared" si="14"/>
        <v>0</v>
      </c>
      <c r="AB4" s="9" t="s">
        <v>85</v>
      </c>
      <c r="AC4" s="9">
        <f t="shared" si="15"/>
        <v>4</v>
      </c>
      <c r="AD4" s="9" t="s">
        <v>85</v>
      </c>
      <c r="AE4" s="9">
        <f t="shared" si="16"/>
        <v>4</v>
      </c>
      <c r="AF4" s="9" t="s">
        <v>76</v>
      </c>
      <c r="AG4" s="9">
        <f t="shared" si="17"/>
        <v>5.5</v>
      </c>
      <c r="AH4" s="9" t="s">
        <v>85</v>
      </c>
      <c r="AI4" s="9">
        <f t="shared" si="18"/>
        <v>4</v>
      </c>
      <c r="AJ4" s="9" t="s">
        <v>73</v>
      </c>
      <c r="AK4" s="9">
        <f t="shared" si="19"/>
        <v>2</v>
      </c>
      <c r="AL4" s="9" t="s">
        <v>85</v>
      </c>
      <c r="AM4" s="9">
        <f t="shared" si="20"/>
        <v>4</v>
      </c>
      <c r="AN4" s="9" t="s">
        <v>85</v>
      </c>
      <c r="AO4" s="9">
        <f t="shared" si="21"/>
        <v>4</v>
      </c>
      <c r="AP4" s="9" t="s">
        <v>85</v>
      </c>
      <c r="AQ4" s="9">
        <f t="shared" si="22"/>
        <v>4</v>
      </c>
      <c r="AR4" s="9" t="s">
        <v>85</v>
      </c>
      <c r="AS4" s="9">
        <f t="shared" si="23"/>
        <v>4</v>
      </c>
      <c r="AT4" s="9" t="s">
        <v>94</v>
      </c>
      <c r="AU4" s="9">
        <f t="shared" si="24"/>
        <v>0</v>
      </c>
      <c r="AV4" s="9">
        <f t="shared" si="25"/>
        <v>0</v>
      </c>
      <c r="AW4" s="9">
        <f t="shared" si="26"/>
        <v>1</v>
      </c>
      <c r="AX4" s="9">
        <f t="shared" si="27"/>
        <v>0</v>
      </c>
      <c r="AY4" s="9">
        <f t="shared" si="28"/>
        <v>0</v>
      </c>
      <c r="AZ4" s="9">
        <f t="shared" si="29"/>
        <v>1</v>
      </c>
      <c r="BA4" s="9">
        <f t="shared" si="30"/>
        <v>0</v>
      </c>
      <c r="BB4" s="9" t="s">
        <v>88</v>
      </c>
      <c r="BC4" s="9">
        <f t="shared" si="31"/>
        <v>2</v>
      </c>
      <c r="BD4" s="12"/>
      <c r="BE4" s="9" t="str">
        <f t="shared" si="32"/>
        <v>N/A</v>
      </c>
      <c r="BF4" s="9" t="s">
        <v>95</v>
      </c>
      <c r="BG4" s="9">
        <f t="shared" si="33"/>
        <v>1</v>
      </c>
      <c r="BH4" s="9">
        <f t="shared" si="34"/>
        <v>0</v>
      </c>
      <c r="BI4" s="9">
        <f t="shared" si="35"/>
        <v>1</v>
      </c>
      <c r="BJ4" s="9">
        <f t="shared" si="36"/>
        <v>1</v>
      </c>
      <c r="BK4" s="9">
        <f t="shared" si="37"/>
        <v>0</v>
      </c>
      <c r="BL4" s="9">
        <f t="shared" si="38"/>
        <v>0</v>
      </c>
      <c r="BM4" s="9">
        <f t="shared" si="39"/>
        <v>0</v>
      </c>
      <c r="BN4" s="9" t="s">
        <v>68</v>
      </c>
      <c r="BO4" s="11">
        <f t="shared" si="40"/>
        <v>1</v>
      </c>
    </row>
    <row r="5" ht="22.5" customHeight="1">
      <c r="A5" s="9">
        <f t="shared" si="41"/>
        <v>4</v>
      </c>
      <c r="B5" s="10">
        <v>46050.66072056713</v>
      </c>
      <c r="C5" s="9" t="s">
        <v>90</v>
      </c>
      <c r="D5" s="9">
        <f t="shared" si="1"/>
        <v>2</v>
      </c>
      <c r="E5" s="9" t="s">
        <v>68</v>
      </c>
      <c r="F5" s="9">
        <f t="shared" si="2"/>
        <v>1</v>
      </c>
      <c r="G5" s="9" t="s">
        <v>91</v>
      </c>
      <c r="H5" s="9" t="str">
        <f t="shared" si="3"/>
        <v>Urban</v>
      </c>
      <c r="I5" s="9">
        <f t="shared" si="4"/>
        <v>2</v>
      </c>
      <c r="J5" s="9" t="s">
        <v>83</v>
      </c>
      <c r="K5" s="9" t="s">
        <v>84</v>
      </c>
      <c r="L5" s="9">
        <f t="shared" si="5"/>
        <v>2</v>
      </c>
      <c r="M5" s="9" t="s">
        <v>71</v>
      </c>
      <c r="N5" s="9">
        <f t="shared" si="6"/>
        <v>7.7</v>
      </c>
      <c r="O5" s="9" t="s">
        <v>73</v>
      </c>
      <c r="P5" s="9">
        <f t="shared" si="7"/>
        <v>2</v>
      </c>
      <c r="Q5" s="9" t="s">
        <v>85</v>
      </c>
      <c r="R5" s="9">
        <f t="shared" si="8"/>
        <v>4</v>
      </c>
      <c r="S5" s="9" t="s">
        <v>73</v>
      </c>
      <c r="T5" s="9">
        <f t="shared" si="9"/>
        <v>2</v>
      </c>
      <c r="U5" s="9" t="s">
        <v>96</v>
      </c>
      <c r="V5" s="9">
        <f t="shared" si="10"/>
        <v>2.5</v>
      </c>
      <c r="W5" s="9" t="s">
        <v>97</v>
      </c>
      <c r="X5" s="9">
        <f t="shared" si="11"/>
        <v>1</v>
      </c>
      <c r="Y5" s="9">
        <f t="shared" si="12"/>
        <v>0</v>
      </c>
      <c r="Z5" s="9">
        <f t="shared" si="13"/>
        <v>1</v>
      </c>
      <c r="AA5" s="9">
        <f t="shared" si="14"/>
        <v>0</v>
      </c>
      <c r="AB5" s="9" t="s">
        <v>85</v>
      </c>
      <c r="AC5" s="9">
        <f t="shared" si="15"/>
        <v>4</v>
      </c>
      <c r="AD5" s="9" t="s">
        <v>85</v>
      </c>
      <c r="AE5" s="9">
        <f t="shared" si="16"/>
        <v>4</v>
      </c>
      <c r="AF5" s="9" t="s">
        <v>71</v>
      </c>
      <c r="AG5" s="9">
        <f t="shared" si="17"/>
        <v>7.7</v>
      </c>
      <c r="AH5" s="9" t="s">
        <v>85</v>
      </c>
      <c r="AI5" s="9">
        <f t="shared" si="18"/>
        <v>4</v>
      </c>
      <c r="AJ5" s="9" t="s">
        <v>73</v>
      </c>
      <c r="AK5" s="9">
        <f t="shared" si="19"/>
        <v>2</v>
      </c>
      <c r="AL5" s="9" t="s">
        <v>73</v>
      </c>
      <c r="AM5" s="9">
        <f t="shared" si="20"/>
        <v>2</v>
      </c>
      <c r="AN5" s="9" t="s">
        <v>73</v>
      </c>
      <c r="AO5" s="9">
        <f t="shared" si="21"/>
        <v>2</v>
      </c>
      <c r="AP5" s="9" t="s">
        <v>85</v>
      </c>
      <c r="AQ5" s="9">
        <f t="shared" si="22"/>
        <v>4</v>
      </c>
      <c r="AR5" s="9" t="s">
        <v>85</v>
      </c>
      <c r="AS5" s="9">
        <f t="shared" si="23"/>
        <v>4</v>
      </c>
      <c r="AT5" s="9" t="s">
        <v>98</v>
      </c>
      <c r="AU5" s="9">
        <f t="shared" si="24"/>
        <v>0</v>
      </c>
      <c r="AV5" s="9">
        <f t="shared" si="25"/>
        <v>1</v>
      </c>
      <c r="AW5" s="9">
        <f t="shared" si="26"/>
        <v>0</v>
      </c>
      <c r="AX5" s="9">
        <f t="shared" si="27"/>
        <v>0</v>
      </c>
      <c r="AY5" s="9">
        <f t="shared" si="28"/>
        <v>0</v>
      </c>
      <c r="AZ5" s="9">
        <f t="shared" si="29"/>
        <v>1</v>
      </c>
      <c r="BA5" s="9">
        <f t="shared" si="30"/>
        <v>0</v>
      </c>
      <c r="BB5" s="9" t="s">
        <v>68</v>
      </c>
      <c r="BC5" s="9">
        <f t="shared" si="31"/>
        <v>1</v>
      </c>
      <c r="BD5" s="9" t="s">
        <v>99</v>
      </c>
      <c r="BE5" s="9" t="str">
        <f t="shared" si="32"/>
        <v>Health app</v>
      </c>
      <c r="BF5" s="9" t="s">
        <v>95</v>
      </c>
      <c r="BG5" s="9">
        <f t="shared" si="33"/>
        <v>1</v>
      </c>
      <c r="BH5" s="9">
        <f t="shared" si="34"/>
        <v>0</v>
      </c>
      <c r="BI5" s="9">
        <f t="shared" si="35"/>
        <v>1</v>
      </c>
      <c r="BJ5" s="9">
        <f t="shared" si="36"/>
        <v>1</v>
      </c>
      <c r="BK5" s="9">
        <f t="shared" si="37"/>
        <v>0</v>
      </c>
      <c r="BL5" s="9">
        <f t="shared" si="38"/>
        <v>0</v>
      </c>
      <c r="BM5" s="9">
        <f t="shared" si="39"/>
        <v>0</v>
      </c>
      <c r="BN5" s="9" t="s">
        <v>68</v>
      </c>
      <c r="BO5" s="11">
        <f t="shared" si="40"/>
        <v>1</v>
      </c>
    </row>
    <row r="6" ht="22.5" customHeight="1">
      <c r="A6" s="9">
        <f t="shared" si="41"/>
        <v>5</v>
      </c>
      <c r="B6" s="10">
        <v>46050.6610853125</v>
      </c>
      <c r="C6" s="9" t="s">
        <v>67</v>
      </c>
      <c r="D6" s="9">
        <f t="shared" si="1"/>
        <v>1</v>
      </c>
      <c r="E6" s="9" t="s">
        <v>68</v>
      </c>
      <c r="F6" s="9">
        <f t="shared" si="2"/>
        <v>1</v>
      </c>
      <c r="G6" s="9" t="s">
        <v>91</v>
      </c>
      <c r="H6" s="9" t="str">
        <f t="shared" si="3"/>
        <v>Urban</v>
      </c>
      <c r="I6" s="9">
        <f t="shared" si="4"/>
        <v>2</v>
      </c>
      <c r="J6" s="9" t="s">
        <v>70</v>
      </c>
      <c r="K6" s="9" t="s">
        <v>100</v>
      </c>
      <c r="L6" s="9">
        <f t="shared" si="5"/>
        <v>3</v>
      </c>
      <c r="M6" s="9" t="s">
        <v>101</v>
      </c>
      <c r="N6" s="9">
        <f t="shared" si="6"/>
        <v>2</v>
      </c>
      <c r="O6" s="9" t="s">
        <v>73</v>
      </c>
      <c r="P6" s="9">
        <f t="shared" si="7"/>
        <v>2</v>
      </c>
      <c r="Q6" s="9" t="s">
        <v>73</v>
      </c>
      <c r="R6" s="9">
        <f t="shared" si="8"/>
        <v>2</v>
      </c>
      <c r="S6" s="9" t="s">
        <v>73</v>
      </c>
      <c r="T6" s="9">
        <f t="shared" si="9"/>
        <v>2</v>
      </c>
      <c r="U6" s="9" t="s">
        <v>74</v>
      </c>
      <c r="V6" s="9">
        <f t="shared" si="10"/>
        <v>1.5</v>
      </c>
      <c r="W6" s="9" t="s">
        <v>102</v>
      </c>
      <c r="X6" s="9">
        <f t="shared" si="11"/>
        <v>1</v>
      </c>
      <c r="Y6" s="9">
        <f t="shared" si="12"/>
        <v>1</v>
      </c>
      <c r="Z6" s="9">
        <f t="shared" si="13"/>
        <v>1</v>
      </c>
      <c r="AA6" s="9">
        <f t="shared" si="14"/>
        <v>1</v>
      </c>
      <c r="AB6" s="9" t="s">
        <v>73</v>
      </c>
      <c r="AC6" s="9">
        <f t="shared" si="15"/>
        <v>2</v>
      </c>
      <c r="AD6" s="9" t="s">
        <v>73</v>
      </c>
      <c r="AE6" s="9">
        <f t="shared" si="16"/>
        <v>2</v>
      </c>
      <c r="AF6" s="9" t="s">
        <v>71</v>
      </c>
      <c r="AG6" s="9">
        <f t="shared" si="17"/>
        <v>7.7</v>
      </c>
      <c r="AH6" s="9" t="s">
        <v>103</v>
      </c>
      <c r="AI6" s="9">
        <f t="shared" si="18"/>
        <v>5</v>
      </c>
      <c r="AJ6" s="9" t="s">
        <v>78</v>
      </c>
      <c r="AK6" s="9">
        <f t="shared" si="19"/>
        <v>3</v>
      </c>
      <c r="AL6" s="9" t="s">
        <v>73</v>
      </c>
      <c r="AM6" s="9">
        <f t="shared" si="20"/>
        <v>2</v>
      </c>
      <c r="AN6" s="9" t="s">
        <v>85</v>
      </c>
      <c r="AO6" s="9">
        <f t="shared" si="21"/>
        <v>4</v>
      </c>
      <c r="AP6" s="9" t="s">
        <v>77</v>
      </c>
      <c r="AQ6" s="9">
        <f t="shared" si="22"/>
        <v>1</v>
      </c>
      <c r="AR6" s="9" t="s">
        <v>85</v>
      </c>
      <c r="AS6" s="9">
        <f t="shared" si="23"/>
        <v>4</v>
      </c>
      <c r="AT6" s="9" t="s">
        <v>104</v>
      </c>
      <c r="AU6" s="9">
        <f t="shared" si="24"/>
        <v>1</v>
      </c>
      <c r="AV6" s="9">
        <f t="shared" si="25"/>
        <v>1</v>
      </c>
      <c r="AW6" s="9">
        <f t="shared" si="26"/>
        <v>1</v>
      </c>
      <c r="AX6" s="9">
        <f t="shared" si="27"/>
        <v>1</v>
      </c>
      <c r="AY6" s="9">
        <f t="shared" si="28"/>
        <v>1</v>
      </c>
      <c r="AZ6" s="9">
        <f t="shared" si="29"/>
        <v>1</v>
      </c>
      <c r="BA6" s="9">
        <f t="shared" si="30"/>
        <v>1</v>
      </c>
      <c r="BB6" s="9" t="s">
        <v>88</v>
      </c>
      <c r="BC6" s="9">
        <f t="shared" si="31"/>
        <v>2</v>
      </c>
      <c r="BD6" s="12"/>
      <c r="BE6" s="9" t="str">
        <f t="shared" si="32"/>
        <v>N/A</v>
      </c>
      <c r="BF6" s="9" t="s">
        <v>89</v>
      </c>
      <c r="BG6" s="9">
        <f t="shared" si="33"/>
        <v>1</v>
      </c>
      <c r="BH6" s="9">
        <f t="shared" si="34"/>
        <v>1</v>
      </c>
      <c r="BI6" s="9">
        <f t="shared" si="35"/>
        <v>1</v>
      </c>
      <c r="BJ6" s="9">
        <f t="shared" si="36"/>
        <v>1</v>
      </c>
      <c r="BK6" s="9">
        <f t="shared" si="37"/>
        <v>1</v>
      </c>
      <c r="BL6" s="9">
        <f t="shared" si="38"/>
        <v>1</v>
      </c>
      <c r="BM6" s="9">
        <f t="shared" si="39"/>
        <v>1</v>
      </c>
      <c r="BN6" s="9" t="s">
        <v>68</v>
      </c>
      <c r="BO6" s="11">
        <f t="shared" si="40"/>
        <v>1</v>
      </c>
    </row>
    <row r="7" ht="22.5" customHeight="1">
      <c r="A7" s="9">
        <f t="shared" si="41"/>
        <v>6</v>
      </c>
      <c r="B7" s="10">
        <v>46050.661090277776</v>
      </c>
      <c r="C7" s="9" t="s">
        <v>90</v>
      </c>
      <c r="D7" s="9">
        <f t="shared" si="1"/>
        <v>2</v>
      </c>
      <c r="E7" s="9" t="s">
        <v>68</v>
      </c>
      <c r="F7" s="9">
        <f t="shared" si="2"/>
        <v>1</v>
      </c>
      <c r="G7" s="9" t="s">
        <v>91</v>
      </c>
      <c r="H7" s="9" t="str">
        <f t="shared" si="3"/>
        <v>Urban</v>
      </c>
      <c r="I7" s="9">
        <f t="shared" si="4"/>
        <v>2</v>
      </c>
      <c r="J7" s="9" t="s">
        <v>83</v>
      </c>
      <c r="K7" s="9" t="s">
        <v>84</v>
      </c>
      <c r="L7" s="9">
        <f t="shared" si="5"/>
        <v>2</v>
      </c>
      <c r="M7" s="9" t="s">
        <v>71</v>
      </c>
      <c r="N7" s="9">
        <f t="shared" si="6"/>
        <v>7.7</v>
      </c>
      <c r="O7" s="9" t="s">
        <v>73</v>
      </c>
      <c r="P7" s="9">
        <f t="shared" si="7"/>
        <v>2</v>
      </c>
      <c r="Q7" s="9" t="s">
        <v>78</v>
      </c>
      <c r="R7" s="9">
        <f t="shared" si="8"/>
        <v>3</v>
      </c>
      <c r="S7" s="9" t="s">
        <v>78</v>
      </c>
      <c r="T7" s="9">
        <f t="shared" si="9"/>
        <v>3</v>
      </c>
      <c r="U7" s="9" t="s">
        <v>92</v>
      </c>
      <c r="V7" s="9">
        <f t="shared" si="10"/>
        <v>3.5</v>
      </c>
      <c r="W7" s="9" t="s">
        <v>105</v>
      </c>
      <c r="X7" s="9">
        <f t="shared" si="11"/>
        <v>1</v>
      </c>
      <c r="Y7" s="9">
        <f t="shared" si="12"/>
        <v>1</v>
      </c>
      <c r="Z7" s="9">
        <f t="shared" si="13"/>
        <v>0</v>
      </c>
      <c r="AA7" s="9">
        <f t="shared" si="14"/>
        <v>0</v>
      </c>
      <c r="AB7" s="9" t="s">
        <v>73</v>
      </c>
      <c r="AC7" s="9">
        <f t="shared" si="15"/>
        <v>2</v>
      </c>
      <c r="AD7" s="9" t="s">
        <v>85</v>
      </c>
      <c r="AE7" s="9">
        <f t="shared" si="16"/>
        <v>4</v>
      </c>
      <c r="AF7" s="9" t="s">
        <v>76</v>
      </c>
      <c r="AG7" s="9">
        <f t="shared" si="17"/>
        <v>5.5</v>
      </c>
      <c r="AH7" s="9" t="s">
        <v>78</v>
      </c>
      <c r="AI7" s="9">
        <f t="shared" si="18"/>
        <v>3</v>
      </c>
      <c r="AJ7" s="9" t="s">
        <v>73</v>
      </c>
      <c r="AK7" s="9">
        <f t="shared" si="19"/>
        <v>2</v>
      </c>
      <c r="AL7" s="9" t="s">
        <v>85</v>
      </c>
      <c r="AM7" s="9">
        <f t="shared" si="20"/>
        <v>4</v>
      </c>
      <c r="AN7" s="9" t="s">
        <v>85</v>
      </c>
      <c r="AO7" s="9">
        <f t="shared" si="21"/>
        <v>4</v>
      </c>
      <c r="AP7" s="9" t="s">
        <v>78</v>
      </c>
      <c r="AQ7" s="9">
        <f t="shared" si="22"/>
        <v>3</v>
      </c>
      <c r="AR7" s="9" t="s">
        <v>73</v>
      </c>
      <c r="AS7" s="9">
        <f t="shared" si="23"/>
        <v>2</v>
      </c>
      <c r="AT7" s="9" t="s">
        <v>106</v>
      </c>
      <c r="AU7" s="9">
        <f t="shared" si="24"/>
        <v>0</v>
      </c>
      <c r="AV7" s="9">
        <f t="shared" si="25"/>
        <v>0</v>
      </c>
      <c r="AW7" s="9">
        <f t="shared" si="26"/>
        <v>1</v>
      </c>
      <c r="AX7" s="9">
        <f t="shared" si="27"/>
        <v>0</v>
      </c>
      <c r="AY7" s="9">
        <f t="shared" si="28"/>
        <v>0</v>
      </c>
      <c r="AZ7" s="9">
        <f t="shared" si="29"/>
        <v>1</v>
      </c>
      <c r="BA7" s="9">
        <f t="shared" si="30"/>
        <v>0</v>
      </c>
      <c r="BB7" s="9" t="s">
        <v>88</v>
      </c>
      <c r="BC7" s="9">
        <f t="shared" si="31"/>
        <v>2</v>
      </c>
      <c r="BD7" s="12"/>
      <c r="BE7" s="9" t="str">
        <f t="shared" si="32"/>
        <v>N/A</v>
      </c>
      <c r="BF7" s="9" t="s">
        <v>107</v>
      </c>
      <c r="BG7" s="9">
        <f t="shared" si="33"/>
        <v>1</v>
      </c>
      <c r="BH7" s="9">
        <f t="shared" si="34"/>
        <v>0</v>
      </c>
      <c r="BI7" s="9">
        <f t="shared" si="35"/>
        <v>0</v>
      </c>
      <c r="BJ7" s="9">
        <f t="shared" si="36"/>
        <v>0</v>
      </c>
      <c r="BK7" s="9">
        <f t="shared" si="37"/>
        <v>0</v>
      </c>
      <c r="BL7" s="9">
        <f t="shared" si="38"/>
        <v>0</v>
      </c>
      <c r="BM7" s="9">
        <f t="shared" si="39"/>
        <v>0</v>
      </c>
      <c r="BN7" s="9" t="s">
        <v>108</v>
      </c>
      <c r="BO7" s="11">
        <f t="shared" si="40"/>
        <v>3</v>
      </c>
    </row>
    <row r="8" ht="22.5" customHeight="1">
      <c r="A8" s="9">
        <f t="shared" si="41"/>
        <v>7</v>
      </c>
      <c r="B8" s="10">
        <v>46050.661189756946</v>
      </c>
      <c r="C8" s="9" t="s">
        <v>90</v>
      </c>
      <c r="D8" s="9">
        <f t="shared" si="1"/>
        <v>2</v>
      </c>
      <c r="E8" s="9" t="s">
        <v>68</v>
      </c>
      <c r="F8" s="9">
        <f t="shared" si="2"/>
        <v>1</v>
      </c>
      <c r="G8" s="9" t="s">
        <v>91</v>
      </c>
      <c r="H8" s="9" t="str">
        <f t="shared" si="3"/>
        <v>Urban</v>
      </c>
      <c r="I8" s="9">
        <f t="shared" si="4"/>
        <v>2</v>
      </c>
      <c r="J8" s="9" t="s">
        <v>83</v>
      </c>
      <c r="K8" s="9" t="s">
        <v>84</v>
      </c>
      <c r="L8" s="9">
        <f t="shared" si="5"/>
        <v>2</v>
      </c>
      <c r="M8" s="9" t="s">
        <v>109</v>
      </c>
      <c r="N8" s="9">
        <f t="shared" si="6"/>
        <v>9</v>
      </c>
      <c r="O8" s="9" t="s">
        <v>72</v>
      </c>
      <c r="P8" s="9">
        <f t="shared" si="7"/>
        <v>1</v>
      </c>
      <c r="Q8" s="9" t="s">
        <v>103</v>
      </c>
      <c r="R8" s="9">
        <f t="shared" si="8"/>
        <v>5</v>
      </c>
      <c r="S8" s="9" t="s">
        <v>72</v>
      </c>
      <c r="T8" s="9">
        <f t="shared" si="9"/>
        <v>1</v>
      </c>
      <c r="U8" s="9" t="s">
        <v>110</v>
      </c>
      <c r="V8" s="9">
        <f t="shared" si="10"/>
        <v>0.75</v>
      </c>
      <c r="W8" s="9" t="s">
        <v>111</v>
      </c>
      <c r="X8" s="9">
        <f t="shared" si="11"/>
        <v>1</v>
      </c>
      <c r="Y8" s="9">
        <f t="shared" si="12"/>
        <v>1</v>
      </c>
      <c r="Z8" s="9">
        <f t="shared" si="13"/>
        <v>0</v>
      </c>
      <c r="AA8" s="9">
        <f t="shared" si="14"/>
        <v>1</v>
      </c>
      <c r="AB8" s="9" t="s">
        <v>72</v>
      </c>
      <c r="AC8" s="9">
        <f t="shared" si="15"/>
        <v>1</v>
      </c>
      <c r="AD8" s="9" t="s">
        <v>72</v>
      </c>
      <c r="AE8" s="9">
        <f t="shared" si="16"/>
        <v>1</v>
      </c>
      <c r="AF8" s="9" t="s">
        <v>71</v>
      </c>
      <c r="AG8" s="9">
        <f t="shared" si="17"/>
        <v>7.7</v>
      </c>
      <c r="AH8" s="9" t="s">
        <v>103</v>
      </c>
      <c r="AI8" s="9">
        <f t="shared" si="18"/>
        <v>5</v>
      </c>
      <c r="AJ8" s="9" t="s">
        <v>77</v>
      </c>
      <c r="AK8" s="9">
        <f t="shared" si="19"/>
        <v>1</v>
      </c>
      <c r="AL8" s="9" t="s">
        <v>85</v>
      </c>
      <c r="AM8" s="9">
        <f t="shared" si="20"/>
        <v>4</v>
      </c>
      <c r="AN8" s="9" t="s">
        <v>85</v>
      </c>
      <c r="AO8" s="9">
        <f t="shared" si="21"/>
        <v>4</v>
      </c>
      <c r="AP8" s="9" t="s">
        <v>85</v>
      </c>
      <c r="AQ8" s="9">
        <f t="shared" si="22"/>
        <v>4</v>
      </c>
      <c r="AR8" s="9" t="s">
        <v>85</v>
      </c>
      <c r="AS8" s="9">
        <f t="shared" si="23"/>
        <v>4</v>
      </c>
      <c r="AT8" s="9" t="s">
        <v>112</v>
      </c>
      <c r="AU8" s="9">
        <f t="shared" si="24"/>
        <v>0</v>
      </c>
      <c r="AV8" s="9">
        <f t="shared" si="25"/>
        <v>0</v>
      </c>
      <c r="AW8" s="9">
        <f t="shared" si="26"/>
        <v>0</v>
      </c>
      <c r="AX8" s="9">
        <f t="shared" si="27"/>
        <v>0</v>
      </c>
      <c r="AY8" s="9">
        <f t="shared" si="28"/>
        <v>1</v>
      </c>
      <c r="AZ8" s="9">
        <f t="shared" si="29"/>
        <v>1</v>
      </c>
      <c r="BA8" s="9">
        <f t="shared" si="30"/>
        <v>0</v>
      </c>
      <c r="BB8" s="9" t="s">
        <v>88</v>
      </c>
      <c r="BC8" s="9">
        <f t="shared" si="31"/>
        <v>2</v>
      </c>
      <c r="BD8" s="12"/>
      <c r="BE8" s="9" t="str">
        <f t="shared" si="32"/>
        <v>N/A</v>
      </c>
      <c r="BF8" s="9" t="s">
        <v>113</v>
      </c>
      <c r="BG8" s="9">
        <f t="shared" si="33"/>
        <v>0</v>
      </c>
      <c r="BH8" s="9">
        <f t="shared" si="34"/>
        <v>0</v>
      </c>
      <c r="BI8" s="9">
        <f t="shared" si="35"/>
        <v>0</v>
      </c>
      <c r="BJ8" s="9">
        <f t="shared" si="36"/>
        <v>0</v>
      </c>
      <c r="BK8" s="9">
        <f t="shared" si="37"/>
        <v>0</v>
      </c>
      <c r="BL8" s="9">
        <f t="shared" si="38"/>
        <v>0</v>
      </c>
      <c r="BM8" s="9">
        <f t="shared" si="39"/>
        <v>1</v>
      </c>
      <c r="BN8" s="9" t="s">
        <v>68</v>
      </c>
      <c r="BO8" s="11">
        <f t="shared" si="40"/>
        <v>1</v>
      </c>
    </row>
    <row r="9" ht="22.5" customHeight="1">
      <c r="A9" s="9">
        <f t="shared" si="41"/>
        <v>8</v>
      </c>
      <c r="B9" s="10">
        <v>46050.6617280787</v>
      </c>
      <c r="C9" s="9" t="s">
        <v>90</v>
      </c>
      <c r="D9" s="9">
        <f t="shared" si="1"/>
        <v>2</v>
      </c>
      <c r="E9" s="9" t="s">
        <v>68</v>
      </c>
      <c r="F9" s="9">
        <f t="shared" si="2"/>
        <v>1</v>
      </c>
      <c r="G9" s="9" t="s">
        <v>91</v>
      </c>
      <c r="H9" s="9" t="str">
        <f t="shared" si="3"/>
        <v>Urban</v>
      </c>
      <c r="I9" s="9">
        <f t="shared" si="4"/>
        <v>2</v>
      </c>
      <c r="J9" s="9" t="s">
        <v>70</v>
      </c>
      <c r="K9" s="9" t="s">
        <v>100</v>
      </c>
      <c r="L9" s="9">
        <f t="shared" si="5"/>
        <v>3</v>
      </c>
      <c r="M9" s="9" t="s">
        <v>71</v>
      </c>
      <c r="N9" s="9">
        <f t="shared" si="6"/>
        <v>7.7</v>
      </c>
      <c r="O9" s="9" t="s">
        <v>85</v>
      </c>
      <c r="P9" s="9">
        <f t="shared" si="7"/>
        <v>4</v>
      </c>
      <c r="Q9" s="9" t="s">
        <v>85</v>
      </c>
      <c r="R9" s="9">
        <f t="shared" si="8"/>
        <v>4</v>
      </c>
      <c r="S9" s="9" t="s">
        <v>103</v>
      </c>
      <c r="T9" s="9">
        <f t="shared" si="9"/>
        <v>5</v>
      </c>
      <c r="U9" s="9" t="s">
        <v>74</v>
      </c>
      <c r="V9" s="9">
        <f t="shared" si="10"/>
        <v>1.5</v>
      </c>
      <c r="W9" s="9" t="s">
        <v>105</v>
      </c>
      <c r="X9" s="9">
        <f t="shared" si="11"/>
        <v>1</v>
      </c>
      <c r="Y9" s="9">
        <f t="shared" si="12"/>
        <v>1</v>
      </c>
      <c r="Z9" s="9">
        <f t="shared" si="13"/>
        <v>0</v>
      </c>
      <c r="AA9" s="9">
        <f t="shared" si="14"/>
        <v>0</v>
      </c>
      <c r="AB9" s="9" t="s">
        <v>103</v>
      </c>
      <c r="AC9" s="9">
        <f t="shared" si="15"/>
        <v>5</v>
      </c>
      <c r="AD9" s="9" t="s">
        <v>103</v>
      </c>
      <c r="AE9" s="9">
        <f t="shared" si="16"/>
        <v>5</v>
      </c>
      <c r="AF9" s="9" t="s">
        <v>71</v>
      </c>
      <c r="AG9" s="9">
        <f t="shared" si="17"/>
        <v>7.7</v>
      </c>
      <c r="AH9" s="9" t="s">
        <v>73</v>
      </c>
      <c r="AI9" s="9">
        <f t="shared" si="18"/>
        <v>2</v>
      </c>
      <c r="AJ9" s="9" t="s">
        <v>73</v>
      </c>
      <c r="AK9" s="9">
        <f t="shared" si="19"/>
        <v>2</v>
      </c>
      <c r="AL9" s="9" t="s">
        <v>77</v>
      </c>
      <c r="AM9" s="9">
        <f t="shared" si="20"/>
        <v>1</v>
      </c>
      <c r="AN9" s="9" t="s">
        <v>73</v>
      </c>
      <c r="AO9" s="9">
        <f t="shared" si="21"/>
        <v>2</v>
      </c>
      <c r="AP9" s="9" t="s">
        <v>73</v>
      </c>
      <c r="AQ9" s="9">
        <f t="shared" si="22"/>
        <v>2</v>
      </c>
      <c r="AR9" s="9" t="s">
        <v>73</v>
      </c>
      <c r="AS9" s="9">
        <f t="shared" si="23"/>
        <v>2</v>
      </c>
      <c r="AT9" s="9" t="s">
        <v>114</v>
      </c>
      <c r="AU9" s="9">
        <f t="shared" si="24"/>
        <v>1</v>
      </c>
      <c r="AV9" s="9">
        <f t="shared" si="25"/>
        <v>1</v>
      </c>
      <c r="AW9" s="9">
        <f t="shared" si="26"/>
        <v>1</v>
      </c>
      <c r="AX9" s="9">
        <f t="shared" si="27"/>
        <v>1</v>
      </c>
      <c r="AY9" s="9">
        <f t="shared" si="28"/>
        <v>0</v>
      </c>
      <c r="AZ9" s="9">
        <f t="shared" si="29"/>
        <v>1</v>
      </c>
      <c r="BA9" s="9">
        <f t="shared" si="30"/>
        <v>0</v>
      </c>
      <c r="BB9" s="9" t="s">
        <v>88</v>
      </c>
      <c r="BC9" s="9">
        <f t="shared" si="31"/>
        <v>2</v>
      </c>
      <c r="BD9" s="12"/>
      <c r="BE9" s="9" t="str">
        <f t="shared" si="32"/>
        <v>N/A</v>
      </c>
      <c r="BF9" s="9" t="s">
        <v>115</v>
      </c>
      <c r="BG9" s="9">
        <f t="shared" si="33"/>
        <v>1</v>
      </c>
      <c r="BH9" s="9">
        <f t="shared" si="34"/>
        <v>0</v>
      </c>
      <c r="BI9" s="9">
        <f t="shared" si="35"/>
        <v>1</v>
      </c>
      <c r="BJ9" s="9">
        <f t="shared" si="36"/>
        <v>1</v>
      </c>
      <c r="BK9" s="9">
        <f t="shared" si="37"/>
        <v>0</v>
      </c>
      <c r="BL9" s="9">
        <f t="shared" si="38"/>
        <v>1</v>
      </c>
      <c r="BM9" s="9">
        <f t="shared" si="39"/>
        <v>0</v>
      </c>
      <c r="BN9" s="9" t="s">
        <v>68</v>
      </c>
      <c r="BO9" s="11">
        <f t="shared" si="40"/>
        <v>1</v>
      </c>
    </row>
    <row r="10" ht="22.5" customHeight="1">
      <c r="A10" s="9">
        <f t="shared" si="41"/>
        <v>9</v>
      </c>
      <c r="B10" s="10">
        <v>46050.664325254635</v>
      </c>
      <c r="C10" s="9" t="s">
        <v>90</v>
      </c>
      <c r="D10" s="9">
        <f t="shared" si="1"/>
        <v>2</v>
      </c>
      <c r="E10" s="9" t="s">
        <v>68</v>
      </c>
      <c r="F10" s="9">
        <f t="shared" si="2"/>
        <v>1</v>
      </c>
      <c r="G10" s="9" t="s">
        <v>91</v>
      </c>
      <c r="H10" s="9" t="str">
        <f t="shared" si="3"/>
        <v>Urban</v>
      </c>
      <c r="I10" s="9">
        <f t="shared" si="4"/>
        <v>2</v>
      </c>
      <c r="J10" s="9" t="s">
        <v>70</v>
      </c>
      <c r="K10" s="9" t="s">
        <v>100</v>
      </c>
      <c r="L10" s="9">
        <f t="shared" si="5"/>
        <v>3</v>
      </c>
      <c r="M10" s="9" t="s">
        <v>76</v>
      </c>
      <c r="N10" s="9">
        <f t="shared" si="6"/>
        <v>5.5</v>
      </c>
      <c r="O10" s="9" t="s">
        <v>78</v>
      </c>
      <c r="P10" s="9">
        <f t="shared" si="7"/>
        <v>3</v>
      </c>
      <c r="Q10" s="9" t="s">
        <v>78</v>
      </c>
      <c r="R10" s="9">
        <f t="shared" si="8"/>
        <v>3</v>
      </c>
      <c r="S10" s="9" t="s">
        <v>85</v>
      </c>
      <c r="T10" s="9">
        <f t="shared" si="9"/>
        <v>4</v>
      </c>
      <c r="U10" s="9" t="s">
        <v>96</v>
      </c>
      <c r="V10" s="9">
        <f t="shared" si="10"/>
        <v>2.5</v>
      </c>
      <c r="W10" s="9" t="s">
        <v>105</v>
      </c>
      <c r="X10" s="9">
        <f t="shared" si="11"/>
        <v>1</v>
      </c>
      <c r="Y10" s="9">
        <f t="shared" si="12"/>
        <v>1</v>
      </c>
      <c r="Z10" s="9">
        <f t="shared" si="13"/>
        <v>0</v>
      </c>
      <c r="AA10" s="9">
        <f t="shared" si="14"/>
        <v>0</v>
      </c>
      <c r="AB10" s="9" t="s">
        <v>85</v>
      </c>
      <c r="AC10" s="9">
        <f t="shared" si="15"/>
        <v>4</v>
      </c>
      <c r="AD10" s="9" t="s">
        <v>73</v>
      </c>
      <c r="AE10" s="9">
        <f t="shared" si="16"/>
        <v>2</v>
      </c>
      <c r="AF10" s="9" t="s">
        <v>76</v>
      </c>
      <c r="AG10" s="9">
        <f t="shared" si="17"/>
        <v>5.5</v>
      </c>
      <c r="AH10" s="9" t="s">
        <v>73</v>
      </c>
      <c r="AI10" s="9">
        <f t="shared" si="18"/>
        <v>2</v>
      </c>
      <c r="AJ10" s="9" t="s">
        <v>73</v>
      </c>
      <c r="AK10" s="9">
        <f t="shared" si="19"/>
        <v>2</v>
      </c>
      <c r="AL10" s="9" t="s">
        <v>85</v>
      </c>
      <c r="AM10" s="9">
        <f t="shared" si="20"/>
        <v>4</v>
      </c>
      <c r="AN10" s="9" t="s">
        <v>85</v>
      </c>
      <c r="AO10" s="9">
        <f t="shared" si="21"/>
        <v>4</v>
      </c>
      <c r="AP10" s="9" t="s">
        <v>85</v>
      </c>
      <c r="AQ10" s="9">
        <f t="shared" si="22"/>
        <v>4</v>
      </c>
      <c r="AR10" s="9" t="s">
        <v>85</v>
      </c>
      <c r="AS10" s="9">
        <f t="shared" si="23"/>
        <v>4</v>
      </c>
      <c r="AT10" s="9" t="s">
        <v>116</v>
      </c>
      <c r="AU10" s="9">
        <f t="shared" si="24"/>
        <v>1</v>
      </c>
      <c r="AV10" s="9">
        <f t="shared" si="25"/>
        <v>0</v>
      </c>
      <c r="AW10" s="9">
        <f t="shared" si="26"/>
        <v>0</v>
      </c>
      <c r="AX10" s="9">
        <f t="shared" si="27"/>
        <v>0</v>
      </c>
      <c r="AY10" s="9">
        <f t="shared" si="28"/>
        <v>0</v>
      </c>
      <c r="AZ10" s="9">
        <f t="shared" si="29"/>
        <v>1</v>
      </c>
      <c r="BA10" s="9">
        <f t="shared" si="30"/>
        <v>0</v>
      </c>
      <c r="BB10" s="9" t="s">
        <v>88</v>
      </c>
      <c r="BC10" s="9">
        <f t="shared" si="31"/>
        <v>2</v>
      </c>
      <c r="BD10" s="12"/>
      <c r="BE10" s="9" t="str">
        <f t="shared" si="32"/>
        <v>N/A</v>
      </c>
      <c r="BF10" s="9" t="s">
        <v>117</v>
      </c>
      <c r="BG10" s="9">
        <f t="shared" si="33"/>
        <v>0</v>
      </c>
      <c r="BH10" s="9">
        <f t="shared" si="34"/>
        <v>0</v>
      </c>
      <c r="BI10" s="9">
        <f t="shared" si="35"/>
        <v>1</v>
      </c>
      <c r="BJ10" s="9">
        <f t="shared" si="36"/>
        <v>1</v>
      </c>
      <c r="BK10" s="9">
        <f t="shared" si="37"/>
        <v>0</v>
      </c>
      <c r="BL10" s="9">
        <f t="shared" si="38"/>
        <v>0</v>
      </c>
      <c r="BM10" s="9">
        <f t="shared" si="39"/>
        <v>0</v>
      </c>
      <c r="BN10" s="9" t="s">
        <v>68</v>
      </c>
      <c r="BO10" s="11">
        <f t="shared" si="40"/>
        <v>1</v>
      </c>
    </row>
    <row r="11" ht="22.5" customHeight="1">
      <c r="A11" s="9">
        <f t="shared" si="41"/>
        <v>10</v>
      </c>
      <c r="B11" s="10">
        <v>46050.66455667824</v>
      </c>
      <c r="C11" s="9" t="s">
        <v>90</v>
      </c>
      <c r="D11" s="9">
        <f t="shared" si="1"/>
        <v>2</v>
      </c>
      <c r="E11" s="9" t="s">
        <v>68</v>
      </c>
      <c r="F11" s="9">
        <f t="shared" si="2"/>
        <v>1</v>
      </c>
      <c r="G11" s="9" t="s">
        <v>82</v>
      </c>
      <c r="H11" s="9" t="str">
        <f t="shared" si="3"/>
        <v>Urban</v>
      </c>
      <c r="I11" s="9">
        <f t="shared" si="4"/>
        <v>2</v>
      </c>
      <c r="J11" s="9" t="s">
        <v>70</v>
      </c>
      <c r="K11" s="9" t="s">
        <v>100</v>
      </c>
      <c r="L11" s="9">
        <f t="shared" si="5"/>
        <v>3</v>
      </c>
      <c r="M11" s="9" t="s">
        <v>109</v>
      </c>
      <c r="N11" s="9">
        <f t="shared" si="6"/>
        <v>9</v>
      </c>
      <c r="O11" s="9" t="s">
        <v>85</v>
      </c>
      <c r="P11" s="9">
        <f t="shared" si="7"/>
        <v>4</v>
      </c>
      <c r="Q11" s="9" t="s">
        <v>85</v>
      </c>
      <c r="R11" s="9">
        <f t="shared" si="8"/>
        <v>4</v>
      </c>
      <c r="S11" s="9" t="s">
        <v>73</v>
      </c>
      <c r="T11" s="9">
        <f t="shared" si="9"/>
        <v>2</v>
      </c>
      <c r="U11" s="9" t="s">
        <v>110</v>
      </c>
      <c r="V11" s="9">
        <f t="shared" si="10"/>
        <v>0.75</v>
      </c>
      <c r="W11" s="9" t="s">
        <v>93</v>
      </c>
      <c r="X11" s="9">
        <f t="shared" si="11"/>
        <v>0</v>
      </c>
      <c r="Y11" s="9">
        <f t="shared" si="12"/>
        <v>1</v>
      </c>
      <c r="Z11" s="9">
        <f t="shared" si="13"/>
        <v>0</v>
      </c>
      <c r="AA11" s="9">
        <f t="shared" si="14"/>
        <v>0</v>
      </c>
      <c r="AB11" s="9" t="s">
        <v>73</v>
      </c>
      <c r="AC11" s="9">
        <f t="shared" si="15"/>
        <v>2</v>
      </c>
      <c r="AD11" s="9" t="s">
        <v>73</v>
      </c>
      <c r="AE11" s="9">
        <f t="shared" si="16"/>
        <v>2</v>
      </c>
      <c r="AF11" s="9" t="s">
        <v>71</v>
      </c>
      <c r="AG11" s="9">
        <f t="shared" si="17"/>
        <v>7.7</v>
      </c>
      <c r="AH11" s="9" t="s">
        <v>85</v>
      </c>
      <c r="AI11" s="9">
        <f t="shared" si="18"/>
        <v>4</v>
      </c>
      <c r="AJ11" s="9" t="s">
        <v>77</v>
      </c>
      <c r="AK11" s="9">
        <f t="shared" si="19"/>
        <v>1</v>
      </c>
      <c r="AL11" s="9" t="s">
        <v>78</v>
      </c>
      <c r="AM11" s="9">
        <f t="shared" si="20"/>
        <v>3</v>
      </c>
      <c r="AN11" s="9" t="s">
        <v>78</v>
      </c>
      <c r="AO11" s="9">
        <f t="shared" si="21"/>
        <v>3</v>
      </c>
      <c r="AP11" s="9" t="s">
        <v>73</v>
      </c>
      <c r="AQ11" s="9">
        <f t="shared" si="22"/>
        <v>2</v>
      </c>
      <c r="AR11" s="9" t="s">
        <v>78</v>
      </c>
      <c r="AS11" s="9">
        <f t="shared" si="23"/>
        <v>3</v>
      </c>
      <c r="AT11" s="9" t="s">
        <v>118</v>
      </c>
      <c r="AU11" s="9">
        <f t="shared" si="24"/>
        <v>0</v>
      </c>
      <c r="AV11" s="9">
        <f t="shared" si="25"/>
        <v>1</v>
      </c>
      <c r="AW11" s="9">
        <f t="shared" si="26"/>
        <v>0</v>
      </c>
      <c r="AX11" s="9">
        <f t="shared" si="27"/>
        <v>0</v>
      </c>
      <c r="AY11" s="9">
        <f t="shared" si="28"/>
        <v>0</v>
      </c>
      <c r="AZ11" s="9">
        <f t="shared" si="29"/>
        <v>1</v>
      </c>
      <c r="BA11" s="9">
        <f t="shared" si="30"/>
        <v>0</v>
      </c>
      <c r="BB11" s="9" t="s">
        <v>88</v>
      </c>
      <c r="BC11" s="9">
        <f t="shared" si="31"/>
        <v>2</v>
      </c>
      <c r="BD11" s="12"/>
      <c r="BE11" s="9" t="str">
        <f t="shared" si="32"/>
        <v>N/A</v>
      </c>
      <c r="BF11" s="9" t="s">
        <v>119</v>
      </c>
      <c r="BG11" s="9">
        <f t="shared" si="33"/>
        <v>1</v>
      </c>
      <c r="BH11" s="9">
        <f t="shared" si="34"/>
        <v>0</v>
      </c>
      <c r="BI11" s="9">
        <f t="shared" si="35"/>
        <v>0</v>
      </c>
      <c r="BJ11" s="9">
        <f t="shared" si="36"/>
        <v>0</v>
      </c>
      <c r="BK11" s="9">
        <f t="shared" si="37"/>
        <v>0</v>
      </c>
      <c r="BL11" s="9">
        <f t="shared" si="38"/>
        <v>0</v>
      </c>
      <c r="BM11" s="9">
        <f t="shared" si="39"/>
        <v>1</v>
      </c>
      <c r="BN11" s="9" t="s">
        <v>68</v>
      </c>
      <c r="BO11" s="11">
        <f t="shared" si="40"/>
        <v>1</v>
      </c>
    </row>
    <row r="12" ht="22.5" customHeight="1">
      <c r="A12" s="9">
        <f t="shared" si="41"/>
        <v>11</v>
      </c>
      <c r="B12" s="10">
        <v>46050.66765400463</v>
      </c>
      <c r="C12" s="9" t="s">
        <v>90</v>
      </c>
      <c r="D12" s="9">
        <f t="shared" si="1"/>
        <v>2</v>
      </c>
      <c r="E12" s="9" t="s">
        <v>68</v>
      </c>
      <c r="F12" s="9">
        <f t="shared" si="2"/>
        <v>1</v>
      </c>
      <c r="G12" s="9" t="s">
        <v>69</v>
      </c>
      <c r="H12" s="9" t="str">
        <f t="shared" si="3"/>
        <v>Rural</v>
      </c>
      <c r="I12" s="9">
        <f t="shared" si="4"/>
        <v>1</v>
      </c>
      <c r="J12" s="9" t="s">
        <v>70</v>
      </c>
      <c r="K12" s="9" t="s">
        <v>100</v>
      </c>
      <c r="L12" s="9">
        <f t="shared" si="5"/>
        <v>3</v>
      </c>
      <c r="M12" s="9" t="s">
        <v>76</v>
      </c>
      <c r="N12" s="9">
        <f t="shared" si="6"/>
        <v>5.5</v>
      </c>
      <c r="O12" s="9" t="s">
        <v>73</v>
      </c>
      <c r="P12" s="9">
        <f t="shared" si="7"/>
        <v>2</v>
      </c>
      <c r="Q12" s="9" t="s">
        <v>85</v>
      </c>
      <c r="R12" s="9">
        <f t="shared" si="8"/>
        <v>4</v>
      </c>
      <c r="S12" s="9" t="s">
        <v>72</v>
      </c>
      <c r="T12" s="9">
        <f t="shared" si="9"/>
        <v>1</v>
      </c>
      <c r="U12" s="9" t="s">
        <v>110</v>
      </c>
      <c r="V12" s="9">
        <f t="shared" si="10"/>
        <v>0.75</v>
      </c>
      <c r="W12" s="9" t="s">
        <v>105</v>
      </c>
      <c r="X12" s="9">
        <f t="shared" si="11"/>
        <v>1</v>
      </c>
      <c r="Y12" s="9">
        <f t="shared" si="12"/>
        <v>1</v>
      </c>
      <c r="Z12" s="9">
        <f t="shared" si="13"/>
        <v>0</v>
      </c>
      <c r="AA12" s="9">
        <f t="shared" si="14"/>
        <v>0</v>
      </c>
      <c r="AB12" s="9" t="s">
        <v>73</v>
      </c>
      <c r="AC12" s="9">
        <f t="shared" si="15"/>
        <v>2</v>
      </c>
      <c r="AD12" s="9" t="s">
        <v>73</v>
      </c>
      <c r="AE12" s="9">
        <f t="shared" si="16"/>
        <v>2</v>
      </c>
      <c r="AF12" s="9" t="s">
        <v>71</v>
      </c>
      <c r="AG12" s="9">
        <f t="shared" si="17"/>
        <v>7.7</v>
      </c>
      <c r="AH12" s="9" t="s">
        <v>85</v>
      </c>
      <c r="AI12" s="9">
        <f t="shared" si="18"/>
        <v>4</v>
      </c>
      <c r="AJ12" s="9" t="s">
        <v>78</v>
      </c>
      <c r="AK12" s="9">
        <f t="shared" si="19"/>
        <v>3</v>
      </c>
      <c r="AL12" s="9" t="s">
        <v>85</v>
      </c>
      <c r="AM12" s="9">
        <f t="shared" si="20"/>
        <v>4</v>
      </c>
      <c r="AN12" s="9" t="s">
        <v>120</v>
      </c>
      <c r="AO12" s="9">
        <f t="shared" si="21"/>
        <v>5</v>
      </c>
      <c r="AP12" s="9" t="s">
        <v>120</v>
      </c>
      <c r="AQ12" s="9">
        <f t="shared" si="22"/>
        <v>5</v>
      </c>
      <c r="AR12" s="9" t="s">
        <v>120</v>
      </c>
      <c r="AS12" s="9">
        <f t="shared" si="23"/>
        <v>5</v>
      </c>
      <c r="AT12" s="9" t="s">
        <v>118</v>
      </c>
      <c r="AU12" s="9">
        <f t="shared" si="24"/>
        <v>0</v>
      </c>
      <c r="AV12" s="9">
        <f t="shared" si="25"/>
        <v>1</v>
      </c>
      <c r="AW12" s="9">
        <f t="shared" si="26"/>
        <v>0</v>
      </c>
      <c r="AX12" s="9">
        <f t="shared" si="27"/>
        <v>0</v>
      </c>
      <c r="AY12" s="9">
        <f t="shared" si="28"/>
        <v>0</v>
      </c>
      <c r="AZ12" s="9">
        <f t="shared" si="29"/>
        <v>1</v>
      </c>
      <c r="BA12" s="9">
        <f t="shared" si="30"/>
        <v>0</v>
      </c>
      <c r="BB12" s="9" t="s">
        <v>88</v>
      </c>
      <c r="BC12" s="9">
        <f t="shared" si="31"/>
        <v>2</v>
      </c>
      <c r="BD12" s="12"/>
      <c r="BE12" s="9" t="str">
        <f t="shared" si="32"/>
        <v>N/A</v>
      </c>
      <c r="BF12" s="9" t="s">
        <v>121</v>
      </c>
      <c r="BG12" s="9">
        <f t="shared" si="33"/>
        <v>0</v>
      </c>
      <c r="BH12" s="9">
        <f t="shared" si="34"/>
        <v>0</v>
      </c>
      <c r="BI12" s="9">
        <f t="shared" si="35"/>
        <v>0</v>
      </c>
      <c r="BJ12" s="9">
        <f t="shared" si="36"/>
        <v>0</v>
      </c>
      <c r="BK12" s="9">
        <f t="shared" si="37"/>
        <v>1</v>
      </c>
      <c r="BL12" s="9">
        <f t="shared" si="38"/>
        <v>1</v>
      </c>
      <c r="BM12" s="9">
        <f t="shared" si="39"/>
        <v>1</v>
      </c>
      <c r="BN12" s="9" t="s">
        <v>108</v>
      </c>
      <c r="BO12" s="11">
        <f t="shared" si="40"/>
        <v>3</v>
      </c>
    </row>
    <row r="13" ht="22.5" customHeight="1">
      <c r="A13" s="9">
        <f t="shared" si="41"/>
        <v>12</v>
      </c>
      <c r="B13" s="10">
        <v>46050.66822918982</v>
      </c>
      <c r="C13" s="9" t="s">
        <v>90</v>
      </c>
      <c r="D13" s="9">
        <f t="shared" si="1"/>
        <v>2</v>
      </c>
      <c r="E13" s="9" t="s">
        <v>68</v>
      </c>
      <c r="F13" s="9">
        <f t="shared" si="2"/>
        <v>1</v>
      </c>
      <c r="G13" s="9" t="s">
        <v>91</v>
      </c>
      <c r="H13" s="9" t="str">
        <f t="shared" si="3"/>
        <v>Urban</v>
      </c>
      <c r="I13" s="9">
        <f t="shared" si="4"/>
        <v>2</v>
      </c>
      <c r="J13" s="9" t="s">
        <v>83</v>
      </c>
      <c r="K13" s="9" t="s">
        <v>84</v>
      </c>
      <c r="L13" s="9">
        <f t="shared" si="5"/>
        <v>2</v>
      </c>
      <c r="M13" s="9" t="s">
        <v>101</v>
      </c>
      <c r="N13" s="9">
        <f t="shared" si="6"/>
        <v>2</v>
      </c>
      <c r="O13" s="9" t="s">
        <v>73</v>
      </c>
      <c r="P13" s="9">
        <f t="shared" si="7"/>
        <v>2</v>
      </c>
      <c r="Q13" s="9" t="s">
        <v>85</v>
      </c>
      <c r="R13" s="9">
        <f t="shared" si="8"/>
        <v>4</v>
      </c>
      <c r="S13" s="9" t="s">
        <v>78</v>
      </c>
      <c r="T13" s="9">
        <f t="shared" si="9"/>
        <v>3</v>
      </c>
      <c r="U13" s="9" t="s">
        <v>96</v>
      </c>
      <c r="V13" s="9">
        <f t="shared" si="10"/>
        <v>2.5</v>
      </c>
      <c r="W13" s="9" t="s">
        <v>122</v>
      </c>
      <c r="X13" s="9">
        <f t="shared" si="11"/>
        <v>0</v>
      </c>
      <c r="Y13" s="9">
        <f t="shared" si="12"/>
        <v>0</v>
      </c>
      <c r="Z13" s="9">
        <f t="shared" si="13"/>
        <v>1</v>
      </c>
      <c r="AA13" s="9">
        <f t="shared" si="14"/>
        <v>0</v>
      </c>
      <c r="AB13" s="9" t="s">
        <v>73</v>
      </c>
      <c r="AC13" s="9">
        <f t="shared" si="15"/>
        <v>2</v>
      </c>
      <c r="AD13" s="9" t="s">
        <v>73</v>
      </c>
      <c r="AE13" s="9">
        <f t="shared" si="16"/>
        <v>2</v>
      </c>
      <c r="AF13" s="9" t="s">
        <v>71</v>
      </c>
      <c r="AG13" s="9">
        <f t="shared" si="17"/>
        <v>7.7</v>
      </c>
      <c r="AH13" s="9" t="s">
        <v>85</v>
      </c>
      <c r="AI13" s="9">
        <f t="shared" si="18"/>
        <v>4</v>
      </c>
      <c r="AJ13" s="9" t="s">
        <v>73</v>
      </c>
      <c r="AK13" s="9">
        <f t="shared" si="19"/>
        <v>2</v>
      </c>
      <c r="AL13" s="9" t="s">
        <v>85</v>
      </c>
      <c r="AM13" s="9">
        <f t="shared" si="20"/>
        <v>4</v>
      </c>
      <c r="AN13" s="9" t="s">
        <v>85</v>
      </c>
      <c r="AO13" s="9">
        <f t="shared" si="21"/>
        <v>4</v>
      </c>
      <c r="AP13" s="9" t="s">
        <v>85</v>
      </c>
      <c r="AQ13" s="9">
        <f t="shared" si="22"/>
        <v>4</v>
      </c>
      <c r="AR13" s="9" t="s">
        <v>85</v>
      </c>
      <c r="AS13" s="9">
        <f t="shared" si="23"/>
        <v>4</v>
      </c>
      <c r="AT13" s="9" t="s">
        <v>123</v>
      </c>
      <c r="AU13" s="9">
        <f t="shared" si="24"/>
        <v>1</v>
      </c>
      <c r="AV13" s="9">
        <f t="shared" si="25"/>
        <v>1</v>
      </c>
      <c r="AW13" s="9">
        <f t="shared" si="26"/>
        <v>1</v>
      </c>
      <c r="AX13" s="9">
        <f t="shared" si="27"/>
        <v>0</v>
      </c>
      <c r="AY13" s="9">
        <f t="shared" si="28"/>
        <v>0</v>
      </c>
      <c r="AZ13" s="9">
        <f t="shared" si="29"/>
        <v>0</v>
      </c>
      <c r="BA13" s="9">
        <f t="shared" si="30"/>
        <v>0</v>
      </c>
      <c r="BB13" s="9" t="s">
        <v>88</v>
      </c>
      <c r="BC13" s="9">
        <f t="shared" si="31"/>
        <v>2</v>
      </c>
      <c r="BD13" s="12"/>
      <c r="BE13" s="9" t="str">
        <f t="shared" si="32"/>
        <v>N/A</v>
      </c>
      <c r="BF13" s="9" t="s">
        <v>124</v>
      </c>
      <c r="BG13" s="9">
        <f t="shared" si="33"/>
        <v>1</v>
      </c>
      <c r="BH13" s="9">
        <f t="shared" si="34"/>
        <v>0</v>
      </c>
      <c r="BI13" s="9">
        <f t="shared" si="35"/>
        <v>1</v>
      </c>
      <c r="BJ13" s="9">
        <f t="shared" si="36"/>
        <v>0</v>
      </c>
      <c r="BK13" s="9">
        <f t="shared" si="37"/>
        <v>0</v>
      </c>
      <c r="BL13" s="9">
        <f t="shared" si="38"/>
        <v>0</v>
      </c>
      <c r="BM13" s="9">
        <f t="shared" si="39"/>
        <v>0</v>
      </c>
      <c r="BN13" s="9" t="s">
        <v>108</v>
      </c>
      <c r="BO13" s="11">
        <f t="shared" si="40"/>
        <v>3</v>
      </c>
    </row>
    <row r="14" ht="22.5" customHeight="1">
      <c r="A14" s="9">
        <f t="shared" si="41"/>
        <v>13</v>
      </c>
      <c r="B14" s="10">
        <v>46050.67001618056</v>
      </c>
      <c r="C14" s="9" t="s">
        <v>90</v>
      </c>
      <c r="D14" s="9">
        <f t="shared" si="1"/>
        <v>2</v>
      </c>
      <c r="E14" s="9" t="s">
        <v>68</v>
      </c>
      <c r="F14" s="9">
        <f t="shared" si="2"/>
        <v>1</v>
      </c>
      <c r="G14" s="9" t="s">
        <v>91</v>
      </c>
      <c r="H14" s="9" t="str">
        <f t="shared" si="3"/>
        <v>Urban</v>
      </c>
      <c r="I14" s="9">
        <f t="shared" si="4"/>
        <v>2</v>
      </c>
      <c r="J14" s="9" t="s">
        <v>70</v>
      </c>
      <c r="K14" s="9" t="s">
        <v>100</v>
      </c>
      <c r="L14" s="9">
        <f t="shared" si="5"/>
        <v>3</v>
      </c>
      <c r="M14" s="9" t="s">
        <v>101</v>
      </c>
      <c r="N14" s="9">
        <f t="shared" si="6"/>
        <v>2</v>
      </c>
      <c r="O14" s="9" t="s">
        <v>73</v>
      </c>
      <c r="P14" s="9">
        <f t="shared" si="7"/>
        <v>2</v>
      </c>
      <c r="Q14" s="9" t="s">
        <v>85</v>
      </c>
      <c r="R14" s="9">
        <f t="shared" si="8"/>
        <v>4</v>
      </c>
      <c r="S14" s="9" t="s">
        <v>85</v>
      </c>
      <c r="T14" s="9">
        <f t="shared" si="9"/>
        <v>4</v>
      </c>
      <c r="U14" s="9" t="s">
        <v>74</v>
      </c>
      <c r="V14" s="9">
        <f t="shared" si="10"/>
        <v>1.5</v>
      </c>
      <c r="W14" s="9" t="s">
        <v>105</v>
      </c>
      <c r="X14" s="9">
        <f t="shared" si="11"/>
        <v>1</v>
      </c>
      <c r="Y14" s="9">
        <f t="shared" si="12"/>
        <v>1</v>
      </c>
      <c r="Z14" s="9">
        <f t="shared" si="13"/>
        <v>0</v>
      </c>
      <c r="AA14" s="9">
        <f t="shared" si="14"/>
        <v>0</v>
      </c>
      <c r="AB14" s="9" t="s">
        <v>72</v>
      </c>
      <c r="AC14" s="9">
        <f t="shared" si="15"/>
        <v>1</v>
      </c>
      <c r="AD14" s="9" t="s">
        <v>72</v>
      </c>
      <c r="AE14" s="9">
        <f t="shared" si="16"/>
        <v>1</v>
      </c>
      <c r="AF14" s="9" t="s">
        <v>71</v>
      </c>
      <c r="AG14" s="9">
        <f t="shared" si="17"/>
        <v>7.7</v>
      </c>
      <c r="AH14" s="9" t="s">
        <v>85</v>
      </c>
      <c r="AI14" s="9">
        <f t="shared" si="18"/>
        <v>4</v>
      </c>
      <c r="AJ14" s="9" t="s">
        <v>73</v>
      </c>
      <c r="AK14" s="9">
        <f t="shared" si="19"/>
        <v>2</v>
      </c>
      <c r="AL14" s="9" t="s">
        <v>85</v>
      </c>
      <c r="AM14" s="9">
        <f t="shared" si="20"/>
        <v>4</v>
      </c>
      <c r="AN14" s="9" t="s">
        <v>85</v>
      </c>
      <c r="AO14" s="9">
        <f t="shared" si="21"/>
        <v>4</v>
      </c>
      <c r="AP14" s="9" t="s">
        <v>85</v>
      </c>
      <c r="AQ14" s="9">
        <f t="shared" si="22"/>
        <v>4</v>
      </c>
      <c r="AR14" s="9" t="s">
        <v>85</v>
      </c>
      <c r="AS14" s="9">
        <f t="shared" si="23"/>
        <v>4</v>
      </c>
      <c r="AT14" s="9" t="s">
        <v>125</v>
      </c>
      <c r="AU14" s="9">
        <f t="shared" si="24"/>
        <v>0</v>
      </c>
      <c r="AV14" s="9">
        <f t="shared" si="25"/>
        <v>0</v>
      </c>
      <c r="AW14" s="9">
        <f t="shared" si="26"/>
        <v>0</v>
      </c>
      <c r="AX14" s="9">
        <f t="shared" si="27"/>
        <v>1</v>
      </c>
      <c r="AY14" s="9">
        <f t="shared" si="28"/>
        <v>0</v>
      </c>
      <c r="AZ14" s="9">
        <f t="shared" si="29"/>
        <v>0</v>
      </c>
      <c r="BA14" s="9">
        <f t="shared" si="30"/>
        <v>0</v>
      </c>
      <c r="BB14" s="9" t="s">
        <v>88</v>
      </c>
      <c r="BC14" s="9">
        <f t="shared" si="31"/>
        <v>2</v>
      </c>
      <c r="BD14" s="12"/>
      <c r="BE14" s="9" t="str">
        <f t="shared" si="32"/>
        <v>N/A</v>
      </c>
      <c r="BF14" s="9" t="s">
        <v>126</v>
      </c>
      <c r="BG14" s="9">
        <f t="shared" si="33"/>
        <v>1</v>
      </c>
      <c r="BH14" s="9">
        <f t="shared" si="34"/>
        <v>0</v>
      </c>
      <c r="BI14" s="9">
        <f t="shared" si="35"/>
        <v>1</v>
      </c>
      <c r="BJ14" s="9">
        <f t="shared" si="36"/>
        <v>1</v>
      </c>
      <c r="BK14" s="9">
        <f t="shared" si="37"/>
        <v>1</v>
      </c>
      <c r="BL14" s="9">
        <f t="shared" si="38"/>
        <v>1</v>
      </c>
      <c r="BM14" s="9">
        <f t="shared" si="39"/>
        <v>0</v>
      </c>
      <c r="BN14" s="9" t="s">
        <v>68</v>
      </c>
      <c r="BO14" s="11">
        <f t="shared" si="40"/>
        <v>1</v>
      </c>
    </row>
    <row r="15" ht="22.5" customHeight="1">
      <c r="A15" s="9">
        <f t="shared" si="41"/>
        <v>14</v>
      </c>
      <c r="B15" s="10">
        <v>46050.670301770835</v>
      </c>
      <c r="C15" s="9" t="s">
        <v>67</v>
      </c>
      <c r="D15" s="9">
        <f t="shared" si="1"/>
        <v>1</v>
      </c>
      <c r="E15" s="9" t="s">
        <v>68</v>
      </c>
      <c r="F15" s="9">
        <f t="shared" si="2"/>
        <v>1</v>
      </c>
      <c r="G15" s="9" t="s">
        <v>82</v>
      </c>
      <c r="H15" s="9" t="str">
        <f t="shared" si="3"/>
        <v>Urban</v>
      </c>
      <c r="I15" s="9">
        <f t="shared" si="4"/>
        <v>2</v>
      </c>
      <c r="J15" s="9" t="s">
        <v>70</v>
      </c>
      <c r="K15" s="9" t="s">
        <v>100</v>
      </c>
      <c r="L15" s="9">
        <f t="shared" si="5"/>
        <v>3</v>
      </c>
      <c r="M15" s="9" t="s">
        <v>71</v>
      </c>
      <c r="N15" s="9">
        <f t="shared" si="6"/>
        <v>7.7</v>
      </c>
      <c r="O15" s="9" t="s">
        <v>73</v>
      </c>
      <c r="P15" s="9">
        <f t="shared" si="7"/>
        <v>2</v>
      </c>
      <c r="Q15" s="9" t="s">
        <v>85</v>
      </c>
      <c r="R15" s="9">
        <f t="shared" si="8"/>
        <v>4</v>
      </c>
      <c r="S15" s="9" t="s">
        <v>73</v>
      </c>
      <c r="T15" s="9">
        <f t="shared" si="9"/>
        <v>2</v>
      </c>
      <c r="U15" s="9" t="s">
        <v>110</v>
      </c>
      <c r="V15" s="9">
        <f t="shared" si="10"/>
        <v>0.75</v>
      </c>
      <c r="W15" s="9" t="s">
        <v>102</v>
      </c>
      <c r="X15" s="9">
        <f t="shared" si="11"/>
        <v>1</v>
      </c>
      <c r="Y15" s="9">
        <f t="shared" si="12"/>
        <v>1</v>
      </c>
      <c r="Z15" s="9">
        <f t="shared" si="13"/>
        <v>1</v>
      </c>
      <c r="AA15" s="9">
        <f t="shared" si="14"/>
        <v>1</v>
      </c>
      <c r="AB15" s="9" t="s">
        <v>85</v>
      </c>
      <c r="AC15" s="9">
        <f t="shared" si="15"/>
        <v>4</v>
      </c>
      <c r="AD15" s="9" t="s">
        <v>73</v>
      </c>
      <c r="AE15" s="9">
        <f t="shared" si="16"/>
        <v>2</v>
      </c>
      <c r="AF15" s="9" t="s">
        <v>71</v>
      </c>
      <c r="AG15" s="9">
        <f t="shared" si="17"/>
        <v>7.7</v>
      </c>
      <c r="AH15" s="9" t="s">
        <v>85</v>
      </c>
      <c r="AI15" s="9">
        <f t="shared" si="18"/>
        <v>4</v>
      </c>
      <c r="AJ15" s="9" t="s">
        <v>73</v>
      </c>
      <c r="AK15" s="9">
        <f t="shared" si="19"/>
        <v>2</v>
      </c>
      <c r="AL15" s="9" t="s">
        <v>85</v>
      </c>
      <c r="AM15" s="9">
        <f t="shared" si="20"/>
        <v>4</v>
      </c>
      <c r="AN15" s="9" t="s">
        <v>73</v>
      </c>
      <c r="AO15" s="9">
        <f t="shared" si="21"/>
        <v>2</v>
      </c>
      <c r="AP15" s="9" t="s">
        <v>85</v>
      </c>
      <c r="AQ15" s="9">
        <f t="shared" si="22"/>
        <v>4</v>
      </c>
      <c r="AR15" s="9" t="s">
        <v>85</v>
      </c>
      <c r="AS15" s="9">
        <f t="shared" si="23"/>
        <v>4</v>
      </c>
      <c r="AT15" s="9" t="s">
        <v>127</v>
      </c>
      <c r="AU15" s="9">
        <f t="shared" si="24"/>
        <v>1</v>
      </c>
      <c r="AV15" s="9">
        <f t="shared" si="25"/>
        <v>1</v>
      </c>
      <c r="AW15" s="9">
        <f t="shared" si="26"/>
        <v>1</v>
      </c>
      <c r="AX15" s="9">
        <f t="shared" si="27"/>
        <v>1</v>
      </c>
      <c r="AY15" s="9">
        <f t="shared" si="28"/>
        <v>1</v>
      </c>
      <c r="AZ15" s="9">
        <f t="shared" si="29"/>
        <v>0</v>
      </c>
      <c r="BA15" s="9">
        <f t="shared" si="30"/>
        <v>0</v>
      </c>
      <c r="BB15" s="9" t="s">
        <v>88</v>
      </c>
      <c r="BC15" s="9">
        <f t="shared" si="31"/>
        <v>2</v>
      </c>
      <c r="BD15" s="12"/>
      <c r="BE15" s="9" t="str">
        <f t="shared" si="32"/>
        <v>N/A</v>
      </c>
      <c r="BF15" s="9" t="s">
        <v>128</v>
      </c>
      <c r="BG15" s="9">
        <f t="shared" si="33"/>
        <v>1</v>
      </c>
      <c r="BH15" s="9">
        <f t="shared" si="34"/>
        <v>1</v>
      </c>
      <c r="BI15" s="9">
        <f t="shared" si="35"/>
        <v>0</v>
      </c>
      <c r="BJ15" s="9">
        <f t="shared" si="36"/>
        <v>1</v>
      </c>
      <c r="BK15" s="9">
        <f t="shared" si="37"/>
        <v>0</v>
      </c>
      <c r="BL15" s="9">
        <f t="shared" si="38"/>
        <v>1</v>
      </c>
      <c r="BM15" s="9">
        <f t="shared" si="39"/>
        <v>0</v>
      </c>
      <c r="BN15" s="9" t="s">
        <v>68</v>
      </c>
      <c r="BO15" s="11">
        <f t="shared" si="40"/>
        <v>1</v>
      </c>
    </row>
    <row r="16" ht="22.5" customHeight="1">
      <c r="A16" s="9">
        <f t="shared" si="41"/>
        <v>15</v>
      </c>
      <c r="B16" s="10">
        <v>46050.67262087963</v>
      </c>
      <c r="C16" s="9" t="s">
        <v>90</v>
      </c>
      <c r="D16" s="9">
        <f t="shared" si="1"/>
        <v>2</v>
      </c>
      <c r="E16" s="9" t="s">
        <v>68</v>
      </c>
      <c r="F16" s="9">
        <f t="shared" si="2"/>
        <v>1</v>
      </c>
      <c r="G16" s="9" t="s">
        <v>69</v>
      </c>
      <c r="H16" s="9" t="str">
        <f t="shared" si="3"/>
        <v>Rural</v>
      </c>
      <c r="I16" s="9">
        <f t="shared" si="4"/>
        <v>1</v>
      </c>
      <c r="J16" s="9" t="s">
        <v>70</v>
      </c>
      <c r="K16" s="9" t="s">
        <v>100</v>
      </c>
      <c r="L16" s="9">
        <f t="shared" si="5"/>
        <v>3</v>
      </c>
      <c r="M16" s="9" t="s">
        <v>76</v>
      </c>
      <c r="N16" s="9">
        <f t="shared" si="6"/>
        <v>5.5</v>
      </c>
      <c r="O16" s="9" t="s">
        <v>73</v>
      </c>
      <c r="P16" s="9">
        <f t="shared" si="7"/>
        <v>2</v>
      </c>
      <c r="Q16" s="9" t="s">
        <v>103</v>
      </c>
      <c r="R16" s="9">
        <f t="shared" si="8"/>
        <v>5</v>
      </c>
      <c r="S16" s="9" t="s">
        <v>73</v>
      </c>
      <c r="T16" s="9">
        <f t="shared" si="9"/>
        <v>2</v>
      </c>
      <c r="U16" s="9" t="s">
        <v>92</v>
      </c>
      <c r="V16" s="9">
        <f t="shared" si="10"/>
        <v>3.5</v>
      </c>
      <c r="W16" s="9" t="s">
        <v>122</v>
      </c>
      <c r="X16" s="9">
        <f t="shared" si="11"/>
        <v>0</v>
      </c>
      <c r="Y16" s="9">
        <f t="shared" si="12"/>
        <v>0</v>
      </c>
      <c r="Z16" s="9">
        <f t="shared" si="13"/>
        <v>1</v>
      </c>
      <c r="AA16" s="9">
        <f t="shared" si="14"/>
        <v>0</v>
      </c>
      <c r="AB16" s="9" t="s">
        <v>73</v>
      </c>
      <c r="AC16" s="9">
        <f t="shared" si="15"/>
        <v>2</v>
      </c>
      <c r="AD16" s="9" t="s">
        <v>73</v>
      </c>
      <c r="AE16" s="9">
        <f t="shared" si="16"/>
        <v>2</v>
      </c>
      <c r="AF16" s="9" t="s">
        <v>109</v>
      </c>
      <c r="AG16" s="9">
        <f t="shared" si="17"/>
        <v>9</v>
      </c>
      <c r="AH16" s="9" t="s">
        <v>103</v>
      </c>
      <c r="AI16" s="9">
        <f t="shared" si="18"/>
        <v>5</v>
      </c>
      <c r="AJ16" s="9" t="s">
        <v>73</v>
      </c>
      <c r="AK16" s="9">
        <f t="shared" si="19"/>
        <v>2</v>
      </c>
      <c r="AL16" s="9" t="s">
        <v>78</v>
      </c>
      <c r="AM16" s="9">
        <f t="shared" si="20"/>
        <v>3</v>
      </c>
      <c r="AN16" s="9" t="s">
        <v>85</v>
      </c>
      <c r="AO16" s="9">
        <f t="shared" si="21"/>
        <v>4</v>
      </c>
      <c r="AP16" s="9" t="s">
        <v>85</v>
      </c>
      <c r="AQ16" s="9">
        <f t="shared" si="22"/>
        <v>4</v>
      </c>
      <c r="AR16" s="9" t="s">
        <v>120</v>
      </c>
      <c r="AS16" s="9">
        <f t="shared" si="23"/>
        <v>5</v>
      </c>
      <c r="AT16" s="9" t="s">
        <v>125</v>
      </c>
      <c r="AU16" s="9">
        <f t="shared" si="24"/>
        <v>0</v>
      </c>
      <c r="AV16" s="9">
        <f t="shared" si="25"/>
        <v>0</v>
      </c>
      <c r="AW16" s="9">
        <f t="shared" si="26"/>
        <v>0</v>
      </c>
      <c r="AX16" s="9">
        <f t="shared" si="27"/>
        <v>1</v>
      </c>
      <c r="AY16" s="9">
        <f t="shared" si="28"/>
        <v>0</v>
      </c>
      <c r="AZ16" s="9">
        <f t="shared" si="29"/>
        <v>0</v>
      </c>
      <c r="BA16" s="9">
        <f t="shared" si="30"/>
        <v>0</v>
      </c>
      <c r="BB16" s="9" t="s">
        <v>88</v>
      </c>
      <c r="BC16" s="9">
        <f t="shared" si="31"/>
        <v>2</v>
      </c>
      <c r="BD16" s="12"/>
      <c r="BE16" s="9" t="str">
        <f t="shared" si="32"/>
        <v>N/A</v>
      </c>
      <c r="BF16" s="9" t="s">
        <v>129</v>
      </c>
      <c r="BG16" s="9">
        <f t="shared" si="33"/>
        <v>0</v>
      </c>
      <c r="BH16" s="9">
        <f t="shared" si="34"/>
        <v>0</v>
      </c>
      <c r="BI16" s="9">
        <f t="shared" si="35"/>
        <v>0</v>
      </c>
      <c r="BJ16" s="9">
        <f t="shared" si="36"/>
        <v>0</v>
      </c>
      <c r="BK16" s="9">
        <f t="shared" si="37"/>
        <v>0</v>
      </c>
      <c r="BL16" s="9">
        <f t="shared" si="38"/>
        <v>1</v>
      </c>
      <c r="BM16" s="9">
        <f t="shared" si="39"/>
        <v>0</v>
      </c>
      <c r="BN16" s="9" t="s">
        <v>108</v>
      </c>
      <c r="BO16" s="11">
        <f t="shared" si="40"/>
        <v>3</v>
      </c>
    </row>
    <row r="17" ht="22.5" customHeight="1">
      <c r="A17" s="9">
        <f t="shared" si="41"/>
        <v>16</v>
      </c>
      <c r="B17" s="10">
        <v>46050.674853136574</v>
      </c>
      <c r="C17" s="9" t="s">
        <v>90</v>
      </c>
      <c r="D17" s="9">
        <f t="shared" si="1"/>
        <v>2</v>
      </c>
      <c r="E17" s="9" t="s">
        <v>68</v>
      </c>
      <c r="F17" s="9">
        <f t="shared" si="2"/>
        <v>1</v>
      </c>
      <c r="G17" s="9" t="s">
        <v>91</v>
      </c>
      <c r="H17" s="9" t="str">
        <f t="shared" si="3"/>
        <v>Urban</v>
      </c>
      <c r="I17" s="9">
        <f t="shared" si="4"/>
        <v>2</v>
      </c>
      <c r="J17" s="9" t="s">
        <v>70</v>
      </c>
      <c r="K17" s="9" t="s">
        <v>100</v>
      </c>
      <c r="L17" s="9">
        <f t="shared" si="5"/>
        <v>3</v>
      </c>
      <c r="M17" s="9" t="s">
        <v>76</v>
      </c>
      <c r="N17" s="9">
        <f t="shared" si="6"/>
        <v>5.5</v>
      </c>
      <c r="O17" s="9" t="s">
        <v>73</v>
      </c>
      <c r="P17" s="9">
        <f t="shared" si="7"/>
        <v>2</v>
      </c>
      <c r="Q17" s="9" t="s">
        <v>85</v>
      </c>
      <c r="R17" s="9">
        <f t="shared" si="8"/>
        <v>4</v>
      </c>
      <c r="S17" s="9" t="s">
        <v>73</v>
      </c>
      <c r="T17" s="9">
        <f t="shared" si="9"/>
        <v>2</v>
      </c>
      <c r="U17" s="9" t="s">
        <v>96</v>
      </c>
      <c r="V17" s="9">
        <f t="shared" si="10"/>
        <v>2.5</v>
      </c>
      <c r="W17" s="9" t="s">
        <v>93</v>
      </c>
      <c r="X17" s="9">
        <f t="shared" si="11"/>
        <v>0</v>
      </c>
      <c r="Y17" s="9">
        <f t="shared" si="12"/>
        <v>1</v>
      </c>
      <c r="Z17" s="9">
        <f t="shared" si="13"/>
        <v>0</v>
      </c>
      <c r="AA17" s="9">
        <f t="shared" si="14"/>
        <v>0</v>
      </c>
      <c r="AB17" s="9" t="s">
        <v>85</v>
      </c>
      <c r="AC17" s="9">
        <f t="shared" si="15"/>
        <v>4</v>
      </c>
      <c r="AD17" s="9" t="s">
        <v>78</v>
      </c>
      <c r="AE17" s="9">
        <f t="shared" si="16"/>
        <v>3</v>
      </c>
      <c r="AF17" s="9" t="s">
        <v>71</v>
      </c>
      <c r="AG17" s="9">
        <f t="shared" si="17"/>
        <v>7.7</v>
      </c>
      <c r="AH17" s="9" t="s">
        <v>85</v>
      </c>
      <c r="AI17" s="9">
        <f t="shared" si="18"/>
        <v>4</v>
      </c>
      <c r="AJ17" s="9" t="s">
        <v>85</v>
      </c>
      <c r="AK17" s="9">
        <f t="shared" si="19"/>
        <v>4</v>
      </c>
      <c r="AL17" s="9" t="s">
        <v>85</v>
      </c>
      <c r="AM17" s="9">
        <f t="shared" si="20"/>
        <v>4</v>
      </c>
      <c r="AN17" s="9" t="s">
        <v>85</v>
      </c>
      <c r="AO17" s="9">
        <f t="shared" si="21"/>
        <v>4</v>
      </c>
      <c r="AP17" s="9" t="s">
        <v>78</v>
      </c>
      <c r="AQ17" s="9">
        <f t="shared" si="22"/>
        <v>3</v>
      </c>
      <c r="AR17" s="9" t="s">
        <v>85</v>
      </c>
      <c r="AS17" s="9">
        <f t="shared" si="23"/>
        <v>4</v>
      </c>
      <c r="AT17" s="9" t="s">
        <v>79</v>
      </c>
      <c r="AU17" s="9">
        <f t="shared" si="24"/>
        <v>1</v>
      </c>
      <c r="AV17" s="9">
        <f t="shared" si="25"/>
        <v>0</v>
      </c>
      <c r="AW17" s="9">
        <f t="shared" si="26"/>
        <v>1</v>
      </c>
      <c r="AX17" s="9">
        <f t="shared" si="27"/>
        <v>0</v>
      </c>
      <c r="AY17" s="9">
        <f t="shared" si="28"/>
        <v>0</v>
      </c>
      <c r="AZ17" s="9">
        <f t="shared" si="29"/>
        <v>1</v>
      </c>
      <c r="BA17" s="9">
        <f t="shared" si="30"/>
        <v>0</v>
      </c>
      <c r="BB17" s="9" t="s">
        <v>88</v>
      </c>
      <c r="BC17" s="9">
        <f t="shared" si="31"/>
        <v>2</v>
      </c>
      <c r="BD17" s="12"/>
      <c r="BE17" s="9" t="str">
        <f t="shared" si="32"/>
        <v>N/A</v>
      </c>
      <c r="BF17" s="9" t="s">
        <v>130</v>
      </c>
      <c r="BG17" s="9">
        <f t="shared" si="33"/>
        <v>1</v>
      </c>
      <c r="BH17" s="9">
        <f t="shared" si="34"/>
        <v>0</v>
      </c>
      <c r="BI17" s="9">
        <f t="shared" si="35"/>
        <v>0</v>
      </c>
      <c r="BJ17" s="9">
        <f t="shared" si="36"/>
        <v>1</v>
      </c>
      <c r="BK17" s="9">
        <f t="shared" si="37"/>
        <v>1</v>
      </c>
      <c r="BL17" s="9">
        <f t="shared" si="38"/>
        <v>0</v>
      </c>
      <c r="BM17" s="9">
        <f t="shared" si="39"/>
        <v>0</v>
      </c>
      <c r="BN17" s="9" t="s">
        <v>68</v>
      </c>
      <c r="BO17" s="11">
        <f t="shared" si="40"/>
        <v>1</v>
      </c>
    </row>
    <row r="18" ht="22.5" customHeight="1">
      <c r="A18" s="9">
        <f t="shared" si="41"/>
        <v>17</v>
      </c>
      <c r="B18" s="10">
        <v>46050.677205115746</v>
      </c>
      <c r="C18" s="9" t="s">
        <v>90</v>
      </c>
      <c r="D18" s="9">
        <f t="shared" si="1"/>
        <v>2</v>
      </c>
      <c r="E18" s="9" t="s">
        <v>68</v>
      </c>
      <c r="F18" s="9">
        <f t="shared" si="2"/>
        <v>1</v>
      </c>
      <c r="G18" s="9" t="s">
        <v>69</v>
      </c>
      <c r="H18" s="9" t="str">
        <f t="shared" si="3"/>
        <v>Rural</v>
      </c>
      <c r="I18" s="9">
        <f t="shared" si="4"/>
        <v>1</v>
      </c>
      <c r="J18" s="9" t="s">
        <v>83</v>
      </c>
      <c r="K18" s="9" t="s">
        <v>84</v>
      </c>
      <c r="L18" s="9">
        <f t="shared" si="5"/>
        <v>2</v>
      </c>
      <c r="M18" s="9" t="s">
        <v>71</v>
      </c>
      <c r="N18" s="9">
        <f t="shared" si="6"/>
        <v>7.7</v>
      </c>
      <c r="O18" s="9" t="s">
        <v>78</v>
      </c>
      <c r="P18" s="9">
        <f t="shared" si="7"/>
        <v>3</v>
      </c>
      <c r="Q18" s="9" t="s">
        <v>85</v>
      </c>
      <c r="R18" s="9">
        <f t="shared" si="8"/>
        <v>4</v>
      </c>
      <c r="S18" s="9" t="s">
        <v>73</v>
      </c>
      <c r="T18" s="9">
        <f t="shared" si="9"/>
        <v>2</v>
      </c>
      <c r="U18" s="9" t="s">
        <v>96</v>
      </c>
      <c r="V18" s="9">
        <f t="shared" si="10"/>
        <v>2.5</v>
      </c>
      <c r="W18" s="9" t="s">
        <v>105</v>
      </c>
      <c r="X18" s="9">
        <f t="shared" si="11"/>
        <v>1</v>
      </c>
      <c r="Y18" s="9">
        <f t="shared" si="12"/>
        <v>1</v>
      </c>
      <c r="Z18" s="9">
        <f t="shared" si="13"/>
        <v>0</v>
      </c>
      <c r="AA18" s="9">
        <f t="shared" si="14"/>
        <v>0</v>
      </c>
      <c r="AB18" s="9" t="s">
        <v>78</v>
      </c>
      <c r="AC18" s="9">
        <f t="shared" si="15"/>
        <v>3</v>
      </c>
      <c r="AD18" s="9" t="s">
        <v>78</v>
      </c>
      <c r="AE18" s="9">
        <f t="shared" si="16"/>
        <v>3</v>
      </c>
      <c r="AF18" s="9" t="s">
        <v>71</v>
      </c>
      <c r="AG18" s="9">
        <f t="shared" si="17"/>
        <v>7.7</v>
      </c>
      <c r="AH18" s="9" t="s">
        <v>85</v>
      </c>
      <c r="AI18" s="9">
        <f t="shared" si="18"/>
        <v>4</v>
      </c>
      <c r="AJ18" s="9" t="s">
        <v>78</v>
      </c>
      <c r="AK18" s="9">
        <f t="shared" si="19"/>
        <v>3</v>
      </c>
      <c r="AL18" s="9" t="s">
        <v>78</v>
      </c>
      <c r="AM18" s="9">
        <f t="shared" si="20"/>
        <v>3</v>
      </c>
      <c r="AN18" s="9" t="s">
        <v>85</v>
      </c>
      <c r="AO18" s="9">
        <f t="shared" si="21"/>
        <v>4</v>
      </c>
      <c r="AP18" s="9" t="s">
        <v>85</v>
      </c>
      <c r="AQ18" s="9">
        <f t="shared" si="22"/>
        <v>4</v>
      </c>
      <c r="AR18" s="9" t="s">
        <v>78</v>
      </c>
      <c r="AS18" s="9">
        <f t="shared" si="23"/>
        <v>3</v>
      </c>
      <c r="AT18" s="9" t="s">
        <v>94</v>
      </c>
      <c r="AU18" s="9">
        <f t="shared" si="24"/>
        <v>0</v>
      </c>
      <c r="AV18" s="9">
        <f t="shared" si="25"/>
        <v>0</v>
      </c>
      <c r="AW18" s="9">
        <f t="shared" si="26"/>
        <v>1</v>
      </c>
      <c r="AX18" s="9">
        <f t="shared" si="27"/>
        <v>0</v>
      </c>
      <c r="AY18" s="9">
        <f t="shared" si="28"/>
        <v>0</v>
      </c>
      <c r="AZ18" s="9">
        <f t="shared" si="29"/>
        <v>1</v>
      </c>
      <c r="BA18" s="9">
        <f t="shared" si="30"/>
        <v>0</v>
      </c>
      <c r="BB18" s="9" t="s">
        <v>88</v>
      </c>
      <c r="BC18" s="9">
        <f t="shared" si="31"/>
        <v>2</v>
      </c>
      <c r="BD18" s="12"/>
      <c r="BE18" s="9" t="str">
        <f t="shared" si="32"/>
        <v>N/A</v>
      </c>
      <c r="BF18" s="12"/>
      <c r="BG18" s="9">
        <f t="shared" si="33"/>
        <v>0</v>
      </c>
      <c r="BH18" s="9">
        <f t="shared" si="34"/>
        <v>0</v>
      </c>
      <c r="BI18" s="9">
        <f t="shared" si="35"/>
        <v>0</v>
      </c>
      <c r="BJ18" s="9">
        <f t="shared" si="36"/>
        <v>0</v>
      </c>
      <c r="BK18" s="9">
        <f t="shared" si="37"/>
        <v>0</v>
      </c>
      <c r="BL18" s="9">
        <f t="shared" si="38"/>
        <v>0</v>
      </c>
      <c r="BM18" s="9">
        <f t="shared" si="39"/>
        <v>0</v>
      </c>
      <c r="BN18" s="9" t="s">
        <v>108</v>
      </c>
      <c r="BO18" s="11">
        <f t="shared" si="40"/>
        <v>3</v>
      </c>
    </row>
    <row r="19" ht="22.5" customHeight="1">
      <c r="A19" s="9">
        <f t="shared" si="41"/>
        <v>18</v>
      </c>
      <c r="B19" s="10">
        <v>46050.67735943287</v>
      </c>
      <c r="C19" s="9" t="s">
        <v>90</v>
      </c>
      <c r="D19" s="9">
        <f t="shared" si="1"/>
        <v>2</v>
      </c>
      <c r="E19" s="9" t="s">
        <v>68</v>
      </c>
      <c r="F19" s="9">
        <f t="shared" si="2"/>
        <v>1</v>
      </c>
      <c r="G19" s="9" t="s">
        <v>69</v>
      </c>
      <c r="H19" s="9" t="str">
        <f t="shared" si="3"/>
        <v>Rural</v>
      </c>
      <c r="I19" s="9">
        <f t="shared" si="4"/>
        <v>1</v>
      </c>
      <c r="J19" s="9" t="s">
        <v>83</v>
      </c>
      <c r="K19" s="9" t="s">
        <v>84</v>
      </c>
      <c r="L19" s="9">
        <f t="shared" si="5"/>
        <v>2</v>
      </c>
      <c r="M19" s="9" t="s">
        <v>71</v>
      </c>
      <c r="N19" s="9">
        <f t="shared" si="6"/>
        <v>7.7</v>
      </c>
      <c r="O19" s="9" t="s">
        <v>78</v>
      </c>
      <c r="P19" s="9">
        <f t="shared" si="7"/>
        <v>3</v>
      </c>
      <c r="Q19" s="9" t="s">
        <v>85</v>
      </c>
      <c r="R19" s="9">
        <f t="shared" si="8"/>
        <v>4</v>
      </c>
      <c r="S19" s="9" t="s">
        <v>78</v>
      </c>
      <c r="T19" s="9">
        <f t="shared" si="9"/>
        <v>3</v>
      </c>
      <c r="U19" s="9" t="s">
        <v>74</v>
      </c>
      <c r="V19" s="9">
        <f t="shared" si="10"/>
        <v>1.5</v>
      </c>
      <c r="W19" s="9" t="s">
        <v>86</v>
      </c>
      <c r="X19" s="9">
        <f t="shared" si="11"/>
        <v>1</v>
      </c>
      <c r="Y19" s="9">
        <f t="shared" si="12"/>
        <v>1</v>
      </c>
      <c r="Z19" s="9">
        <f t="shared" si="13"/>
        <v>1</v>
      </c>
      <c r="AA19" s="9">
        <f t="shared" si="14"/>
        <v>0</v>
      </c>
      <c r="AB19" s="9" t="s">
        <v>78</v>
      </c>
      <c r="AC19" s="9">
        <f t="shared" si="15"/>
        <v>3</v>
      </c>
      <c r="AD19" s="9" t="s">
        <v>85</v>
      </c>
      <c r="AE19" s="9">
        <f t="shared" si="16"/>
        <v>4</v>
      </c>
      <c r="AF19" s="9" t="s">
        <v>71</v>
      </c>
      <c r="AG19" s="9">
        <f t="shared" si="17"/>
        <v>7.7</v>
      </c>
      <c r="AH19" s="9" t="s">
        <v>78</v>
      </c>
      <c r="AI19" s="9">
        <f t="shared" si="18"/>
        <v>3</v>
      </c>
      <c r="AJ19" s="9" t="s">
        <v>73</v>
      </c>
      <c r="AK19" s="9">
        <f t="shared" si="19"/>
        <v>2</v>
      </c>
      <c r="AL19" s="9" t="s">
        <v>78</v>
      </c>
      <c r="AM19" s="9">
        <f t="shared" si="20"/>
        <v>3</v>
      </c>
      <c r="AN19" s="9" t="s">
        <v>85</v>
      </c>
      <c r="AO19" s="9">
        <f t="shared" si="21"/>
        <v>4</v>
      </c>
      <c r="AP19" s="9" t="s">
        <v>78</v>
      </c>
      <c r="AQ19" s="9">
        <f t="shared" si="22"/>
        <v>3</v>
      </c>
      <c r="AR19" s="9" t="s">
        <v>78</v>
      </c>
      <c r="AS19" s="9">
        <f t="shared" si="23"/>
        <v>3</v>
      </c>
      <c r="AT19" s="9" t="s">
        <v>131</v>
      </c>
      <c r="AU19" s="9">
        <f t="shared" si="24"/>
        <v>1</v>
      </c>
      <c r="AV19" s="9">
        <f t="shared" si="25"/>
        <v>1</v>
      </c>
      <c r="AW19" s="9">
        <f t="shared" si="26"/>
        <v>0</v>
      </c>
      <c r="AX19" s="9">
        <f t="shared" si="27"/>
        <v>0</v>
      </c>
      <c r="AY19" s="9">
        <f t="shared" si="28"/>
        <v>0</v>
      </c>
      <c r="AZ19" s="9">
        <f t="shared" si="29"/>
        <v>1</v>
      </c>
      <c r="BA19" s="9">
        <f t="shared" si="30"/>
        <v>0</v>
      </c>
      <c r="BB19" s="9" t="s">
        <v>88</v>
      </c>
      <c r="BC19" s="9">
        <f t="shared" si="31"/>
        <v>2</v>
      </c>
      <c r="BD19" s="12"/>
      <c r="BE19" s="9" t="str">
        <f t="shared" si="32"/>
        <v>N/A</v>
      </c>
      <c r="BF19" s="9" t="s">
        <v>129</v>
      </c>
      <c r="BG19" s="9">
        <f t="shared" si="33"/>
        <v>0</v>
      </c>
      <c r="BH19" s="9">
        <f t="shared" si="34"/>
        <v>0</v>
      </c>
      <c r="BI19" s="9">
        <f t="shared" si="35"/>
        <v>0</v>
      </c>
      <c r="BJ19" s="9">
        <f t="shared" si="36"/>
        <v>0</v>
      </c>
      <c r="BK19" s="9">
        <f t="shared" si="37"/>
        <v>0</v>
      </c>
      <c r="BL19" s="9">
        <f t="shared" si="38"/>
        <v>1</v>
      </c>
      <c r="BM19" s="9">
        <f t="shared" si="39"/>
        <v>0</v>
      </c>
      <c r="BN19" s="9" t="s">
        <v>108</v>
      </c>
      <c r="BO19" s="11">
        <f t="shared" si="40"/>
        <v>3</v>
      </c>
    </row>
    <row r="20" ht="22.5" customHeight="1">
      <c r="A20" s="9">
        <f t="shared" si="41"/>
        <v>19</v>
      </c>
      <c r="B20" s="10">
        <v>46050.67761724537</v>
      </c>
      <c r="C20" s="9" t="s">
        <v>90</v>
      </c>
      <c r="D20" s="9">
        <f t="shared" si="1"/>
        <v>2</v>
      </c>
      <c r="E20" s="9" t="s">
        <v>68</v>
      </c>
      <c r="F20" s="9">
        <f t="shared" si="2"/>
        <v>1</v>
      </c>
      <c r="G20" s="9" t="s">
        <v>69</v>
      </c>
      <c r="H20" s="9" t="str">
        <f t="shared" si="3"/>
        <v>Rural</v>
      </c>
      <c r="I20" s="9">
        <f t="shared" si="4"/>
        <v>1</v>
      </c>
      <c r="J20" s="9" t="s">
        <v>70</v>
      </c>
      <c r="K20" s="9" t="s">
        <v>100</v>
      </c>
      <c r="L20" s="9">
        <f t="shared" si="5"/>
        <v>3</v>
      </c>
      <c r="M20" s="9" t="s">
        <v>71</v>
      </c>
      <c r="N20" s="9">
        <f t="shared" si="6"/>
        <v>7.7</v>
      </c>
      <c r="O20" s="9" t="s">
        <v>73</v>
      </c>
      <c r="P20" s="9">
        <f t="shared" si="7"/>
        <v>2</v>
      </c>
      <c r="Q20" s="9" t="s">
        <v>85</v>
      </c>
      <c r="R20" s="9">
        <f t="shared" si="8"/>
        <v>4</v>
      </c>
      <c r="S20" s="9" t="s">
        <v>72</v>
      </c>
      <c r="T20" s="9">
        <f t="shared" si="9"/>
        <v>1</v>
      </c>
      <c r="U20" s="9" t="s">
        <v>96</v>
      </c>
      <c r="V20" s="9">
        <f t="shared" si="10"/>
        <v>2.5</v>
      </c>
      <c r="W20" s="9" t="s">
        <v>122</v>
      </c>
      <c r="X20" s="9">
        <f t="shared" si="11"/>
        <v>0</v>
      </c>
      <c r="Y20" s="9">
        <f t="shared" si="12"/>
        <v>0</v>
      </c>
      <c r="Z20" s="9">
        <f t="shared" si="13"/>
        <v>1</v>
      </c>
      <c r="AA20" s="9">
        <f t="shared" si="14"/>
        <v>0</v>
      </c>
      <c r="AB20" s="9" t="s">
        <v>73</v>
      </c>
      <c r="AC20" s="9">
        <f t="shared" si="15"/>
        <v>2</v>
      </c>
      <c r="AD20" s="9" t="s">
        <v>85</v>
      </c>
      <c r="AE20" s="9">
        <f t="shared" si="16"/>
        <v>4</v>
      </c>
      <c r="AF20" s="9" t="s">
        <v>76</v>
      </c>
      <c r="AG20" s="9">
        <f t="shared" si="17"/>
        <v>5.5</v>
      </c>
      <c r="AH20" s="9" t="s">
        <v>78</v>
      </c>
      <c r="AI20" s="9">
        <f t="shared" si="18"/>
        <v>3</v>
      </c>
      <c r="AJ20" s="9" t="s">
        <v>78</v>
      </c>
      <c r="AK20" s="9">
        <f t="shared" si="19"/>
        <v>3</v>
      </c>
      <c r="AL20" s="9" t="s">
        <v>73</v>
      </c>
      <c r="AM20" s="9">
        <f t="shared" si="20"/>
        <v>2</v>
      </c>
      <c r="AN20" s="9" t="s">
        <v>78</v>
      </c>
      <c r="AO20" s="9">
        <f t="shared" si="21"/>
        <v>3</v>
      </c>
      <c r="AP20" s="9" t="s">
        <v>78</v>
      </c>
      <c r="AQ20" s="9">
        <f t="shared" si="22"/>
        <v>3</v>
      </c>
      <c r="AR20" s="9" t="s">
        <v>73</v>
      </c>
      <c r="AS20" s="9">
        <f t="shared" si="23"/>
        <v>2</v>
      </c>
      <c r="AT20" s="9" t="s">
        <v>132</v>
      </c>
      <c r="AU20" s="9">
        <f t="shared" si="24"/>
        <v>0</v>
      </c>
      <c r="AV20" s="9">
        <f t="shared" si="25"/>
        <v>0</v>
      </c>
      <c r="AW20" s="9">
        <f t="shared" si="26"/>
        <v>0</v>
      </c>
      <c r="AX20" s="9">
        <f t="shared" si="27"/>
        <v>0</v>
      </c>
      <c r="AY20" s="9">
        <f t="shared" si="28"/>
        <v>0</v>
      </c>
      <c r="AZ20" s="9">
        <f t="shared" si="29"/>
        <v>0</v>
      </c>
      <c r="BA20" s="9">
        <f t="shared" si="30"/>
        <v>1</v>
      </c>
      <c r="BB20" s="9" t="s">
        <v>88</v>
      </c>
      <c r="BC20" s="9">
        <f t="shared" si="31"/>
        <v>2</v>
      </c>
      <c r="BD20" s="12"/>
      <c r="BE20" s="9" t="str">
        <f t="shared" si="32"/>
        <v>N/A</v>
      </c>
      <c r="BF20" s="9" t="s">
        <v>129</v>
      </c>
      <c r="BG20" s="9">
        <f t="shared" si="33"/>
        <v>0</v>
      </c>
      <c r="BH20" s="9">
        <f t="shared" si="34"/>
        <v>0</v>
      </c>
      <c r="BI20" s="9">
        <f t="shared" si="35"/>
        <v>0</v>
      </c>
      <c r="BJ20" s="9">
        <f t="shared" si="36"/>
        <v>0</v>
      </c>
      <c r="BK20" s="9">
        <f t="shared" si="37"/>
        <v>0</v>
      </c>
      <c r="BL20" s="9">
        <f t="shared" si="38"/>
        <v>1</v>
      </c>
      <c r="BM20" s="9">
        <f t="shared" si="39"/>
        <v>0</v>
      </c>
      <c r="BN20" s="9" t="s">
        <v>88</v>
      </c>
      <c r="BO20" s="11">
        <f t="shared" si="40"/>
        <v>2</v>
      </c>
    </row>
    <row r="21" ht="22.5" customHeight="1">
      <c r="A21" s="9">
        <f t="shared" si="41"/>
        <v>20</v>
      </c>
      <c r="B21" s="10">
        <v>46050.6778731713</v>
      </c>
      <c r="C21" s="9" t="s">
        <v>67</v>
      </c>
      <c r="D21" s="9">
        <f t="shared" si="1"/>
        <v>1</v>
      </c>
      <c r="E21" s="9" t="s">
        <v>68</v>
      </c>
      <c r="F21" s="9">
        <f t="shared" si="2"/>
        <v>1</v>
      </c>
      <c r="G21" s="9" t="s">
        <v>69</v>
      </c>
      <c r="H21" s="9" t="str">
        <f t="shared" si="3"/>
        <v>Rural</v>
      </c>
      <c r="I21" s="9">
        <f t="shared" si="4"/>
        <v>1</v>
      </c>
      <c r="J21" s="9" t="s">
        <v>70</v>
      </c>
      <c r="K21" s="9" t="s">
        <v>100</v>
      </c>
      <c r="L21" s="9">
        <f t="shared" si="5"/>
        <v>3</v>
      </c>
      <c r="M21" s="9" t="s">
        <v>101</v>
      </c>
      <c r="N21" s="9">
        <f t="shared" si="6"/>
        <v>2</v>
      </c>
      <c r="O21" s="9" t="s">
        <v>78</v>
      </c>
      <c r="P21" s="9">
        <f t="shared" si="7"/>
        <v>3</v>
      </c>
      <c r="Q21" s="9" t="s">
        <v>78</v>
      </c>
      <c r="R21" s="9">
        <f t="shared" si="8"/>
        <v>3</v>
      </c>
      <c r="S21" s="9" t="s">
        <v>78</v>
      </c>
      <c r="T21" s="9">
        <f t="shared" si="9"/>
        <v>3</v>
      </c>
      <c r="U21" s="9" t="s">
        <v>110</v>
      </c>
      <c r="V21" s="9">
        <f t="shared" si="10"/>
        <v>0.75</v>
      </c>
      <c r="W21" s="9" t="s">
        <v>93</v>
      </c>
      <c r="X21" s="9">
        <f t="shared" si="11"/>
        <v>0</v>
      </c>
      <c r="Y21" s="9">
        <f t="shared" si="12"/>
        <v>1</v>
      </c>
      <c r="Z21" s="9">
        <f t="shared" si="13"/>
        <v>0</v>
      </c>
      <c r="AA21" s="9">
        <f t="shared" si="14"/>
        <v>0</v>
      </c>
      <c r="AB21" s="9" t="s">
        <v>78</v>
      </c>
      <c r="AC21" s="9">
        <f t="shared" si="15"/>
        <v>3</v>
      </c>
      <c r="AD21" s="9" t="s">
        <v>78</v>
      </c>
      <c r="AE21" s="9">
        <f t="shared" si="16"/>
        <v>3</v>
      </c>
      <c r="AF21" s="9" t="s">
        <v>71</v>
      </c>
      <c r="AG21" s="9">
        <f t="shared" si="17"/>
        <v>7.7</v>
      </c>
      <c r="AH21" s="9" t="s">
        <v>85</v>
      </c>
      <c r="AI21" s="9">
        <f t="shared" si="18"/>
        <v>4</v>
      </c>
      <c r="AJ21" s="9" t="s">
        <v>85</v>
      </c>
      <c r="AK21" s="9">
        <f t="shared" si="19"/>
        <v>4</v>
      </c>
      <c r="AL21" s="9" t="s">
        <v>85</v>
      </c>
      <c r="AM21" s="9">
        <f t="shared" si="20"/>
        <v>4</v>
      </c>
      <c r="AN21" s="9" t="s">
        <v>85</v>
      </c>
      <c r="AO21" s="9">
        <f t="shared" si="21"/>
        <v>4</v>
      </c>
      <c r="AP21" s="9" t="s">
        <v>85</v>
      </c>
      <c r="AQ21" s="9">
        <f t="shared" si="22"/>
        <v>4</v>
      </c>
      <c r="AR21" s="9" t="s">
        <v>85</v>
      </c>
      <c r="AS21" s="9">
        <f t="shared" si="23"/>
        <v>4</v>
      </c>
      <c r="AT21" s="9" t="s">
        <v>133</v>
      </c>
      <c r="AU21" s="9">
        <f t="shared" si="24"/>
        <v>0</v>
      </c>
      <c r="AV21" s="9">
        <f t="shared" si="25"/>
        <v>1</v>
      </c>
      <c r="AW21" s="9">
        <f t="shared" si="26"/>
        <v>0</v>
      </c>
      <c r="AX21" s="9">
        <f t="shared" si="27"/>
        <v>0</v>
      </c>
      <c r="AY21" s="9">
        <f t="shared" si="28"/>
        <v>0</v>
      </c>
      <c r="AZ21" s="9">
        <f t="shared" si="29"/>
        <v>0</v>
      </c>
      <c r="BA21" s="9">
        <f t="shared" si="30"/>
        <v>0</v>
      </c>
      <c r="BB21" s="9" t="s">
        <v>88</v>
      </c>
      <c r="BC21" s="9">
        <f t="shared" si="31"/>
        <v>2</v>
      </c>
      <c r="BD21" s="12"/>
      <c r="BE21" s="9" t="str">
        <f t="shared" si="32"/>
        <v>N/A</v>
      </c>
      <c r="BF21" s="9" t="s">
        <v>107</v>
      </c>
      <c r="BG21" s="9">
        <f t="shared" si="33"/>
        <v>1</v>
      </c>
      <c r="BH21" s="9">
        <f t="shared" si="34"/>
        <v>0</v>
      </c>
      <c r="BI21" s="9">
        <f t="shared" si="35"/>
        <v>0</v>
      </c>
      <c r="BJ21" s="9">
        <f t="shared" si="36"/>
        <v>0</v>
      </c>
      <c r="BK21" s="9">
        <f t="shared" si="37"/>
        <v>0</v>
      </c>
      <c r="BL21" s="9">
        <f t="shared" si="38"/>
        <v>0</v>
      </c>
      <c r="BM21" s="9">
        <f t="shared" si="39"/>
        <v>0</v>
      </c>
      <c r="BN21" s="9" t="s">
        <v>68</v>
      </c>
      <c r="BO21" s="11">
        <f t="shared" si="40"/>
        <v>1</v>
      </c>
    </row>
    <row r="22" ht="22.5" customHeight="1">
      <c r="A22" s="9">
        <f t="shared" si="41"/>
        <v>21</v>
      </c>
      <c r="B22" s="10">
        <v>46050.680248449076</v>
      </c>
      <c r="C22" s="9" t="s">
        <v>67</v>
      </c>
      <c r="D22" s="9">
        <f t="shared" si="1"/>
        <v>1</v>
      </c>
      <c r="E22" s="9" t="s">
        <v>68</v>
      </c>
      <c r="F22" s="9">
        <f t="shared" si="2"/>
        <v>1</v>
      </c>
      <c r="G22" s="9" t="s">
        <v>91</v>
      </c>
      <c r="H22" s="9" t="str">
        <f t="shared" si="3"/>
        <v>Urban</v>
      </c>
      <c r="I22" s="9">
        <f t="shared" si="4"/>
        <v>2</v>
      </c>
      <c r="J22" s="9" t="s">
        <v>70</v>
      </c>
      <c r="K22" s="9" t="s">
        <v>100</v>
      </c>
      <c r="L22" s="9">
        <f t="shared" si="5"/>
        <v>3</v>
      </c>
      <c r="M22" s="9" t="s">
        <v>71</v>
      </c>
      <c r="N22" s="9">
        <f t="shared" si="6"/>
        <v>7.7</v>
      </c>
      <c r="O22" s="9" t="s">
        <v>85</v>
      </c>
      <c r="P22" s="9">
        <f t="shared" si="7"/>
        <v>4</v>
      </c>
      <c r="Q22" s="9" t="s">
        <v>85</v>
      </c>
      <c r="R22" s="9">
        <f t="shared" si="8"/>
        <v>4</v>
      </c>
      <c r="S22" s="9" t="s">
        <v>85</v>
      </c>
      <c r="T22" s="9">
        <f t="shared" si="9"/>
        <v>4</v>
      </c>
      <c r="U22" s="9" t="s">
        <v>110</v>
      </c>
      <c r="V22" s="9">
        <f t="shared" si="10"/>
        <v>0.75</v>
      </c>
      <c r="W22" s="9" t="s">
        <v>86</v>
      </c>
      <c r="X22" s="9">
        <f t="shared" si="11"/>
        <v>1</v>
      </c>
      <c r="Y22" s="9">
        <f t="shared" si="12"/>
        <v>1</v>
      </c>
      <c r="Z22" s="9">
        <f t="shared" si="13"/>
        <v>1</v>
      </c>
      <c r="AA22" s="9">
        <f t="shared" si="14"/>
        <v>0</v>
      </c>
      <c r="AB22" s="9" t="s">
        <v>85</v>
      </c>
      <c r="AC22" s="9">
        <f t="shared" si="15"/>
        <v>4</v>
      </c>
      <c r="AD22" s="9" t="s">
        <v>85</v>
      </c>
      <c r="AE22" s="9">
        <f t="shared" si="16"/>
        <v>4</v>
      </c>
      <c r="AF22" s="9" t="s">
        <v>76</v>
      </c>
      <c r="AG22" s="9">
        <f t="shared" si="17"/>
        <v>5.5</v>
      </c>
      <c r="AH22" s="9" t="s">
        <v>73</v>
      </c>
      <c r="AI22" s="9">
        <f t="shared" si="18"/>
        <v>2</v>
      </c>
      <c r="AJ22" s="9" t="s">
        <v>73</v>
      </c>
      <c r="AK22" s="9">
        <f t="shared" si="19"/>
        <v>2</v>
      </c>
      <c r="AL22" s="9" t="s">
        <v>73</v>
      </c>
      <c r="AM22" s="9">
        <f t="shared" si="20"/>
        <v>2</v>
      </c>
      <c r="AN22" s="9" t="s">
        <v>73</v>
      </c>
      <c r="AO22" s="9">
        <f t="shared" si="21"/>
        <v>2</v>
      </c>
      <c r="AP22" s="9" t="s">
        <v>73</v>
      </c>
      <c r="AQ22" s="9">
        <f t="shared" si="22"/>
        <v>2</v>
      </c>
      <c r="AR22" s="9" t="s">
        <v>73</v>
      </c>
      <c r="AS22" s="9">
        <f t="shared" si="23"/>
        <v>2</v>
      </c>
      <c r="AT22" s="9" t="s">
        <v>134</v>
      </c>
      <c r="AU22" s="9">
        <f t="shared" si="24"/>
        <v>1</v>
      </c>
      <c r="AV22" s="9">
        <f t="shared" si="25"/>
        <v>1</v>
      </c>
      <c r="AW22" s="9">
        <f t="shared" si="26"/>
        <v>0</v>
      </c>
      <c r="AX22" s="9">
        <f t="shared" si="27"/>
        <v>0</v>
      </c>
      <c r="AY22" s="9">
        <f t="shared" si="28"/>
        <v>0</v>
      </c>
      <c r="AZ22" s="9">
        <f t="shared" si="29"/>
        <v>1</v>
      </c>
      <c r="BA22" s="9">
        <f t="shared" si="30"/>
        <v>0</v>
      </c>
      <c r="BB22" s="9" t="s">
        <v>88</v>
      </c>
      <c r="BC22" s="9">
        <f t="shared" si="31"/>
        <v>2</v>
      </c>
      <c r="BD22" s="12"/>
      <c r="BE22" s="9" t="str">
        <f t="shared" si="32"/>
        <v>N/A</v>
      </c>
      <c r="BF22" s="9" t="s">
        <v>135</v>
      </c>
      <c r="BG22" s="9">
        <f t="shared" si="33"/>
        <v>1</v>
      </c>
      <c r="BH22" s="9">
        <f t="shared" si="34"/>
        <v>0</v>
      </c>
      <c r="BI22" s="9">
        <f t="shared" si="35"/>
        <v>0</v>
      </c>
      <c r="BJ22" s="9">
        <f t="shared" si="36"/>
        <v>1</v>
      </c>
      <c r="BK22" s="9">
        <f t="shared" si="37"/>
        <v>0</v>
      </c>
      <c r="BL22" s="9">
        <f t="shared" si="38"/>
        <v>1</v>
      </c>
      <c r="BM22" s="9">
        <f t="shared" si="39"/>
        <v>0</v>
      </c>
      <c r="BN22" s="9" t="s">
        <v>68</v>
      </c>
      <c r="BO22" s="11">
        <f t="shared" si="40"/>
        <v>1</v>
      </c>
    </row>
    <row r="23" ht="22.5" customHeight="1">
      <c r="A23" s="9">
        <f t="shared" si="41"/>
        <v>22</v>
      </c>
      <c r="B23" s="10">
        <v>46050.68059172454</v>
      </c>
      <c r="C23" s="9" t="s">
        <v>67</v>
      </c>
      <c r="D23" s="9">
        <f t="shared" si="1"/>
        <v>1</v>
      </c>
      <c r="E23" s="9" t="s">
        <v>68</v>
      </c>
      <c r="F23" s="9">
        <f t="shared" si="2"/>
        <v>1</v>
      </c>
      <c r="G23" s="9" t="s">
        <v>91</v>
      </c>
      <c r="H23" s="9" t="str">
        <f t="shared" si="3"/>
        <v>Urban</v>
      </c>
      <c r="I23" s="9">
        <f t="shared" si="4"/>
        <v>2</v>
      </c>
      <c r="J23" s="9" t="s">
        <v>83</v>
      </c>
      <c r="K23" s="9" t="s">
        <v>84</v>
      </c>
      <c r="L23" s="9">
        <f t="shared" si="5"/>
        <v>2</v>
      </c>
      <c r="M23" s="9" t="s">
        <v>101</v>
      </c>
      <c r="N23" s="9">
        <f t="shared" si="6"/>
        <v>2</v>
      </c>
      <c r="O23" s="9" t="s">
        <v>72</v>
      </c>
      <c r="P23" s="9">
        <f t="shared" si="7"/>
        <v>1</v>
      </c>
      <c r="Q23" s="9" t="s">
        <v>73</v>
      </c>
      <c r="R23" s="9">
        <f t="shared" si="8"/>
        <v>2</v>
      </c>
      <c r="S23" s="9" t="s">
        <v>78</v>
      </c>
      <c r="T23" s="9">
        <f t="shared" si="9"/>
        <v>3</v>
      </c>
      <c r="U23" s="9" t="s">
        <v>136</v>
      </c>
      <c r="V23" s="9">
        <f t="shared" si="10"/>
        <v>0</v>
      </c>
      <c r="W23" s="12"/>
      <c r="X23" s="9">
        <f t="shared" si="11"/>
        <v>0</v>
      </c>
      <c r="Y23" s="9">
        <f t="shared" si="12"/>
        <v>0</v>
      </c>
      <c r="Z23" s="9">
        <f t="shared" si="13"/>
        <v>0</v>
      </c>
      <c r="AA23" s="9">
        <f t="shared" si="14"/>
        <v>0</v>
      </c>
      <c r="AB23" s="12"/>
      <c r="AC23" s="9" t="str">
        <f t="shared" si="15"/>
        <v>N/A</v>
      </c>
      <c r="AD23" s="12"/>
      <c r="AE23" s="9" t="str">
        <f t="shared" si="16"/>
        <v>N/A</v>
      </c>
      <c r="AF23" s="9" t="s">
        <v>101</v>
      </c>
      <c r="AG23" s="9">
        <f t="shared" si="17"/>
        <v>2</v>
      </c>
      <c r="AH23" s="9" t="s">
        <v>72</v>
      </c>
      <c r="AI23" s="9">
        <f t="shared" si="18"/>
        <v>1</v>
      </c>
      <c r="AJ23" s="9" t="s">
        <v>85</v>
      </c>
      <c r="AK23" s="9">
        <f t="shared" si="19"/>
        <v>4</v>
      </c>
      <c r="AL23" s="9" t="s">
        <v>77</v>
      </c>
      <c r="AM23" s="9">
        <f t="shared" si="20"/>
        <v>1</v>
      </c>
      <c r="AN23" s="9" t="s">
        <v>77</v>
      </c>
      <c r="AO23" s="9">
        <f t="shared" si="21"/>
        <v>1</v>
      </c>
      <c r="AP23" s="9" t="s">
        <v>77</v>
      </c>
      <c r="AQ23" s="9">
        <f t="shared" si="22"/>
        <v>1</v>
      </c>
      <c r="AR23" s="9" t="s">
        <v>77</v>
      </c>
      <c r="AS23" s="9">
        <f t="shared" si="23"/>
        <v>1</v>
      </c>
      <c r="AT23" s="9" t="s">
        <v>137</v>
      </c>
      <c r="AU23" s="9">
        <f t="shared" si="24"/>
        <v>1</v>
      </c>
      <c r="AV23" s="9">
        <f t="shared" si="25"/>
        <v>0</v>
      </c>
      <c r="AW23" s="9">
        <f t="shared" si="26"/>
        <v>0</v>
      </c>
      <c r="AX23" s="9">
        <f t="shared" si="27"/>
        <v>1</v>
      </c>
      <c r="AY23" s="9">
        <f t="shared" si="28"/>
        <v>0</v>
      </c>
      <c r="AZ23" s="9">
        <f t="shared" si="29"/>
        <v>0</v>
      </c>
      <c r="BA23" s="9">
        <f t="shared" si="30"/>
        <v>0</v>
      </c>
      <c r="BB23" s="9" t="s">
        <v>68</v>
      </c>
      <c r="BC23" s="9">
        <f t="shared" si="31"/>
        <v>1</v>
      </c>
      <c r="BD23" s="9" t="s">
        <v>138</v>
      </c>
      <c r="BE23" s="9" t="str">
        <f t="shared" si="32"/>
        <v>N/A</v>
      </c>
      <c r="BF23" s="12"/>
      <c r="BG23" s="9">
        <f t="shared" si="33"/>
        <v>0</v>
      </c>
      <c r="BH23" s="9">
        <f t="shared" si="34"/>
        <v>0</v>
      </c>
      <c r="BI23" s="9">
        <f t="shared" si="35"/>
        <v>0</v>
      </c>
      <c r="BJ23" s="9">
        <f t="shared" si="36"/>
        <v>0</v>
      </c>
      <c r="BK23" s="9">
        <f t="shared" si="37"/>
        <v>0</v>
      </c>
      <c r="BL23" s="9">
        <f t="shared" si="38"/>
        <v>0</v>
      </c>
      <c r="BM23" s="9">
        <f t="shared" si="39"/>
        <v>0</v>
      </c>
      <c r="BN23" s="9" t="s">
        <v>68</v>
      </c>
      <c r="BO23" s="11">
        <f t="shared" si="40"/>
        <v>1</v>
      </c>
    </row>
    <row r="24" ht="22.5" customHeight="1">
      <c r="A24" s="9">
        <f t="shared" si="41"/>
        <v>23</v>
      </c>
      <c r="B24" s="10">
        <v>46050.68195885417</v>
      </c>
      <c r="C24" s="9" t="s">
        <v>67</v>
      </c>
      <c r="D24" s="9">
        <f t="shared" si="1"/>
        <v>1</v>
      </c>
      <c r="E24" s="9" t="s">
        <v>68</v>
      </c>
      <c r="F24" s="9">
        <f t="shared" si="2"/>
        <v>1</v>
      </c>
      <c r="G24" s="9" t="s">
        <v>91</v>
      </c>
      <c r="H24" s="9" t="str">
        <f t="shared" si="3"/>
        <v>Urban</v>
      </c>
      <c r="I24" s="9">
        <f t="shared" si="4"/>
        <v>2</v>
      </c>
      <c r="J24" s="9" t="s">
        <v>83</v>
      </c>
      <c r="K24" s="9" t="s">
        <v>84</v>
      </c>
      <c r="L24" s="9">
        <f t="shared" si="5"/>
        <v>2</v>
      </c>
      <c r="M24" s="9" t="s">
        <v>76</v>
      </c>
      <c r="N24" s="9">
        <f t="shared" si="6"/>
        <v>5.5</v>
      </c>
      <c r="O24" s="9" t="s">
        <v>85</v>
      </c>
      <c r="P24" s="9">
        <f t="shared" si="7"/>
        <v>4</v>
      </c>
      <c r="Q24" s="9" t="s">
        <v>85</v>
      </c>
      <c r="R24" s="9">
        <f t="shared" si="8"/>
        <v>4</v>
      </c>
      <c r="S24" s="9" t="s">
        <v>85</v>
      </c>
      <c r="T24" s="9">
        <f t="shared" si="9"/>
        <v>4</v>
      </c>
      <c r="U24" s="9" t="s">
        <v>96</v>
      </c>
      <c r="V24" s="9">
        <f t="shared" si="10"/>
        <v>2.5</v>
      </c>
      <c r="W24" s="9" t="s">
        <v>102</v>
      </c>
      <c r="X24" s="9">
        <f t="shared" si="11"/>
        <v>1</v>
      </c>
      <c r="Y24" s="9">
        <f t="shared" si="12"/>
        <v>1</v>
      </c>
      <c r="Z24" s="9">
        <f t="shared" si="13"/>
        <v>1</v>
      </c>
      <c r="AA24" s="9">
        <f t="shared" si="14"/>
        <v>1</v>
      </c>
      <c r="AB24" s="9" t="s">
        <v>85</v>
      </c>
      <c r="AC24" s="9">
        <f t="shared" si="15"/>
        <v>4</v>
      </c>
      <c r="AD24" s="9" t="s">
        <v>85</v>
      </c>
      <c r="AE24" s="9">
        <f t="shared" si="16"/>
        <v>4</v>
      </c>
      <c r="AF24" s="9" t="s">
        <v>71</v>
      </c>
      <c r="AG24" s="9">
        <f t="shared" si="17"/>
        <v>7.7</v>
      </c>
      <c r="AH24" s="9" t="s">
        <v>85</v>
      </c>
      <c r="AI24" s="9">
        <f t="shared" si="18"/>
        <v>4</v>
      </c>
      <c r="AJ24" s="9" t="s">
        <v>85</v>
      </c>
      <c r="AK24" s="9">
        <f t="shared" si="19"/>
        <v>4</v>
      </c>
      <c r="AL24" s="9" t="s">
        <v>85</v>
      </c>
      <c r="AM24" s="9">
        <f t="shared" si="20"/>
        <v>4</v>
      </c>
      <c r="AN24" s="9" t="s">
        <v>85</v>
      </c>
      <c r="AO24" s="9">
        <f t="shared" si="21"/>
        <v>4</v>
      </c>
      <c r="AP24" s="9" t="s">
        <v>85</v>
      </c>
      <c r="AQ24" s="9">
        <f t="shared" si="22"/>
        <v>4</v>
      </c>
      <c r="AR24" s="9" t="s">
        <v>85</v>
      </c>
      <c r="AS24" s="9">
        <f t="shared" si="23"/>
        <v>4</v>
      </c>
      <c r="AT24" s="9" t="s">
        <v>114</v>
      </c>
      <c r="AU24" s="9">
        <f t="shared" si="24"/>
        <v>1</v>
      </c>
      <c r="AV24" s="9">
        <f t="shared" si="25"/>
        <v>1</v>
      </c>
      <c r="AW24" s="9">
        <f t="shared" si="26"/>
        <v>1</v>
      </c>
      <c r="AX24" s="9">
        <f t="shared" si="27"/>
        <v>1</v>
      </c>
      <c r="AY24" s="9">
        <f t="shared" si="28"/>
        <v>0</v>
      </c>
      <c r="AZ24" s="9">
        <f t="shared" si="29"/>
        <v>1</v>
      </c>
      <c r="BA24" s="9">
        <f t="shared" si="30"/>
        <v>0</v>
      </c>
      <c r="BB24" s="9" t="s">
        <v>88</v>
      </c>
      <c r="BC24" s="9">
        <f t="shared" si="31"/>
        <v>2</v>
      </c>
      <c r="BD24" s="12"/>
      <c r="BE24" s="9" t="str">
        <f t="shared" si="32"/>
        <v>N/A</v>
      </c>
      <c r="BF24" s="9" t="s">
        <v>89</v>
      </c>
      <c r="BG24" s="9">
        <f t="shared" si="33"/>
        <v>1</v>
      </c>
      <c r="BH24" s="9">
        <f t="shared" si="34"/>
        <v>1</v>
      </c>
      <c r="BI24" s="9">
        <f t="shared" si="35"/>
        <v>1</v>
      </c>
      <c r="BJ24" s="9">
        <f t="shared" si="36"/>
        <v>1</v>
      </c>
      <c r="BK24" s="9">
        <f t="shared" si="37"/>
        <v>1</v>
      </c>
      <c r="BL24" s="9">
        <f t="shared" si="38"/>
        <v>1</v>
      </c>
      <c r="BM24" s="9">
        <f t="shared" si="39"/>
        <v>1</v>
      </c>
      <c r="BN24" s="9" t="s">
        <v>88</v>
      </c>
      <c r="BO24" s="11">
        <f t="shared" si="40"/>
        <v>2</v>
      </c>
    </row>
    <row r="25" ht="22.5" customHeight="1">
      <c r="A25" s="9">
        <f t="shared" si="41"/>
        <v>24</v>
      </c>
      <c r="B25" s="10">
        <v>46050.68424099537</v>
      </c>
      <c r="C25" s="9" t="s">
        <v>67</v>
      </c>
      <c r="D25" s="9">
        <f t="shared" si="1"/>
        <v>1</v>
      </c>
      <c r="E25" s="9" t="s">
        <v>68</v>
      </c>
      <c r="F25" s="9">
        <f t="shared" si="2"/>
        <v>1</v>
      </c>
      <c r="G25" s="9" t="s">
        <v>91</v>
      </c>
      <c r="H25" s="9" t="str">
        <f t="shared" si="3"/>
        <v>Urban</v>
      </c>
      <c r="I25" s="9">
        <f t="shared" si="4"/>
        <v>2</v>
      </c>
      <c r="J25" s="9" t="s">
        <v>83</v>
      </c>
      <c r="K25" s="9" t="s">
        <v>84</v>
      </c>
      <c r="L25" s="9">
        <f t="shared" si="5"/>
        <v>2</v>
      </c>
      <c r="M25" s="9" t="s">
        <v>71</v>
      </c>
      <c r="N25" s="9">
        <f t="shared" si="6"/>
        <v>7.7</v>
      </c>
      <c r="O25" s="9" t="s">
        <v>85</v>
      </c>
      <c r="P25" s="9">
        <f t="shared" si="7"/>
        <v>4</v>
      </c>
      <c r="Q25" s="9" t="s">
        <v>85</v>
      </c>
      <c r="R25" s="9">
        <f t="shared" si="8"/>
        <v>4</v>
      </c>
      <c r="S25" s="9" t="s">
        <v>85</v>
      </c>
      <c r="T25" s="9">
        <f t="shared" si="9"/>
        <v>4</v>
      </c>
      <c r="U25" s="9" t="s">
        <v>92</v>
      </c>
      <c r="V25" s="9">
        <f t="shared" si="10"/>
        <v>3.5</v>
      </c>
      <c r="W25" s="9" t="s">
        <v>102</v>
      </c>
      <c r="X25" s="9">
        <f t="shared" si="11"/>
        <v>1</v>
      </c>
      <c r="Y25" s="9">
        <f t="shared" si="12"/>
        <v>1</v>
      </c>
      <c r="Z25" s="9">
        <f t="shared" si="13"/>
        <v>1</v>
      </c>
      <c r="AA25" s="9">
        <f t="shared" si="14"/>
        <v>1</v>
      </c>
      <c r="AB25" s="9" t="s">
        <v>72</v>
      </c>
      <c r="AC25" s="9">
        <f t="shared" si="15"/>
        <v>1</v>
      </c>
      <c r="AD25" s="9" t="s">
        <v>103</v>
      </c>
      <c r="AE25" s="9">
        <f t="shared" si="16"/>
        <v>5</v>
      </c>
      <c r="AF25" s="9" t="s">
        <v>71</v>
      </c>
      <c r="AG25" s="9">
        <f t="shared" si="17"/>
        <v>7.7</v>
      </c>
      <c r="AH25" s="9" t="s">
        <v>85</v>
      </c>
      <c r="AI25" s="9">
        <f t="shared" si="18"/>
        <v>4</v>
      </c>
      <c r="AJ25" s="9" t="s">
        <v>77</v>
      </c>
      <c r="AK25" s="9">
        <f t="shared" si="19"/>
        <v>1</v>
      </c>
      <c r="AL25" s="9" t="s">
        <v>120</v>
      </c>
      <c r="AM25" s="9">
        <f t="shared" si="20"/>
        <v>5</v>
      </c>
      <c r="AN25" s="9" t="s">
        <v>120</v>
      </c>
      <c r="AO25" s="9">
        <f t="shared" si="21"/>
        <v>5</v>
      </c>
      <c r="AP25" s="9" t="s">
        <v>120</v>
      </c>
      <c r="AQ25" s="9">
        <f t="shared" si="22"/>
        <v>5</v>
      </c>
      <c r="AR25" s="9" t="s">
        <v>120</v>
      </c>
      <c r="AS25" s="9">
        <f t="shared" si="23"/>
        <v>5</v>
      </c>
      <c r="AT25" s="9" t="s">
        <v>139</v>
      </c>
      <c r="AU25" s="9">
        <f t="shared" si="24"/>
        <v>1</v>
      </c>
      <c r="AV25" s="9">
        <f t="shared" si="25"/>
        <v>1</v>
      </c>
      <c r="AW25" s="9">
        <f t="shared" si="26"/>
        <v>0</v>
      </c>
      <c r="AX25" s="9">
        <f t="shared" si="27"/>
        <v>0</v>
      </c>
      <c r="AY25" s="9">
        <f t="shared" si="28"/>
        <v>1</v>
      </c>
      <c r="AZ25" s="9">
        <f t="shared" si="29"/>
        <v>0</v>
      </c>
      <c r="BA25" s="9">
        <f t="shared" si="30"/>
        <v>0</v>
      </c>
      <c r="BB25" s="9" t="s">
        <v>88</v>
      </c>
      <c r="BC25" s="9">
        <f t="shared" si="31"/>
        <v>2</v>
      </c>
      <c r="BD25" s="12"/>
      <c r="BE25" s="9" t="str">
        <f t="shared" si="32"/>
        <v>N/A</v>
      </c>
      <c r="BF25" s="9" t="s">
        <v>95</v>
      </c>
      <c r="BG25" s="9">
        <f t="shared" si="33"/>
        <v>1</v>
      </c>
      <c r="BH25" s="9">
        <f t="shared" si="34"/>
        <v>0</v>
      </c>
      <c r="BI25" s="9">
        <f t="shared" si="35"/>
        <v>1</v>
      </c>
      <c r="BJ25" s="9">
        <f t="shared" si="36"/>
        <v>1</v>
      </c>
      <c r="BK25" s="9">
        <f t="shared" si="37"/>
        <v>0</v>
      </c>
      <c r="BL25" s="9">
        <f t="shared" si="38"/>
        <v>0</v>
      </c>
      <c r="BM25" s="9">
        <f t="shared" si="39"/>
        <v>0</v>
      </c>
      <c r="BN25" s="9" t="s">
        <v>68</v>
      </c>
      <c r="BO25" s="11">
        <f t="shared" si="40"/>
        <v>1</v>
      </c>
    </row>
    <row r="26" ht="22.5" customHeight="1">
      <c r="A26" s="9">
        <f t="shared" si="41"/>
        <v>25</v>
      </c>
      <c r="B26" s="10">
        <v>46050.684320925924</v>
      </c>
      <c r="C26" s="9" t="s">
        <v>90</v>
      </c>
      <c r="D26" s="9">
        <f t="shared" si="1"/>
        <v>2</v>
      </c>
      <c r="E26" s="9" t="s">
        <v>68</v>
      </c>
      <c r="F26" s="9">
        <f t="shared" si="2"/>
        <v>1</v>
      </c>
      <c r="G26" s="9" t="s">
        <v>91</v>
      </c>
      <c r="H26" s="9" t="str">
        <f t="shared" si="3"/>
        <v>Urban</v>
      </c>
      <c r="I26" s="9">
        <f t="shared" si="4"/>
        <v>2</v>
      </c>
      <c r="J26" s="9" t="s">
        <v>70</v>
      </c>
      <c r="K26" s="9" t="s">
        <v>100</v>
      </c>
      <c r="L26" s="9">
        <f t="shared" si="5"/>
        <v>3</v>
      </c>
      <c r="M26" s="9" t="s">
        <v>71</v>
      </c>
      <c r="N26" s="9">
        <f t="shared" si="6"/>
        <v>7.7</v>
      </c>
      <c r="O26" s="9" t="s">
        <v>78</v>
      </c>
      <c r="P26" s="9">
        <f t="shared" si="7"/>
        <v>3</v>
      </c>
      <c r="Q26" s="9" t="s">
        <v>103</v>
      </c>
      <c r="R26" s="9">
        <f t="shared" si="8"/>
        <v>5</v>
      </c>
      <c r="S26" s="9" t="s">
        <v>78</v>
      </c>
      <c r="T26" s="9">
        <f t="shared" si="9"/>
        <v>3</v>
      </c>
      <c r="U26" s="9" t="s">
        <v>74</v>
      </c>
      <c r="V26" s="9">
        <f t="shared" si="10"/>
        <v>1.5</v>
      </c>
      <c r="W26" s="9" t="s">
        <v>75</v>
      </c>
      <c r="X26" s="9">
        <f t="shared" si="11"/>
        <v>0</v>
      </c>
      <c r="Y26" s="9">
        <f t="shared" si="12"/>
        <v>1</v>
      </c>
      <c r="Z26" s="9">
        <f t="shared" si="13"/>
        <v>0</v>
      </c>
      <c r="AA26" s="9">
        <f t="shared" si="14"/>
        <v>1</v>
      </c>
      <c r="AB26" s="9" t="s">
        <v>73</v>
      </c>
      <c r="AC26" s="9">
        <f t="shared" si="15"/>
        <v>2</v>
      </c>
      <c r="AD26" s="9" t="s">
        <v>73</v>
      </c>
      <c r="AE26" s="9">
        <f t="shared" si="16"/>
        <v>2</v>
      </c>
      <c r="AF26" s="9" t="s">
        <v>109</v>
      </c>
      <c r="AG26" s="9">
        <f t="shared" si="17"/>
        <v>9</v>
      </c>
      <c r="AH26" s="9" t="s">
        <v>103</v>
      </c>
      <c r="AI26" s="9">
        <f t="shared" si="18"/>
        <v>5</v>
      </c>
      <c r="AJ26" s="9" t="s">
        <v>85</v>
      </c>
      <c r="AK26" s="9">
        <f t="shared" si="19"/>
        <v>4</v>
      </c>
      <c r="AL26" s="9" t="s">
        <v>85</v>
      </c>
      <c r="AM26" s="9">
        <f t="shared" si="20"/>
        <v>4</v>
      </c>
      <c r="AN26" s="9" t="s">
        <v>85</v>
      </c>
      <c r="AO26" s="9">
        <f t="shared" si="21"/>
        <v>4</v>
      </c>
      <c r="AP26" s="9" t="s">
        <v>78</v>
      </c>
      <c r="AQ26" s="9">
        <f t="shared" si="22"/>
        <v>3</v>
      </c>
      <c r="AR26" s="9" t="s">
        <v>85</v>
      </c>
      <c r="AS26" s="9">
        <f t="shared" si="23"/>
        <v>4</v>
      </c>
      <c r="AT26" s="9" t="s">
        <v>140</v>
      </c>
      <c r="AU26" s="9">
        <f t="shared" si="24"/>
        <v>0</v>
      </c>
      <c r="AV26" s="9">
        <f t="shared" si="25"/>
        <v>1</v>
      </c>
      <c r="AW26" s="9">
        <f t="shared" si="26"/>
        <v>0</v>
      </c>
      <c r="AX26" s="9">
        <f t="shared" si="27"/>
        <v>1</v>
      </c>
      <c r="AY26" s="9">
        <f t="shared" si="28"/>
        <v>0</v>
      </c>
      <c r="AZ26" s="9">
        <f t="shared" si="29"/>
        <v>0</v>
      </c>
      <c r="BA26" s="9">
        <f t="shared" si="30"/>
        <v>0</v>
      </c>
      <c r="BB26" s="9" t="s">
        <v>68</v>
      </c>
      <c r="BC26" s="9">
        <f t="shared" si="31"/>
        <v>1</v>
      </c>
      <c r="BD26" s="9" t="s">
        <v>141</v>
      </c>
      <c r="BE26" s="9" t="str">
        <f t="shared" ref="BE26:BE35" si="42">IFS(OR(BD26="Sleeping tracking",BD26="Sleep tracker"),"Sleep tracker app",BD26="Health","Health app",OR(BD26="Samsung Health ",BD26="samsung responses"),"Samsung Health app",OR(BD26="Alarm clock",BD26="Alarm"),"Alarm app",BD26="My health app","My health app",BD26="Smartwatch / wearable apps","Wearable app",BD26="HryFine","HryFine app",TRUE,"N/A")
</f>
        <v>Samsung Health app</v>
      </c>
      <c r="BF26" s="9" t="s">
        <v>142</v>
      </c>
      <c r="BG26" s="9">
        <f t="shared" si="33"/>
        <v>0</v>
      </c>
      <c r="BH26" s="9">
        <f t="shared" si="34"/>
        <v>0</v>
      </c>
      <c r="BI26" s="9">
        <f t="shared" si="35"/>
        <v>0</v>
      </c>
      <c r="BJ26" s="9">
        <f t="shared" si="36"/>
        <v>0</v>
      </c>
      <c r="BK26" s="9">
        <f t="shared" si="37"/>
        <v>1</v>
      </c>
      <c r="BL26" s="9">
        <f t="shared" si="38"/>
        <v>1</v>
      </c>
      <c r="BM26" s="9">
        <f t="shared" si="39"/>
        <v>0</v>
      </c>
      <c r="BN26" s="9" t="s">
        <v>68</v>
      </c>
      <c r="BO26" s="11">
        <f t="shared" si="40"/>
        <v>1</v>
      </c>
    </row>
    <row r="27" ht="22.5" customHeight="1">
      <c r="A27" s="9">
        <f t="shared" si="41"/>
        <v>26</v>
      </c>
      <c r="B27" s="10">
        <v>46050.68433483796</v>
      </c>
      <c r="C27" s="9" t="s">
        <v>90</v>
      </c>
      <c r="D27" s="9">
        <f t="shared" si="1"/>
        <v>2</v>
      </c>
      <c r="E27" s="9" t="s">
        <v>68</v>
      </c>
      <c r="F27" s="9">
        <f t="shared" si="2"/>
        <v>1</v>
      </c>
      <c r="G27" s="9" t="s">
        <v>91</v>
      </c>
      <c r="H27" s="9" t="str">
        <f t="shared" si="3"/>
        <v>Urban</v>
      </c>
      <c r="I27" s="9">
        <f t="shared" si="4"/>
        <v>2</v>
      </c>
      <c r="J27" s="9" t="s">
        <v>70</v>
      </c>
      <c r="K27" s="9" t="s">
        <v>100</v>
      </c>
      <c r="L27" s="9">
        <f t="shared" si="5"/>
        <v>3</v>
      </c>
      <c r="M27" s="9" t="s">
        <v>76</v>
      </c>
      <c r="N27" s="9">
        <f t="shared" si="6"/>
        <v>5.5</v>
      </c>
      <c r="O27" s="9" t="s">
        <v>73</v>
      </c>
      <c r="P27" s="9">
        <f t="shared" si="7"/>
        <v>2</v>
      </c>
      <c r="Q27" s="9" t="s">
        <v>85</v>
      </c>
      <c r="R27" s="9">
        <f t="shared" si="8"/>
        <v>4</v>
      </c>
      <c r="S27" s="9" t="s">
        <v>73</v>
      </c>
      <c r="T27" s="9">
        <f t="shared" si="9"/>
        <v>2</v>
      </c>
      <c r="U27" s="9" t="s">
        <v>110</v>
      </c>
      <c r="V27" s="9">
        <f t="shared" si="10"/>
        <v>0.75</v>
      </c>
      <c r="W27" s="9" t="s">
        <v>143</v>
      </c>
      <c r="X27" s="9">
        <f t="shared" si="11"/>
        <v>1</v>
      </c>
      <c r="Y27" s="9">
        <f t="shared" si="12"/>
        <v>0</v>
      </c>
      <c r="Z27" s="9">
        <f t="shared" si="13"/>
        <v>0</v>
      </c>
      <c r="AA27" s="9">
        <f t="shared" si="14"/>
        <v>0</v>
      </c>
      <c r="AB27" s="9" t="s">
        <v>72</v>
      </c>
      <c r="AC27" s="9">
        <f t="shared" si="15"/>
        <v>1</v>
      </c>
      <c r="AD27" s="9" t="s">
        <v>72</v>
      </c>
      <c r="AE27" s="9">
        <f t="shared" si="16"/>
        <v>1</v>
      </c>
      <c r="AF27" s="9" t="s">
        <v>76</v>
      </c>
      <c r="AG27" s="9">
        <f t="shared" si="17"/>
        <v>5.5</v>
      </c>
      <c r="AH27" s="9" t="s">
        <v>73</v>
      </c>
      <c r="AI27" s="9">
        <f t="shared" si="18"/>
        <v>2</v>
      </c>
      <c r="AJ27" s="9" t="s">
        <v>73</v>
      </c>
      <c r="AK27" s="9">
        <f t="shared" si="19"/>
        <v>2</v>
      </c>
      <c r="AL27" s="9" t="s">
        <v>85</v>
      </c>
      <c r="AM27" s="9">
        <f t="shared" si="20"/>
        <v>4</v>
      </c>
      <c r="AN27" s="9" t="s">
        <v>85</v>
      </c>
      <c r="AO27" s="9">
        <f t="shared" si="21"/>
        <v>4</v>
      </c>
      <c r="AP27" s="9" t="s">
        <v>85</v>
      </c>
      <c r="AQ27" s="9">
        <f t="shared" si="22"/>
        <v>4</v>
      </c>
      <c r="AR27" s="9" t="s">
        <v>85</v>
      </c>
      <c r="AS27" s="9">
        <f t="shared" si="23"/>
        <v>4</v>
      </c>
      <c r="AT27" s="9" t="s">
        <v>112</v>
      </c>
      <c r="AU27" s="9">
        <f t="shared" si="24"/>
        <v>0</v>
      </c>
      <c r="AV27" s="9">
        <f t="shared" si="25"/>
        <v>0</v>
      </c>
      <c r="AW27" s="9">
        <f t="shared" si="26"/>
        <v>0</v>
      </c>
      <c r="AX27" s="9">
        <f t="shared" si="27"/>
        <v>0</v>
      </c>
      <c r="AY27" s="9">
        <f t="shared" si="28"/>
        <v>1</v>
      </c>
      <c r="AZ27" s="9">
        <f t="shared" si="29"/>
        <v>1</v>
      </c>
      <c r="BA27" s="9">
        <f t="shared" si="30"/>
        <v>0</v>
      </c>
      <c r="BB27" s="9" t="s">
        <v>88</v>
      </c>
      <c r="BC27" s="9">
        <f t="shared" si="31"/>
        <v>2</v>
      </c>
      <c r="BD27" s="12"/>
      <c r="BE27" s="9" t="str">
        <f t="shared" si="42"/>
        <v>N/A</v>
      </c>
      <c r="BF27" s="9" t="s">
        <v>144</v>
      </c>
      <c r="BG27" s="9">
        <f t="shared" si="33"/>
        <v>0</v>
      </c>
      <c r="BH27" s="9">
        <f t="shared" si="34"/>
        <v>1</v>
      </c>
      <c r="BI27" s="9">
        <f t="shared" si="35"/>
        <v>1</v>
      </c>
      <c r="BJ27" s="9">
        <f t="shared" si="36"/>
        <v>1</v>
      </c>
      <c r="BK27" s="9">
        <f t="shared" si="37"/>
        <v>1</v>
      </c>
      <c r="BL27" s="9">
        <f t="shared" si="38"/>
        <v>1</v>
      </c>
      <c r="BM27" s="9">
        <f t="shared" si="39"/>
        <v>0</v>
      </c>
      <c r="BN27" s="9" t="s">
        <v>108</v>
      </c>
      <c r="BO27" s="11">
        <f t="shared" si="40"/>
        <v>3</v>
      </c>
    </row>
    <row r="28" ht="22.5" customHeight="1">
      <c r="A28" s="9">
        <f t="shared" si="41"/>
        <v>27</v>
      </c>
      <c r="B28" s="10">
        <v>46050.68463081018</v>
      </c>
      <c r="C28" s="9" t="s">
        <v>67</v>
      </c>
      <c r="D28" s="9">
        <f t="shared" si="1"/>
        <v>1</v>
      </c>
      <c r="E28" s="9" t="s">
        <v>68</v>
      </c>
      <c r="F28" s="9">
        <f t="shared" si="2"/>
        <v>1</v>
      </c>
      <c r="G28" s="9" t="s">
        <v>69</v>
      </c>
      <c r="H28" s="9" t="str">
        <f t="shared" si="3"/>
        <v>Rural</v>
      </c>
      <c r="I28" s="9">
        <f t="shared" si="4"/>
        <v>1</v>
      </c>
      <c r="J28" s="9" t="s">
        <v>145</v>
      </c>
      <c r="K28" s="9" t="s">
        <v>146</v>
      </c>
      <c r="L28" s="9">
        <f t="shared" si="5"/>
        <v>1</v>
      </c>
      <c r="M28" s="9" t="s">
        <v>76</v>
      </c>
      <c r="N28" s="9">
        <f t="shared" si="6"/>
        <v>5.5</v>
      </c>
      <c r="O28" s="9" t="s">
        <v>78</v>
      </c>
      <c r="P28" s="9">
        <f t="shared" si="7"/>
        <v>3</v>
      </c>
      <c r="Q28" s="9" t="s">
        <v>72</v>
      </c>
      <c r="R28" s="9">
        <f t="shared" si="8"/>
        <v>1</v>
      </c>
      <c r="S28" s="9" t="s">
        <v>73</v>
      </c>
      <c r="T28" s="9">
        <f t="shared" si="9"/>
        <v>2</v>
      </c>
      <c r="U28" s="9" t="s">
        <v>92</v>
      </c>
      <c r="V28" s="9">
        <f t="shared" si="10"/>
        <v>3.5</v>
      </c>
      <c r="W28" s="9" t="s">
        <v>143</v>
      </c>
      <c r="X28" s="9">
        <f t="shared" si="11"/>
        <v>1</v>
      </c>
      <c r="Y28" s="9">
        <f t="shared" si="12"/>
        <v>0</v>
      </c>
      <c r="Z28" s="9">
        <f t="shared" si="13"/>
        <v>0</v>
      </c>
      <c r="AA28" s="9">
        <f t="shared" si="14"/>
        <v>0</v>
      </c>
      <c r="AB28" s="9" t="s">
        <v>73</v>
      </c>
      <c r="AC28" s="9">
        <f t="shared" si="15"/>
        <v>2</v>
      </c>
      <c r="AD28" s="9" t="s">
        <v>73</v>
      </c>
      <c r="AE28" s="9">
        <f t="shared" si="16"/>
        <v>2</v>
      </c>
      <c r="AF28" s="9" t="s">
        <v>101</v>
      </c>
      <c r="AG28" s="9">
        <f t="shared" si="17"/>
        <v>2</v>
      </c>
      <c r="AH28" s="9" t="s">
        <v>78</v>
      </c>
      <c r="AI28" s="9">
        <f t="shared" si="18"/>
        <v>3</v>
      </c>
      <c r="AJ28" s="9" t="s">
        <v>78</v>
      </c>
      <c r="AK28" s="9">
        <f t="shared" si="19"/>
        <v>3</v>
      </c>
      <c r="AL28" s="9" t="s">
        <v>85</v>
      </c>
      <c r="AM28" s="9">
        <f t="shared" si="20"/>
        <v>4</v>
      </c>
      <c r="AN28" s="9" t="s">
        <v>77</v>
      </c>
      <c r="AO28" s="9">
        <f t="shared" si="21"/>
        <v>1</v>
      </c>
      <c r="AP28" s="9" t="s">
        <v>73</v>
      </c>
      <c r="AQ28" s="9">
        <f t="shared" si="22"/>
        <v>2</v>
      </c>
      <c r="AR28" s="9" t="s">
        <v>77</v>
      </c>
      <c r="AS28" s="9">
        <f t="shared" si="23"/>
        <v>1</v>
      </c>
      <c r="AT28" s="9" t="s">
        <v>147</v>
      </c>
      <c r="AU28" s="9">
        <f t="shared" si="24"/>
        <v>1</v>
      </c>
      <c r="AV28" s="9">
        <f t="shared" si="25"/>
        <v>0</v>
      </c>
      <c r="AW28" s="9">
        <f t="shared" si="26"/>
        <v>0</v>
      </c>
      <c r="AX28" s="9">
        <f t="shared" si="27"/>
        <v>0</v>
      </c>
      <c r="AY28" s="9">
        <f t="shared" si="28"/>
        <v>0</v>
      </c>
      <c r="AZ28" s="9">
        <f t="shared" si="29"/>
        <v>0</v>
      </c>
      <c r="BA28" s="9">
        <f t="shared" si="30"/>
        <v>0</v>
      </c>
      <c r="BB28" s="9" t="s">
        <v>88</v>
      </c>
      <c r="BC28" s="9">
        <f t="shared" si="31"/>
        <v>2</v>
      </c>
      <c r="BD28" s="12"/>
      <c r="BE28" s="9" t="str">
        <f t="shared" si="42"/>
        <v>N/A</v>
      </c>
      <c r="BF28" s="9" t="s">
        <v>148</v>
      </c>
      <c r="BG28" s="9">
        <f t="shared" si="33"/>
        <v>0</v>
      </c>
      <c r="BH28" s="9">
        <f t="shared" si="34"/>
        <v>0</v>
      </c>
      <c r="BI28" s="9">
        <f t="shared" si="35"/>
        <v>1</v>
      </c>
      <c r="BJ28" s="9">
        <f t="shared" si="36"/>
        <v>0</v>
      </c>
      <c r="BK28" s="9">
        <f t="shared" si="37"/>
        <v>0</v>
      </c>
      <c r="BL28" s="9">
        <f t="shared" si="38"/>
        <v>1</v>
      </c>
      <c r="BM28" s="9">
        <f t="shared" si="39"/>
        <v>1</v>
      </c>
      <c r="BN28" s="9" t="s">
        <v>108</v>
      </c>
      <c r="BO28" s="11">
        <f t="shared" si="40"/>
        <v>3</v>
      </c>
    </row>
    <row r="29" ht="22.5" customHeight="1">
      <c r="A29" s="9">
        <f t="shared" si="41"/>
        <v>28</v>
      </c>
      <c r="B29" s="10">
        <v>46050.68974158565</v>
      </c>
      <c r="C29" s="9" t="s">
        <v>90</v>
      </c>
      <c r="D29" s="9">
        <f t="shared" si="1"/>
        <v>2</v>
      </c>
      <c r="E29" s="9" t="s">
        <v>68</v>
      </c>
      <c r="F29" s="9">
        <f t="shared" si="2"/>
        <v>1</v>
      </c>
      <c r="G29" s="9" t="s">
        <v>82</v>
      </c>
      <c r="H29" s="9" t="str">
        <f t="shared" si="3"/>
        <v>Urban</v>
      </c>
      <c r="I29" s="9">
        <f t="shared" si="4"/>
        <v>2</v>
      </c>
      <c r="J29" s="9" t="s">
        <v>70</v>
      </c>
      <c r="K29" s="9" t="s">
        <v>100</v>
      </c>
      <c r="L29" s="9">
        <f t="shared" si="5"/>
        <v>3</v>
      </c>
      <c r="M29" s="9" t="s">
        <v>101</v>
      </c>
      <c r="N29" s="9">
        <f t="shared" si="6"/>
        <v>2</v>
      </c>
      <c r="O29" s="9" t="s">
        <v>78</v>
      </c>
      <c r="P29" s="9">
        <f t="shared" si="7"/>
        <v>3</v>
      </c>
      <c r="Q29" s="9" t="s">
        <v>85</v>
      </c>
      <c r="R29" s="9">
        <f t="shared" si="8"/>
        <v>4</v>
      </c>
      <c r="S29" s="9" t="s">
        <v>73</v>
      </c>
      <c r="T29" s="9">
        <f t="shared" si="9"/>
        <v>2</v>
      </c>
      <c r="U29" s="9" t="s">
        <v>74</v>
      </c>
      <c r="V29" s="9">
        <f t="shared" si="10"/>
        <v>1.5</v>
      </c>
      <c r="W29" s="9" t="s">
        <v>143</v>
      </c>
      <c r="X29" s="9">
        <f t="shared" si="11"/>
        <v>1</v>
      </c>
      <c r="Y29" s="9">
        <f t="shared" si="12"/>
        <v>0</v>
      </c>
      <c r="Z29" s="9">
        <f t="shared" si="13"/>
        <v>0</v>
      </c>
      <c r="AA29" s="9">
        <f t="shared" si="14"/>
        <v>0</v>
      </c>
      <c r="AB29" s="9" t="s">
        <v>78</v>
      </c>
      <c r="AC29" s="9">
        <f t="shared" si="15"/>
        <v>3</v>
      </c>
      <c r="AD29" s="9" t="s">
        <v>73</v>
      </c>
      <c r="AE29" s="9">
        <f t="shared" si="16"/>
        <v>2</v>
      </c>
      <c r="AF29" s="9" t="s">
        <v>76</v>
      </c>
      <c r="AG29" s="9">
        <f t="shared" si="17"/>
        <v>5.5</v>
      </c>
      <c r="AH29" s="9" t="s">
        <v>78</v>
      </c>
      <c r="AI29" s="9">
        <f t="shared" si="18"/>
        <v>3</v>
      </c>
      <c r="AJ29" s="9" t="s">
        <v>78</v>
      </c>
      <c r="AK29" s="9">
        <f t="shared" si="19"/>
        <v>3</v>
      </c>
      <c r="AL29" s="9" t="s">
        <v>78</v>
      </c>
      <c r="AM29" s="9">
        <f t="shared" si="20"/>
        <v>3</v>
      </c>
      <c r="AN29" s="9" t="s">
        <v>78</v>
      </c>
      <c r="AO29" s="9">
        <f t="shared" si="21"/>
        <v>3</v>
      </c>
      <c r="AP29" s="9" t="s">
        <v>78</v>
      </c>
      <c r="AQ29" s="9">
        <f t="shared" si="22"/>
        <v>3</v>
      </c>
      <c r="AR29" s="9" t="s">
        <v>78</v>
      </c>
      <c r="AS29" s="9">
        <f t="shared" si="23"/>
        <v>3</v>
      </c>
      <c r="AT29" s="9" t="s">
        <v>147</v>
      </c>
      <c r="AU29" s="9">
        <f t="shared" si="24"/>
        <v>1</v>
      </c>
      <c r="AV29" s="9">
        <f t="shared" si="25"/>
        <v>0</v>
      </c>
      <c r="AW29" s="9">
        <f t="shared" si="26"/>
        <v>0</v>
      </c>
      <c r="AX29" s="9">
        <f t="shared" si="27"/>
        <v>0</v>
      </c>
      <c r="AY29" s="9">
        <f t="shared" si="28"/>
        <v>0</v>
      </c>
      <c r="AZ29" s="9">
        <f t="shared" si="29"/>
        <v>0</v>
      </c>
      <c r="BA29" s="9">
        <f t="shared" si="30"/>
        <v>0</v>
      </c>
      <c r="BB29" s="9" t="s">
        <v>68</v>
      </c>
      <c r="BC29" s="9">
        <f t="shared" si="31"/>
        <v>1</v>
      </c>
      <c r="BD29" s="9" t="s">
        <v>149</v>
      </c>
      <c r="BE29" s="9" t="str">
        <f t="shared" si="42"/>
        <v>N/A</v>
      </c>
      <c r="BF29" s="9" t="s">
        <v>150</v>
      </c>
      <c r="BG29" s="9">
        <f t="shared" si="33"/>
        <v>0</v>
      </c>
      <c r="BH29" s="9">
        <f t="shared" si="34"/>
        <v>0</v>
      </c>
      <c r="BI29" s="9">
        <f t="shared" si="35"/>
        <v>0</v>
      </c>
      <c r="BJ29" s="9">
        <f t="shared" si="36"/>
        <v>0</v>
      </c>
      <c r="BK29" s="9">
        <f t="shared" si="37"/>
        <v>1</v>
      </c>
      <c r="BL29" s="9">
        <f t="shared" si="38"/>
        <v>0</v>
      </c>
      <c r="BM29" s="9">
        <f t="shared" si="39"/>
        <v>0</v>
      </c>
      <c r="BN29" s="9" t="s">
        <v>108</v>
      </c>
      <c r="BO29" s="11">
        <f t="shared" si="40"/>
        <v>3</v>
      </c>
    </row>
    <row r="30" ht="22.5" customHeight="1">
      <c r="A30" s="9">
        <f t="shared" si="41"/>
        <v>29</v>
      </c>
      <c r="B30" s="10">
        <v>46050.69011217593</v>
      </c>
      <c r="C30" s="9" t="s">
        <v>90</v>
      </c>
      <c r="D30" s="9">
        <f t="shared" si="1"/>
        <v>2</v>
      </c>
      <c r="E30" s="9" t="s">
        <v>68</v>
      </c>
      <c r="F30" s="9">
        <f t="shared" si="2"/>
        <v>1</v>
      </c>
      <c r="G30" s="9" t="s">
        <v>69</v>
      </c>
      <c r="H30" s="9" t="str">
        <f t="shared" si="3"/>
        <v>Rural</v>
      </c>
      <c r="I30" s="9">
        <f t="shared" si="4"/>
        <v>1</v>
      </c>
      <c r="J30" s="9" t="s">
        <v>83</v>
      </c>
      <c r="K30" s="9" t="s">
        <v>84</v>
      </c>
      <c r="L30" s="9">
        <f t="shared" si="5"/>
        <v>2</v>
      </c>
      <c r="M30" s="9" t="s">
        <v>101</v>
      </c>
      <c r="N30" s="9">
        <f t="shared" si="6"/>
        <v>2</v>
      </c>
      <c r="O30" s="9" t="s">
        <v>72</v>
      </c>
      <c r="P30" s="9">
        <f t="shared" si="7"/>
        <v>1</v>
      </c>
      <c r="Q30" s="9" t="s">
        <v>73</v>
      </c>
      <c r="R30" s="9">
        <f t="shared" si="8"/>
        <v>2</v>
      </c>
      <c r="S30" s="9" t="s">
        <v>85</v>
      </c>
      <c r="T30" s="9">
        <f t="shared" si="9"/>
        <v>4</v>
      </c>
      <c r="U30" s="9" t="s">
        <v>92</v>
      </c>
      <c r="V30" s="9">
        <f t="shared" si="10"/>
        <v>3.5</v>
      </c>
      <c r="W30" s="9" t="s">
        <v>143</v>
      </c>
      <c r="X30" s="9">
        <f t="shared" si="11"/>
        <v>1</v>
      </c>
      <c r="Y30" s="9">
        <f t="shared" si="12"/>
        <v>0</v>
      </c>
      <c r="Z30" s="9">
        <f t="shared" si="13"/>
        <v>0</v>
      </c>
      <c r="AA30" s="9">
        <f t="shared" si="14"/>
        <v>0</v>
      </c>
      <c r="AB30" s="9" t="s">
        <v>103</v>
      </c>
      <c r="AC30" s="9">
        <f t="shared" si="15"/>
        <v>5</v>
      </c>
      <c r="AD30" s="9" t="s">
        <v>103</v>
      </c>
      <c r="AE30" s="9">
        <f t="shared" si="16"/>
        <v>5</v>
      </c>
      <c r="AF30" s="9" t="s">
        <v>109</v>
      </c>
      <c r="AG30" s="9">
        <f t="shared" si="17"/>
        <v>9</v>
      </c>
      <c r="AH30" s="9" t="s">
        <v>103</v>
      </c>
      <c r="AI30" s="9">
        <f t="shared" si="18"/>
        <v>5</v>
      </c>
      <c r="AJ30" s="9" t="s">
        <v>73</v>
      </c>
      <c r="AK30" s="9">
        <f t="shared" si="19"/>
        <v>2</v>
      </c>
      <c r="AL30" s="9" t="s">
        <v>77</v>
      </c>
      <c r="AM30" s="9">
        <f t="shared" si="20"/>
        <v>1</v>
      </c>
      <c r="AN30" s="9" t="s">
        <v>73</v>
      </c>
      <c r="AO30" s="9">
        <f t="shared" si="21"/>
        <v>2</v>
      </c>
      <c r="AP30" s="9" t="s">
        <v>77</v>
      </c>
      <c r="AQ30" s="9">
        <f t="shared" si="22"/>
        <v>1</v>
      </c>
      <c r="AR30" s="9" t="s">
        <v>120</v>
      </c>
      <c r="AS30" s="9">
        <f t="shared" si="23"/>
        <v>5</v>
      </c>
      <c r="AT30" s="9" t="s">
        <v>147</v>
      </c>
      <c r="AU30" s="9">
        <f t="shared" si="24"/>
        <v>1</v>
      </c>
      <c r="AV30" s="9">
        <f t="shared" si="25"/>
        <v>0</v>
      </c>
      <c r="AW30" s="9">
        <f t="shared" si="26"/>
        <v>0</v>
      </c>
      <c r="AX30" s="9">
        <f t="shared" si="27"/>
        <v>0</v>
      </c>
      <c r="AY30" s="9">
        <f t="shared" si="28"/>
        <v>0</v>
      </c>
      <c r="AZ30" s="9">
        <f t="shared" si="29"/>
        <v>0</v>
      </c>
      <c r="BA30" s="9">
        <f t="shared" si="30"/>
        <v>0</v>
      </c>
      <c r="BB30" s="9" t="s">
        <v>68</v>
      </c>
      <c r="BC30" s="9">
        <f t="shared" si="31"/>
        <v>1</v>
      </c>
      <c r="BD30" s="9" t="s">
        <v>151</v>
      </c>
      <c r="BE30" s="9" t="str">
        <f t="shared" si="42"/>
        <v>N/A</v>
      </c>
      <c r="BF30" s="9" t="s">
        <v>107</v>
      </c>
      <c r="BG30" s="9">
        <f t="shared" si="33"/>
        <v>1</v>
      </c>
      <c r="BH30" s="9">
        <f t="shared" si="34"/>
        <v>0</v>
      </c>
      <c r="BI30" s="9">
        <f t="shared" si="35"/>
        <v>0</v>
      </c>
      <c r="BJ30" s="9">
        <f t="shared" si="36"/>
        <v>0</v>
      </c>
      <c r="BK30" s="9">
        <f t="shared" si="37"/>
        <v>0</v>
      </c>
      <c r="BL30" s="9">
        <f t="shared" si="38"/>
        <v>0</v>
      </c>
      <c r="BM30" s="9">
        <f t="shared" si="39"/>
        <v>0</v>
      </c>
      <c r="BN30" s="9" t="s">
        <v>68</v>
      </c>
      <c r="BO30" s="11">
        <f t="shared" si="40"/>
        <v>1</v>
      </c>
    </row>
    <row r="31" ht="22.5" customHeight="1">
      <c r="A31" s="9">
        <f t="shared" si="41"/>
        <v>30</v>
      </c>
      <c r="B31" s="10">
        <v>46050.69060582176</v>
      </c>
      <c r="C31" s="9" t="s">
        <v>67</v>
      </c>
      <c r="D31" s="9">
        <f t="shared" si="1"/>
        <v>1</v>
      </c>
      <c r="E31" s="9" t="s">
        <v>68</v>
      </c>
      <c r="F31" s="9">
        <f t="shared" si="2"/>
        <v>1</v>
      </c>
      <c r="G31" s="9" t="s">
        <v>91</v>
      </c>
      <c r="H31" s="9" t="str">
        <f t="shared" si="3"/>
        <v>Urban</v>
      </c>
      <c r="I31" s="9">
        <f t="shared" si="4"/>
        <v>2</v>
      </c>
      <c r="J31" s="9" t="s">
        <v>83</v>
      </c>
      <c r="K31" s="9" t="s">
        <v>84</v>
      </c>
      <c r="L31" s="9">
        <f t="shared" si="5"/>
        <v>2</v>
      </c>
      <c r="M31" s="9" t="s">
        <v>101</v>
      </c>
      <c r="N31" s="9">
        <f t="shared" si="6"/>
        <v>2</v>
      </c>
      <c r="O31" s="9" t="s">
        <v>72</v>
      </c>
      <c r="P31" s="9">
        <f t="shared" si="7"/>
        <v>1</v>
      </c>
      <c r="Q31" s="9" t="s">
        <v>103</v>
      </c>
      <c r="R31" s="9">
        <f t="shared" si="8"/>
        <v>5</v>
      </c>
      <c r="S31" s="9" t="s">
        <v>72</v>
      </c>
      <c r="T31" s="9">
        <f t="shared" si="9"/>
        <v>1</v>
      </c>
      <c r="U31" s="9" t="s">
        <v>110</v>
      </c>
      <c r="V31" s="9">
        <f t="shared" si="10"/>
        <v>0.75</v>
      </c>
      <c r="W31" s="9" t="s">
        <v>152</v>
      </c>
      <c r="X31" s="9">
        <f t="shared" si="11"/>
        <v>0</v>
      </c>
      <c r="Y31" s="9">
        <f t="shared" si="12"/>
        <v>0</v>
      </c>
      <c r="Z31" s="9">
        <f t="shared" si="13"/>
        <v>0</v>
      </c>
      <c r="AA31" s="9">
        <f t="shared" si="14"/>
        <v>0</v>
      </c>
      <c r="AB31" s="9" t="s">
        <v>72</v>
      </c>
      <c r="AC31" s="9">
        <f t="shared" si="15"/>
        <v>1</v>
      </c>
      <c r="AD31" s="9" t="s">
        <v>72</v>
      </c>
      <c r="AE31" s="9">
        <f t="shared" si="16"/>
        <v>1</v>
      </c>
      <c r="AF31" s="9" t="s">
        <v>71</v>
      </c>
      <c r="AG31" s="9">
        <f t="shared" si="17"/>
        <v>7.7</v>
      </c>
      <c r="AH31" s="12"/>
      <c r="AI31" s="9" t="str">
        <f t="shared" si="18"/>
        <v>N/A</v>
      </c>
      <c r="AJ31" s="9" t="s">
        <v>73</v>
      </c>
      <c r="AK31" s="9">
        <f t="shared" si="19"/>
        <v>2</v>
      </c>
      <c r="AL31" s="9" t="s">
        <v>120</v>
      </c>
      <c r="AM31" s="9">
        <f t="shared" si="20"/>
        <v>5</v>
      </c>
      <c r="AN31" s="9" t="s">
        <v>120</v>
      </c>
      <c r="AO31" s="9">
        <f t="shared" si="21"/>
        <v>5</v>
      </c>
      <c r="AP31" s="9" t="s">
        <v>120</v>
      </c>
      <c r="AQ31" s="9">
        <f t="shared" si="22"/>
        <v>5</v>
      </c>
      <c r="AR31" s="9" t="s">
        <v>120</v>
      </c>
      <c r="AS31" s="9">
        <f t="shared" si="23"/>
        <v>5</v>
      </c>
      <c r="AT31" s="9" t="s">
        <v>153</v>
      </c>
      <c r="AU31" s="9">
        <f t="shared" si="24"/>
        <v>1</v>
      </c>
      <c r="AV31" s="9">
        <f t="shared" si="25"/>
        <v>0</v>
      </c>
      <c r="AW31" s="9">
        <f t="shared" si="26"/>
        <v>0</v>
      </c>
      <c r="AX31" s="9">
        <f t="shared" si="27"/>
        <v>0</v>
      </c>
      <c r="AY31" s="9">
        <f t="shared" si="28"/>
        <v>0</v>
      </c>
      <c r="AZ31" s="9">
        <f t="shared" si="29"/>
        <v>1</v>
      </c>
      <c r="BA31" s="9">
        <f t="shared" si="30"/>
        <v>1</v>
      </c>
      <c r="BB31" s="9" t="s">
        <v>88</v>
      </c>
      <c r="BC31" s="9">
        <f t="shared" si="31"/>
        <v>2</v>
      </c>
      <c r="BD31" s="12"/>
      <c r="BE31" s="9" t="str">
        <f t="shared" si="42"/>
        <v>N/A</v>
      </c>
      <c r="BF31" s="9" t="s">
        <v>130</v>
      </c>
      <c r="BG31" s="9">
        <f t="shared" si="33"/>
        <v>1</v>
      </c>
      <c r="BH31" s="9">
        <f t="shared" si="34"/>
        <v>0</v>
      </c>
      <c r="BI31" s="9">
        <f t="shared" si="35"/>
        <v>0</v>
      </c>
      <c r="BJ31" s="9">
        <f t="shared" si="36"/>
        <v>1</v>
      </c>
      <c r="BK31" s="9">
        <f t="shared" si="37"/>
        <v>1</v>
      </c>
      <c r="BL31" s="9">
        <f t="shared" si="38"/>
        <v>0</v>
      </c>
      <c r="BM31" s="9">
        <f t="shared" si="39"/>
        <v>0</v>
      </c>
      <c r="BN31" s="9" t="s">
        <v>68</v>
      </c>
      <c r="BO31" s="11">
        <f t="shared" si="40"/>
        <v>1</v>
      </c>
    </row>
    <row r="32" ht="22.5" customHeight="1">
      <c r="A32" s="9">
        <f t="shared" si="41"/>
        <v>31</v>
      </c>
      <c r="B32" s="10">
        <v>46050.69232333334</v>
      </c>
      <c r="C32" s="9" t="s">
        <v>90</v>
      </c>
      <c r="D32" s="9">
        <f t="shared" si="1"/>
        <v>2</v>
      </c>
      <c r="E32" s="9" t="s">
        <v>68</v>
      </c>
      <c r="F32" s="9">
        <f t="shared" si="2"/>
        <v>1</v>
      </c>
      <c r="G32" s="9" t="s">
        <v>91</v>
      </c>
      <c r="H32" s="9" t="str">
        <f t="shared" si="3"/>
        <v>Urban</v>
      </c>
      <c r="I32" s="9">
        <f t="shared" si="4"/>
        <v>2</v>
      </c>
      <c r="J32" s="9" t="s">
        <v>70</v>
      </c>
      <c r="K32" s="9" t="s">
        <v>100</v>
      </c>
      <c r="L32" s="9">
        <f t="shared" si="5"/>
        <v>3</v>
      </c>
      <c r="M32" s="9" t="s">
        <v>101</v>
      </c>
      <c r="N32" s="9">
        <f t="shared" si="6"/>
        <v>2</v>
      </c>
      <c r="O32" s="9" t="s">
        <v>78</v>
      </c>
      <c r="P32" s="9">
        <f t="shared" si="7"/>
        <v>3</v>
      </c>
      <c r="Q32" s="9" t="s">
        <v>103</v>
      </c>
      <c r="R32" s="9">
        <f t="shared" si="8"/>
        <v>5</v>
      </c>
      <c r="S32" s="9" t="s">
        <v>73</v>
      </c>
      <c r="T32" s="9">
        <f t="shared" si="9"/>
        <v>2</v>
      </c>
      <c r="U32" s="9" t="s">
        <v>110</v>
      </c>
      <c r="V32" s="9">
        <f t="shared" si="10"/>
        <v>0.75</v>
      </c>
      <c r="W32" s="9" t="s">
        <v>154</v>
      </c>
      <c r="X32" s="9">
        <f t="shared" si="11"/>
        <v>0</v>
      </c>
      <c r="Y32" s="9">
        <f t="shared" si="12"/>
        <v>0</v>
      </c>
      <c r="Z32" s="9">
        <f t="shared" si="13"/>
        <v>0</v>
      </c>
      <c r="AA32" s="9">
        <f t="shared" si="14"/>
        <v>0</v>
      </c>
      <c r="AB32" s="9" t="s">
        <v>73</v>
      </c>
      <c r="AC32" s="9">
        <f t="shared" si="15"/>
        <v>2</v>
      </c>
      <c r="AD32" s="9" t="s">
        <v>73</v>
      </c>
      <c r="AE32" s="9">
        <f t="shared" si="16"/>
        <v>2</v>
      </c>
      <c r="AF32" s="9" t="s">
        <v>71</v>
      </c>
      <c r="AG32" s="9">
        <f t="shared" si="17"/>
        <v>7.7</v>
      </c>
      <c r="AH32" s="9" t="s">
        <v>85</v>
      </c>
      <c r="AI32" s="9">
        <f t="shared" si="18"/>
        <v>4</v>
      </c>
      <c r="AJ32" s="9" t="s">
        <v>85</v>
      </c>
      <c r="AK32" s="9">
        <f t="shared" si="19"/>
        <v>4</v>
      </c>
      <c r="AL32" s="9" t="s">
        <v>85</v>
      </c>
      <c r="AM32" s="9">
        <f t="shared" si="20"/>
        <v>4</v>
      </c>
      <c r="AN32" s="9" t="s">
        <v>85</v>
      </c>
      <c r="AO32" s="9">
        <f t="shared" si="21"/>
        <v>4</v>
      </c>
      <c r="AP32" s="9" t="s">
        <v>78</v>
      </c>
      <c r="AQ32" s="9">
        <f t="shared" si="22"/>
        <v>3</v>
      </c>
      <c r="AR32" s="9" t="s">
        <v>85</v>
      </c>
      <c r="AS32" s="9">
        <f t="shared" si="23"/>
        <v>4</v>
      </c>
      <c r="AT32" s="9" t="s">
        <v>155</v>
      </c>
      <c r="AU32" s="9">
        <f t="shared" si="24"/>
        <v>1</v>
      </c>
      <c r="AV32" s="9">
        <f t="shared" si="25"/>
        <v>0</v>
      </c>
      <c r="AW32" s="9">
        <f t="shared" si="26"/>
        <v>0</v>
      </c>
      <c r="AX32" s="9">
        <f t="shared" si="27"/>
        <v>1</v>
      </c>
      <c r="AY32" s="9">
        <f t="shared" si="28"/>
        <v>0</v>
      </c>
      <c r="AZ32" s="9">
        <f t="shared" si="29"/>
        <v>1</v>
      </c>
      <c r="BA32" s="9">
        <f t="shared" si="30"/>
        <v>0</v>
      </c>
      <c r="BB32" s="9" t="s">
        <v>88</v>
      </c>
      <c r="BC32" s="9">
        <f t="shared" si="31"/>
        <v>2</v>
      </c>
      <c r="BD32" s="12"/>
      <c r="BE32" s="9" t="str">
        <f t="shared" si="42"/>
        <v>N/A</v>
      </c>
      <c r="BF32" s="9" t="s">
        <v>121</v>
      </c>
      <c r="BG32" s="9">
        <f t="shared" si="33"/>
        <v>0</v>
      </c>
      <c r="BH32" s="9">
        <f t="shared" si="34"/>
        <v>0</v>
      </c>
      <c r="BI32" s="9">
        <f t="shared" si="35"/>
        <v>0</v>
      </c>
      <c r="BJ32" s="9">
        <f t="shared" si="36"/>
        <v>0</v>
      </c>
      <c r="BK32" s="9">
        <f t="shared" si="37"/>
        <v>1</v>
      </c>
      <c r="BL32" s="9">
        <f t="shared" si="38"/>
        <v>1</v>
      </c>
      <c r="BM32" s="9">
        <f t="shared" si="39"/>
        <v>1</v>
      </c>
      <c r="BN32" s="9" t="s">
        <v>108</v>
      </c>
      <c r="BO32" s="11">
        <f t="shared" si="40"/>
        <v>3</v>
      </c>
    </row>
    <row r="33" ht="22.5" customHeight="1">
      <c r="A33" s="9">
        <f t="shared" si="41"/>
        <v>32</v>
      </c>
      <c r="B33" s="10">
        <v>46050.69491303241</v>
      </c>
      <c r="C33" s="9" t="s">
        <v>90</v>
      </c>
      <c r="D33" s="9">
        <f t="shared" si="1"/>
        <v>2</v>
      </c>
      <c r="E33" s="9" t="s">
        <v>68</v>
      </c>
      <c r="F33" s="9">
        <f t="shared" si="2"/>
        <v>1</v>
      </c>
      <c r="G33" s="9" t="s">
        <v>91</v>
      </c>
      <c r="H33" s="9" t="str">
        <f t="shared" si="3"/>
        <v>Urban</v>
      </c>
      <c r="I33" s="9">
        <f t="shared" si="4"/>
        <v>2</v>
      </c>
      <c r="J33" s="9" t="s">
        <v>70</v>
      </c>
      <c r="K33" s="9" t="s">
        <v>100</v>
      </c>
      <c r="L33" s="9">
        <f t="shared" si="5"/>
        <v>3</v>
      </c>
      <c r="M33" s="9" t="s">
        <v>101</v>
      </c>
      <c r="N33" s="9">
        <f t="shared" si="6"/>
        <v>2</v>
      </c>
      <c r="O33" s="9" t="s">
        <v>85</v>
      </c>
      <c r="P33" s="9">
        <f t="shared" si="7"/>
        <v>4</v>
      </c>
      <c r="Q33" s="9" t="s">
        <v>85</v>
      </c>
      <c r="R33" s="9">
        <f t="shared" si="8"/>
        <v>4</v>
      </c>
      <c r="S33" s="9" t="s">
        <v>85</v>
      </c>
      <c r="T33" s="9">
        <f t="shared" si="9"/>
        <v>4</v>
      </c>
      <c r="U33" s="9" t="s">
        <v>96</v>
      </c>
      <c r="V33" s="9">
        <f t="shared" si="10"/>
        <v>2.5</v>
      </c>
      <c r="W33" s="9" t="s">
        <v>86</v>
      </c>
      <c r="X33" s="9">
        <f t="shared" si="11"/>
        <v>1</v>
      </c>
      <c r="Y33" s="9">
        <f t="shared" si="12"/>
        <v>1</v>
      </c>
      <c r="Z33" s="9">
        <f t="shared" si="13"/>
        <v>1</v>
      </c>
      <c r="AA33" s="9">
        <f t="shared" si="14"/>
        <v>0</v>
      </c>
      <c r="AB33" s="9" t="s">
        <v>73</v>
      </c>
      <c r="AC33" s="9">
        <f t="shared" si="15"/>
        <v>2</v>
      </c>
      <c r="AD33" s="9" t="s">
        <v>72</v>
      </c>
      <c r="AE33" s="9">
        <f t="shared" si="16"/>
        <v>1</v>
      </c>
      <c r="AF33" s="9" t="s">
        <v>109</v>
      </c>
      <c r="AG33" s="9">
        <f t="shared" si="17"/>
        <v>9</v>
      </c>
      <c r="AH33" s="9" t="s">
        <v>85</v>
      </c>
      <c r="AI33" s="9">
        <f t="shared" si="18"/>
        <v>4</v>
      </c>
      <c r="AJ33" s="9" t="s">
        <v>78</v>
      </c>
      <c r="AK33" s="9">
        <f t="shared" si="19"/>
        <v>3</v>
      </c>
      <c r="AL33" s="9" t="s">
        <v>85</v>
      </c>
      <c r="AM33" s="9">
        <f t="shared" si="20"/>
        <v>4</v>
      </c>
      <c r="AN33" s="9" t="s">
        <v>85</v>
      </c>
      <c r="AO33" s="9">
        <f t="shared" si="21"/>
        <v>4</v>
      </c>
      <c r="AP33" s="9" t="s">
        <v>73</v>
      </c>
      <c r="AQ33" s="9">
        <f t="shared" si="22"/>
        <v>2</v>
      </c>
      <c r="AR33" s="9" t="s">
        <v>85</v>
      </c>
      <c r="AS33" s="9">
        <f t="shared" si="23"/>
        <v>4</v>
      </c>
      <c r="AT33" s="9" t="s">
        <v>156</v>
      </c>
      <c r="AU33" s="9">
        <f t="shared" si="24"/>
        <v>0</v>
      </c>
      <c r="AV33" s="9">
        <f t="shared" si="25"/>
        <v>1</v>
      </c>
      <c r="AW33" s="9">
        <f t="shared" si="26"/>
        <v>1</v>
      </c>
      <c r="AX33" s="9">
        <f t="shared" si="27"/>
        <v>1</v>
      </c>
      <c r="AY33" s="9">
        <f t="shared" si="28"/>
        <v>0</v>
      </c>
      <c r="AZ33" s="9">
        <f t="shared" si="29"/>
        <v>0</v>
      </c>
      <c r="BA33" s="9">
        <f t="shared" si="30"/>
        <v>0</v>
      </c>
      <c r="BB33" s="9" t="s">
        <v>88</v>
      </c>
      <c r="BC33" s="9">
        <f t="shared" si="31"/>
        <v>2</v>
      </c>
      <c r="BD33" s="12"/>
      <c r="BE33" s="9" t="str">
        <f t="shared" si="42"/>
        <v>N/A</v>
      </c>
      <c r="BF33" s="9" t="s">
        <v>157</v>
      </c>
      <c r="BG33" s="9">
        <f t="shared" si="33"/>
        <v>0</v>
      </c>
      <c r="BH33" s="9">
        <f t="shared" si="34"/>
        <v>0</v>
      </c>
      <c r="BI33" s="9">
        <f t="shared" si="35"/>
        <v>0</v>
      </c>
      <c r="BJ33" s="9">
        <f t="shared" si="36"/>
        <v>1</v>
      </c>
      <c r="BK33" s="9">
        <f t="shared" si="37"/>
        <v>0</v>
      </c>
      <c r="BL33" s="9">
        <f t="shared" si="38"/>
        <v>1</v>
      </c>
      <c r="BM33" s="9">
        <f t="shared" si="39"/>
        <v>1</v>
      </c>
      <c r="BN33" s="9" t="s">
        <v>68</v>
      </c>
      <c r="BO33" s="11">
        <f t="shared" si="40"/>
        <v>1</v>
      </c>
    </row>
    <row r="34" ht="22.5" customHeight="1">
      <c r="A34" s="9">
        <f t="shared" si="41"/>
        <v>33</v>
      </c>
      <c r="B34" s="10">
        <v>46050.69730760416</v>
      </c>
      <c r="C34" s="9" t="s">
        <v>90</v>
      </c>
      <c r="D34" s="9">
        <f t="shared" si="1"/>
        <v>2</v>
      </c>
      <c r="E34" s="9" t="s">
        <v>68</v>
      </c>
      <c r="F34" s="9">
        <f t="shared" si="2"/>
        <v>1</v>
      </c>
      <c r="G34" s="9" t="s">
        <v>91</v>
      </c>
      <c r="H34" s="9" t="str">
        <f t="shared" si="3"/>
        <v>Urban</v>
      </c>
      <c r="I34" s="9">
        <f t="shared" si="4"/>
        <v>2</v>
      </c>
      <c r="J34" s="9" t="s">
        <v>70</v>
      </c>
      <c r="K34" s="9" t="s">
        <v>100</v>
      </c>
      <c r="L34" s="9">
        <f t="shared" si="5"/>
        <v>3</v>
      </c>
      <c r="M34" s="9" t="s">
        <v>71</v>
      </c>
      <c r="N34" s="9">
        <f t="shared" si="6"/>
        <v>7.7</v>
      </c>
      <c r="O34" s="9" t="s">
        <v>85</v>
      </c>
      <c r="P34" s="9">
        <f t="shared" si="7"/>
        <v>4</v>
      </c>
      <c r="Q34" s="9" t="s">
        <v>78</v>
      </c>
      <c r="R34" s="9">
        <f t="shared" si="8"/>
        <v>3</v>
      </c>
      <c r="S34" s="9" t="s">
        <v>78</v>
      </c>
      <c r="T34" s="9">
        <f t="shared" si="9"/>
        <v>3</v>
      </c>
      <c r="U34" s="9" t="s">
        <v>96</v>
      </c>
      <c r="V34" s="9">
        <f t="shared" si="10"/>
        <v>2.5</v>
      </c>
      <c r="W34" s="9" t="s">
        <v>86</v>
      </c>
      <c r="X34" s="9">
        <f t="shared" si="11"/>
        <v>1</v>
      </c>
      <c r="Y34" s="9">
        <f t="shared" si="12"/>
        <v>1</v>
      </c>
      <c r="Z34" s="9">
        <f t="shared" si="13"/>
        <v>1</v>
      </c>
      <c r="AA34" s="9">
        <f t="shared" si="14"/>
        <v>0</v>
      </c>
      <c r="AB34" s="9" t="s">
        <v>78</v>
      </c>
      <c r="AC34" s="9">
        <f t="shared" si="15"/>
        <v>3</v>
      </c>
      <c r="AD34" s="9" t="s">
        <v>73</v>
      </c>
      <c r="AE34" s="9">
        <f t="shared" si="16"/>
        <v>2</v>
      </c>
      <c r="AF34" s="9" t="s">
        <v>76</v>
      </c>
      <c r="AG34" s="9">
        <f t="shared" si="17"/>
        <v>5.5</v>
      </c>
      <c r="AH34" s="9" t="s">
        <v>73</v>
      </c>
      <c r="AI34" s="9">
        <f t="shared" si="18"/>
        <v>2</v>
      </c>
      <c r="AJ34" s="9" t="s">
        <v>73</v>
      </c>
      <c r="AK34" s="9">
        <f t="shared" si="19"/>
        <v>2</v>
      </c>
      <c r="AL34" s="9" t="s">
        <v>85</v>
      </c>
      <c r="AM34" s="9">
        <f t="shared" si="20"/>
        <v>4</v>
      </c>
      <c r="AN34" s="9" t="s">
        <v>85</v>
      </c>
      <c r="AO34" s="9">
        <f t="shared" si="21"/>
        <v>4</v>
      </c>
      <c r="AP34" s="9" t="s">
        <v>73</v>
      </c>
      <c r="AQ34" s="9">
        <f t="shared" si="22"/>
        <v>2</v>
      </c>
      <c r="AR34" s="9" t="s">
        <v>78</v>
      </c>
      <c r="AS34" s="9">
        <f t="shared" si="23"/>
        <v>3</v>
      </c>
      <c r="AT34" s="9" t="s">
        <v>158</v>
      </c>
      <c r="AU34" s="9">
        <f t="shared" si="24"/>
        <v>0</v>
      </c>
      <c r="AV34" s="9">
        <f t="shared" si="25"/>
        <v>0</v>
      </c>
      <c r="AW34" s="9">
        <f t="shared" si="26"/>
        <v>1</v>
      </c>
      <c r="AX34" s="9">
        <f t="shared" si="27"/>
        <v>1</v>
      </c>
      <c r="AY34" s="9">
        <f t="shared" si="28"/>
        <v>0</v>
      </c>
      <c r="AZ34" s="9">
        <f t="shared" si="29"/>
        <v>1</v>
      </c>
      <c r="BA34" s="9">
        <f t="shared" si="30"/>
        <v>0</v>
      </c>
      <c r="BB34" s="9" t="s">
        <v>68</v>
      </c>
      <c r="BC34" s="9">
        <f t="shared" si="31"/>
        <v>1</v>
      </c>
      <c r="BD34" s="9" t="s">
        <v>159</v>
      </c>
      <c r="BE34" s="9" t="str">
        <f t="shared" si="42"/>
        <v>Samsung Health app</v>
      </c>
      <c r="BF34" s="9" t="s">
        <v>135</v>
      </c>
      <c r="BG34" s="9">
        <f t="shared" si="33"/>
        <v>1</v>
      </c>
      <c r="BH34" s="9">
        <f t="shared" si="34"/>
        <v>0</v>
      </c>
      <c r="BI34" s="9">
        <f t="shared" si="35"/>
        <v>0</v>
      </c>
      <c r="BJ34" s="9">
        <f t="shared" si="36"/>
        <v>1</v>
      </c>
      <c r="BK34" s="9">
        <f t="shared" si="37"/>
        <v>0</v>
      </c>
      <c r="BL34" s="9">
        <f t="shared" si="38"/>
        <v>1</v>
      </c>
      <c r="BM34" s="9">
        <f t="shared" si="39"/>
        <v>0</v>
      </c>
      <c r="BN34" s="9" t="s">
        <v>68</v>
      </c>
      <c r="BO34" s="11">
        <f t="shared" si="40"/>
        <v>1</v>
      </c>
    </row>
    <row r="35" ht="22.5" customHeight="1">
      <c r="A35" s="9">
        <f t="shared" si="41"/>
        <v>34</v>
      </c>
      <c r="B35" s="10">
        <v>46050.69829572916</v>
      </c>
      <c r="C35" s="9" t="s">
        <v>90</v>
      </c>
      <c r="D35" s="9">
        <f t="shared" si="1"/>
        <v>2</v>
      </c>
      <c r="E35" s="9" t="s">
        <v>68</v>
      </c>
      <c r="F35" s="9">
        <f t="shared" si="2"/>
        <v>1</v>
      </c>
      <c r="G35" s="9" t="s">
        <v>91</v>
      </c>
      <c r="H35" s="9" t="str">
        <f t="shared" si="3"/>
        <v>Urban</v>
      </c>
      <c r="I35" s="9">
        <f t="shared" si="4"/>
        <v>2</v>
      </c>
      <c r="J35" s="9" t="s">
        <v>145</v>
      </c>
      <c r="K35" s="9" t="s">
        <v>146</v>
      </c>
      <c r="L35" s="9">
        <f t="shared" si="5"/>
        <v>1</v>
      </c>
      <c r="M35" s="9" t="s">
        <v>101</v>
      </c>
      <c r="N35" s="9">
        <f t="shared" si="6"/>
        <v>2</v>
      </c>
      <c r="O35" s="9" t="s">
        <v>78</v>
      </c>
      <c r="P35" s="9">
        <f t="shared" si="7"/>
        <v>3</v>
      </c>
      <c r="Q35" s="9" t="s">
        <v>85</v>
      </c>
      <c r="R35" s="9">
        <f t="shared" si="8"/>
        <v>4</v>
      </c>
      <c r="S35" s="9" t="s">
        <v>78</v>
      </c>
      <c r="T35" s="9">
        <f t="shared" si="9"/>
        <v>3</v>
      </c>
      <c r="U35" s="9" t="s">
        <v>110</v>
      </c>
      <c r="V35" s="9">
        <f t="shared" si="10"/>
        <v>0.75</v>
      </c>
      <c r="W35" s="9" t="s">
        <v>93</v>
      </c>
      <c r="X35" s="9">
        <f t="shared" si="11"/>
        <v>0</v>
      </c>
      <c r="Y35" s="9">
        <f t="shared" si="12"/>
        <v>1</v>
      </c>
      <c r="Z35" s="9">
        <f t="shared" si="13"/>
        <v>0</v>
      </c>
      <c r="AA35" s="9">
        <f t="shared" si="14"/>
        <v>0</v>
      </c>
      <c r="AB35" s="9" t="s">
        <v>85</v>
      </c>
      <c r="AC35" s="9">
        <f t="shared" si="15"/>
        <v>4</v>
      </c>
      <c r="AD35" s="9" t="s">
        <v>73</v>
      </c>
      <c r="AE35" s="9">
        <f t="shared" si="16"/>
        <v>2</v>
      </c>
      <c r="AF35" s="9" t="s">
        <v>71</v>
      </c>
      <c r="AG35" s="9">
        <f t="shared" si="17"/>
        <v>7.7</v>
      </c>
      <c r="AH35" s="9" t="s">
        <v>85</v>
      </c>
      <c r="AI35" s="9">
        <f t="shared" si="18"/>
        <v>4</v>
      </c>
      <c r="AJ35" s="9" t="s">
        <v>85</v>
      </c>
      <c r="AK35" s="9">
        <f t="shared" si="19"/>
        <v>4</v>
      </c>
      <c r="AL35" s="9" t="s">
        <v>85</v>
      </c>
      <c r="AM35" s="9">
        <f t="shared" si="20"/>
        <v>4</v>
      </c>
      <c r="AN35" s="9" t="s">
        <v>85</v>
      </c>
      <c r="AO35" s="9">
        <f t="shared" si="21"/>
        <v>4</v>
      </c>
      <c r="AP35" s="9" t="s">
        <v>85</v>
      </c>
      <c r="AQ35" s="9">
        <f t="shared" si="22"/>
        <v>4</v>
      </c>
      <c r="AR35" s="9" t="s">
        <v>85</v>
      </c>
      <c r="AS35" s="9">
        <f t="shared" si="23"/>
        <v>4</v>
      </c>
      <c r="AT35" s="9" t="s">
        <v>160</v>
      </c>
      <c r="AU35" s="9">
        <f t="shared" si="24"/>
        <v>1</v>
      </c>
      <c r="AV35" s="9">
        <f t="shared" si="25"/>
        <v>1</v>
      </c>
      <c r="AW35" s="9">
        <f t="shared" si="26"/>
        <v>1</v>
      </c>
      <c r="AX35" s="9">
        <f t="shared" si="27"/>
        <v>1</v>
      </c>
      <c r="AY35" s="9">
        <f t="shared" si="28"/>
        <v>1</v>
      </c>
      <c r="AZ35" s="9">
        <f t="shared" si="29"/>
        <v>1</v>
      </c>
      <c r="BA35" s="9">
        <f t="shared" si="30"/>
        <v>0</v>
      </c>
      <c r="BB35" s="9" t="s">
        <v>88</v>
      </c>
      <c r="BC35" s="9">
        <f t="shared" si="31"/>
        <v>2</v>
      </c>
      <c r="BD35" s="12"/>
      <c r="BE35" s="9" t="str">
        <f t="shared" si="42"/>
        <v>N/A</v>
      </c>
      <c r="BF35" s="9" t="s">
        <v>161</v>
      </c>
      <c r="BG35" s="9">
        <f t="shared" si="33"/>
        <v>0</v>
      </c>
      <c r="BH35" s="9">
        <f t="shared" si="34"/>
        <v>0</v>
      </c>
      <c r="BI35" s="9">
        <f t="shared" si="35"/>
        <v>0</v>
      </c>
      <c r="BJ35" s="9">
        <f t="shared" si="36"/>
        <v>1</v>
      </c>
      <c r="BK35" s="9">
        <f t="shared" si="37"/>
        <v>0</v>
      </c>
      <c r="BL35" s="9">
        <f t="shared" si="38"/>
        <v>0</v>
      </c>
      <c r="BM35" s="9">
        <f t="shared" si="39"/>
        <v>0</v>
      </c>
      <c r="BN35" s="9" t="s">
        <v>68</v>
      </c>
      <c r="BO35" s="11">
        <f t="shared" si="40"/>
        <v>1</v>
      </c>
    </row>
    <row r="36" ht="22.5" customHeight="1">
      <c r="A36" s="9">
        <f t="shared" si="41"/>
        <v>35</v>
      </c>
      <c r="B36" s="10">
        <v>46050.69836165509</v>
      </c>
      <c r="C36" s="9" t="s">
        <v>67</v>
      </c>
      <c r="D36" s="9">
        <f t="shared" si="1"/>
        <v>1</v>
      </c>
      <c r="E36" s="9" t="s">
        <v>68</v>
      </c>
      <c r="F36" s="9">
        <f t="shared" si="2"/>
        <v>1</v>
      </c>
      <c r="G36" s="9" t="s">
        <v>91</v>
      </c>
      <c r="H36" s="9" t="str">
        <f t="shared" si="3"/>
        <v>Urban</v>
      </c>
      <c r="I36" s="9">
        <f t="shared" si="4"/>
        <v>2</v>
      </c>
      <c r="J36" s="9" t="s">
        <v>70</v>
      </c>
      <c r="K36" s="9" t="s">
        <v>100</v>
      </c>
      <c r="L36" s="9">
        <f t="shared" si="5"/>
        <v>3</v>
      </c>
      <c r="M36" s="9" t="s">
        <v>109</v>
      </c>
      <c r="N36" s="9">
        <f t="shared" si="6"/>
        <v>9</v>
      </c>
      <c r="O36" s="9" t="s">
        <v>103</v>
      </c>
      <c r="P36" s="9">
        <f t="shared" si="7"/>
        <v>5</v>
      </c>
      <c r="Q36" s="9" t="s">
        <v>85</v>
      </c>
      <c r="R36" s="9">
        <f t="shared" si="8"/>
        <v>4</v>
      </c>
      <c r="S36" s="9" t="s">
        <v>103</v>
      </c>
      <c r="T36" s="9">
        <f t="shared" si="9"/>
        <v>5</v>
      </c>
      <c r="U36" s="9" t="s">
        <v>96</v>
      </c>
      <c r="V36" s="9">
        <f t="shared" si="10"/>
        <v>2.5</v>
      </c>
      <c r="W36" s="9" t="s">
        <v>122</v>
      </c>
      <c r="X36" s="9">
        <f t="shared" si="11"/>
        <v>0</v>
      </c>
      <c r="Y36" s="9">
        <f t="shared" si="12"/>
        <v>0</v>
      </c>
      <c r="Z36" s="9">
        <f t="shared" si="13"/>
        <v>1</v>
      </c>
      <c r="AA36" s="9">
        <f t="shared" si="14"/>
        <v>0</v>
      </c>
      <c r="AB36" s="9" t="s">
        <v>78</v>
      </c>
      <c r="AC36" s="9">
        <f t="shared" si="15"/>
        <v>3</v>
      </c>
      <c r="AD36" s="9" t="s">
        <v>78</v>
      </c>
      <c r="AE36" s="9">
        <f t="shared" si="16"/>
        <v>3</v>
      </c>
      <c r="AF36" s="9" t="s">
        <v>76</v>
      </c>
      <c r="AG36" s="9">
        <f t="shared" si="17"/>
        <v>5.5</v>
      </c>
      <c r="AH36" s="9" t="s">
        <v>72</v>
      </c>
      <c r="AI36" s="9">
        <f t="shared" si="18"/>
        <v>1</v>
      </c>
      <c r="AJ36" s="9" t="s">
        <v>120</v>
      </c>
      <c r="AK36" s="9">
        <f t="shared" si="19"/>
        <v>5</v>
      </c>
      <c r="AL36" s="9" t="s">
        <v>120</v>
      </c>
      <c r="AM36" s="9">
        <f t="shared" si="20"/>
        <v>5</v>
      </c>
      <c r="AN36" s="9" t="s">
        <v>77</v>
      </c>
      <c r="AO36" s="9">
        <f t="shared" si="21"/>
        <v>1</v>
      </c>
      <c r="AP36" s="9" t="s">
        <v>73</v>
      </c>
      <c r="AQ36" s="9">
        <f t="shared" si="22"/>
        <v>2</v>
      </c>
      <c r="AR36" s="9" t="s">
        <v>77</v>
      </c>
      <c r="AS36" s="9">
        <f t="shared" si="23"/>
        <v>1</v>
      </c>
      <c r="AT36" s="9" t="s">
        <v>162</v>
      </c>
      <c r="AU36" s="9">
        <f t="shared" si="24"/>
        <v>0</v>
      </c>
      <c r="AV36" s="9">
        <f t="shared" si="25"/>
        <v>0</v>
      </c>
      <c r="AW36" s="9">
        <f t="shared" si="26"/>
        <v>0</v>
      </c>
      <c r="AX36" s="9">
        <f t="shared" si="27"/>
        <v>0</v>
      </c>
      <c r="AY36" s="9">
        <f t="shared" si="28"/>
        <v>0</v>
      </c>
      <c r="AZ36" s="9">
        <f t="shared" si="29"/>
        <v>1</v>
      </c>
      <c r="BA36" s="9">
        <f t="shared" si="30"/>
        <v>0</v>
      </c>
      <c r="BB36" s="9" t="s">
        <v>68</v>
      </c>
      <c r="BC36" s="9">
        <f t="shared" si="31"/>
        <v>1</v>
      </c>
      <c r="BD36" s="9" t="s">
        <v>163</v>
      </c>
      <c r="BE36" s="9" t="str">
        <f t="shared" ref="BE36:BE78" si="43">IFS(OR(BD36="Sleeping tracking",BD36="Sleep tracker"),"Sleep tracker app",BD36="Health","Health app",OR(BD36="Samsung Health ",BD36="samsung responses"),"Samsung Health app",OR(BD36="Alarm clock ",BD36="Alarm"),"Alarm app",BD36="My health app","My health app",BD36="Smartwatch / wearable apps","Wearable app",BD36="HryFine","HryFine app",TRUE,"N/A")
</f>
        <v>Alarm app</v>
      </c>
      <c r="BF36" s="9" t="s">
        <v>164</v>
      </c>
      <c r="BG36" s="9">
        <f t="shared" si="33"/>
        <v>0</v>
      </c>
      <c r="BH36" s="9">
        <f t="shared" si="34"/>
        <v>0</v>
      </c>
      <c r="BI36" s="9">
        <f t="shared" si="35"/>
        <v>0</v>
      </c>
      <c r="BJ36" s="9">
        <f t="shared" si="36"/>
        <v>1</v>
      </c>
      <c r="BK36" s="9">
        <f t="shared" si="37"/>
        <v>1</v>
      </c>
      <c r="BL36" s="9">
        <f t="shared" si="38"/>
        <v>1</v>
      </c>
      <c r="BM36" s="9">
        <f t="shared" si="39"/>
        <v>1</v>
      </c>
      <c r="BN36" s="9" t="s">
        <v>88</v>
      </c>
      <c r="BO36" s="11">
        <f t="shared" si="40"/>
        <v>2</v>
      </c>
    </row>
    <row r="37" ht="22.5" customHeight="1">
      <c r="A37" s="9">
        <f t="shared" si="41"/>
        <v>36</v>
      </c>
      <c r="B37" s="10">
        <v>46050.69842731481</v>
      </c>
      <c r="C37" s="9" t="s">
        <v>67</v>
      </c>
      <c r="D37" s="9">
        <f t="shared" si="1"/>
        <v>1</v>
      </c>
      <c r="E37" s="9" t="s">
        <v>68</v>
      </c>
      <c r="F37" s="9">
        <f t="shared" si="2"/>
        <v>1</v>
      </c>
      <c r="G37" s="9" t="s">
        <v>91</v>
      </c>
      <c r="H37" s="9" t="str">
        <f t="shared" si="3"/>
        <v>Urban</v>
      </c>
      <c r="I37" s="9">
        <f t="shared" si="4"/>
        <v>2</v>
      </c>
      <c r="J37" s="9" t="s">
        <v>70</v>
      </c>
      <c r="K37" s="9" t="s">
        <v>100</v>
      </c>
      <c r="L37" s="9">
        <f t="shared" si="5"/>
        <v>3</v>
      </c>
      <c r="M37" s="9" t="s">
        <v>109</v>
      </c>
      <c r="N37" s="9">
        <f t="shared" si="6"/>
        <v>9</v>
      </c>
      <c r="O37" s="9" t="s">
        <v>103</v>
      </c>
      <c r="P37" s="9">
        <f t="shared" si="7"/>
        <v>5</v>
      </c>
      <c r="Q37" s="9" t="s">
        <v>85</v>
      </c>
      <c r="R37" s="9">
        <f t="shared" si="8"/>
        <v>4</v>
      </c>
      <c r="S37" s="9" t="s">
        <v>103</v>
      </c>
      <c r="T37" s="9">
        <f t="shared" si="9"/>
        <v>5</v>
      </c>
      <c r="U37" s="9" t="s">
        <v>96</v>
      </c>
      <c r="V37" s="9">
        <f t="shared" si="10"/>
        <v>2.5</v>
      </c>
      <c r="W37" s="9" t="s">
        <v>122</v>
      </c>
      <c r="X37" s="9">
        <f t="shared" si="11"/>
        <v>0</v>
      </c>
      <c r="Y37" s="9">
        <f t="shared" si="12"/>
        <v>0</v>
      </c>
      <c r="Z37" s="9">
        <f t="shared" si="13"/>
        <v>1</v>
      </c>
      <c r="AA37" s="9">
        <f t="shared" si="14"/>
        <v>0</v>
      </c>
      <c r="AB37" s="9" t="s">
        <v>78</v>
      </c>
      <c r="AC37" s="9">
        <f t="shared" si="15"/>
        <v>3</v>
      </c>
      <c r="AD37" s="9" t="s">
        <v>78</v>
      </c>
      <c r="AE37" s="9">
        <f t="shared" si="16"/>
        <v>3</v>
      </c>
      <c r="AF37" s="9" t="s">
        <v>76</v>
      </c>
      <c r="AG37" s="9">
        <f t="shared" si="17"/>
        <v>5.5</v>
      </c>
      <c r="AH37" s="9" t="s">
        <v>72</v>
      </c>
      <c r="AI37" s="9">
        <f t="shared" si="18"/>
        <v>1</v>
      </c>
      <c r="AJ37" s="9" t="s">
        <v>120</v>
      </c>
      <c r="AK37" s="9">
        <f t="shared" si="19"/>
        <v>5</v>
      </c>
      <c r="AL37" s="9" t="s">
        <v>120</v>
      </c>
      <c r="AM37" s="9">
        <f t="shared" si="20"/>
        <v>5</v>
      </c>
      <c r="AN37" s="9" t="s">
        <v>77</v>
      </c>
      <c r="AO37" s="9">
        <f t="shared" si="21"/>
        <v>1</v>
      </c>
      <c r="AP37" s="9" t="s">
        <v>73</v>
      </c>
      <c r="AQ37" s="9">
        <f t="shared" si="22"/>
        <v>2</v>
      </c>
      <c r="AR37" s="9" t="s">
        <v>77</v>
      </c>
      <c r="AS37" s="9">
        <f t="shared" si="23"/>
        <v>1</v>
      </c>
      <c r="AT37" s="9" t="s">
        <v>162</v>
      </c>
      <c r="AU37" s="9">
        <f t="shared" si="24"/>
        <v>0</v>
      </c>
      <c r="AV37" s="9">
        <f t="shared" si="25"/>
        <v>0</v>
      </c>
      <c r="AW37" s="9">
        <f t="shared" si="26"/>
        <v>0</v>
      </c>
      <c r="AX37" s="9">
        <f t="shared" si="27"/>
        <v>0</v>
      </c>
      <c r="AY37" s="9">
        <f t="shared" si="28"/>
        <v>0</v>
      </c>
      <c r="AZ37" s="9">
        <f t="shared" si="29"/>
        <v>1</v>
      </c>
      <c r="BA37" s="9">
        <f t="shared" si="30"/>
        <v>0</v>
      </c>
      <c r="BB37" s="9" t="s">
        <v>68</v>
      </c>
      <c r="BC37" s="9">
        <f t="shared" si="31"/>
        <v>1</v>
      </c>
      <c r="BD37" s="9" t="s">
        <v>163</v>
      </c>
      <c r="BE37" s="9" t="str">
        <f t="shared" si="43"/>
        <v>Alarm app</v>
      </c>
      <c r="BF37" s="9" t="s">
        <v>164</v>
      </c>
      <c r="BG37" s="9">
        <f t="shared" si="33"/>
        <v>0</v>
      </c>
      <c r="BH37" s="9">
        <f t="shared" si="34"/>
        <v>0</v>
      </c>
      <c r="BI37" s="9">
        <f t="shared" si="35"/>
        <v>0</v>
      </c>
      <c r="BJ37" s="9">
        <f t="shared" si="36"/>
        <v>1</v>
      </c>
      <c r="BK37" s="9">
        <f t="shared" si="37"/>
        <v>1</v>
      </c>
      <c r="BL37" s="9">
        <f t="shared" si="38"/>
        <v>1</v>
      </c>
      <c r="BM37" s="9">
        <f t="shared" si="39"/>
        <v>1</v>
      </c>
      <c r="BN37" s="9" t="s">
        <v>88</v>
      </c>
      <c r="BO37" s="11">
        <f t="shared" si="40"/>
        <v>2</v>
      </c>
    </row>
    <row r="38" ht="22.5" customHeight="1">
      <c r="A38" s="9">
        <f t="shared" si="41"/>
        <v>37</v>
      </c>
      <c r="B38" s="10">
        <v>46050.69879412037</v>
      </c>
      <c r="C38" s="9" t="s">
        <v>90</v>
      </c>
      <c r="D38" s="9">
        <f t="shared" si="1"/>
        <v>2</v>
      </c>
      <c r="E38" s="9" t="s">
        <v>68</v>
      </c>
      <c r="F38" s="9">
        <f t="shared" si="2"/>
        <v>1</v>
      </c>
      <c r="G38" s="9" t="s">
        <v>82</v>
      </c>
      <c r="H38" s="9" t="str">
        <f t="shared" si="3"/>
        <v>Urban</v>
      </c>
      <c r="I38" s="9">
        <f t="shared" si="4"/>
        <v>2</v>
      </c>
      <c r="J38" s="9" t="s">
        <v>70</v>
      </c>
      <c r="K38" s="9" t="s">
        <v>100</v>
      </c>
      <c r="L38" s="9">
        <f t="shared" si="5"/>
        <v>3</v>
      </c>
      <c r="M38" s="9" t="s">
        <v>109</v>
      </c>
      <c r="N38" s="9">
        <f t="shared" si="6"/>
        <v>9</v>
      </c>
      <c r="O38" s="9" t="s">
        <v>103</v>
      </c>
      <c r="P38" s="9">
        <f t="shared" si="7"/>
        <v>5</v>
      </c>
      <c r="Q38" s="9" t="s">
        <v>78</v>
      </c>
      <c r="R38" s="9">
        <f t="shared" si="8"/>
        <v>3</v>
      </c>
      <c r="S38" s="9" t="s">
        <v>103</v>
      </c>
      <c r="T38" s="9">
        <f t="shared" si="9"/>
        <v>5</v>
      </c>
      <c r="U38" s="9" t="s">
        <v>96</v>
      </c>
      <c r="V38" s="9">
        <f t="shared" si="10"/>
        <v>2.5</v>
      </c>
      <c r="W38" s="9" t="s">
        <v>93</v>
      </c>
      <c r="X38" s="9">
        <f t="shared" si="11"/>
        <v>0</v>
      </c>
      <c r="Y38" s="9">
        <f t="shared" si="12"/>
        <v>1</v>
      </c>
      <c r="Z38" s="9">
        <f t="shared" si="13"/>
        <v>0</v>
      </c>
      <c r="AA38" s="9">
        <f t="shared" si="14"/>
        <v>0</v>
      </c>
      <c r="AB38" s="9" t="s">
        <v>78</v>
      </c>
      <c r="AC38" s="9">
        <f t="shared" si="15"/>
        <v>3</v>
      </c>
      <c r="AD38" s="9" t="s">
        <v>78</v>
      </c>
      <c r="AE38" s="9">
        <f t="shared" si="16"/>
        <v>3</v>
      </c>
      <c r="AF38" s="9" t="s">
        <v>71</v>
      </c>
      <c r="AG38" s="9">
        <f t="shared" si="17"/>
        <v>7.7</v>
      </c>
      <c r="AH38" s="9" t="s">
        <v>72</v>
      </c>
      <c r="AI38" s="9">
        <f t="shared" si="18"/>
        <v>1</v>
      </c>
      <c r="AJ38" s="9" t="s">
        <v>78</v>
      </c>
      <c r="AK38" s="9">
        <f t="shared" si="19"/>
        <v>3</v>
      </c>
      <c r="AL38" s="9" t="s">
        <v>78</v>
      </c>
      <c r="AM38" s="9">
        <f t="shared" si="20"/>
        <v>3</v>
      </c>
      <c r="AN38" s="9" t="s">
        <v>78</v>
      </c>
      <c r="AO38" s="9">
        <f t="shared" si="21"/>
        <v>3</v>
      </c>
      <c r="AP38" s="9" t="s">
        <v>73</v>
      </c>
      <c r="AQ38" s="9">
        <f t="shared" si="22"/>
        <v>2</v>
      </c>
      <c r="AR38" s="9" t="s">
        <v>73</v>
      </c>
      <c r="AS38" s="9">
        <f t="shared" si="23"/>
        <v>2</v>
      </c>
      <c r="AT38" s="9" t="s">
        <v>162</v>
      </c>
      <c r="AU38" s="9">
        <f t="shared" si="24"/>
        <v>0</v>
      </c>
      <c r="AV38" s="9">
        <f t="shared" si="25"/>
        <v>0</v>
      </c>
      <c r="AW38" s="9">
        <f t="shared" si="26"/>
        <v>0</v>
      </c>
      <c r="AX38" s="9">
        <f t="shared" si="27"/>
        <v>0</v>
      </c>
      <c r="AY38" s="9">
        <f t="shared" si="28"/>
        <v>0</v>
      </c>
      <c r="AZ38" s="9">
        <f t="shared" si="29"/>
        <v>1</v>
      </c>
      <c r="BA38" s="9">
        <f t="shared" si="30"/>
        <v>0</v>
      </c>
      <c r="BB38" s="9" t="s">
        <v>88</v>
      </c>
      <c r="BC38" s="9">
        <f t="shared" si="31"/>
        <v>2</v>
      </c>
      <c r="BD38" s="12"/>
      <c r="BE38" s="9" t="str">
        <f t="shared" si="43"/>
        <v>N/A</v>
      </c>
      <c r="BF38" s="9" t="s">
        <v>113</v>
      </c>
      <c r="BG38" s="9">
        <f t="shared" si="33"/>
        <v>0</v>
      </c>
      <c r="BH38" s="9">
        <f t="shared" si="34"/>
        <v>0</v>
      </c>
      <c r="BI38" s="9">
        <f t="shared" si="35"/>
        <v>0</v>
      </c>
      <c r="BJ38" s="9">
        <f t="shared" si="36"/>
        <v>0</v>
      </c>
      <c r="BK38" s="9">
        <f t="shared" si="37"/>
        <v>0</v>
      </c>
      <c r="BL38" s="9">
        <f t="shared" si="38"/>
        <v>0</v>
      </c>
      <c r="BM38" s="9">
        <f t="shared" si="39"/>
        <v>1</v>
      </c>
      <c r="BN38" s="9" t="s">
        <v>88</v>
      </c>
      <c r="BO38" s="11">
        <f t="shared" si="40"/>
        <v>2</v>
      </c>
    </row>
    <row r="39" ht="22.5" customHeight="1">
      <c r="A39" s="9">
        <f t="shared" si="41"/>
        <v>38</v>
      </c>
      <c r="B39" s="10">
        <v>46050.6991724074</v>
      </c>
      <c r="C39" s="9" t="s">
        <v>90</v>
      </c>
      <c r="D39" s="9">
        <f t="shared" si="1"/>
        <v>2</v>
      </c>
      <c r="E39" s="9" t="s">
        <v>68</v>
      </c>
      <c r="F39" s="9">
        <f t="shared" si="2"/>
        <v>1</v>
      </c>
      <c r="G39" s="9" t="s">
        <v>91</v>
      </c>
      <c r="H39" s="9" t="str">
        <f t="shared" si="3"/>
        <v>Urban</v>
      </c>
      <c r="I39" s="9">
        <f t="shared" si="4"/>
        <v>2</v>
      </c>
      <c r="J39" s="9" t="s">
        <v>70</v>
      </c>
      <c r="K39" s="9" t="s">
        <v>100</v>
      </c>
      <c r="L39" s="9">
        <f t="shared" si="5"/>
        <v>3</v>
      </c>
      <c r="M39" s="9" t="s">
        <v>76</v>
      </c>
      <c r="N39" s="9">
        <f t="shared" si="6"/>
        <v>5.5</v>
      </c>
      <c r="O39" s="9" t="s">
        <v>72</v>
      </c>
      <c r="P39" s="9">
        <f t="shared" si="7"/>
        <v>1</v>
      </c>
      <c r="Q39" s="9" t="s">
        <v>85</v>
      </c>
      <c r="R39" s="9">
        <f t="shared" si="8"/>
        <v>4</v>
      </c>
      <c r="S39" s="9" t="s">
        <v>72</v>
      </c>
      <c r="T39" s="9">
        <f t="shared" si="9"/>
        <v>1</v>
      </c>
      <c r="U39" s="9" t="s">
        <v>110</v>
      </c>
      <c r="V39" s="9">
        <f t="shared" si="10"/>
        <v>0.75</v>
      </c>
      <c r="W39" s="9" t="s">
        <v>105</v>
      </c>
      <c r="X39" s="9">
        <f t="shared" si="11"/>
        <v>1</v>
      </c>
      <c r="Y39" s="9">
        <f t="shared" si="12"/>
        <v>1</v>
      </c>
      <c r="Z39" s="9">
        <f t="shared" si="13"/>
        <v>0</v>
      </c>
      <c r="AA39" s="9">
        <f t="shared" si="14"/>
        <v>0</v>
      </c>
      <c r="AB39" s="9" t="s">
        <v>72</v>
      </c>
      <c r="AC39" s="9">
        <f t="shared" si="15"/>
        <v>1</v>
      </c>
      <c r="AD39" s="9" t="s">
        <v>73</v>
      </c>
      <c r="AE39" s="9">
        <f t="shared" si="16"/>
        <v>2</v>
      </c>
      <c r="AF39" s="9" t="s">
        <v>71</v>
      </c>
      <c r="AG39" s="9">
        <f t="shared" si="17"/>
        <v>7.7</v>
      </c>
      <c r="AH39" s="9" t="s">
        <v>103</v>
      </c>
      <c r="AI39" s="9">
        <f t="shared" si="18"/>
        <v>5</v>
      </c>
      <c r="AJ39" s="9" t="s">
        <v>120</v>
      </c>
      <c r="AK39" s="9">
        <f t="shared" si="19"/>
        <v>5</v>
      </c>
      <c r="AL39" s="9" t="s">
        <v>120</v>
      </c>
      <c r="AM39" s="9">
        <f t="shared" si="20"/>
        <v>5</v>
      </c>
      <c r="AN39" s="9" t="s">
        <v>78</v>
      </c>
      <c r="AO39" s="9">
        <f t="shared" si="21"/>
        <v>3</v>
      </c>
      <c r="AP39" s="9" t="s">
        <v>73</v>
      </c>
      <c r="AQ39" s="9">
        <f t="shared" si="22"/>
        <v>2</v>
      </c>
      <c r="AR39" s="9" t="s">
        <v>85</v>
      </c>
      <c r="AS39" s="9">
        <f t="shared" si="23"/>
        <v>4</v>
      </c>
      <c r="AT39" s="9" t="s">
        <v>118</v>
      </c>
      <c r="AU39" s="9">
        <f t="shared" si="24"/>
        <v>0</v>
      </c>
      <c r="AV39" s="9">
        <f t="shared" si="25"/>
        <v>1</v>
      </c>
      <c r="AW39" s="9">
        <f t="shared" si="26"/>
        <v>0</v>
      </c>
      <c r="AX39" s="9">
        <f t="shared" si="27"/>
        <v>0</v>
      </c>
      <c r="AY39" s="9">
        <f t="shared" si="28"/>
        <v>0</v>
      </c>
      <c r="AZ39" s="9">
        <f t="shared" si="29"/>
        <v>1</v>
      </c>
      <c r="BA39" s="9">
        <f t="shared" si="30"/>
        <v>0</v>
      </c>
      <c r="BB39" s="9" t="s">
        <v>88</v>
      </c>
      <c r="BC39" s="9">
        <f t="shared" si="31"/>
        <v>2</v>
      </c>
      <c r="BD39" s="12"/>
      <c r="BE39" s="9" t="str">
        <f t="shared" si="43"/>
        <v>N/A</v>
      </c>
      <c r="BF39" s="9" t="s">
        <v>117</v>
      </c>
      <c r="BG39" s="9">
        <f t="shared" si="33"/>
        <v>0</v>
      </c>
      <c r="BH39" s="9">
        <f t="shared" si="34"/>
        <v>0</v>
      </c>
      <c r="BI39" s="9">
        <f t="shared" si="35"/>
        <v>1</v>
      </c>
      <c r="BJ39" s="9">
        <f t="shared" si="36"/>
        <v>1</v>
      </c>
      <c r="BK39" s="9">
        <f t="shared" si="37"/>
        <v>0</v>
      </c>
      <c r="BL39" s="9">
        <f t="shared" si="38"/>
        <v>0</v>
      </c>
      <c r="BM39" s="9">
        <f t="shared" si="39"/>
        <v>0</v>
      </c>
      <c r="BN39" s="9" t="s">
        <v>68</v>
      </c>
      <c r="BO39" s="11">
        <f t="shared" si="40"/>
        <v>1</v>
      </c>
    </row>
    <row r="40" ht="22.5" customHeight="1">
      <c r="A40" s="9">
        <f t="shared" si="41"/>
        <v>39</v>
      </c>
      <c r="B40" s="10">
        <v>46050.69920741898</v>
      </c>
      <c r="C40" s="9" t="s">
        <v>90</v>
      </c>
      <c r="D40" s="9">
        <f t="shared" si="1"/>
        <v>2</v>
      </c>
      <c r="E40" s="9" t="s">
        <v>68</v>
      </c>
      <c r="F40" s="9">
        <f t="shared" si="2"/>
        <v>1</v>
      </c>
      <c r="G40" s="9" t="s">
        <v>91</v>
      </c>
      <c r="H40" s="9" t="str">
        <f t="shared" si="3"/>
        <v>Urban</v>
      </c>
      <c r="I40" s="9">
        <f t="shared" si="4"/>
        <v>2</v>
      </c>
      <c r="J40" s="9" t="s">
        <v>70</v>
      </c>
      <c r="K40" s="9" t="s">
        <v>100</v>
      </c>
      <c r="L40" s="9">
        <f t="shared" si="5"/>
        <v>3</v>
      </c>
      <c r="M40" s="9" t="s">
        <v>109</v>
      </c>
      <c r="N40" s="9">
        <f t="shared" si="6"/>
        <v>9</v>
      </c>
      <c r="O40" s="9" t="s">
        <v>85</v>
      </c>
      <c r="P40" s="9">
        <f t="shared" si="7"/>
        <v>4</v>
      </c>
      <c r="Q40" s="9" t="s">
        <v>85</v>
      </c>
      <c r="R40" s="9">
        <f t="shared" si="8"/>
        <v>4</v>
      </c>
      <c r="S40" s="9" t="s">
        <v>85</v>
      </c>
      <c r="T40" s="9">
        <f t="shared" si="9"/>
        <v>4</v>
      </c>
      <c r="U40" s="9" t="s">
        <v>96</v>
      </c>
      <c r="V40" s="9">
        <f t="shared" si="10"/>
        <v>2.5</v>
      </c>
      <c r="W40" s="9" t="s">
        <v>105</v>
      </c>
      <c r="X40" s="9">
        <f t="shared" si="11"/>
        <v>1</v>
      </c>
      <c r="Y40" s="9">
        <f t="shared" si="12"/>
        <v>1</v>
      </c>
      <c r="Z40" s="9">
        <f t="shared" si="13"/>
        <v>0</v>
      </c>
      <c r="AA40" s="9">
        <f t="shared" si="14"/>
        <v>0</v>
      </c>
      <c r="AB40" s="9" t="s">
        <v>85</v>
      </c>
      <c r="AC40" s="9">
        <f t="shared" si="15"/>
        <v>4</v>
      </c>
      <c r="AD40" s="9" t="s">
        <v>85</v>
      </c>
      <c r="AE40" s="9">
        <f t="shared" si="16"/>
        <v>4</v>
      </c>
      <c r="AF40" s="9" t="s">
        <v>71</v>
      </c>
      <c r="AG40" s="9">
        <f t="shared" si="17"/>
        <v>7.7</v>
      </c>
      <c r="AH40" s="9" t="s">
        <v>85</v>
      </c>
      <c r="AI40" s="9">
        <f t="shared" si="18"/>
        <v>4</v>
      </c>
      <c r="AJ40" s="9" t="s">
        <v>73</v>
      </c>
      <c r="AK40" s="9">
        <f t="shared" si="19"/>
        <v>2</v>
      </c>
      <c r="AL40" s="9" t="s">
        <v>85</v>
      </c>
      <c r="AM40" s="9">
        <f t="shared" si="20"/>
        <v>4</v>
      </c>
      <c r="AN40" s="9" t="s">
        <v>85</v>
      </c>
      <c r="AO40" s="9">
        <f t="shared" si="21"/>
        <v>4</v>
      </c>
      <c r="AP40" s="9" t="s">
        <v>85</v>
      </c>
      <c r="AQ40" s="9">
        <f t="shared" si="22"/>
        <v>4</v>
      </c>
      <c r="AR40" s="9" t="s">
        <v>85</v>
      </c>
      <c r="AS40" s="9">
        <f t="shared" si="23"/>
        <v>4</v>
      </c>
      <c r="AT40" s="9" t="s">
        <v>165</v>
      </c>
      <c r="AU40" s="9">
        <f t="shared" si="24"/>
        <v>1</v>
      </c>
      <c r="AV40" s="9">
        <f t="shared" si="25"/>
        <v>1</v>
      </c>
      <c r="AW40" s="9">
        <f t="shared" si="26"/>
        <v>0</v>
      </c>
      <c r="AX40" s="9">
        <f t="shared" si="27"/>
        <v>1</v>
      </c>
      <c r="AY40" s="9">
        <f t="shared" si="28"/>
        <v>1</v>
      </c>
      <c r="AZ40" s="9">
        <f t="shared" si="29"/>
        <v>1</v>
      </c>
      <c r="BA40" s="9">
        <f t="shared" si="30"/>
        <v>1</v>
      </c>
      <c r="BB40" s="9" t="s">
        <v>88</v>
      </c>
      <c r="BC40" s="9">
        <f t="shared" si="31"/>
        <v>2</v>
      </c>
      <c r="BD40" s="12"/>
      <c r="BE40" s="9" t="str">
        <f t="shared" si="43"/>
        <v>N/A</v>
      </c>
      <c r="BF40" s="9" t="s">
        <v>166</v>
      </c>
      <c r="BG40" s="9">
        <f t="shared" si="33"/>
        <v>1</v>
      </c>
      <c r="BH40" s="9">
        <f t="shared" si="34"/>
        <v>0</v>
      </c>
      <c r="BI40" s="9">
        <f t="shared" si="35"/>
        <v>1</v>
      </c>
      <c r="BJ40" s="9">
        <f t="shared" si="36"/>
        <v>1</v>
      </c>
      <c r="BK40" s="9">
        <f t="shared" si="37"/>
        <v>1</v>
      </c>
      <c r="BL40" s="9">
        <f t="shared" si="38"/>
        <v>1</v>
      </c>
      <c r="BM40" s="9">
        <f t="shared" si="39"/>
        <v>1</v>
      </c>
      <c r="BN40" s="9" t="s">
        <v>68</v>
      </c>
      <c r="BO40" s="11">
        <f t="shared" si="40"/>
        <v>1</v>
      </c>
    </row>
    <row r="41" ht="22.5" customHeight="1">
      <c r="A41" s="9">
        <f t="shared" si="41"/>
        <v>40</v>
      </c>
      <c r="B41" s="10">
        <v>46050.69988905093</v>
      </c>
      <c r="C41" s="9" t="s">
        <v>67</v>
      </c>
      <c r="D41" s="9">
        <f t="shared" si="1"/>
        <v>1</v>
      </c>
      <c r="E41" s="9" t="s">
        <v>68</v>
      </c>
      <c r="F41" s="9">
        <f t="shared" si="2"/>
        <v>1</v>
      </c>
      <c r="G41" s="9" t="s">
        <v>91</v>
      </c>
      <c r="H41" s="9" t="str">
        <f t="shared" si="3"/>
        <v>Urban</v>
      </c>
      <c r="I41" s="9">
        <f t="shared" si="4"/>
        <v>2</v>
      </c>
      <c r="J41" s="9" t="s">
        <v>145</v>
      </c>
      <c r="K41" s="9" t="s">
        <v>146</v>
      </c>
      <c r="L41" s="9">
        <f t="shared" si="5"/>
        <v>1</v>
      </c>
      <c r="M41" s="9" t="s">
        <v>109</v>
      </c>
      <c r="N41" s="9">
        <f t="shared" si="6"/>
        <v>9</v>
      </c>
      <c r="O41" s="9" t="s">
        <v>72</v>
      </c>
      <c r="P41" s="9">
        <f t="shared" si="7"/>
        <v>1</v>
      </c>
      <c r="Q41" s="9" t="s">
        <v>72</v>
      </c>
      <c r="R41" s="9">
        <f t="shared" si="8"/>
        <v>1</v>
      </c>
      <c r="S41" s="9" t="s">
        <v>72</v>
      </c>
      <c r="T41" s="9">
        <f t="shared" si="9"/>
        <v>1</v>
      </c>
      <c r="U41" s="9" t="s">
        <v>74</v>
      </c>
      <c r="V41" s="9">
        <f t="shared" si="10"/>
        <v>1.5</v>
      </c>
      <c r="W41" s="9" t="s">
        <v>93</v>
      </c>
      <c r="X41" s="9">
        <f t="shared" si="11"/>
        <v>0</v>
      </c>
      <c r="Y41" s="9">
        <f t="shared" si="12"/>
        <v>1</v>
      </c>
      <c r="Z41" s="9">
        <f t="shared" si="13"/>
        <v>0</v>
      </c>
      <c r="AA41" s="9">
        <f t="shared" si="14"/>
        <v>0</v>
      </c>
      <c r="AB41" s="9" t="s">
        <v>78</v>
      </c>
      <c r="AC41" s="9">
        <f t="shared" si="15"/>
        <v>3</v>
      </c>
      <c r="AD41" s="9" t="s">
        <v>73</v>
      </c>
      <c r="AE41" s="9">
        <f t="shared" si="16"/>
        <v>2</v>
      </c>
      <c r="AF41" s="9" t="s">
        <v>109</v>
      </c>
      <c r="AG41" s="9">
        <f t="shared" si="17"/>
        <v>9</v>
      </c>
      <c r="AH41" s="9" t="s">
        <v>85</v>
      </c>
      <c r="AI41" s="9">
        <f t="shared" si="18"/>
        <v>4</v>
      </c>
      <c r="AJ41" s="9" t="s">
        <v>85</v>
      </c>
      <c r="AK41" s="9">
        <f t="shared" si="19"/>
        <v>4</v>
      </c>
      <c r="AL41" s="9" t="s">
        <v>85</v>
      </c>
      <c r="AM41" s="9">
        <f t="shared" si="20"/>
        <v>4</v>
      </c>
      <c r="AN41" s="9" t="s">
        <v>85</v>
      </c>
      <c r="AO41" s="9">
        <f t="shared" si="21"/>
        <v>4</v>
      </c>
      <c r="AP41" s="9" t="s">
        <v>85</v>
      </c>
      <c r="AQ41" s="9">
        <f t="shared" si="22"/>
        <v>4</v>
      </c>
      <c r="AR41" s="9" t="s">
        <v>85</v>
      </c>
      <c r="AS41" s="9">
        <f t="shared" si="23"/>
        <v>4</v>
      </c>
      <c r="AT41" s="9" t="s">
        <v>147</v>
      </c>
      <c r="AU41" s="9">
        <f t="shared" si="24"/>
        <v>1</v>
      </c>
      <c r="AV41" s="9">
        <f t="shared" si="25"/>
        <v>0</v>
      </c>
      <c r="AW41" s="9">
        <f t="shared" si="26"/>
        <v>0</v>
      </c>
      <c r="AX41" s="9">
        <f t="shared" si="27"/>
        <v>0</v>
      </c>
      <c r="AY41" s="9">
        <f t="shared" si="28"/>
        <v>0</v>
      </c>
      <c r="AZ41" s="9">
        <f t="shared" si="29"/>
        <v>0</v>
      </c>
      <c r="BA41" s="9">
        <f t="shared" si="30"/>
        <v>0</v>
      </c>
      <c r="BB41" s="9" t="s">
        <v>88</v>
      </c>
      <c r="BC41" s="9">
        <f t="shared" si="31"/>
        <v>2</v>
      </c>
      <c r="BD41" s="12"/>
      <c r="BE41" s="9" t="str">
        <f t="shared" si="43"/>
        <v>N/A</v>
      </c>
      <c r="BF41" s="9" t="s">
        <v>107</v>
      </c>
      <c r="BG41" s="9">
        <f t="shared" si="33"/>
        <v>1</v>
      </c>
      <c r="BH41" s="9">
        <f t="shared" si="34"/>
        <v>0</v>
      </c>
      <c r="BI41" s="9">
        <f t="shared" si="35"/>
        <v>0</v>
      </c>
      <c r="BJ41" s="9">
        <f t="shared" si="36"/>
        <v>0</v>
      </c>
      <c r="BK41" s="9">
        <f t="shared" si="37"/>
        <v>0</v>
      </c>
      <c r="BL41" s="9">
        <f t="shared" si="38"/>
        <v>0</v>
      </c>
      <c r="BM41" s="9">
        <f t="shared" si="39"/>
        <v>0</v>
      </c>
      <c r="BN41" s="9" t="s">
        <v>68</v>
      </c>
      <c r="BO41" s="11">
        <f t="shared" si="40"/>
        <v>1</v>
      </c>
    </row>
    <row r="42" ht="22.5" customHeight="1">
      <c r="A42" s="9">
        <f t="shared" si="41"/>
        <v>41</v>
      </c>
      <c r="B42" s="10">
        <v>46050.70186505787</v>
      </c>
      <c r="C42" s="9" t="s">
        <v>90</v>
      </c>
      <c r="D42" s="9">
        <f t="shared" si="1"/>
        <v>2</v>
      </c>
      <c r="E42" s="9" t="s">
        <v>68</v>
      </c>
      <c r="F42" s="9">
        <f t="shared" si="2"/>
        <v>1</v>
      </c>
      <c r="G42" s="9" t="s">
        <v>91</v>
      </c>
      <c r="H42" s="9" t="str">
        <f t="shared" si="3"/>
        <v>Urban</v>
      </c>
      <c r="I42" s="9">
        <f t="shared" si="4"/>
        <v>2</v>
      </c>
      <c r="J42" s="9" t="s">
        <v>70</v>
      </c>
      <c r="K42" s="9" t="s">
        <v>100</v>
      </c>
      <c r="L42" s="9">
        <f t="shared" si="5"/>
        <v>3</v>
      </c>
      <c r="M42" s="9" t="s">
        <v>76</v>
      </c>
      <c r="N42" s="9">
        <f t="shared" si="6"/>
        <v>5.5</v>
      </c>
      <c r="O42" s="9" t="s">
        <v>78</v>
      </c>
      <c r="P42" s="9">
        <f t="shared" si="7"/>
        <v>3</v>
      </c>
      <c r="Q42" s="9" t="s">
        <v>85</v>
      </c>
      <c r="R42" s="9">
        <f t="shared" si="8"/>
        <v>4</v>
      </c>
      <c r="S42" s="9" t="s">
        <v>85</v>
      </c>
      <c r="T42" s="9">
        <f t="shared" si="9"/>
        <v>4</v>
      </c>
      <c r="U42" s="9" t="s">
        <v>74</v>
      </c>
      <c r="V42" s="9">
        <f t="shared" si="10"/>
        <v>1.5</v>
      </c>
      <c r="W42" s="9" t="s">
        <v>105</v>
      </c>
      <c r="X42" s="9">
        <f t="shared" si="11"/>
        <v>1</v>
      </c>
      <c r="Y42" s="9">
        <f t="shared" si="12"/>
        <v>1</v>
      </c>
      <c r="Z42" s="9">
        <f t="shared" si="13"/>
        <v>0</v>
      </c>
      <c r="AA42" s="9">
        <f t="shared" si="14"/>
        <v>0</v>
      </c>
      <c r="AB42" s="9" t="s">
        <v>78</v>
      </c>
      <c r="AC42" s="9">
        <f t="shared" si="15"/>
        <v>3</v>
      </c>
      <c r="AD42" s="9" t="s">
        <v>78</v>
      </c>
      <c r="AE42" s="9">
        <f t="shared" si="16"/>
        <v>3</v>
      </c>
      <c r="AF42" s="9" t="s">
        <v>71</v>
      </c>
      <c r="AG42" s="9">
        <f t="shared" si="17"/>
        <v>7.7</v>
      </c>
      <c r="AH42" s="9" t="s">
        <v>78</v>
      </c>
      <c r="AI42" s="9">
        <f t="shared" si="18"/>
        <v>3</v>
      </c>
      <c r="AJ42" s="9" t="s">
        <v>77</v>
      </c>
      <c r="AK42" s="9">
        <f t="shared" si="19"/>
        <v>1</v>
      </c>
      <c r="AL42" s="9" t="s">
        <v>78</v>
      </c>
      <c r="AM42" s="9">
        <f t="shared" si="20"/>
        <v>3</v>
      </c>
      <c r="AN42" s="9" t="s">
        <v>85</v>
      </c>
      <c r="AO42" s="9">
        <f t="shared" si="21"/>
        <v>4</v>
      </c>
      <c r="AP42" s="9" t="s">
        <v>78</v>
      </c>
      <c r="AQ42" s="9">
        <f t="shared" si="22"/>
        <v>3</v>
      </c>
      <c r="AR42" s="9" t="s">
        <v>85</v>
      </c>
      <c r="AS42" s="9">
        <f t="shared" si="23"/>
        <v>4</v>
      </c>
      <c r="AT42" s="9" t="s">
        <v>167</v>
      </c>
      <c r="AU42" s="9">
        <f t="shared" si="24"/>
        <v>0</v>
      </c>
      <c r="AV42" s="9">
        <f t="shared" si="25"/>
        <v>0</v>
      </c>
      <c r="AW42" s="9">
        <f t="shared" si="26"/>
        <v>1</v>
      </c>
      <c r="AX42" s="9">
        <f t="shared" si="27"/>
        <v>1</v>
      </c>
      <c r="AY42" s="9">
        <f t="shared" si="28"/>
        <v>1</v>
      </c>
      <c r="AZ42" s="9">
        <f t="shared" si="29"/>
        <v>0</v>
      </c>
      <c r="BA42" s="9">
        <f t="shared" si="30"/>
        <v>0</v>
      </c>
      <c r="BB42" s="9" t="s">
        <v>68</v>
      </c>
      <c r="BC42" s="9">
        <f t="shared" si="31"/>
        <v>1</v>
      </c>
      <c r="BD42" s="9" t="s">
        <v>168</v>
      </c>
      <c r="BE42" s="9" t="str">
        <f t="shared" si="43"/>
        <v>N/A</v>
      </c>
      <c r="BF42" s="9" t="s">
        <v>161</v>
      </c>
      <c r="BG42" s="9">
        <f t="shared" si="33"/>
        <v>0</v>
      </c>
      <c r="BH42" s="9">
        <f t="shared" si="34"/>
        <v>0</v>
      </c>
      <c r="BI42" s="9">
        <f t="shared" si="35"/>
        <v>0</v>
      </c>
      <c r="BJ42" s="9">
        <f t="shared" si="36"/>
        <v>1</v>
      </c>
      <c r="BK42" s="9">
        <f t="shared" si="37"/>
        <v>0</v>
      </c>
      <c r="BL42" s="9">
        <f t="shared" si="38"/>
        <v>0</v>
      </c>
      <c r="BM42" s="9">
        <f t="shared" si="39"/>
        <v>0</v>
      </c>
      <c r="BN42" s="9" t="s">
        <v>68</v>
      </c>
      <c r="BO42" s="11">
        <f t="shared" si="40"/>
        <v>1</v>
      </c>
    </row>
    <row r="43" ht="22.5" customHeight="1">
      <c r="A43" s="9">
        <f t="shared" si="41"/>
        <v>42</v>
      </c>
      <c r="B43" s="10">
        <v>46050.702010486115</v>
      </c>
      <c r="C43" s="9" t="s">
        <v>67</v>
      </c>
      <c r="D43" s="9">
        <f t="shared" si="1"/>
        <v>1</v>
      </c>
      <c r="E43" s="9" t="s">
        <v>68</v>
      </c>
      <c r="F43" s="9">
        <f t="shared" si="2"/>
        <v>1</v>
      </c>
      <c r="G43" s="9" t="s">
        <v>91</v>
      </c>
      <c r="H43" s="9" t="str">
        <f t="shared" si="3"/>
        <v>Urban</v>
      </c>
      <c r="I43" s="9">
        <f t="shared" si="4"/>
        <v>2</v>
      </c>
      <c r="J43" s="9" t="s">
        <v>70</v>
      </c>
      <c r="K43" s="9" t="s">
        <v>100</v>
      </c>
      <c r="L43" s="9">
        <f t="shared" si="5"/>
        <v>3</v>
      </c>
      <c r="M43" s="9" t="s">
        <v>76</v>
      </c>
      <c r="N43" s="9">
        <f t="shared" si="6"/>
        <v>5.5</v>
      </c>
      <c r="O43" s="9" t="s">
        <v>78</v>
      </c>
      <c r="P43" s="9">
        <f t="shared" si="7"/>
        <v>3</v>
      </c>
      <c r="Q43" s="9" t="s">
        <v>73</v>
      </c>
      <c r="R43" s="9">
        <f t="shared" si="8"/>
        <v>2</v>
      </c>
      <c r="S43" s="9" t="s">
        <v>85</v>
      </c>
      <c r="T43" s="9">
        <f t="shared" si="9"/>
        <v>4</v>
      </c>
      <c r="U43" s="9" t="s">
        <v>92</v>
      </c>
      <c r="V43" s="9">
        <f t="shared" si="10"/>
        <v>3.5</v>
      </c>
      <c r="W43" s="9" t="s">
        <v>86</v>
      </c>
      <c r="X43" s="9">
        <f t="shared" si="11"/>
        <v>1</v>
      </c>
      <c r="Y43" s="9">
        <f t="shared" si="12"/>
        <v>1</v>
      </c>
      <c r="Z43" s="9">
        <f t="shared" si="13"/>
        <v>1</v>
      </c>
      <c r="AA43" s="9">
        <f t="shared" si="14"/>
        <v>0</v>
      </c>
      <c r="AB43" s="9" t="s">
        <v>73</v>
      </c>
      <c r="AC43" s="9">
        <f t="shared" si="15"/>
        <v>2</v>
      </c>
      <c r="AD43" s="9" t="s">
        <v>85</v>
      </c>
      <c r="AE43" s="9">
        <f t="shared" si="16"/>
        <v>4</v>
      </c>
      <c r="AF43" s="9" t="s">
        <v>71</v>
      </c>
      <c r="AG43" s="9">
        <f t="shared" si="17"/>
        <v>7.7</v>
      </c>
      <c r="AH43" s="9" t="s">
        <v>85</v>
      </c>
      <c r="AI43" s="9">
        <f t="shared" si="18"/>
        <v>4</v>
      </c>
      <c r="AJ43" s="9" t="s">
        <v>85</v>
      </c>
      <c r="AK43" s="9">
        <f t="shared" si="19"/>
        <v>4</v>
      </c>
      <c r="AL43" s="9" t="s">
        <v>73</v>
      </c>
      <c r="AM43" s="9">
        <f t="shared" si="20"/>
        <v>2</v>
      </c>
      <c r="AN43" s="9" t="s">
        <v>85</v>
      </c>
      <c r="AO43" s="9">
        <f t="shared" si="21"/>
        <v>4</v>
      </c>
      <c r="AP43" s="9" t="s">
        <v>120</v>
      </c>
      <c r="AQ43" s="9">
        <f t="shared" si="22"/>
        <v>5</v>
      </c>
      <c r="AR43" s="9" t="s">
        <v>78</v>
      </c>
      <c r="AS43" s="9">
        <f t="shared" si="23"/>
        <v>3</v>
      </c>
      <c r="AT43" s="9" t="s">
        <v>169</v>
      </c>
      <c r="AU43" s="9">
        <f t="shared" si="24"/>
        <v>1</v>
      </c>
      <c r="AV43" s="9">
        <f t="shared" si="25"/>
        <v>1</v>
      </c>
      <c r="AW43" s="9">
        <f t="shared" si="26"/>
        <v>1</v>
      </c>
      <c r="AX43" s="9">
        <f t="shared" si="27"/>
        <v>1</v>
      </c>
      <c r="AY43" s="9">
        <f t="shared" si="28"/>
        <v>1</v>
      </c>
      <c r="AZ43" s="9">
        <f t="shared" si="29"/>
        <v>0</v>
      </c>
      <c r="BA43" s="9">
        <f t="shared" si="30"/>
        <v>1</v>
      </c>
      <c r="BB43" s="9" t="s">
        <v>88</v>
      </c>
      <c r="BC43" s="9">
        <f t="shared" si="31"/>
        <v>2</v>
      </c>
      <c r="BD43" s="12"/>
      <c r="BE43" s="9" t="str">
        <f t="shared" si="43"/>
        <v>N/A</v>
      </c>
      <c r="BF43" s="9" t="s">
        <v>166</v>
      </c>
      <c r="BG43" s="9">
        <f t="shared" si="33"/>
        <v>1</v>
      </c>
      <c r="BH43" s="9">
        <f t="shared" si="34"/>
        <v>0</v>
      </c>
      <c r="BI43" s="9">
        <f t="shared" si="35"/>
        <v>1</v>
      </c>
      <c r="BJ43" s="9">
        <f t="shared" si="36"/>
        <v>1</v>
      </c>
      <c r="BK43" s="9">
        <f t="shared" si="37"/>
        <v>1</v>
      </c>
      <c r="BL43" s="9">
        <f t="shared" si="38"/>
        <v>1</v>
      </c>
      <c r="BM43" s="9">
        <f t="shared" si="39"/>
        <v>1</v>
      </c>
      <c r="BN43" s="9" t="s">
        <v>68</v>
      </c>
      <c r="BO43" s="11">
        <f t="shared" si="40"/>
        <v>1</v>
      </c>
    </row>
    <row r="44" ht="22.5" customHeight="1">
      <c r="A44" s="9">
        <f t="shared" si="41"/>
        <v>43</v>
      </c>
      <c r="B44" s="10">
        <v>46050.704164780094</v>
      </c>
      <c r="C44" s="9" t="s">
        <v>90</v>
      </c>
      <c r="D44" s="9">
        <f t="shared" si="1"/>
        <v>2</v>
      </c>
      <c r="E44" s="9" t="s">
        <v>68</v>
      </c>
      <c r="F44" s="9">
        <f t="shared" si="2"/>
        <v>1</v>
      </c>
      <c r="G44" s="9" t="s">
        <v>69</v>
      </c>
      <c r="H44" s="9" t="str">
        <f t="shared" si="3"/>
        <v>Rural</v>
      </c>
      <c r="I44" s="9">
        <f t="shared" si="4"/>
        <v>1</v>
      </c>
      <c r="J44" s="9" t="s">
        <v>70</v>
      </c>
      <c r="K44" s="9" t="s">
        <v>100</v>
      </c>
      <c r="L44" s="9">
        <f t="shared" si="5"/>
        <v>3</v>
      </c>
      <c r="M44" s="9" t="s">
        <v>76</v>
      </c>
      <c r="N44" s="9">
        <f t="shared" si="6"/>
        <v>5.5</v>
      </c>
      <c r="O44" s="9" t="s">
        <v>78</v>
      </c>
      <c r="P44" s="9">
        <f t="shared" si="7"/>
        <v>3</v>
      </c>
      <c r="Q44" s="9" t="s">
        <v>85</v>
      </c>
      <c r="R44" s="9">
        <f t="shared" si="8"/>
        <v>4</v>
      </c>
      <c r="S44" s="9" t="s">
        <v>85</v>
      </c>
      <c r="T44" s="9">
        <f t="shared" si="9"/>
        <v>4</v>
      </c>
      <c r="U44" s="9" t="s">
        <v>74</v>
      </c>
      <c r="V44" s="9">
        <f t="shared" si="10"/>
        <v>1.5</v>
      </c>
      <c r="W44" s="9" t="s">
        <v>143</v>
      </c>
      <c r="X44" s="9">
        <f t="shared" si="11"/>
        <v>1</v>
      </c>
      <c r="Y44" s="9">
        <f t="shared" si="12"/>
        <v>0</v>
      </c>
      <c r="Z44" s="9">
        <f t="shared" si="13"/>
        <v>0</v>
      </c>
      <c r="AA44" s="9">
        <f t="shared" si="14"/>
        <v>0</v>
      </c>
      <c r="AB44" s="9" t="s">
        <v>78</v>
      </c>
      <c r="AC44" s="9">
        <f t="shared" si="15"/>
        <v>3</v>
      </c>
      <c r="AD44" s="9" t="s">
        <v>85</v>
      </c>
      <c r="AE44" s="9">
        <f t="shared" si="16"/>
        <v>4</v>
      </c>
      <c r="AF44" s="9" t="s">
        <v>76</v>
      </c>
      <c r="AG44" s="9">
        <f t="shared" si="17"/>
        <v>5.5</v>
      </c>
      <c r="AH44" s="9" t="s">
        <v>85</v>
      </c>
      <c r="AI44" s="9">
        <f t="shared" si="18"/>
        <v>4</v>
      </c>
      <c r="AJ44" s="9" t="s">
        <v>85</v>
      </c>
      <c r="AK44" s="9">
        <f t="shared" si="19"/>
        <v>4</v>
      </c>
      <c r="AL44" s="9" t="s">
        <v>85</v>
      </c>
      <c r="AM44" s="9">
        <f t="shared" si="20"/>
        <v>4</v>
      </c>
      <c r="AN44" s="9" t="s">
        <v>85</v>
      </c>
      <c r="AO44" s="9">
        <f t="shared" si="21"/>
        <v>4</v>
      </c>
      <c r="AP44" s="9" t="s">
        <v>85</v>
      </c>
      <c r="AQ44" s="9">
        <f t="shared" si="22"/>
        <v>4</v>
      </c>
      <c r="AR44" s="9" t="s">
        <v>85</v>
      </c>
      <c r="AS44" s="9">
        <f t="shared" si="23"/>
        <v>4</v>
      </c>
      <c r="AT44" s="9" t="s">
        <v>170</v>
      </c>
      <c r="AU44" s="9">
        <f t="shared" si="24"/>
        <v>1</v>
      </c>
      <c r="AV44" s="9">
        <f t="shared" si="25"/>
        <v>1</v>
      </c>
      <c r="AW44" s="9">
        <f t="shared" si="26"/>
        <v>1</v>
      </c>
      <c r="AX44" s="9">
        <f t="shared" si="27"/>
        <v>0</v>
      </c>
      <c r="AY44" s="9">
        <f t="shared" si="28"/>
        <v>0</v>
      </c>
      <c r="AZ44" s="9">
        <f t="shared" si="29"/>
        <v>1</v>
      </c>
      <c r="BA44" s="9">
        <f t="shared" si="30"/>
        <v>0</v>
      </c>
      <c r="BB44" s="9" t="s">
        <v>88</v>
      </c>
      <c r="BC44" s="9">
        <f t="shared" si="31"/>
        <v>2</v>
      </c>
      <c r="BD44" s="12"/>
      <c r="BE44" s="9" t="str">
        <f t="shared" si="43"/>
        <v>N/A</v>
      </c>
      <c r="BF44" s="9" t="s">
        <v>171</v>
      </c>
      <c r="BG44" s="9">
        <f t="shared" si="33"/>
        <v>1</v>
      </c>
      <c r="BH44" s="9">
        <f t="shared" si="34"/>
        <v>1</v>
      </c>
      <c r="BI44" s="9">
        <f t="shared" si="35"/>
        <v>0</v>
      </c>
      <c r="BJ44" s="9">
        <f t="shared" si="36"/>
        <v>0</v>
      </c>
      <c r="BK44" s="9">
        <f t="shared" si="37"/>
        <v>1</v>
      </c>
      <c r="BL44" s="9">
        <f t="shared" si="38"/>
        <v>1</v>
      </c>
      <c r="BM44" s="9">
        <f t="shared" si="39"/>
        <v>1</v>
      </c>
      <c r="BN44" s="9" t="s">
        <v>68</v>
      </c>
      <c r="BO44" s="11">
        <f t="shared" si="40"/>
        <v>1</v>
      </c>
    </row>
    <row r="45" ht="22.5" customHeight="1">
      <c r="A45" s="9">
        <f t="shared" si="41"/>
        <v>44</v>
      </c>
      <c r="B45" s="10">
        <v>46050.704300625</v>
      </c>
      <c r="C45" s="9" t="s">
        <v>67</v>
      </c>
      <c r="D45" s="9">
        <f t="shared" si="1"/>
        <v>1</v>
      </c>
      <c r="E45" s="9" t="s">
        <v>68</v>
      </c>
      <c r="F45" s="9">
        <f t="shared" si="2"/>
        <v>1</v>
      </c>
      <c r="G45" s="9" t="s">
        <v>69</v>
      </c>
      <c r="H45" s="9" t="str">
        <f t="shared" si="3"/>
        <v>Rural</v>
      </c>
      <c r="I45" s="9">
        <f t="shared" si="4"/>
        <v>1</v>
      </c>
      <c r="J45" s="9" t="s">
        <v>70</v>
      </c>
      <c r="K45" s="9" t="s">
        <v>100</v>
      </c>
      <c r="L45" s="9">
        <f t="shared" si="5"/>
        <v>3</v>
      </c>
      <c r="M45" s="9" t="s">
        <v>109</v>
      </c>
      <c r="N45" s="9">
        <f t="shared" si="6"/>
        <v>9</v>
      </c>
      <c r="O45" s="9" t="s">
        <v>72</v>
      </c>
      <c r="P45" s="9">
        <f t="shared" si="7"/>
        <v>1</v>
      </c>
      <c r="Q45" s="9" t="s">
        <v>85</v>
      </c>
      <c r="R45" s="9">
        <f t="shared" si="8"/>
        <v>4</v>
      </c>
      <c r="S45" s="9" t="s">
        <v>85</v>
      </c>
      <c r="T45" s="9">
        <f t="shared" si="9"/>
        <v>4</v>
      </c>
      <c r="U45" s="9" t="s">
        <v>96</v>
      </c>
      <c r="V45" s="9">
        <f t="shared" si="10"/>
        <v>2.5</v>
      </c>
      <c r="W45" s="9" t="s">
        <v>111</v>
      </c>
      <c r="X45" s="9">
        <f t="shared" si="11"/>
        <v>1</v>
      </c>
      <c r="Y45" s="9">
        <f t="shared" si="12"/>
        <v>1</v>
      </c>
      <c r="Z45" s="9">
        <f t="shared" si="13"/>
        <v>0</v>
      </c>
      <c r="AA45" s="9">
        <f t="shared" si="14"/>
        <v>1</v>
      </c>
      <c r="AB45" s="9" t="s">
        <v>78</v>
      </c>
      <c r="AC45" s="9">
        <f t="shared" si="15"/>
        <v>3</v>
      </c>
      <c r="AD45" s="9" t="s">
        <v>85</v>
      </c>
      <c r="AE45" s="9">
        <f t="shared" si="16"/>
        <v>4</v>
      </c>
      <c r="AF45" s="9" t="s">
        <v>76</v>
      </c>
      <c r="AG45" s="9">
        <f t="shared" si="17"/>
        <v>5.5</v>
      </c>
      <c r="AH45" s="9" t="s">
        <v>73</v>
      </c>
      <c r="AI45" s="9">
        <f t="shared" si="18"/>
        <v>2</v>
      </c>
      <c r="AJ45" s="9" t="s">
        <v>73</v>
      </c>
      <c r="AK45" s="9">
        <f t="shared" si="19"/>
        <v>2</v>
      </c>
      <c r="AL45" s="9" t="s">
        <v>78</v>
      </c>
      <c r="AM45" s="9">
        <f t="shared" si="20"/>
        <v>3</v>
      </c>
      <c r="AN45" s="9" t="s">
        <v>73</v>
      </c>
      <c r="AO45" s="9">
        <f t="shared" si="21"/>
        <v>2</v>
      </c>
      <c r="AP45" s="9" t="s">
        <v>73</v>
      </c>
      <c r="AQ45" s="9">
        <f t="shared" si="22"/>
        <v>2</v>
      </c>
      <c r="AR45" s="9" t="s">
        <v>78</v>
      </c>
      <c r="AS45" s="9">
        <f t="shared" si="23"/>
        <v>3</v>
      </c>
      <c r="AT45" s="9" t="s">
        <v>125</v>
      </c>
      <c r="AU45" s="9">
        <f t="shared" si="24"/>
        <v>0</v>
      </c>
      <c r="AV45" s="9">
        <f t="shared" si="25"/>
        <v>0</v>
      </c>
      <c r="AW45" s="9">
        <f t="shared" si="26"/>
        <v>0</v>
      </c>
      <c r="AX45" s="9">
        <f t="shared" si="27"/>
        <v>1</v>
      </c>
      <c r="AY45" s="9">
        <f t="shared" si="28"/>
        <v>0</v>
      </c>
      <c r="AZ45" s="9">
        <f t="shared" si="29"/>
        <v>0</v>
      </c>
      <c r="BA45" s="9">
        <f t="shared" si="30"/>
        <v>0</v>
      </c>
      <c r="BB45" s="9" t="s">
        <v>88</v>
      </c>
      <c r="BC45" s="9">
        <f t="shared" si="31"/>
        <v>2</v>
      </c>
      <c r="BD45" s="12"/>
      <c r="BE45" s="9" t="str">
        <f t="shared" si="43"/>
        <v>N/A</v>
      </c>
      <c r="BF45" s="9" t="s">
        <v>172</v>
      </c>
      <c r="BG45" s="9">
        <f t="shared" si="33"/>
        <v>1</v>
      </c>
      <c r="BH45" s="9">
        <f t="shared" si="34"/>
        <v>0</v>
      </c>
      <c r="BI45" s="9">
        <f t="shared" si="35"/>
        <v>0</v>
      </c>
      <c r="BJ45" s="9">
        <f t="shared" si="36"/>
        <v>1</v>
      </c>
      <c r="BK45" s="9">
        <f t="shared" si="37"/>
        <v>0</v>
      </c>
      <c r="BL45" s="9">
        <f t="shared" si="38"/>
        <v>0</v>
      </c>
      <c r="BM45" s="9">
        <f t="shared" si="39"/>
        <v>1</v>
      </c>
      <c r="BN45" s="9" t="s">
        <v>108</v>
      </c>
      <c r="BO45" s="11">
        <f t="shared" si="40"/>
        <v>3</v>
      </c>
    </row>
    <row r="46" ht="22.5" customHeight="1">
      <c r="A46" s="9">
        <f t="shared" si="41"/>
        <v>45</v>
      </c>
      <c r="B46" s="10">
        <v>46050.70448778935</v>
      </c>
      <c r="C46" s="9" t="s">
        <v>90</v>
      </c>
      <c r="D46" s="9">
        <f t="shared" si="1"/>
        <v>2</v>
      </c>
      <c r="E46" s="9" t="s">
        <v>68</v>
      </c>
      <c r="F46" s="9">
        <f t="shared" si="2"/>
        <v>1</v>
      </c>
      <c r="G46" s="9" t="s">
        <v>69</v>
      </c>
      <c r="H46" s="9" t="str">
        <f t="shared" si="3"/>
        <v>Rural</v>
      </c>
      <c r="I46" s="9">
        <f t="shared" si="4"/>
        <v>1</v>
      </c>
      <c r="J46" s="9" t="s">
        <v>70</v>
      </c>
      <c r="K46" s="9" t="s">
        <v>100</v>
      </c>
      <c r="L46" s="9">
        <f t="shared" si="5"/>
        <v>3</v>
      </c>
      <c r="M46" s="9" t="s">
        <v>101</v>
      </c>
      <c r="N46" s="9">
        <f t="shared" si="6"/>
        <v>2</v>
      </c>
      <c r="O46" s="9" t="s">
        <v>78</v>
      </c>
      <c r="P46" s="9">
        <f t="shared" si="7"/>
        <v>3</v>
      </c>
      <c r="Q46" s="9" t="s">
        <v>78</v>
      </c>
      <c r="R46" s="9">
        <f t="shared" si="8"/>
        <v>3</v>
      </c>
      <c r="S46" s="9" t="s">
        <v>78</v>
      </c>
      <c r="T46" s="9">
        <f t="shared" si="9"/>
        <v>3</v>
      </c>
      <c r="U46" s="9" t="s">
        <v>74</v>
      </c>
      <c r="V46" s="9">
        <f t="shared" si="10"/>
        <v>1.5</v>
      </c>
      <c r="W46" s="9" t="s">
        <v>93</v>
      </c>
      <c r="X46" s="9">
        <f t="shared" si="11"/>
        <v>0</v>
      </c>
      <c r="Y46" s="9">
        <f t="shared" si="12"/>
        <v>1</v>
      </c>
      <c r="Z46" s="9">
        <f t="shared" si="13"/>
        <v>0</v>
      </c>
      <c r="AA46" s="9">
        <f t="shared" si="14"/>
        <v>0</v>
      </c>
      <c r="AB46" s="9" t="s">
        <v>78</v>
      </c>
      <c r="AC46" s="9">
        <f t="shared" si="15"/>
        <v>3</v>
      </c>
      <c r="AD46" s="9" t="s">
        <v>78</v>
      </c>
      <c r="AE46" s="9">
        <f t="shared" si="16"/>
        <v>3</v>
      </c>
      <c r="AF46" s="9" t="s">
        <v>71</v>
      </c>
      <c r="AG46" s="9">
        <f t="shared" si="17"/>
        <v>7.7</v>
      </c>
      <c r="AH46" s="9" t="s">
        <v>85</v>
      </c>
      <c r="AI46" s="9">
        <f t="shared" si="18"/>
        <v>4</v>
      </c>
      <c r="AJ46" s="9" t="s">
        <v>73</v>
      </c>
      <c r="AK46" s="9">
        <f t="shared" si="19"/>
        <v>2</v>
      </c>
      <c r="AL46" s="9" t="s">
        <v>78</v>
      </c>
      <c r="AM46" s="9">
        <f t="shared" si="20"/>
        <v>3</v>
      </c>
      <c r="AN46" s="9" t="s">
        <v>78</v>
      </c>
      <c r="AO46" s="9">
        <f t="shared" si="21"/>
        <v>3</v>
      </c>
      <c r="AP46" s="9" t="s">
        <v>85</v>
      </c>
      <c r="AQ46" s="9">
        <f t="shared" si="22"/>
        <v>4</v>
      </c>
      <c r="AR46" s="9" t="s">
        <v>85</v>
      </c>
      <c r="AS46" s="9">
        <f t="shared" si="23"/>
        <v>4</v>
      </c>
      <c r="AT46" s="9" t="s">
        <v>118</v>
      </c>
      <c r="AU46" s="9">
        <f t="shared" si="24"/>
        <v>0</v>
      </c>
      <c r="AV46" s="9">
        <f t="shared" si="25"/>
        <v>1</v>
      </c>
      <c r="AW46" s="9">
        <f t="shared" si="26"/>
        <v>0</v>
      </c>
      <c r="AX46" s="9">
        <f t="shared" si="27"/>
        <v>0</v>
      </c>
      <c r="AY46" s="9">
        <f t="shared" si="28"/>
        <v>0</v>
      </c>
      <c r="AZ46" s="9">
        <f t="shared" si="29"/>
        <v>1</v>
      </c>
      <c r="BA46" s="9">
        <f t="shared" si="30"/>
        <v>0</v>
      </c>
      <c r="BB46" s="9" t="s">
        <v>88</v>
      </c>
      <c r="BC46" s="9">
        <f t="shared" si="31"/>
        <v>2</v>
      </c>
      <c r="BD46" s="12"/>
      <c r="BE46" s="9" t="str">
        <f t="shared" si="43"/>
        <v>N/A</v>
      </c>
      <c r="BF46" s="9" t="s">
        <v>173</v>
      </c>
      <c r="BG46" s="9">
        <f t="shared" si="33"/>
        <v>0</v>
      </c>
      <c r="BH46" s="9">
        <f t="shared" si="34"/>
        <v>0</v>
      </c>
      <c r="BI46" s="9">
        <f t="shared" si="35"/>
        <v>0</v>
      </c>
      <c r="BJ46" s="9">
        <f t="shared" si="36"/>
        <v>1</v>
      </c>
      <c r="BK46" s="9">
        <f t="shared" si="37"/>
        <v>0</v>
      </c>
      <c r="BL46" s="9">
        <f t="shared" si="38"/>
        <v>1</v>
      </c>
      <c r="BM46" s="9">
        <f t="shared" si="39"/>
        <v>0</v>
      </c>
      <c r="BN46" s="9" t="s">
        <v>108</v>
      </c>
      <c r="BO46" s="11">
        <f t="shared" si="40"/>
        <v>3</v>
      </c>
    </row>
    <row r="47" ht="22.5" customHeight="1">
      <c r="A47" s="9">
        <f t="shared" si="41"/>
        <v>46</v>
      </c>
      <c r="B47" s="10">
        <v>46050.70474392361</v>
      </c>
      <c r="C47" s="9" t="s">
        <v>90</v>
      </c>
      <c r="D47" s="9">
        <f t="shared" si="1"/>
        <v>2</v>
      </c>
      <c r="E47" s="9" t="s">
        <v>68</v>
      </c>
      <c r="F47" s="9">
        <f t="shared" si="2"/>
        <v>1</v>
      </c>
      <c r="G47" s="9" t="s">
        <v>91</v>
      </c>
      <c r="H47" s="9" t="str">
        <f t="shared" si="3"/>
        <v>Urban</v>
      </c>
      <c r="I47" s="9">
        <f t="shared" si="4"/>
        <v>2</v>
      </c>
      <c r="J47" s="9" t="s">
        <v>70</v>
      </c>
      <c r="K47" s="9" t="s">
        <v>100</v>
      </c>
      <c r="L47" s="9">
        <f t="shared" si="5"/>
        <v>3</v>
      </c>
      <c r="M47" s="9" t="s">
        <v>71</v>
      </c>
      <c r="N47" s="9">
        <f t="shared" si="6"/>
        <v>7.7</v>
      </c>
      <c r="O47" s="9" t="s">
        <v>78</v>
      </c>
      <c r="P47" s="9">
        <f t="shared" si="7"/>
        <v>3</v>
      </c>
      <c r="Q47" s="9" t="s">
        <v>72</v>
      </c>
      <c r="R47" s="9">
        <f t="shared" si="8"/>
        <v>1</v>
      </c>
      <c r="S47" s="9" t="s">
        <v>85</v>
      </c>
      <c r="T47" s="9">
        <f t="shared" si="9"/>
        <v>4</v>
      </c>
      <c r="U47" s="9" t="s">
        <v>92</v>
      </c>
      <c r="V47" s="9">
        <f t="shared" si="10"/>
        <v>3.5</v>
      </c>
      <c r="W47" s="9" t="s">
        <v>174</v>
      </c>
      <c r="X47" s="9">
        <f t="shared" si="11"/>
        <v>1</v>
      </c>
      <c r="Y47" s="9">
        <f t="shared" si="12"/>
        <v>1</v>
      </c>
      <c r="Z47" s="9">
        <f t="shared" si="13"/>
        <v>1</v>
      </c>
      <c r="AA47" s="9">
        <f t="shared" si="14"/>
        <v>1</v>
      </c>
      <c r="AB47" s="9" t="s">
        <v>85</v>
      </c>
      <c r="AC47" s="9">
        <f t="shared" si="15"/>
        <v>4</v>
      </c>
      <c r="AD47" s="9" t="s">
        <v>85</v>
      </c>
      <c r="AE47" s="9">
        <f t="shared" si="16"/>
        <v>4</v>
      </c>
      <c r="AF47" s="9" t="s">
        <v>109</v>
      </c>
      <c r="AG47" s="9">
        <f t="shared" si="17"/>
        <v>9</v>
      </c>
      <c r="AH47" s="9" t="s">
        <v>85</v>
      </c>
      <c r="AI47" s="9">
        <f t="shared" si="18"/>
        <v>4</v>
      </c>
      <c r="AJ47" s="9" t="s">
        <v>85</v>
      </c>
      <c r="AK47" s="9">
        <f t="shared" si="19"/>
        <v>4</v>
      </c>
      <c r="AL47" s="9" t="s">
        <v>85</v>
      </c>
      <c r="AM47" s="9">
        <f t="shared" si="20"/>
        <v>4</v>
      </c>
      <c r="AN47" s="9" t="s">
        <v>85</v>
      </c>
      <c r="AO47" s="9">
        <f t="shared" si="21"/>
        <v>4</v>
      </c>
      <c r="AP47" s="9" t="s">
        <v>85</v>
      </c>
      <c r="AQ47" s="9">
        <f t="shared" si="22"/>
        <v>4</v>
      </c>
      <c r="AR47" s="9" t="s">
        <v>85</v>
      </c>
      <c r="AS47" s="9">
        <f t="shared" si="23"/>
        <v>4</v>
      </c>
      <c r="AT47" s="9" t="s">
        <v>104</v>
      </c>
      <c r="AU47" s="9">
        <f t="shared" si="24"/>
        <v>1</v>
      </c>
      <c r="AV47" s="9">
        <f t="shared" si="25"/>
        <v>1</v>
      </c>
      <c r="AW47" s="9">
        <f t="shared" si="26"/>
        <v>1</v>
      </c>
      <c r="AX47" s="9">
        <f t="shared" si="27"/>
        <v>1</v>
      </c>
      <c r="AY47" s="9">
        <f t="shared" si="28"/>
        <v>1</v>
      </c>
      <c r="AZ47" s="9">
        <f t="shared" si="29"/>
        <v>1</v>
      </c>
      <c r="BA47" s="9">
        <f t="shared" si="30"/>
        <v>1</v>
      </c>
      <c r="BB47" s="9" t="s">
        <v>88</v>
      </c>
      <c r="BC47" s="9">
        <f t="shared" si="31"/>
        <v>2</v>
      </c>
      <c r="BD47" s="12"/>
      <c r="BE47" s="9" t="str">
        <f t="shared" si="43"/>
        <v>N/A</v>
      </c>
      <c r="BF47" s="9" t="s">
        <v>107</v>
      </c>
      <c r="BG47" s="9">
        <f t="shared" si="33"/>
        <v>1</v>
      </c>
      <c r="BH47" s="9">
        <f t="shared" si="34"/>
        <v>0</v>
      </c>
      <c r="BI47" s="9">
        <f t="shared" si="35"/>
        <v>0</v>
      </c>
      <c r="BJ47" s="9">
        <f t="shared" si="36"/>
        <v>0</v>
      </c>
      <c r="BK47" s="9">
        <f t="shared" si="37"/>
        <v>0</v>
      </c>
      <c r="BL47" s="9">
        <f t="shared" si="38"/>
        <v>0</v>
      </c>
      <c r="BM47" s="9">
        <f t="shared" si="39"/>
        <v>0</v>
      </c>
      <c r="BN47" s="9" t="s">
        <v>108</v>
      </c>
      <c r="BO47" s="11">
        <f t="shared" si="40"/>
        <v>3</v>
      </c>
    </row>
    <row r="48" ht="22.5" customHeight="1">
      <c r="A48" s="9">
        <f t="shared" si="41"/>
        <v>47</v>
      </c>
      <c r="B48" s="10">
        <v>46050.705125625</v>
      </c>
      <c r="C48" s="9" t="s">
        <v>90</v>
      </c>
      <c r="D48" s="9">
        <f t="shared" si="1"/>
        <v>2</v>
      </c>
      <c r="E48" s="9" t="s">
        <v>68</v>
      </c>
      <c r="F48" s="9">
        <f t="shared" si="2"/>
        <v>1</v>
      </c>
      <c r="G48" s="9" t="s">
        <v>91</v>
      </c>
      <c r="H48" s="9" t="str">
        <f t="shared" si="3"/>
        <v>Urban</v>
      </c>
      <c r="I48" s="9">
        <f t="shared" si="4"/>
        <v>2</v>
      </c>
      <c r="J48" s="9" t="s">
        <v>70</v>
      </c>
      <c r="K48" s="9" t="s">
        <v>100</v>
      </c>
      <c r="L48" s="9">
        <f t="shared" si="5"/>
        <v>3</v>
      </c>
      <c r="M48" s="9" t="s">
        <v>109</v>
      </c>
      <c r="N48" s="9">
        <f t="shared" si="6"/>
        <v>9</v>
      </c>
      <c r="O48" s="9" t="s">
        <v>85</v>
      </c>
      <c r="P48" s="9">
        <f t="shared" si="7"/>
        <v>4</v>
      </c>
      <c r="Q48" s="9" t="s">
        <v>78</v>
      </c>
      <c r="R48" s="9">
        <f t="shared" si="8"/>
        <v>3</v>
      </c>
      <c r="S48" s="9" t="s">
        <v>73</v>
      </c>
      <c r="T48" s="9">
        <f t="shared" si="9"/>
        <v>2</v>
      </c>
      <c r="U48" s="9" t="s">
        <v>96</v>
      </c>
      <c r="V48" s="9">
        <f t="shared" si="10"/>
        <v>2.5</v>
      </c>
      <c r="W48" s="9" t="s">
        <v>111</v>
      </c>
      <c r="X48" s="9">
        <f t="shared" si="11"/>
        <v>1</v>
      </c>
      <c r="Y48" s="9">
        <f t="shared" si="12"/>
        <v>1</v>
      </c>
      <c r="Z48" s="9">
        <f t="shared" si="13"/>
        <v>0</v>
      </c>
      <c r="AA48" s="9">
        <f t="shared" si="14"/>
        <v>1</v>
      </c>
      <c r="AB48" s="9" t="s">
        <v>73</v>
      </c>
      <c r="AC48" s="9">
        <f t="shared" si="15"/>
        <v>2</v>
      </c>
      <c r="AD48" s="9" t="s">
        <v>73</v>
      </c>
      <c r="AE48" s="9">
        <f t="shared" si="16"/>
        <v>2</v>
      </c>
      <c r="AF48" s="9" t="s">
        <v>109</v>
      </c>
      <c r="AG48" s="9">
        <f t="shared" si="17"/>
        <v>9</v>
      </c>
      <c r="AH48" s="9" t="s">
        <v>85</v>
      </c>
      <c r="AI48" s="9">
        <f t="shared" si="18"/>
        <v>4</v>
      </c>
      <c r="AJ48" s="9" t="s">
        <v>73</v>
      </c>
      <c r="AK48" s="9">
        <f t="shared" si="19"/>
        <v>2</v>
      </c>
      <c r="AL48" s="9" t="s">
        <v>73</v>
      </c>
      <c r="AM48" s="9">
        <f t="shared" si="20"/>
        <v>2</v>
      </c>
      <c r="AN48" s="9" t="s">
        <v>77</v>
      </c>
      <c r="AO48" s="9">
        <f t="shared" si="21"/>
        <v>1</v>
      </c>
      <c r="AP48" s="9" t="s">
        <v>120</v>
      </c>
      <c r="AQ48" s="9">
        <f t="shared" si="22"/>
        <v>5</v>
      </c>
      <c r="AR48" s="9" t="s">
        <v>85</v>
      </c>
      <c r="AS48" s="9">
        <f t="shared" si="23"/>
        <v>4</v>
      </c>
      <c r="AT48" s="9" t="s">
        <v>175</v>
      </c>
      <c r="AU48" s="9">
        <f t="shared" si="24"/>
        <v>0</v>
      </c>
      <c r="AV48" s="9">
        <f t="shared" si="25"/>
        <v>1</v>
      </c>
      <c r="AW48" s="9">
        <f t="shared" si="26"/>
        <v>0</v>
      </c>
      <c r="AX48" s="9">
        <f t="shared" si="27"/>
        <v>1</v>
      </c>
      <c r="AY48" s="9">
        <f t="shared" si="28"/>
        <v>0</v>
      </c>
      <c r="AZ48" s="9">
        <f t="shared" si="29"/>
        <v>1</v>
      </c>
      <c r="BA48" s="9">
        <f t="shared" si="30"/>
        <v>1</v>
      </c>
      <c r="BB48" s="9" t="s">
        <v>88</v>
      </c>
      <c r="BC48" s="9">
        <f t="shared" si="31"/>
        <v>2</v>
      </c>
      <c r="BD48" s="12"/>
      <c r="BE48" s="9" t="str">
        <f t="shared" si="43"/>
        <v>N/A</v>
      </c>
      <c r="BF48" s="9" t="s">
        <v>176</v>
      </c>
      <c r="BG48" s="9">
        <f t="shared" si="33"/>
        <v>1</v>
      </c>
      <c r="BH48" s="9">
        <f t="shared" si="34"/>
        <v>0</v>
      </c>
      <c r="BI48" s="9">
        <f t="shared" si="35"/>
        <v>0</v>
      </c>
      <c r="BJ48" s="9">
        <f t="shared" si="36"/>
        <v>0</v>
      </c>
      <c r="BK48" s="9">
        <f t="shared" si="37"/>
        <v>1</v>
      </c>
      <c r="BL48" s="9">
        <f t="shared" si="38"/>
        <v>0</v>
      </c>
      <c r="BM48" s="9">
        <f t="shared" si="39"/>
        <v>0</v>
      </c>
      <c r="BN48" s="9" t="s">
        <v>68</v>
      </c>
      <c r="BO48" s="11">
        <f t="shared" si="40"/>
        <v>1</v>
      </c>
    </row>
    <row r="49" ht="22.5" customHeight="1">
      <c r="A49" s="9">
        <f t="shared" si="41"/>
        <v>48</v>
      </c>
      <c r="B49" s="10">
        <v>46050.7075197338</v>
      </c>
      <c r="C49" s="9" t="s">
        <v>90</v>
      </c>
      <c r="D49" s="9">
        <f t="shared" si="1"/>
        <v>2</v>
      </c>
      <c r="E49" s="9" t="s">
        <v>68</v>
      </c>
      <c r="F49" s="9">
        <f t="shared" si="2"/>
        <v>1</v>
      </c>
      <c r="G49" s="9" t="s">
        <v>82</v>
      </c>
      <c r="H49" s="9" t="str">
        <f t="shared" si="3"/>
        <v>Urban</v>
      </c>
      <c r="I49" s="9">
        <f t="shared" si="4"/>
        <v>2</v>
      </c>
      <c r="J49" s="9" t="s">
        <v>70</v>
      </c>
      <c r="K49" s="9" t="s">
        <v>100</v>
      </c>
      <c r="L49" s="9">
        <f t="shared" si="5"/>
        <v>3</v>
      </c>
      <c r="M49" s="9" t="s">
        <v>101</v>
      </c>
      <c r="N49" s="9">
        <f t="shared" si="6"/>
        <v>2</v>
      </c>
      <c r="O49" s="9" t="s">
        <v>78</v>
      </c>
      <c r="P49" s="9">
        <f t="shared" si="7"/>
        <v>3</v>
      </c>
      <c r="Q49" s="9" t="s">
        <v>73</v>
      </c>
      <c r="R49" s="9">
        <f t="shared" si="8"/>
        <v>2</v>
      </c>
      <c r="S49" s="9" t="s">
        <v>85</v>
      </c>
      <c r="T49" s="9">
        <f t="shared" si="9"/>
        <v>4</v>
      </c>
      <c r="U49" s="9" t="s">
        <v>92</v>
      </c>
      <c r="V49" s="9">
        <f t="shared" si="10"/>
        <v>3.5</v>
      </c>
      <c r="W49" s="9" t="s">
        <v>122</v>
      </c>
      <c r="X49" s="9">
        <f t="shared" si="11"/>
        <v>0</v>
      </c>
      <c r="Y49" s="9">
        <f t="shared" si="12"/>
        <v>0</v>
      </c>
      <c r="Z49" s="9">
        <f t="shared" si="13"/>
        <v>1</v>
      </c>
      <c r="AA49" s="9">
        <f t="shared" si="14"/>
        <v>0</v>
      </c>
      <c r="AB49" s="9" t="s">
        <v>85</v>
      </c>
      <c r="AC49" s="9">
        <f t="shared" si="15"/>
        <v>4</v>
      </c>
      <c r="AD49" s="9" t="s">
        <v>85</v>
      </c>
      <c r="AE49" s="9">
        <f t="shared" si="16"/>
        <v>4</v>
      </c>
      <c r="AF49" s="9" t="s">
        <v>101</v>
      </c>
      <c r="AG49" s="9">
        <f t="shared" si="17"/>
        <v>2</v>
      </c>
      <c r="AH49" s="9" t="s">
        <v>78</v>
      </c>
      <c r="AI49" s="9">
        <f t="shared" si="18"/>
        <v>3</v>
      </c>
      <c r="AJ49" s="9" t="s">
        <v>77</v>
      </c>
      <c r="AK49" s="9">
        <f t="shared" si="19"/>
        <v>1</v>
      </c>
      <c r="AL49" s="9" t="s">
        <v>77</v>
      </c>
      <c r="AM49" s="9">
        <f t="shared" si="20"/>
        <v>1</v>
      </c>
      <c r="AN49" s="9" t="s">
        <v>78</v>
      </c>
      <c r="AO49" s="9">
        <f t="shared" si="21"/>
        <v>3</v>
      </c>
      <c r="AP49" s="9" t="s">
        <v>85</v>
      </c>
      <c r="AQ49" s="9">
        <f t="shared" si="22"/>
        <v>4</v>
      </c>
      <c r="AR49" s="9" t="s">
        <v>85</v>
      </c>
      <c r="AS49" s="9">
        <f t="shared" si="23"/>
        <v>4</v>
      </c>
      <c r="AT49" s="9" t="s">
        <v>147</v>
      </c>
      <c r="AU49" s="9">
        <f t="shared" si="24"/>
        <v>1</v>
      </c>
      <c r="AV49" s="9">
        <f t="shared" si="25"/>
        <v>0</v>
      </c>
      <c r="AW49" s="9">
        <f t="shared" si="26"/>
        <v>0</v>
      </c>
      <c r="AX49" s="9">
        <f t="shared" si="27"/>
        <v>0</v>
      </c>
      <c r="AY49" s="9">
        <f t="shared" si="28"/>
        <v>0</v>
      </c>
      <c r="AZ49" s="9">
        <f t="shared" si="29"/>
        <v>0</v>
      </c>
      <c r="BA49" s="9">
        <f t="shared" si="30"/>
        <v>0</v>
      </c>
      <c r="BB49" s="9" t="s">
        <v>68</v>
      </c>
      <c r="BC49" s="9">
        <f t="shared" si="31"/>
        <v>1</v>
      </c>
      <c r="BD49" s="9" t="s">
        <v>177</v>
      </c>
      <c r="BE49" s="9" t="str">
        <f t="shared" si="43"/>
        <v>Sleep tracker app</v>
      </c>
      <c r="BF49" s="9" t="s">
        <v>107</v>
      </c>
      <c r="BG49" s="9">
        <f t="shared" si="33"/>
        <v>1</v>
      </c>
      <c r="BH49" s="9">
        <f t="shared" si="34"/>
        <v>0</v>
      </c>
      <c r="BI49" s="9">
        <f t="shared" si="35"/>
        <v>0</v>
      </c>
      <c r="BJ49" s="9">
        <f t="shared" si="36"/>
        <v>0</v>
      </c>
      <c r="BK49" s="9">
        <f t="shared" si="37"/>
        <v>0</v>
      </c>
      <c r="BL49" s="9">
        <f t="shared" si="38"/>
        <v>0</v>
      </c>
      <c r="BM49" s="9">
        <f t="shared" si="39"/>
        <v>0</v>
      </c>
      <c r="BN49" s="9" t="s">
        <v>68</v>
      </c>
      <c r="BO49" s="11">
        <f t="shared" si="40"/>
        <v>1</v>
      </c>
    </row>
    <row r="50" ht="22.5" customHeight="1">
      <c r="A50" s="9">
        <f t="shared" si="41"/>
        <v>49</v>
      </c>
      <c r="B50" s="10">
        <v>46050.707908842596</v>
      </c>
      <c r="C50" s="9" t="s">
        <v>67</v>
      </c>
      <c r="D50" s="9">
        <f t="shared" si="1"/>
        <v>1</v>
      </c>
      <c r="E50" s="9" t="s">
        <v>68</v>
      </c>
      <c r="F50" s="9">
        <f t="shared" si="2"/>
        <v>1</v>
      </c>
      <c r="G50" s="9" t="s">
        <v>69</v>
      </c>
      <c r="H50" s="9" t="str">
        <f t="shared" si="3"/>
        <v>Rural</v>
      </c>
      <c r="I50" s="9">
        <f t="shared" si="4"/>
        <v>1</v>
      </c>
      <c r="J50" s="9" t="s">
        <v>70</v>
      </c>
      <c r="K50" s="9" t="s">
        <v>100</v>
      </c>
      <c r="L50" s="9">
        <f t="shared" si="5"/>
        <v>3</v>
      </c>
      <c r="M50" s="9" t="s">
        <v>109</v>
      </c>
      <c r="N50" s="9">
        <f t="shared" si="6"/>
        <v>9</v>
      </c>
      <c r="O50" s="9" t="s">
        <v>78</v>
      </c>
      <c r="P50" s="9">
        <f t="shared" si="7"/>
        <v>3</v>
      </c>
      <c r="Q50" s="9" t="s">
        <v>85</v>
      </c>
      <c r="R50" s="9">
        <f t="shared" si="8"/>
        <v>4</v>
      </c>
      <c r="S50" s="9" t="s">
        <v>78</v>
      </c>
      <c r="T50" s="9">
        <f t="shared" si="9"/>
        <v>3</v>
      </c>
      <c r="U50" s="9" t="s">
        <v>96</v>
      </c>
      <c r="V50" s="9">
        <f t="shared" si="10"/>
        <v>2.5</v>
      </c>
      <c r="W50" s="9" t="s">
        <v>105</v>
      </c>
      <c r="X50" s="9">
        <f t="shared" si="11"/>
        <v>1</v>
      </c>
      <c r="Y50" s="9">
        <f t="shared" si="12"/>
        <v>1</v>
      </c>
      <c r="Z50" s="9">
        <f t="shared" si="13"/>
        <v>0</v>
      </c>
      <c r="AA50" s="9">
        <f t="shared" si="14"/>
        <v>0</v>
      </c>
      <c r="AB50" s="9" t="s">
        <v>85</v>
      </c>
      <c r="AC50" s="9">
        <f t="shared" si="15"/>
        <v>4</v>
      </c>
      <c r="AD50" s="9" t="s">
        <v>78</v>
      </c>
      <c r="AE50" s="9">
        <f t="shared" si="16"/>
        <v>3</v>
      </c>
      <c r="AF50" s="9" t="s">
        <v>76</v>
      </c>
      <c r="AG50" s="9">
        <f t="shared" si="17"/>
        <v>5.5</v>
      </c>
      <c r="AH50" s="9" t="s">
        <v>73</v>
      </c>
      <c r="AI50" s="9">
        <f t="shared" si="18"/>
        <v>2</v>
      </c>
      <c r="AJ50" s="9" t="s">
        <v>73</v>
      </c>
      <c r="AK50" s="9">
        <f t="shared" si="19"/>
        <v>2</v>
      </c>
      <c r="AL50" s="9" t="s">
        <v>73</v>
      </c>
      <c r="AM50" s="9">
        <f t="shared" si="20"/>
        <v>2</v>
      </c>
      <c r="AN50" s="9" t="s">
        <v>85</v>
      </c>
      <c r="AO50" s="9">
        <f t="shared" si="21"/>
        <v>4</v>
      </c>
      <c r="AP50" s="9" t="s">
        <v>78</v>
      </c>
      <c r="AQ50" s="9">
        <f t="shared" si="22"/>
        <v>3</v>
      </c>
      <c r="AR50" s="9" t="s">
        <v>78</v>
      </c>
      <c r="AS50" s="9">
        <f t="shared" si="23"/>
        <v>3</v>
      </c>
      <c r="AT50" s="9" t="s">
        <v>112</v>
      </c>
      <c r="AU50" s="9">
        <f t="shared" si="24"/>
        <v>0</v>
      </c>
      <c r="AV50" s="9">
        <f t="shared" si="25"/>
        <v>0</v>
      </c>
      <c r="AW50" s="9">
        <f t="shared" si="26"/>
        <v>0</v>
      </c>
      <c r="AX50" s="9">
        <f t="shared" si="27"/>
        <v>0</v>
      </c>
      <c r="AY50" s="9">
        <f t="shared" si="28"/>
        <v>1</v>
      </c>
      <c r="AZ50" s="9">
        <f t="shared" si="29"/>
        <v>1</v>
      </c>
      <c r="BA50" s="9">
        <f t="shared" si="30"/>
        <v>0</v>
      </c>
      <c r="BB50" s="9" t="s">
        <v>88</v>
      </c>
      <c r="BC50" s="9">
        <f t="shared" si="31"/>
        <v>2</v>
      </c>
      <c r="BD50" s="12"/>
      <c r="BE50" s="9" t="str">
        <f t="shared" si="43"/>
        <v>N/A</v>
      </c>
      <c r="BF50" s="9" t="s">
        <v>164</v>
      </c>
      <c r="BG50" s="9">
        <f t="shared" si="33"/>
        <v>0</v>
      </c>
      <c r="BH50" s="9">
        <f t="shared" si="34"/>
        <v>0</v>
      </c>
      <c r="BI50" s="9">
        <f t="shared" si="35"/>
        <v>0</v>
      </c>
      <c r="BJ50" s="9">
        <f t="shared" si="36"/>
        <v>1</v>
      </c>
      <c r="BK50" s="9">
        <f t="shared" si="37"/>
        <v>1</v>
      </c>
      <c r="BL50" s="9">
        <f t="shared" si="38"/>
        <v>1</v>
      </c>
      <c r="BM50" s="9">
        <f t="shared" si="39"/>
        <v>1</v>
      </c>
      <c r="BN50" s="9" t="s">
        <v>108</v>
      </c>
      <c r="BO50" s="11">
        <f t="shared" si="40"/>
        <v>3</v>
      </c>
    </row>
    <row r="51" ht="22.5" customHeight="1">
      <c r="A51" s="9">
        <f t="shared" si="41"/>
        <v>50</v>
      </c>
      <c r="B51" s="10">
        <v>46050.708090775464</v>
      </c>
      <c r="C51" s="9" t="s">
        <v>67</v>
      </c>
      <c r="D51" s="9">
        <f t="shared" si="1"/>
        <v>1</v>
      </c>
      <c r="E51" s="9" t="s">
        <v>68</v>
      </c>
      <c r="F51" s="9">
        <f t="shared" si="2"/>
        <v>1</v>
      </c>
      <c r="G51" s="9" t="s">
        <v>69</v>
      </c>
      <c r="H51" s="9" t="str">
        <f t="shared" si="3"/>
        <v>Rural</v>
      </c>
      <c r="I51" s="9">
        <f t="shared" si="4"/>
        <v>1</v>
      </c>
      <c r="J51" s="9" t="s">
        <v>70</v>
      </c>
      <c r="K51" s="9" t="s">
        <v>100</v>
      </c>
      <c r="L51" s="9">
        <f t="shared" si="5"/>
        <v>3</v>
      </c>
      <c r="M51" s="9" t="s">
        <v>101</v>
      </c>
      <c r="N51" s="9">
        <f t="shared" si="6"/>
        <v>2</v>
      </c>
      <c r="O51" s="9" t="s">
        <v>73</v>
      </c>
      <c r="P51" s="9">
        <f t="shared" si="7"/>
        <v>2</v>
      </c>
      <c r="Q51" s="9" t="s">
        <v>78</v>
      </c>
      <c r="R51" s="9">
        <f t="shared" si="8"/>
        <v>3</v>
      </c>
      <c r="S51" s="9" t="s">
        <v>73</v>
      </c>
      <c r="T51" s="9">
        <f t="shared" si="9"/>
        <v>2</v>
      </c>
      <c r="U51" s="9" t="s">
        <v>110</v>
      </c>
      <c r="V51" s="9">
        <f t="shared" si="10"/>
        <v>0.75</v>
      </c>
      <c r="W51" s="9" t="s">
        <v>97</v>
      </c>
      <c r="X51" s="9">
        <f t="shared" si="11"/>
        <v>1</v>
      </c>
      <c r="Y51" s="9">
        <f t="shared" si="12"/>
        <v>0</v>
      </c>
      <c r="Z51" s="9">
        <f t="shared" si="13"/>
        <v>1</v>
      </c>
      <c r="AA51" s="9">
        <f t="shared" si="14"/>
        <v>0</v>
      </c>
      <c r="AB51" s="9" t="s">
        <v>78</v>
      </c>
      <c r="AC51" s="9">
        <f t="shared" si="15"/>
        <v>3</v>
      </c>
      <c r="AD51" s="9" t="s">
        <v>78</v>
      </c>
      <c r="AE51" s="9">
        <f t="shared" si="16"/>
        <v>3</v>
      </c>
      <c r="AF51" s="9" t="s">
        <v>76</v>
      </c>
      <c r="AG51" s="9">
        <f t="shared" si="17"/>
        <v>5.5</v>
      </c>
      <c r="AH51" s="9" t="s">
        <v>103</v>
      </c>
      <c r="AI51" s="9">
        <f t="shared" si="18"/>
        <v>5</v>
      </c>
      <c r="AJ51" s="9" t="s">
        <v>78</v>
      </c>
      <c r="AK51" s="9">
        <f t="shared" si="19"/>
        <v>3</v>
      </c>
      <c r="AL51" s="9" t="s">
        <v>85</v>
      </c>
      <c r="AM51" s="9">
        <f t="shared" si="20"/>
        <v>4</v>
      </c>
      <c r="AN51" s="9" t="s">
        <v>85</v>
      </c>
      <c r="AO51" s="9">
        <f t="shared" si="21"/>
        <v>4</v>
      </c>
      <c r="AP51" s="9" t="s">
        <v>85</v>
      </c>
      <c r="AQ51" s="9">
        <f t="shared" si="22"/>
        <v>4</v>
      </c>
      <c r="AR51" s="9" t="s">
        <v>85</v>
      </c>
      <c r="AS51" s="9">
        <f t="shared" si="23"/>
        <v>4</v>
      </c>
      <c r="AT51" s="9" t="s">
        <v>178</v>
      </c>
      <c r="AU51" s="9">
        <f t="shared" si="24"/>
        <v>1</v>
      </c>
      <c r="AV51" s="9">
        <f t="shared" si="25"/>
        <v>0</v>
      </c>
      <c r="AW51" s="9">
        <f t="shared" si="26"/>
        <v>0</v>
      </c>
      <c r="AX51" s="9">
        <f t="shared" si="27"/>
        <v>1</v>
      </c>
      <c r="AY51" s="9">
        <f t="shared" si="28"/>
        <v>0</v>
      </c>
      <c r="AZ51" s="9">
        <f t="shared" si="29"/>
        <v>0</v>
      </c>
      <c r="BA51" s="9">
        <f t="shared" si="30"/>
        <v>0</v>
      </c>
      <c r="BB51" s="9" t="s">
        <v>88</v>
      </c>
      <c r="BC51" s="9">
        <f t="shared" si="31"/>
        <v>2</v>
      </c>
      <c r="BD51" s="12"/>
      <c r="BE51" s="9" t="str">
        <f t="shared" si="43"/>
        <v>N/A</v>
      </c>
      <c r="BF51" s="9" t="s">
        <v>179</v>
      </c>
      <c r="BG51" s="9">
        <f t="shared" si="33"/>
        <v>1</v>
      </c>
      <c r="BH51" s="9">
        <f t="shared" si="34"/>
        <v>0</v>
      </c>
      <c r="BI51" s="9">
        <f t="shared" si="35"/>
        <v>0</v>
      </c>
      <c r="BJ51" s="9">
        <f t="shared" si="36"/>
        <v>0</v>
      </c>
      <c r="BK51" s="9">
        <f t="shared" si="37"/>
        <v>0</v>
      </c>
      <c r="BL51" s="9">
        <f t="shared" si="38"/>
        <v>1</v>
      </c>
      <c r="BM51" s="9">
        <f t="shared" si="39"/>
        <v>1</v>
      </c>
      <c r="BN51" s="9" t="s">
        <v>68</v>
      </c>
      <c r="BO51" s="11">
        <f t="shared" si="40"/>
        <v>1</v>
      </c>
    </row>
    <row r="52" ht="22.5" customHeight="1">
      <c r="A52" s="9">
        <f t="shared" si="41"/>
        <v>51</v>
      </c>
      <c r="B52" s="10">
        <v>46050.70899140046</v>
      </c>
      <c r="C52" s="9" t="s">
        <v>67</v>
      </c>
      <c r="D52" s="9">
        <f t="shared" si="1"/>
        <v>1</v>
      </c>
      <c r="E52" s="9" t="s">
        <v>68</v>
      </c>
      <c r="F52" s="9">
        <f t="shared" si="2"/>
        <v>1</v>
      </c>
      <c r="G52" s="9" t="s">
        <v>91</v>
      </c>
      <c r="H52" s="9" t="str">
        <f t="shared" si="3"/>
        <v>Urban</v>
      </c>
      <c r="I52" s="9">
        <f t="shared" si="4"/>
        <v>2</v>
      </c>
      <c r="J52" s="9" t="s">
        <v>70</v>
      </c>
      <c r="K52" s="9" t="s">
        <v>100</v>
      </c>
      <c r="L52" s="9">
        <f t="shared" si="5"/>
        <v>3</v>
      </c>
      <c r="M52" s="9" t="s">
        <v>76</v>
      </c>
      <c r="N52" s="9">
        <f t="shared" si="6"/>
        <v>5.5</v>
      </c>
      <c r="O52" s="9" t="s">
        <v>85</v>
      </c>
      <c r="P52" s="9">
        <f t="shared" si="7"/>
        <v>4</v>
      </c>
      <c r="Q52" s="9" t="s">
        <v>85</v>
      </c>
      <c r="R52" s="9">
        <f t="shared" si="8"/>
        <v>4</v>
      </c>
      <c r="S52" s="9" t="s">
        <v>85</v>
      </c>
      <c r="T52" s="9">
        <f t="shared" si="9"/>
        <v>4</v>
      </c>
      <c r="U52" s="9" t="s">
        <v>92</v>
      </c>
      <c r="V52" s="9">
        <f t="shared" si="10"/>
        <v>3.5</v>
      </c>
      <c r="W52" s="9" t="s">
        <v>180</v>
      </c>
      <c r="X52" s="9">
        <f t="shared" si="11"/>
        <v>0</v>
      </c>
      <c r="Y52" s="9">
        <f t="shared" si="12"/>
        <v>1</v>
      </c>
      <c r="Z52" s="9">
        <f t="shared" si="13"/>
        <v>1</v>
      </c>
      <c r="AA52" s="9">
        <f t="shared" si="14"/>
        <v>0</v>
      </c>
      <c r="AB52" s="9" t="s">
        <v>103</v>
      </c>
      <c r="AC52" s="9">
        <f t="shared" si="15"/>
        <v>5</v>
      </c>
      <c r="AD52" s="9" t="s">
        <v>103</v>
      </c>
      <c r="AE52" s="9">
        <f t="shared" si="16"/>
        <v>5</v>
      </c>
      <c r="AF52" s="9" t="s">
        <v>76</v>
      </c>
      <c r="AG52" s="9">
        <f t="shared" si="17"/>
        <v>5.5</v>
      </c>
      <c r="AH52" s="9" t="s">
        <v>73</v>
      </c>
      <c r="AI52" s="9">
        <f t="shared" si="18"/>
        <v>2</v>
      </c>
      <c r="AJ52" s="9" t="s">
        <v>85</v>
      </c>
      <c r="AK52" s="9">
        <f t="shared" si="19"/>
        <v>4</v>
      </c>
      <c r="AL52" s="9" t="s">
        <v>77</v>
      </c>
      <c r="AM52" s="9">
        <f t="shared" si="20"/>
        <v>1</v>
      </c>
      <c r="AN52" s="9" t="s">
        <v>73</v>
      </c>
      <c r="AO52" s="9">
        <f t="shared" si="21"/>
        <v>2</v>
      </c>
      <c r="AP52" s="9" t="s">
        <v>73</v>
      </c>
      <c r="AQ52" s="9">
        <f t="shared" si="22"/>
        <v>2</v>
      </c>
      <c r="AR52" s="9" t="s">
        <v>85</v>
      </c>
      <c r="AS52" s="9">
        <f t="shared" si="23"/>
        <v>4</v>
      </c>
      <c r="AT52" s="9" t="s">
        <v>181</v>
      </c>
      <c r="AU52" s="9">
        <f t="shared" si="24"/>
        <v>1</v>
      </c>
      <c r="AV52" s="9">
        <f t="shared" si="25"/>
        <v>1</v>
      </c>
      <c r="AW52" s="9">
        <f t="shared" si="26"/>
        <v>0</v>
      </c>
      <c r="AX52" s="9">
        <f t="shared" si="27"/>
        <v>0</v>
      </c>
      <c r="AY52" s="9">
        <f t="shared" si="28"/>
        <v>1</v>
      </c>
      <c r="AZ52" s="9">
        <f t="shared" si="29"/>
        <v>0</v>
      </c>
      <c r="BA52" s="9">
        <f t="shared" si="30"/>
        <v>0</v>
      </c>
      <c r="BB52" s="9" t="s">
        <v>88</v>
      </c>
      <c r="BC52" s="9">
        <f t="shared" si="31"/>
        <v>2</v>
      </c>
      <c r="BD52" s="12"/>
      <c r="BE52" s="9" t="str">
        <f t="shared" si="43"/>
        <v>N/A</v>
      </c>
      <c r="BF52" s="9" t="s">
        <v>166</v>
      </c>
      <c r="BG52" s="9">
        <f t="shared" si="33"/>
        <v>1</v>
      </c>
      <c r="BH52" s="9">
        <f t="shared" si="34"/>
        <v>0</v>
      </c>
      <c r="BI52" s="9">
        <f t="shared" si="35"/>
        <v>1</v>
      </c>
      <c r="BJ52" s="9">
        <f t="shared" si="36"/>
        <v>1</v>
      </c>
      <c r="BK52" s="9">
        <f t="shared" si="37"/>
        <v>1</v>
      </c>
      <c r="BL52" s="9">
        <f t="shared" si="38"/>
        <v>1</v>
      </c>
      <c r="BM52" s="9">
        <f t="shared" si="39"/>
        <v>1</v>
      </c>
      <c r="BN52" s="9" t="s">
        <v>68</v>
      </c>
      <c r="BO52" s="11">
        <f t="shared" si="40"/>
        <v>1</v>
      </c>
    </row>
    <row r="53" ht="22.5" customHeight="1">
      <c r="A53" s="9">
        <f t="shared" si="41"/>
        <v>52</v>
      </c>
      <c r="B53" s="10">
        <v>46050.709006377314</v>
      </c>
      <c r="C53" s="9" t="s">
        <v>90</v>
      </c>
      <c r="D53" s="9">
        <f t="shared" si="1"/>
        <v>2</v>
      </c>
      <c r="E53" s="9" t="s">
        <v>68</v>
      </c>
      <c r="F53" s="9">
        <f t="shared" si="2"/>
        <v>1</v>
      </c>
      <c r="G53" s="9" t="s">
        <v>91</v>
      </c>
      <c r="H53" s="9" t="str">
        <f t="shared" si="3"/>
        <v>Urban</v>
      </c>
      <c r="I53" s="9">
        <f t="shared" si="4"/>
        <v>2</v>
      </c>
      <c r="J53" s="9" t="s">
        <v>70</v>
      </c>
      <c r="K53" s="9" t="s">
        <v>100</v>
      </c>
      <c r="L53" s="9">
        <f t="shared" si="5"/>
        <v>3</v>
      </c>
      <c r="M53" s="9" t="s">
        <v>71</v>
      </c>
      <c r="N53" s="9">
        <f t="shared" si="6"/>
        <v>7.7</v>
      </c>
      <c r="O53" s="9" t="s">
        <v>78</v>
      </c>
      <c r="P53" s="9">
        <f t="shared" si="7"/>
        <v>3</v>
      </c>
      <c r="Q53" s="9" t="s">
        <v>85</v>
      </c>
      <c r="R53" s="9">
        <f t="shared" si="8"/>
        <v>4</v>
      </c>
      <c r="S53" s="9" t="s">
        <v>78</v>
      </c>
      <c r="T53" s="9">
        <f t="shared" si="9"/>
        <v>3</v>
      </c>
      <c r="U53" s="9" t="s">
        <v>74</v>
      </c>
      <c r="V53" s="9">
        <f t="shared" si="10"/>
        <v>1.5</v>
      </c>
      <c r="W53" s="9" t="s">
        <v>93</v>
      </c>
      <c r="X53" s="9">
        <f t="shared" si="11"/>
        <v>0</v>
      </c>
      <c r="Y53" s="9">
        <f t="shared" si="12"/>
        <v>1</v>
      </c>
      <c r="Z53" s="9">
        <f t="shared" si="13"/>
        <v>0</v>
      </c>
      <c r="AA53" s="9">
        <f t="shared" si="14"/>
        <v>0</v>
      </c>
      <c r="AB53" s="9" t="s">
        <v>78</v>
      </c>
      <c r="AC53" s="9">
        <f t="shared" si="15"/>
        <v>3</v>
      </c>
      <c r="AD53" s="9" t="s">
        <v>78</v>
      </c>
      <c r="AE53" s="9">
        <f t="shared" si="16"/>
        <v>3</v>
      </c>
      <c r="AF53" s="9" t="s">
        <v>109</v>
      </c>
      <c r="AG53" s="9">
        <f t="shared" si="17"/>
        <v>9</v>
      </c>
      <c r="AH53" s="9" t="s">
        <v>85</v>
      </c>
      <c r="AI53" s="9">
        <f t="shared" si="18"/>
        <v>4</v>
      </c>
      <c r="AJ53" s="9" t="s">
        <v>73</v>
      </c>
      <c r="AK53" s="9">
        <f t="shared" si="19"/>
        <v>2</v>
      </c>
      <c r="AL53" s="9" t="s">
        <v>85</v>
      </c>
      <c r="AM53" s="9">
        <f t="shared" si="20"/>
        <v>4</v>
      </c>
      <c r="AN53" s="9" t="s">
        <v>85</v>
      </c>
      <c r="AO53" s="9">
        <f t="shared" si="21"/>
        <v>4</v>
      </c>
      <c r="AP53" s="9" t="s">
        <v>85</v>
      </c>
      <c r="AQ53" s="9">
        <f t="shared" si="22"/>
        <v>4</v>
      </c>
      <c r="AR53" s="9" t="s">
        <v>85</v>
      </c>
      <c r="AS53" s="9">
        <f t="shared" si="23"/>
        <v>4</v>
      </c>
      <c r="AT53" s="9" t="s">
        <v>182</v>
      </c>
      <c r="AU53" s="9">
        <f t="shared" si="24"/>
        <v>0</v>
      </c>
      <c r="AV53" s="9">
        <f t="shared" si="25"/>
        <v>0</v>
      </c>
      <c r="AW53" s="9">
        <f t="shared" si="26"/>
        <v>0</v>
      </c>
      <c r="AX53" s="9">
        <f t="shared" si="27"/>
        <v>0</v>
      </c>
      <c r="AY53" s="9">
        <f t="shared" si="28"/>
        <v>1</v>
      </c>
      <c r="AZ53" s="9">
        <f t="shared" si="29"/>
        <v>0</v>
      </c>
      <c r="BA53" s="9">
        <f t="shared" si="30"/>
        <v>0</v>
      </c>
      <c r="BB53" s="9" t="s">
        <v>88</v>
      </c>
      <c r="BC53" s="9">
        <f t="shared" si="31"/>
        <v>2</v>
      </c>
      <c r="BD53" s="12"/>
      <c r="BE53" s="9" t="str">
        <f t="shared" si="43"/>
        <v>N/A</v>
      </c>
      <c r="BF53" s="9" t="s">
        <v>107</v>
      </c>
      <c r="BG53" s="9">
        <f t="shared" si="33"/>
        <v>1</v>
      </c>
      <c r="BH53" s="9">
        <f t="shared" si="34"/>
        <v>0</v>
      </c>
      <c r="BI53" s="9">
        <f t="shared" si="35"/>
        <v>0</v>
      </c>
      <c r="BJ53" s="9">
        <f t="shared" si="36"/>
        <v>0</v>
      </c>
      <c r="BK53" s="9">
        <f t="shared" si="37"/>
        <v>0</v>
      </c>
      <c r="BL53" s="9">
        <f t="shared" si="38"/>
        <v>0</v>
      </c>
      <c r="BM53" s="9">
        <f t="shared" si="39"/>
        <v>0</v>
      </c>
      <c r="BN53" s="9" t="s">
        <v>108</v>
      </c>
      <c r="BO53" s="11">
        <f t="shared" si="40"/>
        <v>3</v>
      </c>
    </row>
    <row r="54" ht="22.5" customHeight="1">
      <c r="A54" s="9">
        <f t="shared" si="41"/>
        <v>53</v>
      </c>
      <c r="B54" s="10">
        <v>46050.709074502316</v>
      </c>
      <c r="C54" s="9" t="s">
        <v>90</v>
      </c>
      <c r="D54" s="9">
        <f t="shared" si="1"/>
        <v>2</v>
      </c>
      <c r="E54" s="9" t="s">
        <v>68</v>
      </c>
      <c r="F54" s="9">
        <f t="shared" si="2"/>
        <v>1</v>
      </c>
      <c r="G54" s="9" t="s">
        <v>91</v>
      </c>
      <c r="H54" s="9" t="str">
        <f t="shared" si="3"/>
        <v>Urban</v>
      </c>
      <c r="I54" s="9">
        <f t="shared" si="4"/>
        <v>2</v>
      </c>
      <c r="J54" s="9" t="s">
        <v>70</v>
      </c>
      <c r="K54" s="9" t="s">
        <v>100</v>
      </c>
      <c r="L54" s="9">
        <f t="shared" si="5"/>
        <v>3</v>
      </c>
      <c r="M54" s="9" t="s">
        <v>71</v>
      </c>
      <c r="N54" s="9">
        <f t="shared" si="6"/>
        <v>7.7</v>
      </c>
      <c r="O54" s="9" t="s">
        <v>78</v>
      </c>
      <c r="P54" s="9">
        <f t="shared" si="7"/>
        <v>3</v>
      </c>
      <c r="Q54" s="9" t="s">
        <v>85</v>
      </c>
      <c r="R54" s="9">
        <f t="shared" si="8"/>
        <v>4</v>
      </c>
      <c r="S54" s="9" t="s">
        <v>78</v>
      </c>
      <c r="T54" s="9">
        <f t="shared" si="9"/>
        <v>3</v>
      </c>
      <c r="U54" s="9" t="s">
        <v>74</v>
      </c>
      <c r="V54" s="9">
        <f t="shared" si="10"/>
        <v>1.5</v>
      </c>
      <c r="W54" s="9" t="s">
        <v>93</v>
      </c>
      <c r="X54" s="9">
        <f t="shared" si="11"/>
        <v>0</v>
      </c>
      <c r="Y54" s="9">
        <f t="shared" si="12"/>
        <v>1</v>
      </c>
      <c r="Z54" s="9">
        <f t="shared" si="13"/>
        <v>0</v>
      </c>
      <c r="AA54" s="9">
        <f t="shared" si="14"/>
        <v>0</v>
      </c>
      <c r="AB54" s="9" t="s">
        <v>78</v>
      </c>
      <c r="AC54" s="9">
        <f t="shared" si="15"/>
        <v>3</v>
      </c>
      <c r="AD54" s="9" t="s">
        <v>78</v>
      </c>
      <c r="AE54" s="9">
        <f t="shared" si="16"/>
        <v>3</v>
      </c>
      <c r="AF54" s="9" t="s">
        <v>109</v>
      </c>
      <c r="AG54" s="9">
        <f t="shared" si="17"/>
        <v>9</v>
      </c>
      <c r="AH54" s="9" t="s">
        <v>85</v>
      </c>
      <c r="AI54" s="9">
        <f t="shared" si="18"/>
        <v>4</v>
      </c>
      <c r="AJ54" s="9" t="s">
        <v>73</v>
      </c>
      <c r="AK54" s="9">
        <f t="shared" si="19"/>
        <v>2</v>
      </c>
      <c r="AL54" s="9" t="s">
        <v>85</v>
      </c>
      <c r="AM54" s="9">
        <f t="shared" si="20"/>
        <v>4</v>
      </c>
      <c r="AN54" s="9" t="s">
        <v>85</v>
      </c>
      <c r="AO54" s="9">
        <f t="shared" si="21"/>
        <v>4</v>
      </c>
      <c r="AP54" s="9" t="s">
        <v>85</v>
      </c>
      <c r="AQ54" s="9">
        <f t="shared" si="22"/>
        <v>4</v>
      </c>
      <c r="AR54" s="9" t="s">
        <v>85</v>
      </c>
      <c r="AS54" s="9">
        <f t="shared" si="23"/>
        <v>4</v>
      </c>
      <c r="AT54" s="9" t="s">
        <v>182</v>
      </c>
      <c r="AU54" s="9">
        <f t="shared" si="24"/>
        <v>0</v>
      </c>
      <c r="AV54" s="9">
        <f t="shared" si="25"/>
        <v>0</v>
      </c>
      <c r="AW54" s="9">
        <f t="shared" si="26"/>
        <v>0</v>
      </c>
      <c r="AX54" s="9">
        <f t="shared" si="27"/>
        <v>0</v>
      </c>
      <c r="AY54" s="9">
        <f t="shared" si="28"/>
        <v>1</v>
      </c>
      <c r="AZ54" s="9">
        <f t="shared" si="29"/>
        <v>0</v>
      </c>
      <c r="BA54" s="9">
        <f t="shared" si="30"/>
        <v>0</v>
      </c>
      <c r="BB54" s="9" t="s">
        <v>88</v>
      </c>
      <c r="BC54" s="9">
        <f t="shared" si="31"/>
        <v>2</v>
      </c>
      <c r="BD54" s="12"/>
      <c r="BE54" s="9" t="str">
        <f t="shared" si="43"/>
        <v>N/A</v>
      </c>
      <c r="BF54" s="9" t="s">
        <v>107</v>
      </c>
      <c r="BG54" s="9">
        <f t="shared" si="33"/>
        <v>1</v>
      </c>
      <c r="BH54" s="9">
        <f t="shared" si="34"/>
        <v>0</v>
      </c>
      <c r="BI54" s="9">
        <f t="shared" si="35"/>
        <v>0</v>
      </c>
      <c r="BJ54" s="9">
        <f t="shared" si="36"/>
        <v>0</v>
      </c>
      <c r="BK54" s="9">
        <f t="shared" si="37"/>
        <v>0</v>
      </c>
      <c r="BL54" s="9">
        <f t="shared" si="38"/>
        <v>0</v>
      </c>
      <c r="BM54" s="9">
        <f t="shared" si="39"/>
        <v>0</v>
      </c>
      <c r="BN54" s="9" t="s">
        <v>108</v>
      </c>
      <c r="BO54" s="11">
        <f t="shared" si="40"/>
        <v>3</v>
      </c>
    </row>
    <row r="55" ht="22.5" customHeight="1">
      <c r="A55" s="9">
        <f t="shared" si="41"/>
        <v>54</v>
      </c>
      <c r="B55" s="10">
        <v>46050.71068508102</v>
      </c>
      <c r="C55" s="9" t="s">
        <v>67</v>
      </c>
      <c r="D55" s="9">
        <f t="shared" si="1"/>
        <v>1</v>
      </c>
      <c r="E55" s="9" t="s">
        <v>68</v>
      </c>
      <c r="F55" s="9">
        <f t="shared" si="2"/>
        <v>1</v>
      </c>
      <c r="G55" s="9" t="s">
        <v>82</v>
      </c>
      <c r="H55" s="9" t="str">
        <f t="shared" si="3"/>
        <v>Urban</v>
      </c>
      <c r="I55" s="9">
        <f t="shared" si="4"/>
        <v>2</v>
      </c>
      <c r="J55" s="9" t="s">
        <v>83</v>
      </c>
      <c r="K55" s="9" t="s">
        <v>84</v>
      </c>
      <c r="L55" s="9">
        <f t="shared" si="5"/>
        <v>2</v>
      </c>
      <c r="M55" s="9" t="s">
        <v>109</v>
      </c>
      <c r="N55" s="9">
        <f t="shared" si="6"/>
        <v>9</v>
      </c>
      <c r="O55" s="9" t="s">
        <v>78</v>
      </c>
      <c r="P55" s="9">
        <f t="shared" si="7"/>
        <v>3</v>
      </c>
      <c r="Q55" s="9" t="s">
        <v>72</v>
      </c>
      <c r="R55" s="9">
        <f t="shared" si="8"/>
        <v>1</v>
      </c>
      <c r="S55" s="9" t="s">
        <v>78</v>
      </c>
      <c r="T55" s="9">
        <f t="shared" si="9"/>
        <v>3</v>
      </c>
      <c r="U55" s="9" t="s">
        <v>74</v>
      </c>
      <c r="V55" s="9">
        <f t="shared" si="10"/>
        <v>1.5</v>
      </c>
      <c r="W55" s="9" t="s">
        <v>97</v>
      </c>
      <c r="X55" s="9">
        <f t="shared" si="11"/>
        <v>1</v>
      </c>
      <c r="Y55" s="9">
        <f t="shared" si="12"/>
        <v>0</v>
      </c>
      <c r="Z55" s="9">
        <f t="shared" si="13"/>
        <v>1</v>
      </c>
      <c r="AA55" s="9">
        <f t="shared" si="14"/>
        <v>0</v>
      </c>
      <c r="AB55" s="9" t="s">
        <v>72</v>
      </c>
      <c r="AC55" s="9">
        <f t="shared" si="15"/>
        <v>1</v>
      </c>
      <c r="AD55" s="9" t="s">
        <v>72</v>
      </c>
      <c r="AE55" s="9">
        <f t="shared" si="16"/>
        <v>1</v>
      </c>
      <c r="AF55" s="9" t="s">
        <v>76</v>
      </c>
      <c r="AG55" s="9">
        <f t="shared" si="17"/>
        <v>5.5</v>
      </c>
      <c r="AH55" s="9" t="s">
        <v>72</v>
      </c>
      <c r="AI55" s="9">
        <f t="shared" si="18"/>
        <v>1</v>
      </c>
      <c r="AJ55" s="9" t="s">
        <v>77</v>
      </c>
      <c r="AK55" s="9">
        <f t="shared" si="19"/>
        <v>1</v>
      </c>
      <c r="AL55" s="9" t="s">
        <v>77</v>
      </c>
      <c r="AM55" s="9">
        <f t="shared" si="20"/>
        <v>1</v>
      </c>
      <c r="AN55" s="9" t="s">
        <v>77</v>
      </c>
      <c r="AO55" s="9">
        <f t="shared" si="21"/>
        <v>1</v>
      </c>
      <c r="AP55" s="9" t="s">
        <v>77</v>
      </c>
      <c r="AQ55" s="9">
        <f t="shared" si="22"/>
        <v>1</v>
      </c>
      <c r="AR55" s="9" t="s">
        <v>77</v>
      </c>
      <c r="AS55" s="9">
        <f t="shared" si="23"/>
        <v>1</v>
      </c>
      <c r="AT55" s="12"/>
      <c r="AU55" s="12">
        <f t="shared" si="24"/>
        <v>0</v>
      </c>
      <c r="AV55" s="12">
        <f t="shared" si="25"/>
        <v>0</v>
      </c>
      <c r="AW55" s="9">
        <f t="shared" si="26"/>
        <v>0</v>
      </c>
      <c r="AX55" s="9">
        <f t="shared" si="27"/>
        <v>0</v>
      </c>
      <c r="AY55" s="9">
        <f t="shared" si="28"/>
        <v>0</v>
      </c>
      <c r="AZ55" s="9">
        <f t="shared" si="29"/>
        <v>0</v>
      </c>
      <c r="BA55" s="9">
        <f t="shared" si="30"/>
        <v>0</v>
      </c>
      <c r="BB55" s="12"/>
      <c r="BC55" s="9" t="str">
        <f t="shared" si="31"/>
        <v>N/A</v>
      </c>
      <c r="BD55" s="12"/>
      <c r="BE55" s="9" t="str">
        <f t="shared" si="43"/>
        <v>N/A</v>
      </c>
      <c r="BF55" s="12"/>
      <c r="BG55" s="9">
        <f t="shared" si="33"/>
        <v>0</v>
      </c>
      <c r="BH55" s="9">
        <f t="shared" si="34"/>
        <v>0</v>
      </c>
      <c r="BI55" s="9">
        <f t="shared" si="35"/>
        <v>0</v>
      </c>
      <c r="BJ55" s="9">
        <f t="shared" si="36"/>
        <v>0</v>
      </c>
      <c r="BK55" s="9">
        <f t="shared" si="37"/>
        <v>0</v>
      </c>
      <c r="BL55" s="9">
        <f t="shared" si="38"/>
        <v>0</v>
      </c>
      <c r="BM55" s="9">
        <f t="shared" si="39"/>
        <v>0</v>
      </c>
      <c r="BN55" s="12"/>
      <c r="BO55" s="11" t="str">
        <f t="shared" si="40"/>
        <v>N/A</v>
      </c>
    </row>
    <row r="56" ht="22.5" customHeight="1">
      <c r="A56" s="9">
        <f t="shared" si="41"/>
        <v>55</v>
      </c>
      <c r="B56" s="10">
        <v>46050.71098193287</v>
      </c>
      <c r="C56" s="9" t="s">
        <v>90</v>
      </c>
      <c r="D56" s="9">
        <f t="shared" si="1"/>
        <v>2</v>
      </c>
      <c r="E56" s="9" t="s">
        <v>68</v>
      </c>
      <c r="F56" s="9">
        <f t="shared" si="2"/>
        <v>1</v>
      </c>
      <c r="G56" s="9" t="s">
        <v>69</v>
      </c>
      <c r="H56" s="9" t="str">
        <f t="shared" si="3"/>
        <v>Rural</v>
      </c>
      <c r="I56" s="9">
        <f t="shared" si="4"/>
        <v>1</v>
      </c>
      <c r="J56" s="9" t="s">
        <v>83</v>
      </c>
      <c r="K56" s="9" t="s">
        <v>84</v>
      </c>
      <c r="L56" s="9">
        <f t="shared" si="5"/>
        <v>2</v>
      </c>
      <c r="M56" s="9" t="s">
        <v>71</v>
      </c>
      <c r="N56" s="9">
        <f t="shared" si="6"/>
        <v>7.7</v>
      </c>
      <c r="O56" s="9" t="s">
        <v>73</v>
      </c>
      <c r="P56" s="9">
        <f t="shared" si="7"/>
        <v>2</v>
      </c>
      <c r="Q56" s="9" t="s">
        <v>85</v>
      </c>
      <c r="R56" s="9">
        <f t="shared" si="8"/>
        <v>4</v>
      </c>
      <c r="S56" s="9" t="s">
        <v>78</v>
      </c>
      <c r="T56" s="9">
        <f t="shared" si="9"/>
        <v>3</v>
      </c>
      <c r="U56" s="9" t="s">
        <v>92</v>
      </c>
      <c r="V56" s="9">
        <f t="shared" si="10"/>
        <v>3.5</v>
      </c>
      <c r="W56" s="9" t="s">
        <v>183</v>
      </c>
      <c r="X56" s="9">
        <f t="shared" si="11"/>
        <v>1</v>
      </c>
      <c r="Y56" s="9">
        <f t="shared" si="12"/>
        <v>1</v>
      </c>
      <c r="Z56" s="9">
        <f t="shared" si="13"/>
        <v>1</v>
      </c>
      <c r="AA56" s="9">
        <f t="shared" si="14"/>
        <v>0</v>
      </c>
      <c r="AB56" s="9" t="s">
        <v>85</v>
      </c>
      <c r="AC56" s="9">
        <f t="shared" si="15"/>
        <v>4</v>
      </c>
      <c r="AD56" s="9" t="s">
        <v>85</v>
      </c>
      <c r="AE56" s="9">
        <f t="shared" si="16"/>
        <v>4</v>
      </c>
      <c r="AF56" s="9" t="s">
        <v>71</v>
      </c>
      <c r="AG56" s="9">
        <f t="shared" si="17"/>
        <v>7.7</v>
      </c>
      <c r="AH56" s="9" t="s">
        <v>85</v>
      </c>
      <c r="AI56" s="9">
        <f t="shared" si="18"/>
        <v>4</v>
      </c>
      <c r="AJ56" s="9" t="s">
        <v>73</v>
      </c>
      <c r="AK56" s="9">
        <f t="shared" si="19"/>
        <v>2</v>
      </c>
      <c r="AL56" s="9" t="s">
        <v>73</v>
      </c>
      <c r="AM56" s="9">
        <f t="shared" si="20"/>
        <v>2</v>
      </c>
      <c r="AN56" s="9" t="s">
        <v>85</v>
      </c>
      <c r="AO56" s="9">
        <f t="shared" si="21"/>
        <v>4</v>
      </c>
      <c r="AP56" s="9" t="s">
        <v>85</v>
      </c>
      <c r="AQ56" s="9">
        <f t="shared" si="22"/>
        <v>4</v>
      </c>
      <c r="AR56" s="9" t="s">
        <v>85</v>
      </c>
      <c r="AS56" s="9">
        <f t="shared" si="23"/>
        <v>4</v>
      </c>
      <c r="AT56" s="9" t="s">
        <v>104</v>
      </c>
      <c r="AU56" s="9">
        <f t="shared" si="24"/>
        <v>1</v>
      </c>
      <c r="AV56" s="9">
        <f t="shared" si="25"/>
        <v>1</v>
      </c>
      <c r="AW56" s="9">
        <f t="shared" si="26"/>
        <v>1</v>
      </c>
      <c r="AX56" s="9">
        <f t="shared" si="27"/>
        <v>1</v>
      </c>
      <c r="AY56" s="9">
        <f t="shared" si="28"/>
        <v>1</v>
      </c>
      <c r="AZ56" s="9">
        <f t="shared" si="29"/>
        <v>1</v>
      </c>
      <c r="BA56" s="9">
        <f t="shared" si="30"/>
        <v>1</v>
      </c>
      <c r="BB56" s="9" t="s">
        <v>68</v>
      </c>
      <c r="BC56" s="9">
        <f t="shared" si="31"/>
        <v>1</v>
      </c>
      <c r="BD56" s="12"/>
      <c r="BE56" s="9" t="str">
        <f t="shared" si="43"/>
        <v>N/A</v>
      </c>
      <c r="BF56" s="9" t="s">
        <v>89</v>
      </c>
      <c r="BG56" s="9">
        <f t="shared" si="33"/>
        <v>1</v>
      </c>
      <c r="BH56" s="9">
        <f t="shared" si="34"/>
        <v>1</v>
      </c>
      <c r="BI56" s="9">
        <f t="shared" si="35"/>
        <v>1</v>
      </c>
      <c r="BJ56" s="9">
        <f t="shared" si="36"/>
        <v>1</v>
      </c>
      <c r="BK56" s="9">
        <f t="shared" si="37"/>
        <v>1</v>
      </c>
      <c r="BL56" s="9">
        <f t="shared" si="38"/>
        <v>1</v>
      </c>
      <c r="BM56" s="9">
        <f t="shared" si="39"/>
        <v>1</v>
      </c>
      <c r="BN56" s="9" t="s">
        <v>108</v>
      </c>
      <c r="BO56" s="11">
        <f t="shared" si="40"/>
        <v>3</v>
      </c>
    </row>
    <row r="57" ht="22.5" customHeight="1">
      <c r="A57" s="9">
        <f t="shared" si="41"/>
        <v>56</v>
      </c>
      <c r="B57" s="10">
        <v>46050.71099359954</v>
      </c>
      <c r="C57" s="9" t="s">
        <v>90</v>
      </c>
      <c r="D57" s="9">
        <f t="shared" si="1"/>
        <v>2</v>
      </c>
      <c r="E57" s="9" t="s">
        <v>68</v>
      </c>
      <c r="F57" s="9">
        <f t="shared" si="2"/>
        <v>1</v>
      </c>
      <c r="G57" s="9" t="s">
        <v>82</v>
      </c>
      <c r="H57" s="9" t="str">
        <f t="shared" si="3"/>
        <v>Urban</v>
      </c>
      <c r="I57" s="9">
        <f t="shared" si="4"/>
        <v>2</v>
      </c>
      <c r="J57" s="9" t="s">
        <v>70</v>
      </c>
      <c r="K57" s="9" t="s">
        <v>100</v>
      </c>
      <c r="L57" s="9">
        <f t="shared" si="5"/>
        <v>3</v>
      </c>
      <c r="M57" s="9" t="s">
        <v>76</v>
      </c>
      <c r="N57" s="9">
        <f t="shared" si="6"/>
        <v>5.5</v>
      </c>
      <c r="O57" s="9" t="s">
        <v>78</v>
      </c>
      <c r="P57" s="9">
        <f t="shared" si="7"/>
        <v>3</v>
      </c>
      <c r="Q57" s="9" t="s">
        <v>78</v>
      </c>
      <c r="R57" s="9">
        <f t="shared" si="8"/>
        <v>3</v>
      </c>
      <c r="S57" s="9" t="s">
        <v>78</v>
      </c>
      <c r="T57" s="9">
        <f t="shared" si="9"/>
        <v>3</v>
      </c>
      <c r="U57" s="9" t="s">
        <v>110</v>
      </c>
      <c r="V57" s="9">
        <f t="shared" si="10"/>
        <v>0.75</v>
      </c>
      <c r="W57" s="9" t="s">
        <v>93</v>
      </c>
      <c r="X57" s="9">
        <f t="shared" si="11"/>
        <v>0</v>
      </c>
      <c r="Y57" s="9">
        <f t="shared" si="12"/>
        <v>1</v>
      </c>
      <c r="Z57" s="9">
        <f t="shared" si="13"/>
        <v>0</v>
      </c>
      <c r="AA57" s="9">
        <f t="shared" si="14"/>
        <v>0</v>
      </c>
      <c r="AB57" s="9" t="s">
        <v>78</v>
      </c>
      <c r="AC57" s="9">
        <f t="shared" si="15"/>
        <v>3</v>
      </c>
      <c r="AD57" s="9" t="s">
        <v>78</v>
      </c>
      <c r="AE57" s="9">
        <f t="shared" si="16"/>
        <v>3</v>
      </c>
      <c r="AF57" s="9" t="s">
        <v>76</v>
      </c>
      <c r="AG57" s="9">
        <f t="shared" si="17"/>
        <v>5.5</v>
      </c>
      <c r="AH57" s="9" t="s">
        <v>78</v>
      </c>
      <c r="AI57" s="9">
        <f t="shared" si="18"/>
        <v>3</v>
      </c>
      <c r="AJ57" s="9" t="s">
        <v>73</v>
      </c>
      <c r="AK57" s="9">
        <f t="shared" si="19"/>
        <v>2</v>
      </c>
      <c r="AL57" s="9" t="s">
        <v>77</v>
      </c>
      <c r="AM57" s="9">
        <f t="shared" si="20"/>
        <v>1</v>
      </c>
      <c r="AN57" s="9" t="s">
        <v>77</v>
      </c>
      <c r="AO57" s="9">
        <f t="shared" si="21"/>
        <v>1</v>
      </c>
      <c r="AP57" s="9" t="s">
        <v>78</v>
      </c>
      <c r="AQ57" s="9">
        <f t="shared" si="22"/>
        <v>3</v>
      </c>
      <c r="AR57" s="9" t="s">
        <v>78</v>
      </c>
      <c r="AS57" s="9">
        <f t="shared" si="23"/>
        <v>3</v>
      </c>
      <c r="AT57" s="9" t="s">
        <v>182</v>
      </c>
      <c r="AU57" s="9">
        <f t="shared" si="24"/>
        <v>0</v>
      </c>
      <c r="AV57" s="9">
        <f t="shared" si="25"/>
        <v>0</v>
      </c>
      <c r="AW57" s="9">
        <f t="shared" si="26"/>
        <v>0</v>
      </c>
      <c r="AX57" s="9">
        <f t="shared" si="27"/>
        <v>0</v>
      </c>
      <c r="AY57" s="9">
        <f t="shared" si="28"/>
        <v>1</v>
      </c>
      <c r="AZ57" s="9">
        <f t="shared" si="29"/>
        <v>0</v>
      </c>
      <c r="BA57" s="9">
        <f t="shared" si="30"/>
        <v>0</v>
      </c>
      <c r="BB57" s="9" t="s">
        <v>88</v>
      </c>
      <c r="BC57" s="9">
        <f t="shared" si="31"/>
        <v>2</v>
      </c>
      <c r="BD57" s="12"/>
      <c r="BE57" s="9" t="str">
        <f t="shared" si="43"/>
        <v>N/A</v>
      </c>
      <c r="BF57" s="9" t="s">
        <v>184</v>
      </c>
      <c r="BG57" s="9">
        <f t="shared" si="33"/>
        <v>0</v>
      </c>
      <c r="BH57" s="9">
        <f t="shared" si="34"/>
        <v>0</v>
      </c>
      <c r="BI57" s="9">
        <f t="shared" si="35"/>
        <v>1</v>
      </c>
      <c r="BJ57" s="9">
        <f t="shared" si="36"/>
        <v>0</v>
      </c>
      <c r="BK57" s="9">
        <f t="shared" si="37"/>
        <v>1</v>
      </c>
      <c r="BL57" s="9">
        <f t="shared" si="38"/>
        <v>0</v>
      </c>
      <c r="BM57" s="9">
        <f t="shared" si="39"/>
        <v>0</v>
      </c>
      <c r="BN57" s="9" t="s">
        <v>108</v>
      </c>
      <c r="BO57" s="11">
        <f t="shared" si="40"/>
        <v>3</v>
      </c>
    </row>
    <row r="58" ht="22.5" customHeight="1">
      <c r="A58" s="9">
        <f t="shared" si="41"/>
        <v>57</v>
      </c>
      <c r="B58" s="10">
        <v>46050.71196215278</v>
      </c>
      <c r="C58" s="9" t="s">
        <v>90</v>
      </c>
      <c r="D58" s="9">
        <f t="shared" si="1"/>
        <v>2</v>
      </c>
      <c r="E58" s="9" t="s">
        <v>68</v>
      </c>
      <c r="F58" s="9">
        <f t="shared" si="2"/>
        <v>1</v>
      </c>
      <c r="G58" s="9" t="s">
        <v>69</v>
      </c>
      <c r="H58" s="9" t="str">
        <f t="shared" si="3"/>
        <v>Rural</v>
      </c>
      <c r="I58" s="9">
        <f t="shared" si="4"/>
        <v>1</v>
      </c>
      <c r="J58" s="9" t="s">
        <v>70</v>
      </c>
      <c r="K58" s="9" t="s">
        <v>100</v>
      </c>
      <c r="L58" s="9">
        <f t="shared" si="5"/>
        <v>3</v>
      </c>
      <c r="M58" s="9" t="s">
        <v>71</v>
      </c>
      <c r="N58" s="9">
        <f t="shared" si="6"/>
        <v>7.7</v>
      </c>
      <c r="O58" s="9" t="s">
        <v>78</v>
      </c>
      <c r="P58" s="9">
        <f t="shared" si="7"/>
        <v>3</v>
      </c>
      <c r="Q58" s="9" t="s">
        <v>78</v>
      </c>
      <c r="R58" s="9">
        <f t="shared" si="8"/>
        <v>3</v>
      </c>
      <c r="S58" s="9" t="s">
        <v>73</v>
      </c>
      <c r="T58" s="9">
        <f t="shared" si="9"/>
        <v>2</v>
      </c>
      <c r="U58" s="9" t="s">
        <v>74</v>
      </c>
      <c r="V58" s="9">
        <f t="shared" si="10"/>
        <v>1.5</v>
      </c>
      <c r="W58" s="9" t="s">
        <v>143</v>
      </c>
      <c r="X58" s="9">
        <f t="shared" si="11"/>
        <v>1</v>
      </c>
      <c r="Y58" s="9">
        <f t="shared" si="12"/>
        <v>0</v>
      </c>
      <c r="Z58" s="9">
        <f t="shared" si="13"/>
        <v>0</v>
      </c>
      <c r="AA58" s="9">
        <f t="shared" si="14"/>
        <v>0</v>
      </c>
      <c r="AB58" s="9" t="s">
        <v>73</v>
      </c>
      <c r="AC58" s="9">
        <f t="shared" si="15"/>
        <v>2</v>
      </c>
      <c r="AD58" s="9" t="s">
        <v>73</v>
      </c>
      <c r="AE58" s="9">
        <f t="shared" si="16"/>
        <v>2</v>
      </c>
      <c r="AF58" s="9" t="s">
        <v>71</v>
      </c>
      <c r="AG58" s="9">
        <f t="shared" si="17"/>
        <v>7.7</v>
      </c>
      <c r="AH58" s="9" t="s">
        <v>78</v>
      </c>
      <c r="AI58" s="9">
        <f t="shared" si="18"/>
        <v>3</v>
      </c>
      <c r="AJ58" s="9" t="s">
        <v>73</v>
      </c>
      <c r="AK58" s="9">
        <f t="shared" si="19"/>
        <v>2</v>
      </c>
      <c r="AL58" s="9" t="s">
        <v>78</v>
      </c>
      <c r="AM58" s="9">
        <f t="shared" si="20"/>
        <v>3</v>
      </c>
      <c r="AN58" s="9" t="s">
        <v>78</v>
      </c>
      <c r="AO58" s="9">
        <f t="shared" si="21"/>
        <v>3</v>
      </c>
      <c r="AP58" s="9" t="s">
        <v>78</v>
      </c>
      <c r="AQ58" s="9">
        <f t="shared" si="22"/>
        <v>3</v>
      </c>
      <c r="AR58" s="9" t="s">
        <v>78</v>
      </c>
      <c r="AS58" s="9">
        <f t="shared" si="23"/>
        <v>3</v>
      </c>
      <c r="AT58" s="9" t="s">
        <v>182</v>
      </c>
      <c r="AU58" s="9">
        <f t="shared" si="24"/>
        <v>0</v>
      </c>
      <c r="AV58" s="9">
        <f t="shared" si="25"/>
        <v>0</v>
      </c>
      <c r="AW58" s="9">
        <f t="shared" si="26"/>
        <v>0</v>
      </c>
      <c r="AX58" s="9">
        <f t="shared" si="27"/>
        <v>0</v>
      </c>
      <c r="AY58" s="9">
        <f t="shared" si="28"/>
        <v>1</v>
      </c>
      <c r="AZ58" s="9">
        <f t="shared" si="29"/>
        <v>0</v>
      </c>
      <c r="BA58" s="9">
        <f t="shared" si="30"/>
        <v>0</v>
      </c>
      <c r="BB58" s="9" t="s">
        <v>88</v>
      </c>
      <c r="BC58" s="9">
        <f t="shared" si="31"/>
        <v>2</v>
      </c>
      <c r="BD58" s="12"/>
      <c r="BE58" s="9" t="str">
        <f t="shared" si="43"/>
        <v>N/A</v>
      </c>
      <c r="BF58" s="9" t="s">
        <v>113</v>
      </c>
      <c r="BG58" s="9">
        <f t="shared" si="33"/>
        <v>0</v>
      </c>
      <c r="BH58" s="9">
        <f t="shared" si="34"/>
        <v>0</v>
      </c>
      <c r="BI58" s="9">
        <f t="shared" si="35"/>
        <v>0</v>
      </c>
      <c r="BJ58" s="9">
        <f t="shared" si="36"/>
        <v>0</v>
      </c>
      <c r="BK58" s="9">
        <f t="shared" si="37"/>
        <v>0</v>
      </c>
      <c r="BL58" s="9">
        <f t="shared" si="38"/>
        <v>0</v>
      </c>
      <c r="BM58" s="9">
        <f t="shared" si="39"/>
        <v>1</v>
      </c>
      <c r="BN58" s="9" t="s">
        <v>108</v>
      </c>
      <c r="BO58" s="11">
        <f t="shared" si="40"/>
        <v>3</v>
      </c>
    </row>
    <row r="59" ht="22.5" customHeight="1">
      <c r="A59" s="9">
        <f t="shared" si="41"/>
        <v>58</v>
      </c>
      <c r="B59" s="10">
        <v>46050.71248416667</v>
      </c>
      <c r="C59" s="9" t="s">
        <v>90</v>
      </c>
      <c r="D59" s="9">
        <f t="shared" si="1"/>
        <v>2</v>
      </c>
      <c r="E59" s="9" t="s">
        <v>68</v>
      </c>
      <c r="F59" s="9">
        <f t="shared" si="2"/>
        <v>1</v>
      </c>
      <c r="G59" s="9" t="s">
        <v>91</v>
      </c>
      <c r="H59" s="9" t="str">
        <f t="shared" si="3"/>
        <v>Urban</v>
      </c>
      <c r="I59" s="9">
        <f t="shared" si="4"/>
        <v>2</v>
      </c>
      <c r="J59" s="9" t="s">
        <v>70</v>
      </c>
      <c r="K59" s="9" t="s">
        <v>100</v>
      </c>
      <c r="L59" s="9">
        <f t="shared" si="5"/>
        <v>3</v>
      </c>
      <c r="M59" s="9" t="s">
        <v>76</v>
      </c>
      <c r="N59" s="9">
        <f t="shared" si="6"/>
        <v>5.5</v>
      </c>
      <c r="O59" s="9" t="s">
        <v>78</v>
      </c>
      <c r="P59" s="9">
        <f t="shared" si="7"/>
        <v>3</v>
      </c>
      <c r="Q59" s="9" t="s">
        <v>78</v>
      </c>
      <c r="R59" s="9">
        <f t="shared" si="8"/>
        <v>3</v>
      </c>
      <c r="S59" s="9" t="s">
        <v>78</v>
      </c>
      <c r="T59" s="9">
        <f t="shared" si="9"/>
        <v>3</v>
      </c>
      <c r="U59" s="9" t="s">
        <v>74</v>
      </c>
      <c r="V59" s="9">
        <f t="shared" si="10"/>
        <v>1.5</v>
      </c>
      <c r="W59" s="9" t="s">
        <v>86</v>
      </c>
      <c r="X59" s="9">
        <f t="shared" si="11"/>
        <v>1</v>
      </c>
      <c r="Y59" s="9">
        <f t="shared" si="12"/>
        <v>1</v>
      </c>
      <c r="Z59" s="9">
        <f t="shared" si="13"/>
        <v>1</v>
      </c>
      <c r="AA59" s="9">
        <f t="shared" si="14"/>
        <v>0</v>
      </c>
      <c r="AB59" s="9" t="s">
        <v>78</v>
      </c>
      <c r="AC59" s="9">
        <f t="shared" si="15"/>
        <v>3</v>
      </c>
      <c r="AD59" s="9" t="s">
        <v>78</v>
      </c>
      <c r="AE59" s="9">
        <f t="shared" si="16"/>
        <v>3</v>
      </c>
      <c r="AF59" s="9" t="s">
        <v>109</v>
      </c>
      <c r="AG59" s="9">
        <f t="shared" si="17"/>
        <v>9</v>
      </c>
      <c r="AH59" s="9" t="s">
        <v>85</v>
      </c>
      <c r="AI59" s="9">
        <f t="shared" si="18"/>
        <v>4</v>
      </c>
      <c r="AJ59" s="9" t="s">
        <v>78</v>
      </c>
      <c r="AK59" s="9">
        <f t="shared" si="19"/>
        <v>3</v>
      </c>
      <c r="AL59" s="9" t="s">
        <v>85</v>
      </c>
      <c r="AM59" s="9">
        <f t="shared" si="20"/>
        <v>4</v>
      </c>
      <c r="AN59" s="9" t="s">
        <v>85</v>
      </c>
      <c r="AO59" s="9">
        <f t="shared" si="21"/>
        <v>4</v>
      </c>
      <c r="AP59" s="9" t="s">
        <v>85</v>
      </c>
      <c r="AQ59" s="9">
        <f t="shared" si="22"/>
        <v>4</v>
      </c>
      <c r="AR59" s="9" t="s">
        <v>85</v>
      </c>
      <c r="AS59" s="9">
        <f t="shared" si="23"/>
        <v>4</v>
      </c>
      <c r="AT59" s="9" t="s">
        <v>104</v>
      </c>
      <c r="AU59" s="9">
        <f t="shared" si="24"/>
        <v>1</v>
      </c>
      <c r="AV59" s="9">
        <f t="shared" si="25"/>
        <v>1</v>
      </c>
      <c r="AW59" s="9">
        <f t="shared" si="26"/>
        <v>1</v>
      </c>
      <c r="AX59" s="9">
        <f t="shared" si="27"/>
        <v>1</v>
      </c>
      <c r="AY59" s="9">
        <f t="shared" si="28"/>
        <v>1</v>
      </c>
      <c r="AZ59" s="9">
        <f t="shared" si="29"/>
        <v>1</v>
      </c>
      <c r="BA59" s="9">
        <f t="shared" si="30"/>
        <v>1</v>
      </c>
      <c r="BB59" s="9" t="s">
        <v>88</v>
      </c>
      <c r="BC59" s="9">
        <f t="shared" si="31"/>
        <v>2</v>
      </c>
      <c r="BD59" s="12"/>
      <c r="BE59" s="9" t="str">
        <f t="shared" si="43"/>
        <v>N/A</v>
      </c>
      <c r="BF59" s="9" t="s">
        <v>89</v>
      </c>
      <c r="BG59" s="9">
        <f t="shared" si="33"/>
        <v>1</v>
      </c>
      <c r="BH59" s="9">
        <f t="shared" si="34"/>
        <v>1</v>
      </c>
      <c r="BI59" s="9">
        <f t="shared" si="35"/>
        <v>1</v>
      </c>
      <c r="BJ59" s="9">
        <f t="shared" si="36"/>
        <v>1</v>
      </c>
      <c r="BK59" s="9">
        <f t="shared" si="37"/>
        <v>1</v>
      </c>
      <c r="BL59" s="9">
        <f t="shared" si="38"/>
        <v>1</v>
      </c>
      <c r="BM59" s="9">
        <f t="shared" si="39"/>
        <v>1</v>
      </c>
      <c r="BN59" s="9" t="s">
        <v>68</v>
      </c>
      <c r="BO59" s="11">
        <f t="shared" si="40"/>
        <v>1</v>
      </c>
    </row>
    <row r="60" ht="22.5" customHeight="1">
      <c r="A60" s="9">
        <f t="shared" si="41"/>
        <v>59</v>
      </c>
      <c r="B60" s="10">
        <v>46050.712876550926</v>
      </c>
      <c r="C60" s="9" t="s">
        <v>90</v>
      </c>
      <c r="D60" s="9">
        <f t="shared" si="1"/>
        <v>2</v>
      </c>
      <c r="E60" s="9" t="s">
        <v>68</v>
      </c>
      <c r="F60" s="9">
        <f t="shared" si="2"/>
        <v>1</v>
      </c>
      <c r="G60" s="9" t="s">
        <v>69</v>
      </c>
      <c r="H60" s="9" t="str">
        <f t="shared" si="3"/>
        <v>Rural</v>
      </c>
      <c r="I60" s="9">
        <f t="shared" si="4"/>
        <v>1</v>
      </c>
      <c r="J60" s="9" t="s">
        <v>70</v>
      </c>
      <c r="K60" s="9" t="s">
        <v>100</v>
      </c>
      <c r="L60" s="9">
        <f t="shared" si="5"/>
        <v>3</v>
      </c>
      <c r="M60" s="9" t="s">
        <v>76</v>
      </c>
      <c r="N60" s="9">
        <f t="shared" si="6"/>
        <v>5.5</v>
      </c>
      <c r="O60" s="9" t="s">
        <v>78</v>
      </c>
      <c r="P60" s="9">
        <f t="shared" si="7"/>
        <v>3</v>
      </c>
      <c r="Q60" s="9" t="s">
        <v>85</v>
      </c>
      <c r="R60" s="9">
        <f t="shared" si="8"/>
        <v>4</v>
      </c>
      <c r="S60" s="9" t="s">
        <v>85</v>
      </c>
      <c r="T60" s="9">
        <f t="shared" si="9"/>
        <v>4</v>
      </c>
      <c r="U60" s="9" t="s">
        <v>74</v>
      </c>
      <c r="V60" s="9">
        <f t="shared" si="10"/>
        <v>1.5</v>
      </c>
      <c r="W60" s="9" t="s">
        <v>143</v>
      </c>
      <c r="X60" s="9">
        <f t="shared" si="11"/>
        <v>1</v>
      </c>
      <c r="Y60" s="9">
        <f t="shared" si="12"/>
        <v>0</v>
      </c>
      <c r="Z60" s="9">
        <f t="shared" si="13"/>
        <v>0</v>
      </c>
      <c r="AA60" s="9">
        <f t="shared" si="14"/>
        <v>0</v>
      </c>
      <c r="AB60" s="9" t="s">
        <v>78</v>
      </c>
      <c r="AC60" s="9">
        <f t="shared" si="15"/>
        <v>3</v>
      </c>
      <c r="AD60" s="9" t="s">
        <v>85</v>
      </c>
      <c r="AE60" s="9">
        <f t="shared" si="16"/>
        <v>4</v>
      </c>
      <c r="AF60" s="9" t="s">
        <v>76</v>
      </c>
      <c r="AG60" s="9">
        <f t="shared" si="17"/>
        <v>5.5</v>
      </c>
      <c r="AH60" s="9" t="s">
        <v>85</v>
      </c>
      <c r="AI60" s="9">
        <f t="shared" si="18"/>
        <v>4</v>
      </c>
      <c r="AJ60" s="9" t="s">
        <v>85</v>
      </c>
      <c r="AK60" s="9">
        <f t="shared" si="19"/>
        <v>4</v>
      </c>
      <c r="AL60" s="9" t="s">
        <v>85</v>
      </c>
      <c r="AM60" s="9">
        <f t="shared" si="20"/>
        <v>4</v>
      </c>
      <c r="AN60" s="9" t="s">
        <v>85</v>
      </c>
      <c r="AO60" s="9">
        <f t="shared" si="21"/>
        <v>4</v>
      </c>
      <c r="AP60" s="9" t="s">
        <v>85</v>
      </c>
      <c r="AQ60" s="9">
        <f t="shared" si="22"/>
        <v>4</v>
      </c>
      <c r="AR60" s="9" t="s">
        <v>85</v>
      </c>
      <c r="AS60" s="9">
        <f t="shared" si="23"/>
        <v>4</v>
      </c>
      <c r="AT60" s="9" t="s">
        <v>170</v>
      </c>
      <c r="AU60" s="9">
        <f t="shared" si="24"/>
        <v>1</v>
      </c>
      <c r="AV60" s="9">
        <f t="shared" si="25"/>
        <v>1</v>
      </c>
      <c r="AW60" s="9">
        <f t="shared" si="26"/>
        <v>1</v>
      </c>
      <c r="AX60" s="9">
        <f t="shared" si="27"/>
        <v>0</v>
      </c>
      <c r="AY60" s="9">
        <f t="shared" si="28"/>
        <v>0</v>
      </c>
      <c r="AZ60" s="9">
        <f t="shared" si="29"/>
        <v>1</v>
      </c>
      <c r="BA60" s="9">
        <f t="shared" si="30"/>
        <v>0</v>
      </c>
      <c r="BB60" s="9" t="s">
        <v>88</v>
      </c>
      <c r="BC60" s="9">
        <f t="shared" si="31"/>
        <v>2</v>
      </c>
      <c r="BD60" s="12"/>
      <c r="BE60" s="9" t="str">
        <f t="shared" si="43"/>
        <v>N/A</v>
      </c>
      <c r="BF60" s="9" t="s">
        <v>185</v>
      </c>
      <c r="BG60" s="9">
        <f t="shared" si="33"/>
        <v>1</v>
      </c>
      <c r="BH60" s="9">
        <f t="shared" si="34"/>
        <v>1</v>
      </c>
      <c r="BI60" s="9">
        <f t="shared" si="35"/>
        <v>0</v>
      </c>
      <c r="BJ60" s="9">
        <f t="shared" si="36"/>
        <v>0</v>
      </c>
      <c r="BK60" s="9">
        <f t="shared" si="37"/>
        <v>0</v>
      </c>
      <c r="BL60" s="9">
        <f t="shared" si="38"/>
        <v>0</v>
      </c>
      <c r="BM60" s="9">
        <f t="shared" si="39"/>
        <v>1</v>
      </c>
      <c r="BN60" s="9" t="s">
        <v>68</v>
      </c>
      <c r="BO60" s="11">
        <f t="shared" si="40"/>
        <v>1</v>
      </c>
    </row>
    <row r="61" ht="22.5" customHeight="1">
      <c r="A61" s="9">
        <f t="shared" si="41"/>
        <v>60</v>
      </c>
      <c r="B61" s="10">
        <v>46050.716088877314</v>
      </c>
      <c r="C61" s="9" t="s">
        <v>67</v>
      </c>
      <c r="D61" s="9">
        <f t="shared" si="1"/>
        <v>1</v>
      </c>
      <c r="E61" s="9" t="s">
        <v>68</v>
      </c>
      <c r="F61" s="9">
        <f t="shared" si="2"/>
        <v>1</v>
      </c>
      <c r="G61" s="9" t="s">
        <v>91</v>
      </c>
      <c r="H61" s="9" t="str">
        <f t="shared" si="3"/>
        <v>Urban</v>
      </c>
      <c r="I61" s="9">
        <f t="shared" si="4"/>
        <v>2</v>
      </c>
      <c r="J61" s="9" t="s">
        <v>145</v>
      </c>
      <c r="K61" s="9" t="s">
        <v>146</v>
      </c>
      <c r="L61" s="9">
        <f t="shared" si="5"/>
        <v>1</v>
      </c>
      <c r="M61" s="9" t="s">
        <v>109</v>
      </c>
      <c r="N61" s="9">
        <f t="shared" si="6"/>
        <v>9</v>
      </c>
      <c r="O61" s="9" t="s">
        <v>85</v>
      </c>
      <c r="P61" s="9">
        <f t="shared" si="7"/>
        <v>4</v>
      </c>
      <c r="Q61" s="9" t="s">
        <v>103</v>
      </c>
      <c r="R61" s="9">
        <f t="shared" si="8"/>
        <v>5</v>
      </c>
      <c r="S61" s="9" t="s">
        <v>78</v>
      </c>
      <c r="T61" s="9">
        <f t="shared" si="9"/>
        <v>3</v>
      </c>
      <c r="U61" s="9" t="s">
        <v>110</v>
      </c>
      <c r="V61" s="9">
        <f t="shared" si="10"/>
        <v>0.75</v>
      </c>
      <c r="W61" s="9" t="s">
        <v>143</v>
      </c>
      <c r="X61" s="9">
        <f t="shared" si="11"/>
        <v>1</v>
      </c>
      <c r="Y61" s="9">
        <f t="shared" si="12"/>
        <v>0</v>
      </c>
      <c r="Z61" s="9">
        <f t="shared" si="13"/>
        <v>0</v>
      </c>
      <c r="AA61" s="9">
        <f t="shared" si="14"/>
        <v>0</v>
      </c>
      <c r="AB61" s="9" t="s">
        <v>85</v>
      </c>
      <c r="AC61" s="9">
        <f t="shared" si="15"/>
        <v>4</v>
      </c>
      <c r="AD61" s="9" t="s">
        <v>85</v>
      </c>
      <c r="AE61" s="9">
        <f t="shared" si="16"/>
        <v>4</v>
      </c>
      <c r="AF61" s="9" t="s">
        <v>109</v>
      </c>
      <c r="AG61" s="9">
        <f t="shared" si="17"/>
        <v>9</v>
      </c>
      <c r="AH61" s="9" t="s">
        <v>85</v>
      </c>
      <c r="AI61" s="9">
        <f t="shared" si="18"/>
        <v>4</v>
      </c>
      <c r="AJ61" s="9" t="s">
        <v>85</v>
      </c>
      <c r="AK61" s="9">
        <f t="shared" si="19"/>
        <v>4</v>
      </c>
      <c r="AL61" s="9" t="s">
        <v>85</v>
      </c>
      <c r="AM61" s="9">
        <f t="shared" si="20"/>
        <v>4</v>
      </c>
      <c r="AN61" s="9" t="s">
        <v>85</v>
      </c>
      <c r="AO61" s="9">
        <f t="shared" si="21"/>
        <v>4</v>
      </c>
      <c r="AP61" s="9" t="s">
        <v>85</v>
      </c>
      <c r="AQ61" s="9">
        <f t="shared" si="22"/>
        <v>4</v>
      </c>
      <c r="AR61" s="9" t="s">
        <v>85</v>
      </c>
      <c r="AS61" s="9">
        <f t="shared" si="23"/>
        <v>4</v>
      </c>
      <c r="AT61" s="9" t="s">
        <v>147</v>
      </c>
      <c r="AU61" s="9">
        <f t="shared" si="24"/>
        <v>1</v>
      </c>
      <c r="AV61" s="9">
        <f t="shared" si="25"/>
        <v>0</v>
      </c>
      <c r="AW61" s="9">
        <f t="shared" si="26"/>
        <v>0</v>
      </c>
      <c r="AX61" s="9">
        <f t="shared" si="27"/>
        <v>0</v>
      </c>
      <c r="AY61" s="9">
        <f t="shared" si="28"/>
        <v>0</v>
      </c>
      <c r="AZ61" s="9">
        <f t="shared" si="29"/>
        <v>0</v>
      </c>
      <c r="BA61" s="9">
        <f t="shared" si="30"/>
        <v>0</v>
      </c>
      <c r="BB61" s="9" t="s">
        <v>88</v>
      </c>
      <c r="BC61" s="9">
        <f t="shared" si="31"/>
        <v>2</v>
      </c>
      <c r="BD61" s="12"/>
      <c r="BE61" s="9" t="str">
        <f t="shared" si="43"/>
        <v>N/A</v>
      </c>
      <c r="BF61" s="9" t="s">
        <v>107</v>
      </c>
      <c r="BG61" s="9">
        <f t="shared" si="33"/>
        <v>1</v>
      </c>
      <c r="BH61" s="9">
        <f t="shared" si="34"/>
        <v>0</v>
      </c>
      <c r="BI61" s="9">
        <f t="shared" si="35"/>
        <v>0</v>
      </c>
      <c r="BJ61" s="9">
        <f t="shared" si="36"/>
        <v>0</v>
      </c>
      <c r="BK61" s="9">
        <f t="shared" si="37"/>
        <v>0</v>
      </c>
      <c r="BL61" s="9">
        <f t="shared" si="38"/>
        <v>0</v>
      </c>
      <c r="BM61" s="9">
        <f t="shared" si="39"/>
        <v>0</v>
      </c>
      <c r="BN61" s="9" t="s">
        <v>108</v>
      </c>
      <c r="BO61" s="11">
        <f t="shared" si="40"/>
        <v>3</v>
      </c>
    </row>
    <row r="62" ht="22.5" customHeight="1">
      <c r="A62" s="9">
        <f t="shared" si="41"/>
        <v>61</v>
      </c>
      <c r="B62" s="10">
        <v>46050.71624996528</v>
      </c>
      <c r="C62" s="9" t="s">
        <v>90</v>
      </c>
      <c r="D62" s="9">
        <f t="shared" si="1"/>
        <v>2</v>
      </c>
      <c r="E62" s="9" t="s">
        <v>68</v>
      </c>
      <c r="F62" s="9">
        <f t="shared" si="2"/>
        <v>1</v>
      </c>
      <c r="G62" s="9" t="s">
        <v>91</v>
      </c>
      <c r="H62" s="9" t="str">
        <f t="shared" si="3"/>
        <v>Urban</v>
      </c>
      <c r="I62" s="9">
        <f t="shared" si="4"/>
        <v>2</v>
      </c>
      <c r="J62" s="9" t="s">
        <v>145</v>
      </c>
      <c r="K62" s="9" t="s">
        <v>146</v>
      </c>
      <c r="L62" s="9">
        <f t="shared" si="5"/>
        <v>1</v>
      </c>
      <c r="M62" s="9" t="s">
        <v>76</v>
      </c>
      <c r="N62" s="9">
        <f t="shared" si="6"/>
        <v>5.5</v>
      </c>
      <c r="O62" s="9" t="s">
        <v>73</v>
      </c>
      <c r="P62" s="9">
        <f t="shared" si="7"/>
        <v>2</v>
      </c>
      <c r="Q62" s="9" t="s">
        <v>73</v>
      </c>
      <c r="R62" s="9">
        <f t="shared" si="8"/>
        <v>2</v>
      </c>
      <c r="S62" s="9" t="s">
        <v>73</v>
      </c>
      <c r="T62" s="9">
        <f t="shared" si="9"/>
        <v>2</v>
      </c>
      <c r="U62" s="9" t="s">
        <v>96</v>
      </c>
      <c r="V62" s="9">
        <f t="shared" si="10"/>
        <v>2.5</v>
      </c>
      <c r="W62" s="12"/>
      <c r="X62" s="9">
        <f t="shared" si="11"/>
        <v>0</v>
      </c>
      <c r="Y62" s="9">
        <f t="shared" si="12"/>
        <v>0</v>
      </c>
      <c r="Z62" s="9">
        <f t="shared" si="13"/>
        <v>0</v>
      </c>
      <c r="AA62" s="9">
        <f t="shared" si="14"/>
        <v>0</v>
      </c>
      <c r="AB62" s="9" t="s">
        <v>73</v>
      </c>
      <c r="AC62" s="9">
        <f t="shared" si="15"/>
        <v>2</v>
      </c>
      <c r="AD62" s="9" t="s">
        <v>73</v>
      </c>
      <c r="AE62" s="9">
        <f t="shared" si="16"/>
        <v>2</v>
      </c>
      <c r="AF62" s="9" t="s">
        <v>76</v>
      </c>
      <c r="AG62" s="9">
        <f t="shared" si="17"/>
        <v>5.5</v>
      </c>
      <c r="AH62" s="9" t="s">
        <v>85</v>
      </c>
      <c r="AI62" s="9">
        <f t="shared" si="18"/>
        <v>4</v>
      </c>
      <c r="AJ62" s="9" t="s">
        <v>73</v>
      </c>
      <c r="AK62" s="9">
        <f t="shared" si="19"/>
        <v>2</v>
      </c>
      <c r="AL62" s="9" t="s">
        <v>73</v>
      </c>
      <c r="AM62" s="9">
        <f t="shared" si="20"/>
        <v>2</v>
      </c>
      <c r="AN62" s="9" t="s">
        <v>73</v>
      </c>
      <c r="AO62" s="9">
        <f t="shared" si="21"/>
        <v>2</v>
      </c>
      <c r="AP62" s="9" t="s">
        <v>73</v>
      </c>
      <c r="AQ62" s="9">
        <f t="shared" si="22"/>
        <v>2</v>
      </c>
      <c r="AR62" s="9" t="s">
        <v>73</v>
      </c>
      <c r="AS62" s="9">
        <f t="shared" si="23"/>
        <v>2</v>
      </c>
      <c r="AT62" s="9" t="s">
        <v>182</v>
      </c>
      <c r="AU62" s="9">
        <f t="shared" si="24"/>
        <v>0</v>
      </c>
      <c r="AV62" s="9">
        <f t="shared" si="25"/>
        <v>0</v>
      </c>
      <c r="AW62" s="9">
        <f t="shared" si="26"/>
        <v>0</v>
      </c>
      <c r="AX62" s="9">
        <f t="shared" si="27"/>
        <v>0</v>
      </c>
      <c r="AY62" s="9">
        <f t="shared" si="28"/>
        <v>1</v>
      </c>
      <c r="AZ62" s="9">
        <f t="shared" si="29"/>
        <v>0</v>
      </c>
      <c r="BA62" s="9">
        <f t="shared" si="30"/>
        <v>0</v>
      </c>
      <c r="BB62" s="9" t="s">
        <v>88</v>
      </c>
      <c r="BC62" s="9">
        <f t="shared" si="31"/>
        <v>2</v>
      </c>
      <c r="BD62" s="12"/>
      <c r="BE62" s="9" t="str">
        <f t="shared" si="43"/>
        <v>N/A</v>
      </c>
      <c r="BF62" s="9" t="s">
        <v>161</v>
      </c>
      <c r="BG62" s="9">
        <f t="shared" si="33"/>
        <v>0</v>
      </c>
      <c r="BH62" s="9">
        <f t="shared" si="34"/>
        <v>0</v>
      </c>
      <c r="BI62" s="9">
        <f t="shared" si="35"/>
        <v>0</v>
      </c>
      <c r="BJ62" s="9">
        <f t="shared" si="36"/>
        <v>1</v>
      </c>
      <c r="BK62" s="9">
        <f t="shared" si="37"/>
        <v>0</v>
      </c>
      <c r="BL62" s="9">
        <f t="shared" si="38"/>
        <v>0</v>
      </c>
      <c r="BM62" s="9">
        <f t="shared" si="39"/>
        <v>0</v>
      </c>
      <c r="BN62" s="9" t="s">
        <v>68</v>
      </c>
      <c r="BO62" s="11">
        <f t="shared" si="40"/>
        <v>1</v>
      </c>
    </row>
    <row r="63" ht="22.5" customHeight="1">
      <c r="A63" s="9">
        <f t="shared" si="41"/>
        <v>62</v>
      </c>
      <c r="B63" s="10">
        <v>46050.71706236112</v>
      </c>
      <c r="C63" s="9" t="s">
        <v>90</v>
      </c>
      <c r="D63" s="9">
        <f t="shared" si="1"/>
        <v>2</v>
      </c>
      <c r="E63" s="9" t="s">
        <v>68</v>
      </c>
      <c r="F63" s="9">
        <f t="shared" si="2"/>
        <v>1</v>
      </c>
      <c r="G63" s="9" t="s">
        <v>69</v>
      </c>
      <c r="H63" s="9" t="str">
        <f t="shared" si="3"/>
        <v>Rural</v>
      </c>
      <c r="I63" s="9">
        <f t="shared" si="4"/>
        <v>1</v>
      </c>
      <c r="J63" s="9" t="s">
        <v>70</v>
      </c>
      <c r="K63" s="9" t="s">
        <v>100</v>
      </c>
      <c r="L63" s="9">
        <f t="shared" si="5"/>
        <v>3</v>
      </c>
      <c r="M63" s="9" t="s">
        <v>109</v>
      </c>
      <c r="N63" s="9">
        <f t="shared" si="6"/>
        <v>9</v>
      </c>
      <c r="O63" s="9" t="s">
        <v>73</v>
      </c>
      <c r="P63" s="9">
        <f t="shared" si="7"/>
        <v>2</v>
      </c>
      <c r="Q63" s="9" t="s">
        <v>85</v>
      </c>
      <c r="R63" s="9">
        <f t="shared" si="8"/>
        <v>4</v>
      </c>
      <c r="S63" s="9" t="s">
        <v>73</v>
      </c>
      <c r="T63" s="9">
        <f t="shared" si="9"/>
        <v>2</v>
      </c>
      <c r="U63" s="9" t="s">
        <v>92</v>
      </c>
      <c r="V63" s="9">
        <f t="shared" si="10"/>
        <v>3.5</v>
      </c>
      <c r="W63" s="9" t="s">
        <v>86</v>
      </c>
      <c r="X63" s="9">
        <f t="shared" si="11"/>
        <v>1</v>
      </c>
      <c r="Y63" s="9">
        <f t="shared" si="12"/>
        <v>1</v>
      </c>
      <c r="Z63" s="9">
        <f t="shared" si="13"/>
        <v>1</v>
      </c>
      <c r="AA63" s="9">
        <f t="shared" si="14"/>
        <v>0</v>
      </c>
      <c r="AB63" s="9" t="s">
        <v>85</v>
      </c>
      <c r="AC63" s="9">
        <f t="shared" si="15"/>
        <v>4</v>
      </c>
      <c r="AD63" s="9" t="s">
        <v>85</v>
      </c>
      <c r="AE63" s="9">
        <f t="shared" si="16"/>
        <v>4</v>
      </c>
      <c r="AF63" s="9" t="s">
        <v>76</v>
      </c>
      <c r="AG63" s="9">
        <f t="shared" si="17"/>
        <v>5.5</v>
      </c>
      <c r="AH63" s="9" t="s">
        <v>78</v>
      </c>
      <c r="AI63" s="9">
        <f t="shared" si="18"/>
        <v>3</v>
      </c>
      <c r="AJ63" s="9" t="s">
        <v>73</v>
      </c>
      <c r="AK63" s="9">
        <f t="shared" si="19"/>
        <v>2</v>
      </c>
      <c r="AL63" s="9" t="s">
        <v>73</v>
      </c>
      <c r="AM63" s="9">
        <f t="shared" si="20"/>
        <v>2</v>
      </c>
      <c r="AN63" s="9" t="s">
        <v>78</v>
      </c>
      <c r="AO63" s="9">
        <f t="shared" si="21"/>
        <v>3</v>
      </c>
      <c r="AP63" s="9" t="s">
        <v>73</v>
      </c>
      <c r="AQ63" s="9">
        <f t="shared" si="22"/>
        <v>2</v>
      </c>
      <c r="AR63" s="9" t="s">
        <v>120</v>
      </c>
      <c r="AS63" s="9">
        <f t="shared" si="23"/>
        <v>5</v>
      </c>
      <c r="AT63" s="9" t="s">
        <v>186</v>
      </c>
      <c r="AU63" s="9">
        <f t="shared" si="24"/>
        <v>1</v>
      </c>
      <c r="AV63" s="9">
        <f t="shared" si="25"/>
        <v>0</v>
      </c>
      <c r="AW63" s="9">
        <f t="shared" si="26"/>
        <v>1</v>
      </c>
      <c r="AX63" s="9">
        <f t="shared" si="27"/>
        <v>0</v>
      </c>
      <c r="AY63" s="9">
        <f t="shared" si="28"/>
        <v>0</v>
      </c>
      <c r="AZ63" s="9">
        <f t="shared" si="29"/>
        <v>1</v>
      </c>
      <c r="BA63" s="9">
        <f t="shared" si="30"/>
        <v>0</v>
      </c>
      <c r="BB63" s="9" t="s">
        <v>88</v>
      </c>
      <c r="BC63" s="9">
        <f t="shared" si="31"/>
        <v>2</v>
      </c>
      <c r="BD63" s="12"/>
      <c r="BE63" s="9" t="str">
        <f t="shared" si="43"/>
        <v>N/A</v>
      </c>
      <c r="BF63" s="9" t="s">
        <v>187</v>
      </c>
      <c r="BG63" s="9">
        <f t="shared" si="33"/>
        <v>1</v>
      </c>
      <c r="BH63" s="9">
        <f t="shared" si="34"/>
        <v>0</v>
      </c>
      <c r="BI63" s="9">
        <f t="shared" si="35"/>
        <v>0</v>
      </c>
      <c r="BJ63" s="9">
        <f t="shared" si="36"/>
        <v>0</v>
      </c>
      <c r="BK63" s="9">
        <f t="shared" si="37"/>
        <v>0</v>
      </c>
      <c r="BL63" s="9">
        <f t="shared" si="38"/>
        <v>1</v>
      </c>
      <c r="BM63" s="9">
        <f t="shared" si="39"/>
        <v>0</v>
      </c>
      <c r="BN63" s="9" t="s">
        <v>108</v>
      </c>
      <c r="BO63" s="11">
        <f t="shared" si="40"/>
        <v>3</v>
      </c>
    </row>
    <row r="64" ht="22.5" customHeight="1">
      <c r="A64" s="9">
        <f t="shared" si="41"/>
        <v>63</v>
      </c>
      <c r="B64" s="10">
        <v>46050.717391909726</v>
      </c>
      <c r="C64" s="9" t="s">
        <v>67</v>
      </c>
      <c r="D64" s="9">
        <f t="shared" si="1"/>
        <v>1</v>
      </c>
      <c r="E64" s="9" t="s">
        <v>68</v>
      </c>
      <c r="F64" s="9">
        <f t="shared" si="2"/>
        <v>1</v>
      </c>
      <c r="G64" s="9" t="s">
        <v>69</v>
      </c>
      <c r="H64" s="9" t="str">
        <f t="shared" si="3"/>
        <v>Rural</v>
      </c>
      <c r="I64" s="9">
        <f t="shared" si="4"/>
        <v>1</v>
      </c>
      <c r="J64" s="9" t="s">
        <v>70</v>
      </c>
      <c r="K64" s="9" t="s">
        <v>100</v>
      </c>
      <c r="L64" s="9">
        <f t="shared" si="5"/>
        <v>3</v>
      </c>
      <c r="M64" s="9" t="s">
        <v>71</v>
      </c>
      <c r="N64" s="9">
        <f t="shared" si="6"/>
        <v>7.7</v>
      </c>
      <c r="O64" s="12"/>
      <c r="P64" s="9" t="str">
        <f t="shared" si="7"/>
        <v>N/A</v>
      </c>
      <c r="Q64" s="12"/>
      <c r="R64" s="9" t="str">
        <f t="shared" si="8"/>
        <v>N/A</v>
      </c>
      <c r="S64" s="9" t="s">
        <v>85</v>
      </c>
      <c r="T64" s="9">
        <f t="shared" si="9"/>
        <v>4</v>
      </c>
      <c r="U64" s="9" t="s">
        <v>92</v>
      </c>
      <c r="V64" s="9">
        <f t="shared" si="10"/>
        <v>3.5</v>
      </c>
      <c r="W64" s="9" t="s">
        <v>122</v>
      </c>
      <c r="X64" s="9">
        <f t="shared" si="11"/>
        <v>0</v>
      </c>
      <c r="Y64" s="9">
        <f t="shared" si="12"/>
        <v>0</v>
      </c>
      <c r="Z64" s="9">
        <f t="shared" si="13"/>
        <v>1</v>
      </c>
      <c r="AA64" s="9">
        <f t="shared" si="14"/>
        <v>0</v>
      </c>
      <c r="AB64" s="9" t="s">
        <v>78</v>
      </c>
      <c r="AC64" s="9">
        <f t="shared" si="15"/>
        <v>3</v>
      </c>
      <c r="AD64" s="9" t="s">
        <v>78</v>
      </c>
      <c r="AE64" s="9">
        <f t="shared" si="16"/>
        <v>3</v>
      </c>
      <c r="AF64" s="9" t="s">
        <v>71</v>
      </c>
      <c r="AG64" s="9">
        <f t="shared" si="17"/>
        <v>7.7</v>
      </c>
      <c r="AH64" s="9" t="s">
        <v>85</v>
      </c>
      <c r="AI64" s="9">
        <f t="shared" si="18"/>
        <v>4</v>
      </c>
      <c r="AJ64" s="9" t="s">
        <v>78</v>
      </c>
      <c r="AK64" s="9">
        <f t="shared" si="19"/>
        <v>3</v>
      </c>
      <c r="AL64" s="9" t="s">
        <v>78</v>
      </c>
      <c r="AM64" s="9">
        <f t="shared" si="20"/>
        <v>3</v>
      </c>
      <c r="AN64" s="9" t="s">
        <v>78</v>
      </c>
      <c r="AO64" s="9">
        <f t="shared" si="21"/>
        <v>3</v>
      </c>
      <c r="AP64" s="9" t="s">
        <v>78</v>
      </c>
      <c r="AQ64" s="9">
        <f t="shared" si="22"/>
        <v>3</v>
      </c>
      <c r="AR64" s="9" t="s">
        <v>85</v>
      </c>
      <c r="AS64" s="9">
        <f t="shared" si="23"/>
        <v>4</v>
      </c>
      <c r="AT64" s="9" t="s">
        <v>147</v>
      </c>
      <c r="AU64" s="9">
        <f t="shared" si="24"/>
        <v>1</v>
      </c>
      <c r="AV64" s="9">
        <f t="shared" si="25"/>
        <v>0</v>
      </c>
      <c r="AW64" s="9">
        <f t="shared" si="26"/>
        <v>0</v>
      </c>
      <c r="AX64" s="9">
        <f t="shared" si="27"/>
        <v>0</v>
      </c>
      <c r="AY64" s="9">
        <f t="shared" si="28"/>
        <v>0</v>
      </c>
      <c r="AZ64" s="9">
        <f t="shared" si="29"/>
        <v>0</v>
      </c>
      <c r="BA64" s="9">
        <f t="shared" si="30"/>
        <v>0</v>
      </c>
      <c r="BB64" s="9" t="s">
        <v>88</v>
      </c>
      <c r="BC64" s="9">
        <f t="shared" si="31"/>
        <v>2</v>
      </c>
      <c r="BD64" s="12"/>
      <c r="BE64" s="9" t="str">
        <f t="shared" si="43"/>
        <v>N/A</v>
      </c>
      <c r="BF64" s="9" t="s">
        <v>107</v>
      </c>
      <c r="BG64" s="9">
        <f t="shared" si="33"/>
        <v>1</v>
      </c>
      <c r="BH64" s="9">
        <f t="shared" si="34"/>
        <v>0</v>
      </c>
      <c r="BI64" s="9">
        <f t="shared" si="35"/>
        <v>0</v>
      </c>
      <c r="BJ64" s="9">
        <f t="shared" si="36"/>
        <v>0</v>
      </c>
      <c r="BK64" s="9">
        <f t="shared" si="37"/>
        <v>0</v>
      </c>
      <c r="BL64" s="9">
        <f t="shared" si="38"/>
        <v>0</v>
      </c>
      <c r="BM64" s="9">
        <f t="shared" si="39"/>
        <v>0</v>
      </c>
      <c r="BN64" s="9" t="s">
        <v>108</v>
      </c>
      <c r="BO64" s="11">
        <f t="shared" si="40"/>
        <v>3</v>
      </c>
    </row>
    <row r="65" ht="22.5" customHeight="1">
      <c r="A65" s="9">
        <f t="shared" si="41"/>
        <v>64</v>
      </c>
      <c r="B65" s="10">
        <v>46050.71749195602</v>
      </c>
      <c r="C65" s="9" t="s">
        <v>67</v>
      </c>
      <c r="D65" s="9">
        <f t="shared" si="1"/>
        <v>1</v>
      </c>
      <c r="E65" s="9" t="s">
        <v>68</v>
      </c>
      <c r="F65" s="9">
        <f t="shared" si="2"/>
        <v>1</v>
      </c>
      <c r="G65" s="9" t="s">
        <v>69</v>
      </c>
      <c r="H65" s="9" t="str">
        <f t="shared" si="3"/>
        <v>Rural</v>
      </c>
      <c r="I65" s="9">
        <f t="shared" si="4"/>
        <v>1</v>
      </c>
      <c r="J65" s="9" t="s">
        <v>145</v>
      </c>
      <c r="K65" s="9" t="s">
        <v>146</v>
      </c>
      <c r="L65" s="9">
        <f t="shared" si="5"/>
        <v>1</v>
      </c>
      <c r="M65" s="9" t="s">
        <v>101</v>
      </c>
      <c r="N65" s="9">
        <f t="shared" si="6"/>
        <v>2</v>
      </c>
      <c r="O65" s="9" t="s">
        <v>85</v>
      </c>
      <c r="P65" s="9">
        <f t="shared" si="7"/>
        <v>4</v>
      </c>
      <c r="Q65" s="9" t="s">
        <v>73</v>
      </c>
      <c r="R65" s="9">
        <f t="shared" si="8"/>
        <v>2</v>
      </c>
      <c r="S65" s="9" t="s">
        <v>85</v>
      </c>
      <c r="T65" s="9">
        <f t="shared" si="9"/>
        <v>4</v>
      </c>
      <c r="U65" s="9" t="s">
        <v>96</v>
      </c>
      <c r="V65" s="9">
        <f t="shared" si="10"/>
        <v>2.5</v>
      </c>
      <c r="W65" s="9" t="s">
        <v>143</v>
      </c>
      <c r="X65" s="9">
        <f t="shared" si="11"/>
        <v>1</v>
      </c>
      <c r="Y65" s="9">
        <f t="shared" si="12"/>
        <v>0</v>
      </c>
      <c r="Z65" s="9">
        <f t="shared" si="13"/>
        <v>0</v>
      </c>
      <c r="AA65" s="9">
        <f t="shared" si="14"/>
        <v>0</v>
      </c>
      <c r="AB65" s="9" t="s">
        <v>73</v>
      </c>
      <c r="AC65" s="9">
        <f t="shared" si="15"/>
        <v>2</v>
      </c>
      <c r="AD65" s="9" t="s">
        <v>85</v>
      </c>
      <c r="AE65" s="9">
        <f t="shared" si="16"/>
        <v>4</v>
      </c>
      <c r="AF65" s="9" t="s">
        <v>76</v>
      </c>
      <c r="AG65" s="9">
        <f t="shared" si="17"/>
        <v>5.5</v>
      </c>
      <c r="AH65" s="9" t="s">
        <v>85</v>
      </c>
      <c r="AI65" s="9">
        <f t="shared" si="18"/>
        <v>4</v>
      </c>
      <c r="AJ65" s="9" t="s">
        <v>73</v>
      </c>
      <c r="AK65" s="9">
        <f t="shared" si="19"/>
        <v>2</v>
      </c>
      <c r="AL65" s="9" t="s">
        <v>85</v>
      </c>
      <c r="AM65" s="9">
        <f t="shared" si="20"/>
        <v>4</v>
      </c>
      <c r="AN65" s="9" t="s">
        <v>85</v>
      </c>
      <c r="AO65" s="9">
        <f t="shared" si="21"/>
        <v>4</v>
      </c>
      <c r="AP65" s="9" t="s">
        <v>85</v>
      </c>
      <c r="AQ65" s="9">
        <f t="shared" si="22"/>
        <v>4</v>
      </c>
      <c r="AR65" s="9" t="s">
        <v>73</v>
      </c>
      <c r="AS65" s="9">
        <f t="shared" si="23"/>
        <v>2</v>
      </c>
      <c r="AT65" s="9" t="s">
        <v>125</v>
      </c>
      <c r="AU65" s="9">
        <f t="shared" si="24"/>
        <v>0</v>
      </c>
      <c r="AV65" s="9">
        <f t="shared" si="25"/>
        <v>0</v>
      </c>
      <c r="AW65" s="9">
        <f t="shared" si="26"/>
        <v>0</v>
      </c>
      <c r="AX65" s="9">
        <f t="shared" si="27"/>
        <v>1</v>
      </c>
      <c r="AY65" s="9">
        <f t="shared" si="28"/>
        <v>0</v>
      </c>
      <c r="AZ65" s="9">
        <f t="shared" si="29"/>
        <v>0</v>
      </c>
      <c r="BA65" s="9">
        <f t="shared" si="30"/>
        <v>0</v>
      </c>
      <c r="BB65" s="9" t="s">
        <v>88</v>
      </c>
      <c r="BC65" s="9">
        <f t="shared" si="31"/>
        <v>2</v>
      </c>
      <c r="BD65" s="12"/>
      <c r="BE65" s="9" t="str">
        <f t="shared" si="43"/>
        <v>N/A</v>
      </c>
      <c r="BF65" s="9" t="s">
        <v>129</v>
      </c>
      <c r="BG65" s="9">
        <f t="shared" si="33"/>
        <v>0</v>
      </c>
      <c r="BH65" s="9">
        <f t="shared" si="34"/>
        <v>0</v>
      </c>
      <c r="BI65" s="9">
        <f t="shared" si="35"/>
        <v>0</v>
      </c>
      <c r="BJ65" s="9">
        <f t="shared" si="36"/>
        <v>0</v>
      </c>
      <c r="BK65" s="9">
        <f t="shared" si="37"/>
        <v>0</v>
      </c>
      <c r="BL65" s="9">
        <f t="shared" si="38"/>
        <v>1</v>
      </c>
      <c r="BM65" s="9">
        <f t="shared" si="39"/>
        <v>0</v>
      </c>
      <c r="BN65" s="9" t="s">
        <v>108</v>
      </c>
      <c r="BO65" s="11">
        <f t="shared" si="40"/>
        <v>3</v>
      </c>
    </row>
    <row r="66" ht="22.5" customHeight="1">
      <c r="A66" s="9">
        <f t="shared" si="41"/>
        <v>65</v>
      </c>
      <c r="B66" s="10">
        <v>46050.7180491551</v>
      </c>
      <c r="C66" s="9" t="s">
        <v>90</v>
      </c>
      <c r="D66" s="9">
        <f t="shared" si="1"/>
        <v>2</v>
      </c>
      <c r="E66" s="9" t="s">
        <v>68</v>
      </c>
      <c r="F66" s="9">
        <f t="shared" si="2"/>
        <v>1</v>
      </c>
      <c r="G66" s="9" t="s">
        <v>69</v>
      </c>
      <c r="H66" s="9" t="str">
        <f t="shared" si="3"/>
        <v>Rural</v>
      </c>
      <c r="I66" s="9">
        <f t="shared" si="4"/>
        <v>1</v>
      </c>
      <c r="J66" s="9" t="s">
        <v>83</v>
      </c>
      <c r="K66" s="9" t="s">
        <v>84</v>
      </c>
      <c r="L66" s="9">
        <f t="shared" si="5"/>
        <v>2</v>
      </c>
      <c r="M66" s="9" t="s">
        <v>101</v>
      </c>
      <c r="N66" s="9">
        <f t="shared" si="6"/>
        <v>2</v>
      </c>
      <c r="O66" s="9" t="s">
        <v>85</v>
      </c>
      <c r="P66" s="9">
        <f t="shared" si="7"/>
        <v>4</v>
      </c>
      <c r="Q66" s="9" t="s">
        <v>78</v>
      </c>
      <c r="R66" s="9">
        <f t="shared" si="8"/>
        <v>3</v>
      </c>
      <c r="S66" s="9" t="s">
        <v>85</v>
      </c>
      <c r="T66" s="9">
        <f t="shared" si="9"/>
        <v>4</v>
      </c>
      <c r="U66" s="9" t="s">
        <v>92</v>
      </c>
      <c r="V66" s="9">
        <f t="shared" si="10"/>
        <v>3.5</v>
      </c>
      <c r="W66" s="9" t="s">
        <v>93</v>
      </c>
      <c r="X66" s="9">
        <f t="shared" si="11"/>
        <v>0</v>
      </c>
      <c r="Y66" s="9">
        <f t="shared" si="12"/>
        <v>1</v>
      </c>
      <c r="Z66" s="9">
        <f t="shared" si="13"/>
        <v>0</v>
      </c>
      <c r="AA66" s="9">
        <f t="shared" si="14"/>
        <v>0</v>
      </c>
      <c r="AB66" s="9" t="s">
        <v>85</v>
      </c>
      <c r="AC66" s="9">
        <f t="shared" si="15"/>
        <v>4</v>
      </c>
      <c r="AD66" s="9" t="s">
        <v>85</v>
      </c>
      <c r="AE66" s="9">
        <f t="shared" si="16"/>
        <v>4</v>
      </c>
      <c r="AF66" s="9" t="s">
        <v>71</v>
      </c>
      <c r="AG66" s="9">
        <f t="shared" si="17"/>
        <v>7.7</v>
      </c>
      <c r="AH66" s="9" t="s">
        <v>78</v>
      </c>
      <c r="AI66" s="9">
        <f t="shared" si="18"/>
        <v>3</v>
      </c>
      <c r="AJ66" s="9" t="s">
        <v>73</v>
      </c>
      <c r="AK66" s="9">
        <f t="shared" si="19"/>
        <v>2</v>
      </c>
      <c r="AL66" s="9" t="s">
        <v>77</v>
      </c>
      <c r="AM66" s="9">
        <f t="shared" si="20"/>
        <v>1</v>
      </c>
      <c r="AN66" s="9" t="s">
        <v>73</v>
      </c>
      <c r="AO66" s="9">
        <f t="shared" si="21"/>
        <v>2</v>
      </c>
      <c r="AP66" s="9" t="s">
        <v>78</v>
      </c>
      <c r="AQ66" s="9">
        <f t="shared" si="22"/>
        <v>3</v>
      </c>
      <c r="AR66" s="9" t="s">
        <v>73</v>
      </c>
      <c r="AS66" s="9">
        <f t="shared" si="23"/>
        <v>2</v>
      </c>
      <c r="AT66" s="9" t="s">
        <v>147</v>
      </c>
      <c r="AU66" s="9">
        <f t="shared" si="24"/>
        <v>1</v>
      </c>
      <c r="AV66" s="9">
        <f t="shared" si="25"/>
        <v>0</v>
      </c>
      <c r="AW66" s="9">
        <f t="shared" si="26"/>
        <v>0</v>
      </c>
      <c r="AX66" s="9">
        <f t="shared" si="27"/>
        <v>0</v>
      </c>
      <c r="AY66" s="9">
        <f t="shared" si="28"/>
        <v>0</v>
      </c>
      <c r="AZ66" s="9">
        <f t="shared" si="29"/>
        <v>0</v>
      </c>
      <c r="BA66" s="9">
        <f t="shared" si="30"/>
        <v>0</v>
      </c>
      <c r="BB66" s="9" t="s">
        <v>88</v>
      </c>
      <c r="BC66" s="9">
        <f t="shared" si="31"/>
        <v>2</v>
      </c>
      <c r="BD66" s="12"/>
      <c r="BE66" s="9" t="str">
        <f t="shared" si="43"/>
        <v>N/A</v>
      </c>
      <c r="BF66" s="9" t="s">
        <v>107</v>
      </c>
      <c r="BG66" s="9">
        <f t="shared" si="33"/>
        <v>1</v>
      </c>
      <c r="BH66" s="9">
        <f t="shared" si="34"/>
        <v>0</v>
      </c>
      <c r="BI66" s="9">
        <f t="shared" si="35"/>
        <v>0</v>
      </c>
      <c r="BJ66" s="9">
        <f t="shared" si="36"/>
        <v>0</v>
      </c>
      <c r="BK66" s="9">
        <f t="shared" si="37"/>
        <v>0</v>
      </c>
      <c r="BL66" s="9">
        <f t="shared" si="38"/>
        <v>0</v>
      </c>
      <c r="BM66" s="9">
        <f t="shared" si="39"/>
        <v>0</v>
      </c>
      <c r="BN66" s="9" t="s">
        <v>108</v>
      </c>
      <c r="BO66" s="11">
        <f t="shared" si="40"/>
        <v>3</v>
      </c>
    </row>
    <row r="67" ht="22.5" customHeight="1">
      <c r="A67" s="9">
        <f t="shared" si="41"/>
        <v>66</v>
      </c>
      <c r="B67" s="10">
        <v>46050.71919766204</v>
      </c>
      <c r="C67" s="9" t="s">
        <v>90</v>
      </c>
      <c r="D67" s="9">
        <f t="shared" si="1"/>
        <v>2</v>
      </c>
      <c r="E67" s="9" t="s">
        <v>68</v>
      </c>
      <c r="F67" s="9">
        <f t="shared" si="2"/>
        <v>1</v>
      </c>
      <c r="G67" s="9" t="s">
        <v>91</v>
      </c>
      <c r="H67" s="9" t="str">
        <f t="shared" si="3"/>
        <v>Urban</v>
      </c>
      <c r="I67" s="9">
        <f t="shared" si="4"/>
        <v>2</v>
      </c>
      <c r="J67" s="9" t="s">
        <v>83</v>
      </c>
      <c r="K67" s="9" t="s">
        <v>84</v>
      </c>
      <c r="L67" s="9">
        <f t="shared" si="5"/>
        <v>2</v>
      </c>
      <c r="M67" s="9" t="s">
        <v>76</v>
      </c>
      <c r="N67" s="9">
        <f t="shared" si="6"/>
        <v>5.5</v>
      </c>
      <c r="O67" s="9" t="s">
        <v>85</v>
      </c>
      <c r="P67" s="9">
        <f t="shared" si="7"/>
        <v>4</v>
      </c>
      <c r="Q67" s="9" t="s">
        <v>85</v>
      </c>
      <c r="R67" s="9">
        <f t="shared" si="8"/>
        <v>4</v>
      </c>
      <c r="S67" s="9" t="s">
        <v>85</v>
      </c>
      <c r="T67" s="9">
        <f t="shared" si="9"/>
        <v>4</v>
      </c>
      <c r="U67" s="9" t="s">
        <v>96</v>
      </c>
      <c r="V67" s="9">
        <f t="shared" si="10"/>
        <v>2.5</v>
      </c>
      <c r="W67" s="9" t="s">
        <v>180</v>
      </c>
      <c r="X67" s="9">
        <f t="shared" si="11"/>
        <v>0</v>
      </c>
      <c r="Y67" s="9">
        <f t="shared" si="12"/>
        <v>1</v>
      </c>
      <c r="Z67" s="9">
        <f t="shared" si="13"/>
        <v>1</v>
      </c>
      <c r="AA67" s="9">
        <f t="shared" si="14"/>
        <v>0</v>
      </c>
      <c r="AB67" s="9" t="s">
        <v>73</v>
      </c>
      <c r="AC67" s="9">
        <f t="shared" si="15"/>
        <v>2</v>
      </c>
      <c r="AD67" s="9" t="s">
        <v>85</v>
      </c>
      <c r="AE67" s="9">
        <f t="shared" si="16"/>
        <v>4</v>
      </c>
      <c r="AF67" s="9" t="s">
        <v>71</v>
      </c>
      <c r="AG67" s="9">
        <f t="shared" si="17"/>
        <v>7.7</v>
      </c>
      <c r="AH67" s="9" t="s">
        <v>85</v>
      </c>
      <c r="AI67" s="9">
        <f t="shared" si="18"/>
        <v>4</v>
      </c>
      <c r="AJ67" s="9" t="s">
        <v>73</v>
      </c>
      <c r="AK67" s="9">
        <f t="shared" si="19"/>
        <v>2</v>
      </c>
      <c r="AL67" s="9" t="s">
        <v>73</v>
      </c>
      <c r="AM67" s="9">
        <f t="shared" si="20"/>
        <v>2</v>
      </c>
      <c r="AN67" s="9" t="s">
        <v>73</v>
      </c>
      <c r="AO67" s="9">
        <f t="shared" si="21"/>
        <v>2</v>
      </c>
      <c r="AP67" s="9" t="s">
        <v>85</v>
      </c>
      <c r="AQ67" s="9">
        <f t="shared" si="22"/>
        <v>4</v>
      </c>
      <c r="AR67" s="9" t="s">
        <v>85</v>
      </c>
      <c r="AS67" s="9">
        <f t="shared" si="23"/>
        <v>4</v>
      </c>
      <c r="AT67" s="9" t="s">
        <v>188</v>
      </c>
      <c r="AU67" s="9">
        <f t="shared" si="24"/>
        <v>1</v>
      </c>
      <c r="AV67" s="9">
        <f t="shared" si="25"/>
        <v>1</v>
      </c>
      <c r="AW67" s="9">
        <f t="shared" si="26"/>
        <v>0</v>
      </c>
      <c r="AX67" s="9">
        <f t="shared" si="27"/>
        <v>1</v>
      </c>
      <c r="AY67" s="9">
        <f t="shared" si="28"/>
        <v>0</v>
      </c>
      <c r="AZ67" s="9">
        <f t="shared" si="29"/>
        <v>0</v>
      </c>
      <c r="BA67" s="9">
        <f t="shared" si="30"/>
        <v>0</v>
      </c>
      <c r="BB67" s="9" t="s">
        <v>88</v>
      </c>
      <c r="BC67" s="9">
        <f t="shared" si="31"/>
        <v>2</v>
      </c>
      <c r="BD67" s="12"/>
      <c r="BE67" s="9" t="str">
        <f t="shared" si="43"/>
        <v>N/A</v>
      </c>
      <c r="BF67" s="9" t="s">
        <v>130</v>
      </c>
      <c r="BG67" s="9">
        <f t="shared" si="33"/>
        <v>1</v>
      </c>
      <c r="BH67" s="9">
        <f t="shared" si="34"/>
        <v>0</v>
      </c>
      <c r="BI67" s="9">
        <f t="shared" si="35"/>
        <v>0</v>
      </c>
      <c r="BJ67" s="9">
        <f t="shared" si="36"/>
        <v>1</v>
      </c>
      <c r="BK67" s="9">
        <f t="shared" si="37"/>
        <v>1</v>
      </c>
      <c r="BL67" s="9">
        <f t="shared" si="38"/>
        <v>0</v>
      </c>
      <c r="BM67" s="9">
        <f t="shared" si="39"/>
        <v>0</v>
      </c>
      <c r="BN67" s="9" t="s">
        <v>68</v>
      </c>
      <c r="BO67" s="11">
        <f t="shared" si="40"/>
        <v>1</v>
      </c>
    </row>
    <row r="68" ht="22.5" customHeight="1">
      <c r="A68" s="9">
        <f t="shared" si="41"/>
        <v>67</v>
      </c>
      <c r="B68" s="10">
        <v>46050.72298331019</v>
      </c>
      <c r="C68" s="9" t="s">
        <v>90</v>
      </c>
      <c r="D68" s="9">
        <f t="shared" si="1"/>
        <v>2</v>
      </c>
      <c r="E68" s="9" t="s">
        <v>68</v>
      </c>
      <c r="F68" s="9">
        <f t="shared" si="2"/>
        <v>1</v>
      </c>
      <c r="G68" s="9" t="s">
        <v>91</v>
      </c>
      <c r="H68" s="9" t="str">
        <f t="shared" si="3"/>
        <v>Urban</v>
      </c>
      <c r="I68" s="9">
        <f t="shared" si="4"/>
        <v>2</v>
      </c>
      <c r="J68" s="9" t="s">
        <v>83</v>
      </c>
      <c r="K68" s="9" t="s">
        <v>84</v>
      </c>
      <c r="L68" s="9">
        <f t="shared" si="5"/>
        <v>2</v>
      </c>
      <c r="M68" s="9" t="s">
        <v>76</v>
      </c>
      <c r="N68" s="9">
        <f t="shared" si="6"/>
        <v>5.5</v>
      </c>
      <c r="O68" s="12"/>
      <c r="P68" s="9" t="str">
        <f t="shared" si="7"/>
        <v>N/A</v>
      </c>
      <c r="Q68" s="9" t="s">
        <v>85</v>
      </c>
      <c r="R68" s="9">
        <f t="shared" si="8"/>
        <v>4</v>
      </c>
      <c r="S68" s="12"/>
      <c r="T68" s="9" t="str">
        <f t="shared" si="9"/>
        <v>N/A</v>
      </c>
      <c r="U68" s="9" t="s">
        <v>92</v>
      </c>
      <c r="V68" s="9">
        <f t="shared" si="10"/>
        <v>3.5</v>
      </c>
      <c r="W68" s="9" t="s">
        <v>86</v>
      </c>
      <c r="X68" s="9">
        <f t="shared" si="11"/>
        <v>1</v>
      </c>
      <c r="Y68" s="9">
        <f t="shared" si="12"/>
        <v>1</v>
      </c>
      <c r="Z68" s="9">
        <f t="shared" si="13"/>
        <v>1</v>
      </c>
      <c r="AA68" s="9">
        <f t="shared" si="14"/>
        <v>0</v>
      </c>
      <c r="AB68" s="9" t="s">
        <v>85</v>
      </c>
      <c r="AC68" s="9">
        <f t="shared" si="15"/>
        <v>4</v>
      </c>
      <c r="AD68" s="9" t="s">
        <v>85</v>
      </c>
      <c r="AE68" s="9">
        <f t="shared" si="16"/>
        <v>4</v>
      </c>
      <c r="AF68" s="9" t="s">
        <v>71</v>
      </c>
      <c r="AG68" s="9">
        <f t="shared" si="17"/>
        <v>7.7</v>
      </c>
      <c r="AH68" s="9" t="s">
        <v>78</v>
      </c>
      <c r="AI68" s="9">
        <f t="shared" si="18"/>
        <v>3</v>
      </c>
      <c r="AJ68" s="9" t="s">
        <v>77</v>
      </c>
      <c r="AK68" s="9">
        <f t="shared" si="19"/>
        <v>1</v>
      </c>
      <c r="AL68" s="9" t="s">
        <v>78</v>
      </c>
      <c r="AM68" s="9">
        <f t="shared" si="20"/>
        <v>3</v>
      </c>
      <c r="AN68" s="9" t="s">
        <v>78</v>
      </c>
      <c r="AO68" s="9">
        <f t="shared" si="21"/>
        <v>3</v>
      </c>
      <c r="AP68" s="9" t="s">
        <v>78</v>
      </c>
      <c r="AQ68" s="9">
        <f t="shared" si="22"/>
        <v>3</v>
      </c>
      <c r="AR68" s="9" t="s">
        <v>78</v>
      </c>
      <c r="AS68" s="9">
        <f t="shared" si="23"/>
        <v>3</v>
      </c>
      <c r="AT68" s="9" t="s">
        <v>153</v>
      </c>
      <c r="AU68" s="9">
        <f t="shared" si="24"/>
        <v>1</v>
      </c>
      <c r="AV68" s="9">
        <f t="shared" si="25"/>
        <v>0</v>
      </c>
      <c r="AW68" s="9">
        <f t="shared" si="26"/>
        <v>0</v>
      </c>
      <c r="AX68" s="9">
        <f t="shared" si="27"/>
        <v>0</v>
      </c>
      <c r="AY68" s="9">
        <f t="shared" si="28"/>
        <v>0</v>
      </c>
      <c r="AZ68" s="9">
        <f t="shared" si="29"/>
        <v>1</v>
      </c>
      <c r="BA68" s="9">
        <f t="shared" si="30"/>
        <v>1</v>
      </c>
      <c r="BB68" s="9" t="s">
        <v>88</v>
      </c>
      <c r="BC68" s="9">
        <f t="shared" si="31"/>
        <v>2</v>
      </c>
      <c r="BD68" s="12"/>
      <c r="BE68" s="9" t="str">
        <f t="shared" si="43"/>
        <v>N/A</v>
      </c>
      <c r="BF68" s="9" t="s">
        <v>107</v>
      </c>
      <c r="BG68" s="9">
        <f t="shared" si="33"/>
        <v>1</v>
      </c>
      <c r="BH68" s="9">
        <f t="shared" si="34"/>
        <v>0</v>
      </c>
      <c r="BI68" s="9">
        <f t="shared" si="35"/>
        <v>0</v>
      </c>
      <c r="BJ68" s="9">
        <f t="shared" si="36"/>
        <v>0</v>
      </c>
      <c r="BK68" s="9">
        <f t="shared" si="37"/>
        <v>0</v>
      </c>
      <c r="BL68" s="9">
        <f t="shared" si="38"/>
        <v>0</v>
      </c>
      <c r="BM68" s="9">
        <f t="shared" si="39"/>
        <v>0</v>
      </c>
      <c r="BN68" s="9" t="s">
        <v>108</v>
      </c>
      <c r="BO68" s="11">
        <f t="shared" si="40"/>
        <v>3</v>
      </c>
    </row>
    <row r="69" ht="22.5" customHeight="1">
      <c r="A69" s="9">
        <f t="shared" si="41"/>
        <v>68</v>
      </c>
      <c r="B69" s="10">
        <v>46050.72303168981</v>
      </c>
      <c r="C69" s="9" t="s">
        <v>67</v>
      </c>
      <c r="D69" s="9">
        <f t="shared" si="1"/>
        <v>1</v>
      </c>
      <c r="E69" s="9" t="s">
        <v>68</v>
      </c>
      <c r="F69" s="9">
        <f t="shared" si="2"/>
        <v>1</v>
      </c>
      <c r="G69" s="9" t="s">
        <v>91</v>
      </c>
      <c r="H69" s="9" t="str">
        <f t="shared" si="3"/>
        <v>Urban</v>
      </c>
      <c r="I69" s="9">
        <f t="shared" si="4"/>
        <v>2</v>
      </c>
      <c r="J69" s="9" t="s">
        <v>145</v>
      </c>
      <c r="K69" s="9" t="s">
        <v>146</v>
      </c>
      <c r="L69" s="9">
        <f t="shared" si="5"/>
        <v>1</v>
      </c>
      <c r="M69" s="9" t="s">
        <v>109</v>
      </c>
      <c r="N69" s="9">
        <f t="shared" si="6"/>
        <v>9</v>
      </c>
      <c r="O69" s="9" t="s">
        <v>73</v>
      </c>
      <c r="P69" s="9">
        <f t="shared" si="7"/>
        <v>2</v>
      </c>
      <c r="Q69" s="9" t="s">
        <v>73</v>
      </c>
      <c r="R69" s="9">
        <f t="shared" si="8"/>
        <v>2</v>
      </c>
      <c r="S69" s="9" t="s">
        <v>73</v>
      </c>
      <c r="T69" s="9">
        <f t="shared" si="9"/>
        <v>2</v>
      </c>
      <c r="U69" s="9" t="s">
        <v>92</v>
      </c>
      <c r="V69" s="9">
        <f t="shared" si="10"/>
        <v>3.5</v>
      </c>
      <c r="W69" s="9" t="s">
        <v>143</v>
      </c>
      <c r="X69" s="9">
        <f t="shared" si="11"/>
        <v>1</v>
      </c>
      <c r="Y69" s="9">
        <f t="shared" si="12"/>
        <v>0</v>
      </c>
      <c r="Z69" s="9">
        <f t="shared" si="13"/>
        <v>0</v>
      </c>
      <c r="AA69" s="9">
        <f t="shared" si="14"/>
        <v>0</v>
      </c>
      <c r="AB69" s="9" t="s">
        <v>85</v>
      </c>
      <c r="AC69" s="9">
        <f t="shared" si="15"/>
        <v>4</v>
      </c>
      <c r="AD69" s="9" t="s">
        <v>85</v>
      </c>
      <c r="AE69" s="9">
        <f t="shared" si="16"/>
        <v>4</v>
      </c>
      <c r="AF69" s="9" t="s">
        <v>71</v>
      </c>
      <c r="AG69" s="9">
        <f t="shared" si="17"/>
        <v>7.7</v>
      </c>
      <c r="AH69" s="9" t="s">
        <v>85</v>
      </c>
      <c r="AI69" s="9">
        <f t="shared" si="18"/>
        <v>4</v>
      </c>
      <c r="AJ69" s="9" t="s">
        <v>78</v>
      </c>
      <c r="AK69" s="9">
        <f t="shared" si="19"/>
        <v>3</v>
      </c>
      <c r="AL69" s="9" t="s">
        <v>78</v>
      </c>
      <c r="AM69" s="9">
        <f t="shared" si="20"/>
        <v>3</v>
      </c>
      <c r="AN69" s="9" t="s">
        <v>85</v>
      </c>
      <c r="AO69" s="9">
        <f t="shared" si="21"/>
        <v>4</v>
      </c>
      <c r="AP69" s="9" t="s">
        <v>85</v>
      </c>
      <c r="AQ69" s="9">
        <f t="shared" si="22"/>
        <v>4</v>
      </c>
      <c r="AR69" s="9" t="s">
        <v>85</v>
      </c>
      <c r="AS69" s="9">
        <f t="shared" si="23"/>
        <v>4</v>
      </c>
      <c r="AT69" s="9" t="s">
        <v>147</v>
      </c>
      <c r="AU69" s="9">
        <f t="shared" si="24"/>
        <v>1</v>
      </c>
      <c r="AV69" s="9">
        <f t="shared" si="25"/>
        <v>0</v>
      </c>
      <c r="AW69" s="9">
        <f t="shared" si="26"/>
        <v>0</v>
      </c>
      <c r="AX69" s="9">
        <f t="shared" si="27"/>
        <v>0</v>
      </c>
      <c r="AY69" s="9">
        <f t="shared" si="28"/>
        <v>0</v>
      </c>
      <c r="AZ69" s="9">
        <f t="shared" si="29"/>
        <v>0</v>
      </c>
      <c r="BA69" s="9">
        <f t="shared" si="30"/>
        <v>0</v>
      </c>
      <c r="BB69" s="9" t="s">
        <v>88</v>
      </c>
      <c r="BC69" s="9">
        <f t="shared" si="31"/>
        <v>2</v>
      </c>
      <c r="BD69" s="12"/>
      <c r="BE69" s="9" t="str">
        <f t="shared" si="43"/>
        <v>N/A</v>
      </c>
      <c r="BF69" s="9" t="s">
        <v>107</v>
      </c>
      <c r="BG69" s="9">
        <f t="shared" si="33"/>
        <v>1</v>
      </c>
      <c r="BH69" s="9">
        <f t="shared" si="34"/>
        <v>0</v>
      </c>
      <c r="BI69" s="9">
        <f t="shared" si="35"/>
        <v>0</v>
      </c>
      <c r="BJ69" s="9">
        <f t="shared" si="36"/>
        <v>0</v>
      </c>
      <c r="BK69" s="9">
        <f t="shared" si="37"/>
        <v>0</v>
      </c>
      <c r="BL69" s="9">
        <f t="shared" si="38"/>
        <v>0</v>
      </c>
      <c r="BM69" s="9">
        <f t="shared" si="39"/>
        <v>0</v>
      </c>
      <c r="BN69" s="9" t="s">
        <v>108</v>
      </c>
      <c r="BO69" s="11">
        <f t="shared" si="40"/>
        <v>3</v>
      </c>
    </row>
    <row r="70" ht="22.5" customHeight="1">
      <c r="A70" s="9">
        <f t="shared" si="41"/>
        <v>69</v>
      </c>
      <c r="B70" s="10">
        <v>46050.72452020833</v>
      </c>
      <c r="C70" s="9" t="s">
        <v>90</v>
      </c>
      <c r="D70" s="9">
        <f t="shared" si="1"/>
        <v>2</v>
      </c>
      <c r="E70" s="9" t="s">
        <v>68</v>
      </c>
      <c r="F70" s="9">
        <f t="shared" si="2"/>
        <v>1</v>
      </c>
      <c r="G70" s="9" t="s">
        <v>69</v>
      </c>
      <c r="H70" s="9" t="str">
        <f t="shared" si="3"/>
        <v>Rural</v>
      </c>
      <c r="I70" s="9">
        <f t="shared" si="4"/>
        <v>1</v>
      </c>
      <c r="J70" s="9" t="s">
        <v>70</v>
      </c>
      <c r="K70" s="9" t="s">
        <v>100</v>
      </c>
      <c r="L70" s="9">
        <f t="shared" si="5"/>
        <v>3</v>
      </c>
      <c r="M70" s="9" t="s">
        <v>71</v>
      </c>
      <c r="N70" s="9">
        <f t="shared" si="6"/>
        <v>7.7</v>
      </c>
      <c r="O70" s="9" t="s">
        <v>85</v>
      </c>
      <c r="P70" s="9">
        <f t="shared" si="7"/>
        <v>4</v>
      </c>
      <c r="Q70" s="9" t="s">
        <v>85</v>
      </c>
      <c r="R70" s="9">
        <f t="shared" si="8"/>
        <v>4</v>
      </c>
      <c r="S70" s="9" t="s">
        <v>85</v>
      </c>
      <c r="T70" s="9">
        <f t="shared" si="9"/>
        <v>4</v>
      </c>
      <c r="U70" s="9" t="s">
        <v>74</v>
      </c>
      <c r="V70" s="9">
        <f t="shared" si="10"/>
        <v>1.5</v>
      </c>
      <c r="W70" s="9" t="s">
        <v>93</v>
      </c>
      <c r="X70" s="9">
        <f t="shared" si="11"/>
        <v>0</v>
      </c>
      <c r="Y70" s="9">
        <f t="shared" si="12"/>
        <v>1</v>
      </c>
      <c r="Z70" s="9">
        <f t="shared" si="13"/>
        <v>0</v>
      </c>
      <c r="AA70" s="9">
        <f t="shared" si="14"/>
        <v>0</v>
      </c>
      <c r="AB70" s="9" t="s">
        <v>73</v>
      </c>
      <c r="AC70" s="9">
        <f t="shared" si="15"/>
        <v>2</v>
      </c>
      <c r="AD70" s="9" t="s">
        <v>73</v>
      </c>
      <c r="AE70" s="9">
        <f t="shared" si="16"/>
        <v>2</v>
      </c>
      <c r="AF70" s="9" t="s">
        <v>71</v>
      </c>
      <c r="AG70" s="9">
        <f t="shared" si="17"/>
        <v>7.7</v>
      </c>
      <c r="AH70" s="9" t="s">
        <v>85</v>
      </c>
      <c r="AI70" s="9">
        <f t="shared" si="18"/>
        <v>4</v>
      </c>
      <c r="AJ70" s="9" t="s">
        <v>85</v>
      </c>
      <c r="AK70" s="9">
        <f t="shared" si="19"/>
        <v>4</v>
      </c>
      <c r="AL70" s="9" t="s">
        <v>85</v>
      </c>
      <c r="AM70" s="9">
        <f t="shared" si="20"/>
        <v>4</v>
      </c>
      <c r="AN70" s="9" t="s">
        <v>120</v>
      </c>
      <c r="AO70" s="9">
        <f t="shared" si="21"/>
        <v>5</v>
      </c>
      <c r="AP70" s="9" t="s">
        <v>85</v>
      </c>
      <c r="AQ70" s="9">
        <f t="shared" si="22"/>
        <v>4</v>
      </c>
      <c r="AR70" s="9" t="s">
        <v>85</v>
      </c>
      <c r="AS70" s="9">
        <f t="shared" si="23"/>
        <v>4</v>
      </c>
      <c r="AT70" s="9" t="s">
        <v>189</v>
      </c>
      <c r="AU70" s="9">
        <f t="shared" si="24"/>
        <v>1</v>
      </c>
      <c r="AV70" s="9">
        <f t="shared" si="25"/>
        <v>1</v>
      </c>
      <c r="AW70" s="9">
        <f t="shared" si="26"/>
        <v>0</v>
      </c>
      <c r="AX70" s="9">
        <f t="shared" si="27"/>
        <v>1</v>
      </c>
      <c r="AY70" s="9">
        <f t="shared" si="28"/>
        <v>1</v>
      </c>
      <c r="AZ70" s="9">
        <f t="shared" si="29"/>
        <v>1</v>
      </c>
      <c r="BA70" s="9">
        <f t="shared" si="30"/>
        <v>0</v>
      </c>
      <c r="BB70" s="9" t="s">
        <v>88</v>
      </c>
      <c r="BC70" s="9">
        <f t="shared" si="31"/>
        <v>2</v>
      </c>
      <c r="BD70" s="12"/>
      <c r="BE70" s="9" t="str">
        <f t="shared" si="43"/>
        <v>N/A</v>
      </c>
      <c r="BF70" s="9" t="s">
        <v>121</v>
      </c>
      <c r="BG70" s="9">
        <f t="shared" si="33"/>
        <v>0</v>
      </c>
      <c r="BH70" s="9">
        <f t="shared" si="34"/>
        <v>0</v>
      </c>
      <c r="BI70" s="9">
        <f t="shared" si="35"/>
        <v>0</v>
      </c>
      <c r="BJ70" s="9">
        <f t="shared" si="36"/>
        <v>0</v>
      </c>
      <c r="BK70" s="9">
        <f t="shared" si="37"/>
        <v>1</v>
      </c>
      <c r="BL70" s="9">
        <f t="shared" si="38"/>
        <v>1</v>
      </c>
      <c r="BM70" s="9">
        <f t="shared" si="39"/>
        <v>1</v>
      </c>
      <c r="BN70" s="9" t="s">
        <v>68</v>
      </c>
      <c r="BO70" s="11">
        <f t="shared" si="40"/>
        <v>1</v>
      </c>
    </row>
    <row r="71" ht="22.5" customHeight="1">
      <c r="A71" s="9">
        <f t="shared" si="41"/>
        <v>70</v>
      </c>
      <c r="B71" s="10">
        <v>46050.725197604166</v>
      </c>
      <c r="C71" s="9" t="s">
        <v>90</v>
      </c>
      <c r="D71" s="9">
        <f t="shared" si="1"/>
        <v>2</v>
      </c>
      <c r="E71" s="9" t="s">
        <v>68</v>
      </c>
      <c r="F71" s="9">
        <f t="shared" si="2"/>
        <v>1</v>
      </c>
      <c r="G71" s="9" t="s">
        <v>69</v>
      </c>
      <c r="H71" s="9" t="str">
        <f t="shared" si="3"/>
        <v>Rural</v>
      </c>
      <c r="I71" s="9">
        <f t="shared" si="4"/>
        <v>1</v>
      </c>
      <c r="J71" s="9" t="s">
        <v>83</v>
      </c>
      <c r="K71" s="9" t="s">
        <v>84</v>
      </c>
      <c r="L71" s="9">
        <f t="shared" si="5"/>
        <v>2</v>
      </c>
      <c r="M71" s="9" t="s">
        <v>101</v>
      </c>
      <c r="N71" s="9">
        <f t="shared" si="6"/>
        <v>2</v>
      </c>
      <c r="O71" s="9" t="s">
        <v>72</v>
      </c>
      <c r="P71" s="9">
        <f t="shared" si="7"/>
        <v>1</v>
      </c>
      <c r="Q71" s="9" t="s">
        <v>103</v>
      </c>
      <c r="R71" s="9">
        <f t="shared" si="8"/>
        <v>5</v>
      </c>
      <c r="S71" s="9" t="s">
        <v>72</v>
      </c>
      <c r="T71" s="9">
        <f t="shared" si="9"/>
        <v>1</v>
      </c>
      <c r="U71" s="9" t="s">
        <v>74</v>
      </c>
      <c r="V71" s="9">
        <f t="shared" si="10"/>
        <v>1.5</v>
      </c>
      <c r="W71" s="9" t="s">
        <v>93</v>
      </c>
      <c r="X71" s="9">
        <f t="shared" si="11"/>
        <v>0</v>
      </c>
      <c r="Y71" s="9">
        <f t="shared" si="12"/>
        <v>1</v>
      </c>
      <c r="Z71" s="9">
        <f t="shared" si="13"/>
        <v>0</v>
      </c>
      <c r="AA71" s="9">
        <f t="shared" si="14"/>
        <v>0</v>
      </c>
      <c r="AB71" s="9" t="s">
        <v>73</v>
      </c>
      <c r="AC71" s="9">
        <f t="shared" si="15"/>
        <v>2</v>
      </c>
      <c r="AD71" s="9" t="s">
        <v>73</v>
      </c>
      <c r="AE71" s="9">
        <f t="shared" si="16"/>
        <v>2</v>
      </c>
      <c r="AF71" s="9" t="s">
        <v>71</v>
      </c>
      <c r="AG71" s="9">
        <f t="shared" si="17"/>
        <v>7.7</v>
      </c>
      <c r="AH71" s="9" t="s">
        <v>103</v>
      </c>
      <c r="AI71" s="9">
        <f t="shared" si="18"/>
        <v>5</v>
      </c>
      <c r="AJ71" s="9" t="s">
        <v>85</v>
      </c>
      <c r="AK71" s="9">
        <f t="shared" si="19"/>
        <v>4</v>
      </c>
      <c r="AL71" s="9" t="s">
        <v>78</v>
      </c>
      <c r="AM71" s="9">
        <f t="shared" si="20"/>
        <v>3</v>
      </c>
      <c r="AN71" s="9" t="s">
        <v>78</v>
      </c>
      <c r="AO71" s="9">
        <f t="shared" si="21"/>
        <v>3</v>
      </c>
      <c r="AP71" s="9" t="s">
        <v>85</v>
      </c>
      <c r="AQ71" s="9">
        <f t="shared" si="22"/>
        <v>4</v>
      </c>
      <c r="AR71" s="9" t="s">
        <v>85</v>
      </c>
      <c r="AS71" s="9">
        <f t="shared" si="23"/>
        <v>4</v>
      </c>
      <c r="AT71" s="9" t="s">
        <v>190</v>
      </c>
      <c r="AU71" s="9">
        <f t="shared" si="24"/>
        <v>1</v>
      </c>
      <c r="AV71" s="9">
        <f t="shared" si="25"/>
        <v>1</v>
      </c>
      <c r="AW71" s="9">
        <f t="shared" si="26"/>
        <v>0</v>
      </c>
      <c r="AX71" s="9">
        <f t="shared" si="27"/>
        <v>0</v>
      </c>
      <c r="AY71" s="9">
        <f t="shared" si="28"/>
        <v>0</v>
      </c>
      <c r="AZ71" s="9">
        <f t="shared" si="29"/>
        <v>0</v>
      </c>
      <c r="BA71" s="9">
        <f t="shared" si="30"/>
        <v>1</v>
      </c>
      <c r="BB71" s="9" t="s">
        <v>88</v>
      </c>
      <c r="BC71" s="9">
        <f t="shared" si="31"/>
        <v>2</v>
      </c>
      <c r="BD71" s="12"/>
      <c r="BE71" s="9" t="str">
        <f t="shared" si="43"/>
        <v>N/A</v>
      </c>
      <c r="BF71" s="9" t="s">
        <v>191</v>
      </c>
      <c r="BG71" s="9">
        <f t="shared" si="33"/>
        <v>0</v>
      </c>
      <c r="BH71" s="9">
        <f t="shared" si="34"/>
        <v>1</v>
      </c>
      <c r="BI71" s="9">
        <f t="shared" si="35"/>
        <v>0</v>
      </c>
      <c r="BJ71" s="9">
        <f t="shared" si="36"/>
        <v>0</v>
      </c>
      <c r="BK71" s="9">
        <f t="shared" si="37"/>
        <v>0</v>
      </c>
      <c r="BL71" s="9">
        <f t="shared" si="38"/>
        <v>0</v>
      </c>
      <c r="BM71" s="9">
        <f t="shared" si="39"/>
        <v>0</v>
      </c>
      <c r="BN71" s="9" t="s">
        <v>108</v>
      </c>
      <c r="BO71" s="11">
        <f t="shared" si="40"/>
        <v>3</v>
      </c>
    </row>
    <row r="72" ht="22.5" customHeight="1">
      <c r="A72" s="9">
        <f t="shared" si="41"/>
        <v>71</v>
      </c>
      <c r="B72" s="10">
        <v>46050.72646009259</v>
      </c>
      <c r="C72" s="9" t="s">
        <v>67</v>
      </c>
      <c r="D72" s="9">
        <f t="shared" si="1"/>
        <v>1</v>
      </c>
      <c r="E72" s="9" t="s">
        <v>68</v>
      </c>
      <c r="F72" s="9">
        <f t="shared" si="2"/>
        <v>1</v>
      </c>
      <c r="G72" s="9" t="s">
        <v>91</v>
      </c>
      <c r="H72" s="9" t="str">
        <f t="shared" si="3"/>
        <v>Urban</v>
      </c>
      <c r="I72" s="9">
        <f t="shared" si="4"/>
        <v>2</v>
      </c>
      <c r="J72" s="9" t="s">
        <v>70</v>
      </c>
      <c r="K72" s="9" t="s">
        <v>100</v>
      </c>
      <c r="L72" s="9">
        <f t="shared" si="5"/>
        <v>3</v>
      </c>
      <c r="M72" s="9" t="s">
        <v>76</v>
      </c>
      <c r="N72" s="9">
        <f t="shared" si="6"/>
        <v>5.5</v>
      </c>
      <c r="O72" s="9" t="s">
        <v>85</v>
      </c>
      <c r="P72" s="9">
        <f t="shared" si="7"/>
        <v>4</v>
      </c>
      <c r="Q72" s="9" t="s">
        <v>103</v>
      </c>
      <c r="R72" s="9">
        <f t="shared" si="8"/>
        <v>5</v>
      </c>
      <c r="S72" s="9" t="s">
        <v>85</v>
      </c>
      <c r="T72" s="9">
        <f t="shared" si="9"/>
        <v>4</v>
      </c>
      <c r="U72" s="9" t="s">
        <v>74</v>
      </c>
      <c r="V72" s="9">
        <f t="shared" si="10"/>
        <v>1.5</v>
      </c>
      <c r="W72" s="9" t="s">
        <v>86</v>
      </c>
      <c r="X72" s="9">
        <f t="shared" si="11"/>
        <v>1</v>
      </c>
      <c r="Y72" s="9">
        <f t="shared" si="12"/>
        <v>1</v>
      </c>
      <c r="Z72" s="9">
        <f t="shared" si="13"/>
        <v>1</v>
      </c>
      <c r="AA72" s="9">
        <f t="shared" si="14"/>
        <v>0</v>
      </c>
      <c r="AB72" s="9" t="s">
        <v>73</v>
      </c>
      <c r="AC72" s="9">
        <f t="shared" si="15"/>
        <v>2</v>
      </c>
      <c r="AD72" s="9" t="s">
        <v>103</v>
      </c>
      <c r="AE72" s="9">
        <f t="shared" si="16"/>
        <v>5</v>
      </c>
      <c r="AF72" s="9" t="s">
        <v>71</v>
      </c>
      <c r="AG72" s="9">
        <f t="shared" si="17"/>
        <v>7.7</v>
      </c>
      <c r="AH72" s="9" t="s">
        <v>85</v>
      </c>
      <c r="AI72" s="9">
        <f t="shared" si="18"/>
        <v>4</v>
      </c>
      <c r="AJ72" s="9" t="s">
        <v>73</v>
      </c>
      <c r="AK72" s="9">
        <f t="shared" si="19"/>
        <v>2</v>
      </c>
      <c r="AL72" s="9" t="s">
        <v>77</v>
      </c>
      <c r="AM72" s="9">
        <f t="shared" si="20"/>
        <v>1</v>
      </c>
      <c r="AN72" s="9" t="s">
        <v>85</v>
      </c>
      <c r="AO72" s="9">
        <f t="shared" si="21"/>
        <v>4</v>
      </c>
      <c r="AP72" s="9" t="s">
        <v>85</v>
      </c>
      <c r="AQ72" s="9">
        <f t="shared" si="22"/>
        <v>4</v>
      </c>
      <c r="AR72" s="9" t="s">
        <v>85</v>
      </c>
      <c r="AS72" s="9">
        <f t="shared" si="23"/>
        <v>4</v>
      </c>
      <c r="AT72" s="9" t="s">
        <v>192</v>
      </c>
      <c r="AU72" s="9">
        <f t="shared" si="24"/>
        <v>0</v>
      </c>
      <c r="AV72" s="9">
        <f t="shared" si="25"/>
        <v>1</v>
      </c>
      <c r="AW72" s="9">
        <f t="shared" si="26"/>
        <v>0</v>
      </c>
      <c r="AX72" s="9">
        <f t="shared" si="27"/>
        <v>1</v>
      </c>
      <c r="AY72" s="9">
        <f t="shared" si="28"/>
        <v>0</v>
      </c>
      <c r="AZ72" s="9">
        <f t="shared" si="29"/>
        <v>1</v>
      </c>
      <c r="BA72" s="9">
        <f t="shared" si="30"/>
        <v>1</v>
      </c>
      <c r="BB72" s="9" t="s">
        <v>88</v>
      </c>
      <c r="BC72" s="9">
        <f t="shared" si="31"/>
        <v>2</v>
      </c>
      <c r="BD72" s="12"/>
      <c r="BE72" s="9" t="str">
        <f t="shared" si="43"/>
        <v>N/A</v>
      </c>
      <c r="BF72" s="9" t="s">
        <v>193</v>
      </c>
      <c r="BG72" s="9">
        <f t="shared" si="33"/>
        <v>0</v>
      </c>
      <c r="BH72" s="9">
        <f t="shared" si="34"/>
        <v>0</v>
      </c>
      <c r="BI72" s="9">
        <f t="shared" si="35"/>
        <v>1</v>
      </c>
      <c r="BJ72" s="9">
        <f t="shared" si="36"/>
        <v>0</v>
      </c>
      <c r="BK72" s="9">
        <f t="shared" si="37"/>
        <v>1</v>
      </c>
      <c r="BL72" s="9">
        <f t="shared" si="38"/>
        <v>1</v>
      </c>
      <c r="BM72" s="9">
        <f t="shared" si="39"/>
        <v>1</v>
      </c>
      <c r="BN72" s="9" t="s">
        <v>68</v>
      </c>
      <c r="BO72" s="11">
        <f t="shared" si="40"/>
        <v>1</v>
      </c>
    </row>
    <row r="73" ht="22.5" customHeight="1">
      <c r="A73" s="9">
        <f t="shared" si="41"/>
        <v>72</v>
      </c>
      <c r="B73" s="10">
        <v>46050.727870092596</v>
      </c>
      <c r="C73" s="9" t="s">
        <v>67</v>
      </c>
      <c r="D73" s="9">
        <f t="shared" si="1"/>
        <v>1</v>
      </c>
      <c r="E73" s="9" t="s">
        <v>68</v>
      </c>
      <c r="F73" s="9">
        <f t="shared" si="2"/>
        <v>1</v>
      </c>
      <c r="G73" s="9" t="s">
        <v>82</v>
      </c>
      <c r="H73" s="9" t="str">
        <f t="shared" si="3"/>
        <v>Urban</v>
      </c>
      <c r="I73" s="9">
        <f t="shared" si="4"/>
        <v>2</v>
      </c>
      <c r="J73" s="9" t="s">
        <v>145</v>
      </c>
      <c r="K73" s="9" t="s">
        <v>146</v>
      </c>
      <c r="L73" s="9">
        <f t="shared" si="5"/>
        <v>1</v>
      </c>
      <c r="M73" s="9" t="s">
        <v>109</v>
      </c>
      <c r="N73" s="9">
        <f t="shared" si="6"/>
        <v>9</v>
      </c>
      <c r="O73" s="12"/>
      <c r="P73" s="9" t="str">
        <f t="shared" si="7"/>
        <v>N/A</v>
      </c>
      <c r="Q73" s="9" t="s">
        <v>73</v>
      </c>
      <c r="R73" s="9">
        <f t="shared" si="8"/>
        <v>2</v>
      </c>
      <c r="S73" s="12"/>
      <c r="T73" s="9" t="str">
        <f t="shared" si="9"/>
        <v>N/A</v>
      </c>
      <c r="U73" s="9" t="s">
        <v>96</v>
      </c>
      <c r="V73" s="9">
        <f t="shared" si="10"/>
        <v>2.5</v>
      </c>
      <c r="W73" s="9" t="s">
        <v>105</v>
      </c>
      <c r="X73" s="9">
        <f t="shared" si="11"/>
        <v>1</v>
      </c>
      <c r="Y73" s="9">
        <f t="shared" si="12"/>
        <v>1</v>
      </c>
      <c r="Z73" s="9">
        <f t="shared" si="13"/>
        <v>0</v>
      </c>
      <c r="AA73" s="9">
        <f t="shared" si="14"/>
        <v>0</v>
      </c>
      <c r="AB73" s="12"/>
      <c r="AC73" s="9" t="str">
        <f t="shared" si="15"/>
        <v>N/A</v>
      </c>
      <c r="AD73" s="12"/>
      <c r="AE73" s="9" t="str">
        <f t="shared" si="16"/>
        <v>N/A</v>
      </c>
      <c r="AF73" s="9" t="s">
        <v>109</v>
      </c>
      <c r="AG73" s="9">
        <f t="shared" si="17"/>
        <v>9</v>
      </c>
      <c r="AH73" s="12"/>
      <c r="AI73" s="9" t="str">
        <f t="shared" si="18"/>
        <v>N/A</v>
      </c>
      <c r="AJ73" s="12"/>
      <c r="AK73" s="9" t="str">
        <f t="shared" si="19"/>
        <v>N/A</v>
      </c>
      <c r="AL73" s="12"/>
      <c r="AM73" s="9" t="str">
        <f t="shared" si="20"/>
        <v>N/A</v>
      </c>
      <c r="AN73" s="12"/>
      <c r="AO73" s="9" t="str">
        <f t="shared" si="21"/>
        <v>N/A</v>
      </c>
      <c r="AP73" s="12"/>
      <c r="AQ73" s="9" t="str">
        <f t="shared" si="22"/>
        <v>N/A</v>
      </c>
      <c r="AR73" s="12"/>
      <c r="AS73" s="9" t="str">
        <f t="shared" si="23"/>
        <v>N/A</v>
      </c>
      <c r="AT73" s="9" t="s">
        <v>125</v>
      </c>
      <c r="AU73" s="9">
        <f t="shared" si="24"/>
        <v>0</v>
      </c>
      <c r="AV73" s="9">
        <f t="shared" si="25"/>
        <v>0</v>
      </c>
      <c r="AW73" s="9">
        <f t="shared" si="26"/>
        <v>0</v>
      </c>
      <c r="AX73" s="9">
        <f t="shared" si="27"/>
        <v>1</v>
      </c>
      <c r="AY73" s="9">
        <f t="shared" si="28"/>
        <v>0</v>
      </c>
      <c r="AZ73" s="9">
        <f t="shared" si="29"/>
        <v>0</v>
      </c>
      <c r="BA73" s="9">
        <f t="shared" si="30"/>
        <v>0</v>
      </c>
      <c r="BB73" s="9" t="s">
        <v>88</v>
      </c>
      <c r="BC73" s="9">
        <f t="shared" si="31"/>
        <v>2</v>
      </c>
      <c r="BD73" s="12"/>
      <c r="BE73" s="9" t="str">
        <f t="shared" si="43"/>
        <v>N/A</v>
      </c>
      <c r="BF73" s="9" t="s">
        <v>129</v>
      </c>
      <c r="BG73" s="9">
        <f t="shared" si="33"/>
        <v>0</v>
      </c>
      <c r="BH73" s="9">
        <f t="shared" si="34"/>
        <v>0</v>
      </c>
      <c r="BI73" s="9">
        <f t="shared" si="35"/>
        <v>0</v>
      </c>
      <c r="BJ73" s="9">
        <f t="shared" si="36"/>
        <v>0</v>
      </c>
      <c r="BK73" s="9">
        <f t="shared" si="37"/>
        <v>0</v>
      </c>
      <c r="BL73" s="9">
        <f t="shared" si="38"/>
        <v>1</v>
      </c>
      <c r="BM73" s="9">
        <f t="shared" si="39"/>
        <v>0</v>
      </c>
      <c r="BN73" s="12"/>
      <c r="BO73" s="11" t="str">
        <f t="shared" si="40"/>
        <v>N/A</v>
      </c>
    </row>
    <row r="74" ht="22.5" customHeight="1">
      <c r="A74" s="9">
        <f t="shared" si="41"/>
        <v>73</v>
      </c>
      <c r="B74" s="10">
        <v>46050.72930085648</v>
      </c>
      <c r="C74" s="9" t="s">
        <v>67</v>
      </c>
      <c r="D74" s="9">
        <f t="shared" si="1"/>
        <v>1</v>
      </c>
      <c r="E74" s="9" t="s">
        <v>68</v>
      </c>
      <c r="F74" s="9">
        <f t="shared" si="2"/>
        <v>1</v>
      </c>
      <c r="G74" s="9" t="s">
        <v>69</v>
      </c>
      <c r="H74" s="9" t="str">
        <f t="shared" si="3"/>
        <v>Rural</v>
      </c>
      <c r="I74" s="9">
        <f t="shared" si="4"/>
        <v>1</v>
      </c>
      <c r="J74" s="9" t="s">
        <v>70</v>
      </c>
      <c r="K74" s="9" t="s">
        <v>100</v>
      </c>
      <c r="L74" s="9">
        <f t="shared" si="5"/>
        <v>3</v>
      </c>
      <c r="M74" s="9" t="s">
        <v>71</v>
      </c>
      <c r="N74" s="9">
        <f t="shared" si="6"/>
        <v>7.7</v>
      </c>
      <c r="O74" s="9" t="s">
        <v>78</v>
      </c>
      <c r="P74" s="9">
        <f t="shared" si="7"/>
        <v>3</v>
      </c>
      <c r="Q74" s="9" t="s">
        <v>85</v>
      </c>
      <c r="R74" s="9">
        <f t="shared" si="8"/>
        <v>4</v>
      </c>
      <c r="S74" s="9" t="s">
        <v>73</v>
      </c>
      <c r="T74" s="9">
        <f t="shared" si="9"/>
        <v>2</v>
      </c>
      <c r="U74" s="9" t="s">
        <v>74</v>
      </c>
      <c r="V74" s="9">
        <f t="shared" si="10"/>
        <v>1.5</v>
      </c>
      <c r="W74" s="9" t="s">
        <v>93</v>
      </c>
      <c r="X74" s="9">
        <f t="shared" si="11"/>
        <v>0</v>
      </c>
      <c r="Y74" s="9">
        <f t="shared" si="12"/>
        <v>1</v>
      </c>
      <c r="Z74" s="9">
        <f t="shared" si="13"/>
        <v>0</v>
      </c>
      <c r="AA74" s="9">
        <f t="shared" si="14"/>
        <v>0</v>
      </c>
      <c r="AB74" s="9" t="s">
        <v>73</v>
      </c>
      <c r="AC74" s="9">
        <f t="shared" si="15"/>
        <v>2</v>
      </c>
      <c r="AD74" s="9" t="s">
        <v>73</v>
      </c>
      <c r="AE74" s="9">
        <f t="shared" si="16"/>
        <v>2</v>
      </c>
      <c r="AF74" s="9" t="s">
        <v>71</v>
      </c>
      <c r="AG74" s="9">
        <f t="shared" si="17"/>
        <v>7.7</v>
      </c>
      <c r="AH74" s="9" t="s">
        <v>85</v>
      </c>
      <c r="AI74" s="9">
        <f t="shared" si="18"/>
        <v>4</v>
      </c>
      <c r="AJ74" s="9" t="s">
        <v>73</v>
      </c>
      <c r="AK74" s="9">
        <f t="shared" si="19"/>
        <v>2</v>
      </c>
      <c r="AL74" s="9" t="s">
        <v>85</v>
      </c>
      <c r="AM74" s="9">
        <f t="shared" si="20"/>
        <v>4</v>
      </c>
      <c r="AN74" s="9" t="s">
        <v>78</v>
      </c>
      <c r="AO74" s="9">
        <f t="shared" si="21"/>
        <v>3</v>
      </c>
      <c r="AP74" s="9" t="s">
        <v>85</v>
      </c>
      <c r="AQ74" s="9">
        <f t="shared" si="22"/>
        <v>4</v>
      </c>
      <c r="AR74" s="9" t="s">
        <v>85</v>
      </c>
      <c r="AS74" s="9">
        <f t="shared" si="23"/>
        <v>4</v>
      </c>
      <c r="AT74" s="9" t="s">
        <v>194</v>
      </c>
      <c r="AU74" s="9">
        <f t="shared" si="24"/>
        <v>0</v>
      </c>
      <c r="AV74" s="9">
        <f t="shared" si="25"/>
        <v>0</v>
      </c>
      <c r="AW74" s="9">
        <f t="shared" si="26"/>
        <v>1</v>
      </c>
      <c r="AX74" s="9">
        <f t="shared" si="27"/>
        <v>1</v>
      </c>
      <c r="AY74" s="9">
        <f t="shared" si="28"/>
        <v>0</v>
      </c>
      <c r="AZ74" s="9">
        <f t="shared" si="29"/>
        <v>1</v>
      </c>
      <c r="BA74" s="9">
        <f t="shared" si="30"/>
        <v>0</v>
      </c>
      <c r="BB74" s="9" t="s">
        <v>88</v>
      </c>
      <c r="BC74" s="9">
        <f t="shared" si="31"/>
        <v>2</v>
      </c>
      <c r="BD74" s="12"/>
      <c r="BE74" s="9" t="str">
        <f t="shared" si="43"/>
        <v>N/A</v>
      </c>
      <c r="BF74" s="9" t="s">
        <v>195</v>
      </c>
      <c r="BG74" s="9">
        <f t="shared" si="33"/>
        <v>0</v>
      </c>
      <c r="BH74" s="9">
        <f t="shared" si="34"/>
        <v>0</v>
      </c>
      <c r="BI74" s="9">
        <f t="shared" si="35"/>
        <v>0</v>
      </c>
      <c r="BJ74" s="9">
        <f t="shared" si="36"/>
        <v>0</v>
      </c>
      <c r="BK74" s="9">
        <f t="shared" si="37"/>
        <v>0</v>
      </c>
      <c r="BL74" s="9">
        <f t="shared" si="38"/>
        <v>1</v>
      </c>
      <c r="BM74" s="9">
        <f t="shared" si="39"/>
        <v>1</v>
      </c>
      <c r="BN74" s="9" t="s">
        <v>108</v>
      </c>
      <c r="BO74" s="11">
        <f t="shared" si="40"/>
        <v>3</v>
      </c>
    </row>
    <row r="75" ht="22.5" customHeight="1">
      <c r="A75" s="9">
        <f t="shared" si="41"/>
        <v>74</v>
      </c>
      <c r="B75" s="10">
        <v>46050.73790302083</v>
      </c>
      <c r="C75" s="9" t="s">
        <v>90</v>
      </c>
      <c r="D75" s="9">
        <f t="shared" si="1"/>
        <v>2</v>
      </c>
      <c r="E75" s="9" t="s">
        <v>68</v>
      </c>
      <c r="F75" s="9">
        <f t="shared" si="2"/>
        <v>1</v>
      </c>
      <c r="G75" s="9" t="s">
        <v>69</v>
      </c>
      <c r="H75" s="9" t="str">
        <f t="shared" si="3"/>
        <v>Rural</v>
      </c>
      <c r="I75" s="9">
        <f t="shared" si="4"/>
        <v>1</v>
      </c>
      <c r="J75" s="9" t="s">
        <v>70</v>
      </c>
      <c r="K75" s="9" t="s">
        <v>100</v>
      </c>
      <c r="L75" s="9">
        <f t="shared" si="5"/>
        <v>3</v>
      </c>
      <c r="M75" s="9" t="s">
        <v>76</v>
      </c>
      <c r="N75" s="9">
        <f t="shared" si="6"/>
        <v>5.5</v>
      </c>
      <c r="O75" s="9" t="s">
        <v>78</v>
      </c>
      <c r="P75" s="9">
        <f t="shared" si="7"/>
        <v>3</v>
      </c>
      <c r="Q75" s="9" t="s">
        <v>73</v>
      </c>
      <c r="R75" s="9">
        <f t="shared" si="8"/>
        <v>2</v>
      </c>
      <c r="S75" s="9" t="s">
        <v>73</v>
      </c>
      <c r="T75" s="9">
        <f t="shared" si="9"/>
        <v>2</v>
      </c>
      <c r="U75" s="9" t="s">
        <v>96</v>
      </c>
      <c r="V75" s="9">
        <f t="shared" si="10"/>
        <v>2.5</v>
      </c>
      <c r="W75" s="9" t="s">
        <v>105</v>
      </c>
      <c r="X75" s="9">
        <f t="shared" si="11"/>
        <v>1</v>
      </c>
      <c r="Y75" s="9">
        <f t="shared" si="12"/>
        <v>1</v>
      </c>
      <c r="Z75" s="9">
        <f t="shared" si="13"/>
        <v>0</v>
      </c>
      <c r="AA75" s="9">
        <f t="shared" si="14"/>
        <v>0</v>
      </c>
      <c r="AB75" s="9" t="s">
        <v>73</v>
      </c>
      <c r="AC75" s="9">
        <f t="shared" si="15"/>
        <v>2</v>
      </c>
      <c r="AD75" s="9" t="s">
        <v>78</v>
      </c>
      <c r="AE75" s="9">
        <f t="shared" si="16"/>
        <v>3</v>
      </c>
      <c r="AF75" s="9" t="s">
        <v>76</v>
      </c>
      <c r="AG75" s="9">
        <f t="shared" si="17"/>
        <v>5.5</v>
      </c>
      <c r="AH75" s="9" t="s">
        <v>103</v>
      </c>
      <c r="AI75" s="9">
        <f t="shared" si="18"/>
        <v>5</v>
      </c>
      <c r="AJ75" s="9" t="s">
        <v>85</v>
      </c>
      <c r="AK75" s="9">
        <f t="shared" si="19"/>
        <v>4</v>
      </c>
      <c r="AL75" s="9" t="s">
        <v>85</v>
      </c>
      <c r="AM75" s="9">
        <f t="shared" si="20"/>
        <v>4</v>
      </c>
      <c r="AN75" s="9" t="s">
        <v>73</v>
      </c>
      <c r="AO75" s="9">
        <f t="shared" si="21"/>
        <v>2</v>
      </c>
      <c r="AP75" s="9" t="s">
        <v>73</v>
      </c>
      <c r="AQ75" s="9">
        <f t="shared" si="22"/>
        <v>2</v>
      </c>
      <c r="AR75" s="9" t="s">
        <v>78</v>
      </c>
      <c r="AS75" s="9">
        <f t="shared" si="23"/>
        <v>3</v>
      </c>
      <c r="AT75" s="9" t="s">
        <v>98</v>
      </c>
      <c r="AU75" s="9">
        <f t="shared" si="24"/>
        <v>0</v>
      </c>
      <c r="AV75" s="9">
        <f t="shared" si="25"/>
        <v>1</v>
      </c>
      <c r="AW75" s="9">
        <f t="shared" si="26"/>
        <v>0</v>
      </c>
      <c r="AX75" s="9">
        <f t="shared" si="27"/>
        <v>0</v>
      </c>
      <c r="AY75" s="9">
        <f t="shared" si="28"/>
        <v>0</v>
      </c>
      <c r="AZ75" s="9">
        <f t="shared" si="29"/>
        <v>1</v>
      </c>
      <c r="BA75" s="9">
        <f t="shared" si="30"/>
        <v>0</v>
      </c>
      <c r="BB75" s="9" t="s">
        <v>88</v>
      </c>
      <c r="BC75" s="9">
        <f t="shared" si="31"/>
        <v>2</v>
      </c>
      <c r="BD75" s="12"/>
      <c r="BE75" s="9" t="str">
        <f t="shared" si="43"/>
        <v>N/A</v>
      </c>
      <c r="BF75" s="9" t="s">
        <v>196</v>
      </c>
      <c r="BG75" s="9">
        <f t="shared" si="33"/>
        <v>1</v>
      </c>
      <c r="BH75" s="9">
        <f t="shared" si="34"/>
        <v>0</v>
      </c>
      <c r="BI75" s="9">
        <f t="shared" si="35"/>
        <v>0</v>
      </c>
      <c r="BJ75" s="9">
        <f t="shared" si="36"/>
        <v>0</v>
      </c>
      <c r="BK75" s="9">
        <f t="shared" si="37"/>
        <v>1</v>
      </c>
      <c r="BL75" s="9">
        <f t="shared" si="38"/>
        <v>1</v>
      </c>
      <c r="BM75" s="9">
        <f t="shared" si="39"/>
        <v>0</v>
      </c>
      <c r="BN75" s="9" t="s">
        <v>108</v>
      </c>
      <c r="BO75" s="11">
        <f t="shared" si="40"/>
        <v>3</v>
      </c>
    </row>
    <row r="76" ht="22.5" customHeight="1">
      <c r="A76" s="9">
        <f t="shared" si="41"/>
        <v>75</v>
      </c>
      <c r="B76" s="10">
        <v>46050.73872458334</v>
      </c>
      <c r="C76" s="9" t="s">
        <v>67</v>
      </c>
      <c r="D76" s="9">
        <f t="shared" si="1"/>
        <v>1</v>
      </c>
      <c r="E76" s="9" t="s">
        <v>68</v>
      </c>
      <c r="F76" s="9">
        <f t="shared" si="2"/>
        <v>1</v>
      </c>
      <c r="G76" s="9" t="s">
        <v>82</v>
      </c>
      <c r="H76" s="9" t="str">
        <f t="shared" si="3"/>
        <v>Urban</v>
      </c>
      <c r="I76" s="9">
        <f t="shared" si="4"/>
        <v>2</v>
      </c>
      <c r="J76" s="9" t="s">
        <v>70</v>
      </c>
      <c r="K76" s="9" t="s">
        <v>100</v>
      </c>
      <c r="L76" s="9">
        <f t="shared" si="5"/>
        <v>3</v>
      </c>
      <c r="M76" s="9" t="s">
        <v>101</v>
      </c>
      <c r="N76" s="9">
        <f t="shared" si="6"/>
        <v>2</v>
      </c>
      <c r="O76" s="9" t="s">
        <v>78</v>
      </c>
      <c r="P76" s="9">
        <f t="shared" si="7"/>
        <v>3</v>
      </c>
      <c r="Q76" s="9" t="s">
        <v>78</v>
      </c>
      <c r="R76" s="9">
        <f t="shared" si="8"/>
        <v>3</v>
      </c>
      <c r="S76" s="9" t="s">
        <v>78</v>
      </c>
      <c r="T76" s="9">
        <f t="shared" si="9"/>
        <v>3</v>
      </c>
      <c r="U76" s="9" t="s">
        <v>74</v>
      </c>
      <c r="V76" s="9">
        <f t="shared" si="10"/>
        <v>1.5</v>
      </c>
      <c r="W76" s="9" t="s">
        <v>93</v>
      </c>
      <c r="X76" s="9">
        <f t="shared" si="11"/>
        <v>0</v>
      </c>
      <c r="Y76" s="9">
        <f t="shared" si="12"/>
        <v>1</v>
      </c>
      <c r="Z76" s="9">
        <f t="shared" si="13"/>
        <v>0</v>
      </c>
      <c r="AA76" s="9">
        <f t="shared" si="14"/>
        <v>0</v>
      </c>
      <c r="AB76" s="9" t="s">
        <v>78</v>
      </c>
      <c r="AC76" s="9">
        <f t="shared" si="15"/>
        <v>3</v>
      </c>
      <c r="AD76" s="9" t="s">
        <v>78</v>
      </c>
      <c r="AE76" s="9">
        <f t="shared" si="16"/>
        <v>3</v>
      </c>
      <c r="AF76" s="9" t="s">
        <v>71</v>
      </c>
      <c r="AG76" s="9">
        <f t="shared" si="17"/>
        <v>7.7</v>
      </c>
      <c r="AH76" s="9" t="s">
        <v>78</v>
      </c>
      <c r="AI76" s="9">
        <f t="shared" si="18"/>
        <v>3</v>
      </c>
      <c r="AJ76" s="9" t="s">
        <v>73</v>
      </c>
      <c r="AK76" s="9">
        <f t="shared" si="19"/>
        <v>2</v>
      </c>
      <c r="AL76" s="9" t="s">
        <v>73</v>
      </c>
      <c r="AM76" s="9">
        <f t="shared" si="20"/>
        <v>2</v>
      </c>
      <c r="AN76" s="9" t="s">
        <v>78</v>
      </c>
      <c r="AO76" s="9">
        <f t="shared" si="21"/>
        <v>3</v>
      </c>
      <c r="AP76" s="9" t="s">
        <v>78</v>
      </c>
      <c r="AQ76" s="9">
        <f t="shared" si="22"/>
        <v>3</v>
      </c>
      <c r="AR76" s="9" t="s">
        <v>78</v>
      </c>
      <c r="AS76" s="9">
        <f t="shared" si="23"/>
        <v>3</v>
      </c>
      <c r="AT76" s="9" t="s">
        <v>147</v>
      </c>
      <c r="AU76" s="9">
        <f t="shared" si="24"/>
        <v>1</v>
      </c>
      <c r="AV76" s="9">
        <f t="shared" si="25"/>
        <v>0</v>
      </c>
      <c r="AW76" s="9">
        <f t="shared" si="26"/>
        <v>0</v>
      </c>
      <c r="AX76" s="9">
        <f t="shared" si="27"/>
        <v>0</v>
      </c>
      <c r="AY76" s="9">
        <f t="shared" si="28"/>
        <v>0</v>
      </c>
      <c r="AZ76" s="9">
        <f t="shared" si="29"/>
        <v>0</v>
      </c>
      <c r="BA76" s="9">
        <f t="shared" si="30"/>
        <v>0</v>
      </c>
      <c r="BB76" s="9" t="s">
        <v>88</v>
      </c>
      <c r="BC76" s="9">
        <f t="shared" si="31"/>
        <v>2</v>
      </c>
      <c r="BD76" s="12"/>
      <c r="BE76" s="9" t="str">
        <f t="shared" si="43"/>
        <v>N/A</v>
      </c>
      <c r="BF76" s="9" t="s">
        <v>107</v>
      </c>
      <c r="BG76" s="9">
        <f t="shared" si="33"/>
        <v>1</v>
      </c>
      <c r="BH76" s="9">
        <f t="shared" si="34"/>
        <v>0</v>
      </c>
      <c r="BI76" s="9">
        <f t="shared" si="35"/>
        <v>0</v>
      </c>
      <c r="BJ76" s="9">
        <f t="shared" si="36"/>
        <v>0</v>
      </c>
      <c r="BK76" s="9">
        <f t="shared" si="37"/>
        <v>0</v>
      </c>
      <c r="BL76" s="9">
        <f t="shared" si="38"/>
        <v>0</v>
      </c>
      <c r="BM76" s="9">
        <f t="shared" si="39"/>
        <v>0</v>
      </c>
      <c r="BN76" s="9" t="s">
        <v>88</v>
      </c>
      <c r="BO76" s="11">
        <f t="shared" si="40"/>
        <v>2</v>
      </c>
    </row>
    <row r="77" ht="22.5" customHeight="1">
      <c r="A77" s="9">
        <f t="shared" si="41"/>
        <v>76</v>
      </c>
      <c r="B77" s="10">
        <v>46050.739868564815</v>
      </c>
      <c r="C77" s="9" t="s">
        <v>90</v>
      </c>
      <c r="D77" s="9">
        <f t="shared" si="1"/>
        <v>2</v>
      </c>
      <c r="E77" s="9" t="s">
        <v>68</v>
      </c>
      <c r="F77" s="9">
        <f t="shared" si="2"/>
        <v>1</v>
      </c>
      <c r="G77" s="9" t="s">
        <v>82</v>
      </c>
      <c r="H77" s="9" t="str">
        <f t="shared" si="3"/>
        <v>Urban</v>
      </c>
      <c r="I77" s="9">
        <f t="shared" si="4"/>
        <v>2</v>
      </c>
      <c r="J77" s="9" t="s">
        <v>83</v>
      </c>
      <c r="K77" s="9" t="s">
        <v>84</v>
      </c>
      <c r="L77" s="9">
        <f t="shared" si="5"/>
        <v>2</v>
      </c>
      <c r="M77" s="9" t="s">
        <v>101</v>
      </c>
      <c r="N77" s="9">
        <f t="shared" si="6"/>
        <v>2</v>
      </c>
      <c r="O77" s="9" t="s">
        <v>73</v>
      </c>
      <c r="P77" s="9">
        <f t="shared" si="7"/>
        <v>2</v>
      </c>
      <c r="Q77" s="9" t="s">
        <v>103</v>
      </c>
      <c r="R77" s="9">
        <f t="shared" si="8"/>
        <v>5</v>
      </c>
      <c r="S77" s="9" t="s">
        <v>72</v>
      </c>
      <c r="T77" s="9">
        <f t="shared" si="9"/>
        <v>1</v>
      </c>
      <c r="U77" s="9" t="s">
        <v>96</v>
      </c>
      <c r="V77" s="9">
        <f t="shared" si="10"/>
        <v>2.5</v>
      </c>
      <c r="W77" s="9" t="s">
        <v>143</v>
      </c>
      <c r="X77" s="9">
        <f t="shared" si="11"/>
        <v>1</v>
      </c>
      <c r="Y77" s="9">
        <f t="shared" si="12"/>
        <v>0</v>
      </c>
      <c r="Z77" s="9">
        <f t="shared" si="13"/>
        <v>0</v>
      </c>
      <c r="AA77" s="9">
        <f t="shared" si="14"/>
        <v>0</v>
      </c>
      <c r="AB77" s="9" t="s">
        <v>72</v>
      </c>
      <c r="AC77" s="9">
        <f t="shared" si="15"/>
        <v>1</v>
      </c>
      <c r="AD77" s="9" t="s">
        <v>73</v>
      </c>
      <c r="AE77" s="9">
        <f t="shared" si="16"/>
        <v>2</v>
      </c>
      <c r="AF77" s="9" t="s">
        <v>109</v>
      </c>
      <c r="AG77" s="9">
        <f t="shared" si="17"/>
        <v>9</v>
      </c>
      <c r="AH77" s="9" t="s">
        <v>103</v>
      </c>
      <c r="AI77" s="9">
        <f t="shared" si="18"/>
        <v>5</v>
      </c>
      <c r="AJ77" s="9" t="s">
        <v>78</v>
      </c>
      <c r="AK77" s="9">
        <f t="shared" si="19"/>
        <v>3</v>
      </c>
      <c r="AL77" s="9" t="s">
        <v>85</v>
      </c>
      <c r="AM77" s="9">
        <f t="shared" si="20"/>
        <v>4</v>
      </c>
      <c r="AN77" s="9" t="s">
        <v>85</v>
      </c>
      <c r="AO77" s="9">
        <f t="shared" si="21"/>
        <v>4</v>
      </c>
      <c r="AP77" s="9" t="s">
        <v>85</v>
      </c>
      <c r="AQ77" s="9">
        <f t="shared" si="22"/>
        <v>4</v>
      </c>
      <c r="AR77" s="9" t="s">
        <v>85</v>
      </c>
      <c r="AS77" s="9">
        <f t="shared" si="23"/>
        <v>4</v>
      </c>
      <c r="AT77" s="9" t="s">
        <v>197</v>
      </c>
      <c r="AU77" s="9">
        <f t="shared" si="24"/>
        <v>0</v>
      </c>
      <c r="AV77" s="9">
        <f t="shared" si="25"/>
        <v>1</v>
      </c>
      <c r="AW77" s="9">
        <f t="shared" si="26"/>
        <v>0</v>
      </c>
      <c r="AX77" s="9">
        <f t="shared" si="27"/>
        <v>0</v>
      </c>
      <c r="AY77" s="9">
        <f t="shared" si="28"/>
        <v>0</v>
      </c>
      <c r="AZ77" s="9">
        <f t="shared" si="29"/>
        <v>0</v>
      </c>
      <c r="BA77" s="9">
        <f t="shared" si="30"/>
        <v>1</v>
      </c>
      <c r="BB77" s="9" t="s">
        <v>88</v>
      </c>
      <c r="BC77" s="9">
        <f t="shared" si="31"/>
        <v>2</v>
      </c>
      <c r="BD77" s="12"/>
      <c r="BE77" s="9" t="str">
        <f t="shared" si="43"/>
        <v>N/A</v>
      </c>
      <c r="BF77" s="9" t="s">
        <v>187</v>
      </c>
      <c r="BG77" s="9">
        <f t="shared" si="33"/>
        <v>1</v>
      </c>
      <c r="BH77" s="9">
        <f t="shared" si="34"/>
        <v>0</v>
      </c>
      <c r="BI77" s="9">
        <f t="shared" si="35"/>
        <v>0</v>
      </c>
      <c r="BJ77" s="9">
        <f t="shared" si="36"/>
        <v>0</v>
      </c>
      <c r="BK77" s="9">
        <f t="shared" si="37"/>
        <v>0</v>
      </c>
      <c r="BL77" s="9">
        <f t="shared" si="38"/>
        <v>1</v>
      </c>
      <c r="BM77" s="9">
        <f t="shared" si="39"/>
        <v>0</v>
      </c>
      <c r="BN77" s="9" t="s">
        <v>108</v>
      </c>
      <c r="BO77" s="11">
        <f t="shared" si="40"/>
        <v>3</v>
      </c>
    </row>
    <row r="78" ht="22.5" customHeight="1">
      <c r="A78" s="9">
        <f t="shared" si="41"/>
        <v>77</v>
      </c>
      <c r="B78" s="10">
        <v>46050.740902708334</v>
      </c>
      <c r="C78" s="9" t="s">
        <v>90</v>
      </c>
      <c r="D78" s="9">
        <f t="shared" si="1"/>
        <v>2</v>
      </c>
      <c r="E78" s="9" t="s">
        <v>68</v>
      </c>
      <c r="F78" s="9">
        <f t="shared" si="2"/>
        <v>1</v>
      </c>
      <c r="G78" s="9" t="s">
        <v>82</v>
      </c>
      <c r="H78" s="9" t="str">
        <f t="shared" si="3"/>
        <v>Urban</v>
      </c>
      <c r="I78" s="9">
        <f t="shared" si="4"/>
        <v>2</v>
      </c>
      <c r="J78" s="9" t="s">
        <v>70</v>
      </c>
      <c r="K78" s="9" t="s">
        <v>100</v>
      </c>
      <c r="L78" s="9">
        <f t="shared" si="5"/>
        <v>3</v>
      </c>
      <c r="M78" s="9" t="s">
        <v>101</v>
      </c>
      <c r="N78" s="9">
        <f t="shared" si="6"/>
        <v>2</v>
      </c>
      <c r="O78" s="9" t="s">
        <v>73</v>
      </c>
      <c r="P78" s="9">
        <f t="shared" si="7"/>
        <v>2</v>
      </c>
      <c r="Q78" s="9" t="s">
        <v>85</v>
      </c>
      <c r="R78" s="9">
        <f t="shared" si="8"/>
        <v>4</v>
      </c>
      <c r="S78" s="9" t="s">
        <v>73</v>
      </c>
      <c r="T78" s="9">
        <f t="shared" si="9"/>
        <v>2</v>
      </c>
      <c r="U78" s="9" t="s">
        <v>110</v>
      </c>
      <c r="V78" s="9">
        <f t="shared" si="10"/>
        <v>0.75</v>
      </c>
      <c r="W78" s="9" t="s">
        <v>93</v>
      </c>
      <c r="X78" s="9">
        <f t="shared" si="11"/>
        <v>0</v>
      </c>
      <c r="Y78" s="9">
        <f t="shared" si="12"/>
        <v>1</v>
      </c>
      <c r="Z78" s="9">
        <f t="shared" si="13"/>
        <v>0</v>
      </c>
      <c r="AA78" s="9">
        <f t="shared" si="14"/>
        <v>0</v>
      </c>
      <c r="AB78" s="9" t="s">
        <v>72</v>
      </c>
      <c r="AC78" s="9">
        <f t="shared" si="15"/>
        <v>1</v>
      </c>
      <c r="AD78" s="9" t="s">
        <v>73</v>
      </c>
      <c r="AE78" s="9">
        <f t="shared" si="16"/>
        <v>2</v>
      </c>
      <c r="AF78" s="9" t="s">
        <v>71</v>
      </c>
      <c r="AG78" s="9">
        <f t="shared" si="17"/>
        <v>7.7</v>
      </c>
      <c r="AH78" s="9" t="s">
        <v>85</v>
      </c>
      <c r="AI78" s="9">
        <f t="shared" si="18"/>
        <v>4</v>
      </c>
      <c r="AJ78" s="9" t="s">
        <v>85</v>
      </c>
      <c r="AK78" s="9">
        <f t="shared" si="19"/>
        <v>4</v>
      </c>
      <c r="AL78" s="9" t="s">
        <v>78</v>
      </c>
      <c r="AM78" s="9">
        <f t="shared" si="20"/>
        <v>3</v>
      </c>
      <c r="AN78" s="9" t="s">
        <v>78</v>
      </c>
      <c r="AO78" s="9">
        <f t="shared" si="21"/>
        <v>3</v>
      </c>
      <c r="AP78" s="9" t="s">
        <v>85</v>
      </c>
      <c r="AQ78" s="9">
        <f t="shared" si="22"/>
        <v>4</v>
      </c>
      <c r="AR78" s="9" t="s">
        <v>85</v>
      </c>
      <c r="AS78" s="9">
        <f t="shared" si="23"/>
        <v>4</v>
      </c>
      <c r="AT78" s="9" t="s">
        <v>118</v>
      </c>
      <c r="AU78" s="9">
        <f t="shared" si="24"/>
        <v>0</v>
      </c>
      <c r="AV78" s="9">
        <f t="shared" si="25"/>
        <v>1</v>
      </c>
      <c r="AW78" s="9">
        <f t="shared" si="26"/>
        <v>0</v>
      </c>
      <c r="AX78" s="9">
        <f t="shared" si="27"/>
        <v>0</v>
      </c>
      <c r="AY78" s="9">
        <f t="shared" si="28"/>
        <v>0</v>
      </c>
      <c r="AZ78" s="9">
        <f t="shared" si="29"/>
        <v>1</v>
      </c>
      <c r="BA78" s="9">
        <f t="shared" si="30"/>
        <v>0</v>
      </c>
      <c r="BB78" s="9" t="s">
        <v>88</v>
      </c>
      <c r="BC78" s="9">
        <f t="shared" si="31"/>
        <v>2</v>
      </c>
      <c r="BD78" s="12"/>
      <c r="BE78" s="9" t="str">
        <f t="shared" si="43"/>
        <v>N/A</v>
      </c>
      <c r="BF78" s="9" t="s">
        <v>198</v>
      </c>
      <c r="BG78" s="9">
        <f t="shared" si="33"/>
        <v>0</v>
      </c>
      <c r="BH78" s="9">
        <f t="shared" si="34"/>
        <v>0</v>
      </c>
      <c r="BI78" s="9">
        <f t="shared" si="35"/>
        <v>1</v>
      </c>
      <c r="BJ78" s="9">
        <f t="shared" si="36"/>
        <v>1</v>
      </c>
      <c r="BK78" s="9">
        <f t="shared" si="37"/>
        <v>1</v>
      </c>
      <c r="BL78" s="9">
        <f t="shared" si="38"/>
        <v>1</v>
      </c>
      <c r="BM78" s="9">
        <f t="shared" si="39"/>
        <v>1</v>
      </c>
      <c r="BN78" s="9" t="s">
        <v>68</v>
      </c>
      <c r="BO78" s="11">
        <f t="shared" si="40"/>
        <v>1</v>
      </c>
    </row>
    <row r="79" ht="22.5" customHeight="1">
      <c r="A79" s="9">
        <f t="shared" si="41"/>
        <v>78</v>
      </c>
      <c r="B79" s="10">
        <v>46050.74172466435</v>
      </c>
      <c r="C79" s="9" t="s">
        <v>90</v>
      </c>
      <c r="D79" s="9">
        <f t="shared" si="1"/>
        <v>2</v>
      </c>
      <c r="E79" s="9" t="s">
        <v>68</v>
      </c>
      <c r="F79" s="9">
        <f t="shared" si="2"/>
        <v>1</v>
      </c>
      <c r="G79" s="9" t="s">
        <v>91</v>
      </c>
      <c r="H79" s="9" t="str">
        <f t="shared" si="3"/>
        <v>Urban</v>
      </c>
      <c r="I79" s="9">
        <f t="shared" si="4"/>
        <v>2</v>
      </c>
      <c r="J79" s="9" t="s">
        <v>83</v>
      </c>
      <c r="K79" s="9" t="s">
        <v>84</v>
      </c>
      <c r="L79" s="9">
        <f t="shared" si="5"/>
        <v>2</v>
      </c>
      <c r="M79" s="9" t="s">
        <v>109</v>
      </c>
      <c r="N79" s="9">
        <f t="shared" si="6"/>
        <v>9</v>
      </c>
      <c r="O79" s="9" t="s">
        <v>85</v>
      </c>
      <c r="P79" s="9">
        <f t="shared" si="7"/>
        <v>4</v>
      </c>
      <c r="Q79" s="9" t="s">
        <v>78</v>
      </c>
      <c r="R79" s="9">
        <f t="shared" si="8"/>
        <v>3</v>
      </c>
      <c r="S79" s="9" t="s">
        <v>85</v>
      </c>
      <c r="T79" s="9">
        <f t="shared" si="9"/>
        <v>4</v>
      </c>
      <c r="U79" s="9" t="s">
        <v>74</v>
      </c>
      <c r="V79" s="9">
        <f t="shared" si="10"/>
        <v>1.5</v>
      </c>
      <c r="W79" s="9" t="s">
        <v>111</v>
      </c>
      <c r="X79" s="9">
        <f t="shared" si="11"/>
        <v>1</v>
      </c>
      <c r="Y79" s="9">
        <f t="shared" si="12"/>
        <v>1</v>
      </c>
      <c r="Z79" s="9">
        <f t="shared" si="13"/>
        <v>0</v>
      </c>
      <c r="AA79" s="9">
        <f t="shared" si="14"/>
        <v>1</v>
      </c>
      <c r="AB79" s="9" t="s">
        <v>72</v>
      </c>
      <c r="AC79" s="9">
        <f t="shared" si="15"/>
        <v>1</v>
      </c>
      <c r="AD79" s="9" t="s">
        <v>72</v>
      </c>
      <c r="AE79" s="9">
        <f t="shared" si="16"/>
        <v>1</v>
      </c>
      <c r="AF79" s="9" t="s">
        <v>71</v>
      </c>
      <c r="AG79" s="9">
        <f t="shared" si="17"/>
        <v>7.7</v>
      </c>
      <c r="AH79" s="9" t="s">
        <v>73</v>
      </c>
      <c r="AI79" s="9">
        <f t="shared" si="18"/>
        <v>2</v>
      </c>
      <c r="AJ79" s="9" t="s">
        <v>85</v>
      </c>
      <c r="AK79" s="9">
        <f t="shared" si="19"/>
        <v>4</v>
      </c>
      <c r="AL79" s="9" t="s">
        <v>85</v>
      </c>
      <c r="AM79" s="9">
        <f t="shared" si="20"/>
        <v>4</v>
      </c>
      <c r="AN79" s="9" t="s">
        <v>120</v>
      </c>
      <c r="AO79" s="9">
        <f t="shared" si="21"/>
        <v>5</v>
      </c>
      <c r="AP79" s="9" t="s">
        <v>78</v>
      </c>
      <c r="AQ79" s="9">
        <f t="shared" si="22"/>
        <v>3</v>
      </c>
      <c r="AR79" s="9" t="s">
        <v>78</v>
      </c>
      <c r="AS79" s="9">
        <f t="shared" si="23"/>
        <v>3</v>
      </c>
      <c r="AT79" s="9" t="s">
        <v>199</v>
      </c>
      <c r="AU79" s="9">
        <f t="shared" si="24"/>
        <v>0</v>
      </c>
      <c r="AV79" s="9">
        <f t="shared" si="25"/>
        <v>0</v>
      </c>
      <c r="AW79" s="9">
        <f t="shared" si="26"/>
        <v>0</v>
      </c>
      <c r="AX79" s="9">
        <f t="shared" si="27"/>
        <v>1</v>
      </c>
      <c r="AY79" s="9">
        <f t="shared" si="28"/>
        <v>0</v>
      </c>
      <c r="AZ79" s="9">
        <f t="shared" si="29"/>
        <v>0</v>
      </c>
      <c r="BA79" s="9">
        <f t="shared" si="30"/>
        <v>0</v>
      </c>
      <c r="BB79" s="9" t="s">
        <v>68</v>
      </c>
      <c r="BC79" s="9">
        <f t="shared" si="31"/>
        <v>1</v>
      </c>
      <c r="BD79" s="9" t="s">
        <v>200</v>
      </c>
      <c r="BE79" s="9" t="str">
        <f t="shared" ref="BE79:BE140" si="44">IFS(OR(BD79="Sleeping tracking",BD79="Sleep tracker"),"Sleep tracker app",BD79="Health","Health app",OR(BD79="Samsung Health ",BD79="samsung health"),"Samsung Health app",OR(BD79="Alarm clock ",BD79="Alarm"),"Alarm app",BD79="My health app","My health app",BD79="Smartwatch / wearable apps","Wearable app",BD79="HryFine","HryFine app",TRUE,"N/A")
</f>
        <v>Samsung Health app</v>
      </c>
      <c r="BF79" s="9" t="s">
        <v>117</v>
      </c>
      <c r="BG79" s="9">
        <f t="shared" si="33"/>
        <v>0</v>
      </c>
      <c r="BH79" s="9">
        <f t="shared" si="34"/>
        <v>0</v>
      </c>
      <c r="BI79" s="9">
        <f t="shared" si="35"/>
        <v>1</v>
      </c>
      <c r="BJ79" s="9">
        <f t="shared" si="36"/>
        <v>1</v>
      </c>
      <c r="BK79" s="9">
        <f t="shared" si="37"/>
        <v>0</v>
      </c>
      <c r="BL79" s="9">
        <f t="shared" si="38"/>
        <v>0</v>
      </c>
      <c r="BM79" s="9">
        <f t="shared" si="39"/>
        <v>0</v>
      </c>
      <c r="BN79" s="9" t="s">
        <v>68</v>
      </c>
      <c r="BO79" s="11">
        <f t="shared" si="40"/>
        <v>1</v>
      </c>
    </row>
    <row r="80" ht="22.5" customHeight="1">
      <c r="A80" s="9">
        <f t="shared" si="41"/>
        <v>79</v>
      </c>
      <c r="B80" s="10">
        <v>46050.74361131944</v>
      </c>
      <c r="C80" s="9" t="s">
        <v>90</v>
      </c>
      <c r="D80" s="9">
        <f t="shared" si="1"/>
        <v>2</v>
      </c>
      <c r="E80" s="9" t="s">
        <v>68</v>
      </c>
      <c r="F80" s="9">
        <f t="shared" si="2"/>
        <v>1</v>
      </c>
      <c r="G80" s="9" t="s">
        <v>69</v>
      </c>
      <c r="H80" s="9" t="str">
        <f t="shared" si="3"/>
        <v>Rural</v>
      </c>
      <c r="I80" s="9">
        <f t="shared" si="4"/>
        <v>1</v>
      </c>
      <c r="J80" s="9" t="s">
        <v>145</v>
      </c>
      <c r="K80" s="9" t="s">
        <v>146</v>
      </c>
      <c r="L80" s="9">
        <f t="shared" si="5"/>
        <v>1</v>
      </c>
      <c r="M80" s="9" t="s">
        <v>71</v>
      </c>
      <c r="N80" s="9">
        <f t="shared" si="6"/>
        <v>7.7</v>
      </c>
      <c r="O80" s="12"/>
      <c r="P80" s="9" t="str">
        <f t="shared" si="7"/>
        <v>N/A</v>
      </c>
      <c r="Q80" s="9" t="s">
        <v>73</v>
      </c>
      <c r="R80" s="9">
        <f t="shared" si="8"/>
        <v>2</v>
      </c>
      <c r="S80" s="12"/>
      <c r="T80" s="9" t="str">
        <f t="shared" si="9"/>
        <v>N/A</v>
      </c>
      <c r="U80" s="9" t="s">
        <v>74</v>
      </c>
      <c r="V80" s="9">
        <f t="shared" si="10"/>
        <v>1.5</v>
      </c>
      <c r="W80" s="9" t="s">
        <v>143</v>
      </c>
      <c r="X80" s="9">
        <f t="shared" si="11"/>
        <v>1</v>
      </c>
      <c r="Y80" s="9">
        <f t="shared" si="12"/>
        <v>0</v>
      </c>
      <c r="Z80" s="9">
        <f t="shared" si="13"/>
        <v>0</v>
      </c>
      <c r="AA80" s="9">
        <f t="shared" si="14"/>
        <v>0</v>
      </c>
      <c r="AB80" s="9" t="s">
        <v>73</v>
      </c>
      <c r="AC80" s="9">
        <f t="shared" si="15"/>
        <v>2</v>
      </c>
      <c r="AD80" s="12"/>
      <c r="AE80" s="9" t="str">
        <f t="shared" si="16"/>
        <v>N/A</v>
      </c>
      <c r="AF80" s="9" t="s">
        <v>71</v>
      </c>
      <c r="AG80" s="9">
        <f t="shared" si="17"/>
        <v>7.7</v>
      </c>
      <c r="AH80" s="9" t="s">
        <v>85</v>
      </c>
      <c r="AI80" s="9">
        <f t="shared" si="18"/>
        <v>4</v>
      </c>
      <c r="AJ80" s="12"/>
      <c r="AK80" s="9" t="str">
        <f t="shared" si="19"/>
        <v>N/A</v>
      </c>
      <c r="AL80" s="9" t="s">
        <v>73</v>
      </c>
      <c r="AM80" s="9">
        <f t="shared" si="20"/>
        <v>2</v>
      </c>
      <c r="AN80" s="12"/>
      <c r="AO80" s="9" t="str">
        <f t="shared" si="21"/>
        <v>N/A</v>
      </c>
      <c r="AP80" s="12"/>
      <c r="AQ80" s="9" t="str">
        <f t="shared" si="22"/>
        <v>N/A</v>
      </c>
      <c r="AR80" s="12"/>
      <c r="AS80" s="9" t="str">
        <f t="shared" si="23"/>
        <v>N/A</v>
      </c>
      <c r="AT80" s="9" t="s">
        <v>147</v>
      </c>
      <c r="AU80" s="9">
        <f t="shared" si="24"/>
        <v>1</v>
      </c>
      <c r="AV80" s="9">
        <f t="shared" si="25"/>
        <v>0</v>
      </c>
      <c r="AW80" s="9">
        <f t="shared" si="26"/>
        <v>0</v>
      </c>
      <c r="AX80" s="9">
        <f t="shared" si="27"/>
        <v>0</v>
      </c>
      <c r="AY80" s="9">
        <f t="shared" si="28"/>
        <v>0</v>
      </c>
      <c r="AZ80" s="9">
        <f t="shared" si="29"/>
        <v>0</v>
      </c>
      <c r="BA80" s="9">
        <f t="shared" si="30"/>
        <v>0</v>
      </c>
      <c r="BB80" s="9" t="s">
        <v>88</v>
      </c>
      <c r="BC80" s="9">
        <f t="shared" si="31"/>
        <v>2</v>
      </c>
      <c r="BD80" s="12"/>
      <c r="BE80" s="9" t="str">
        <f t="shared" si="44"/>
        <v>N/A</v>
      </c>
      <c r="BF80" s="9" t="s">
        <v>107</v>
      </c>
      <c r="BG80" s="9">
        <f t="shared" si="33"/>
        <v>1</v>
      </c>
      <c r="BH80" s="9">
        <f t="shared" si="34"/>
        <v>0</v>
      </c>
      <c r="BI80" s="9">
        <f t="shared" si="35"/>
        <v>0</v>
      </c>
      <c r="BJ80" s="9">
        <f t="shared" si="36"/>
        <v>0</v>
      </c>
      <c r="BK80" s="9">
        <f t="shared" si="37"/>
        <v>0</v>
      </c>
      <c r="BL80" s="9">
        <f t="shared" si="38"/>
        <v>0</v>
      </c>
      <c r="BM80" s="9">
        <f t="shared" si="39"/>
        <v>0</v>
      </c>
      <c r="BN80" s="9" t="s">
        <v>88</v>
      </c>
      <c r="BO80" s="11">
        <f t="shared" si="40"/>
        <v>2</v>
      </c>
    </row>
    <row r="81" ht="22.5" customHeight="1">
      <c r="A81" s="9">
        <f t="shared" si="41"/>
        <v>80</v>
      </c>
      <c r="B81" s="10">
        <v>46050.744100208336</v>
      </c>
      <c r="C81" s="9" t="s">
        <v>67</v>
      </c>
      <c r="D81" s="9">
        <f t="shared" si="1"/>
        <v>1</v>
      </c>
      <c r="E81" s="9" t="s">
        <v>68</v>
      </c>
      <c r="F81" s="9">
        <f t="shared" si="2"/>
        <v>1</v>
      </c>
      <c r="G81" s="9" t="s">
        <v>69</v>
      </c>
      <c r="H81" s="9" t="str">
        <f t="shared" si="3"/>
        <v>Rural</v>
      </c>
      <c r="I81" s="9">
        <f t="shared" si="4"/>
        <v>1</v>
      </c>
      <c r="J81" s="9" t="s">
        <v>70</v>
      </c>
      <c r="K81" s="9" t="s">
        <v>100</v>
      </c>
      <c r="L81" s="9">
        <f t="shared" si="5"/>
        <v>3</v>
      </c>
      <c r="M81" s="9" t="s">
        <v>71</v>
      </c>
      <c r="N81" s="9">
        <f t="shared" si="6"/>
        <v>7.7</v>
      </c>
      <c r="O81" s="9" t="s">
        <v>103</v>
      </c>
      <c r="P81" s="9">
        <f t="shared" si="7"/>
        <v>5</v>
      </c>
      <c r="Q81" s="9" t="s">
        <v>78</v>
      </c>
      <c r="R81" s="9">
        <f t="shared" si="8"/>
        <v>3</v>
      </c>
      <c r="S81" s="9" t="s">
        <v>85</v>
      </c>
      <c r="T81" s="9">
        <f t="shared" si="9"/>
        <v>4</v>
      </c>
      <c r="U81" s="9" t="s">
        <v>96</v>
      </c>
      <c r="V81" s="9">
        <f t="shared" si="10"/>
        <v>2.5</v>
      </c>
      <c r="W81" s="9" t="s">
        <v>143</v>
      </c>
      <c r="X81" s="9">
        <f t="shared" si="11"/>
        <v>1</v>
      </c>
      <c r="Y81" s="9">
        <f t="shared" si="12"/>
        <v>0</v>
      </c>
      <c r="Z81" s="9">
        <f t="shared" si="13"/>
        <v>0</v>
      </c>
      <c r="AA81" s="9">
        <f t="shared" si="14"/>
        <v>0</v>
      </c>
      <c r="AB81" s="9" t="s">
        <v>72</v>
      </c>
      <c r="AC81" s="9">
        <f t="shared" si="15"/>
        <v>1</v>
      </c>
      <c r="AD81" s="9" t="s">
        <v>73</v>
      </c>
      <c r="AE81" s="9">
        <f t="shared" si="16"/>
        <v>2</v>
      </c>
      <c r="AF81" s="9" t="s">
        <v>101</v>
      </c>
      <c r="AG81" s="9">
        <f t="shared" si="17"/>
        <v>2</v>
      </c>
      <c r="AH81" s="9" t="s">
        <v>72</v>
      </c>
      <c r="AI81" s="9">
        <f t="shared" si="18"/>
        <v>1</v>
      </c>
      <c r="AJ81" s="9" t="s">
        <v>77</v>
      </c>
      <c r="AK81" s="9">
        <f t="shared" si="19"/>
        <v>1</v>
      </c>
      <c r="AL81" s="9" t="s">
        <v>120</v>
      </c>
      <c r="AM81" s="9">
        <f t="shared" si="20"/>
        <v>5</v>
      </c>
      <c r="AN81" s="9" t="s">
        <v>73</v>
      </c>
      <c r="AO81" s="9">
        <f t="shared" si="21"/>
        <v>2</v>
      </c>
      <c r="AP81" s="9" t="s">
        <v>73</v>
      </c>
      <c r="AQ81" s="9">
        <f t="shared" si="22"/>
        <v>2</v>
      </c>
      <c r="AR81" s="9" t="s">
        <v>73</v>
      </c>
      <c r="AS81" s="9">
        <f t="shared" si="23"/>
        <v>2</v>
      </c>
      <c r="AT81" s="9" t="s">
        <v>125</v>
      </c>
      <c r="AU81" s="9">
        <f t="shared" si="24"/>
        <v>0</v>
      </c>
      <c r="AV81" s="9">
        <f t="shared" si="25"/>
        <v>0</v>
      </c>
      <c r="AW81" s="9">
        <f t="shared" si="26"/>
        <v>0</v>
      </c>
      <c r="AX81" s="9">
        <f t="shared" si="27"/>
        <v>1</v>
      </c>
      <c r="AY81" s="9">
        <f t="shared" si="28"/>
        <v>0</v>
      </c>
      <c r="AZ81" s="9">
        <f t="shared" si="29"/>
        <v>0</v>
      </c>
      <c r="BA81" s="9">
        <f t="shared" si="30"/>
        <v>0</v>
      </c>
      <c r="BB81" s="9" t="s">
        <v>88</v>
      </c>
      <c r="BC81" s="9">
        <f t="shared" si="31"/>
        <v>2</v>
      </c>
      <c r="BD81" s="12"/>
      <c r="BE81" s="9" t="str">
        <f t="shared" si="44"/>
        <v>N/A</v>
      </c>
      <c r="BF81" s="9" t="s">
        <v>129</v>
      </c>
      <c r="BG81" s="9">
        <f t="shared" si="33"/>
        <v>0</v>
      </c>
      <c r="BH81" s="9">
        <f t="shared" si="34"/>
        <v>0</v>
      </c>
      <c r="BI81" s="9">
        <f t="shared" si="35"/>
        <v>0</v>
      </c>
      <c r="BJ81" s="9">
        <f t="shared" si="36"/>
        <v>0</v>
      </c>
      <c r="BK81" s="9">
        <f t="shared" si="37"/>
        <v>0</v>
      </c>
      <c r="BL81" s="9">
        <f t="shared" si="38"/>
        <v>1</v>
      </c>
      <c r="BM81" s="9">
        <f t="shared" si="39"/>
        <v>0</v>
      </c>
      <c r="BN81" s="9" t="s">
        <v>108</v>
      </c>
      <c r="BO81" s="11">
        <f t="shared" si="40"/>
        <v>3</v>
      </c>
    </row>
    <row r="82" ht="22.5" customHeight="1">
      <c r="A82" s="9">
        <f t="shared" si="41"/>
        <v>81</v>
      </c>
      <c r="B82" s="10">
        <v>46050.74967071759</v>
      </c>
      <c r="C82" s="9" t="s">
        <v>67</v>
      </c>
      <c r="D82" s="9">
        <f t="shared" si="1"/>
        <v>1</v>
      </c>
      <c r="E82" s="9" t="s">
        <v>68</v>
      </c>
      <c r="F82" s="9">
        <f t="shared" si="2"/>
        <v>1</v>
      </c>
      <c r="G82" s="9" t="s">
        <v>69</v>
      </c>
      <c r="H82" s="9" t="str">
        <f t="shared" si="3"/>
        <v>Rural</v>
      </c>
      <c r="I82" s="9">
        <f t="shared" si="4"/>
        <v>1</v>
      </c>
      <c r="J82" s="9" t="s">
        <v>83</v>
      </c>
      <c r="K82" s="9" t="s">
        <v>84</v>
      </c>
      <c r="L82" s="9">
        <f t="shared" si="5"/>
        <v>2</v>
      </c>
      <c r="M82" s="9" t="s">
        <v>101</v>
      </c>
      <c r="N82" s="9">
        <f t="shared" si="6"/>
        <v>2</v>
      </c>
      <c r="O82" s="9" t="s">
        <v>72</v>
      </c>
      <c r="P82" s="9">
        <f t="shared" si="7"/>
        <v>1</v>
      </c>
      <c r="Q82" s="9" t="s">
        <v>103</v>
      </c>
      <c r="R82" s="9">
        <f t="shared" si="8"/>
        <v>5</v>
      </c>
      <c r="S82" s="9" t="s">
        <v>72</v>
      </c>
      <c r="T82" s="9">
        <f t="shared" si="9"/>
        <v>1</v>
      </c>
      <c r="U82" s="9" t="s">
        <v>74</v>
      </c>
      <c r="V82" s="9">
        <f t="shared" si="10"/>
        <v>1.5</v>
      </c>
      <c r="W82" s="9" t="s">
        <v>93</v>
      </c>
      <c r="X82" s="9">
        <f t="shared" si="11"/>
        <v>0</v>
      </c>
      <c r="Y82" s="9">
        <f t="shared" si="12"/>
        <v>1</v>
      </c>
      <c r="Z82" s="9">
        <f t="shared" si="13"/>
        <v>0</v>
      </c>
      <c r="AA82" s="9">
        <f t="shared" si="14"/>
        <v>0</v>
      </c>
      <c r="AB82" s="9" t="s">
        <v>72</v>
      </c>
      <c r="AC82" s="9">
        <f t="shared" si="15"/>
        <v>1</v>
      </c>
      <c r="AD82" s="9" t="s">
        <v>72</v>
      </c>
      <c r="AE82" s="9">
        <f t="shared" si="16"/>
        <v>1</v>
      </c>
      <c r="AF82" s="9" t="s">
        <v>71</v>
      </c>
      <c r="AG82" s="9">
        <f t="shared" si="17"/>
        <v>7.7</v>
      </c>
      <c r="AH82" s="9" t="s">
        <v>103</v>
      </c>
      <c r="AI82" s="9">
        <f t="shared" si="18"/>
        <v>5</v>
      </c>
      <c r="AJ82" s="9" t="s">
        <v>78</v>
      </c>
      <c r="AK82" s="9">
        <f t="shared" si="19"/>
        <v>3</v>
      </c>
      <c r="AL82" s="9" t="s">
        <v>85</v>
      </c>
      <c r="AM82" s="9">
        <f t="shared" si="20"/>
        <v>4</v>
      </c>
      <c r="AN82" s="9" t="s">
        <v>120</v>
      </c>
      <c r="AO82" s="9">
        <f t="shared" si="21"/>
        <v>5</v>
      </c>
      <c r="AP82" s="9" t="s">
        <v>120</v>
      </c>
      <c r="AQ82" s="9">
        <f t="shared" si="22"/>
        <v>5</v>
      </c>
      <c r="AR82" s="9" t="s">
        <v>120</v>
      </c>
      <c r="AS82" s="9">
        <f t="shared" si="23"/>
        <v>5</v>
      </c>
      <c r="AT82" s="9" t="s">
        <v>201</v>
      </c>
      <c r="AU82" s="9">
        <f t="shared" si="24"/>
        <v>0</v>
      </c>
      <c r="AV82" s="9">
        <f t="shared" si="25"/>
        <v>1</v>
      </c>
      <c r="AW82" s="9">
        <f t="shared" si="26"/>
        <v>0</v>
      </c>
      <c r="AX82" s="9">
        <f t="shared" si="27"/>
        <v>1</v>
      </c>
      <c r="AY82" s="9">
        <f t="shared" si="28"/>
        <v>1</v>
      </c>
      <c r="AZ82" s="9">
        <f t="shared" si="29"/>
        <v>1</v>
      </c>
      <c r="BA82" s="9">
        <f t="shared" si="30"/>
        <v>0</v>
      </c>
      <c r="BB82" s="9" t="s">
        <v>88</v>
      </c>
      <c r="BC82" s="9">
        <f t="shared" si="31"/>
        <v>2</v>
      </c>
      <c r="BD82" s="12"/>
      <c r="BE82" s="9" t="str">
        <f t="shared" si="44"/>
        <v>N/A</v>
      </c>
      <c r="BF82" s="9" t="s">
        <v>89</v>
      </c>
      <c r="BG82" s="9">
        <f t="shared" si="33"/>
        <v>1</v>
      </c>
      <c r="BH82" s="9">
        <f t="shared" si="34"/>
        <v>1</v>
      </c>
      <c r="BI82" s="9">
        <f t="shared" si="35"/>
        <v>1</v>
      </c>
      <c r="BJ82" s="9">
        <f t="shared" si="36"/>
        <v>1</v>
      </c>
      <c r="BK82" s="9">
        <f t="shared" si="37"/>
        <v>1</v>
      </c>
      <c r="BL82" s="9">
        <f t="shared" si="38"/>
        <v>1</v>
      </c>
      <c r="BM82" s="9">
        <f t="shared" si="39"/>
        <v>1</v>
      </c>
      <c r="BN82" s="9" t="s">
        <v>68</v>
      </c>
      <c r="BO82" s="11">
        <f t="shared" si="40"/>
        <v>1</v>
      </c>
    </row>
    <row r="83" ht="22.5" customHeight="1">
      <c r="A83" s="9">
        <f t="shared" si="41"/>
        <v>82</v>
      </c>
      <c r="B83" s="10">
        <v>46050.75009400463</v>
      </c>
      <c r="C83" s="9" t="s">
        <v>90</v>
      </c>
      <c r="D83" s="9">
        <f t="shared" si="1"/>
        <v>2</v>
      </c>
      <c r="E83" s="9" t="s">
        <v>68</v>
      </c>
      <c r="F83" s="9">
        <f t="shared" si="2"/>
        <v>1</v>
      </c>
      <c r="G83" s="9" t="s">
        <v>82</v>
      </c>
      <c r="H83" s="9" t="str">
        <f t="shared" si="3"/>
        <v>Urban</v>
      </c>
      <c r="I83" s="9">
        <f t="shared" si="4"/>
        <v>2</v>
      </c>
      <c r="J83" s="9" t="s">
        <v>70</v>
      </c>
      <c r="K83" s="9" t="s">
        <v>100</v>
      </c>
      <c r="L83" s="9">
        <f t="shared" si="5"/>
        <v>3</v>
      </c>
      <c r="M83" s="9" t="s">
        <v>76</v>
      </c>
      <c r="N83" s="9">
        <f t="shared" si="6"/>
        <v>5.5</v>
      </c>
      <c r="O83" s="9" t="s">
        <v>73</v>
      </c>
      <c r="P83" s="9">
        <f t="shared" si="7"/>
        <v>2</v>
      </c>
      <c r="Q83" s="9" t="s">
        <v>85</v>
      </c>
      <c r="R83" s="9">
        <f t="shared" si="8"/>
        <v>4</v>
      </c>
      <c r="S83" s="9" t="s">
        <v>78</v>
      </c>
      <c r="T83" s="9">
        <f t="shared" si="9"/>
        <v>3</v>
      </c>
      <c r="U83" s="9" t="s">
        <v>92</v>
      </c>
      <c r="V83" s="9">
        <f t="shared" si="10"/>
        <v>3.5</v>
      </c>
      <c r="W83" s="9" t="s">
        <v>86</v>
      </c>
      <c r="X83" s="9">
        <f t="shared" si="11"/>
        <v>1</v>
      </c>
      <c r="Y83" s="9">
        <f t="shared" si="12"/>
        <v>1</v>
      </c>
      <c r="Z83" s="9">
        <f t="shared" si="13"/>
        <v>1</v>
      </c>
      <c r="AA83" s="9">
        <f t="shared" si="14"/>
        <v>0</v>
      </c>
      <c r="AB83" s="9" t="s">
        <v>78</v>
      </c>
      <c r="AC83" s="9">
        <f t="shared" si="15"/>
        <v>3</v>
      </c>
      <c r="AD83" s="9" t="s">
        <v>78</v>
      </c>
      <c r="AE83" s="9">
        <f t="shared" si="16"/>
        <v>3</v>
      </c>
      <c r="AF83" s="9" t="s">
        <v>71</v>
      </c>
      <c r="AG83" s="9">
        <f t="shared" si="17"/>
        <v>7.7</v>
      </c>
      <c r="AH83" s="9" t="s">
        <v>78</v>
      </c>
      <c r="AI83" s="9">
        <f t="shared" si="18"/>
        <v>3</v>
      </c>
      <c r="AJ83" s="9" t="s">
        <v>73</v>
      </c>
      <c r="AK83" s="9">
        <f t="shared" si="19"/>
        <v>2</v>
      </c>
      <c r="AL83" s="9" t="s">
        <v>85</v>
      </c>
      <c r="AM83" s="9">
        <f t="shared" si="20"/>
        <v>4</v>
      </c>
      <c r="AN83" s="9" t="s">
        <v>78</v>
      </c>
      <c r="AO83" s="9">
        <f t="shared" si="21"/>
        <v>3</v>
      </c>
      <c r="AP83" s="9" t="s">
        <v>78</v>
      </c>
      <c r="AQ83" s="9">
        <f t="shared" si="22"/>
        <v>3</v>
      </c>
      <c r="AR83" s="9" t="s">
        <v>78</v>
      </c>
      <c r="AS83" s="9">
        <f t="shared" si="23"/>
        <v>3</v>
      </c>
      <c r="AT83" s="9" t="s">
        <v>131</v>
      </c>
      <c r="AU83" s="9">
        <f t="shared" si="24"/>
        <v>1</v>
      </c>
      <c r="AV83" s="9">
        <f t="shared" si="25"/>
        <v>1</v>
      </c>
      <c r="AW83" s="9">
        <f t="shared" si="26"/>
        <v>0</v>
      </c>
      <c r="AX83" s="9">
        <f t="shared" si="27"/>
        <v>0</v>
      </c>
      <c r="AY83" s="9">
        <f t="shared" si="28"/>
        <v>0</v>
      </c>
      <c r="AZ83" s="9">
        <f t="shared" si="29"/>
        <v>1</v>
      </c>
      <c r="BA83" s="9">
        <f t="shared" si="30"/>
        <v>0</v>
      </c>
      <c r="BB83" s="9" t="s">
        <v>88</v>
      </c>
      <c r="BC83" s="9">
        <f t="shared" si="31"/>
        <v>2</v>
      </c>
      <c r="BD83" s="12"/>
      <c r="BE83" s="9" t="str">
        <f t="shared" si="44"/>
        <v>N/A</v>
      </c>
      <c r="BF83" s="9" t="s">
        <v>202</v>
      </c>
      <c r="BG83" s="9">
        <f t="shared" si="33"/>
        <v>1</v>
      </c>
      <c r="BH83" s="9">
        <f t="shared" si="34"/>
        <v>0</v>
      </c>
      <c r="BI83" s="9">
        <f t="shared" si="35"/>
        <v>1</v>
      </c>
      <c r="BJ83" s="9">
        <f t="shared" si="36"/>
        <v>1</v>
      </c>
      <c r="BK83" s="9">
        <f t="shared" si="37"/>
        <v>1</v>
      </c>
      <c r="BL83" s="9">
        <f t="shared" si="38"/>
        <v>0</v>
      </c>
      <c r="BM83" s="9">
        <f t="shared" si="39"/>
        <v>1</v>
      </c>
      <c r="BN83" s="9" t="s">
        <v>68</v>
      </c>
      <c r="BO83" s="11">
        <f t="shared" si="40"/>
        <v>1</v>
      </c>
    </row>
    <row r="84" ht="22.5" customHeight="1">
      <c r="A84" s="9">
        <f t="shared" si="41"/>
        <v>83</v>
      </c>
      <c r="B84" s="10">
        <v>46050.75068065972</v>
      </c>
      <c r="C84" s="9" t="s">
        <v>67</v>
      </c>
      <c r="D84" s="9">
        <f t="shared" si="1"/>
        <v>1</v>
      </c>
      <c r="E84" s="9" t="s">
        <v>68</v>
      </c>
      <c r="F84" s="9">
        <f t="shared" si="2"/>
        <v>1</v>
      </c>
      <c r="G84" s="9" t="s">
        <v>91</v>
      </c>
      <c r="H84" s="9" t="str">
        <f t="shared" si="3"/>
        <v>Urban</v>
      </c>
      <c r="I84" s="9">
        <f t="shared" si="4"/>
        <v>2</v>
      </c>
      <c r="J84" s="9" t="s">
        <v>83</v>
      </c>
      <c r="K84" s="9" t="s">
        <v>84</v>
      </c>
      <c r="L84" s="9">
        <f t="shared" si="5"/>
        <v>2</v>
      </c>
      <c r="M84" s="9" t="s">
        <v>101</v>
      </c>
      <c r="N84" s="9">
        <f t="shared" si="6"/>
        <v>2</v>
      </c>
      <c r="O84" s="9" t="s">
        <v>78</v>
      </c>
      <c r="P84" s="9">
        <f t="shared" si="7"/>
        <v>3</v>
      </c>
      <c r="Q84" s="9" t="s">
        <v>78</v>
      </c>
      <c r="R84" s="9">
        <f t="shared" si="8"/>
        <v>3</v>
      </c>
      <c r="S84" s="9" t="s">
        <v>78</v>
      </c>
      <c r="T84" s="9">
        <f t="shared" si="9"/>
        <v>3</v>
      </c>
      <c r="U84" s="9" t="s">
        <v>92</v>
      </c>
      <c r="V84" s="9">
        <f t="shared" si="10"/>
        <v>3.5</v>
      </c>
      <c r="W84" s="9" t="s">
        <v>180</v>
      </c>
      <c r="X84" s="9">
        <f t="shared" si="11"/>
        <v>0</v>
      </c>
      <c r="Y84" s="9">
        <f t="shared" si="12"/>
        <v>1</v>
      </c>
      <c r="Z84" s="9">
        <f t="shared" si="13"/>
        <v>1</v>
      </c>
      <c r="AA84" s="9">
        <f t="shared" si="14"/>
        <v>0</v>
      </c>
      <c r="AB84" s="9" t="s">
        <v>78</v>
      </c>
      <c r="AC84" s="9">
        <f t="shared" si="15"/>
        <v>3</v>
      </c>
      <c r="AD84" s="9" t="s">
        <v>72</v>
      </c>
      <c r="AE84" s="9">
        <f t="shared" si="16"/>
        <v>1</v>
      </c>
      <c r="AF84" s="9" t="s">
        <v>76</v>
      </c>
      <c r="AG84" s="9">
        <f t="shared" si="17"/>
        <v>5.5</v>
      </c>
      <c r="AH84" s="9" t="s">
        <v>85</v>
      </c>
      <c r="AI84" s="9">
        <f t="shared" si="18"/>
        <v>4</v>
      </c>
      <c r="AJ84" s="9" t="s">
        <v>73</v>
      </c>
      <c r="AK84" s="9">
        <f t="shared" si="19"/>
        <v>2</v>
      </c>
      <c r="AL84" s="9" t="s">
        <v>73</v>
      </c>
      <c r="AM84" s="9">
        <f t="shared" si="20"/>
        <v>2</v>
      </c>
      <c r="AN84" s="9" t="s">
        <v>120</v>
      </c>
      <c r="AO84" s="9">
        <f t="shared" si="21"/>
        <v>5</v>
      </c>
      <c r="AP84" s="9" t="s">
        <v>78</v>
      </c>
      <c r="AQ84" s="9">
        <f t="shared" si="22"/>
        <v>3</v>
      </c>
      <c r="AR84" s="9" t="s">
        <v>85</v>
      </c>
      <c r="AS84" s="9">
        <f t="shared" si="23"/>
        <v>4</v>
      </c>
      <c r="AT84" s="9" t="s">
        <v>160</v>
      </c>
      <c r="AU84" s="9">
        <f t="shared" si="24"/>
        <v>1</v>
      </c>
      <c r="AV84" s="9">
        <f t="shared" si="25"/>
        <v>1</v>
      </c>
      <c r="AW84" s="9">
        <f t="shared" si="26"/>
        <v>1</v>
      </c>
      <c r="AX84" s="9">
        <f t="shared" si="27"/>
        <v>1</v>
      </c>
      <c r="AY84" s="9">
        <f t="shared" si="28"/>
        <v>1</v>
      </c>
      <c r="AZ84" s="9">
        <f t="shared" si="29"/>
        <v>1</v>
      </c>
      <c r="BA84" s="9">
        <f t="shared" si="30"/>
        <v>0</v>
      </c>
      <c r="BB84" s="9" t="s">
        <v>88</v>
      </c>
      <c r="BC84" s="9">
        <f t="shared" si="31"/>
        <v>2</v>
      </c>
      <c r="BD84" s="12"/>
      <c r="BE84" s="9" t="str">
        <f t="shared" si="44"/>
        <v>N/A</v>
      </c>
      <c r="BF84" s="9" t="s">
        <v>166</v>
      </c>
      <c r="BG84" s="9">
        <f t="shared" si="33"/>
        <v>1</v>
      </c>
      <c r="BH84" s="9">
        <f t="shared" si="34"/>
        <v>0</v>
      </c>
      <c r="BI84" s="9">
        <f t="shared" si="35"/>
        <v>1</v>
      </c>
      <c r="BJ84" s="9">
        <f t="shared" si="36"/>
        <v>1</v>
      </c>
      <c r="BK84" s="9">
        <f t="shared" si="37"/>
        <v>1</v>
      </c>
      <c r="BL84" s="9">
        <f t="shared" si="38"/>
        <v>1</v>
      </c>
      <c r="BM84" s="9">
        <f t="shared" si="39"/>
        <v>1</v>
      </c>
      <c r="BN84" s="9" t="s">
        <v>88</v>
      </c>
      <c r="BO84" s="11">
        <f t="shared" si="40"/>
        <v>2</v>
      </c>
    </row>
    <row r="85" ht="22.5" customHeight="1">
      <c r="A85" s="9">
        <f t="shared" si="41"/>
        <v>84</v>
      </c>
      <c r="B85" s="10">
        <v>46050.75151628473</v>
      </c>
      <c r="C85" s="9" t="s">
        <v>67</v>
      </c>
      <c r="D85" s="9">
        <f t="shared" si="1"/>
        <v>1</v>
      </c>
      <c r="E85" s="9" t="s">
        <v>68</v>
      </c>
      <c r="F85" s="9">
        <f t="shared" si="2"/>
        <v>1</v>
      </c>
      <c r="G85" s="9" t="s">
        <v>82</v>
      </c>
      <c r="H85" s="9" t="str">
        <f t="shared" si="3"/>
        <v>Urban</v>
      </c>
      <c r="I85" s="9">
        <f t="shared" si="4"/>
        <v>2</v>
      </c>
      <c r="J85" s="9" t="s">
        <v>70</v>
      </c>
      <c r="K85" s="9" t="s">
        <v>100</v>
      </c>
      <c r="L85" s="9">
        <f t="shared" si="5"/>
        <v>3</v>
      </c>
      <c r="M85" s="9" t="s">
        <v>101</v>
      </c>
      <c r="N85" s="9">
        <f t="shared" si="6"/>
        <v>2</v>
      </c>
      <c r="O85" s="9" t="s">
        <v>72</v>
      </c>
      <c r="P85" s="9">
        <f t="shared" si="7"/>
        <v>1</v>
      </c>
      <c r="Q85" s="9" t="s">
        <v>85</v>
      </c>
      <c r="R85" s="9">
        <f t="shared" si="8"/>
        <v>4</v>
      </c>
      <c r="S85" s="9" t="s">
        <v>78</v>
      </c>
      <c r="T85" s="9">
        <f t="shared" si="9"/>
        <v>3</v>
      </c>
      <c r="U85" s="9" t="s">
        <v>74</v>
      </c>
      <c r="V85" s="9">
        <f t="shared" si="10"/>
        <v>1.5</v>
      </c>
      <c r="W85" s="9" t="s">
        <v>86</v>
      </c>
      <c r="X85" s="9">
        <f t="shared" si="11"/>
        <v>1</v>
      </c>
      <c r="Y85" s="9">
        <f t="shared" si="12"/>
        <v>1</v>
      </c>
      <c r="Z85" s="9">
        <f t="shared" si="13"/>
        <v>1</v>
      </c>
      <c r="AA85" s="9">
        <f t="shared" si="14"/>
        <v>0</v>
      </c>
      <c r="AB85" s="9" t="s">
        <v>85</v>
      </c>
      <c r="AC85" s="9">
        <f t="shared" si="15"/>
        <v>4</v>
      </c>
      <c r="AD85" s="9" t="s">
        <v>78</v>
      </c>
      <c r="AE85" s="9">
        <f t="shared" si="16"/>
        <v>3</v>
      </c>
      <c r="AF85" s="9" t="s">
        <v>71</v>
      </c>
      <c r="AG85" s="9">
        <f t="shared" si="17"/>
        <v>7.7</v>
      </c>
      <c r="AH85" s="9" t="s">
        <v>85</v>
      </c>
      <c r="AI85" s="9">
        <f t="shared" si="18"/>
        <v>4</v>
      </c>
      <c r="AJ85" s="9" t="s">
        <v>73</v>
      </c>
      <c r="AK85" s="9">
        <f t="shared" si="19"/>
        <v>2</v>
      </c>
      <c r="AL85" s="9" t="s">
        <v>85</v>
      </c>
      <c r="AM85" s="9">
        <f t="shared" si="20"/>
        <v>4</v>
      </c>
      <c r="AN85" s="9" t="s">
        <v>85</v>
      </c>
      <c r="AO85" s="9">
        <f t="shared" si="21"/>
        <v>4</v>
      </c>
      <c r="AP85" s="9" t="s">
        <v>85</v>
      </c>
      <c r="AQ85" s="9">
        <f t="shared" si="22"/>
        <v>4</v>
      </c>
      <c r="AR85" s="9" t="s">
        <v>85</v>
      </c>
      <c r="AS85" s="9">
        <f t="shared" si="23"/>
        <v>4</v>
      </c>
      <c r="AT85" s="9" t="s">
        <v>203</v>
      </c>
      <c r="AU85" s="9">
        <f t="shared" si="24"/>
        <v>1</v>
      </c>
      <c r="AV85" s="9">
        <f t="shared" si="25"/>
        <v>1</v>
      </c>
      <c r="AW85" s="9">
        <f t="shared" si="26"/>
        <v>1</v>
      </c>
      <c r="AX85" s="9">
        <f t="shared" si="27"/>
        <v>0</v>
      </c>
      <c r="AY85" s="9">
        <f t="shared" si="28"/>
        <v>1</v>
      </c>
      <c r="AZ85" s="9">
        <f t="shared" si="29"/>
        <v>1</v>
      </c>
      <c r="BA85" s="9">
        <f t="shared" si="30"/>
        <v>0</v>
      </c>
      <c r="BB85" s="9" t="s">
        <v>88</v>
      </c>
      <c r="BC85" s="9">
        <f t="shared" si="31"/>
        <v>2</v>
      </c>
      <c r="BD85" s="12"/>
      <c r="BE85" s="9" t="str">
        <f t="shared" si="44"/>
        <v>N/A</v>
      </c>
      <c r="BF85" s="9" t="s">
        <v>126</v>
      </c>
      <c r="BG85" s="9">
        <f t="shared" si="33"/>
        <v>1</v>
      </c>
      <c r="BH85" s="9">
        <f t="shared" si="34"/>
        <v>0</v>
      </c>
      <c r="BI85" s="9">
        <f t="shared" si="35"/>
        <v>1</v>
      </c>
      <c r="BJ85" s="9">
        <f t="shared" si="36"/>
        <v>1</v>
      </c>
      <c r="BK85" s="9">
        <f t="shared" si="37"/>
        <v>1</v>
      </c>
      <c r="BL85" s="9">
        <f t="shared" si="38"/>
        <v>1</v>
      </c>
      <c r="BM85" s="9">
        <f t="shared" si="39"/>
        <v>0</v>
      </c>
      <c r="BN85" s="9" t="s">
        <v>68</v>
      </c>
      <c r="BO85" s="11">
        <f t="shared" si="40"/>
        <v>1</v>
      </c>
    </row>
    <row r="86" ht="22.5" customHeight="1">
      <c r="A86" s="9">
        <f t="shared" si="41"/>
        <v>85</v>
      </c>
      <c r="B86" s="10">
        <v>46050.75313282407</v>
      </c>
      <c r="C86" s="9" t="s">
        <v>90</v>
      </c>
      <c r="D86" s="9">
        <f t="shared" si="1"/>
        <v>2</v>
      </c>
      <c r="E86" s="9" t="s">
        <v>68</v>
      </c>
      <c r="F86" s="9">
        <f t="shared" si="2"/>
        <v>1</v>
      </c>
      <c r="G86" s="9" t="s">
        <v>82</v>
      </c>
      <c r="H86" s="9" t="str">
        <f t="shared" si="3"/>
        <v>Urban</v>
      </c>
      <c r="I86" s="9">
        <f t="shared" si="4"/>
        <v>2</v>
      </c>
      <c r="J86" s="9" t="s">
        <v>83</v>
      </c>
      <c r="K86" s="9" t="s">
        <v>84</v>
      </c>
      <c r="L86" s="9">
        <f t="shared" si="5"/>
        <v>2</v>
      </c>
      <c r="M86" s="9" t="s">
        <v>76</v>
      </c>
      <c r="N86" s="9">
        <f t="shared" si="6"/>
        <v>5.5</v>
      </c>
      <c r="O86" s="9" t="s">
        <v>78</v>
      </c>
      <c r="P86" s="9">
        <f t="shared" si="7"/>
        <v>3</v>
      </c>
      <c r="Q86" s="9" t="s">
        <v>85</v>
      </c>
      <c r="R86" s="9">
        <f t="shared" si="8"/>
        <v>4</v>
      </c>
      <c r="S86" s="9" t="s">
        <v>103</v>
      </c>
      <c r="T86" s="9">
        <f t="shared" si="9"/>
        <v>5</v>
      </c>
      <c r="U86" s="9" t="s">
        <v>74</v>
      </c>
      <c r="V86" s="9">
        <f t="shared" si="10"/>
        <v>1.5</v>
      </c>
      <c r="W86" s="9" t="s">
        <v>102</v>
      </c>
      <c r="X86" s="9">
        <f t="shared" si="11"/>
        <v>1</v>
      </c>
      <c r="Y86" s="9">
        <f t="shared" si="12"/>
        <v>1</v>
      </c>
      <c r="Z86" s="9">
        <f t="shared" si="13"/>
        <v>1</v>
      </c>
      <c r="AA86" s="9">
        <f t="shared" si="14"/>
        <v>1</v>
      </c>
      <c r="AB86" s="9" t="s">
        <v>78</v>
      </c>
      <c r="AC86" s="9">
        <f t="shared" si="15"/>
        <v>3</v>
      </c>
      <c r="AD86" s="9" t="s">
        <v>78</v>
      </c>
      <c r="AE86" s="9">
        <f t="shared" si="16"/>
        <v>3</v>
      </c>
      <c r="AF86" s="9" t="s">
        <v>76</v>
      </c>
      <c r="AG86" s="9">
        <f t="shared" si="17"/>
        <v>5.5</v>
      </c>
      <c r="AH86" s="9" t="s">
        <v>78</v>
      </c>
      <c r="AI86" s="9">
        <f t="shared" si="18"/>
        <v>3</v>
      </c>
      <c r="AJ86" s="9" t="s">
        <v>73</v>
      </c>
      <c r="AK86" s="9">
        <f t="shared" si="19"/>
        <v>2</v>
      </c>
      <c r="AL86" s="9" t="s">
        <v>77</v>
      </c>
      <c r="AM86" s="9">
        <f t="shared" si="20"/>
        <v>1</v>
      </c>
      <c r="AN86" s="9" t="s">
        <v>73</v>
      </c>
      <c r="AO86" s="9">
        <f t="shared" si="21"/>
        <v>2</v>
      </c>
      <c r="AP86" s="9" t="s">
        <v>78</v>
      </c>
      <c r="AQ86" s="9">
        <f t="shared" si="22"/>
        <v>3</v>
      </c>
      <c r="AR86" s="9" t="s">
        <v>78</v>
      </c>
      <c r="AS86" s="9">
        <f t="shared" si="23"/>
        <v>3</v>
      </c>
      <c r="AT86" s="9" t="s">
        <v>194</v>
      </c>
      <c r="AU86" s="9">
        <f t="shared" si="24"/>
        <v>0</v>
      </c>
      <c r="AV86" s="9">
        <f t="shared" si="25"/>
        <v>0</v>
      </c>
      <c r="AW86" s="9">
        <f t="shared" si="26"/>
        <v>1</v>
      </c>
      <c r="AX86" s="9">
        <f t="shared" si="27"/>
        <v>1</v>
      </c>
      <c r="AY86" s="9">
        <f t="shared" si="28"/>
        <v>0</v>
      </c>
      <c r="AZ86" s="9">
        <f t="shared" si="29"/>
        <v>1</v>
      </c>
      <c r="BA86" s="9">
        <f t="shared" si="30"/>
        <v>0</v>
      </c>
      <c r="BB86" s="9" t="s">
        <v>88</v>
      </c>
      <c r="BC86" s="9">
        <f t="shared" si="31"/>
        <v>2</v>
      </c>
      <c r="BD86" s="12"/>
      <c r="BE86" s="9" t="str">
        <f t="shared" si="44"/>
        <v>N/A</v>
      </c>
      <c r="BF86" s="9" t="s">
        <v>204</v>
      </c>
      <c r="BG86" s="9">
        <f t="shared" si="33"/>
        <v>0</v>
      </c>
      <c r="BH86" s="9">
        <f t="shared" si="34"/>
        <v>0</v>
      </c>
      <c r="BI86" s="9">
        <f t="shared" si="35"/>
        <v>1</v>
      </c>
      <c r="BJ86" s="9">
        <f t="shared" si="36"/>
        <v>1</v>
      </c>
      <c r="BK86" s="9">
        <f t="shared" si="37"/>
        <v>1</v>
      </c>
      <c r="BL86" s="9">
        <f t="shared" si="38"/>
        <v>0</v>
      </c>
      <c r="BM86" s="9">
        <f t="shared" si="39"/>
        <v>0</v>
      </c>
      <c r="BN86" s="9" t="s">
        <v>108</v>
      </c>
      <c r="BO86" s="11">
        <f t="shared" si="40"/>
        <v>3</v>
      </c>
    </row>
    <row r="87" ht="22.5" customHeight="1">
      <c r="A87" s="9">
        <f t="shared" si="41"/>
        <v>86</v>
      </c>
      <c r="B87" s="10">
        <v>46050.75350868056</v>
      </c>
      <c r="C87" s="9" t="s">
        <v>90</v>
      </c>
      <c r="D87" s="9">
        <f t="shared" si="1"/>
        <v>2</v>
      </c>
      <c r="E87" s="9" t="s">
        <v>68</v>
      </c>
      <c r="F87" s="9">
        <f t="shared" si="2"/>
        <v>1</v>
      </c>
      <c r="G87" s="9" t="s">
        <v>82</v>
      </c>
      <c r="H87" s="9" t="str">
        <f t="shared" si="3"/>
        <v>Urban</v>
      </c>
      <c r="I87" s="9">
        <f t="shared" si="4"/>
        <v>2</v>
      </c>
      <c r="J87" s="9" t="s">
        <v>70</v>
      </c>
      <c r="K87" s="9" t="s">
        <v>100</v>
      </c>
      <c r="L87" s="9">
        <f t="shared" si="5"/>
        <v>3</v>
      </c>
      <c r="M87" s="9" t="s">
        <v>71</v>
      </c>
      <c r="N87" s="9">
        <f t="shared" si="6"/>
        <v>7.7</v>
      </c>
      <c r="O87" s="9" t="s">
        <v>78</v>
      </c>
      <c r="P87" s="9">
        <f t="shared" si="7"/>
        <v>3</v>
      </c>
      <c r="Q87" s="9" t="s">
        <v>85</v>
      </c>
      <c r="R87" s="9">
        <f t="shared" si="8"/>
        <v>4</v>
      </c>
      <c r="S87" s="9" t="s">
        <v>78</v>
      </c>
      <c r="T87" s="9">
        <f t="shared" si="9"/>
        <v>3</v>
      </c>
      <c r="U87" s="9" t="s">
        <v>96</v>
      </c>
      <c r="V87" s="9">
        <f t="shared" si="10"/>
        <v>2.5</v>
      </c>
      <c r="W87" s="9" t="s">
        <v>143</v>
      </c>
      <c r="X87" s="9">
        <f t="shared" si="11"/>
        <v>1</v>
      </c>
      <c r="Y87" s="9">
        <f t="shared" si="12"/>
        <v>0</v>
      </c>
      <c r="Z87" s="9">
        <f t="shared" si="13"/>
        <v>0</v>
      </c>
      <c r="AA87" s="9">
        <f t="shared" si="14"/>
        <v>0</v>
      </c>
      <c r="AB87" s="9" t="s">
        <v>72</v>
      </c>
      <c r="AC87" s="9">
        <f t="shared" si="15"/>
        <v>1</v>
      </c>
      <c r="AD87" s="9" t="s">
        <v>78</v>
      </c>
      <c r="AE87" s="9">
        <f t="shared" si="16"/>
        <v>3</v>
      </c>
      <c r="AF87" s="9" t="s">
        <v>71</v>
      </c>
      <c r="AG87" s="9">
        <f t="shared" si="17"/>
        <v>7.7</v>
      </c>
      <c r="AH87" s="9" t="s">
        <v>78</v>
      </c>
      <c r="AI87" s="9">
        <f t="shared" si="18"/>
        <v>3</v>
      </c>
      <c r="AJ87" s="9" t="s">
        <v>78</v>
      </c>
      <c r="AK87" s="9">
        <f t="shared" si="19"/>
        <v>3</v>
      </c>
      <c r="AL87" s="9" t="s">
        <v>78</v>
      </c>
      <c r="AM87" s="9">
        <f t="shared" si="20"/>
        <v>3</v>
      </c>
      <c r="AN87" s="9" t="s">
        <v>78</v>
      </c>
      <c r="AO87" s="9">
        <f t="shared" si="21"/>
        <v>3</v>
      </c>
      <c r="AP87" s="9" t="s">
        <v>78</v>
      </c>
      <c r="AQ87" s="9">
        <f t="shared" si="22"/>
        <v>3</v>
      </c>
      <c r="AR87" s="9" t="s">
        <v>78</v>
      </c>
      <c r="AS87" s="9">
        <f t="shared" si="23"/>
        <v>3</v>
      </c>
      <c r="AT87" s="9" t="s">
        <v>133</v>
      </c>
      <c r="AU87" s="9">
        <f t="shared" si="24"/>
        <v>0</v>
      </c>
      <c r="AV87" s="9">
        <f t="shared" si="25"/>
        <v>1</v>
      </c>
      <c r="AW87" s="9">
        <f t="shared" si="26"/>
        <v>0</v>
      </c>
      <c r="AX87" s="9">
        <f t="shared" si="27"/>
        <v>0</v>
      </c>
      <c r="AY87" s="9">
        <f t="shared" si="28"/>
        <v>0</v>
      </c>
      <c r="AZ87" s="9">
        <f t="shared" si="29"/>
        <v>0</v>
      </c>
      <c r="BA87" s="9">
        <f t="shared" si="30"/>
        <v>0</v>
      </c>
      <c r="BB87" s="9" t="s">
        <v>88</v>
      </c>
      <c r="BC87" s="9">
        <f t="shared" si="31"/>
        <v>2</v>
      </c>
      <c r="BD87" s="12"/>
      <c r="BE87" s="9" t="str">
        <f t="shared" si="44"/>
        <v>N/A</v>
      </c>
      <c r="BF87" s="9" t="s">
        <v>205</v>
      </c>
      <c r="BG87" s="9">
        <f t="shared" si="33"/>
        <v>0</v>
      </c>
      <c r="BH87" s="9">
        <f t="shared" si="34"/>
        <v>0</v>
      </c>
      <c r="BI87" s="9">
        <f t="shared" si="35"/>
        <v>1</v>
      </c>
      <c r="BJ87" s="9">
        <f t="shared" si="36"/>
        <v>0</v>
      </c>
      <c r="BK87" s="9">
        <f t="shared" si="37"/>
        <v>0</v>
      </c>
      <c r="BL87" s="9">
        <f t="shared" si="38"/>
        <v>0</v>
      </c>
      <c r="BM87" s="9">
        <f t="shared" si="39"/>
        <v>1</v>
      </c>
      <c r="BN87" s="9" t="s">
        <v>108</v>
      </c>
      <c r="BO87" s="11">
        <f t="shared" si="40"/>
        <v>3</v>
      </c>
    </row>
    <row r="88" ht="22.5" customHeight="1">
      <c r="A88" s="9">
        <f t="shared" si="41"/>
        <v>87</v>
      </c>
      <c r="B88" s="10">
        <v>46050.754648055554</v>
      </c>
      <c r="C88" s="9" t="s">
        <v>67</v>
      </c>
      <c r="D88" s="9">
        <f t="shared" si="1"/>
        <v>1</v>
      </c>
      <c r="E88" s="9" t="s">
        <v>68</v>
      </c>
      <c r="F88" s="9">
        <f t="shared" si="2"/>
        <v>1</v>
      </c>
      <c r="G88" s="9" t="s">
        <v>69</v>
      </c>
      <c r="H88" s="9" t="str">
        <f t="shared" si="3"/>
        <v>Rural</v>
      </c>
      <c r="I88" s="9">
        <f t="shared" si="4"/>
        <v>1</v>
      </c>
      <c r="J88" s="9" t="s">
        <v>145</v>
      </c>
      <c r="K88" s="9" t="s">
        <v>146</v>
      </c>
      <c r="L88" s="9">
        <f t="shared" si="5"/>
        <v>1</v>
      </c>
      <c r="M88" s="9" t="s">
        <v>109</v>
      </c>
      <c r="N88" s="9">
        <f t="shared" si="6"/>
        <v>9</v>
      </c>
      <c r="O88" s="9" t="s">
        <v>72</v>
      </c>
      <c r="P88" s="9">
        <f t="shared" si="7"/>
        <v>1</v>
      </c>
      <c r="Q88" s="9" t="s">
        <v>103</v>
      </c>
      <c r="R88" s="9">
        <f t="shared" si="8"/>
        <v>5</v>
      </c>
      <c r="S88" s="9" t="s">
        <v>103</v>
      </c>
      <c r="T88" s="9">
        <f t="shared" si="9"/>
        <v>5</v>
      </c>
      <c r="U88" s="9" t="s">
        <v>110</v>
      </c>
      <c r="V88" s="9">
        <f t="shared" si="10"/>
        <v>0.75</v>
      </c>
      <c r="W88" s="9" t="s">
        <v>122</v>
      </c>
      <c r="X88" s="9">
        <f t="shared" si="11"/>
        <v>0</v>
      </c>
      <c r="Y88" s="9">
        <f t="shared" si="12"/>
        <v>0</v>
      </c>
      <c r="Z88" s="9">
        <f t="shared" si="13"/>
        <v>1</v>
      </c>
      <c r="AA88" s="9">
        <f t="shared" si="14"/>
        <v>0</v>
      </c>
      <c r="AB88" s="9" t="s">
        <v>103</v>
      </c>
      <c r="AC88" s="9">
        <f t="shared" si="15"/>
        <v>5</v>
      </c>
      <c r="AD88" s="9" t="s">
        <v>103</v>
      </c>
      <c r="AE88" s="9">
        <f t="shared" si="16"/>
        <v>5</v>
      </c>
      <c r="AF88" s="9" t="s">
        <v>109</v>
      </c>
      <c r="AG88" s="9">
        <f t="shared" si="17"/>
        <v>9</v>
      </c>
      <c r="AH88" s="9" t="s">
        <v>103</v>
      </c>
      <c r="AI88" s="9">
        <f t="shared" si="18"/>
        <v>5</v>
      </c>
      <c r="AJ88" s="9" t="s">
        <v>120</v>
      </c>
      <c r="AK88" s="9">
        <f t="shared" si="19"/>
        <v>5</v>
      </c>
      <c r="AL88" s="9" t="s">
        <v>120</v>
      </c>
      <c r="AM88" s="9">
        <f t="shared" si="20"/>
        <v>5</v>
      </c>
      <c r="AN88" s="9" t="s">
        <v>120</v>
      </c>
      <c r="AO88" s="9">
        <f t="shared" si="21"/>
        <v>5</v>
      </c>
      <c r="AP88" s="9" t="s">
        <v>120</v>
      </c>
      <c r="AQ88" s="9">
        <f t="shared" si="22"/>
        <v>5</v>
      </c>
      <c r="AR88" s="9" t="s">
        <v>120</v>
      </c>
      <c r="AS88" s="9">
        <f t="shared" si="23"/>
        <v>5</v>
      </c>
      <c r="AT88" s="9" t="s">
        <v>104</v>
      </c>
      <c r="AU88" s="9">
        <f t="shared" si="24"/>
        <v>1</v>
      </c>
      <c r="AV88" s="9">
        <f t="shared" si="25"/>
        <v>1</v>
      </c>
      <c r="AW88" s="9">
        <f t="shared" si="26"/>
        <v>1</v>
      </c>
      <c r="AX88" s="9">
        <f t="shared" si="27"/>
        <v>1</v>
      </c>
      <c r="AY88" s="9">
        <f t="shared" si="28"/>
        <v>1</v>
      </c>
      <c r="AZ88" s="9">
        <f t="shared" si="29"/>
        <v>1</v>
      </c>
      <c r="BA88" s="9">
        <f t="shared" si="30"/>
        <v>1</v>
      </c>
      <c r="BB88" s="9" t="s">
        <v>88</v>
      </c>
      <c r="BC88" s="9">
        <f t="shared" si="31"/>
        <v>2</v>
      </c>
      <c r="BD88" s="12"/>
      <c r="BE88" s="9" t="str">
        <f t="shared" si="44"/>
        <v>N/A</v>
      </c>
      <c r="BF88" s="9" t="s">
        <v>89</v>
      </c>
      <c r="BG88" s="9">
        <f t="shared" si="33"/>
        <v>1</v>
      </c>
      <c r="BH88" s="9">
        <f t="shared" si="34"/>
        <v>1</v>
      </c>
      <c r="BI88" s="9">
        <f t="shared" si="35"/>
        <v>1</v>
      </c>
      <c r="BJ88" s="9">
        <f t="shared" si="36"/>
        <v>1</v>
      </c>
      <c r="BK88" s="9">
        <f t="shared" si="37"/>
        <v>1</v>
      </c>
      <c r="BL88" s="9">
        <f t="shared" si="38"/>
        <v>1</v>
      </c>
      <c r="BM88" s="9">
        <f t="shared" si="39"/>
        <v>1</v>
      </c>
      <c r="BN88" s="9" t="s">
        <v>68</v>
      </c>
      <c r="BO88" s="11">
        <f t="shared" si="40"/>
        <v>1</v>
      </c>
    </row>
    <row r="89" ht="22.5" customHeight="1">
      <c r="A89" s="9">
        <f t="shared" si="41"/>
        <v>88</v>
      </c>
      <c r="B89" s="10">
        <v>46050.759200243054</v>
      </c>
      <c r="C89" s="9" t="s">
        <v>67</v>
      </c>
      <c r="D89" s="9">
        <f t="shared" si="1"/>
        <v>1</v>
      </c>
      <c r="E89" s="9" t="s">
        <v>68</v>
      </c>
      <c r="F89" s="9">
        <f t="shared" si="2"/>
        <v>1</v>
      </c>
      <c r="G89" s="9" t="s">
        <v>69</v>
      </c>
      <c r="H89" s="9" t="str">
        <f t="shared" si="3"/>
        <v>Rural</v>
      </c>
      <c r="I89" s="9">
        <f t="shared" si="4"/>
        <v>1</v>
      </c>
      <c r="J89" s="9" t="s">
        <v>145</v>
      </c>
      <c r="K89" s="9" t="s">
        <v>146</v>
      </c>
      <c r="L89" s="9">
        <f t="shared" si="5"/>
        <v>1</v>
      </c>
      <c r="M89" s="9" t="s">
        <v>109</v>
      </c>
      <c r="N89" s="9">
        <f t="shared" si="6"/>
        <v>9</v>
      </c>
      <c r="O89" s="9" t="s">
        <v>72</v>
      </c>
      <c r="P89" s="9">
        <f t="shared" si="7"/>
        <v>1</v>
      </c>
      <c r="Q89" s="12"/>
      <c r="R89" s="9" t="str">
        <f t="shared" si="8"/>
        <v>N/A</v>
      </c>
      <c r="S89" s="12"/>
      <c r="T89" s="9" t="str">
        <f t="shared" si="9"/>
        <v>N/A</v>
      </c>
      <c r="U89" s="9" t="s">
        <v>92</v>
      </c>
      <c r="V89" s="9">
        <f t="shared" si="10"/>
        <v>3.5</v>
      </c>
      <c r="W89" s="9" t="s">
        <v>143</v>
      </c>
      <c r="X89" s="9">
        <f t="shared" si="11"/>
        <v>1</v>
      </c>
      <c r="Y89" s="9">
        <f t="shared" si="12"/>
        <v>0</v>
      </c>
      <c r="Z89" s="9">
        <f t="shared" si="13"/>
        <v>0</v>
      </c>
      <c r="AA89" s="9">
        <f t="shared" si="14"/>
        <v>0</v>
      </c>
      <c r="AB89" s="12"/>
      <c r="AC89" s="9" t="str">
        <f t="shared" si="15"/>
        <v>N/A</v>
      </c>
      <c r="AD89" s="9" t="s">
        <v>73</v>
      </c>
      <c r="AE89" s="9">
        <f t="shared" si="16"/>
        <v>2</v>
      </c>
      <c r="AF89" s="9" t="s">
        <v>109</v>
      </c>
      <c r="AG89" s="9">
        <f t="shared" si="17"/>
        <v>9</v>
      </c>
      <c r="AH89" s="9" t="s">
        <v>85</v>
      </c>
      <c r="AI89" s="9">
        <f t="shared" si="18"/>
        <v>4</v>
      </c>
      <c r="AJ89" s="9" t="s">
        <v>73</v>
      </c>
      <c r="AK89" s="9">
        <f t="shared" si="19"/>
        <v>2</v>
      </c>
      <c r="AL89" s="12"/>
      <c r="AM89" s="9" t="str">
        <f t="shared" si="20"/>
        <v>N/A</v>
      </c>
      <c r="AN89" s="12"/>
      <c r="AO89" s="9" t="str">
        <f t="shared" si="21"/>
        <v>N/A</v>
      </c>
      <c r="AP89" s="12"/>
      <c r="AQ89" s="9" t="str">
        <f t="shared" si="22"/>
        <v>N/A</v>
      </c>
      <c r="AR89" s="12"/>
      <c r="AS89" s="9" t="str">
        <f t="shared" si="23"/>
        <v>N/A</v>
      </c>
      <c r="AT89" s="9" t="s">
        <v>133</v>
      </c>
      <c r="AU89" s="9">
        <f t="shared" si="24"/>
        <v>0</v>
      </c>
      <c r="AV89" s="9">
        <f t="shared" si="25"/>
        <v>1</v>
      </c>
      <c r="AW89" s="9">
        <f t="shared" si="26"/>
        <v>0</v>
      </c>
      <c r="AX89" s="9">
        <f t="shared" si="27"/>
        <v>0</v>
      </c>
      <c r="AY89" s="9">
        <f t="shared" si="28"/>
        <v>0</v>
      </c>
      <c r="AZ89" s="9">
        <f t="shared" si="29"/>
        <v>0</v>
      </c>
      <c r="BA89" s="9">
        <f t="shared" si="30"/>
        <v>0</v>
      </c>
      <c r="BB89" s="9" t="s">
        <v>88</v>
      </c>
      <c r="BC89" s="9">
        <f t="shared" si="31"/>
        <v>2</v>
      </c>
      <c r="BD89" s="12"/>
      <c r="BE89" s="9" t="str">
        <f t="shared" si="44"/>
        <v>N/A</v>
      </c>
      <c r="BF89" s="9" t="s">
        <v>113</v>
      </c>
      <c r="BG89" s="9">
        <f t="shared" si="33"/>
        <v>0</v>
      </c>
      <c r="BH89" s="9">
        <f t="shared" si="34"/>
        <v>0</v>
      </c>
      <c r="BI89" s="9">
        <f t="shared" si="35"/>
        <v>0</v>
      </c>
      <c r="BJ89" s="9">
        <f t="shared" si="36"/>
        <v>0</v>
      </c>
      <c r="BK89" s="9">
        <f t="shared" si="37"/>
        <v>0</v>
      </c>
      <c r="BL89" s="9">
        <f t="shared" si="38"/>
        <v>0</v>
      </c>
      <c r="BM89" s="9">
        <f t="shared" si="39"/>
        <v>1</v>
      </c>
      <c r="BN89" s="9" t="s">
        <v>68</v>
      </c>
      <c r="BO89" s="11">
        <f t="shared" si="40"/>
        <v>1</v>
      </c>
    </row>
    <row r="90" ht="22.5" customHeight="1">
      <c r="A90" s="9">
        <f t="shared" si="41"/>
        <v>89</v>
      </c>
      <c r="B90" s="10">
        <v>46050.762939513894</v>
      </c>
      <c r="C90" s="9" t="s">
        <v>90</v>
      </c>
      <c r="D90" s="9">
        <f t="shared" si="1"/>
        <v>2</v>
      </c>
      <c r="E90" s="9" t="s">
        <v>68</v>
      </c>
      <c r="F90" s="9">
        <f t="shared" si="2"/>
        <v>1</v>
      </c>
      <c r="G90" s="9" t="s">
        <v>69</v>
      </c>
      <c r="H90" s="9" t="str">
        <f t="shared" si="3"/>
        <v>Rural</v>
      </c>
      <c r="I90" s="9">
        <f t="shared" si="4"/>
        <v>1</v>
      </c>
      <c r="J90" s="9" t="s">
        <v>70</v>
      </c>
      <c r="K90" s="9" t="s">
        <v>100</v>
      </c>
      <c r="L90" s="9">
        <f t="shared" si="5"/>
        <v>3</v>
      </c>
      <c r="M90" s="9" t="s">
        <v>101</v>
      </c>
      <c r="N90" s="9">
        <f t="shared" si="6"/>
        <v>2</v>
      </c>
      <c r="O90" s="9" t="s">
        <v>78</v>
      </c>
      <c r="P90" s="9">
        <f t="shared" si="7"/>
        <v>3</v>
      </c>
      <c r="Q90" s="9" t="s">
        <v>85</v>
      </c>
      <c r="R90" s="9">
        <f t="shared" si="8"/>
        <v>4</v>
      </c>
      <c r="S90" s="9" t="s">
        <v>73</v>
      </c>
      <c r="T90" s="9">
        <f t="shared" si="9"/>
        <v>2</v>
      </c>
      <c r="U90" s="9" t="s">
        <v>96</v>
      </c>
      <c r="V90" s="9">
        <f t="shared" si="10"/>
        <v>2.5</v>
      </c>
      <c r="W90" s="9" t="s">
        <v>93</v>
      </c>
      <c r="X90" s="9">
        <f t="shared" si="11"/>
        <v>0</v>
      </c>
      <c r="Y90" s="9">
        <f t="shared" si="12"/>
        <v>1</v>
      </c>
      <c r="Z90" s="9">
        <f t="shared" si="13"/>
        <v>0</v>
      </c>
      <c r="AA90" s="9">
        <f t="shared" si="14"/>
        <v>0</v>
      </c>
      <c r="AB90" s="9" t="s">
        <v>85</v>
      </c>
      <c r="AC90" s="9">
        <f t="shared" si="15"/>
        <v>4</v>
      </c>
      <c r="AD90" s="9" t="s">
        <v>85</v>
      </c>
      <c r="AE90" s="9">
        <f t="shared" si="16"/>
        <v>4</v>
      </c>
      <c r="AF90" s="9" t="s">
        <v>109</v>
      </c>
      <c r="AG90" s="9">
        <f t="shared" si="17"/>
        <v>9</v>
      </c>
      <c r="AH90" s="9" t="s">
        <v>78</v>
      </c>
      <c r="AI90" s="9">
        <f t="shared" si="18"/>
        <v>3</v>
      </c>
      <c r="AJ90" s="9" t="s">
        <v>73</v>
      </c>
      <c r="AK90" s="9">
        <f t="shared" si="19"/>
        <v>2</v>
      </c>
      <c r="AL90" s="9" t="s">
        <v>78</v>
      </c>
      <c r="AM90" s="9">
        <f t="shared" si="20"/>
        <v>3</v>
      </c>
      <c r="AN90" s="9" t="s">
        <v>85</v>
      </c>
      <c r="AO90" s="9">
        <f t="shared" si="21"/>
        <v>4</v>
      </c>
      <c r="AP90" s="9" t="s">
        <v>85</v>
      </c>
      <c r="AQ90" s="9">
        <f t="shared" si="22"/>
        <v>4</v>
      </c>
      <c r="AR90" s="9" t="s">
        <v>85</v>
      </c>
      <c r="AS90" s="9">
        <f t="shared" si="23"/>
        <v>4</v>
      </c>
      <c r="AT90" s="9" t="s">
        <v>147</v>
      </c>
      <c r="AU90" s="9">
        <f t="shared" si="24"/>
        <v>1</v>
      </c>
      <c r="AV90" s="9">
        <f t="shared" si="25"/>
        <v>0</v>
      </c>
      <c r="AW90" s="9">
        <f t="shared" si="26"/>
        <v>0</v>
      </c>
      <c r="AX90" s="9">
        <f t="shared" si="27"/>
        <v>0</v>
      </c>
      <c r="AY90" s="9">
        <f t="shared" si="28"/>
        <v>0</v>
      </c>
      <c r="AZ90" s="9">
        <f t="shared" si="29"/>
        <v>0</v>
      </c>
      <c r="BA90" s="9">
        <f t="shared" si="30"/>
        <v>0</v>
      </c>
      <c r="BB90" s="9" t="s">
        <v>88</v>
      </c>
      <c r="BC90" s="9">
        <f t="shared" si="31"/>
        <v>2</v>
      </c>
      <c r="BD90" s="12"/>
      <c r="BE90" s="9" t="str">
        <f t="shared" si="44"/>
        <v>N/A</v>
      </c>
      <c r="BF90" s="9" t="s">
        <v>206</v>
      </c>
      <c r="BG90" s="9">
        <f t="shared" si="33"/>
        <v>1</v>
      </c>
      <c r="BH90" s="9">
        <f t="shared" si="34"/>
        <v>0</v>
      </c>
      <c r="BI90" s="9">
        <f t="shared" si="35"/>
        <v>0</v>
      </c>
      <c r="BJ90" s="9">
        <f t="shared" si="36"/>
        <v>1</v>
      </c>
      <c r="BK90" s="9">
        <f t="shared" si="37"/>
        <v>0</v>
      </c>
      <c r="BL90" s="9">
        <f t="shared" si="38"/>
        <v>0</v>
      </c>
      <c r="BM90" s="9">
        <f t="shared" si="39"/>
        <v>0</v>
      </c>
      <c r="BN90" s="9" t="s">
        <v>68</v>
      </c>
      <c r="BO90" s="11">
        <f t="shared" si="40"/>
        <v>1</v>
      </c>
    </row>
    <row r="91" ht="22.5" customHeight="1">
      <c r="A91" s="9">
        <f t="shared" si="41"/>
        <v>90</v>
      </c>
      <c r="B91" s="10">
        <v>46050.7728534375</v>
      </c>
      <c r="C91" s="9" t="s">
        <v>67</v>
      </c>
      <c r="D91" s="9">
        <f t="shared" si="1"/>
        <v>1</v>
      </c>
      <c r="E91" s="9" t="s">
        <v>68</v>
      </c>
      <c r="F91" s="9">
        <f t="shared" si="2"/>
        <v>1</v>
      </c>
      <c r="G91" s="9" t="s">
        <v>91</v>
      </c>
      <c r="H91" s="9" t="str">
        <f t="shared" si="3"/>
        <v>Urban</v>
      </c>
      <c r="I91" s="9">
        <f t="shared" si="4"/>
        <v>2</v>
      </c>
      <c r="J91" s="9" t="s">
        <v>70</v>
      </c>
      <c r="K91" s="9" t="s">
        <v>100</v>
      </c>
      <c r="L91" s="9">
        <f t="shared" si="5"/>
        <v>3</v>
      </c>
      <c r="M91" s="9" t="s">
        <v>71</v>
      </c>
      <c r="N91" s="9">
        <f t="shared" si="6"/>
        <v>7.7</v>
      </c>
      <c r="O91" s="9" t="s">
        <v>78</v>
      </c>
      <c r="P91" s="9">
        <f t="shared" si="7"/>
        <v>3</v>
      </c>
      <c r="Q91" s="9" t="s">
        <v>72</v>
      </c>
      <c r="R91" s="9">
        <f t="shared" si="8"/>
        <v>1</v>
      </c>
      <c r="S91" s="9" t="s">
        <v>85</v>
      </c>
      <c r="T91" s="9">
        <f t="shared" si="9"/>
        <v>4</v>
      </c>
      <c r="U91" s="9" t="s">
        <v>74</v>
      </c>
      <c r="V91" s="9">
        <f t="shared" si="10"/>
        <v>1.5</v>
      </c>
      <c r="W91" s="9" t="s">
        <v>86</v>
      </c>
      <c r="X91" s="9">
        <f t="shared" si="11"/>
        <v>1</v>
      </c>
      <c r="Y91" s="9">
        <f t="shared" si="12"/>
        <v>1</v>
      </c>
      <c r="Z91" s="9">
        <f t="shared" si="13"/>
        <v>1</v>
      </c>
      <c r="AA91" s="9">
        <f t="shared" si="14"/>
        <v>0</v>
      </c>
      <c r="AB91" s="9" t="s">
        <v>72</v>
      </c>
      <c r="AC91" s="9">
        <f t="shared" si="15"/>
        <v>1</v>
      </c>
      <c r="AD91" s="9" t="s">
        <v>103</v>
      </c>
      <c r="AE91" s="9">
        <f t="shared" si="16"/>
        <v>5</v>
      </c>
      <c r="AF91" s="9" t="s">
        <v>76</v>
      </c>
      <c r="AG91" s="9">
        <f t="shared" si="17"/>
        <v>5.5</v>
      </c>
      <c r="AH91" s="9" t="s">
        <v>85</v>
      </c>
      <c r="AI91" s="9">
        <f t="shared" si="18"/>
        <v>4</v>
      </c>
      <c r="AJ91" s="9" t="s">
        <v>77</v>
      </c>
      <c r="AK91" s="9">
        <f t="shared" si="19"/>
        <v>1</v>
      </c>
      <c r="AL91" s="9" t="s">
        <v>85</v>
      </c>
      <c r="AM91" s="9">
        <f t="shared" si="20"/>
        <v>4</v>
      </c>
      <c r="AN91" s="9" t="s">
        <v>85</v>
      </c>
      <c r="AO91" s="9">
        <f t="shared" si="21"/>
        <v>4</v>
      </c>
      <c r="AP91" s="9" t="s">
        <v>85</v>
      </c>
      <c r="AQ91" s="9">
        <f t="shared" si="22"/>
        <v>4</v>
      </c>
      <c r="AR91" s="9" t="s">
        <v>85</v>
      </c>
      <c r="AS91" s="9">
        <f t="shared" si="23"/>
        <v>4</v>
      </c>
      <c r="AT91" s="9" t="s">
        <v>207</v>
      </c>
      <c r="AU91" s="9">
        <f t="shared" si="24"/>
        <v>1</v>
      </c>
      <c r="AV91" s="9">
        <f t="shared" si="25"/>
        <v>0</v>
      </c>
      <c r="AW91" s="9">
        <f t="shared" si="26"/>
        <v>0</v>
      </c>
      <c r="AX91" s="9">
        <f t="shared" si="27"/>
        <v>0</v>
      </c>
      <c r="AY91" s="9">
        <f t="shared" si="28"/>
        <v>1</v>
      </c>
      <c r="AZ91" s="9">
        <f t="shared" si="29"/>
        <v>1</v>
      </c>
      <c r="BA91" s="9">
        <f t="shared" si="30"/>
        <v>0</v>
      </c>
      <c r="BB91" s="9" t="s">
        <v>88</v>
      </c>
      <c r="BC91" s="9">
        <f t="shared" si="31"/>
        <v>2</v>
      </c>
      <c r="BD91" s="12"/>
      <c r="BE91" s="9" t="str">
        <f t="shared" si="44"/>
        <v>N/A</v>
      </c>
      <c r="BF91" s="12"/>
      <c r="BG91" s="9">
        <f t="shared" si="33"/>
        <v>0</v>
      </c>
      <c r="BH91" s="9">
        <f t="shared" si="34"/>
        <v>0</v>
      </c>
      <c r="BI91" s="9">
        <f t="shared" si="35"/>
        <v>0</v>
      </c>
      <c r="BJ91" s="9">
        <f t="shared" si="36"/>
        <v>0</v>
      </c>
      <c r="BK91" s="9">
        <f t="shared" si="37"/>
        <v>0</v>
      </c>
      <c r="BL91" s="9">
        <f t="shared" si="38"/>
        <v>0</v>
      </c>
      <c r="BM91" s="9">
        <f t="shared" si="39"/>
        <v>0</v>
      </c>
      <c r="BN91" s="9" t="s">
        <v>88</v>
      </c>
      <c r="BO91" s="11">
        <f t="shared" si="40"/>
        <v>2</v>
      </c>
    </row>
    <row r="92" ht="22.5" customHeight="1">
      <c r="A92" s="9">
        <f t="shared" si="41"/>
        <v>91</v>
      </c>
      <c r="B92" s="10">
        <v>46050.77662924769</v>
      </c>
      <c r="C92" s="9" t="s">
        <v>90</v>
      </c>
      <c r="D92" s="9">
        <f t="shared" si="1"/>
        <v>2</v>
      </c>
      <c r="E92" s="9" t="s">
        <v>68</v>
      </c>
      <c r="F92" s="9">
        <f t="shared" si="2"/>
        <v>1</v>
      </c>
      <c r="G92" s="9" t="s">
        <v>69</v>
      </c>
      <c r="H92" s="9" t="str">
        <f t="shared" si="3"/>
        <v>Rural</v>
      </c>
      <c r="I92" s="9">
        <f t="shared" si="4"/>
        <v>1</v>
      </c>
      <c r="J92" s="9" t="s">
        <v>70</v>
      </c>
      <c r="K92" s="9" t="s">
        <v>100</v>
      </c>
      <c r="L92" s="9">
        <f t="shared" si="5"/>
        <v>3</v>
      </c>
      <c r="M92" s="9" t="s">
        <v>101</v>
      </c>
      <c r="N92" s="9">
        <f t="shared" si="6"/>
        <v>2</v>
      </c>
      <c r="O92" s="12"/>
      <c r="P92" s="9" t="str">
        <f t="shared" si="7"/>
        <v>N/A</v>
      </c>
      <c r="Q92" s="9" t="s">
        <v>72</v>
      </c>
      <c r="R92" s="9">
        <f t="shared" si="8"/>
        <v>1</v>
      </c>
      <c r="S92" s="12"/>
      <c r="T92" s="9" t="str">
        <f t="shared" si="9"/>
        <v>N/A</v>
      </c>
      <c r="U92" s="9" t="s">
        <v>96</v>
      </c>
      <c r="V92" s="9">
        <f t="shared" si="10"/>
        <v>2.5</v>
      </c>
      <c r="W92" s="9" t="s">
        <v>105</v>
      </c>
      <c r="X92" s="9">
        <f t="shared" si="11"/>
        <v>1</v>
      </c>
      <c r="Y92" s="9">
        <f t="shared" si="12"/>
        <v>1</v>
      </c>
      <c r="Z92" s="9">
        <f t="shared" si="13"/>
        <v>0</v>
      </c>
      <c r="AA92" s="9">
        <f t="shared" si="14"/>
        <v>0</v>
      </c>
      <c r="AB92" s="9" t="s">
        <v>85</v>
      </c>
      <c r="AC92" s="9">
        <f t="shared" si="15"/>
        <v>4</v>
      </c>
      <c r="AD92" s="12"/>
      <c r="AE92" s="9" t="str">
        <f t="shared" si="16"/>
        <v>N/A</v>
      </c>
      <c r="AF92" s="9" t="s">
        <v>76</v>
      </c>
      <c r="AG92" s="9">
        <f t="shared" si="17"/>
        <v>5.5</v>
      </c>
      <c r="AH92" s="9" t="s">
        <v>78</v>
      </c>
      <c r="AI92" s="9">
        <f t="shared" si="18"/>
        <v>3</v>
      </c>
      <c r="AJ92" s="9" t="s">
        <v>85</v>
      </c>
      <c r="AK92" s="9">
        <f t="shared" si="19"/>
        <v>4</v>
      </c>
      <c r="AL92" s="9" t="s">
        <v>85</v>
      </c>
      <c r="AM92" s="9">
        <f t="shared" si="20"/>
        <v>4</v>
      </c>
      <c r="AN92" s="9" t="s">
        <v>85</v>
      </c>
      <c r="AO92" s="9">
        <f t="shared" si="21"/>
        <v>4</v>
      </c>
      <c r="AP92" s="9" t="s">
        <v>85</v>
      </c>
      <c r="AQ92" s="9">
        <f t="shared" si="22"/>
        <v>4</v>
      </c>
      <c r="AR92" s="9" t="s">
        <v>78</v>
      </c>
      <c r="AS92" s="9">
        <f t="shared" si="23"/>
        <v>3</v>
      </c>
      <c r="AT92" s="9" t="s">
        <v>208</v>
      </c>
      <c r="AU92" s="9">
        <f t="shared" si="24"/>
        <v>0</v>
      </c>
      <c r="AV92" s="9">
        <f t="shared" si="25"/>
        <v>1</v>
      </c>
      <c r="AW92" s="9">
        <f t="shared" si="26"/>
        <v>1</v>
      </c>
      <c r="AX92" s="9">
        <f t="shared" si="27"/>
        <v>0</v>
      </c>
      <c r="AY92" s="9">
        <f t="shared" si="28"/>
        <v>1</v>
      </c>
      <c r="AZ92" s="9">
        <f t="shared" si="29"/>
        <v>0</v>
      </c>
      <c r="BA92" s="9">
        <f t="shared" si="30"/>
        <v>0</v>
      </c>
      <c r="BB92" s="9" t="s">
        <v>88</v>
      </c>
      <c r="BC92" s="9">
        <f t="shared" si="31"/>
        <v>2</v>
      </c>
      <c r="BD92" s="12"/>
      <c r="BE92" s="9" t="str">
        <f t="shared" si="44"/>
        <v>N/A</v>
      </c>
      <c r="BF92" s="9" t="s">
        <v>107</v>
      </c>
      <c r="BG92" s="9">
        <f t="shared" si="33"/>
        <v>1</v>
      </c>
      <c r="BH92" s="9">
        <f t="shared" si="34"/>
        <v>0</v>
      </c>
      <c r="BI92" s="9">
        <f t="shared" si="35"/>
        <v>0</v>
      </c>
      <c r="BJ92" s="9">
        <f t="shared" si="36"/>
        <v>0</v>
      </c>
      <c r="BK92" s="9">
        <f t="shared" si="37"/>
        <v>0</v>
      </c>
      <c r="BL92" s="9">
        <f t="shared" si="38"/>
        <v>0</v>
      </c>
      <c r="BM92" s="9">
        <f t="shared" si="39"/>
        <v>0</v>
      </c>
      <c r="BN92" s="9" t="s">
        <v>108</v>
      </c>
      <c r="BO92" s="11">
        <f t="shared" si="40"/>
        <v>3</v>
      </c>
    </row>
    <row r="93" ht="22.5" customHeight="1">
      <c r="A93" s="9">
        <f t="shared" si="41"/>
        <v>92</v>
      </c>
      <c r="B93" s="10">
        <v>46050.78511525463</v>
      </c>
      <c r="C93" s="9" t="s">
        <v>90</v>
      </c>
      <c r="D93" s="9">
        <f t="shared" si="1"/>
        <v>2</v>
      </c>
      <c r="E93" s="9" t="s">
        <v>68</v>
      </c>
      <c r="F93" s="9">
        <f t="shared" si="2"/>
        <v>1</v>
      </c>
      <c r="G93" s="9" t="s">
        <v>69</v>
      </c>
      <c r="H93" s="9" t="str">
        <f t="shared" si="3"/>
        <v>Rural</v>
      </c>
      <c r="I93" s="9">
        <f t="shared" si="4"/>
        <v>1</v>
      </c>
      <c r="J93" s="9" t="s">
        <v>145</v>
      </c>
      <c r="K93" s="9" t="s">
        <v>146</v>
      </c>
      <c r="L93" s="9">
        <f t="shared" si="5"/>
        <v>1</v>
      </c>
      <c r="M93" s="9" t="s">
        <v>76</v>
      </c>
      <c r="N93" s="9">
        <f t="shared" si="6"/>
        <v>5.5</v>
      </c>
      <c r="O93" s="9" t="s">
        <v>73</v>
      </c>
      <c r="P93" s="9">
        <f t="shared" si="7"/>
        <v>2</v>
      </c>
      <c r="Q93" s="9" t="s">
        <v>85</v>
      </c>
      <c r="R93" s="9">
        <f t="shared" si="8"/>
        <v>4</v>
      </c>
      <c r="S93" s="9" t="s">
        <v>73</v>
      </c>
      <c r="T93" s="9">
        <f t="shared" si="9"/>
        <v>2</v>
      </c>
      <c r="U93" s="9" t="s">
        <v>74</v>
      </c>
      <c r="V93" s="9">
        <f t="shared" si="10"/>
        <v>1.5</v>
      </c>
      <c r="W93" s="9" t="s">
        <v>209</v>
      </c>
      <c r="X93" s="9">
        <f t="shared" si="11"/>
        <v>0</v>
      </c>
      <c r="Y93" s="9">
        <f t="shared" si="12"/>
        <v>0</v>
      </c>
      <c r="Z93" s="9">
        <f t="shared" si="13"/>
        <v>0</v>
      </c>
      <c r="AA93" s="9">
        <f t="shared" si="14"/>
        <v>0</v>
      </c>
      <c r="AB93" s="9" t="s">
        <v>73</v>
      </c>
      <c r="AC93" s="9">
        <f t="shared" si="15"/>
        <v>2</v>
      </c>
      <c r="AD93" s="9" t="s">
        <v>73</v>
      </c>
      <c r="AE93" s="9">
        <f t="shared" si="16"/>
        <v>2</v>
      </c>
      <c r="AF93" s="9" t="s">
        <v>71</v>
      </c>
      <c r="AG93" s="9">
        <f t="shared" si="17"/>
        <v>7.7</v>
      </c>
      <c r="AH93" s="9" t="s">
        <v>103</v>
      </c>
      <c r="AI93" s="9">
        <f t="shared" si="18"/>
        <v>5</v>
      </c>
      <c r="AJ93" s="9" t="s">
        <v>73</v>
      </c>
      <c r="AK93" s="9">
        <f t="shared" si="19"/>
        <v>2</v>
      </c>
      <c r="AL93" s="9" t="s">
        <v>78</v>
      </c>
      <c r="AM93" s="9">
        <f t="shared" si="20"/>
        <v>3</v>
      </c>
      <c r="AN93" s="9" t="s">
        <v>85</v>
      </c>
      <c r="AO93" s="9">
        <f t="shared" si="21"/>
        <v>4</v>
      </c>
      <c r="AP93" s="9" t="s">
        <v>85</v>
      </c>
      <c r="AQ93" s="9">
        <f t="shared" si="22"/>
        <v>4</v>
      </c>
      <c r="AR93" s="9" t="s">
        <v>78</v>
      </c>
      <c r="AS93" s="9">
        <f t="shared" si="23"/>
        <v>3</v>
      </c>
      <c r="AT93" s="9" t="s">
        <v>98</v>
      </c>
      <c r="AU93" s="9">
        <f t="shared" si="24"/>
        <v>0</v>
      </c>
      <c r="AV93" s="9">
        <f t="shared" si="25"/>
        <v>1</v>
      </c>
      <c r="AW93" s="9">
        <f t="shared" si="26"/>
        <v>0</v>
      </c>
      <c r="AX93" s="9">
        <f t="shared" si="27"/>
        <v>0</v>
      </c>
      <c r="AY93" s="9">
        <f t="shared" si="28"/>
        <v>0</v>
      </c>
      <c r="AZ93" s="9">
        <f t="shared" si="29"/>
        <v>1</v>
      </c>
      <c r="BA93" s="9">
        <f t="shared" si="30"/>
        <v>0</v>
      </c>
      <c r="BB93" s="9" t="s">
        <v>88</v>
      </c>
      <c r="BC93" s="9">
        <f t="shared" si="31"/>
        <v>2</v>
      </c>
      <c r="BD93" s="12"/>
      <c r="BE93" s="9" t="str">
        <f t="shared" si="44"/>
        <v>N/A</v>
      </c>
      <c r="BF93" s="9" t="s">
        <v>119</v>
      </c>
      <c r="BG93" s="9">
        <f t="shared" si="33"/>
        <v>1</v>
      </c>
      <c r="BH93" s="9">
        <f t="shared" si="34"/>
        <v>0</v>
      </c>
      <c r="BI93" s="9">
        <f t="shared" si="35"/>
        <v>0</v>
      </c>
      <c r="BJ93" s="9">
        <f t="shared" si="36"/>
        <v>0</v>
      </c>
      <c r="BK93" s="9">
        <f t="shared" si="37"/>
        <v>0</v>
      </c>
      <c r="BL93" s="9">
        <f t="shared" si="38"/>
        <v>0</v>
      </c>
      <c r="BM93" s="9">
        <f t="shared" si="39"/>
        <v>1</v>
      </c>
      <c r="BN93" s="9" t="s">
        <v>108</v>
      </c>
      <c r="BO93" s="11">
        <f t="shared" si="40"/>
        <v>3</v>
      </c>
    </row>
    <row r="94" ht="22.5" customHeight="1">
      <c r="A94" s="9">
        <f t="shared" si="41"/>
        <v>93</v>
      </c>
      <c r="B94" s="10">
        <v>46050.78981702546</v>
      </c>
      <c r="C94" s="9" t="s">
        <v>90</v>
      </c>
      <c r="D94" s="9">
        <f t="shared" si="1"/>
        <v>2</v>
      </c>
      <c r="E94" s="9" t="s">
        <v>68</v>
      </c>
      <c r="F94" s="9">
        <f t="shared" si="2"/>
        <v>1</v>
      </c>
      <c r="G94" s="9" t="s">
        <v>91</v>
      </c>
      <c r="H94" s="9" t="str">
        <f t="shared" si="3"/>
        <v>Urban</v>
      </c>
      <c r="I94" s="9">
        <f t="shared" si="4"/>
        <v>2</v>
      </c>
      <c r="J94" s="9" t="s">
        <v>70</v>
      </c>
      <c r="K94" s="9" t="s">
        <v>100</v>
      </c>
      <c r="L94" s="9">
        <f t="shared" si="5"/>
        <v>3</v>
      </c>
      <c r="M94" s="9" t="s">
        <v>101</v>
      </c>
      <c r="N94" s="9">
        <f t="shared" si="6"/>
        <v>2</v>
      </c>
      <c r="O94" s="9" t="s">
        <v>73</v>
      </c>
      <c r="P94" s="9">
        <f t="shared" si="7"/>
        <v>2</v>
      </c>
      <c r="Q94" s="9" t="s">
        <v>85</v>
      </c>
      <c r="R94" s="9">
        <f t="shared" si="8"/>
        <v>4</v>
      </c>
      <c r="S94" s="9" t="s">
        <v>85</v>
      </c>
      <c r="T94" s="9">
        <f t="shared" si="9"/>
        <v>4</v>
      </c>
      <c r="U94" s="9" t="s">
        <v>96</v>
      </c>
      <c r="V94" s="9">
        <f t="shared" si="10"/>
        <v>2.5</v>
      </c>
      <c r="W94" s="9" t="s">
        <v>86</v>
      </c>
      <c r="X94" s="9">
        <f t="shared" si="11"/>
        <v>1</v>
      </c>
      <c r="Y94" s="9">
        <f t="shared" si="12"/>
        <v>1</v>
      </c>
      <c r="Z94" s="9">
        <f t="shared" si="13"/>
        <v>1</v>
      </c>
      <c r="AA94" s="9">
        <f t="shared" si="14"/>
        <v>0</v>
      </c>
      <c r="AB94" s="9" t="s">
        <v>85</v>
      </c>
      <c r="AC94" s="9">
        <f t="shared" si="15"/>
        <v>4</v>
      </c>
      <c r="AD94" s="9" t="s">
        <v>73</v>
      </c>
      <c r="AE94" s="9">
        <f t="shared" si="16"/>
        <v>2</v>
      </c>
      <c r="AF94" s="9" t="s">
        <v>109</v>
      </c>
      <c r="AG94" s="9">
        <f t="shared" si="17"/>
        <v>9</v>
      </c>
      <c r="AH94" s="9" t="s">
        <v>103</v>
      </c>
      <c r="AI94" s="9">
        <f t="shared" si="18"/>
        <v>5</v>
      </c>
      <c r="AJ94" s="9" t="s">
        <v>85</v>
      </c>
      <c r="AK94" s="9">
        <f t="shared" si="19"/>
        <v>4</v>
      </c>
      <c r="AL94" s="9" t="s">
        <v>73</v>
      </c>
      <c r="AM94" s="9">
        <f t="shared" si="20"/>
        <v>2</v>
      </c>
      <c r="AN94" s="9" t="s">
        <v>85</v>
      </c>
      <c r="AO94" s="9">
        <f t="shared" si="21"/>
        <v>4</v>
      </c>
      <c r="AP94" s="9" t="s">
        <v>85</v>
      </c>
      <c r="AQ94" s="9">
        <f t="shared" si="22"/>
        <v>4</v>
      </c>
      <c r="AR94" s="9" t="s">
        <v>85</v>
      </c>
      <c r="AS94" s="9">
        <f t="shared" si="23"/>
        <v>4</v>
      </c>
      <c r="AT94" s="9" t="s">
        <v>210</v>
      </c>
      <c r="AU94" s="9">
        <f t="shared" si="24"/>
        <v>1</v>
      </c>
      <c r="AV94" s="9">
        <f t="shared" si="25"/>
        <v>1</v>
      </c>
      <c r="AW94" s="9">
        <f t="shared" si="26"/>
        <v>1</v>
      </c>
      <c r="AX94" s="9">
        <f t="shared" si="27"/>
        <v>1</v>
      </c>
      <c r="AY94" s="9">
        <f t="shared" si="28"/>
        <v>0</v>
      </c>
      <c r="AZ94" s="9">
        <f t="shared" si="29"/>
        <v>1</v>
      </c>
      <c r="BA94" s="9">
        <f t="shared" si="30"/>
        <v>0</v>
      </c>
      <c r="BB94" s="9" t="s">
        <v>88</v>
      </c>
      <c r="BC94" s="9">
        <f t="shared" si="31"/>
        <v>2</v>
      </c>
      <c r="BD94" s="12"/>
      <c r="BE94" s="9" t="str">
        <f t="shared" si="44"/>
        <v>N/A</v>
      </c>
      <c r="BF94" s="9" t="s">
        <v>211</v>
      </c>
      <c r="BG94" s="9">
        <f t="shared" si="33"/>
        <v>1</v>
      </c>
      <c r="BH94" s="9">
        <f t="shared" si="34"/>
        <v>0</v>
      </c>
      <c r="BI94" s="9">
        <f t="shared" si="35"/>
        <v>1</v>
      </c>
      <c r="BJ94" s="9">
        <f t="shared" si="36"/>
        <v>1</v>
      </c>
      <c r="BK94" s="9">
        <f t="shared" si="37"/>
        <v>1</v>
      </c>
      <c r="BL94" s="9">
        <f t="shared" si="38"/>
        <v>0</v>
      </c>
      <c r="BM94" s="9">
        <f t="shared" si="39"/>
        <v>0</v>
      </c>
      <c r="BN94" s="9" t="s">
        <v>68</v>
      </c>
      <c r="BO94" s="11">
        <f t="shared" si="40"/>
        <v>1</v>
      </c>
    </row>
    <row r="95" ht="22.5" customHeight="1">
      <c r="A95" s="9">
        <f t="shared" si="41"/>
        <v>94</v>
      </c>
      <c r="B95" s="10">
        <v>46050.795721145834</v>
      </c>
      <c r="C95" s="9" t="s">
        <v>90</v>
      </c>
      <c r="D95" s="9">
        <f t="shared" si="1"/>
        <v>2</v>
      </c>
      <c r="E95" s="9" t="s">
        <v>68</v>
      </c>
      <c r="F95" s="9">
        <f t="shared" si="2"/>
        <v>1</v>
      </c>
      <c r="G95" s="9" t="s">
        <v>82</v>
      </c>
      <c r="H95" s="9" t="str">
        <f t="shared" si="3"/>
        <v>Urban</v>
      </c>
      <c r="I95" s="9">
        <f t="shared" si="4"/>
        <v>2</v>
      </c>
      <c r="J95" s="9" t="s">
        <v>70</v>
      </c>
      <c r="K95" s="9" t="s">
        <v>100</v>
      </c>
      <c r="L95" s="9">
        <f t="shared" si="5"/>
        <v>3</v>
      </c>
      <c r="M95" s="9" t="s">
        <v>71</v>
      </c>
      <c r="N95" s="9">
        <f t="shared" si="6"/>
        <v>7.7</v>
      </c>
      <c r="O95" s="9" t="s">
        <v>78</v>
      </c>
      <c r="P95" s="9">
        <f t="shared" si="7"/>
        <v>3</v>
      </c>
      <c r="Q95" s="9" t="s">
        <v>73</v>
      </c>
      <c r="R95" s="9">
        <f t="shared" si="8"/>
        <v>2</v>
      </c>
      <c r="S95" s="9" t="s">
        <v>78</v>
      </c>
      <c r="T95" s="9">
        <f t="shared" si="9"/>
        <v>3</v>
      </c>
      <c r="U95" s="9" t="s">
        <v>92</v>
      </c>
      <c r="V95" s="9">
        <f t="shared" si="10"/>
        <v>3.5</v>
      </c>
      <c r="W95" s="9" t="s">
        <v>93</v>
      </c>
      <c r="X95" s="9">
        <f t="shared" si="11"/>
        <v>0</v>
      </c>
      <c r="Y95" s="9">
        <f t="shared" si="12"/>
        <v>1</v>
      </c>
      <c r="Z95" s="9">
        <f t="shared" si="13"/>
        <v>0</v>
      </c>
      <c r="AA95" s="9">
        <f t="shared" si="14"/>
        <v>0</v>
      </c>
      <c r="AB95" s="9" t="s">
        <v>85</v>
      </c>
      <c r="AC95" s="9">
        <f t="shared" si="15"/>
        <v>4</v>
      </c>
      <c r="AD95" s="9" t="s">
        <v>85</v>
      </c>
      <c r="AE95" s="9">
        <f t="shared" si="16"/>
        <v>4</v>
      </c>
      <c r="AF95" s="9" t="s">
        <v>76</v>
      </c>
      <c r="AG95" s="9">
        <f t="shared" si="17"/>
        <v>5.5</v>
      </c>
      <c r="AH95" s="9" t="s">
        <v>78</v>
      </c>
      <c r="AI95" s="9">
        <f t="shared" si="18"/>
        <v>3</v>
      </c>
      <c r="AJ95" s="9" t="s">
        <v>78</v>
      </c>
      <c r="AK95" s="9">
        <f t="shared" si="19"/>
        <v>3</v>
      </c>
      <c r="AL95" s="9" t="s">
        <v>77</v>
      </c>
      <c r="AM95" s="9">
        <f t="shared" si="20"/>
        <v>1</v>
      </c>
      <c r="AN95" s="9" t="s">
        <v>77</v>
      </c>
      <c r="AO95" s="9">
        <f t="shared" si="21"/>
        <v>1</v>
      </c>
      <c r="AP95" s="9" t="s">
        <v>85</v>
      </c>
      <c r="AQ95" s="9">
        <f t="shared" si="22"/>
        <v>4</v>
      </c>
      <c r="AR95" s="9" t="s">
        <v>85</v>
      </c>
      <c r="AS95" s="9">
        <f t="shared" si="23"/>
        <v>4</v>
      </c>
      <c r="AT95" s="9" t="s">
        <v>132</v>
      </c>
      <c r="AU95" s="9">
        <f t="shared" si="24"/>
        <v>0</v>
      </c>
      <c r="AV95" s="9">
        <f t="shared" si="25"/>
        <v>0</v>
      </c>
      <c r="AW95" s="9">
        <f t="shared" si="26"/>
        <v>0</v>
      </c>
      <c r="AX95" s="9">
        <f t="shared" si="27"/>
        <v>0</v>
      </c>
      <c r="AY95" s="9">
        <f t="shared" si="28"/>
        <v>0</v>
      </c>
      <c r="AZ95" s="9">
        <f t="shared" si="29"/>
        <v>0</v>
      </c>
      <c r="BA95" s="9">
        <f t="shared" si="30"/>
        <v>1</v>
      </c>
      <c r="BB95" s="9" t="s">
        <v>88</v>
      </c>
      <c r="BC95" s="9">
        <f t="shared" si="31"/>
        <v>2</v>
      </c>
      <c r="BD95" s="12"/>
      <c r="BE95" s="9" t="str">
        <f t="shared" si="44"/>
        <v>N/A</v>
      </c>
      <c r="BF95" s="9" t="s">
        <v>166</v>
      </c>
      <c r="BG95" s="9">
        <f t="shared" si="33"/>
        <v>1</v>
      </c>
      <c r="BH95" s="9">
        <f t="shared" si="34"/>
        <v>0</v>
      </c>
      <c r="BI95" s="9">
        <f t="shared" si="35"/>
        <v>1</v>
      </c>
      <c r="BJ95" s="9">
        <f t="shared" si="36"/>
        <v>1</v>
      </c>
      <c r="BK95" s="9">
        <f t="shared" si="37"/>
        <v>1</v>
      </c>
      <c r="BL95" s="9">
        <f t="shared" si="38"/>
        <v>1</v>
      </c>
      <c r="BM95" s="9">
        <f t="shared" si="39"/>
        <v>1</v>
      </c>
      <c r="BN95" s="9" t="s">
        <v>68</v>
      </c>
      <c r="BO95" s="11">
        <f t="shared" si="40"/>
        <v>1</v>
      </c>
    </row>
    <row r="96" ht="22.5" customHeight="1">
      <c r="A96" s="9">
        <f t="shared" si="41"/>
        <v>95</v>
      </c>
      <c r="B96" s="10">
        <v>46050.79683662037</v>
      </c>
      <c r="C96" s="9" t="s">
        <v>67</v>
      </c>
      <c r="D96" s="9">
        <f t="shared" si="1"/>
        <v>1</v>
      </c>
      <c r="E96" s="9" t="s">
        <v>68</v>
      </c>
      <c r="F96" s="9">
        <f t="shared" si="2"/>
        <v>1</v>
      </c>
      <c r="G96" s="9" t="s">
        <v>69</v>
      </c>
      <c r="H96" s="9" t="str">
        <f t="shared" si="3"/>
        <v>Rural</v>
      </c>
      <c r="I96" s="9">
        <f t="shared" si="4"/>
        <v>1</v>
      </c>
      <c r="J96" s="9" t="s">
        <v>70</v>
      </c>
      <c r="K96" s="9" t="s">
        <v>100</v>
      </c>
      <c r="L96" s="9">
        <f t="shared" si="5"/>
        <v>3</v>
      </c>
      <c r="M96" s="9" t="s">
        <v>101</v>
      </c>
      <c r="N96" s="9">
        <f t="shared" si="6"/>
        <v>2</v>
      </c>
      <c r="O96" s="9" t="s">
        <v>78</v>
      </c>
      <c r="P96" s="9">
        <f t="shared" si="7"/>
        <v>3</v>
      </c>
      <c r="Q96" s="9" t="s">
        <v>78</v>
      </c>
      <c r="R96" s="9">
        <f t="shared" si="8"/>
        <v>3</v>
      </c>
      <c r="S96" s="9" t="s">
        <v>78</v>
      </c>
      <c r="T96" s="9">
        <f t="shared" si="9"/>
        <v>3</v>
      </c>
      <c r="U96" s="9" t="s">
        <v>74</v>
      </c>
      <c r="V96" s="9">
        <f t="shared" si="10"/>
        <v>1.5</v>
      </c>
      <c r="W96" s="9" t="s">
        <v>86</v>
      </c>
      <c r="X96" s="9">
        <f t="shared" si="11"/>
        <v>1</v>
      </c>
      <c r="Y96" s="9">
        <f t="shared" si="12"/>
        <v>1</v>
      </c>
      <c r="Z96" s="9">
        <f t="shared" si="13"/>
        <v>1</v>
      </c>
      <c r="AA96" s="9">
        <f t="shared" si="14"/>
        <v>0</v>
      </c>
      <c r="AB96" s="9" t="s">
        <v>78</v>
      </c>
      <c r="AC96" s="9">
        <f t="shared" si="15"/>
        <v>3</v>
      </c>
      <c r="AD96" s="9" t="s">
        <v>78</v>
      </c>
      <c r="AE96" s="9">
        <f t="shared" si="16"/>
        <v>3</v>
      </c>
      <c r="AF96" s="9" t="s">
        <v>109</v>
      </c>
      <c r="AG96" s="9">
        <f t="shared" si="17"/>
        <v>9</v>
      </c>
      <c r="AH96" s="9" t="s">
        <v>85</v>
      </c>
      <c r="AI96" s="9">
        <f t="shared" si="18"/>
        <v>4</v>
      </c>
      <c r="AJ96" s="9" t="s">
        <v>73</v>
      </c>
      <c r="AK96" s="9">
        <f t="shared" si="19"/>
        <v>2</v>
      </c>
      <c r="AL96" s="9" t="s">
        <v>85</v>
      </c>
      <c r="AM96" s="9">
        <f t="shared" si="20"/>
        <v>4</v>
      </c>
      <c r="AN96" s="9" t="s">
        <v>85</v>
      </c>
      <c r="AO96" s="9">
        <f t="shared" si="21"/>
        <v>4</v>
      </c>
      <c r="AP96" s="9" t="s">
        <v>78</v>
      </c>
      <c r="AQ96" s="9">
        <f t="shared" si="22"/>
        <v>3</v>
      </c>
      <c r="AR96" s="9" t="s">
        <v>85</v>
      </c>
      <c r="AS96" s="9">
        <f t="shared" si="23"/>
        <v>4</v>
      </c>
      <c r="AT96" s="9" t="s">
        <v>104</v>
      </c>
      <c r="AU96" s="9">
        <f t="shared" si="24"/>
        <v>1</v>
      </c>
      <c r="AV96" s="9">
        <f t="shared" si="25"/>
        <v>1</v>
      </c>
      <c r="AW96" s="9">
        <f t="shared" si="26"/>
        <v>1</v>
      </c>
      <c r="AX96" s="9">
        <f t="shared" si="27"/>
        <v>1</v>
      </c>
      <c r="AY96" s="9">
        <f t="shared" si="28"/>
        <v>1</v>
      </c>
      <c r="AZ96" s="9">
        <f t="shared" si="29"/>
        <v>1</v>
      </c>
      <c r="BA96" s="9">
        <f t="shared" si="30"/>
        <v>1</v>
      </c>
      <c r="BB96" s="9" t="s">
        <v>88</v>
      </c>
      <c r="BC96" s="9">
        <f t="shared" si="31"/>
        <v>2</v>
      </c>
      <c r="BD96" s="12"/>
      <c r="BE96" s="9" t="str">
        <f t="shared" si="44"/>
        <v>N/A</v>
      </c>
      <c r="BF96" s="9" t="s">
        <v>212</v>
      </c>
      <c r="BG96" s="9">
        <f t="shared" si="33"/>
        <v>0</v>
      </c>
      <c r="BH96" s="9">
        <f t="shared" si="34"/>
        <v>1</v>
      </c>
      <c r="BI96" s="9">
        <f t="shared" si="35"/>
        <v>0</v>
      </c>
      <c r="BJ96" s="9">
        <f t="shared" si="36"/>
        <v>0</v>
      </c>
      <c r="BK96" s="9">
        <f t="shared" si="37"/>
        <v>1</v>
      </c>
      <c r="BL96" s="9">
        <f t="shared" si="38"/>
        <v>1</v>
      </c>
      <c r="BM96" s="9">
        <f t="shared" si="39"/>
        <v>1</v>
      </c>
      <c r="BN96" s="9" t="s">
        <v>68</v>
      </c>
      <c r="BO96" s="11">
        <f t="shared" si="40"/>
        <v>1</v>
      </c>
    </row>
    <row r="97" ht="22.5" customHeight="1">
      <c r="A97" s="9">
        <f t="shared" si="41"/>
        <v>96</v>
      </c>
      <c r="B97" s="10">
        <v>46050.799996076385</v>
      </c>
      <c r="C97" s="9" t="s">
        <v>90</v>
      </c>
      <c r="D97" s="9">
        <f t="shared" si="1"/>
        <v>2</v>
      </c>
      <c r="E97" s="9" t="s">
        <v>68</v>
      </c>
      <c r="F97" s="9">
        <f t="shared" si="2"/>
        <v>1</v>
      </c>
      <c r="G97" s="9" t="s">
        <v>91</v>
      </c>
      <c r="H97" s="9" t="str">
        <f t="shared" si="3"/>
        <v>Urban</v>
      </c>
      <c r="I97" s="9">
        <f t="shared" si="4"/>
        <v>2</v>
      </c>
      <c r="J97" s="9" t="s">
        <v>145</v>
      </c>
      <c r="K97" s="9" t="s">
        <v>146</v>
      </c>
      <c r="L97" s="9">
        <f t="shared" si="5"/>
        <v>1</v>
      </c>
      <c r="M97" s="9" t="s">
        <v>71</v>
      </c>
      <c r="N97" s="9">
        <f t="shared" si="6"/>
        <v>7.7</v>
      </c>
      <c r="O97" s="9" t="s">
        <v>72</v>
      </c>
      <c r="P97" s="9">
        <f t="shared" si="7"/>
        <v>1</v>
      </c>
      <c r="Q97" s="9" t="s">
        <v>85</v>
      </c>
      <c r="R97" s="9">
        <f t="shared" si="8"/>
        <v>4</v>
      </c>
      <c r="S97" s="9" t="s">
        <v>73</v>
      </c>
      <c r="T97" s="9">
        <f t="shared" si="9"/>
        <v>2</v>
      </c>
      <c r="U97" s="9" t="s">
        <v>74</v>
      </c>
      <c r="V97" s="9">
        <f t="shared" si="10"/>
        <v>1.5</v>
      </c>
      <c r="W97" s="9" t="s">
        <v>105</v>
      </c>
      <c r="X97" s="9">
        <f t="shared" si="11"/>
        <v>1</v>
      </c>
      <c r="Y97" s="9">
        <f t="shared" si="12"/>
        <v>1</v>
      </c>
      <c r="Z97" s="9">
        <f t="shared" si="13"/>
        <v>0</v>
      </c>
      <c r="AA97" s="9">
        <f t="shared" si="14"/>
        <v>0</v>
      </c>
      <c r="AB97" s="9" t="s">
        <v>73</v>
      </c>
      <c r="AC97" s="9">
        <f t="shared" si="15"/>
        <v>2</v>
      </c>
      <c r="AD97" s="9" t="s">
        <v>73</v>
      </c>
      <c r="AE97" s="9">
        <f t="shared" si="16"/>
        <v>2</v>
      </c>
      <c r="AF97" s="9" t="s">
        <v>71</v>
      </c>
      <c r="AG97" s="9">
        <f t="shared" si="17"/>
        <v>7.7</v>
      </c>
      <c r="AH97" s="9" t="s">
        <v>103</v>
      </c>
      <c r="AI97" s="9">
        <f t="shared" si="18"/>
        <v>5</v>
      </c>
      <c r="AJ97" s="9" t="s">
        <v>73</v>
      </c>
      <c r="AK97" s="9">
        <f t="shared" si="19"/>
        <v>2</v>
      </c>
      <c r="AL97" s="9" t="s">
        <v>73</v>
      </c>
      <c r="AM97" s="9">
        <f t="shared" si="20"/>
        <v>2</v>
      </c>
      <c r="AN97" s="9" t="s">
        <v>120</v>
      </c>
      <c r="AO97" s="9">
        <f t="shared" si="21"/>
        <v>5</v>
      </c>
      <c r="AP97" s="9" t="s">
        <v>85</v>
      </c>
      <c r="AQ97" s="9">
        <f t="shared" si="22"/>
        <v>4</v>
      </c>
      <c r="AR97" s="9" t="s">
        <v>120</v>
      </c>
      <c r="AS97" s="9">
        <f t="shared" si="23"/>
        <v>5</v>
      </c>
      <c r="AT97" s="9" t="s">
        <v>213</v>
      </c>
      <c r="AU97" s="9">
        <f t="shared" si="24"/>
        <v>0</v>
      </c>
      <c r="AV97" s="9">
        <f t="shared" si="25"/>
        <v>0</v>
      </c>
      <c r="AW97" s="9">
        <f t="shared" si="26"/>
        <v>0</v>
      </c>
      <c r="AX97" s="9">
        <f t="shared" si="27"/>
        <v>1</v>
      </c>
      <c r="AY97" s="9">
        <f t="shared" si="28"/>
        <v>0</v>
      </c>
      <c r="AZ97" s="9">
        <f t="shared" si="29"/>
        <v>0</v>
      </c>
      <c r="BA97" s="9">
        <f t="shared" si="30"/>
        <v>1</v>
      </c>
      <c r="BB97" s="9" t="s">
        <v>88</v>
      </c>
      <c r="BC97" s="9">
        <f t="shared" si="31"/>
        <v>2</v>
      </c>
      <c r="BD97" s="12"/>
      <c r="BE97" s="9" t="str">
        <f t="shared" si="44"/>
        <v>N/A</v>
      </c>
      <c r="BF97" s="9" t="s">
        <v>214</v>
      </c>
      <c r="BG97" s="9">
        <f t="shared" si="33"/>
        <v>0</v>
      </c>
      <c r="BH97" s="9">
        <f t="shared" si="34"/>
        <v>0</v>
      </c>
      <c r="BI97" s="9">
        <f t="shared" si="35"/>
        <v>1</v>
      </c>
      <c r="BJ97" s="9">
        <f t="shared" si="36"/>
        <v>0</v>
      </c>
      <c r="BK97" s="9">
        <f t="shared" si="37"/>
        <v>1</v>
      </c>
      <c r="BL97" s="9">
        <f t="shared" si="38"/>
        <v>0</v>
      </c>
      <c r="BM97" s="9">
        <f t="shared" si="39"/>
        <v>1</v>
      </c>
      <c r="BN97" s="9" t="s">
        <v>68</v>
      </c>
      <c r="BO97" s="11">
        <f t="shared" si="40"/>
        <v>1</v>
      </c>
    </row>
    <row r="98" ht="22.5" customHeight="1">
      <c r="A98" s="9">
        <f t="shared" si="41"/>
        <v>97</v>
      </c>
      <c r="B98" s="10">
        <v>46050.803095358795</v>
      </c>
      <c r="C98" s="9" t="s">
        <v>90</v>
      </c>
      <c r="D98" s="9">
        <f t="shared" si="1"/>
        <v>2</v>
      </c>
      <c r="E98" s="9" t="s">
        <v>68</v>
      </c>
      <c r="F98" s="9">
        <f t="shared" si="2"/>
        <v>1</v>
      </c>
      <c r="G98" s="9" t="s">
        <v>69</v>
      </c>
      <c r="H98" s="9" t="str">
        <f t="shared" si="3"/>
        <v>Rural</v>
      </c>
      <c r="I98" s="9">
        <f t="shared" si="4"/>
        <v>1</v>
      </c>
      <c r="J98" s="9" t="s">
        <v>83</v>
      </c>
      <c r="K98" s="9" t="s">
        <v>84</v>
      </c>
      <c r="L98" s="9">
        <f t="shared" si="5"/>
        <v>2</v>
      </c>
      <c r="M98" s="9" t="s">
        <v>76</v>
      </c>
      <c r="N98" s="9">
        <f t="shared" si="6"/>
        <v>5.5</v>
      </c>
      <c r="O98" s="9" t="s">
        <v>85</v>
      </c>
      <c r="P98" s="9">
        <f t="shared" si="7"/>
        <v>4</v>
      </c>
      <c r="Q98" s="9" t="s">
        <v>85</v>
      </c>
      <c r="R98" s="9">
        <f t="shared" si="8"/>
        <v>4</v>
      </c>
      <c r="S98" s="9" t="s">
        <v>85</v>
      </c>
      <c r="T98" s="9">
        <f t="shared" si="9"/>
        <v>4</v>
      </c>
      <c r="U98" s="9" t="s">
        <v>96</v>
      </c>
      <c r="V98" s="9">
        <f t="shared" si="10"/>
        <v>2.5</v>
      </c>
      <c r="W98" s="9" t="s">
        <v>105</v>
      </c>
      <c r="X98" s="9">
        <f t="shared" si="11"/>
        <v>1</v>
      </c>
      <c r="Y98" s="9">
        <f t="shared" si="12"/>
        <v>1</v>
      </c>
      <c r="Z98" s="9">
        <f t="shared" si="13"/>
        <v>0</v>
      </c>
      <c r="AA98" s="9">
        <f t="shared" si="14"/>
        <v>0</v>
      </c>
      <c r="AB98" s="9" t="s">
        <v>85</v>
      </c>
      <c r="AC98" s="9">
        <f t="shared" si="15"/>
        <v>4</v>
      </c>
      <c r="AD98" s="9" t="s">
        <v>85</v>
      </c>
      <c r="AE98" s="9">
        <f t="shared" si="16"/>
        <v>4</v>
      </c>
      <c r="AF98" s="9" t="s">
        <v>71</v>
      </c>
      <c r="AG98" s="9">
        <f t="shared" si="17"/>
        <v>7.7</v>
      </c>
      <c r="AH98" s="9" t="s">
        <v>85</v>
      </c>
      <c r="AI98" s="9">
        <f t="shared" si="18"/>
        <v>4</v>
      </c>
      <c r="AJ98" s="9" t="s">
        <v>85</v>
      </c>
      <c r="AK98" s="9">
        <f t="shared" si="19"/>
        <v>4</v>
      </c>
      <c r="AL98" s="9" t="s">
        <v>85</v>
      </c>
      <c r="AM98" s="9">
        <f t="shared" si="20"/>
        <v>4</v>
      </c>
      <c r="AN98" s="9" t="s">
        <v>85</v>
      </c>
      <c r="AO98" s="9">
        <f t="shared" si="21"/>
        <v>4</v>
      </c>
      <c r="AP98" s="9" t="s">
        <v>85</v>
      </c>
      <c r="AQ98" s="9">
        <f t="shared" si="22"/>
        <v>4</v>
      </c>
      <c r="AR98" s="9" t="s">
        <v>85</v>
      </c>
      <c r="AS98" s="9">
        <f t="shared" si="23"/>
        <v>4</v>
      </c>
      <c r="AT98" s="9" t="s">
        <v>188</v>
      </c>
      <c r="AU98" s="9">
        <f t="shared" si="24"/>
        <v>1</v>
      </c>
      <c r="AV98" s="9">
        <f t="shared" si="25"/>
        <v>1</v>
      </c>
      <c r="AW98" s="9">
        <f t="shared" si="26"/>
        <v>0</v>
      </c>
      <c r="AX98" s="9">
        <f t="shared" si="27"/>
        <v>1</v>
      </c>
      <c r="AY98" s="9">
        <f t="shared" si="28"/>
        <v>0</v>
      </c>
      <c r="AZ98" s="9">
        <f t="shared" si="29"/>
        <v>0</v>
      </c>
      <c r="BA98" s="9">
        <f t="shared" si="30"/>
        <v>0</v>
      </c>
      <c r="BB98" s="9" t="s">
        <v>68</v>
      </c>
      <c r="BC98" s="9">
        <f t="shared" si="31"/>
        <v>1</v>
      </c>
      <c r="BD98" s="9" t="s">
        <v>215</v>
      </c>
      <c r="BE98" s="9" t="str">
        <f t="shared" si="44"/>
        <v>N/A</v>
      </c>
      <c r="BF98" s="9" t="s">
        <v>179</v>
      </c>
      <c r="BG98" s="9">
        <f t="shared" si="33"/>
        <v>1</v>
      </c>
      <c r="BH98" s="9">
        <f t="shared" si="34"/>
        <v>0</v>
      </c>
      <c r="BI98" s="9">
        <f t="shared" si="35"/>
        <v>0</v>
      </c>
      <c r="BJ98" s="9">
        <f t="shared" si="36"/>
        <v>0</v>
      </c>
      <c r="BK98" s="9">
        <f t="shared" si="37"/>
        <v>0</v>
      </c>
      <c r="BL98" s="9">
        <f t="shared" si="38"/>
        <v>1</v>
      </c>
      <c r="BM98" s="9">
        <f t="shared" si="39"/>
        <v>1</v>
      </c>
      <c r="BN98" s="9" t="s">
        <v>68</v>
      </c>
      <c r="BO98" s="11">
        <f t="shared" si="40"/>
        <v>1</v>
      </c>
    </row>
    <row r="99" ht="22.5" customHeight="1">
      <c r="A99" s="9">
        <f t="shared" si="41"/>
        <v>98</v>
      </c>
      <c r="B99" s="10">
        <v>46050.813849618055</v>
      </c>
      <c r="C99" s="9" t="s">
        <v>90</v>
      </c>
      <c r="D99" s="9">
        <f t="shared" si="1"/>
        <v>2</v>
      </c>
      <c r="E99" s="9" t="s">
        <v>68</v>
      </c>
      <c r="F99" s="9">
        <f t="shared" si="2"/>
        <v>1</v>
      </c>
      <c r="G99" s="9" t="s">
        <v>82</v>
      </c>
      <c r="H99" s="9" t="str">
        <f t="shared" si="3"/>
        <v>Urban</v>
      </c>
      <c r="I99" s="9">
        <f t="shared" si="4"/>
        <v>2</v>
      </c>
      <c r="J99" s="9" t="s">
        <v>70</v>
      </c>
      <c r="K99" s="9" t="s">
        <v>100</v>
      </c>
      <c r="L99" s="9">
        <f t="shared" si="5"/>
        <v>3</v>
      </c>
      <c r="M99" s="9" t="s">
        <v>76</v>
      </c>
      <c r="N99" s="9">
        <f t="shared" si="6"/>
        <v>5.5</v>
      </c>
      <c r="O99" s="9" t="s">
        <v>85</v>
      </c>
      <c r="P99" s="9">
        <f t="shared" si="7"/>
        <v>4</v>
      </c>
      <c r="Q99" s="9" t="s">
        <v>85</v>
      </c>
      <c r="R99" s="9">
        <f t="shared" si="8"/>
        <v>4</v>
      </c>
      <c r="S99" s="9" t="s">
        <v>73</v>
      </c>
      <c r="T99" s="9">
        <f t="shared" si="9"/>
        <v>2</v>
      </c>
      <c r="U99" s="9" t="s">
        <v>92</v>
      </c>
      <c r="V99" s="9">
        <f t="shared" si="10"/>
        <v>3.5</v>
      </c>
      <c r="W99" s="9" t="s">
        <v>86</v>
      </c>
      <c r="X99" s="9">
        <f t="shared" si="11"/>
        <v>1</v>
      </c>
      <c r="Y99" s="9">
        <f t="shared" si="12"/>
        <v>1</v>
      </c>
      <c r="Z99" s="9">
        <f t="shared" si="13"/>
        <v>1</v>
      </c>
      <c r="AA99" s="9">
        <f t="shared" si="14"/>
        <v>0</v>
      </c>
      <c r="AB99" s="9" t="s">
        <v>85</v>
      </c>
      <c r="AC99" s="9">
        <f t="shared" si="15"/>
        <v>4</v>
      </c>
      <c r="AD99" s="9" t="s">
        <v>85</v>
      </c>
      <c r="AE99" s="9">
        <f t="shared" si="16"/>
        <v>4</v>
      </c>
      <c r="AF99" s="9" t="s">
        <v>71</v>
      </c>
      <c r="AG99" s="9">
        <f t="shared" si="17"/>
        <v>7.7</v>
      </c>
      <c r="AH99" s="9" t="s">
        <v>85</v>
      </c>
      <c r="AI99" s="9">
        <f t="shared" si="18"/>
        <v>4</v>
      </c>
      <c r="AJ99" s="9" t="s">
        <v>73</v>
      </c>
      <c r="AK99" s="9">
        <f t="shared" si="19"/>
        <v>2</v>
      </c>
      <c r="AL99" s="9" t="s">
        <v>73</v>
      </c>
      <c r="AM99" s="9">
        <f t="shared" si="20"/>
        <v>2</v>
      </c>
      <c r="AN99" s="9" t="s">
        <v>85</v>
      </c>
      <c r="AO99" s="9">
        <f t="shared" si="21"/>
        <v>4</v>
      </c>
      <c r="AP99" s="9" t="s">
        <v>85</v>
      </c>
      <c r="AQ99" s="9">
        <f t="shared" si="22"/>
        <v>4</v>
      </c>
      <c r="AR99" s="9" t="s">
        <v>85</v>
      </c>
      <c r="AS99" s="9">
        <f t="shared" si="23"/>
        <v>4</v>
      </c>
      <c r="AT99" s="9" t="s">
        <v>188</v>
      </c>
      <c r="AU99" s="9">
        <f t="shared" si="24"/>
        <v>1</v>
      </c>
      <c r="AV99" s="9">
        <f t="shared" si="25"/>
        <v>1</v>
      </c>
      <c r="AW99" s="9">
        <f t="shared" si="26"/>
        <v>0</v>
      </c>
      <c r="AX99" s="9">
        <f t="shared" si="27"/>
        <v>1</v>
      </c>
      <c r="AY99" s="9">
        <f t="shared" si="28"/>
        <v>0</v>
      </c>
      <c r="AZ99" s="9">
        <f t="shared" si="29"/>
        <v>0</v>
      </c>
      <c r="BA99" s="9">
        <f t="shared" si="30"/>
        <v>0</v>
      </c>
      <c r="BB99" s="9" t="s">
        <v>88</v>
      </c>
      <c r="BC99" s="9">
        <f t="shared" si="31"/>
        <v>2</v>
      </c>
      <c r="BD99" s="12"/>
      <c r="BE99" s="9" t="str">
        <f t="shared" si="44"/>
        <v>N/A</v>
      </c>
      <c r="BF99" s="9" t="s">
        <v>216</v>
      </c>
      <c r="BG99" s="9">
        <f t="shared" si="33"/>
        <v>1</v>
      </c>
      <c r="BH99" s="9">
        <f t="shared" si="34"/>
        <v>0</v>
      </c>
      <c r="BI99" s="9">
        <f t="shared" si="35"/>
        <v>0</v>
      </c>
      <c r="BJ99" s="9">
        <f t="shared" si="36"/>
        <v>1</v>
      </c>
      <c r="BK99" s="9">
        <f t="shared" si="37"/>
        <v>1</v>
      </c>
      <c r="BL99" s="9">
        <f t="shared" si="38"/>
        <v>1</v>
      </c>
      <c r="BM99" s="9">
        <f t="shared" si="39"/>
        <v>1</v>
      </c>
      <c r="BN99" s="9" t="s">
        <v>68</v>
      </c>
      <c r="BO99" s="11">
        <f t="shared" si="40"/>
        <v>1</v>
      </c>
    </row>
    <row r="100" ht="22.5" customHeight="1">
      <c r="A100" s="9">
        <f t="shared" si="41"/>
        <v>99</v>
      </c>
      <c r="B100" s="10">
        <v>46050.81546893519</v>
      </c>
      <c r="C100" s="9" t="s">
        <v>67</v>
      </c>
      <c r="D100" s="9">
        <f t="shared" si="1"/>
        <v>1</v>
      </c>
      <c r="E100" s="9" t="s">
        <v>68</v>
      </c>
      <c r="F100" s="9">
        <f t="shared" si="2"/>
        <v>1</v>
      </c>
      <c r="G100" s="9" t="s">
        <v>69</v>
      </c>
      <c r="H100" s="9" t="str">
        <f t="shared" si="3"/>
        <v>Rural</v>
      </c>
      <c r="I100" s="9">
        <f t="shared" si="4"/>
        <v>1</v>
      </c>
      <c r="J100" s="9" t="s">
        <v>70</v>
      </c>
      <c r="K100" s="9" t="s">
        <v>100</v>
      </c>
      <c r="L100" s="9">
        <f t="shared" si="5"/>
        <v>3</v>
      </c>
      <c r="M100" s="9" t="s">
        <v>76</v>
      </c>
      <c r="N100" s="9">
        <f t="shared" si="6"/>
        <v>5.5</v>
      </c>
      <c r="O100" s="9" t="s">
        <v>73</v>
      </c>
      <c r="P100" s="9">
        <f t="shared" si="7"/>
        <v>2</v>
      </c>
      <c r="Q100" s="9" t="s">
        <v>73</v>
      </c>
      <c r="R100" s="9">
        <f t="shared" si="8"/>
        <v>2</v>
      </c>
      <c r="S100" s="9" t="s">
        <v>73</v>
      </c>
      <c r="T100" s="9">
        <f t="shared" si="9"/>
        <v>2</v>
      </c>
      <c r="U100" s="9" t="s">
        <v>110</v>
      </c>
      <c r="V100" s="9">
        <f t="shared" si="10"/>
        <v>0.75</v>
      </c>
      <c r="W100" s="9" t="s">
        <v>143</v>
      </c>
      <c r="X100" s="9">
        <f t="shared" si="11"/>
        <v>1</v>
      </c>
      <c r="Y100" s="9">
        <f t="shared" si="12"/>
        <v>0</v>
      </c>
      <c r="Z100" s="9">
        <f t="shared" si="13"/>
        <v>0</v>
      </c>
      <c r="AA100" s="9">
        <f t="shared" si="14"/>
        <v>0</v>
      </c>
      <c r="AB100" s="9" t="s">
        <v>78</v>
      </c>
      <c r="AC100" s="9">
        <f t="shared" si="15"/>
        <v>3</v>
      </c>
      <c r="AD100" s="9" t="s">
        <v>78</v>
      </c>
      <c r="AE100" s="9">
        <f t="shared" si="16"/>
        <v>3</v>
      </c>
      <c r="AF100" s="9" t="s">
        <v>76</v>
      </c>
      <c r="AG100" s="9">
        <f t="shared" si="17"/>
        <v>5.5</v>
      </c>
      <c r="AH100" s="9" t="s">
        <v>78</v>
      </c>
      <c r="AI100" s="9">
        <f t="shared" si="18"/>
        <v>3</v>
      </c>
      <c r="AJ100" s="9" t="s">
        <v>73</v>
      </c>
      <c r="AK100" s="9">
        <f t="shared" si="19"/>
        <v>2</v>
      </c>
      <c r="AL100" s="9" t="s">
        <v>78</v>
      </c>
      <c r="AM100" s="9">
        <f t="shared" si="20"/>
        <v>3</v>
      </c>
      <c r="AN100" s="9" t="s">
        <v>85</v>
      </c>
      <c r="AO100" s="9">
        <f t="shared" si="21"/>
        <v>4</v>
      </c>
      <c r="AP100" s="9" t="s">
        <v>78</v>
      </c>
      <c r="AQ100" s="9">
        <f t="shared" si="22"/>
        <v>3</v>
      </c>
      <c r="AR100" s="9" t="s">
        <v>78</v>
      </c>
      <c r="AS100" s="9">
        <f t="shared" si="23"/>
        <v>3</v>
      </c>
      <c r="AT100" s="9" t="s">
        <v>147</v>
      </c>
      <c r="AU100" s="9">
        <f t="shared" si="24"/>
        <v>1</v>
      </c>
      <c r="AV100" s="9">
        <f t="shared" si="25"/>
        <v>0</v>
      </c>
      <c r="AW100" s="9">
        <f t="shared" si="26"/>
        <v>0</v>
      </c>
      <c r="AX100" s="9">
        <f t="shared" si="27"/>
        <v>0</v>
      </c>
      <c r="AY100" s="9">
        <f t="shared" si="28"/>
        <v>0</v>
      </c>
      <c r="AZ100" s="9">
        <f t="shared" si="29"/>
        <v>0</v>
      </c>
      <c r="BA100" s="9">
        <f t="shared" si="30"/>
        <v>0</v>
      </c>
      <c r="BB100" s="9" t="s">
        <v>88</v>
      </c>
      <c r="BC100" s="9">
        <f t="shared" si="31"/>
        <v>2</v>
      </c>
      <c r="BD100" s="12"/>
      <c r="BE100" s="9" t="str">
        <f t="shared" si="44"/>
        <v>N/A</v>
      </c>
      <c r="BF100" s="9" t="s">
        <v>107</v>
      </c>
      <c r="BG100" s="9">
        <f t="shared" si="33"/>
        <v>1</v>
      </c>
      <c r="BH100" s="9">
        <f t="shared" si="34"/>
        <v>0</v>
      </c>
      <c r="BI100" s="9">
        <f t="shared" si="35"/>
        <v>0</v>
      </c>
      <c r="BJ100" s="9">
        <f t="shared" si="36"/>
        <v>0</v>
      </c>
      <c r="BK100" s="9">
        <f t="shared" si="37"/>
        <v>0</v>
      </c>
      <c r="BL100" s="9">
        <f t="shared" si="38"/>
        <v>0</v>
      </c>
      <c r="BM100" s="9">
        <f t="shared" si="39"/>
        <v>0</v>
      </c>
      <c r="BN100" s="9" t="s">
        <v>108</v>
      </c>
      <c r="BO100" s="11">
        <f t="shared" si="40"/>
        <v>3</v>
      </c>
    </row>
    <row r="101" ht="22.5" customHeight="1">
      <c r="A101" s="9">
        <f t="shared" si="41"/>
        <v>100</v>
      </c>
      <c r="B101" s="10">
        <v>46050.8156846412</v>
      </c>
      <c r="C101" s="9" t="s">
        <v>67</v>
      </c>
      <c r="D101" s="9">
        <f t="shared" si="1"/>
        <v>1</v>
      </c>
      <c r="E101" s="9" t="s">
        <v>68</v>
      </c>
      <c r="F101" s="9">
        <f t="shared" si="2"/>
        <v>1</v>
      </c>
      <c r="G101" s="9" t="s">
        <v>91</v>
      </c>
      <c r="H101" s="9" t="str">
        <f t="shared" si="3"/>
        <v>Urban</v>
      </c>
      <c r="I101" s="9">
        <f t="shared" si="4"/>
        <v>2</v>
      </c>
      <c r="J101" s="9" t="s">
        <v>83</v>
      </c>
      <c r="K101" s="9" t="s">
        <v>84</v>
      </c>
      <c r="L101" s="9">
        <f t="shared" si="5"/>
        <v>2</v>
      </c>
      <c r="M101" s="9" t="s">
        <v>109</v>
      </c>
      <c r="N101" s="9">
        <f t="shared" si="6"/>
        <v>9</v>
      </c>
      <c r="O101" s="9" t="s">
        <v>85</v>
      </c>
      <c r="P101" s="9">
        <f t="shared" si="7"/>
        <v>4</v>
      </c>
      <c r="Q101" s="9" t="s">
        <v>85</v>
      </c>
      <c r="R101" s="9">
        <f t="shared" si="8"/>
        <v>4</v>
      </c>
      <c r="S101" s="9" t="s">
        <v>85</v>
      </c>
      <c r="T101" s="9">
        <f t="shared" si="9"/>
        <v>4</v>
      </c>
      <c r="U101" s="9" t="s">
        <v>74</v>
      </c>
      <c r="V101" s="9">
        <f t="shared" si="10"/>
        <v>1.5</v>
      </c>
      <c r="W101" s="9" t="s">
        <v>86</v>
      </c>
      <c r="X101" s="9">
        <f t="shared" si="11"/>
        <v>1</v>
      </c>
      <c r="Y101" s="9">
        <f t="shared" si="12"/>
        <v>1</v>
      </c>
      <c r="Z101" s="9">
        <f t="shared" si="13"/>
        <v>1</v>
      </c>
      <c r="AA101" s="9">
        <f t="shared" si="14"/>
        <v>0</v>
      </c>
      <c r="AB101" s="9" t="s">
        <v>85</v>
      </c>
      <c r="AC101" s="9">
        <f t="shared" si="15"/>
        <v>4</v>
      </c>
      <c r="AD101" s="9" t="s">
        <v>85</v>
      </c>
      <c r="AE101" s="9">
        <f t="shared" si="16"/>
        <v>4</v>
      </c>
      <c r="AF101" s="9" t="s">
        <v>76</v>
      </c>
      <c r="AG101" s="9">
        <f t="shared" si="17"/>
        <v>5.5</v>
      </c>
      <c r="AH101" s="9" t="s">
        <v>85</v>
      </c>
      <c r="AI101" s="9">
        <f t="shared" si="18"/>
        <v>4</v>
      </c>
      <c r="AJ101" s="9" t="s">
        <v>85</v>
      </c>
      <c r="AK101" s="9">
        <f t="shared" si="19"/>
        <v>4</v>
      </c>
      <c r="AL101" s="9" t="s">
        <v>85</v>
      </c>
      <c r="AM101" s="9">
        <f t="shared" si="20"/>
        <v>4</v>
      </c>
      <c r="AN101" s="9" t="s">
        <v>85</v>
      </c>
      <c r="AO101" s="9">
        <f t="shared" si="21"/>
        <v>4</v>
      </c>
      <c r="AP101" s="9" t="s">
        <v>85</v>
      </c>
      <c r="AQ101" s="9">
        <f t="shared" si="22"/>
        <v>4</v>
      </c>
      <c r="AR101" s="9" t="s">
        <v>85</v>
      </c>
      <c r="AS101" s="9">
        <f t="shared" si="23"/>
        <v>4</v>
      </c>
      <c r="AT101" s="9" t="s">
        <v>133</v>
      </c>
      <c r="AU101" s="9">
        <f t="shared" si="24"/>
        <v>0</v>
      </c>
      <c r="AV101" s="9">
        <f t="shared" si="25"/>
        <v>1</v>
      </c>
      <c r="AW101" s="9">
        <f t="shared" si="26"/>
        <v>0</v>
      </c>
      <c r="AX101" s="9">
        <f t="shared" si="27"/>
        <v>0</v>
      </c>
      <c r="AY101" s="9">
        <f t="shared" si="28"/>
        <v>0</v>
      </c>
      <c r="AZ101" s="9">
        <f t="shared" si="29"/>
        <v>0</v>
      </c>
      <c r="BA101" s="9">
        <f t="shared" si="30"/>
        <v>0</v>
      </c>
      <c r="BB101" s="9" t="s">
        <v>68</v>
      </c>
      <c r="BC101" s="9">
        <f t="shared" si="31"/>
        <v>1</v>
      </c>
      <c r="BD101" s="9" t="s">
        <v>217</v>
      </c>
      <c r="BE101" s="9" t="str">
        <f t="shared" si="44"/>
        <v>N/A</v>
      </c>
      <c r="BF101" s="9" t="s">
        <v>150</v>
      </c>
      <c r="BG101" s="9">
        <f t="shared" si="33"/>
        <v>0</v>
      </c>
      <c r="BH101" s="9">
        <f t="shared" si="34"/>
        <v>0</v>
      </c>
      <c r="BI101" s="9">
        <f t="shared" si="35"/>
        <v>0</v>
      </c>
      <c r="BJ101" s="9">
        <f t="shared" si="36"/>
        <v>0</v>
      </c>
      <c r="BK101" s="9">
        <f t="shared" si="37"/>
        <v>1</v>
      </c>
      <c r="BL101" s="9">
        <f t="shared" si="38"/>
        <v>0</v>
      </c>
      <c r="BM101" s="9">
        <f t="shared" si="39"/>
        <v>0</v>
      </c>
      <c r="BN101" s="9" t="s">
        <v>108</v>
      </c>
      <c r="BO101" s="11">
        <f t="shared" si="40"/>
        <v>3</v>
      </c>
    </row>
    <row r="102" ht="22.5" customHeight="1">
      <c r="A102" s="9">
        <f t="shared" si="41"/>
        <v>101</v>
      </c>
      <c r="B102" s="10">
        <v>46050.81847657407</v>
      </c>
      <c r="C102" s="9" t="s">
        <v>90</v>
      </c>
      <c r="D102" s="9">
        <f t="shared" si="1"/>
        <v>2</v>
      </c>
      <c r="E102" s="9" t="s">
        <v>68</v>
      </c>
      <c r="F102" s="9">
        <f t="shared" si="2"/>
        <v>1</v>
      </c>
      <c r="G102" s="9" t="s">
        <v>82</v>
      </c>
      <c r="H102" s="9" t="str">
        <f t="shared" si="3"/>
        <v>Urban</v>
      </c>
      <c r="I102" s="9">
        <f t="shared" si="4"/>
        <v>2</v>
      </c>
      <c r="J102" s="9" t="s">
        <v>70</v>
      </c>
      <c r="K102" s="9" t="s">
        <v>100</v>
      </c>
      <c r="L102" s="9">
        <f t="shared" si="5"/>
        <v>3</v>
      </c>
      <c r="M102" s="9" t="s">
        <v>101</v>
      </c>
      <c r="N102" s="9">
        <f t="shared" si="6"/>
        <v>2</v>
      </c>
      <c r="O102" s="9" t="s">
        <v>73</v>
      </c>
      <c r="P102" s="9">
        <f t="shared" si="7"/>
        <v>2</v>
      </c>
      <c r="Q102" s="9" t="s">
        <v>85</v>
      </c>
      <c r="R102" s="9">
        <f t="shared" si="8"/>
        <v>4</v>
      </c>
      <c r="S102" s="9" t="s">
        <v>73</v>
      </c>
      <c r="T102" s="9">
        <f t="shared" si="9"/>
        <v>2</v>
      </c>
      <c r="U102" s="9" t="s">
        <v>96</v>
      </c>
      <c r="V102" s="9">
        <f t="shared" si="10"/>
        <v>2.5</v>
      </c>
      <c r="W102" s="9" t="s">
        <v>86</v>
      </c>
      <c r="X102" s="9">
        <f t="shared" si="11"/>
        <v>1</v>
      </c>
      <c r="Y102" s="9">
        <f t="shared" si="12"/>
        <v>1</v>
      </c>
      <c r="Z102" s="9">
        <f t="shared" si="13"/>
        <v>1</v>
      </c>
      <c r="AA102" s="9">
        <f t="shared" si="14"/>
        <v>0</v>
      </c>
      <c r="AB102" s="9" t="s">
        <v>73</v>
      </c>
      <c r="AC102" s="9">
        <f t="shared" si="15"/>
        <v>2</v>
      </c>
      <c r="AD102" s="9" t="s">
        <v>73</v>
      </c>
      <c r="AE102" s="9">
        <f t="shared" si="16"/>
        <v>2</v>
      </c>
      <c r="AF102" s="9" t="s">
        <v>76</v>
      </c>
      <c r="AG102" s="9">
        <f t="shared" si="17"/>
        <v>5.5</v>
      </c>
      <c r="AH102" s="9" t="s">
        <v>85</v>
      </c>
      <c r="AI102" s="9">
        <f t="shared" si="18"/>
        <v>4</v>
      </c>
      <c r="AJ102" s="9" t="s">
        <v>77</v>
      </c>
      <c r="AK102" s="9">
        <f t="shared" si="19"/>
        <v>1</v>
      </c>
      <c r="AL102" s="9" t="s">
        <v>77</v>
      </c>
      <c r="AM102" s="9">
        <f t="shared" si="20"/>
        <v>1</v>
      </c>
      <c r="AN102" s="9" t="s">
        <v>85</v>
      </c>
      <c r="AO102" s="9">
        <f t="shared" si="21"/>
        <v>4</v>
      </c>
      <c r="AP102" s="9" t="s">
        <v>85</v>
      </c>
      <c r="AQ102" s="9">
        <f t="shared" si="22"/>
        <v>4</v>
      </c>
      <c r="AR102" s="9" t="s">
        <v>85</v>
      </c>
      <c r="AS102" s="9">
        <f t="shared" si="23"/>
        <v>4</v>
      </c>
      <c r="AT102" s="9" t="s">
        <v>153</v>
      </c>
      <c r="AU102" s="9">
        <f t="shared" si="24"/>
        <v>1</v>
      </c>
      <c r="AV102" s="9">
        <f t="shared" si="25"/>
        <v>0</v>
      </c>
      <c r="AW102" s="9">
        <f t="shared" si="26"/>
        <v>0</v>
      </c>
      <c r="AX102" s="9">
        <f t="shared" si="27"/>
        <v>0</v>
      </c>
      <c r="AY102" s="9">
        <f t="shared" si="28"/>
        <v>0</v>
      </c>
      <c r="AZ102" s="9">
        <f t="shared" si="29"/>
        <v>1</v>
      </c>
      <c r="BA102" s="9">
        <f t="shared" si="30"/>
        <v>1</v>
      </c>
      <c r="BB102" s="9" t="s">
        <v>88</v>
      </c>
      <c r="BC102" s="9">
        <f t="shared" si="31"/>
        <v>2</v>
      </c>
      <c r="BD102" s="12"/>
      <c r="BE102" s="9" t="str">
        <f t="shared" si="44"/>
        <v>N/A</v>
      </c>
      <c r="BF102" s="9" t="s">
        <v>218</v>
      </c>
      <c r="BG102" s="9">
        <f t="shared" si="33"/>
        <v>0</v>
      </c>
      <c r="BH102" s="9">
        <f t="shared" si="34"/>
        <v>0</v>
      </c>
      <c r="BI102" s="9">
        <f t="shared" si="35"/>
        <v>1</v>
      </c>
      <c r="BJ102" s="9">
        <f t="shared" si="36"/>
        <v>1</v>
      </c>
      <c r="BK102" s="9">
        <f t="shared" si="37"/>
        <v>0</v>
      </c>
      <c r="BL102" s="9">
        <f t="shared" si="38"/>
        <v>0</v>
      </c>
      <c r="BM102" s="9">
        <f t="shared" si="39"/>
        <v>1</v>
      </c>
      <c r="BN102" s="9" t="s">
        <v>68</v>
      </c>
      <c r="BO102" s="11">
        <f t="shared" si="40"/>
        <v>1</v>
      </c>
    </row>
    <row r="103" ht="22.5" customHeight="1">
      <c r="A103" s="9">
        <f t="shared" si="41"/>
        <v>102</v>
      </c>
      <c r="B103" s="10">
        <v>46050.820950381945</v>
      </c>
      <c r="C103" s="9" t="s">
        <v>90</v>
      </c>
      <c r="D103" s="9">
        <f t="shared" si="1"/>
        <v>2</v>
      </c>
      <c r="E103" s="9" t="s">
        <v>68</v>
      </c>
      <c r="F103" s="9">
        <f t="shared" si="2"/>
        <v>1</v>
      </c>
      <c r="G103" s="9" t="s">
        <v>82</v>
      </c>
      <c r="H103" s="9" t="str">
        <f t="shared" si="3"/>
        <v>Urban</v>
      </c>
      <c r="I103" s="9">
        <f t="shared" si="4"/>
        <v>2</v>
      </c>
      <c r="J103" s="9" t="s">
        <v>83</v>
      </c>
      <c r="K103" s="9" t="s">
        <v>84</v>
      </c>
      <c r="L103" s="9">
        <f t="shared" si="5"/>
        <v>2</v>
      </c>
      <c r="M103" s="9" t="s">
        <v>109</v>
      </c>
      <c r="N103" s="9">
        <f t="shared" si="6"/>
        <v>9</v>
      </c>
      <c r="O103" s="9" t="s">
        <v>78</v>
      </c>
      <c r="P103" s="9">
        <f t="shared" si="7"/>
        <v>3</v>
      </c>
      <c r="Q103" s="9" t="s">
        <v>85</v>
      </c>
      <c r="R103" s="9">
        <f t="shared" si="8"/>
        <v>4</v>
      </c>
      <c r="S103" s="9" t="s">
        <v>78</v>
      </c>
      <c r="T103" s="9">
        <f t="shared" si="9"/>
        <v>3</v>
      </c>
      <c r="U103" s="9" t="s">
        <v>92</v>
      </c>
      <c r="V103" s="9">
        <f t="shared" si="10"/>
        <v>3.5</v>
      </c>
      <c r="W103" s="9" t="s">
        <v>93</v>
      </c>
      <c r="X103" s="9">
        <f t="shared" si="11"/>
        <v>0</v>
      </c>
      <c r="Y103" s="9">
        <f t="shared" si="12"/>
        <v>1</v>
      </c>
      <c r="Z103" s="9">
        <f t="shared" si="13"/>
        <v>0</v>
      </c>
      <c r="AA103" s="9">
        <f t="shared" si="14"/>
        <v>0</v>
      </c>
      <c r="AB103" s="9" t="s">
        <v>103</v>
      </c>
      <c r="AC103" s="9">
        <f t="shared" si="15"/>
        <v>5</v>
      </c>
      <c r="AD103" s="9" t="s">
        <v>85</v>
      </c>
      <c r="AE103" s="9">
        <f t="shared" si="16"/>
        <v>4</v>
      </c>
      <c r="AF103" s="9" t="s">
        <v>76</v>
      </c>
      <c r="AG103" s="9">
        <f t="shared" si="17"/>
        <v>5.5</v>
      </c>
      <c r="AH103" s="9" t="s">
        <v>103</v>
      </c>
      <c r="AI103" s="9">
        <f t="shared" si="18"/>
        <v>5</v>
      </c>
      <c r="AJ103" s="9" t="s">
        <v>85</v>
      </c>
      <c r="AK103" s="9">
        <f t="shared" si="19"/>
        <v>4</v>
      </c>
      <c r="AL103" s="9" t="s">
        <v>77</v>
      </c>
      <c r="AM103" s="9">
        <f t="shared" si="20"/>
        <v>1</v>
      </c>
      <c r="AN103" s="9" t="s">
        <v>85</v>
      </c>
      <c r="AO103" s="9">
        <f t="shared" si="21"/>
        <v>4</v>
      </c>
      <c r="AP103" s="9" t="s">
        <v>85</v>
      </c>
      <c r="AQ103" s="9">
        <f t="shared" si="22"/>
        <v>4</v>
      </c>
      <c r="AR103" s="9" t="s">
        <v>85</v>
      </c>
      <c r="AS103" s="9">
        <f t="shared" si="23"/>
        <v>4</v>
      </c>
      <c r="AT103" s="9" t="s">
        <v>147</v>
      </c>
      <c r="AU103" s="9">
        <f t="shared" si="24"/>
        <v>1</v>
      </c>
      <c r="AV103" s="9">
        <f t="shared" si="25"/>
        <v>0</v>
      </c>
      <c r="AW103" s="9">
        <f t="shared" si="26"/>
        <v>0</v>
      </c>
      <c r="AX103" s="9">
        <f t="shared" si="27"/>
        <v>0</v>
      </c>
      <c r="AY103" s="9">
        <f t="shared" si="28"/>
        <v>0</v>
      </c>
      <c r="AZ103" s="9">
        <f t="shared" si="29"/>
        <v>0</v>
      </c>
      <c r="BA103" s="9">
        <f t="shared" si="30"/>
        <v>0</v>
      </c>
      <c r="BB103" s="9" t="s">
        <v>88</v>
      </c>
      <c r="BC103" s="9">
        <f t="shared" si="31"/>
        <v>2</v>
      </c>
      <c r="BD103" s="12"/>
      <c r="BE103" s="9" t="str">
        <f t="shared" si="44"/>
        <v>N/A</v>
      </c>
      <c r="BF103" s="9" t="s">
        <v>113</v>
      </c>
      <c r="BG103" s="9">
        <f t="shared" si="33"/>
        <v>0</v>
      </c>
      <c r="BH103" s="9">
        <f t="shared" si="34"/>
        <v>0</v>
      </c>
      <c r="BI103" s="9">
        <f t="shared" si="35"/>
        <v>0</v>
      </c>
      <c r="BJ103" s="9">
        <f t="shared" si="36"/>
        <v>0</v>
      </c>
      <c r="BK103" s="9">
        <f t="shared" si="37"/>
        <v>0</v>
      </c>
      <c r="BL103" s="9">
        <f t="shared" si="38"/>
        <v>0</v>
      </c>
      <c r="BM103" s="9">
        <f t="shared" si="39"/>
        <v>1</v>
      </c>
      <c r="BN103" s="9" t="s">
        <v>108</v>
      </c>
      <c r="BO103" s="11">
        <f t="shared" si="40"/>
        <v>3</v>
      </c>
    </row>
    <row r="104" ht="22.5" customHeight="1">
      <c r="A104" s="9">
        <f t="shared" si="41"/>
        <v>103</v>
      </c>
      <c r="B104" s="10">
        <v>46050.82254579861</v>
      </c>
      <c r="C104" s="9" t="s">
        <v>90</v>
      </c>
      <c r="D104" s="9">
        <f t="shared" si="1"/>
        <v>2</v>
      </c>
      <c r="E104" s="9" t="s">
        <v>68</v>
      </c>
      <c r="F104" s="9">
        <f t="shared" si="2"/>
        <v>1</v>
      </c>
      <c r="G104" s="9" t="s">
        <v>69</v>
      </c>
      <c r="H104" s="9" t="str">
        <f t="shared" si="3"/>
        <v>Rural</v>
      </c>
      <c r="I104" s="9">
        <f t="shared" si="4"/>
        <v>1</v>
      </c>
      <c r="J104" s="9" t="s">
        <v>145</v>
      </c>
      <c r="K104" s="9" t="s">
        <v>146</v>
      </c>
      <c r="L104" s="9">
        <f t="shared" si="5"/>
        <v>1</v>
      </c>
      <c r="M104" s="9" t="s">
        <v>101</v>
      </c>
      <c r="N104" s="9">
        <f t="shared" si="6"/>
        <v>2</v>
      </c>
      <c r="O104" s="9" t="s">
        <v>73</v>
      </c>
      <c r="P104" s="9">
        <f t="shared" si="7"/>
        <v>2</v>
      </c>
      <c r="Q104" s="9" t="s">
        <v>85</v>
      </c>
      <c r="R104" s="9">
        <f t="shared" si="8"/>
        <v>4</v>
      </c>
      <c r="S104" s="9" t="s">
        <v>73</v>
      </c>
      <c r="T104" s="9">
        <f t="shared" si="9"/>
        <v>2</v>
      </c>
      <c r="U104" s="9" t="s">
        <v>92</v>
      </c>
      <c r="V104" s="9">
        <f t="shared" si="10"/>
        <v>3.5</v>
      </c>
      <c r="W104" s="9" t="s">
        <v>105</v>
      </c>
      <c r="X104" s="9">
        <f t="shared" si="11"/>
        <v>1</v>
      </c>
      <c r="Y104" s="9">
        <f t="shared" si="12"/>
        <v>1</v>
      </c>
      <c r="Z104" s="9">
        <f t="shared" si="13"/>
        <v>0</v>
      </c>
      <c r="AA104" s="9">
        <f t="shared" si="14"/>
        <v>0</v>
      </c>
      <c r="AB104" s="9" t="s">
        <v>85</v>
      </c>
      <c r="AC104" s="9">
        <f t="shared" si="15"/>
        <v>4</v>
      </c>
      <c r="AD104" s="9" t="s">
        <v>73</v>
      </c>
      <c r="AE104" s="9">
        <f t="shared" si="16"/>
        <v>2</v>
      </c>
      <c r="AF104" s="9" t="s">
        <v>71</v>
      </c>
      <c r="AG104" s="9">
        <f t="shared" si="17"/>
        <v>7.7</v>
      </c>
      <c r="AH104" s="9" t="s">
        <v>78</v>
      </c>
      <c r="AI104" s="9">
        <f t="shared" si="18"/>
        <v>3</v>
      </c>
      <c r="AJ104" s="9" t="s">
        <v>73</v>
      </c>
      <c r="AK104" s="9">
        <f t="shared" si="19"/>
        <v>2</v>
      </c>
      <c r="AL104" s="9" t="s">
        <v>73</v>
      </c>
      <c r="AM104" s="9">
        <f t="shared" si="20"/>
        <v>2</v>
      </c>
      <c r="AN104" s="9" t="s">
        <v>73</v>
      </c>
      <c r="AO104" s="9">
        <f t="shared" si="21"/>
        <v>2</v>
      </c>
      <c r="AP104" s="9" t="s">
        <v>73</v>
      </c>
      <c r="AQ104" s="9">
        <f t="shared" si="22"/>
        <v>2</v>
      </c>
      <c r="AR104" s="9" t="s">
        <v>78</v>
      </c>
      <c r="AS104" s="9">
        <f t="shared" si="23"/>
        <v>3</v>
      </c>
      <c r="AT104" s="9" t="s">
        <v>219</v>
      </c>
      <c r="AU104" s="9">
        <f t="shared" si="24"/>
        <v>0</v>
      </c>
      <c r="AV104" s="9">
        <f t="shared" si="25"/>
        <v>0</v>
      </c>
      <c r="AW104" s="9">
        <f t="shared" si="26"/>
        <v>0</v>
      </c>
      <c r="AX104" s="9">
        <f t="shared" si="27"/>
        <v>0</v>
      </c>
      <c r="AY104" s="9">
        <f t="shared" si="28"/>
        <v>1</v>
      </c>
      <c r="AZ104" s="9">
        <f t="shared" si="29"/>
        <v>0</v>
      </c>
      <c r="BA104" s="9">
        <f t="shared" si="30"/>
        <v>0</v>
      </c>
      <c r="BB104" s="9" t="s">
        <v>88</v>
      </c>
      <c r="BC104" s="9">
        <f t="shared" si="31"/>
        <v>2</v>
      </c>
      <c r="BD104" s="12"/>
      <c r="BE104" s="9" t="str">
        <f t="shared" si="44"/>
        <v>N/A</v>
      </c>
      <c r="BF104" s="9" t="s">
        <v>220</v>
      </c>
      <c r="BG104" s="9">
        <f t="shared" si="33"/>
        <v>1</v>
      </c>
      <c r="BH104" s="9">
        <f t="shared" si="34"/>
        <v>1</v>
      </c>
      <c r="BI104" s="9">
        <f t="shared" si="35"/>
        <v>1</v>
      </c>
      <c r="BJ104" s="9">
        <f t="shared" si="36"/>
        <v>0</v>
      </c>
      <c r="BK104" s="9">
        <f t="shared" si="37"/>
        <v>0</v>
      </c>
      <c r="BL104" s="9">
        <f t="shared" si="38"/>
        <v>0</v>
      </c>
      <c r="BM104" s="9">
        <f t="shared" si="39"/>
        <v>0</v>
      </c>
      <c r="BN104" s="9" t="s">
        <v>68</v>
      </c>
      <c r="BO104" s="11">
        <f t="shared" si="40"/>
        <v>1</v>
      </c>
    </row>
    <row r="105" ht="22.5" customHeight="1">
      <c r="A105" s="9">
        <f t="shared" si="41"/>
        <v>104</v>
      </c>
      <c r="B105" s="10">
        <v>46050.82612332176</v>
      </c>
      <c r="C105" s="9" t="s">
        <v>67</v>
      </c>
      <c r="D105" s="9">
        <f t="shared" si="1"/>
        <v>1</v>
      </c>
      <c r="E105" s="9" t="s">
        <v>68</v>
      </c>
      <c r="F105" s="9">
        <f t="shared" si="2"/>
        <v>1</v>
      </c>
      <c r="G105" s="9" t="s">
        <v>82</v>
      </c>
      <c r="H105" s="9" t="str">
        <f t="shared" si="3"/>
        <v>Urban</v>
      </c>
      <c r="I105" s="9">
        <f t="shared" si="4"/>
        <v>2</v>
      </c>
      <c r="J105" s="9" t="s">
        <v>70</v>
      </c>
      <c r="K105" s="9" t="s">
        <v>100</v>
      </c>
      <c r="L105" s="9">
        <f t="shared" si="5"/>
        <v>3</v>
      </c>
      <c r="M105" s="9" t="s">
        <v>76</v>
      </c>
      <c r="N105" s="9">
        <f t="shared" si="6"/>
        <v>5.5</v>
      </c>
      <c r="O105" s="9" t="s">
        <v>78</v>
      </c>
      <c r="P105" s="9">
        <f t="shared" si="7"/>
        <v>3</v>
      </c>
      <c r="Q105" s="9" t="s">
        <v>78</v>
      </c>
      <c r="R105" s="9">
        <f t="shared" si="8"/>
        <v>3</v>
      </c>
      <c r="S105" s="9" t="s">
        <v>78</v>
      </c>
      <c r="T105" s="9">
        <f t="shared" si="9"/>
        <v>3</v>
      </c>
      <c r="U105" s="9" t="s">
        <v>110</v>
      </c>
      <c r="V105" s="9">
        <f t="shared" si="10"/>
        <v>0.75</v>
      </c>
      <c r="W105" s="9" t="s">
        <v>122</v>
      </c>
      <c r="X105" s="9">
        <f t="shared" si="11"/>
        <v>0</v>
      </c>
      <c r="Y105" s="9">
        <f t="shared" si="12"/>
        <v>0</v>
      </c>
      <c r="Z105" s="9">
        <f t="shared" si="13"/>
        <v>1</v>
      </c>
      <c r="AA105" s="9">
        <f t="shared" si="14"/>
        <v>0</v>
      </c>
      <c r="AB105" s="9" t="s">
        <v>78</v>
      </c>
      <c r="AC105" s="9">
        <f t="shared" si="15"/>
        <v>3</v>
      </c>
      <c r="AD105" s="9" t="s">
        <v>78</v>
      </c>
      <c r="AE105" s="9">
        <f t="shared" si="16"/>
        <v>3</v>
      </c>
      <c r="AF105" s="9" t="s">
        <v>71</v>
      </c>
      <c r="AG105" s="9">
        <f t="shared" si="17"/>
        <v>7.7</v>
      </c>
      <c r="AH105" s="9" t="s">
        <v>78</v>
      </c>
      <c r="AI105" s="9">
        <f t="shared" si="18"/>
        <v>3</v>
      </c>
      <c r="AJ105" s="9" t="s">
        <v>73</v>
      </c>
      <c r="AK105" s="9">
        <f t="shared" si="19"/>
        <v>2</v>
      </c>
      <c r="AL105" s="9" t="s">
        <v>73</v>
      </c>
      <c r="AM105" s="9">
        <f t="shared" si="20"/>
        <v>2</v>
      </c>
      <c r="AN105" s="9" t="s">
        <v>73</v>
      </c>
      <c r="AO105" s="9">
        <f t="shared" si="21"/>
        <v>2</v>
      </c>
      <c r="AP105" s="9" t="s">
        <v>73</v>
      </c>
      <c r="AQ105" s="9">
        <f t="shared" si="22"/>
        <v>2</v>
      </c>
      <c r="AR105" s="9" t="s">
        <v>73</v>
      </c>
      <c r="AS105" s="9">
        <f t="shared" si="23"/>
        <v>2</v>
      </c>
      <c r="AT105" s="9" t="s">
        <v>162</v>
      </c>
      <c r="AU105" s="9">
        <f t="shared" si="24"/>
        <v>0</v>
      </c>
      <c r="AV105" s="9">
        <f t="shared" si="25"/>
        <v>0</v>
      </c>
      <c r="AW105" s="9">
        <f t="shared" si="26"/>
        <v>0</v>
      </c>
      <c r="AX105" s="9">
        <f t="shared" si="27"/>
        <v>0</v>
      </c>
      <c r="AY105" s="9">
        <f t="shared" si="28"/>
        <v>0</v>
      </c>
      <c r="AZ105" s="9">
        <f t="shared" si="29"/>
        <v>1</v>
      </c>
      <c r="BA105" s="9">
        <f t="shared" si="30"/>
        <v>0</v>
      </c>
      <c r="BB105" s="9" t="s">
        <v>88</v>
      </c>
      <c r="BC105" s="9">
        <f t="shared" si="31"/>
        <v>2</v>
      </c>
      <c r="BD105" s="12"/>
      <c r="BE105" s="9" t="str">
        <f t="shared" si="44"/>
        <v>N/A</v>
      </c>
      <c r="BF105" s="9" t="s">
        <v>107</v>
      </c>
      <c r="BG105" s="9">
        <f t="shared" si="33"/>
        <v>1</v>
      </c>
      <c r="BH105" s="9">
        <f t="shared" si="34"/>
        <v>0</v>
      </c>
      <c r="BI105" s="9">
        <f t="shared" si="35"/>
        <v>0</v>
      </c>
      <c r="BJ105" s="9">
        <f t="shared" si="36"/>
        <v>0</v>
      </c>
      <c r="BK105" s="9">
        <f t="shared" si="37"/>
        <v>0</v>
      </c>
      <c r="BL105" s="9">
        <f t="shared" si="38"/>
        <v>0</v>
      </c>
      <c r="BM105" s="9">
        <f t="shared" si="39"/>
        <v>0</v>
      </c>
      <c r="BN105" s="9" t="s">
        <v>68</v>
      </c>
      <c r="BO105" s="11">
        <f t="shared" si="40"/>
        <v>1</v>
      </c>
    </row>
    <row r="106" ht="22.5" customHeight="1">
      <c r="A106" s="9">
        <f t="shared" si="41"/>
        <v>105</v>
      </c>
      <c r="B106" s="10">
        <v>46050.82625731481</v>
      </c>
      <c r="C106" s="9" t="s">
        <v>90</v>
      </c>
      <c r="D106" s="9">
        <f t="shared" si="1"/>
        <v>2</v>
      </c>
      <c r="E106" s="9" t="s">
        <v>68</v>
      </c>
      <c r="F106" s="9">
        <f t="shared" si="2"/>
        <v>1</v>
      </c>
      <c r="G106" s="9" t="s">
        <v>69</v>
      </c>
      <c r="H106" s="9" t="str">
        <f t="shared" si="3"/>
        <v>Rural</v>
      </c>
      <c r="I106" s="9">
        <f t="shared" si="4"/>
        <v>1</v>
      </c>
      <c r="J106" s="9" t="s">
        <v>145</v>
      </c>
      <c r="K106" s="9" t="s">
        <v>146</v>
      </c>
      <c r="L106" s="9">
        <f t="shared" si="5"/>
        <v>1</v>
      </c>
      <c r="M106" s="9" t="s">
        <v>76</v>
      </c>
      <c r="N106" s="9">
        <f t="shared" si="6"/>
        <v>5.5</v>
      </c>
      <c r="O106" s="9" t="s">
        <v>78</v>
      </c>
      <c r="P106" s="9">
        <f t="shared" si="7"/>
        <v>3</v>
      </c>
      <c r="Q106" s="9" t="s">
        <v>78</v>
      </c>
      <c r="R106" s="9">
        <f t="shared" si="8"/>
        <v>3</v>
      </c>
      <c r="S106" s="9" t="s">
        <v>85</v>
      </c>
      <c r="T106" s="9">
        <f t="shared" si="9"/>
        <v>4</v>
      </c>
      <c r="U106" s="9" t="s">
        <v>74</v>
      </c>
      <c r="V106" s="9">
        <f t="shared" si="10"/>
        <v>1.5</v>
      </c>
      <c r="W106" s="9" t="s">
        <v>143</v>
      </c>
      <c r="X106" s="9">
        <f t="shared" si="11"/>
        <v>1</v>
      </c>
      <c r="Y106" s="9">
        <f t="shared" si="12"/>
        <v>0</v>
      </c>
      <c r="Z106" s="9">
        <f t="shared" si="13"/>
        <v>0</v>
      </c>
      <c r="AA106" s="9">
        <f t="shared" si="14"/>
        <v>0</v>
      </c>
      <c r="AB106" s="9" t="s">
        <v>78</v>
      </c>
      <c r="AC106" s="9">
        <f t="shared" si="15"/>
        <v>3</v>
      </c>
      <c r="AD106" s="9" t="s">
        <v>85</v>
      </c>
      <c r="AE106" s="9">
        <f t="shared" si="16"/>
        <v>4</v>
      </c>
      <c r="AF106" s="9" t="s">
        <v>71</v>
      </c>
      <c r="AG106" s="9">
        <f t="shared" si="17"/>
        <v>7.7</v>
      </c>
      <c r="AH106" s="9" t="s">
        <v>85</v>
      </c>
      <c r="AI106" s="9">
        <f t="shared" si="18"/>
        <v>4</v>
      </c>
      <c r="AJ106" s="9" t="s">
        <v>120</v>
      </c>
      <c r="AK106" s="9">
        <f t="shared" si="19"/>
        <v>5</v>
      </c>
      <c r="AL106" s="9" t="s">
        <v>85</v>
      </c>
      <c r="AM106" s="9">
        <f t="shared" si="20"/>
        <v>4</v>
      </c>
      <c r="AN106" s="9" t="s">
        <v>120</v>
      </c>
      <c r="AO106" s="9">
        <f t="shared" si="21"/>
        <v>5</v>
      </c>
      <c r="AP106" s="9" t="s">
        <v>85</v>
      </c>
      <c r="AQ106" s="9">
        <f t="shared" si="22"/>
        <v>4</v>
      </c>
      <c r="AR106" s="9" t="s">
        <v>120</v>
      </c>
      <c r="AS106" s="9">
        <f t="shared" si="23"/>
        <v>5</v>
      </c>
      <c r="AT106" s="9" t="s">
        <v>125</v>
      </c>
      <c r="AU106" s="9">
        <f t="shared" si="24"/>
        <v>0</v>
      </c>
      <c r="AV106" s="9">
        <f t="shared" si="25"/>
        <v>0</v>
      </c>
      <c r="AW106" s="9">
        <f t="shared" si="26"/>
        <v>0</v>
      </c>
      <c r="AX106" s="9">
        <f t="shared" si="27"/>
        <v>1</v>
      </c>
      <c r="AY106" s="9">
        <f t="shared" si="28"/>
        <v>0</v>
      </c>
      <c r="AZ106" s="9">
        <f t="shared" si="29"/>
        <v>0</v>
      </c>
      <c r="BA106" s="9">
        <f t="shared" si="30"/>
        <v>0</v>
      </c>
      <c r="BB106" s="9" t="s">
        <v>88</v>
      </c>
      <c r="BC106" s="9">
        <f t="shared" si="31"/>
        <v>2</v>
      </c>
      <c r="BD106" s="12"/>
      <c r="BE106" s="9" t="str">
        <f t="shared" si="44"/>
        <v>N/A</v>
      </c>
      <c r="BF106" s="9" t="s">
        <v>161</v>
      </c>
      <c r="BG106" s="9">
        <f t="shared" si="33"/>
        <v>0</v>
      </c>
      <c r="BH106" s="9">
        <f t="shared" si="34"/>
        <v>0</v>
      </c>
      <c r="BI106" s="9">
        <f t="shared" si="35"/>
        <v>0</v>
      </c>
      <c r="BJ106" s="9">
        <f t="shared" si="36"/>
        <v>1</v>
      </c>
      <c r="BK106" s="9">
        <f t="shared" si="37"/>
        <v>0</v>
      </c>
      <c r="BL106" s="9">
        <f t="shared" si="38"/>
        <v>0</v>
      </c>
      <c r="BM106" s="9">
        <f t="shared" si="39"/>
        <v>0</v>
      </c>
      <c r="BN106" s="9" t="s">
        <v>68</v>
      </c>
      <c r="BO106" s="11">
        <f t="shared" si="40"/>
        <v>1</v>
      </c>
    </row>
    <row r="107" ht="22.5" customHeight="1">
      <c r="A107" s="9">
        <f t="shared" si="41"/>
        <v>106</v>
      </c>
      <c r="B107" s="10">
        <v>46050.826359224535</v>
      </c>
      <c r="C107" s="9" t="s">
        <v>90</v>
      </c>
      <c r="D107" s="9">
        <f t="shared" si="1"/>
        <v>2</v>
      </c>
      <c r="E107" s="9" t="s">
        <v>68</v>
      </c>
      <c r="F107" s="9">
        <f t="shared" si="2"/>
        <v>1</v>
      </c>
      <c r="G107" s="9" t="s">
        <v>69</v>
      </c>
      <c r="H107" s="9" t="str">
        <f t="shared" si="3"/>
        <v>Rural</v>
      </c>
      <c r="I107" s="9">
        <f t="shared" si="4"/>
        <v>1</v>
      </c>
      <c r="J107" s="9" t="s">
        <v>83</v>
      </c>
      <c r="K107" s="9" t="s">
        <v>84</v>
      </c>
      <c r="L107" s="9">
        <f t="shared" si="5"/>
        <v>2</v>
      </c>
      <c r="M107" s="9" t="s">
        <v>76</v>
      </c>
      <c r="N107" s="9">
        <f t="shared" si="6"/>
        <v>5.5</v>
      </c>
      <c r="O107" s="9" t="s">
        <v>73</v>
      </c>
      <c r="P107" s="9">
        <f t="shared" si="7"/>
        <v>2</v>
      </c>
      <c r="Q107" s="9" t="s">
        <v>85</v>
      </c>
      <c r="R107" s="9">
        <f t="shared" si="8"/>
        <v>4</v>
      </c>
      <c r="S107" s="9" t="s">
        <v>73</v>
      </c>
      <c r="T107" s="9">
        <f t="shared" si="9"/>
        <v>2</v>
      </c>
      <c r="U107" s="9" t="s">
        <v>92</v>
      </c>
      <c r="V107" s="9">
        <f t="shared" si="10"/>
        <v>3.5</v>
      </c>
      <c r="W107" s="9" t="s">
        <v>105</v>
      </c>
      <c r="X107" s="9">
        <f t="shared" si="11"/>
        <v>1</v>
      </c>
      <c r="Y107" s="9">
        <f t="shared" si="12"/>
        <v>1</v>
      </c>
      <c r="Z107" s="9">
        <f t="shared" si="13"/>
        <v>0</v>
      </c>
      <c r="AA107" s="9">
        <f t="shared" si="14"/>
        <v>0</v>
      </c>
      <c r="AB107" s="9" t="s">
        <v>103</v>
      </c>
      <c r="AC107" s="9">
        <f t="shared" si="15"/>
        <v>5</v>
      </c>
      <c r="AD107" s="9" t="s">
        <v>85</v>
      </c>
      <c r="AE107" s="9">
        <f t="shared" si="16"/>
        <v>4</v>
      </c>
      <c r="AF107" s="9" t="s">
        <v>76</v>
      </c>
      <c r="AG107" s="9">
        <f t="shared" si="17"/>
        <v>5.5</v>
      </c>
      <c r="AH107" s="9" t="s">
        <v>73</v>
      </c>
      <c r="AI107" s="9">
        <f t="shared" si="18"/>
        <v>2</v>
      </c>
      <c r="AJ107" s="9" t="s">
        <v>77</v>
      </c>
      <c r="AK107" s="9">
        <f t="shared" si="19"/>
        <v>1</v>
      </c>
      <c r="AL107" s="9" t="s">
        <v>73</v>
      </c>
      <c r="AM107" s="9">
        <f t="shared" si="20"/>
        <v>2</v>
      </c>
      <c r="AN107" s="9" t="s">
        <v>73</v>
      </c>
      <c r="AO107" s="9">
        <f t="shared" si="21"/>
        <v>2</v>
      </c>
      <c r="AP107" s="9" t="s">
        <v>73</v>
      </c>
      <c r="AQ107" s="9">
        <f t="shared" si="22"/>
        <v>2</v>
      </c>
      <c r="AR107" s="9" t="s">
        <v>78</v>
      </c>
      <c r="AS107" s="9">
        <f t="shared" si="23"/>
        <v>3</v>
      </c>
      <c r="AT107" s="9" t="s">
        <v>221</v>
      </c>
      <c r="AU107" s="9">
        <f t="shared" si="24"/>
        <v>1</v>
      </c>
      <c r="AV107" s="9">
        <f t="shared" si="25"/>
        <v>1</v>
      </c>
      <c r="AW107" s="9">
        <f t="shared" si="26"/>
        <v>0</v>
      </c>
      <c r="AX107" s="9">
        <f t="shared" si="27"/>
        <v>0</v>
      </c>
      <c r="AY107" s="9">
        <f t="shared" si="28"/>
        <v>0</v>
      </c>
      <c r="AZ107" s="9">
        <f t="shared" si="29"/>
        <v>0</v>
      </c>
      <c r="BA107" s="9">
        <f t="shared" si="30"/>
        <v>0</v>
      </c>
      <c r="BB107" s="9" t="s">
        <v>88</v>
      </c>
      <c r="BC107" s="9">
        <f t="shared" si="31"/>
        <v>2</v>
      </c>
      <c r="BD107" s="12"/>
      <c r="BE107" s="9" t="str">
        <f t="shared" si="44"/>
        <v>N/A</v>
      </c>
      <c r="BF107" s="9" t="s">
        <v>222</v>
      </c>
      <c r="BG107" s="9">
        <f t="shared" si="33"/>
        <v>1</v>
      </c>
      <c r="BH107" s="9">
        <f t="shared" si="34"/>
        <v>0</v>
      </c>
      <c r="BI107" s="9">
        <f t="shared" si="35"/>
        <v>0</v>
      </c>
      <c r="BJ107" s="9">
        <f t="shared" si="36"/>
        <v>1</v>
      </c>
      <c r="BK107" s="9">
        <f t="shared" si="37"/>
        <v>1</v>
      </c>
      <c r="BL107" s="9">
        <f t="shared" si="38"/>
        <v>1</v>
      </c>
      <c r="BM107" s="9">
        <f t="shared" si="39"/>
        <v>0</v>
      </c>
      <c r="BN107" s="9" t="s">
        <v>68</v>
      </c>
      <c r="BO107" s="11">
        <f t="shared" si="40"/>
        <v>1</v>
      </c>
    </row>
    <row r="108" ht="22.5" customHeight="1">
      <c r="A108" s="9">
        <f t="shared" si="41"/>
        <v>107</v>
      </c>
      <c r="B108" s="10">
        <v>46050.82825472222</v>
      </c>
      <c r="C108" s="9" t="s">
        <v>90</v>
      </c>
      <c r="D108" s="9">
        <f t="shared" si="1"/>
        <v>2</v>
      </c>
      <c r="E108" s="9" t="s">
        <v>68</v>
      </c>
      <c r="F108" s="9">
        <f t="shared" si="2"/>
        <v>1</v>
      </c>
      <c r="G108" s="9" t="s">
        <v>91</v>
      </c>
      <c r="H108" s="9" t="str">
        <f t="shared" si="3"/>
        <v>Urban</v>
      </c>
      <c r="I108" s="9">
        <f t="shared" si="4"/>
        <v>2</v>
      </c>
      <c r="J108" s="9" t="s">
        <v>70</v>
      </c>
      <c r="K108" s="9" t="s">
        <v>100</v>
      </c>
      <c r="L108" s="9">
        <f t="shared" si="5"/>
        <v>3</v>
      </c>
      <c r="M108" s="9" t="s">
        <v>101</v>
      </c>
      <c r="N108" s="9">
        <f t="shared" si="6"/>
        <v>2</v>
      </c>
      <c r="O108" s="9" t="s">
        <v>72</v>
      </c>
      <c r="P108" s="9">
        <f t="shared" si="7"/>
        <v>1</v>
      </c>
      <c r="Q108" s="9" t="s">
        <v>103</v>
      </c>
      <c r="R108" s="9">
        <f t="shared" si="8"/>
        <v>5</v>
      </c>
      <c r="S108" s="9" t="s">
        <v>72</v>
      </c>
      <c r="T108" s="9">
        <f t="shared" si="9"/>
        <v>1</v>
      </c>
      <c r="U108" s="9" t="s">
        <v>96</v>
      </c>
      <c r="V108" s="9">
        <f t="shared" si="10"/>
        <v>2.5</v>
      </c>
      <c r="W108" s="9" t="s">
        <v>86</v>
      </c>
      <c r="X108" s="9">
        <f t="shared" si="11"/>
        <v>1</v>
      </c>
      <c r="Y108" s="9">
        <f t="shared" si="12"/>
        <v>1</v>
      </c>
      <c r="Z108" s="9">
        <f t="shared" si="13"/>
        <v>1</v>
      </c>
      <c r="AA108" s="9">
        <f t="shared" si="14"/>
        <v>0</v>
      </c>
      <c r="AB108" s="9" t="s">
        <v>85</v>
      </c>
      <c r="AC108" s="9">
        <f t="shared" si="15"/>
        <v>4</v>
      </c>
      <c r="AD108" s="9" t="s">
        <v>85</v>
      </c>
      <c r="AE108" s="9">
        <f t="shared" si="16"/>
        <v>4</v>
      </c>
      <c r="AF108" s="9" t="s">
        <v>71</v>
      </c>
      <c r="AG108" s="9">
        <f t="shared" si="17"/>
        <v>7.7</v>
      </c>
      <c r="AH108" s="9" t="s">
        <v>78</v>
      </c>
      <c r="AI108" s="9">
        <f t="shared" si="18"/>
        <v>3</v>
      </c>
      <c r="AJ108" s="9" t="s">
        <v>78</v>
      </c>
      <c r="AK108" s="9">
        <f t="shared" si="19"/>
        <v>3</v>
      </c>
      <c r="AL108" s="9" t="s">
        <v>73</v>
      </c>
      <c r="AM108" s="9">
        <f t="shared" si="20"/>
        <v>2</v>
      </c>
      <c r="AN108" s="9" t="s">
        <v>78</v>
      </c>
      <c r="AO108" s="9">
        <f t="shared" si="21"/>
        <v>3</v>
      </c>
      <c r="AP108" s="9" t="s">
        <v>78</v>
      </c>
      <c r="AQ108" s="9">
        <f t="shared" si="22"/>
        <v>3</v>
      </c>
      <c r="AR108" s="9" t="s">
        <v>85</v>
      </c>
      <c r="AS108" s="9">
        <f t="shared" si="23"/>
        <v>4</v>
      </c>
      <c r="AT108" s="9" t="s">
        <v>131</v>
      </c>
      <c r="AU108" s="9">
        <f t="shared" si="24"/>
        <v>1</v>
      </c>
      <c r="AV108" s="9">
        <f t="shared" si="25"/>
        <v>1</v>
      </c>
      <c r="AW108" s="9">
        <f t="shared" si="26"/>
        <v>0</v>
      </c>
      <c r="AX108" s="9">
        <f t="shared" si="27"/>
        <v>0</v>
      </c>
      <c r="AY108" s="9">
        <f t="shared" si="28"/>
        <v>0</v>
      </c>
      <c r="AZ108" s="9">
        <f t="shared" si="29"/>
        <v>1</v>
      </c>
      <c r="BA108" s="9">
        <f t="shared" si="30"/>
        <v>0</v>
      </c>
      <c r="BB108" s="9" t="s">
        <v>68</v>
      </c>
      <c r="BC108" s="9">
        <f t="shared" si="31"/>
        <v>1</v>
      </c>
      <c r="BD108" s="12"/>
      <c r="BE108" s="9" t="str">
        <f t="shared" si="44"/>
        <v>N/A</v>
      </c>
      <c r="BF108" s="9" t="s">
        <v>124</v>
      </c>
      <c r="BG108" s="9">
        <f t="shared" si="33"/>
        <v>1</v>
      </c>
      <c r="BH108" s="9">
        <f t="shared" si="34"/>
        <v>0</v>
      </c>
      <c r="BI108" s="9">
        <f t="shared" si="35"/>
        <v>1</v>
      </c>
      <c r="BJ108" s="9">
        <f t="shared" si="36"/>
        <v>0</v>
      </c>
      <c r="BK108" s="9">
        <f t="shared" si="37"/>
        <v>0</v>
      </c>
      <c r="BL108" s="9">
        <f t="shared" si="38"/>
        <v>0</v>
      </c>
      <c r="BM108" s="9">
        <f t="shared" si="39"/>
        <v>0</v>
      </c>
      <c r="BN108" s="9" t="s">
        <v>108</v>
      </c>
      <c r="BO108" s="11">
        <f t="shared" si="40"/>
        <v>3</v>
      </c>
    </row>
    <row r="109" ht="22.5" customHeight="1">
      <c r="A109" s="9">
        <f t="shared" si="41"/>
        <v>108</v>
      </c>
      <c r="B109" s="10">
        <v>46050.82974965278</v>
      </c>
      <c r="C109" s="9" t="s">
        <v>90</v>
      </c>
      <c r="D109" s="9">
        <f t="shared" si="1"/>
        <v>2</v>
      </c>
      <c r="E109" s="9" t="s">
        <v>68</v>
      </c>
      <c r="F109" s="9">
        <f t="shared" si="2"/>
        <v>1</v>
      </c>
      <c r="G109" s="9" t="s">
        <v>69</v>
      </c>
      <c r="H109" s="9" t="str">
        <f t="shared" si="3"/>
        <v>Rural</v>
      </c>
      <c r="I109" s="9">
        <f t="shared" si="4"/>
        <v>1</v>
      </c>
      <c r="J109" s="9" t="s">
        <v>145</v>
      </c>
      <c r="K109" s="9" t="s">
        <v>146</v>
      </c>
      <c r="L109" s="9">
        <f t="shared" si="5"/>
        <v>1</v>
      </c>
      <c r="M109" s="9" t="s">
        <v>101</v>
      </c>
      <c r="N109" s="9">
        <f t="shared" si="6"/>
        <v>2</v>
      </c>
      <c r="O109" s="9" t="s">
        <v>73</v>
      </c>
      <c r="P109" s="9">
        <f t="shared" si="7"/>
        <v>2</v>
      </c>
      <c r="Q109" s="9" t="s">
        <v>85</v>
      </c>
      <c r="R109" s="9">
        <f t="shared" si="8"/>
        <v>4</v>
      </c>
      <c r="S109" s="9" t="s">
        <v>73</v>
      </c>
      <c r="T109" s="9">
        <f t="shared" si="9"/>
        <v>2</v>
      </c>
      <c r="U109" s="9" t="s">
        <v>74</v>
      </c>
      <c r="V109" s="9">
        <f t="shared" si="10"/>
        <v>1.5</v>
      </c>
      <c r="W109" s="9" t="s">
        <v>93</v>
      </c>
      <c r="X109" s="9">
        <f t="shared" si="11"/>
        <v>0</v>
      </c>
      <c r="Y109" s="9">
        <f t="shared" si="12"/>
        <v>1</v>
      </c>
      <c r="Z109" s="9">
        <f t="shared" si="13"/>
        <v>0</v>
      </c>
      <c r="AA109" s="9">
        <f t="shared" si="14"/>
        <v>0</v>
      </c>
      <c r="AB109" s="9" t="s">
        <v>73</v>
      </c>
      <c r="AC109" s="9">
        <f t="shared" si="15"/>
        <v>2</v>
      </c>
      <c r="AD109" s="9" t="s">
        <v>78</v>
      </c>
      <c r="AE109" s="9">
        <f t="shared" si="16"/>
        <v>3</v>
      </c>
      <c r="AF109" s="9" t="s">
        <v>71</v>
      </c>
      <c r="AG109" s="9">
        <f t="shared" si="17"/>
        <v>7.7</v>
      </c>
      <c r="AH109" s="9" t="s">
        <v>103</v>
      </c>
      <c r="AI109" s="9">
        <f t="shared" si="18"/>
        <v>5</v>
      </c>
      <c r="AJ109" s="9" t="s">
        <v>85</v>
      </c>
      <c r="AK109" s="9">
        <f t="shared" si="19"/>
        <v>4</v>
      </c>
      <c r="AL109" s="9" t="s">
        <v>85</v>
      </c>
      <c r="AM109" s="9">
        <f t="shared" si="20"/>
        <v>4</v>
      </c>
      <c r="AN109" s="9" t="s">
        <v>85</v>
      </c>
      <c r="AO109" s="9">
        <f t="shared" si="21"/>
        <v>4</v>
      </c>
      <c r="AP109" s="9" t="s">
        <v>85</v>
      </c>
      <c r="AQ109" s="9">
        <f t="shared" si="22"/>
        <v>4</v>
      </c>
      <c r="AR109" s="9" t="s">
        <v>85</v>
      </c>
      <c r="AS109" s="9">
        <f t="shared" si="23"/>
        <v>4</v>
      </c>
      <c r="AT109" s="9" t="s">
        <v>131</v>
      </c>
      <c r="AU109" s="9">
        <f t="shared" si="24"/>
        <v>1</v>
      </c>
      <c r="AV109" s="9">
        <f t="shared" si="25"/>
        <v>1</v>
      </c>
      <c r="AW109" s="9">
        <f t="shared" si="26"/>
        <v>0</v>
      </c>
      <c r="AX109" s="9">
        <f t="shared" si="27"/>
        <v>0</v>
      </c>
      <c r="AY109" s="9">
        <f t="shared" si="28"/>
        <v>0</v>
      </c>
      <c r="AZ109" s="9">
        <f t="shared" si="29"/>
        <v>1</v>
      </c>
      <c r="BA109" s="9">
        <f t="shared" si="30"/>
        <v>0</v>
      </c>
      <c r="BB109" s="9" t="s">
        <v>88</v>
      </c>
      <c r="BC109" s="9">
        <f t="shared" si="31"/>
        <v>2</v>
      </c>
      <c r="BD109" s="12"/>
      <c r="BE109" s="9" t="str">
        <f t="shared" si="44"/>
        <v>N/A</v>
      </c>
      <c r="BF109" s="9" t="s">
        <v>142</v>
      </c>
      <c r="BG109" s="9">
        <f t="shared" si="33"/>
        <v>0</v>
      </c>
      <c r="BH109" s="9">
        <f t="shared" si="34"/>
        <v>0</v>
      </c>
      <c r="BI109" s="9">
        <f t="shared" si="35"/>
        <v>0</v>
      </c>
      <c r="BJ109" s="9">
        <f t="shared" si="36"/>
        <v>0</v>
      </c>
      <c r="BK109" s="9">
        <f t="shared" si="37"/>
        <v>1</v>
      </c>
      <c r="BL109" s="9">
        <f t="shared" si="38"/>
        <v>1</v>
      </c>
      <c r="BM109" s="9">
        <f t="shared" si="39"/>
        <v>0</v>
      </c>
      <c r="BN109" s="9" t="s">
        <v>68</v>
      </c>
      <c r="BO109" s="11">
        <f t="shared" si="40"/>
        <v>1</v>
      </c>
    </row>
    <row r="110" ht="22.5" customHeight="1">
      <c r="A110" s="9">
        <f t="shared" si="41"/>
        <v>109</v>
      </c>
      <c r="B110" s="10">
        <v>46050.82994350695</v>
      </c>
      <c r="C110" s="9" t="s">
        <v>90</v>
      </c>
      <c r="D110" s="9">
        <f t="shared" si="1"/>
        <v>2</v>
      </c>
      <c r="E110" s="9" t="s">
        <v>68</v>
      </c>
      <c r="F110" s="9">
        <f t="shared" si="2"/>
        <v>1</v>
      </c>
      <c r="G110" s="9" t="s">
        <v>69</v>
      </c>
      <c r="H110" s="9" t="str">
        <f t="shared" si="3"/>
        <v>Rural</v>
      </c>
      <c r="I110" s="9">
        <f t="shared" si="4"/>
        <v>1</v>
      </c>
      <c r="J110" s="9" t="s">
        <v>145</v>
      </c>
      <c r="K110" s="9" t="s">
        <v>146</v>
      </c>
      <c r="L110" s="9">
        <f t="shared" si="5"/>
        <v>1</v>
      </c>
      <c r="M110" s="9" t="s">
        <v>76</v>
      </c>
      <c r="N110" s="9">
        <f t="shared" si="6"/>
        <v>5.5</v>
      </c>
      <c r="O110" s="9" t="s">
        <v>78</v>
      </c>
      <c r="P110" s="9">
        <f t="shared" si="7"/>
        <v>3</v>
      </c>
      <c r="Q110" s="9" t="s">
        <v>78</v>
      </c>
      <c r="R110" s="9">
        <f t="shared" si="8"/>
        <v>3</v>
      </c>
      <c r="S110" s="9" t="s">
        <v>73</v>
      </c>
      <c r="T110" s="9">
        <f t="shared" si="9"/>
        <v>2</v>
      </c>
      <c r="U110" s="9" t="s">
        <v>96</v>
      </c>
      <c r="V110" s="9">
        <f t="shared" si="10"/>
        <v>2.5</v>
      </c>
      <c r="W110" s="9" t="s">
        <v>105</v>
      </c>
      <c r="X110" s="9">
        <f t="shared" si="11"/>
        <v>1</v>
      </c>
      <c r="Y110" s="9">
        <f t="shared" si="12"/>
        <v>1</v>
      </c>
      <c r="Z110" s="9">
        <f t="shared" si="13"/>
        <v>0</v>
      </c>
      <c r="AA110" s="9">
        <f t="shared" si="14"/>
        <v>0</v>
      </c>
      <c r="AB110" s="9" t="s">
        <v>78</v>
      </c>
      <c r="AC110" s="9">
        <f t="shared" si="15"/>
        <v>3</v>
      </c>
      <c r="AD110" s="9" t="s">
        <v>78</v>
      </c>
      <c r="AE110" s="9">
        <f t="shared" si="16"/>
        <v>3</v>
      </c>
      <c r="AF110" s="9" t="s">
        <v>71</v>
      </c>
      <c r="AG110" s="9">
        <f t="shared" si="17"/>
        <v>7.7</v>
      </c>
      <c r="AH110" s="9" t="s">
        <v>85</v>
      </c>
      <c r="AI110" s="9">
        <f t="shared" si="18"/>
        <v>4</v>
      </c>
      <c r="AJ110" s="9" t="s">
        <v>73</v>
      </c>
      <c r="AK110" s="9">
        <f t="shared" si="19"/>
        <v>2</v>
      </c>
      <c r="AL110" s="9" t="s">
        <v>120</v>
      </c>
      <c r="AM110" s="9">
        <f t="shared" si="20"/>
        <v>5</v>
      </c>
      <c r="AN110" s="9" t="s">
        <v>85</v>
      </c>
      <c r="AO110" s="9">
        <f t="shared" si="21"/>
        <v>4</v>
      </c>
      <c r="AP110" s="9" t="s">
        <v>85</v>
      </c>
      <c r="AQ110" s="9">
        <f t="shared" si="22"/>
        <v>4</v>
      </c>
      <c r="AR110" s="9" t="s">
        <v>85</v>
      </c>
      <c r="AS110" s="9">
        <f t="shared" si="23"/>
        <v>4</v>
      </c>
      <c r="AT110" s="9" t="s">
        <v>223</v>
      </c>
      <c r="AU110" s="9">
        <f t="shared" si="24"/>
        <v>1</v>
      </c>
      <c r="AV110" s="9">
        <f t="shared" si="25"/>
        <v>0</v>
      </c>
      <c r="AW110" s="9">
        <f t="shared" si="26"/>
        <v>0</v>
      </c>
      <c r="AX110" s="9">
        <f t="shared" si="27"/>
        <v>1</v>
      </c>
      <c r="AY110" s="9">
        <f t="shared" si="28"/>
        <v>1</v>
      </c>
      <c r="AZ110" s="9">
        <f t="shared" si="29"/>
        <v>0</v>
      </c>
      <c r="BA110" s="9">
        <f t="shared" si="30"/>
        <v>1</v>
      </c>
      <c r="BB110" s="9" t="s">
        <v>88</v>
      </c>
      <c r="BC110" s="9">
        <f t="shared" si="31"/>
        <v>2</v>
      </c>
      <c r="BD110" s="12"/>
      <c r="BE110" s="9" t="str">
        <f t="shared" si="44"/>
        <v>N/A</v>
      </c>
      <c r="BF110" s="9" t="s">
        <v>130</v>
      </c>
      <c r="BG110" s="9">
        <f t="shared" si="33"/>
        <v>1</v>
      </c>
      <c r="BH110" s="9">
        <f t="shared" si="34"/>
        <v>0</v>
      </c>
      <c r="BI110" s="9">
        <f t="shared" si="35"/>
        <v>0</v>
      </c>
      <c r="BJ110" s="9">
        <f t="shared" si="36"/>
        <v>1</v>
      </c>
      <c r="BK110" s="9">
        <f t="shared" si="37"/>
        <v>1</v>
      </c>
      <c r="BL110" s="9">
        <f t="shared" si="38"/>
        <v>0</v>
      </c>
      <c r="BM110" s="9">
        <f t="shared" si="39"/>
        <v>0</v>
      </c>
      <c r="BN110" s="9" t="s">
        <v>68</v>
      </c>
      <c r="BO110" s="11">
        <f t="shared" si="40"/>
        <v>1</v>
      </c>
    </row>
    <row r="111" ht="22.5" customHeight="1">
      <c r="A111" s="9">
        <f t="shared" si="41"/>
        <v>110</v>
      </c>
      <c r="B111" s="10">
        <v>46050.82999770834</v>
      </c>
      <c r="C111" s="9" t="s">
        <v>90</v>
      </c>
      <c r="D111" s="9">
        <f t="shared" si="1"/>
        <v>2</v>
      </c>
      <c r="E111" s="9" t="s">
        <v>68</v>
      </c>
      <c r="F111" s="9">
        <f t="shared" si="2"/>
        <v>1</v>
      </c>
      <c r="G111" s="9" t="s">
        <v>69</v>
      </c>
      <c r="H111" s="9" t="str">
        <f t="shared" si="3"/>
        <v>Rural</v>
      </c>
      <c r="I111" s="9">
        <f t="shared" si="4"/>
        <v>1</v>
      </c>
      <c r="J111" s="9" t="s">
        <v>70</v>
      </c>
      <c r="K111" s="9" t="s">
        <v>100</v>
      </c>
      <c r="L111" s="9">
        <f t="shared" si="5"/>
        <v>3</v>
      </c>
      <c r="M111" s="9" t="s">
        <v>71</v>
      </c>
      <c r="N111" s="9">
        <f t="shared" si="6"/>
        <v>7.7</v>
      </c>
      <c r="O111" s="12"/>
      <c r="P111" s="9" t="str">
        <f t="shared" si="7"/>
        <v>N/A</v>
      </c>
      <c r="Q111" s="9" t="s">
        <v>103</v>
      </c>
      <c r="R111" s="9">
        <f t="shared" si="8"/>
        <v>5</v>
      </c>
      <c r="S111" s="12"/>
      <c r="T111" s="9" t="str">
        <f t="shared" si="9"/>
        <v>N/A</v>
      </c>
      <c r="U111" s="9" t="s">
        <v>92</v>
      </c>
      <c r="V111" s="9">
        <f t="shared" si="10"/>
        <v>3.5</v>
      </c>
      <c r="W111" s="9" t="s">
        <v>143</v>
      </c>
      <c r="X111" s="9">
        <f t="shared" si="11"/>
        <v>1</v>
      </c>
      <c r="Y111" s="9">
        <f t="shared" si="12"/>
        <v>0</v>
      </c>
      <c r="Z111" s="9">
        <f t="shared" si="13"/>
        <v>0</v>
      </c>
      <c r="AA111" s="9">
        <f t="shared" si="14"/>
        <v>0</v>
      </c>
      <c r="AB111" s="9" t="s">
        <v>73</v>
      </c>
      <c r="AC111" s="9">
        <f t="shared" si="15"/>
        <v>2</v>
      </c>
      <c r="AD111" s="12"/>
      <c r="AE111" s="9" t="str">
        <f t="shared" si="16"/>
        <v>N/A</v>
      </c>
      <c r="AF111" s="9" t="s">
        <v>71</v>
      </c>
      <c r="AG111" s="9">
        <f t="shared" si="17"/>
        <v>7.7</v>
      </c>
      <c r="AH111" s="9" t="s">
        <v>103</v>
      </c>
      <c r="AI111" s="9">
        <f t="shared" si="18"/>
        <v>5</v>
      </c>
      <c r="AJ111" s="12"/>
      <c r="AK111" s="9" t="str">
        <f t="shared" si="19"/>
        <v>N/A</v>
      </c>
      <c r="AL111" s="12"/>
      <c r="AM111" s="9" t="str">
        <f t="shared" si="20"/>
        <v>N/A</v>
      </c>
      <c r="AN111" s="12"/>
      <c r="AO111" s="9" t="str">
        <f t="shared" si="21"/>
        <v>N/A</v>
      </c>
      <c r="AP111" s="12"/>
      <c r="AQ111" s="9" t="str">
        <f t="shared" si="22"/>
        <v>N/A</v>
      </c>
      <c r="AR111" s="9" t="s">
        <v>85</v>
      </c>
      <c r="AS111" s="9">
        <f t="shared" si="23"/>
        <v>4</v>
      </c>
      <c r="AT111" s="9" t="s">
        <v>162</v>
      </c>
      <c r="AU111" s="9">
        <f t="shared" si="24"/>
        <v>0</v>
      </c>
      <c r="AV111" s="9">
        <f t="shared" si="25"/>
        <v>0</v>
      </c>
      <c r="AW111" s="9">
        <f t="shared" si="26"/>
        <v>0</v>
      </c>
      <c r="AX111" s="9">
        <f t="shared" si="27"/>
        <v>0</v>
      </c>
      <c r="AY111" s="9">
        <f t="shared" si="28"/>
        <v>0</v>
      </c>
      <c r="AZ111" s="9">
        <f t="shared" si="29"/>
        <v>1</v>
      </c>
      <c r="BA111" s="9">
        <f t="shared" si="30"/>
        <v>0</v>
      </c>
      <c r="BB111" s="9" t="s">
        <v>88</v>
      </c>
      <c r="BC111" s="9">
        <f t="shared" si="31"/>
        <v>2</v>
      </c>
      <c r="BD111" s="12"/>
      <c r="BE111" s="9" t="str">
        <f t="shared" si="44"/>
        <v>N/A</v>
      </c>
      <c r="BF111" s="9" t="s">
        <v>113</v>
      </c>
      <c r="BG111" s="9">
        <f t="shared" si="33"/>
        <v>0</v>
      </c>
      <c r="BH111" s="9">
        <f t="shared" si="34"/>
        <v>0</v>
      </c>
      <c r="BI111" s="9">
        <f t="shared" si="35"/>
        <v>0</v>
      </c>
      <c r="BJ111" s="9">
        <f t="shared" si="36"/>
        <v>0</v>
      </c>
      <c r="BK111" s="9">
        <f t="shared" si="37"/>
        <v>0</v>
      </c>
      <c r="BL111" s="9">
        <f t="shared" si="38"/>
        <v>0</v>
      </c>
      <c r="BM111" s="9">
        <f t="shared" si="39"/>
        <v>1</v>
      </c>
      <c r="BN111" s="9" t="s">
        <v>68</v>
      </c>
      <c r="BO111" s="11">
        <f t="shared" si="40"/>
        <v>1</v>
      </c>
    </row>
    <row r="112" ht="22.5" customHeight="1">
      <c r="A112" s="9">
        <f t="shared" si="41"/>
        <v>111</v>
      </c>
      <c r="B112" s="10">
        <v>46050.83027917824</v>
      </c>
      <c r="C112" s="9" t="s">
        <v>90</v>
      </c>
      <c r="D112" s="9">
        <f t="shared" si="1"/>
        <v>2</v>
      </c>
      <c r="E112" s="9" t="s">
        <v>68</v>
      </c>
      <c r="F112" s="9">
        <f t="shared" si="2"/>
        <v>1</v>
      </c>
      <c r="G112" s="9" t="s">
        <v>69</v>
      </c>
      <c r="H112" s="9" t="str">
        <f t="shared" si="3"/>
        <v>Rural</v>
      </c>
      <c r="I112" s="9">
        <f t="shared" si="4"/>
        <v>1</v>
      </c>
      <c r="J112" s="9" t="s">
        <v>70</v>
      </c>
      <c r="K112" s="9" t="s">
        <v>100</v>
      </c>
      <c r="L112" s="9">
        <f t="shared" si="5"/>
        <v>3</v>
      </c>
      <c r="M112" s="9" t="s">
        <v>101</v>
      </c>
      <c r="N112" s="9">
        <f t="shared" si="6"/>
        <v>2</v>
      </c>
      <c r="O112" s="9" t="s">
        <v>73</v>
      </c>
      <c r="P112" s="9">
        <f t="shared" si="7"/>
        <v>2</v>
      </c>
      <c r="Q112" s="9" t="s">
        <v>72</v>
      </c>
      <c r="R112" s="9">
        <f t="shared" si="8"/>
        <v>1</v>
      </c>
      <c r="S112" s="9" t="s">
        <v>72</v>
      </c>
      <c r="T112" s="9">
        <f t="shared" si="9"/>
        <v>1</v>
      </c>
      <c r="U112" s="9" t="s">
        <v>74</v>
      </c>
      <c r="V112" s="9">
        <f t="shared" si="10"/>
        <v>1.5</v>
      </c>
      <c r="W112" s="9" t="s">
        <v>180</v>
      </c>
      <c r="X112" s="9">
        <f t="shared" si="11"/>
        <v>0</v>
      </c>
      <c r="Y112" s="9">
        <f t="shared" si="12"/>
        <v>1</v>
      </c>
      <c r="Z112" s="9">
        <f t="shared" si="13"/>
        <v>1</v>
      </c>
      <c r="AA112" s="9">
        <f t="shared" si="14"/>
        <v>0</v>
      </c>
      <c r="AB112" s="9" t="s">
        <v>72</v>
      </c>
      <c r="AC112" s="9">
        <f t="shared" si="15"/>
        <v>1</v>
      </c>
      <c r="AD112" s="9" t="s">
        <v>72</v>
      </c>
      <c r="AE112" s="9">
        <f t="shared" si="16"/>
        <v>1</v>
      </c>
      <c r="AF112" s="9" t="s">
        <v>71</v>
      </c>
      <c r="AG112" s="9">
        <f t="shared" si="17"/>
        <v>7.7</v>
      </c>
      <c r="AH112" s="9" t="s">
        <v>85</v>
      </c>
      <c r="AI112" s="9">
        <f t="shared" si="18"/>
        <v>4</v>
      </c>
      <c r="AJ112" s="9" t="s">
        <v>73</v>
      </c>
      <c r="AK112" s="9">
        <f t="shared" si="19"/>
        <v>2</v>
      </c>
      <c r="AL112" s="9" t="s">
        <v>73</v>
      </c>
      <c r="AM112" s="9">
        <f t="shared" si="20"/>
        <v>2</v>
      </c>
      <c r="AN112" s="9" t="s">
        <v>78</v>
      </c>
      <c r="AO112" s="9">
        <f t="shared" si="21"/>
        <v>3</v>
      </c>
      <c r="AP112" s="9" t="s">
        <v>73</v>
      </c>
      <c r="AQ112" s="9">
        <f t="shared" si="22"/>
        <v>2</v>
      </c>
      <c r="AR112" s="9" t="s">
        <v>73</v>
      </c>
      <c r="AS112" s="9">
        <f t="shared" si="23"/>
        <v>2</v>
      </c>
      <c r="AT112" s="9" t="s">
        <v>165</v>
      </c>
      <c r="AU112" s="9">
        <f t="shared" si="24"/>
        <v>1</v>
      </c>
      <c r="AV112" s="9">
        <f t="shared" si="25"/>
        <v>1</v>
      </c>
      <c r="AW112" s="9">
        <f t="shared" si="26"/>
        <v>0</v>
      </c>
      <c r="AX112" s="9">
        <f t="shared" si="27"/>
        <v>1</v>
      </c>
      <c r="AY112" s="9">
        <f t="shared" si="28"/>
        <v>1</v>
      </c>
      <c r="AZ112" s="9">
        <f t="shared" si="29"/>
        <v>1</v>
      </c>
      <c r="BA112" s="9">
        <f t="shared" si="30"/>
        <v>1</v>
      </c>
      <c r="BB112" s="9" t="s">
        <v>88</v>
      </c>
      <c r="BC112" s="9">
        <f t="shared" si="31"/>
        <v>2</v>
      </c>
      <c r="BD112" s="12"/>
      <c r="BE112" s="9" t="str">
        <f t="shared" si="44"/>
        <v>N/A</v>
      </c>
      <c r="BF112" s="9" t="s">
        <v>166</v>
      </c>
      <c r="BG112" s="9">
        <f t="shared" si="33"/>
        <v>1</v>
      </c>
      <c r="BH112" s="9">
        <f t="shared" si="34"/>
        <v>0</v>
      </c>
      <c r="BI112" s="9">
        <f t="shared" si="35"/>
        <v>1</v>
      </c>
      <c r="BJ112" s="9">
        <f t="shared" si="36"/>
        <v>1</v>
      </c>
      <c r="BK112" s="9">
        <f t="shared" si="37"/>
        <v>1</v>
      </c>
      <c r="BL112" s="9">
        <f t="shared" si="38"/>
        <v>1</v>
      </c>
      <c r="BM112" s="9">
        <f t="shared" si="39"/>
        <v>1</v>
      </c>
      <c r="BN112" s="9" t="s">
        <v>68</v>
      </c>
      <c r="BO112" s="11">
        <f t="shared" si="40"/>
        <v>1</v>
      </c>
    </row>
    <row r="113" ht="22.5" customHeight="1">
      <c r="A113" s="9">
        <f t="shared" si="41"/>
        <v>112</v>
      </c>
      <c r="B113" s="10">
        <v>46050.83369550926</v>
      </c>
      <c r="C113" s="9" t="s">
        <v>67</v>
      </c>
      <c r="D113" s="9">
        <f t="shared" si="1"/>
        <v>1</v>
      </c>
      <c r="E113" s="9" t="s">
        <v>68</v>
      </c>
      <c r="F113" s="9">
        <f t="shared" si="2"/>
        <v>1</v>
      </c>
      <c r="G113" s="9" t="s">
        <v>91</v>
      </c>
      <c r="H113" s="9" t="str">
        <f t="shared" si="3"/>
        <v>Urban</v>
      </c>
      <c r="I113" s="9">
        <f t="shared" si="4"/>
        <v>2</v>
      </c>
      <c r="J113" s="9" t="s">
        <v>83</v>
      </c>
      <c r="K113" s="9" t="s">
        <v>84</v>
      </c>
      <c r="L113" s="9">
        <f t="shared" si="5"/>
        <v>2</v>
      </c>
      <c r="M113" s="9" t="s">
        <v>101</v>
      </c>
      <c r="N113" s="9">
        <f t="shared" si="6"/>
        <v>2</v>
      </c>
      <c r="O113" s="9" t="s">
        <v>85</v>
      </c>
      <c r="P113" s="9">
        <f t="shared" si="7"/>
        <v>4</v>
      </c>
      <c r="Q113" s="9" t="s">
        <v>78</v>
      </c>
      <c r="R113" s="9">
        <f t="shared" si="8"/>
        <v>3</v>
      </c>
      <c r="S113" s="9" t="s">
        <v>103</v>
      </c>
      <c r="T113" s="9">
        <f t="shared" si="9"/>
        <v>5</v>
      </c>
      <c r="U113" s="9" t="s">
        <v>92</v>
      </c>
      <c r="V113" s="9">
        <f t="shared" si="10"/>
        <v>3.5</v>
      </c>
      <c r="W113" s="9" t="s">
        <v>122</v>
      </c>
      <c r="X113" s="9">
        <f t="shared" si="11"/>
        <v>0</v>
      </c>
      <c r="Y113" s="9">
        <f t="shared" si="12"/>
        <v>0</v>
      </c>
      <c r="Z113" s="9">
        <f t="shared" si="13"/>
        <v>1</v>
      </c>
      <c r="AA113" s="9">
        <f t="shared" si="14"/>
        <v>0</v>
      </c>
      <c r="AB113" s="9" t="s">
        <v>73</v>
      </c>
      <c r="AC113" s="9">
        <f t="shared" si="15"/>
        <v>2</v>
      </c>
      <c r="AD113" s="9" t="s">
        <v>73</v>
      </c>
      <c r="AE113" s="9">
        <f t="shared" si="16"/>
        <v>2</v>
      </c>
      <c r="AF113" s="9" t="s">
        <v>71</v>
      </c>
      <c r="AG113" s="9">
        <f t="shared" si="17"/>
        <v>7.7</v>
      </c>
      <c r="AH113" s="9" t="s">
        <v>73</v>
      </c>
      <c r="AI113" s="9">
        <f t="shared" si="18"/>
        <v>2</v>
      </c>
      <c r="AJ113" s="9" t="s">
        <v>85</v>
      </c>
      <c r="AK113" s="9">
        <f t="shared" si="19"/>
        <v>4</v>
      </c>
      <c r="AL113" s="9" t="s">
        <v>85</v>
      </c>
      <c r="AM113" s="9">
        <f t="shared" si="20"/>
        <v>4</v>
      </c>
      <c r="AN113" s="9" t="s">
        <v>85</v>
      </c>
      <c r="AO113" s="9">
        <f t="shared" si="21"/>
        <v>4</v>
      </c>
      <c r="AP113" s="9" t="s">
        <v>73</v>
      </c>
      <c r="AQ113" s="9">
        <f t="shared" si="22"/>
        <v>2</v>
      </c>
      <c r="AR113" s="9" t="s">
        <v>73</v>
      </c>
      <c r="AS113" s="9">
        <f t="shared" si="23"/>
        <v>2</v>
      </c>
      <c r="AT113" s="9" t="s">
        <v>98</v>
      </c>
      <c r="AU113" s="9">
        <f t="shared" si="24"/>
        <v>0</v>
      </c>
      <c r="AV113" s="9">
        <f t="shared" si="25"/>
        <v>1</v>
      </c>
      <c r="AW113" s="9">
        <f t="shared" si="26"/>
        <v>0</v>
      </c>
      <c r="AX113" s="9">
        <f t="shared" si="27"/>
        <v>0</v>
      </c>
      <c r="AY113" s="9">
        <f t="shared" si="28"/>
        <v>0</v>
      </c>
      <c r="AZ113" s="9">
        <f t="shared" si="29"/>
        <v>1</v>
      </c>
      <c r="BA113" s="9">
        <f t="shared" si="30"/>
        <v>0</v>
      </c>
      <c r="BB113" s="9" t="s">
        <v>88</v>
      </c>
      <c r="BC113" s="9">
        <f t="shared" si="31"/>
        <v>2</v>
      </c>
      <c r="BD113" s="12"/>
      <c r="BE113" s="9" t="str">
        <f t="shared" si="44"/>
        <v>N/A</v>
      </c>
      <c r="BF113" s="9" t="s">
        <v>161</v>
      </c>
      <c r="BG113" s="9">
        <f t="shared" si="33"/>
        <v>0</v>
      </c>
      <c r="BH113" s="9">
        <f t="shared" si="34"/>
        <v>0</v>
      </c>
      <c r="BI113" s="9">
        <f t="shared" si="35"/>
        <v>0</v>
      </c>
      <c r="BJ113" s="9">
        <f t="shared" si="36"/>
        <v>1</v>
      </c>
      <c r="BK113" s="9">
        <f t="shared" si="37"/>
        <v>0</v>
      </c>
      <c r="BL113" s="9">
        <f t="shared" si="38"/>
        <v>0</v>
      </c>
      <c r="BM113" s="9">
        <f t="shared" si="39"/>
        <v>0</v>
      </c>
      <c r="BN113" s="9" t="s">
        <v>68</v>
      </c>
      <c r="BO113" s="11">
        <f t="shared" si="40"/>
        <v>1</v>
      </c>
    </row>
    <row r="114" ht="22.5" customHeight="1">
      <c r="A114" s="9">
        <f t="shared" si="41"/>
        <v>113</v>
      </c>
      <c r="B114" s="10">
        <v>46050.835125729165</v>
      </c>
      <c r="C114" s="9" t="s">
        <v>67</v>
      </c>
      <c r="D114" s="9">
        <f t="shared" si="1"/>
        <v>1</v>
      </c>
      <c r="E114" s="9" t="s">
        <v>68</v>
      </c>
      <c r="F114" s="9">
        <f t="shared" si="2"/>
        <v>1</v>
      </c>
      <c r="G114" s="9" t="s">
        <v>91</v>
      </c>
      <c r="H114" s="9" t="str">
        <f t="shared" si="3"/>
        <v>Urban</v>
      </c>
      <c r="I114" s="9">
        <f t="shared" si="4"/>
        <v>2</v>
      </c>
      <c r="J114" s="9" t="s">
        <v>70</v>
      </c>
      <c r="K114" s="9" t="s">
        <v>100</v>
      </c>
      <c r="L114" s="9">
        <f t="shared" si="5"/>
        <v>3</v>
      </c>
      <c r="M114" s="9" t="s">
        <v>76</v>
      </c>
      <c r="N114" s="9">
        <f t="shared" si="6"/>
        <v>5.5</v>
      </c>
      <c r="O114" s="9" t="s">
        <v>78</v>
      </c>
      <c r="P114" s="9">
        <f t="shared" si="7"/>
        <v>3</v>
      </c>
      <c r="Q114" s="9" t="s">
        <v>78</v>
      </c>
      <c r="R114" s="9">
        <f t="shared" si="8"/>
        <v>3</v>
      </c>
      <c r="S114" s="9" t="s">
        <v>78</v>
      </c>
      <c r="T114" s="9">
        <f t="shared" si="9"/>
        <v>3</v>
      </c>
      <c r="U114" s="9" t="s">
        <v>74</v>
      </c>
      <c r="V114" s="9">
        <f t="shared" si="10"/>
        <v>1.5</v>
      </c>
      <c r="W114" s="9" t="s">
        <v>93</v>
      </c>
      <c r="X114" s="9">
        <f t="shared" si="11"/>
        <v>0</v>
      </c>
      <c r="Y114" s="9">
        <f t="shared" si="12"/>
        <v>1</v>
      </c>
      <c r="Z114" s="9">
        <f t="shared" si="13"/>
        <v>0</v>
      </c>
      <c r="AA114" s="9">
        <f t="shared" si="14"/>
        <v>0</v>
      </c>
      <c r="AB114" s="9" t="s">
        <v>78</v>
      </c>
      <c r="AC114" s="9">
        <f t="shared" si="15"/>
        <v>3</v>
      </c>
      <c r="AD114" s="9" t="s">
        <v>78</v>
      </c>
      <c r="AE114" s="9">
        <f t="shared" si="16"/>
        <v>3</v>
      </c>
      <c r="AF114" s="9" t="s">
        <v>71</v>
      </c>
      <c r="AG114" s="9">
        <f t="shared" si="17"/>
        <v>7.7</v>
      </c>
      <c r="AH114" s="9" t="s">
        <v>85</v>
      </c>
      <c r="AI114" s="9">
        <f t="shared" si="18"/>
        <v>4</v>
      </c>
      <c r="AJ114" s="9" t="s">
        <v>78</v>
      </c>
      <c r="AK114" s="9">
        <f t="shared" si="19"/>
        <v>3</v>
      </c>
      <c r="AL114" s="9" t="s">
        <v>78</v>
      </c>
      <c r="AM114" s="9">
        <f t="shared" si="20"/>
        <v>3</v>
      </c>
      <c r="AN114" s="9" t="s">
        <v>85</v>
      </c>
      <c r="AO114" s="9">
        <f t="shared" si="21"/>
        <v>4</v>
      </c>
      <c r="AP114" s="9" t="s">
        <v>78</v>
      </c>
      <c r="AQ114" s="9">
        <f t="shared" si="22"/>
        <v>3</v>
      </c>
      <c r="AR114" s="9" t="s">
        <v>78</v>
      </c>
      <c r="AS114" s="9">
        <f t="shared" si="23"/>
        <v>3</v>
      </c>
      <c r="AT114" s="9" t="s">
        <v>162</v>
      </c>
      <c r="AU114" s="9">
        <f t="shared" si="24"/>
        <v>0</v>
      </c>
      <c r="AV114" s="9">
        <f t="shared" si="25"/>
        <v>0</v>
      </c>
      <c r="AW114" s="9">
        <f t="shared" si="26"/>
        <v>0</v>
      </c>
      <c r="AX114" s="9">
        <f t="shared" si="27"/>
        <v>0</v>
      </c>
      <c r="AY114" s="9">
        <f t="shared" si="28"/>
        <v>0</v>
      </c>
      <c r="AZ114" s="9">
        <f t="shared" si="29"/>
        <v>1</v>
      </c>
      <c r="BA114" s="9">
        <f t="shared" si="30"/>
        <v>0</v>
      </c>
      <c r="BB114" s="9" t="s">
        <v>88</v>
      </c>
      <c r="BC114" s="9">
        <f t="shared" si="31"/>
        <v>2</v>
      </c>
      <c r="BD114" s="12"/>
      <c r="BE114" s="9" t="str">
        <f t="shared" si="44"/>
        <v>N/A</v>
      </c>
      <c r="BF114" s="9" t="s">
        <v>224</v>
      </c>
      <c r="BG114" s="9">
        <f t="shared" si="33"/>
        <v>0</v>
      </c>
      <c r="BH114" s="9">
        <f t="shared" si="34"/>
        <v>0</v>
      </c>
      <c r="BI114" s="9">
        <f t="shared" si="35"/>
        <v>1</v>
      </c>
      <c r="BJ114" s="9">
        <f t="shared" si="36"/>
        <v>0</v>
      </c>
      <c r="BK114" s="9">
        <f t="shared" si="37"/>
        <v>0</v>
      </c>
      <c r="BL114" s="9">
        <f t="shared" si="38"/>
        <v>0</v>
      </c>
      <c r="BM114" s="9">
        <f t="shared" si="39"/>
        <v>0</v>
      </c>
      <c r="BN114" s="9" t="s">
        <v>108</v>
      </c>
      <c r="BO114" s="11">
        <f t="shared" si="40"/>
        <v>3</v>
      </c>
    </row>
    <row r="115" ht="22.5" customHeight="1">
      <c r="A115" s="9">
        <f t="shared" si="41"/>
        <v>114</v>
      </c>
      <c r="B115" s="10">
        <v>46050.837313634256</v>
      </c>
      <c r="C115" s="9" t="s">
        <v>67</v>
      </c>
      <c r="D115" s="9">
        <f t="shared" si="1"/>
        <v>1</v>
      </c>
      <c r="E115" s="9" t="s">
        <v>68</v>
      </c>
      <c r="F115" s="9">
        <f t="shared" si="2"/>
        <v>1</v>
      </c>
      <c r="G115" s="9" t="s">
        <v>69</v>
      </c>
      <c r="H115" s="9" t="str">
        <f t="shared" si="3"/>
        <v>Rural</v>
      </c>
      <c r="I115" s="9">
        <f t="shared" si="4"/>
        <v>1</v>
      </c>
      <c r="J115" s="9" t="s">
        <v>145</v>
      </c>
      <c r="K115" s="9" t="s">
        <v>146</v>
      </c>
      <c r="L115" s="9">
        <f t="shared" si="5"/>
        <v>1</v>
      </c>
      <c r="M115" s="9" t="s">
        <v>71</v>
      </c>
      <c r="N115" s="9">
        <f t="shared" si="6"/>
        <v>7.7</v>
      </c>
      <c r="O115" s="9" t="s">
        <v>73</v>
      </c>
      <c r="P115" s="9">
        <f t="shared" si="7"/>
        <v>2</v>
      </c>
      <c r="Q115" s="9" t="s">
        <v>85</v>
      </c>
      <c r="R115" s="9">
        <f t="shared" si="8"/>
        <v>4</v>
      </c>
      <c r="S115" s="9" t="s">
        <v>78</v>
      </c>
      <c r="T115" s="9">
        <f t="shared" si="9"/>
        <v>3</v>
      </c>
      <c r="U115" s="9" t="s">
        <v>74</v>
      </c>
      <c r="V115" s="9">
        <f t="shared" si="10"/>
        <v>1.5</v>
      </c>
      <c r="W115" s="9" t="s">
        <v>86</v>
      </c>
      <c r="X115" s="9">
        <f t="shared" si="11"/>
        <v>1</v>
      </c>
      <c r="Y115" s="9">
        <f t="shared" si="12"/>
        <v>1</v>
      </c>
      <c r="Z115" s="9">
        <f t="shared" si="13"/>
        <v>1</v>
      </c>
      <c r="AA115" s="9">
        <f t="shared" si="14"/>
        <v>0</v>
      </c>
      <c r="AB115" s="9" t="s">
        <v>78</v>
      </c>
      <c r="AC115" s="9">
        <f t="shared" si="15"/>
        <v>3</v>
      </c>
      <c r="AD115" s="9" t="s">
        <v>85</v>
      </c>
      <c r="AE115" s="9">
        <f t="shared" si="16"/>
        <v>4</v>
      </c>
      <c r="AF115" s="9" t="s">
        <v>71</v>
      </c>
      <c r="AG115" s="9">
        <f t="shared" si="17"/>
        <v>7.7</v>
      </c>
      <c r="AH115" s="12"/>
      <c r="AI115" s="9" t="str">
        <f t="shared" si="18"/>
        <v>N/A</v>
      </c>
      <c r="AJ115" s="9" t="s">
        <v>85</v>
      </c>
      <c r="AK115" s="9">
        <f t="shared" si="19"/>
        <v>4</v>
      </c>
      <c r="AL115" s="9" t="s">
        <v>78</v>
      </c>
      <c r="AM115" s="9">
        <f t="shared" si="20"/>
        <v>3</v>
      </c>
      <c r="AN115" s="9" t="s">
        <v>85</v>
      </c>
      <c r="AO115" s="9">
        <f t="shared" si="21"/>
        <v>4</v>
      </c>
      <c r="AP115" s="9" t="s">
        <v>85</v>
      </c>
      <c r="AQ115" s="9">
        <f t="shared" si="22"/>
        <v>4</v>
      </c>
      <c r="AR115" s="9" t="s">
        <v>85</v>
      </c>
      <c r="AS115" s="9">
        <f t="shared" si="23"/>
        <v>4</v>
      </c>
      <c r="AT115" s="9" t="s">
        <v>98</v>
      </c>
      <c r="AU115" s="9">
        <f t="shared" si="24"/>
        <v>0</v>
      </c>
      <c r="AV115" s="9">
        <f t="shared" si="25"/>
        <v>1</v>
      </c>
      <c r="AW115" s="9">
        <f t="shared" si="26"/>
        <v>0</v>
      </c>
      <c r="AX115" s="9">
        <f t="shared" si="27"/>
        <v>0</v>
      </c>
      <c r="AY115" s="9">
        <f t="shared" si="28"/>
        <v>0</v>
      </c>
      <c r="AZ115" s="9">
        <f t="shared" si="29"/>
        <v>1</v>
      </c>
      <c r="BA115" s="9">
        <f t="shared" si="30"/>
        <v>0</v>
      </c>
      <c r="BB115" s="9" t="s">
        <v>68</v>
      </c>
      <c r="BC115" s="9">
        <f t="shared" si="31"/>
        <v>1</v>
      </c>
      <c r="BD115" s="9" t="s">
        <v>225</v>
      </c>
      <c r="BE115" s="9" t="str">
        <f t="shared" si="44"/>
        <v>N/A</v>
      </c>
      <c r="BF115" s="9" t="s">
        <v>148</v>
      </c>
      <c r="BG115" s="9">
        <f t="shared" si="33"/>
        <v>0</v>
      </c>
      <c r="BH115" s="9">
        <f t="shared" si="34"/>
        <v>0</v>
      </c>
      <c r="BI115" s="9">
        <f t="shared" si="35"/>
        <v>1</v>
      </c>
      <c r="BJ115" s="9">
        <f t="shared" si="36"/>
        <v>0</v>
      </c>
      <c r="BK115" s="9">
        <f t="shared" si="37"/>
        <v>0</v>
      </c>
      <c r="BL115" s="9">
        <f t="shared" si="38"/>
        <v>1</v>
      </c>
      <c r="BM115" s="9">
        <f t="shared" si="39"/>
        <v>1</v>
      </c>
      <c r="BN115" s="9" t="s">
        <v>68</v>
      </c>
      <c r="BO115" s="11">
        <f t="shared" si="40"/>
        <v>1</v>
      </c>
    </row>
    <row r="116" ht="22.5" customHeight="1">
      <c r="A116" s="9">
        <f t="shared" si="41"/>
        <v>115</v>
      </c>
      <c r="B116" s="10">
        <v>46050.84094297454</v>
      </c>
      <c r="C116" s="9" t="s">
        <v>67</v>
      </c>
      <c r="D116" s="9">
        <f t="shared" si="1"/>
        <v>1</v>
      </c>
      <c r="E116" s="9" t="s">
        <v>68</v>
      </c>
      <c r="F116" s="9">
        <f t="shared" si="2"/>
        <v>1</v>
      </c>
      <c r="G116" s="9" t="s">
        <v>69</v>
      </c>
      <c r="H116" s="9" t="str">
        <f t="shared" si="3"/>
        <v>Rural</v>
      </c>
      <c r="I116" s="9">
        <f t="shared" si="4"/>
        <v>1</v>
      </c>
      <c r="J116" s="9" t="s">
        <v>145</v>
      </c>
      <c r="K116" s="9" t="s">
        <v>146</v>
      </c>
      <c r="L116" s="9">
        <f t="shared" si="5"/>
        <v>1</v>
      </c>
      <c r="M116" s="9" t="s">
        <v>109</v>
      </c>
      <c r="N116" s="9">
        <f t="shared" si="6"/>
        <v>9</v>
      </c>
      <c r="O116" s="9" t="s">
        <v>73</v>
      </c>
      <c r="P116" s="9">
        <f t="shared" si="7"/>
        <v>2</v>
      </c>
      <c r="Q116" s="9" t="s">
        <v>103</v>
      </c>
      <c r="R116" s="9">
        <f t="shared" si="8"/>
        <v>5</v>
      </c>
      <c r="S116" s="12"/>
      <c r="T116" s="9" t="str">
        <f t="shared" si="9"/>
        <v>N/A</v>
      </c>
      <c r="U116" s="9" t="s">
        <v>74</v>
      </c>
      <c r="V116" s="9">
        <f t="shared" si="10"/>
        <v>1.5</v>
      </c>
      <c r="W116" s="9" t="s">
        <v>93</v>
      </c>
      <c r="X116" s="9">
        <f t="shared" si="11"/>
        <v>0</v>
      </c>
      <c r="Y116" s="9">
        <f t="shared" si="12"/>
        <v>1</v>
      </c>
      <c r="Z116" s="9">
        <f t="shared" si="13"/>
        <v>0</v>
      </c>
      <c r="AA116" s="9">
        <f t="shared" si="14"/>
        <v>0</v>
      </c>
      <c r="AB116" s="9" t="s">
        <v>73</v>
      </c>
      <c r="AC116" s="9">
        <f t="shared" si="15"/>
        <v>2</v>
      </c>
      <c r="AD116" s="9" t="s">
        <v>73</v>
      </c>
      <c r="AE116" s="9">
        <f t="shared" si="16"/>
        <v>2</v>
      </c>
      <c r="AF116" s="9" t="s">
        <v>71</v>
      </c>
      <c r="AG116" s="9">
        <f t="shared" si="17"/>
        <v>7.7</v>
      </c>
      <c r="AH116" s="9" t="s">
        <v>103</v>
      </c>
      <c r="AI116" s="9">
        <f t="shared" si="18"/>
        <v>5</v>
      </c>
      <c r="AJ116" s="9" t="s">
        <v>120</v>
      </c>
      <c r="AK116" s="9">
        <f t="shared" si="19"/>
        <v>5</v>
      </c>
      <c r="AL116" s="9" t="s">
        <v>85</v>
      </c>
      <c r="AM116" s="9">
        <f t="shared" si="20"/>
        <v>4</v>
      </c>
      <c r="AN116" s="9" t="s">
        <v>120</v>
      </c>
      <c r="AO116" s="9">
        <f t="shared" si="21"/>
        <v>5</v>
      </c>
      <c r="AP116" s="9" t="s">
        <v>120</v>
      </c>
      <c r="AQ116" s="9">
        <f t="shared" si="22"/>
        <v>5</v>
      </c>
      <c r="AR116" s="9" t="s">
        <v>120</v>
      </c>
      <c r="AS116" s="9">
        <f t="shared" si="23"/>
        <v>5</v>
      </c>
      <c r="AT116" s="9" t="s">
        <v>133</v>
      </c>
      <c r="AU116" s="9">
        <f t="shared" si="24"/>
        <v>0</v>
      </c>
      <c r="AV116" s="9">
        <f t="shared" si="25"/>
        <v>1</v>
      </c>
      <c r="AW116" s="9">
        <f t="shared" si="26"/>
        <v>0</v>
      </c>
      <c r="AX116" s="9">
        <f t="shared" si="27"/>
        <v>0</v>
      </c>
      <c r="AY116" s="9">
        <f t="shared" si="28"/>
        <v>0</v>
      </c>
      <c r="AZ116" s="9">
        <f t="shared" si="29"/>
        <v>0</v>
      </c>
      <c r="BA116" s="9">
        <f t="shared" si="30"/>
        <v>0</v>
      </c>
      <c r="BB116" s="9" t="s">
        <v>88</v>
      </c>
      <c r="BC116" s="9">
        <f t="shared" si="31"/>
        <v>2</v>
      </c>
      <c r="BD116" s="12"/>
      <c r="BE116" s="9" t="str">
        <f t="shared" si="44"/>
        <v>N/A</v>
      </c>
      <c r="BF116" s="9" t="s">
        <v>129</v>
      </c>
      <c r="BG116" s="9">
        <f t="shared" si="33"/>
        <v>0</v>
      </c>
      <c r="BH116" s="9">
        <f t="shared" si="34"/>
        <v>0</v>
      </c>
      <c r="BI116" s="9">
        <f t="shared" si="35"/>
        <v>0</v>
      </c>
      <c r="BJ116" s="9">
        <f t="shared" si="36"/>
        <v>0</v>
      </c>
      <c r="BK116" s="9">
        <f t="shared" si="37"/>
        <v>0</v>
      </c>
      <c r="BL116" s="9">
        <f t="shared" si="38"/>
        <v>1</v>
      </c>
      <c r="BM116" s="9">
        <f t="shared" si="39"/>
        <v>0</v>
      </c>
      <c r="BN116" s="9" t="s">
        <v>68</v>
      </c>
      <c r="BO116" s="11">
        <f t="shared" si="40"/>
        <v>1</v>
      </c>
    </row>
    <row r="117" ht="22.5" customHeight="1">
      <c r="A117" s="9">
        <f t="shared" si="41"/>
        <v>116</v>
      </c>
      <c r="B117" s="10">
        <v>46050.843956261575</v>
      </c>
      <c r="C117" s="9" t="s">
        <v>67</v>
      </c>
      <c r="D117" s="9">
        <f t="shared" si="1"/>
        <v>1</v>
      </c>
      <c r="E117" s="9" t="s">
        <v>68</v>
      </c>
      <c r="F117" s="9">
        <f t="shared" si="2"/>
        <v>1</v>
      </c>
      <c r="G117" s="9" t="s">
        <v>69</v>
      </c>
      <c r="H117" s="9" t="str">
        <f t="shared" si="3"/>
        <v>Rural</v>
      </c>
      <c r="I117" s="9">
        <f t="shared" si="4"/>
        <v>1</v>
      </c>
      <c r="J117" s="9" t="s">
        <v>145</v>
      </c>
      <c r="K117" s="9" t="s">
        <v>146</v>
      </c>
      <c r="L117" s="9">
        <f t="shared" si="5"/>
        <v>1</v>
      </c>
      <c r="M117" s="9" t="s">
        <v>71</v>
      </c>
      <c r="N117" s="9">
        <f t="shared" si="6"/>
        <v>7.7</v>
      </c>
      <c r="O117" s="9" t="s">
        <v>73</v>
      </c>
      <c r="P117" s="9">
        <f t="shared" si="7"/>
        <v>2</v>
      </c>
      <c r="Q117" s="9" t="s">
        <v>85</v>
      </c>
      <c r="R117" s="9">
        <f t="shared" si="8"/>
        <v>4</v>
      </c>
      <c r="S117" s="9" t="s">
        <v>78</v>
      </c>
      <c r="T117" s="9">
        <f t="shared" si="9"/>
        <v>3</v>
      </c>
      <c r="U117" s="9" t="s">
        <v>74</v>
      </c>
      <c r="V117" s="9">
        <f t="shared" si="10"/>
        <v>1.5</v>
      </c>
      <c r="W117" s="9" t="s">
        <v>86</v>
      </c>
      <c r="X117" s="9">
        <f t="shared" si="11"/>
        <v>1</v>
      </c>
      <c r="Y117" s="9">
        <f t="shared" si="12"/>
        <v>1</v>
      </c>
      <c r="Z117" s="9">
        <f t="shared" si="13"/>
        <v>1</v>
      </c>
      <c r="AA117" s="9">
        <f t="shared" si="14"/>
        <v>0</v>
      </c>
      <c r="AB117" s="9" t="s">
        <v>78</v>
      </c>
      <c r="AC117" s="9">
        <f t="shared" si="15"/>
        <v>3</v>
      </c>
      <c r="AD117" s="9" t="s">
        <v>78</v>
      </c>
      <c r="AE117" s="9">
        <f t="shared" si="16"/>
        <v>3</v>
      </c>
      <c r="AF117" s="9" t="s">
        <v>71</v>
      </c>
      <c r="AG117" s="9">
        <f t="shared" si="17"/>
        <v>7.7</v>
      </c>
      <c r="AH117" s="9" t="s">
        <v>85</v>
      </c>
      <c r="AI117" s="9">
        <f t="shared" si="18"/>
        <v>4</v>
      </c>
      <c r="AJ117" s="9" t="s">
        <v>78</v>
      </c>
      <c r="AK117" s="9">
        <f t="shared" si="19"/>
        <v>3</v>
      </c>
      <c r="AL117" s="9" t="s">
        <v>78</v>
      </c>
      <c r="AM117" s="9">
        <f t="shared" si="20"/>
        <v>3</v>
      </c>
      <c r="AN117" s="9" t="s">
        <v>78</v>
      </c>
      <c r="AO117" s="9">
        <f t="shared" si="21"/>
        <v>3</v>
      </c>
      <c r="AP117" s="9" t="s">
        <v>78</v>
      </c>
      <c r="AQ117" s="9">
        <f t="shared" si="22"/>
        <v>3</v>
      </c>
      <c r="AR117" s="9" t="s">
        <v>78</v>
      </c>
      <c r="AS117" s="9">
        <f t="shared" si="23"/>
        <v>3</v>
      </c>
      <c r="AT117" s="9" t="s">
        <v>98</v>
      </c>
      <c r="AU117" s="9">
        <f t="shared" si="24"/>
        <v>0</v>
      </c>
      <c r="AV117" s="9">
        <f t="shared" si="25"/>
        <v>1</v>
      </c>
      <c r="AW117" s="9">
        <f t="shared" si="26"/>
        <v>0</v>
      </c>
      <c r="AX117" s="9">
        <f t="shared" si="27"/>
        <v>0</v>
      </c>
      <c r="AY117" s="9">
        <f t="shared" si="28"/>
        <v>0</v>
      </c>
      <c r="AZ117" s="9">
        <f t="shared" si="29"/>
        <v>1</v>
      </c>
      <c r="BA117" s="9">
        <f t="shared" si="30"/>
        <v>0</v>
      </c>
      <c r="BB117" s="9" t="s">
        <v>68</v>
      </c>
      <c r="BC117" s="9">
        <f t="shared" si="31"/>
        <v>1</v>
      </c>
      <c r="BD117" s="9" t="s">
        <v>226</v>
      </c>
      <c r="BE117" s="9" t="str">
        <f t="shared" si="44"/>
        <v>N/A</v>
      </c>
      <c r="BF117" s="9" t="s">
        <v>148</v>
      </c>
      <c r="BG117" s="9">
        <f t="shared" si="33"/>
        <v>0</v>
      </c>
      <c r="BH117" s="9">
        <f t="shared" si="34"/>
        <v>0</v>
      </c>
      <c r="BI117" s="9">
        <f t="shared" si="35"/>
        <v>1</v>
      </c>
      <c r="BJ117" s="9">
        <f t="shared" si="36"/>
        <v>0</v>
      </c>
      <c r="BK117" s="9">
        <f t="shared" si="37"/>
        <v>0</v>
      </c>
      <c r="BL117" s="9">
        <f t="shared" si="38"/>
        <v>1</v>
      </c>
      <c r="BM117" s="9">
        <f t="shared" si="39"/>
        <v>1</v>
      </c>
      <c r="BN117" s="9" t="s">
        <v>68</v>
      </c>
      <c r="BO117" s="11">
        <f t="shared" si="40"/>
        <v>1</v>
      </c>
    </row>
    <row r="118" ht="22.5" customHeight="1">
      <c r="A118" s="9">
        <f t="shared" si="41"/>
        <v>117</v>
      </c>
      <c r="B118" s="10">
        <v>46050.84735643519</v>
      </c>
      <c r="C118" s="9" t="s">
        <v>90</v>
      </c>
      <c r="D118" s="9">
        <f t="shared" si="1"/>
        <v>2</v>
      </c>
      <c r="E118" s="9" t="s">
        <v>68</v>
      </c>
      <c r="F118" s="9">
        <f t="shared" si="2"/>
        <v>1</v>
      </c>
      <c r="G118" s="9" t="s">
        <v>69</v>
      </c>
      <c r="H118" s="9" t="str">
        <f t="shared" si="3"/>
        <v>Rural</v>
      </c>
      <c r="I118" s="9">
        <f t="shared" si="4"/>
        <v>1</v>
      </c>
      <c r="J118" s="9" t="s">
        <v>70</v>
      </c>
      <c r="K118" s="9" t="s">
        <v>100</v>
      </c>
      <c r="L118" s="9">
        <f t="shared" si="5"/>
        <v>3</v>
      </c>
      <c r="M118" s="9" t="s">
        <v>76</v>
      </c>
      <c r="N118" s="9">
        <f t="shared" si="6"/>
        <v>5.5</v>
      </c>
      <c r="O118" s="9" t="s">
        <v>78</v>
      </c>
      <c r="P118" s="9">
        <f t="shared" si="7"/>
        <v>3</v>
      </c>
      <c r="Q118" s="9" t="s">
        <v>78</v>
      </c>
      <c r="R118" s="9">
        <f t="shared" si="8"/>
        <v>3</v>
      </c>
      <c r="S118" s="9" t="s">
        <v>78</v>
      </c>
      <c r="T118" s="9">
        <f t="shared" si="9"/>
        <v>3</v>
      </c>
      <c r="U118" s="9" t="s">
        <v>74</v>
      </c>
      <c r="V118" s="9">
        <f t="shared" si="10"/>
        <v>1.5</v>
      </c>
      <c r="W118" s="9" t="s">
        <v>86</v>
      </c>
      <c r="X118" s="9">
        <f t="shared" si="11"/>
        <v>1</v>
      </c>
      <c r="Y118" s="9">
        <f t="shared" si="12"/>
        <v>1</v>
      </c>
      <c r="Z118" s="9">
        <f t="shared" si="13"/>
        <v>1</v>
      </c>
      <c r="AA118" s="9">
        <f t="shared" si="14"/>
        <v>0</v>
      </c>
      <c r="AB118" s="9" t="s">
        <v>85</v>
      </c>
      <c r="AC118" s="9">
        <f t="shared" si="15"/>
        <v>4</v>
      </c>
      <c r="AD118" s="9" t="s">
        <v>85</v>
      </c>
      <c r="AE118" s="9">
        <f t="shared" si="16"/>
        <v>4</v>
      </c>
      <c r="AF118" s="9" t="s">
        <v>76</v>
      </c>
      <c r="AG118" s="9">
        <f t="shared" si="17"/>
        <v>5.5</v>
      </c>
      <c r="AH118" s="9" t="s">
        <v>85</v>
      </c>
      <c r="AI118" s="9">
        <f t="shared" si="18"/>
        <v>4</v>
      </c>
      <c r="AJ118" s="9" t="s">
        <v>73</v>
      </c>
      <c r="AK118" s="9">
        <f t="shared" si="19"/>
        <v>2</v>
      </c>
      <c r="AL118" s="9" t="s">
        <v>73</v>
      </c>
      <c r="AM118" s="9">
        <f t="shared" si="20"/>
        <v>2</v>
      </c>
      <c r="AN118" s="9" t="s">
        <v>73</v>
      </c>
      <c r="AO118" s="9">
        <f t="shared" si="21"/>
        <v>2</v>
      </c>
      <c r="AP118" s="9" t="s">
        <v>78</v>
      </c>
      <c r="AQ118" s="9">
        <f t="shared" si="22"/>
        <v>3</v>
      </c>
      <c r="AR118" s="9" t="s">
        <v>78</v>
      </c>
      <c r="AS118" s="9">
        <f t="shared" si="23"/>
        <v>3</v>
      </c>
      <c r="AT118" s="9" t="s">
        <v>227</v>
      </c>
      <c r="AU118" s="9">
        <f t="shared" si="24"/>
        <v>1</v>
      </c>
      <c r="AV118" s="9">
        <f t="shared" si="25"/>
        <v>0</v>
      </c>
      <c r="AW118" s="9">
        <f t="shared" si="26"/>
        <v>0</v>
      </c>
      <c r="AX118" s="9">
        <f t="shared" si="27"/>
        <v>1</v>
      </c>
      <c r="AY118" s="9">
        <f t="shared" si="28"/>
        <v>1</v>
      </c>
      <c r="AZ118" s="9">
        <f t="shared" si="29"/>
        <v>1</v>
      </c>
      <c r="BA118" s="9">
        <f t="shared" si="30"/>
        <v>0</v>
      </c>
      <c r="BB118" s="9" t="s">
        <v>88</v>
      </c>
      <c r="BC118" s="9">
        <f t="shared" si="31"/>
        <v>2</v>
      </c>
      <c r="BD118" s="12"/>
      <c r="BE118" s="9" t="str">
        <f t="shared" si="44"/>
        <v>N/A</v>
      </c>
      <c r="BF118" s="9" t="s">
        <v>195</v>
      </c>
      <c r="BG118" s="9">
        <f t="shared" si="33"/>
        <v>0</v>
      </c>
      <c r="BH118" s="9">
        <f t="shared" si="34"/>
        <v>0</v>
      </c>
      <c r="BI118" s="9">
        <f t="shared" si="35"/>
        <v>0</v>
      </c>
      <c r="BJ118" s="9">
        <f t="shared" si="36"/>
        <v>0</v>
      </c>
      <c r="BK118" s="9">
        <f t="shared" si="37"/>
        <v>0</v>
      </c>
      <c r="BL118" s="9">
        <f t="shared" si="38"/>
        <v>1</v>
      </c>
      <c r="BM118" s="9">
        <f t="shared" si="39"/>
        <v>1</v>
      </c>
      <c r="BN118" s="9" t="s">
        <v>108</v>
      </c>
      <c r="BO118" s="11">
        <f t="shared" si="40"/>
        <v>3</v>
      </c>
    </row>
    <row r="119" ht="22.5" customHeight="1">
      <c r="A119" s="9">
        <f t="shared" si="41"/>
        <v>118</v>
      </c>
      <c r="B119" s="10">
        <v>46050.850445902775</v>
      </c>
      <c r="C119" s="9" t="s">
        <v>67</v>
      </c>
      <c r="D119" s="9">
        <f t="shared" si="1"/>
        <v>1</v>
      </c>
      <c r="E119" s="9" t="s">
        <v>68</v>
      </c>
      <c r="F119" s="9">
        <f t="shared" si="2"/>
        <v>1</v>
      </c>
      <c r="G119" s="9" t="s">
        <v>82</v>
      </c>
      <c r="H119" s="9" t="str">
        <f t="shared" si="3"/>
        <v>Urban</v>
      </c>
      <c r="I119" s="9">
        <f t="shared" si="4"/>
        <v>2</v>
      </c>
      <c r="J119" s="9" t="s">
        <v>70</v>
      </c>
      <c r="K119" s="9" t="s">
        <v>100</v>
      </c>
      <c r="L119" s="9">
        <f t="shared" si="5"/>
        <v>3</v>
      </c>
      <c r="M119" s="9" t="s">
        <v>101</v>
      </c>
      <c r="N119" s="9">
        <f t="shared" si="6"/>
        <v>2</v>
      </c>
      <c r="O119" s="9" t="s">
        <v>73</v>
      </c>
      <c r="P119" s="9">
        <f t="shared" si="7"/>
        <v>2</v>
      </c>
      <c r="Q119" s="9" t="s">
        <v>85</v>
      </c>
      <c r="R119" s="9">
        <f t="shared" si="8"/>
        <v>4</v>
      </c>
      <c r="S119" s="9" t="s">
        <v>73</v>
      </c>
      <c r="T119" s="9">
        <f t="shared" si="9"/>
        <v>2</v>
      </c>
      <c r="U119" s="9" t="s">
        <v>74</v>
      </c>
      <c r="V119" s="9">
        <f t="shared" si="10"/>
        <v>1.5</v>
      </c>
      <c r="W119" s="9" t="s">
        <v>86</v>
      </c>
      <c r="X119" s="9">
        <f t="shared" si="11"/>
        <v>1</v>
      </c>
      <c r="Y119" s="9">
        <f t="shared" si="12"/>
        <v>1</v>
      </c>
      <c r="Z119" s="9">
        <f t="shared" si="13"/>
        <v>1</v>
      </c>
      <c r="AA119" s="9">
        <f t="shared" si="14"/>
        <v>0</v>
      </c>
      <c r="AB119" s="9" t="s">
        <v>85</v>
      </c>
      <c r="AC119" s="9">
        <f t="shared" si="15"/>
        <v>4</v>
      </c>
      <c r="AD119" s="9" t="s">
        <v>85</v>
      </c>
      <c r="AE119" s="9">
        <f t="shared" si="16"/>
        <v>4</v>
      </c>
      <c r="AF119" s="9" t="s">
        <v>76</v>
      </c>
      <c r="AG119" s="9">
        <f t="shared" si="17"/>
        <v>5.5</v>
      </c>
      <c r="AH119" s="9" t="s">
        <v>73</v>
      </c>
      <c r="AI119" s="9">
        <f t="shared" si="18"/>
        <v>2</v>
      </c>
      <c r="AJ119" s="9" t="s">
        <v>73</v>
      </c>
      <c r="AK119" s="9">
        <f t="shared" si="19"/>
        <v>2</v>
      </c>
      <c r="AL119" s="9" t="s">
        <v>73</v>
      </c>
      <c r="AM119" s="9">
        <f t="shared" si="20"/>
        <v>2</v>
      </c>
      <c r="AN119" s="9" t="s">
        <v>78</v>
      </c>
      <c r="AO119" s="9">
        <f t="shared" si="21"/>
        <v>3</v>
      </c>
      <c r="AP119" s="9" t="s">
        <v>78</v>
      </c>
      <c r="AQ119" s="9">
        <f t="shared" si="22"/>
        <v>3</v>
      </c>
      <c r="AR119" s="9" t="s">
        <v>78</v>
      </c>
      <c r="AS119" s="9">
        <f t="shared" si="23"/>
        <v>3</v>
      </c>
      <c r="AT119" s="9" t="s">
        <v>228</v>
      </c>
      <c r="AU119" s="9">
        <f t="shared" si="24"/>
        <v>1</v>
      </c>
      <c r="AV119" s="9">
        <f t="shared" si="25"/>
        <v>0</v>
      </c>
      <c r="AW119" s="9">
        <f t="shared" si="26"/>
        <v>0</v>
      </c>
      <c r="AX119" s="9">
        <f t="shared" si="27"/>
        <v>0</v>
      </c>
      <c r="AY119" s="9">
        <f t="shared" si="28"/>
        <v>1</v>
      </c>
      <c r="AZ119" s="9">
        <f t="shared" si="29"/>
        <v>1</v>
      </c>
      <c r="BA119" s="9">
        <f t="shared" si="30"/>
        <v>0</v>
      </c>
      <c r="BB119" s="9" t="s">
        <v>88</v>
      </c>
      <c r="BC119" s="9">
        <f t="shared" si="31"/>
        <v>2</v>
      </c>
      <c r="BD119" s="12"/>
      <c r="BE119" s="9" t="str">
        <f t="shared" si="44"/>
        <v>N/A</v>
      </c>
      <c r="BF119" s="9" t="s">
        <v>222</v>
      </c>
      <c r="BG119" s="9">
        <f t="shared" si="33"/>
        <v>1</v>
      </c>
      <c r="BH119" s="9">
        <f t="shared" si="34"/>
        <v>0</v>
      </c>
      <c r="BI119" s="9">
        <f t="shared" si="35"/>
        <v>0</v>
      </c>
      <c r="BJ119" s="9">
        <f t="shared" si="36"/>
        <v>1</v>
      </c>
      <c r="BK119" s="9">
        <f t="shared" si="37"/>
        <v>1</v>
      </c>
      <c r="BL119" s="9">
        <f t="shared" si="38"/>
        <v>1</v>
      </c>
      <c r="BM119" s="9">
        <f t="shared" si="39"/>
        <v>0</v>
      </c>
      <c r="BN119" s="9" t="s">
        <v>68</v>
      </c>
      <c r="BO119" s="11">
        <f t="shared" si="40"/>
        <v>1</v>
      </c>
    </row>
    <row r="120" ht="22.5" customHeight="1">
      <c r="A120" s="9">
        <f t="shared" si="41"/>
        <v>119</v>
      </c>
      <c r="B120" s="10">
        <v>46050.86426465277</v>
      </c>
      <c r="C120" s="9" t="s">
        <v>67</v>
      </c>
      <c r="D120" s="9">
        <f t="shared" si="1"/>
        <v>1</v>
      </c>
      <c r="E120" s="9" t="s">
        <v>68</v>
      </c>
      <c r="F120" s="9">
        <f t="shared" si="2"/>
        <v>1</v>
      </c>
      <c r="G120" s="9" t="s">
        <v>69</v>
      </c>
      <c r="H120" s="9" t="str">
        <f t="shared" si="3"/>
        <v>Rural</v>
      </c>
      <c r="I120" s="9">
        <f t="shared" si="4"/>
        <v>1</v>
      </c>
      <c r="J120" s="9" t="s">
        <v>83</v>
      </c>
      <c r="K120" s="9" t="s">
        <v>84</v>
      </c>
      <c r="L120" s="9">
        <f t="shared" si="5"/>
        <v>2</v>
      </c>
      <c r="M120" s="9" t="s">
        <v>71</v>
      </c>
      <c r="N120" s="9">
        <f t="shared" si="6"/>
        <v>7.7</v>
      </c>
      <c r="O120" s="9" t="s">
        <v>78</v>
      </c>
      <c r="P120" s="9">
        <f t="shared" si="7"/>
        <v>3</v>
      </c>
      <c r="Q120" s="9" t="s">
        <v>85</v>
      </c>
      <c r="R120" s="9">
        <f t="shared" si="8"/>
        <v>4</v>
      </c>
      <c r="S120" s="9" t="s">
        <v>78</v>
      </c>
      <c r="T120" s="9">
        <f t="shared" si="9"/>
        <v>3</v>
      </c>
      <c r="U120" s="9" t="s">
        <v>96</v>
      </c>
      <c r="V120" s="9">
        <f t="shared" si="10"/>
        <v>2.5</v>
      </c>
      <c r="W120" s="9" t="s">
        <v>93</v>
      </c>
      <c r="X120" s="9">
        <f t="shared" si="11"/>
        <v>0</v>
      </c>
      <c r="Y120" s="9">
        <f t="shared" si="12"/>
        <v>1</v>
      </c>
      <c r="Z120" s="9">
        <f t="shared" si="13"/>
        <v>0</v>
      </c>
      <c r="AA120" s="9">
        <f t="shared" si="14"/>
        <v>0</v>
      </c>
      <c r="AB120" s="9" t="s">
        <v>85</v>
      </c>
      <c r="AC120" s="9">
        <f t="shared" si="15"/>
        <v>4</v>
      </c>
      <c r="AD120" s="9" t="s">
        <v>78</v>
      </c>
      <c r="AE120" s="9">
        <f t="shared" si="16"/>
        <v>3</v>
      </c>
      <c r="AF120" s="9" t="s">
        <v>71</v>
      </c>
      <c r="AG120" s="9">
        <f t="shared" si="17"/>
        <v>7.7</v>
      </c>
      <c r="AH120" s="9" t="s">
        <v>85</v>
      </c>
      <c r="AI120" s="9">
        <f t="shared" si="18"/>
        <v>4</v>
      </c>
      <c r="AJ120" s="9" t="s">
        <v>73</v>
      </c>
      <c r="AK120" s="9">
        <f t="shared" si="19"/>
        <v>2</v>
      </c>
      <c r="AL120" s="9" t="s">
        <v>85</v>
      </c>
      <c r="AM120" s="9">
        <f t="shared" si="20"/>
        <v>4</v>
      </c>
      <c r="AN120" s="9" t="s">
        <v>73</v>
      </c>
      <c r="AO120" s="9">
        <f t="shared" si="21"/>
        <v>2</v>
      </c>
      <c r="AP120" s="9" t="s">
        <v>78</v>
      </c>
      <c r="AQ120" s="9">
        <f t="shared" si="22"/>
        <v>3</v>
      </c>
      <c r="AR120" s="9" t="s">
        <v>78</v>
      </c>
      <c r="AS120" s="9">
        <f t="shared" si="23"/>
        <v>3</v>
      </c>
      <c r="AT120" s="9" t="s">
        <v>229</v>
      </c>
      <c r="AU120" s="9">
        <f t="shared" si="24"/>
        <v>0</v>
      </c>
      <c r="AV120" s="9">
        <f t="shared" si="25"/>
        <v>0</v>
      </c>
      <c r="AW120" s="9">
        <f t="shared" si="26"/>
        <v>1</v>
      </c>
      <c r="AX120" s="9">
        <f t="shared" si="27"/>
        <v>1</v>
      </c>
      <c r="AY120" s="9">
        <f t="shared" si="28"/>
        <v>0</v>
      </c>
      <c r="AZ120" s="9">
        <f t="shared" si="29"/>
        <v>0</v>
      </c>
      <c r="BA120" s="9">
        <f t="shared" si="30"/>
        <v>0</v>
      </c>
      <c r="BB120" s="9" t="s">
        <v>88</v>
      </c>
      <c r="BC120" s="9">
        <f t="shared" si="31"/>
        <v>2</v>
      </c>
      <c r="BD120" s="12"/>
      <c r="BE120" s="9" t="str">
        <f t="shared" si="44"/>
        <v>N/A</v>
      </c>
      <c r="BF120" s="9" t="s">
        <v>150</v>
      </c>
      <c r="BG120" s="9">
        <f t="shared" si="33"/>
        <v>0</v>
      </c>
      <c r="BH120" s="9">
        <f t="shared" si="34"/>
        <v>0</v>
      </c>
      <c r="BI120" s="9">
        <f t="shared" si="35"/>
        <v>0</v>
      </c>
      <c r="BJ120" s="9">
        <f t="shared" si="36"/>
        <v>0</v>
      </c>
      <c r="BK120" s="9">
        <f t="shared" si="37"/>
        <v>1</v>
      </c>
      <c r="BL120" s="9">
        <f t="shared" si="38"/>
        <v>0</v>
      </c>
      <c r="BM120" s="9">
        <f t="shared" si="39"/>
        <v>0</v>
      </c>
      <c r="BN120" s="9" t="s">
        <v>108</v>
      </c>
      <c r="BO120" s="11">
        <f t="shared" si="40"/>
        <v>3</v>
      </c>
    </row>
    <row r="121" ht="22.5" customHeight="1">
      <c r="A121" s="9">
        <f t="shared" si="41"/>
        <v>120</v>
      </c>
      <c r="B121" s="10">
        <v>46050.867020439815</v>
      </c>
      <c r="C121" s="9" t="s">
        <v>90</v>
      </c>
      <c r="D121" s="9">
        <f t="shared" si="1"/>
        <v>2</v>
      </c>
      <c r="E121" s="9" t="s">
        <v>68</v>
      </c>
      <c r="F121" s="9">
        <f t="shared" si="2"/>
        <v>1</v>
      </c>
      <c r="G121" s="9" t="s">
        <v>69</v>
      </c>
      <c r="H121" s="9" t="str">
        <f t="shared" si="3"/>
        <v>Rural</v>
      </c>
      <c r="I121" s="9">
        <f t="shared" si="4"/>
        <v>1</v>
      </c>
      <c r="J121" s="9" t="s">
        <v>145</v>
      </c>
      <c r="K121" s="9" t="s">
        <v>146</v>
      </c>
      <c r="L121" s="9">
        <f t="shared" si="5"/>
        <v>1</v>
      </c>
      <c r="M121" s="9" t="s">
        <v>76</v>
      </c>
      <c r="N121" s="9">
        <f t="shared" si="6"/>
        <v>5.5</v>
      </c>
      <c r="O121" s="9" t="s">
        <v>78</v>
      </c>
      <c r="P121" s="9">
        <f t="shared" si="7"/>
        <v>3</v>
      </c>
      <c r="Q121" s="9" t="s">
        <v>78</v>
      </c>
      <c r="R121" s="9">
        <f t="shared" si="8"/>
        <v>3</v>
      </c>
      <c r="S121" s="9" t="s">
        <v>78</v>
      </c>
      <c r="T121" s="9">
        <f t="shared" si="9"/>
        <v>3</v>
      </c>
      <c r="U121" s="9" t="s">
        <v>96</v>
      </c>
      <c r="V121" s="9">
        <f t="shared" si="10"/>
        <v>2.5</v>
      </c>
      <c r="W121" s="9" t="s">
        <v>86</v>
      </c>
      <c r="X121" s="9">
        <f t="shared" si="11"/>
        <v>1</v>
      </c>
      <c r="Y121" s="9">
        <f t="shared" si="12"/>
        <v>1</v>
      </c>
      <c r="Z121" s="9">
        <f t="shared" si="13"/>
        <v>1</v>
      </c>
      <c r="AA121" s="9">
        <f t="shared" si="14"/>
        <v>0</v>
      </c>
      <c r="AB121" s="9" t="s">
        <v>85</v>
      </c>
      <c r="AC121" s="9">
        <f t="shared" si="15"/>
        <v>4</v>
      </c>
      <c r="AD121" s="9" t="s">
        <v>78</v>
      </c>
      <c r="AE121" s="9">
        <f t="shared" si="16"/>
        <v>3</v>
      </c>
      <c r="AF121" s="9" t="s">
        <v>76</v>
      </c>
      <c r="AG121" s="9">
        <f t="shared" si="17"/>
        <v>5.5</v>
      </c>
      <c r="AH121" s="9" t="s">
        <v>85</v>
      </c>
      <c r="AI121" s="9">
        <f t="shared" si="18"/>
        <v>4</v>
      </c>
      <c r="AJ121" s="9" t="s">
        <v>73</v>
      </c>
      <c r="AK121" s="9">
        <f t="shared" si="19"/>
        <v>2</v>
      </c>
      <c r="AL121" s="9" t="s">
        <v>73</v>
      </c>
      <c r="AM121" s="9">
        <f t="shared" si="20"/>
        <v>2</v>
      </c>
      <c r="AN121" s="9" t="s">
        <v>78</v>
      </c>
      <c r="AO121" s="9">
        <f t="shared" si="21"/>
        <v>3</v>
      </c>
      <c r="AP121" s="12"/>
      <c r="AQ121" s="9" t="str">
        <f t="shared" si="22"/>
        <v>N/A</v>
      </c>
      <c r="AR121" s="9" t="s">
        <v>78</v>
      </c>
      <c r="AS121" s="9">
        <f t="shared" si="23"/>
        <v>3</v>
      </c>
      <c r="AT121" s="9" t="s">
        <v>230</v>
      </c>
      <c r="AU121" s="9">
        <f t="shared" si="24"/>
        <v>0</v>
      </c>
      <c r="AV121" s="9">
        <f t="shared" si="25"/>
        <v>0</v>
      </c>
      <c r="AW121" s="9">
        <f t="shared" si="26"/>
        <v>0</v>
      </c>
      <c r="AX121" s="9">
        <f t="shared" si="27"/>
        <v>1</v>
      </c>
      <c r="AY121" s="9">
        <f t="shared" si="28"/>
        <v>1</v>
      </c>
      <c r="AZ121" s="9">
        <f t="shared" si="29"/>
        <v>0</v>
      </c>
      <c r="BA121" s="9">
        <f t="shared" si="30"/>
        <v>0</v>
      </c>
      <c r="BB121" s="9" t="s">
        <v>88</v>
      </c>
      <c r="BC121" s="9">
        <f t="shared" si="31"/>
        <v>2</v>
      </c>
      <c r="BD121" s="12"/>
      <c r="BE121" s="9" t="str">
        <f t="shared" si="44"/>
        <v>N/A</v>
      </c>
      <c r="BF121" s="9" t="s">
        <v>187</v>
      </c>
      <c r="BG121" s="9">
        <f t="shared" si="33"/>
        <v>1</v>
      </c>
      <c r="BH121" s="9">
        <f t="shared" si="34"/>
        <v>0</v>
      </c>
      <c r="BI121" s="9">
        <f t="shared" si="35"/>
        <v>0</v>
      </c>
      <c r="BJ121" s="9">
        <f t="shared" si="36"/>
        <v>0</v>
      </c>
      <c r="BK121" s="9">
        <f t="shared" si="37"/>
        <v>0</v>
      </c>
      <c r="BL121" s="9">
        <f t="shared" si="38"/>
        <v>1</v>
      </c>
      <c r="BM121" s="9">
        <f t="shared" si="39"/>
        <v>0</v>
      </c>
      <c r="BN121" s="9" t="s">
        <v>108</v>
      </c>
      <c r="BO121" s="11">
        <f t="shared" si="40"/>
        <v>3</v>
      </c>
    </row>
    <row r="122" ht="22.5" customHeight="1">
      <c r="A122" s="9">
        <f t="shared" si="41"/>
        <v>121</v>
      </c>
      <c r="B122" s="10">
        <v>46050.868447754634</v>
      </c>
      <c r="C122" s="9" t="s">
        <v>90</v>
      </c>
      <c r="D122" s="9">
        <f t="shared" si="1"/>
        <v>2</v>
      </c>
      <c r="E122" s="9" t="s">
        <v>68</v>
      </c>
      <c r="F122" s="9">
        <f t="shared" si="2"/>
        <v>1</v>
      </c>
      <c r="G122" s="9" t="s">
        <v>69</v>
      </c>
      <c r="H122" s="9" t="str">
        <f t="shared" si="3"/>
        <v>Rural</v>
      </c>
      <c r="I122" s="9">
        <f t="shared" si="4"/>
        <v>1</v>
      </c>
      <c r="J122" s="9" t="s">
        <v>70</v>
      </c>
      <c r="K122" s="9" t="s">
        <v>100</v>
      </c>
      <c r="L122" s="9">
        <f t="shared" si="5"/>
        <v>3</v>
      </c>
      <c r="M122" s="9" t="s">
        <v>109</v>
      </c>
      <c r="N122" s="9">
        <f t="shared" si="6"/>
        <v>9</v>
      </c>
      <c r="O122" s="9" t="s">
        <v>73</v>
      </c>
      <c r="P122" s="9">
        <f t="shared" si="7"/>
        <v>2</v>
      </c>
      <c r="Q122" s="9" t="s">
        <v>85</v>
      </c>
      <c r="R122" s="9">
        <f t="shared" si="8"/>
        <v>4</v>
      </c>
      <c r="S122" s="9" t="s">
        <v>78</v>
      </c>
      <c r="T122" s="9">
        <f t="shared" si="9"/>
        <v>3</v>
      </c>
      <c r="U122" s="9" t="s">
        <v>92</v>
      </c>
      <c r="V122" s="9">
        <f t="shared" si="10"/>
        <v>3.5</v>
      </c>
      <c r="W122" s="9" t="s">
        <v>93</v>
      </c>
      <c r="X122" s="9">
        <f t="shared" si="11"/>
        <v>0</v>
      </c>
      <c r="Y122" s="9">
        <f t="shared" si="12"/>
        <v>1</v>
      </c>
      <c r="Z122" s="9">
        <f t="shared" si="13"/>
        <v>0</v>
      </c>
      <c r="AA122" s="9">
        <f t="shared" si="14"/>
        <v>0</v>
      </c>
      <c r="AB122" s="9" t="s">
        <v>103</v>
      </c>
      <c r="AC122" s="9">
        <f t="shared" si="15"/>
        <v>5</v>
      </c>
      <c r="AD122" s="9" t="s">
        <v>78</v>
      </c>
      <c r="AE122" s="9">
        <f t="shared" si="16"/>
        <v>3</v>
      </c>
      <c r="AF122" s="9" t="s">
        <v>71</v>
      </c>
      <c r="AG122" s="9">
        <f t="shared" si="17"/>
        <v>7.7</v>
      </c>
      <c r="AH122" s="9" t="s">
        <v>78</v>
      </c>
      <c r="AI122" s="9">
        <f t="shared" si="18"/>
        <v>3</v>
      </c>
      <c r="AJ122" s="9" t="s">
        <v>73</v>
      </c>
      <c r="AK122" s="9">
        <f t="shared" si="19"/>
        <v>2</v>
      </c>
      <c r="AL122" s="9" t="s">
        <v>73</v>
      </c>
      <c r="AM122" s="9">
        <f t="shared" si="20"/>
        <v>2</v>
      </c>
      <c r="AN122" s="9" t="s">
        <v>85</v>
      </c>
      <c r="AO122" s="9">
        <f t="shared" si="21"/>
        <v>4</v>
      </c>
      <c r="AP122" s="9" t="s">
        <v>85</v>
      </c>
      <c r="AQ122" s="9">
        <f t="shared" si="22"/>
        <v>4</v>
      </c>
      <c r="AR122" s="9" t="s">
        <v>85</v>
      </c>
      <c r="AS122" s="9">
        <f t="shared" si="23"/>
        <v>4</v>
      </c>
      <c r="AT122" s="9" t="s">
        <v>162</v>
      </c>
      <c r="AU122" s="9">
        <f t="shared" si="24"/>
        <v>0</v>
      </c>
      <c r="AV122" s="9">
        <f t="shared" si="25"/>
        <v>0</v>
      </c>
      <c r="AW122" s="9">
        <f t="shared" si="26"/>
        <v>0</v>
      </c>
      <c r="AX122" s="9">
        <f t="shared" si="27"/>
        <v>0</v>
      </c>
      <c r="AY122" s="9">
        <f t="shared" si="28"/>
        <v>0</v>
      </c>
      <c r="AZ122" s="9">
        <f t="shared" si="29"/>
        <v>1</v>
      </c>
      <c r="BA122" s="9">
        <f t="shared" si="30"/>
        <v>0</v>
      </c>
      <c r="BB122" s="9" t="s">
        <v>68</v>
      </c>
      <c r="BC122" s="9">
        <f t="shared" si="31"/>
        <v>1</v>
      </c>
      <c r="BD122" s="12"/>
      <c r="BE122" s="9" t="str">
        <f t="shared" si="44"/>
        <v>N/A</v>
      </c>
      <c r="BF122" s="9" t="s">
        <v>224</v>
      </c>
      <c r="BG122" s="9">
        <f t="shared" si="33"/>
        <v>0</v>
      </c>
      <c r="BH122" s="9">
        <f t="shared" si="34"/>
        <v>0</v>
      </c>
      <c r="BI122" s="9">
        <f t="shared" si="35"/>
        <v>1</v>
      </c>
      <c r="BJ122" s="9">
        <f t="shared" si="36"/>
        <v>0</v>
      </c>
      <c r="BK122" s="9">
        <f t="shared" si="37"/>
        <v>0</v>
      </c>
      <c r="BL122" s="9">
        <f t="shared" si="38"/>
        <v>0</v>
      </c>
      <c r="BM122" s="9">
        <f t="shared" si="39"/>
        <v>0</v>
      </c>
      <c r="BN122" s="9" t="s">
        <v>108</v>
      </c>
      <c r="BO122" s="11">
        <f t="shared" si="40"/>
        <v>3</v>
      </c>
    </row>
    <row r="123" ht="22.5" customHeight="1">
      <c r="A123" s="9">
        <f t="shared" si="41"/>
        <v>122</v>
      </c>
      <c r="B123" s="10">
        <v>46050.86868829861</v>
      </c>
      <c r="C123" s="9" t="s">
        <v>90</v>
      </c>
      <c r="D123" s="9">
        <f t="shared" si="1"/>
        <v>2</v>
      </c>
      <c r="E123" s="9" t="s">
        <v>68</v>
      </c>
      <c r="F123" s="9">
        <f t="shared" si="2"/>
        <v>1</v>
      </c>
      <c r="G123" s="9" t="s">
        <v>91</v>
      </c>
      <c r="H123" s="9" t="str">
        <f t="shared" si="3"/>
        <v>Urban</v>
      </c>
      <c r="I123" s="9">
        <f t="shared" si="4"/>
        <v>2</v>
      </c>
      <c r="J123" s="9" t="s">
        <v>83</v>
      </c>
      <c r="K123" s="9" t="s">
        <v>84</v>
      </c>
      <c r="L123" s="9">
        <f t="shared" si="5"/>
        <v>2</v>
      </c>
      <c r="M123" s="9" t="s">
        <v>71</v>
      </c>
      <c r="N123" s="9">
        <f t="shared" si="6"/>
        <v>7.7</v>
      </c>
      <c r="O123" s="9" t="s">
        <v>73</v>
      </c>
      <c r="P123" s="9">
        <f t="shared" si="7"/>
        <v>2</v>
      </c>
      <c r="Q123" s="9" t="s">
        <v>73</v>
      </c>
      <c r="R123" s="9">
        <f t="shared" si="8"/>
        <v>2</v>
      </c>
      <c r="S123" s="9" t="s">
        <v>85</v>
      </c>
      <c r="T123" s="9">
        <f t="shared" si="9"/>
        <v>4</v>
      </c>
      <c r="U123" s="9" t="s">
        <v>96</v>
      </c>
      <c r="V123" s="9">
        <f t="shared" si="10"/>
        <v>2.5</v>
      </c>
      <c r="W123" s="9" t="s">
        <v>105</v>
      </c>
      <c r="X123" s="9">
        <f t="shared" si="11"/>
        <v>1</v>
      </c>
      <c r="Y123" s="9">
        <f t="shared" si="12"/>
        <v>1</v>
      </c>
      <c r="Z123" s="9">
        <f t="shared" si="13"/>
        <v>0</v>
      </c>
      <c r="AA123" s="9">
        <f t="shared" si="14"/>
        <v>0</v>
      </c>
      <c r="AB123" s="9" t="s">
        <v>78</v>
      </c>
      <c r="AC123" s="9">
        <f t="shared" si="15"/>
        <v>3</v>
      </c>
      <c r="AD123" s="9" t="s">
        <v>78</v>
      </c>
      <c r="AE123" s="9">
        <f t="shared" si="16"/>
        <v>3</v>
      </c>
      <c r="AF123" s="9" t="s">
        <v>71</v>
      </c>
      <c r="AG123" s="9">
        <f t="shared" si="17"/>
        <v>7.7</v>
      </c>
      <c r="AH123" s="9" t="s">
        <v>78</v>
      </c>
      <c r="AI123" s="9">
        <f t="shared" si="18"/>
        <v>3</v>
      </c>
      <c r="AJ123" s="9" t="s">
        <v>78</v>
      </c>
      <c r="AK123" s="9">
        <f t="shared" si="19"/>
        <v>3</v>
      </c>
      <c r="AL123" s="9" t="s">
        <v>78</v>
      </c>
      <c r="AM123" s="9">
        <f t="shared" si="20"/>
        <v>3</v>
      </c>
      <c r="AN123" s="9" t="s">
        <v>78</v>
      </c>
      <c r="AO123" s="9">
        <f t="shared" si="21"/>
        <v>3</v>
      </c>
      <c r="AP123" s="9" t="s">
        <v>78</v>
      </c>
      <c r="AQ123" s="9">
        <f t="shared" si="22"/>
        <v>3</v>
      </c>
      <c r="AR123" s="9" t="s">
        <v>78</v>
      </c>
      <c r="AS123" s="9">
        <f t="shared" si="23"/>
        <v>3</v>
      </c>
      <c r="AT123" s="9" t="s">
        <v>178</v>
      </c>
      <c r="AU123" s="9">
        <f t="shared" si="24"/>
        <v>1</v>
      </c>
      <c r="AV123" s="9">
        <f t="shared" si="25"/>
        <v>0</v>
      </c>
      <c r="AW123" s="9">
        <f t="shared" si="26"/>
        <v>0</v>
      </c>
      <c r="AX123" s="9">
        <f t="shared" si="27"/>
        <v>1</v>
      </c>
      <c r="AY123" s="9">
        <f t="shared" si="28"/>
        <v>0</v>
      </c>
      <c r="AZ123" s="9">
        <f t="shared" si="29"/>
        <v>0</v>
      </c>
      <c r="BA123" s="9">
        <f t="shared" si="30"/>
        <v>0</v>
      </c>
      <c r="BB123" s="9" t="s">
        <v>88</v>
      </c>
      <c r="BC123" s="9">
        <f t="shared" si="31"/>
        <v>2</v>
      </c>
      <c r="BD123" s="12"/>
      <c r="BE123" s="9" t="str">
        <f t="shared" si="44"/>
        <v>N/A</v>
      </c>
      <c r="BF123" s="9" t="s">
        <v>231</v>
      </c>
      <c r="BG123" s="9">
        <f t="shared" si="33"/>
        <v>1</v>
      </c>
      <c r="BH123" s="9">
        <f t="shared" si="34"/>
        <v>0</v>
      </c>
      <c r="BI123" s="9">
        <f t="shared" si="35"/>
        <v>1</v>
      </c>
      <c r="BJ123" s="9">
        <f t="shared" si="36"/>
        <v>0</v>
      </c>
      <c r="BK123" s="9">
        <f t="shared" si="37"/>
        <v>1</v>
      </c>
      <c r="BL123" s="9">
        <f t="shared" si="38"/>
        <v>0</v>
      </c>
      <c r="BM123" s="9">
        <f t="shared" si="39"/>
        <v>1</v>
      </c>
      <c r="BN123" s="9" t="s">
        <v>108</v>
      </c>
      <c r="BO123" s="11">
        <f t="shared" si="40"/>
        <v>3</v>
      </c>
    </row>
    <row r="124" ht="22.5" customHeight="1">
      <c r="A124" s="9">
        <f t="shared" si="41"/>
        <v>123</v>
      </c>
      <c r="B124" s="10">
        <v>46050.87048435185</v>
      </c>
      <c r="C124" s="9" t="s">
        <v>67</v>
      </c>
      <c r="D124" s="9">
        <f t="shared" si="1"/>
        <v>1</v>
      </c>
      <c r="E124" s="9" t="s">
        <v>68</v>
      </c>
      <c r="F124" s="9">
        <f t="shared" si="2"/>
        <v>1</v>
      </c>
      <c r="G124" s="9" t="s">
        <v>69</v>
      </c>
      <c r="H124" s="9" t="str">
        <f t="shared" si="3"/>
        <v>Rural</v>
      </c>
      <c r="I124" s="9">
        <f t="shared" si="4"/>
        <v>1</v>
      </c>
      <c r="J124" s="9" t="s">
        <v>145</v>
      </c>
      <c r="K124" s="9" t="s">
        <v>146</v>
      </c>
      <c r="L124" s="9">
        <f t="shared" si="5"/>
        <v>1</v>
      </c>
      <c r="M124" s="9" t="s">
        <v>71</v>
      </c>
      <c r="N124" s="9">
        <f t="shared" si="6"/>
        <v>7.7</v>
      </c>
      <c r="O124" s="9" t="s">
        <v>73</v>
      </c>
      <c r="P124" s="9">
        <f t="shared" si="7"/>
        <v>2</v>
      </c>
      <c r="Q124" s="9" t="s">
        <v>85</v>
      </c>
      <c r="R124" s="9">
        <f t="shared" si="8"/>
        <v>4</v>
      </c>
      <c r="S124" s="9" t="s">
        <v>73</v>
      </c>
      <c r="T124" s="9">
        <f t="shared" si="9"/>
        <v>2</v>
      </c>
      <c r="U124" s="9" t="s">
        <v>110</v>
      </c>
      <c r="V124" s="9">
        <f t="shared" si="10"/>
        <v>0.75</v>
      </c>
      <c r="W124" s="9" t="s">
        <v>143</v>
      </c>
      <c r="X124" s="9">
        <f t="shared" si="11"/>
        <v>1</v>
      </c>
      <c r="Y124" s="9">
        <f t="shared" si="12"/>
        <v>0</v>
      </c>
      <c r="Z124" s="9">
        <f t="shared" si="13"/>
        <v>0</v>
      </c>
      <c r="AA124" s="9">
        <f t="shared" si="14"/>
        <v>0</v>
      </c>
      <c r="AB124" s="9" t="s">
        <v>78</v>
      </c>
      <c r="AC124" s="9">
        <f t="shared" si="15"/>
        <v>3</v>
      </c>
      <c r="AD124" s="9" t="s">
        <v>73</v>
      </c>
      <c r="AE124" s="9">
        <f t="shared" si="16"/>
        <v>2</v>
      </c>
      <c r="AF124" s="9" t="s">
        <v>71</v>
      </c>
      <c r="AG124" s="9">
        <f t="shared" si="17"/>
        <v>7.7</v>
      </c>
      <c r="AH124" s="9" t="s">
        <v>85</v>
      </c>
      <c r="AI124" s="9">
        <f t="shared" si="18"/>
        <v>4</v>
      </c>
      <c r="AJ124" s="9" t="s">
        <v>78</v>
      </c>
      <c r="AK124" s="9">
        <f t="shared" si="19"/>
        <v>3</v>
      </c>
      <c r="AL124" s="9" t="s">
        <v>85</v>
      </c>
      <c r="AM124" s="9">
        <f t="shared" si="20"/>
        <v>4</v>
      </c>
      <c r="AN124" s="9" t="s">
        <v>85</v>
      </c>
      <c r="AO124" s="9">
        <f t="shared" si="21"/>
        <v>4</v>
      </c>
      <c r="AP124" s="9" t="s">
        <v>85</v>
      </c>
      <c r="AQ124" s="9">
        <f t="shared" si="22"/>
        <v>4</v>
      </c>
      <c r="AR124" s="9" t="s">
        <v>85</v>
      </c>
      <c r="AS124" s="9">
        <f t="shared" si="23"/>
        <v>4</v>
      </c>
      <c r="AT124" s="9" t="s">
        <v>199</v>
      </c>
      <c r="AU124" s="9">
        <f t="shared" si="24"/>
        <v>0</v>
      </c>
      <c r="AV124" s="9">
        <f t="shared" si="25"/>
        <v>0</v>
      </c>
      <c r="AW124" s="9">
        <f t="shared" si="26"/>
        <v>0</v>
      </c>
      <c r="AX124" s="9">
        <f t="shared" si="27"/>
        <v>1</v>
      </c>
      <c r="AY124" s="9">
        <f t="shared" si="28"/>
        <v>0</v>
      </c>
      <c r="AZ124" s="9">
        <f t="shared" si="29"/>
        <v>0</v>
      </c>
      <c r="BA124" s="9">
        <f t="shared" si="30"/>
        <v>0</v>
      </c>
      <c r="BB124" s="9" t="s">
        <v>88</v>
      </c>
      <c r="BC124" s="9">
        <f t="shared" si="31"/>
        <v>2</v>
      </c>
      <c r="BD124" s="12"/>
      <c r="BE124" s="9" t="str">
        <f t="shared" si="44"/>
        <v>N/A</v>
      </c>
      <c r="BF124" s="9" t="s">
        <v>113</v>
      </c>
      <c r="BG124" s="9">
        <f t="shared" si="33"/>
        <v>0</v>
      </c>
      <c r="BH124" s="9">
        <f t="shared" si="34"/>
        <v>0</v>
      </c>
      <c r="BI124" s="9">
        <f t="shared" si="35"/>
        <v>0</v>
      </c>
      <c r="BJ124" s="9">
        <f t="shared" si="36"/>
        <v>0</v>
      </c>
      <c r="BK124" s="9">
        <f t="shared" si="37"/>
        <v>0</v>
      </c>
      <c r="BL124" s="9">
        <f t="shared" si="38"/>
        <v>0</v>
      </c>
      <c r="BM124" s="9">
        <f t="shared" si="39"/>
        <v>1</v>
      </c>
      <c r="BN124" s="9" t="s">
        <v>108</v>
      </c>
      <c r="BO124" s="11">
        <f t="shared" si="40"/>
        <v>3</v>
      </c>
    </row>
    <row r="125" ht="22.5" customHeight="1">
      <c r="A125" s="9">
        <f t="shared" si="41"/>
        <v>124</v>
      </c>
      <c r="B125" s="10">
        <v>46050.8706409838</v>
      </c>
      <c r="C125" s="9" t="s">
        <v>90</v>
      </c>
      <c r="D125" s="9">
        <f t="shared" si="1"/>
        <v>2</v>
      </c>
      <c r="E125" s="9" t="s">
        <v>68</v>
      </c>
      <c r="F125" s="9">
        <f t="shared" si="2"/>
        <v>1</v>
      </c>
      <c r="G125" s="9" t="s">
        <v>82</v>
      </c>
      <c r="H125" s="9" t="str">
        <f t="shared" si="3"/>
        <v>Urban</v>
      </c>
      <c r="I125" s="9">
        <f t="shared" si="4"/>
        <v>2</v>
      </c>
      <c r="J125" s="9" t="s">
        <v>145</v>
      </c>
      <c r="K125" s="9" t="s">
        <v>146</v>
      </c>
      <c r="L125" s="9">
        <f t="shared" si="5"/>
        <v>1</v>
      </c>
      <c r="M125" s="9" t="s">
        <v>71</v>
      </c>
      <c r="N125" s="9">
        <f t="shared" si="6"/>
        <v>7.7</v>
      </c>
      <c r="O125" s="9" t="s">
        <v>73</v>
      </c>
      <c r="P125" s="9">
        <f t="shared" si="7"/>
        <v>2</v>
      </c>
      <c r="Q125" s="9" t="s">
        <v>78</v>
      </c>
      <c r="R125" s="9">
        <f t="shared" si="8"/>
        <v>3</v>
      </c>
      <c r="S125" s="9" t="s">
        <v>85</v>
      </c>
      <c r="T125" s="9">
        <f t="shared" si="9"/>
        <v>4</v>
      </c>
      <c r="U125" s="9" t="s">
        <v>92</v>
      </c>
      <c r="V125" s="9">
        <f t="shared" si="10"/>
        <v>3.5</v>
      </c>
      <c r="W125" s="9" t="s">
        <v>143</v>
      </c>
      <c r="X125" s="9">
        <f t="shared" si="11"/>
        <v>1</v>
      </c>
      <c r="Y125" s="9">
        <f t="shared" si="12"/>
        <v>0</v>
      </c>
      <c r="Z125" s="9">
        <f t="shared" si="13"/>
        <v>0</v>
      </c>
      <c r="AA125" s="9">
        <f t="shared" si="14"/>
        <v>0</v>
      </c>
      <c r="AB125" s="9" t="s">
        <v>78</v>
      </c>
      <c r="AC125" s="9">
        <f t="shared" si="15"/>
        <v>3</v>
      </c>
      <c r="AD125" s="9" t="s">
        <v>78</v>
      </c>
      <c r="AE125" s="9">
        <f t="shared" si="16"/>
        <v>3</v>
      </c>
      <c r="AF125" s="9" t="s">
        <v>71</v>
      </c>
      <c r="AG125" s="9">
        <f t="shared" si="17"/>
        <v>7.7</v>
      </c>
      <c r="AH125" s="9" t="s">
        <v>72</v>
      </c>
      <c r="AI125" s="9">
        <f t="shared" si="18"/>
        <v>1</v>
      </c>
      <c r="AJ125" s="9" t="s">
        <v>73</v>
      </c>
      <c r="AK125" s="9">
        <f t="shared" si="19"/>
        <v>2</v>
      </c>
      <c r="AL125" s="9" t="s">
        <v>78</v>
      </c>
      <c r="AM125" s="9">
        <f t="shared" si="20"/>
        <v>3</v>
      </c>
      <c r="AN125" s="9" t="s">
        <v>78</v>
      </c>
      <c r="AO125" s="9">
        <f t="shared" si="21"/>
        <v>3</v>
      </c>
      <c r="AP125" s="9" t="s">
        <v>73</v>
      </c>
      <c r="AQ125" s="9">
        <f t="shared" si="22"/>
        <v>2</v>
      </c>
      <c r="AR125" s="9" t="s">
        <v>77</v>
      </c>
      <c r="AS125" s="9">
        <f t="shared" si="23"/>
        <v>1</v>
      </c>
      <c r="AT125" s="9" t="s">
        <v>125</v>
      </c>
      <c r="AU125" s="9">
        <f t="shared" si="24"/>
        <v>0</v>
      </c>
      <c r="AV125" s="9">
        <f t="shared" si="25"/>
        <v>0</v>
      </c>
      <c r="AW125" s="9">
        <f t="shared" si="26"/>
        <v>0</v>
      </c>
      <c r="AX125" s="9">
        <f t="shared" si="27"/>
        <v>1</v>
      </c>
      <c r="AY125" s="9">
        <f t="shared" si="28"/>
        <v>0</v>
      </c>
      <c r="AZ125" s="9">
        <f t="shared" si="29"/>
        <v>0</v>
      </c>
      <c r="BA125" s="9">
        <f t="shared" si="30"/>
        <v>0</v>
      </c>
      <c r="BB125" s="9" t="s">
        <v>88</v>
      </c>
      <c r="BC125" s="9">
        <f t="shared" si="31"/>
        <v>2</v>
      </c>
      <c r="BD125" s="12"/>
      <c r="BE125" s="9" t="str">
        <f t="shared" si="44"/>
        <v>N/A</v>
      </c>
      <c r="BF125" s="9" t="s">
        <v>129</v>
      </c>
      <c r="BG125" s="9">
        <f t="shared" si="33"/>
        <v>0</v>
      </c>
      <c r="BH125" s="9">
        <f t="shared" si="34"/>
        <v>0</v>
      </c>
      <c r="BI125" s="9">
        <f t="shared" si="35"/>
        <v>0</v>
      </c>
      <c r="BJ125" s="9">
        <f t="shared" si="36"/>
        <v>0</v>
      </c>
      <c r="BK125" s="9">
        <f t="shared" si="37"/>
        <v>0</v>
      </c>
      <c r="BL125" s="9">
        <f t="shared" si="38"/>
        <v>1</v>
      </c>
      <c r="BM125" s="9">
        <f t="shared" si="39"/>
        <v>0</v>
      </c>
      <c r="BN125" s="9" t="s">
        <v>68</v>
      </c>
      <c r="BO125" s="11">
        <f t="shared" si="40"/>
        <v>1</v>
      </c>
    </row>
    <row r="126" ht="22.5" customHeight="1">
      <c r="A126" s="9">
        <f t="shared" si="41"/>
        <v>125</v>
      </c>
      <c r="B126" s="10">
        <v>46050.87372333334</v>
      </c>
      <c r="C126" s="9" t="s">
        <v>90</v>
      </c>
      <c r="D126" s="9">
        <f t="shared" si="1"/>
        <v>2</v>
      </c>
      <c r="E126" s="9" t="s">
        <v>68</v>
      </c>
      <c r="F126" s="9">
        <f t="shared" si="2"/>
        <v>1</v>
      </c>
      <c r="G126" s="9" t="s">
        <v>91</v>
      </c>
      <c r="H126" s="9" t="str">
        <f t="shared" si="3"/>
        <v>Urban</v>
      </c>
      <c r="I126" s="9">
        <f t="shared" si="4"/>
        <v>2</v>
      </c>
      <c r="J126" s="9" t="s">
        <v>70</v>
      </c>
      <c r="K126" s="9" t="s">
        <v>100</v>
      </c>
      <c r="L126" s="9">
        <f t="shared" si="5"/>
        <v>3</v>
      </c>
      <c r="M126" s="9" t="s">
        <v>71</v>
      </c>
      <c r="N126" s="9">
        <f t="shared" si="6"/>
        <v>7.7</v>
      </c>
      <c r="O126" s="9" t="s">
        <v>78</v>
      </c>
      <c r="P126" s="9">
        <f t="shared" si="7"/>
        <v>3</v>
      </c>
      <c r="Q126" s="9" t="s">
        <v>78</v>
      </c>
      <c r="R126" s="9">
        <f t="shared" si="8"/>
        <v>3</v>
      </c>
      <c r="S126" s="9" t="s">
        <v>73</v>
      </c>
      <c r="T126" s="9">
        <f t="shared" si="9"/>
        <v>2</v>
      </c>
      <c r="U126" s="9" t="s">
        <v>74</v>
      </c>
      <c r="V126" s="9">
        <f t="shared" si="10"/>
        <v>1.5</v>
      </c>
      <c r="W126" s="9" t="s">
        <v>122</v>
      </c>
      <c r="X126" s="9">
        <f t="shared" si="11"/>
        <v>0</v>
      </c>
      <c r="Y126" s="9">
        <f t="shared" si="12"/>
        <v>0</v>
      </c>
      <c r="Z126" s="9">
        <f t="shared" si="13"/>
        <v>1</v>
      </c>
      <c r="AA126" s="9">
        <f t="shared" si="14"/>
        <v>0</v>
      </c>
      <c r="AB126" s="9" t="s">
        <v>73</v>
      </c>
      <c r="AC126" s="9">
        <f t="shared" si="15"/>
        <v>2</v>
      </c>
      <c r="AD126" s="9" t="s">
        <v>78</v>
      </c>
      <c r="AE126" s="9">
        <f t="shared" si="16"/>
        <v>3</v>
      </c>
      <c r="AF126" s="9" t="s">
        <v>76</v>
      </c>
      <c r="AG126" s="9">
        <f t="shared" si="17"/>
        <v>5.5</v>
      </c>
      <c r="AH126" s="9" t="s">
        <v>85</v>
      </c>
      <c r="AI126" s="9">
        <f t="shared" si="18"/>
        <v>4</v>
      </c>
      <c r="AJ126" s="9" t="s">
        <v>73</v>
      </c>
      <c r="AK126" s="9">
        <f t="shared" si="19"/>
        <v>2</v>
      </c>
      <c r="AL126" s="9" t="s">
        <v>85</v>
      </c>
      <c r="AM126" s="9">
        <f t="shared" si="20"/>
        <v>4</v>
      </c>
      <c r="AN126" s="9" t="s">
        <v>85</v>
      </c>
      <c r="AO126" s="9">
        <f t="shared" si="21"/>
        <v>4</v>
      </c>
      <c r="AP126" s="9" t="s">
        <v>85</v>
      </c>
      <c r="AQ126" s="9">
        <f t="shared" si="22"/>
        <v>4</v>
      </c>
      <c r="AR126" s="9" t="s">
        <v>85</v>
      </c>
      <c r="AS126" s="9">
        <f t="shared" si="23"/>
        <v>4</v>
      </c>
      <c r="AT126" s="9" t="s">
        <v>232</v>
      </c>
      <c r="AU126" s="9">
        <f t="shared" si="24"/>
        <v>1</v>
      </c>
      <c r="AV126" s="9">
        <f t="shared" si="25"/>
        <v>0</v>
      </c>
      <c r="AW126" s="9">
        <f t="shared" si="26"/>
        <v>0</v>
      </c>
      <c r="AX126" s="9">
        <f t="shared" si="27"/>
        <v>1</v>
      </c>
      <c r="AY126" s="9">
        <f t="shared" si="28"/>
        <v>1</v>
      </c>
      <c r="AZ126" s="9">
        <f t="shared" si="29"/>
        <v>0</v>
      </c>
      <c r="BA126" s="9">
        <f t="shared" si="30"/>
        <v>0</v>
      </c>
      <c r="BB126" s="9" t="s">
        <v>88</v>
      </c>
      <c r="BC126" s="9">
        <f t="shared" si="31"/>
        <v>2</v>
      </c>
      <c r="BD126" s="12"/>
      <c r="BE126" s="9" t="str">
        <f t="shared" si="44"/>
        <v>N/A</v>
      </c>
      <c r="BF126" s="9" t="s">
        <v>233</v>
      </c>
      <c r="BG126" s="9">
        <f t="shared" si="33"/>
        <v>1</v>
      </c>
      <c r="BH126" s="9">
        <f t="shared" si="34"/>
        <v>0</v>
      </c>
      <c r="BI126" s="9">
        <f t="shared" si="35"/>
        <v>1</v>
      </c>
      <c r="BJ126" s="9">
        <f t="shared" si="36"/>
        <v>0</v>
      </c>
      <c r="BK126" s="9">
        <f t="shared" si="37"/>
        <v>0</v>
      </c>
      <c r="BL126" s="9">
        <f t="shared" si="38"/>
        <v>1</v>
      </c>
      <c r="BM126" s="9">
        <f t="shared" si="39"/>
        <v>0</v>
      </c>
      <c r="BN126" s="9" t="s">
        <v>68</v>
      </c>
      <c r="BO126" s="11">
        <f t="shared" si="40"/>
        <v>1</v>
      </c>
    </row>
    <row r="127" ht="22.5" customHeight="1">
      <c r="A127" s="9">
        <f t="shared" si="41"/>
        <v>126</v>
      </c>
      <c r="B127" s="10">
        <v>46050.876811793976</v>
      </c>
      <c r="C127" s="9" t="s">
        <v>90</v>
      </c>
      <c r="D127" s="9">
        <f t="shared" si="1"/>
        <v>2</v>
      </c>
      <c r="E127" s="9" t="s">
        <v>68</v>
      </c>
      <c r="F127" s="9">
        <f t="shared" si="2"/>
        <v>1</v>
      </c>
      <c r="G127" s="9" t="s">
        <v>69</v>
      </c>
      <c r="H127" s="9" t="str">
        <f t="shared" si="3"/>
        <v>Rural</v>
      </c>
      <c r="I127" s="9">
        <f t="shared" si="4"/>
        <v>1</v>
      </c>
      <c r="J127" s="9" t="s">
        <v>70</v>
      </c>
      <c r="K127" s="9" t="s">
        <v>100</v>
      </c>
      <c r="L127" s="9">
        <f t="shared" si="5"/>
        <v>3</v>
      </c>
      <c r="M127" s="9" t="s">
        <v>76</v>
      </c>
      <c r="N127" s="9">
        <f t="shared" si="6"/>
        <v>5.5</v>
      </c>
      <c r="O127" s="9" t="s">
        <v>78</v>
      </c>
      <c r="P127" s="9">
        <f t="shared" si="7"/>
        <v>3</v>
      </c>
      <c r="Q127" s="9" t="s">
        <v>85</v>
      </c>
      <c r="R127" s="9">
        <f t="shared" si="8"/>
        <v>4</v>
      </c>
      <c r="S127" s="9" t="s">
        <v>78</v>
      </c>
      <c r="T127" s="9">
        <f t="shared" si="9"/>
        <v>3</v>
      </c>
      <c r="U127" s="9" t="s">
        <v>74</v>
      </c>
      <c r="V127" s="9">
        <f t="shared" si="10"/>
        <v>1.5</v>
      </c>
      <c r="W127" s="9" t="s">
        <v>105</v>
      </c>
      <c r="X127" s="9">
        <f t="shared" si="11"/>
        <v>1</v>
      </c>
      <c r="Y127" s="9">
        <f t="shared" si="12"/>
        <v>1</v>
      </c>
      <c r="Z127" s="9">
        <f t="shared" si="13"/>
        <v>0</v>
      </c>
      <c r="AA127" s="9">
        <f t="shared" si="14"/>
        <v>0</v>
      </c>
      <c r="AB127" s="9" t="s">
        <v>73</v>
      </c>
      <c r="AC127" s="9">
        <f t="shared" si="15"/>
        <v>2</v>
      </c>
      <c r="AD127" s="9" t="s">
        <v>73</v>
      </c>
      <c r="AE127" s="9">
        <f t="shared" si="16"/>
        <v>2</v>
      </c>
      <c r="AF127" s="9" t="s">
        <v>71</v>
      </c>
      <c r="AG127" s="9">
        <f t="shared" si="17"/>
        <v>7.7</v>
      </c>
      <c r="AH127" s="9" t="s">
        <v>85</v>
      </c>
      <c r="AI127" s="9">
        <f t="shared" si="18"/>
        <v>4</v>
      </c>
      <c r="AJ127" s="9" t="s">
        <v>73</v>
      </c>
      <c r="AK127" s="9">
        <f t="shared" si="19"/>
        <v>2</v>
      </c>
      <c r="AL127" s="9" t="s">
        <v>78</v>
      </c>
      <c r="AM127" s="9">
        <f t="shared" si="20"/>
        <v>3</v>
      </c>
      <c r="AN127" s="9" t="s">
        <v>85</v>
      </c>
      <c r="AO127" s="9">
        <f t="shared" si="21"/>
        <v>4</v>
      </c>
      <c r="AP127" s="9" t="s">
        <v>85</v>
      </c>
      <c r="AQ127" s="9">
        <f t="shared" si="22"/>
        <v>4</v>
      </c>
      <c r="AR127" s="9" t="s">
        <v>85</v>
      </c>
      <c r="AS127" s="9">
        <f t="shared" si="23"/>
        <v>4</v>
      </c>
      <c r="AT127" s="9" t="s">
        <v>234</v>
      </c>
      <c r="AU127" s="9">
        <f t="shared" si="24"/>
        <v>0</v>
      </c>
      <c r="AV127" s="9">
        <f t="shared" si="25"/>
        <v>0</v>
      </c>
      <c r="AW127" s="9">
        <f t="shared" si="26"/>
        <v>0</v>
      </c>
      <c r="AX127" s="9">
        <f t="shared" si="27"/>
        <v>1</v>
      </c>
      <c r="AY127" s="9">
        <f t="shared" si="28"/>
        <v>0</v>
      </c>
      <c r="AZ127" s="9">
        <f t="shared" si="29"/>
        <v>1</v>
      </c>
      <c r="BA127" s="9">
        <f t="shared" si="30"/>
        <v>0</v>
      </c>
      <c r="BB127" s="9" t="s">
        <v>88</v>
      </c>
      <c r="BC127" s="9">
        <f t="shared" si="31"/>
        <v>2</v>
      </c>
      <c r="BD127" s="12"/>
      <c r="BE127" s="9" t="str">
        <f t="shared" si="44"/>
        <v>N/A</v>
      </c>
      <c r="BF127" s="9" t="s">
        <v>235</v>
      </c>
      <c r="BG127" s="9">
        <f t="shared" si="33"/>
        <v>1</v>
      </c>
      <c r="BH127" s="9">
        <f t="shared" si="34"/>
        <v>0</v>
      </c>
      <c r="BI127" s="9">
        <f t="shared" si="35"/>
        <v>1</v>
      </c>
      <c r="BJ127" s="9">
        <f t="shared" si="36"/>
        <v>0</v>
      </c>
      <c r="BK127" s="9">
        <f t="shared" si="37"/>
        <v>1</v>
      </c>
      <c r="BL127" s="9">
        <f t="shared" si="38"/>
        <v>0</v>
      </c>
      <c r="BM127" s="9">
        <f t="shared" si="39"/>
        <v>0</v>
      </c>
      <c r="BN127" s="9" t="s">
        <v>68</v>
      </c>
      <c r="BO127" s="11">
        <f t="shared" si="40"/>
        <v>1</v>
      </c>
    </row>
    <row r="128" ht="22.5" customHeight="1">
      <c r="A128" s="9">
        <f t="shared" si="41"/>
        <v>127</v>
      </c>
      <c r="B128" s="10">
        <v>46050.87911494213</v>
      </c>
      <c r="C128" s="9" t="s">
        <v>90</v>
      </c>
      <c r="D128" s="9">
        <f t="shared" si="1"/>
        <v>2</v>
      </c>
      <c r="E128" s="9" t="s">
        <v>68</v>
      </c>
      <c r="F128" s="9">
        <f t="shared" si="2"/>
        <v>1</v>
      </c>
      <c r="G128" s="9" t="s">
        <v>82</v>
      </c>
      <c r="H128" s="9" t="str">
        <f t="shared" si="3"/>
        <v>Urban</v>
      </c>
      <c r="I128" s="9">
        <f t="shared" si="4"/>
        <v>2</v>
      </c>
      <c r="J128" s="9" t="s">
        <v>70</v>
      </c>
      <c r="K128" s="9" t="s">
        <v>100</v>
      </c>
      <c r="L128" s="9">
        <f t="shared" si="5"/>
        <v>3</v>
      </c>
      <c r="M128" s="9" t="s">
        <v>101</v>
      </c>
      <c r="N128" s="9">
        <f t="shared" si="6"/>
        <v>2</v>
      </c>
      <c r="O128" s="9" t="s">
        <v>73</v>
      </c>
      <c r="P128" s="9">
        <f t="shared" si="7"/>
        <v>2</v>
      </c>
      <c r="Q128" s="9" t="s">
        <v>85</v>
      </c>
      <c r="R128" s="9">
        <f t="shared" si="8"/>
        <v>4</v>
      </c>
      <c r="S128" s="9" t="s">
        <v>73</v>
      </c>
      <c r="T128" s="9">
        <f t="shared" si="9"/>
        <v>2</v>
      </c>
      <c r="U128" s="9" t="s">
        <v>96</v>
      </c>
      <c r="V128" s="9">
        <f t="shared" si="10"/>
        <v>2.5</v>
      </c>
      <c r="W128" s="9" t="s">
        <v>102</v>
      </c>
      <c r="X128" s="9">
        <f t="shared" si="11"/>
        <v>1</v>
      </c>
      <c r="Y128" s="9">
        <f t="shared" si="12"/>
        <v>1</v>
      </c>
      <c r="Z128" s="9">
        <f t="shared" si="13"/>
        <v>1</v>
      </c>
      <c r="AA128" s="9">
        <f t="shared" si="14"/>
        <v>1</v>
      </c>
      <c r="AB128" s="9" t="s">
        <v>78</v>
      </c>
      <c r="AC128" s="9">
        <f t="shared" si="15"/>
        <v>3</v>
      </c>
      <c r="AD128" s="9" t="s">
        <v>73</v>
      </c>
      <c r="AE128" s="9">
        <f t="shared" si="16"/>
        <v>2</v>
      </c>
      <c r="AF128" s="9" t="s">
        <v>71</v>
      </c>
      <c r="AG128" s="9">
        <f t="shared" si="17"/>
        <v>7.7</v>
      </c>
      <c r="AH128" s="9" t="s">
        <v>85</v>
      </c>
      <c r="AI128" s="9">
        <f t="shared" si="18"/>
        <v>4</v>
      </c>
      <c r="AJ128" s="9" t="s">
        <v>73</v>
      </c>
      <c r="AK128" s="9">
        <f t="shared" si="19"/>
        <v>2</v>
      </c>
      <c r="AL128" s="9" t="s">
        <v>73</v>
      </c>
      <c r="AM128" s="9">
        <f t="shared" si="20"/>
        <v>2</v>
      </c>
      <c r="AN128" s="9" t="s">
        <v>85</v>
      </c>
      <c r="AO128" s="9">
        <f t="shared" si="21"/>
        <v>4</v>
      </c>
      <c r="AP128" s="9" t="s">
        <v>85</v>
      </c>
      <c r="AQ128" s="9">
        <f t="shared" si="22"/>
        <v>4</v>
      </c>
      <c r="AR128" s="9" t="s">
        <v>85</v>
      </c>
      <c r="AS128" s="9">
        <f t="shared" si="23"/>
        <v>4</v>
      </c>
      <c r="AT128" s="9" t="s">
        <v>236</v>
      </c>
      <c r="AU128" s="9">
        <f t="shared" si="24"/>
        <v>0</v>
      </c>
      <c r="AV128" s="9">
        <f t="shared" si="25"/>
        <v>0</v>
      </c>
      <c r="AW128" s="9">
        <f t="shared" si="26"/>
        <v>0</v>
      </c>
      <c r="AX128" s="9">
        <f t="shared" si="27"/>
        <v>0</v>
      </c>
      <c r="AY128" s="9">
        <f t="shared" si="28"/>
        <v>0</v>
      </c>
      <c r="AZ128" s="9">
        <f t="shared" si="29"/>
        <v>1</v>
      </c>
      <c r="BA128" s="9">
        <f t="shared" si="30"/>
        <v>0</v>
      </c>
      <c r="BB128" s="9" t="s">
        <v>88</v>
      </c>
      <c r="BC128" s="9">
        <f t="shared" si="31"/>
        <v>2</v>
      </c>
      <c r="BD128" s="12"/>
      <c r="BE128" s="9" t="str">
        <f t="shared" si="44"/>
        <v>N/A</v>
      </c>
      <c r="BF128" s="9" t="s">
        <v>237</v>
      </c>
      <c r="BG128" s="9">
        <f t="shared" si="33"/>
        <v>0</v>
      </c>
      <c r="BH128" s="9">
        <f t="shared" si="34"/>
        <v>0</v>
      </c>
      <c r="BI128" s="9">
        <f t="shared" si="35"/>
        <v>1</v>
      </c>
      <c r="BJ128" s="9">
        <f t="shared" si="36"/>
        <v>1</v>
      </c>
      <c r="BK128" s="9">
        <f t="shared" si="37"/>
        <v>0</v>
      </c>
      <c r="BL128" s="9">
        <f t="shared" si="38"/>
        <v>1</v>
      </c>
      <c r="BM128" s="9">
        <f t="shared" si="39"/>
        <v>1</v>
      </c>
      <c r="BN128" s="9" t="s">
        <v>68</v>
      </c>
      <c r="BO128" s="11">
        <f t="shared" si="40"/>
        <v>1</v>
      </c>
    </row>
    <row r="129" ht="22.5" customHeight="1">
      <c r="A129" s="9">
        <f t="shared" si="41"/>
        <v>128</v>
      </c>
      <c r="B129" s="10">
        <v>46050.882623495374</v>
      </c>
      <c r="C129" s="9" t="s">
        <v>90</v>
      </c>
      <c r="D129" s="9">
        <f t="shared" si="1"/>
        <v>2</v>
      </c>
      <c r="E129" s="9" t="s">
        <v>68</v>
      </c>
      <c r="F129" s="9">
        <f t="shared" si="2"/>
        <v>1</v>
      </c>
      <c r="G129" s="9" t="s">
        <v>82</v>
      </c>
      <c r="H129" s="9" t="str">
        <f t="shared" si="3"/>
        <v>Urban</v>
      </c>
      <c r="I129" s="9">
        <f t="shared" si="4"/>
        <v>2</v>
      </c>
      <c r="J129" s="9" t="s">
        <v>70</v>
      </c>
      <c r="K129" s="9" t="s">
        <v>100</v>
      </c>
      <c r="L129" s="9">
        <f t="shared" si="5"/>
        <v>3</v>
      </c>
      <c r="M129" s="9" t="s">
        <v>76</v>
      </c>
      <c r="N129" s="9">
        <f t="shared" si="6"/>
        <v>5.5</v>
      </c>
      <c r="O129" s="9" t="s">
        <v>73</v>
      </c>
      <c r="P129" s="9">
        <f t="shared" si="7"/>
        <v>2</v>
      </c>
      <c r="Q129" s="9" t="s">
        <v>85</v>
      </c>
      <c r="R129" s="9">
        <f t="shared" si="8"/>
        <v>4</v>
      </c>
      <c r="S129" s="9" t="s">
        <v>78</v>
      </c>
      <c r="T129" s="9">
        <f t="shared" si="9"/>
        <v>3</v>
      </c>
      <c r="U129" s="9" t="s">
        <v>92</v>
      </c>
      <c r="V129" s="9">
        <f t="shared" si="10"/>
        <v>3.5</v>
      </c>
      <c r="W129" s="9" t="s">
        <v>93</v>
      </c>
      <c r="X129" s="9">
        <f t="shared" si="11"/>
        <v>0</v>
      </c>
      <c r="Y129" s="9">
        <f t="shared" si="12"/>
        <v>1</v>
      </c>
      <c r="Z129" s="9">
        <f t="shared" si="13"/>
        <v>0</v>
      </c>
      <c r="AA129" s="9">
        <f t="shared" si="14"/>
        <v>0</v>
      </c>
      <c r="AB129" s="9" t="s">
        <v>85</v>
      </c>
      <c r="AC129" s="9">
        <f t="shared" si="15"/>
        <v>4</v>
      </c>
      <c r="AD129" s="9" t="s">
        <v>78</v>
      </c>
      <c r="AE129" s="9">
        <f t="shared" si="16"/>
        <v>3</v>
      </c>
      <c r="AF129" s="9" t="s">
        <v>76</v>
      </c>
      <c r="AG129" s="9">
        <f t="shared" si="17"/>
        <v>5.5</v>
      </c>
      <c r="AH129" s="9" t="s">
        <v>78</v>
      </c>
      <c r="AI129" s="9">
        <f t="shared" si="18"/>
        <v>3</v>
      </c>
      <c r="AJ129" s="9" t="s">
        <v>73</v>
      </c>
      <c r="AK129" s="9">
        <f t="shared" si="19"/>
        <v>2</v>
      </c>
      <c r="AL129" s="12"/>
      <c r="AM129" s="9" t="str">
        <f t="shared" si="20"/>
        <v>N/A</v>
      </c>
      <c r="AN129" s="9" t="s">
        <v>78</v>
      </c>
      <c r="AO129" s="9">
        <f t="shared" si="21"/>
        <v>3</v>
      </c>
      <c r="AP129" s="9" t="s">
        <v>78</v>
      </c>
      <c r="AQ129" s="9">
        <f t="shared" si="22"/>
        <v>3</v>
      </c>
      <c r="AR129" s="9" t="s">
        <v>78</v>
      </c>
      <c r="AS129" s="9">
        <f t="shared" si="23"/>
        <v>3</v>
      </c>
      <c r="AT129" s="9" t="s">
        <v>147</v>
      </c>
      <c r="AU129" s="9">
        <f t="shared" si="24"/>
        <v>1</v>
      </c>
      <c r="AV129" s="9">
        <f t="shared" si="25"/>
        <v>0</v>
      </c>
      <c r="AW129" s="9">
        <f t="shared" si="26"/>
        <v>0</v>
      </c>
      <c r="AX129" s="9">
        <f t="shared" si="27"/>
        <v>0</v>
      </c>
      <c r="AY129" s="9">
        <f t="shared" si="28"/>
        <v>0</v>
      </c>
      <c r="AZ129" s="9">
        <f t="shared" si="29"/>
        <v>0</v>
      </c>
      <c r="BA129" s="9">
        <f t="shared" si="30"/>
        <v>0</v>
      </c>
      <c r="BB129" s="9" t="s">
        <v>88</v>
      </c>
      <c r="BC129" s="9">
        <f t="shared" si="31"/>
        <v>2</v>
      </c>
      <c r="BD129" s="12"/>
      <c r="BE129" s="9" t="str">
        <f t="shared" si="44"/>
        <v>N/A</v>
      </c>
      <c r="BF129" s="9" t="s">
        <v>107</v>
      </c>
      <c r="BG129" s="9">
        <f t="shared" si="33"/>
        <v>1</v>
      </c>
      <c r="BH129" s="9">
        <f t="shared" si="34"/>
        <v>0</v>
      </c>
      <c r="BI129" s="9">
        <f t="shared" si="35"/>
        <v>0</v>
      </c>
      <c r="BJ129" s="9">
        <f t="shared" si="36"/>
        <v>0</v>
      </c>
      <c r="BK129" s="9">
        <f t="shared" si="37"/>
        <v>0</v>
      </c>
      <c r="BL129" s="9">
        <f t="shared" si="38"/>
        <v>0</v>
      </c>
      <c r="BM129" s="9">
        <f t="shared" si="39"/>
        <v>0</v>
      </c>
      <c r="BN129" s="9" t="s">
        <v>108</v>
      </c>
      <c r="BO129" s="11">
        <f t="shared" si="40"/>
        <v>3</v>
      </c>
    </row>
    <row r="130" ht="22.5" customHeight="1">
      <c r="A130" s="9">
        <f t="shared" si="41"/>
        <v>129</v>
      </c>
      <c r="B130" s="10">
        <v>46050.88328430556</v>
      </c>
      <c r="C130" s="9" t="s">
        <v>90</v>
      </c>
      <c r="D130" s="9">
        <f t="shared" si="1"/>
        <v>2</v>
      </c>
      <c r="E130" s="9" t="s">
        <v>68</v>
      </c>
      <c r="F130" s="9">
        <f t="shared" si="2"/>
        <v>1</v>
      </c>
      <c r="G130" s="9" t="s">
        <v>69</v>
      </c>
      <c r="H130" s="9" t="str">
        <f t="shared" si="3"/>
        <v>Rural</v>
      </c>
      <c r="I130" s="9">
        <f t="shared" si="4"/>
        <v>1</v>
      </c>
      <c r="J130" s="9" t="s">
        <v>145</v>
      </c>
      <c r="K130" s="9" t="s">
        <v>146</v>
      </c>
      <c r="L130" s="9">
        <f t="shared" si="5"/>
        <v>1</v>
      </c>
      <c r="M130" s="9" t="s">
        <v>101</v>
      </c>
      <c r="N130" s="9">
        <f t="shared" si="6"/>
        <v>2</v>
      </c>
      <c r="O130" s="9" t="s">
        <v>78</v>
      </c>
      <c r="P130" s="9">
        <f t="shared" si="7"/>
        <v>3</v>
      </c>
      <c r="Q130" s="9" t="s">
        <v>85</v>
      </c>
      <c r="R130" s="9">
        <f t="shared" si="8"/>
        <v>4</v>
      </c>
      <c r="S130" s="9" t="s">
        <v>72</v>
      </c>
      <c r="T130" s="9">
        <f t="shared" si="9"/>
        <v>1</v>
      </c>
      <c r="U130" s="9" t="s">
        <v>74</v>
      </c>
      <c r="V130" s="9">
        <f t="shared" si="10"/>
        <v>1.5</v>
      </c>
      <c r="W130" s="9" t="s">
        <v>93</v>
      </c>
      <c r="X130" s="9">
        <f t="shared" si="11"/>
        <v>0</v>
      </c>
      <c r="Y130" s="9">
        <f t="shared" si="12"/>
        <v>1</v>
      </c>
      <c r="Z130" s="9">
        <f t="shared" si="13"/>
        <v>0</v>
      </c>
      <c r="AA130" s="9">
        <f t="shared" si="14"/>
        <v>0</v>
      </c>
      <c r="AB130" s="9" t="s">
        <v>72</v>
      </c>
      <c r="AC130" s="9">
        <f t="shared" si="15"/>
        <v>1</v>
      </c>
      <c r="AD130" s="9" t="s">
        <v>85</v>
      </c>
      <c r="AE130" s="9">
        <f t="shared" si="16"/>
        <v>4</v>
      </c>
      <c r="AF130" s="9" t="s">
        <v>71</v>
      </c>
      <c r="AG130" s="9">
        <f t="shared" si="17"/>
        <v>7.7</v>
      </c>
      <c r="AH130" s="9" t="s">
        <v>103</v>
      </c>
      <c r="AI130" s="9">
        <f t="shared" si="18"/>
        <v>5</v>
      </c>
      <c r="AJ130" s="9" t="s">
        <v>78</v>
      </c>
      <c r="AK130" s="9">
        <f t="shared" si="19"/>
        <v>3</v>
      </c>
      <c r="AL130" s="9" t="s">
        <v>85</v>
      </c>
      <c r="AM130" s="9">
        <f t="shared" si="20"/>
        <v>4</v>
      </c>
      <c r="AN130" s="9" t="s">
        <v>120</v>
      </c>
      <c r="AO130" s="9">
        <f t="shared" si="21"/>
        <v>5</v>
      </c>
      <c r="AP130" s="9" t="s">
        <v>78</v>
      </c>
      <c r="AQ130" s="9">
        <f t="shared" si="22"/>
        <v>3</v>
      </c>
      <c r="AR130" s="9" t="s">
        <v>78</v>
      </c>
      <c r="AS130" s="9">
        <f t="shared" si="23"/>
        <v>3</v>
      </c>
      <c r="AT130" s="9" t="s">
        <v>162</v>
      </c>
      <c r="AU130" s="9">
        <f t="shared" si="24"/>
        <v>0</v>
      </c>
      <c r="AV130" s="9">
        <f t="shared" si="25"/>
        <v>0</v>
      </c>
      <c r="AW130" s="9">
        <f t="shared" si="26"/>
        <v>0</v>
      </c>
      <c r="AX130" s="9">
        <f t="shared" si="27"/>
        <v>0</v>
      </c>
      <c r="AY130" s="9">
        <f t="shared" si="28"/>
        <v>0</v>
      </c>
      <c r="AZ130" s="9">
        <f t="shared" si="29"/>
        <v>1</v>
      </c>
      <c r="BA130" s="9">
        <f t="shared" si="30"/>
        <v>0</v>
      </c>
      <c r="BB130" s="9" t="s">
        <v>88</v>
      </c>
      <c r="BC130" s="9">
        <f t="shared" si="31"/>
        <v>2</v>
      </c>
      <c r="BD130" s="12"/>
      <c r="BE130" s="9" t="str">
        <f t="shared" si="44"/>
        <v>N/A</v>
      </c>
      <c r="BF130" s="9" t="s">
        <v>107</v>
      </c>
      <c r="BG130" s="9">
        <f t="shared" si="33"/>
        <v>1</v>
      </c>
      <c r="BH130" s="9">
        <f t="shared" si="34"/>
        <v>0</v>
      </c>
      <c r="BI130" s="9">
        <f t="shared" si="35"/>
        <v>0</v>
      </c>
      <c r="BJ130" s="9">
        <f t="shared" si="36"/>
        <v>0</v>
      </c>
      <c r="BK130" s="9">
        <f t="shared" si="37"/>
        <v>0</v>
      </c>
      <c r="BL130" s="9">
        <f t="shared" si="38"/>
        <v>0</v>
      </c>
      <c r="BM130" s="9">
        <f t="shared" si="39"/>
        <v>0</v>
      </c>
      <c r="BN130" s="9" t="s">
        <v>108</v>
      </c>
      <c r="BO130" s="11">
        <f t="shared" si="40"/>
        <v>3</v>
      </c>
    </row>
    <row r="131" ht="22.5" customHeight="1">
      <c r="A131" s="9">
        <f t="shared" si="41"/>
        <v>130</v>
      </c>
      <c r="B131" s="10">
        <v>46050.883839421294</v>
      </c>
      <c r="C131" s="9" t="s">
        <v>67</v>
      </c>
      <c r="D131" s="9">
        <f t="shared" si="1"/>
        <v>1</v>
      </c>
      <c r="E131" s="9" t="s">
        <v>68</v>
      </c>
      <c r="F131" s="9">
        <f t="shared" si="2"/>
        <v>1</v>
      </c>
      <c r="G131" s="9" t="s">
        <v>91</v>
      </c>
      <c r="H131" s="9" t="str">
        <f t="shared" si="3"/>
        <v>Urban</v>
      </c>
      <c r="I131" s="9">
        <f t="shared" si="4"/>
        <v>2</v>
      </c>
      <c r="J131" s="9" t="s">
        <v>70</v>
      </c>
      <c r="K131" s="9" t="s">
        <v>100</v>
      </c>
      <c r="L131" s="9">
        <f t="shared" si="5"/>
        <v>3</v>
      </c>
      <c r="M131" s="9" t="s">
        <v>109</v>
      </c>
      <c r="N131" s="9">
        <f t="shared" si="6"/>
        <v>9</v>
      </c>
      <c r="O131" s="9" t="s">
        <v>73</v>
      </c>
      <c r="P131" s="9">
        <f t="shared" si="7"/>
        <v>2</v>
      </c>
      <c r="Q131" s="9" t="s">
        <v>85</v>
      </c>
      <c r="R131" s="9">
        <f t="shared" si="8"/>
        <v>4</v>
      </c>
      <c r="S131" s="9" t="s">
        <v>73</v>
      </c>
      <c r="T131" s="9">
        <f t="shared" si="9"/>
        <v>2</v>
      </c>
      <c r="U131" s="9" t="s">
        <v>110</v>
      </c>
      <c r="V131" s="9">
        <f t="shared" si="10"/>
        <v>0.75</v>
      </c>
      <c r="W131" s="9" t="s">
        <v>105</v>
      </c>
      <c r="X131" s="9">
        <f t="shared" si="11"/>
        <v>1</v>
      </c>
      <c r="Y131" s="9">
        <f t="shared" si="12"/>
        <v>1</v>
      </c>
      <c r="Z131" s="9">
        <f t="shared" si="13"/>
        <v>0</v>
      </c>
      <c r="AA131" s="9">
        <f t="shared" si="14"/>
        <v>0</v>
      </c>
      <c r="AB131" s="9" t="s">
        <v>78</v>
      </c>
      <c r="AC131" s="9">
        <f t="shared" si="15"/>
        <v>3</v>
      </c>
      <c r="AD131" s="9" t="s">
        <v>78</v>
      </c>
      <c r="AE131" s="9">
        <f t="shared" si="16"/>
        <v>3</v>
      </c>
      <c r="AF131" s="9" t="s">
        <v>76</v>
      </c>
      <c r="AG131" s="9">
        <f t="shared" si="17"/>
        <v>5.5</v>
      </c>
      <c r="AH131" s="9" t="s">
        <v>78</v>
      </c>
      <c r="AI131" s="9">
        <f t="shared" si="18"/>
        <v>3</v>
      </c>
      <c r="AJ131" s="9" t="s">
        <v>78</v>
      </c>
      <c r="AK131" s="9">
        <f t="shared" si="19"/>
        <v>3</v>
      </c>
      <c r="AL131" s="9" t="s">
        <v>85</v>
      </c>
      <c r="AM131" s="9">
        <f t="shared" si="20"/>
        <v>4</v>
      </c>
      <c r="AN131" s="9" t="s">
        <v>85</v>
      </c>
      <c r="AO131" s="9">
        <f t="shared" si="21"/>
        <v>4</v>
      </c>
      <c r="AP131" s="9" t="s">
        <v>120</v>
      </c>
      <c r="AQ131" s="9">
        <f t="shared" si="22"/>
        <v>5</v>
      </c>
      <c r="AR131" s="9" t="s">
        <v>85</v>
      </c>
      <c r="AS131" s="9">
        <f t="shared" si="23"/>
        <v>4</v>
      </c>
      <c r="AT131" s="9" t="s">
        <v>238</v>
      </c>
      <c r="AU131" s="9">
        <f t="shared" si="24"/>
        <v>1</v>
      </c>
      <c r="AV131" s="9">
        <f t="shared" si="25"/>
        <v>0</v>
      </c>
      <c r="AW131" s="9">
        <f t="shared" si="26"/>
        <v>0</v>
      </c>
      <c r="AX131" s="9">
        <f t="shared" si="27"/>
        <v>1</v>
      </c>
      <c r="AY131" s="9">
        <f t="shared" si="28"/>
        <v>0</v>
      </c>
      <c r="AZ131" s="9">
        <f t="shared" si="29"/>
        <v>1</v>
      </c>
      <c r="BA131" s="9">
        <f t="shared" si="30"/>
        <v>0</v>
      </c>
      <c r="BB131" s="9" t="s">
        <v>88</v>
      </c>
      <c r="BC131" s="9">
        <f t="shared" si="31"/>
        <v>2</v>
      </c>
      <c r="BD131" s="12"/>
      <c r="BE131" s="9" t="str">
        <f t="shared" si="44"/>
        <v>N/A</v>
      </c>
      <c r="BF131" s="9" t="s">
        <v>206</v>
      </c>
      <c r="BG131" s="9">
        <f t="shared" si="33"/>
        <v>1</v>
      </c>
      <c r="BH131" s="9">
        <f t="shared" si="34"/>
        <v>0</v>
      </c>
      <c r="BI131" s="9">
        <f t="shared" si="35"/>
        <v>0</v>
      </c>
      <c r="BJ131" s="9">
        <f t="shared" si="36"/>
        <v>1</v>
      </c>
      <c r="BK131" s="9">
        <f t="shared" si="37"/>
        <v>0</v>
      </c>
      <c r="BL131" s="9">
        <f t="shared" si="38"/>
        <v>0</v>
      </c>
      <c r="BM131" s="9">
        <f t="shared" si="39"/>
        <v>0</v>
      </c>
      <c r="BN131" s="9" t="s">
        <v>68</v>
      </c>
      <c r="BO131" s="11">
        <f t="shared" si="40"/>
        <v>1</v>
      </c>
    </row>
    <row r="132" ht="22.5" customHeight="1">
      <c r="A132" s="9">
        <f t="shared" si="41"/>
        <v>131</v>
      </c>
      <c r="B132" s="10">
        <v>46050.88514663195</v>
      </c>
      <c r="C132" s="9" t="s">
        <v>90</v>
      </c>
      <c r="D132" s="9">
        <f t="shared" si="1"/>
        <v>2</v>
      </c>
      <c r="E132" s="9" t="s">
        <v>68</v>
      </c>
      <c r="F132" s="9">
        <f t="shared" si="2"/>
        <v>1</v>
      </c>
      <c r="G132" s="9" t="s">
        <v>91</v>
      </c>
      <c r="H132" s="9" t="str">
        <f t="shared" si="3"/>
        <v>Urban</v>
      </c>
      <c r="I132" s="9">
        <f t="shared" si="4"/>
        <v>2</v>
      </c>
      <c r="J132" s="9" t="s">
        <v>70</v>
      </c>
      <c r="K132" s="9" t="s">
        <v>100</v>
      </c>
      <c r="L132" s="9">
        <f t="shared" si="5"/>
        <v>3</v>
      </c>
      <c r="M132" s="9" t="s">
        <v>71</v>
      </c>
      <c r="N132" s="9">
        <f t="shared" si="6"/>
        <v>7.7</v>
      </c>
      <c r="O132" s="9" t="s">
        <v>78</v>
      </c>
      <c r="P132" s="9">
        <f t="shared" si="7"/>
        <v>3</v>
      </c>
      <c r="Q132" s="9" t="s">
        <v>85</v>
      </c>
      <c r="R132" s="9">
        <f t="shared" si="8"/>
        <v>4</v>
      </c>
      <c r="S132" s="9" t="s">
        <v>78</v>
      </c>
      <c r="T132" s="9">
        <f t="shared" si="9"/>
        <v>3</v>
      </c>
      <c r="U132" s="9" t="s">
        <v>96</v>
      </c>
      <c r="V132" s="9">
        <f t="shared" si="10"/>
        <v>2.5</v>
      </c>
      <c r="W132" s="9" t="s">
        <v>102</v>
      </c>
      <c r="X132" s="9">
        <f t="shared" si="11"/>
        <v>1</v>
      </c>
      <c r="Y132" s="9">
        <f t="shared" si="12"/>
        <v>1</v>
      </c>
      <c r="Z132" s="9">
        <f t="shared" si="13"/>
        <v>1</v>
      </c>
      <c r="AA132" s="9">
        <f t="shared" si="14"/>
        <v>1</v>
      </c>
      <c r="AB132" s="9" t="s">
        <v>73</v>
      </c>
      <c r="AC132" s="9">
        <f t="shared" si="15"/>
        <v>2</v>
      </c>
      <c r="AD132" s="9" t="s">
        <v>73</v>
      </c>
      <c r="AE132" s="9">
        <f t="shared" si="16"/>
        <v>2</v>
      </c>
      <c r="AF132" s="9" t="s">
        <v>71</v>
      </c>
      <c r="AG132" s="9">
        <f t="shared" si="17"/>
        <v>7.7</v>
      </c>
      <c r="AH132" s="9" t="s">
        <v>85</v>
      </c>
      <c r="AI132" s="9">
        <f t="shared" si="18"/>
        <v>4</v>
      </c>
      <c r="AJ132" s="9" t="s">
        <v>78</v>
      </c>
      <c r="AK132" s="9">
        <f t="shared" si="19"/>
        <v>3</v>
      </c>
      <c r="AL132" s="9" t="s">
        <v>73</v>
      </c>
      <c r="AM132" s="9">
        <f t="shared" si="20"/>
        <v>2</v>
      </c>
      <c r="AN132" s="9" t="s">
        <v>85</v>
      </c>
      <c r="AO132" s="9">
        <f t="shared" si="21"/>
        <v>4</v>
      </c>
      <c r="AP132" s="9" t="s">
        <v>78</v>
      </c>
      <c r="AQ132" s="9">
        <f t="shared" si="22"/>
        <v>3</v>
      </c>
      <c r="AR132" s="9" t="s">
        <v>85</v>
      </c>
      <c r="AS132" s="9">
        <f t="shared" si="23"/>
        <v>4</v>
      </c>
      <c r="AT132" s="9" t="s">
        <v>239</v>
      </c>
      <c r="AU132" s="9">
        <f t="shared" si="24"/>
        <v>1</v>
      </c>
      <c r="AV132" s="9">
        <f t="shared" si="25"/>
        <v>1</v>
      </c>
      <c r="AW132" s="9">
        <f t="shared" si="26"/>
        <v>0</v>
      </c>
      <c r="AX132" s="9">
        <f t="shared" si="27"/>
        <v>0</v>
      </c>
      <c r="AY132" s="9">
        <f t="shared" si="28"/>
        <v>0</v>
      </c>
      <c r="AZ132" s="9">
        <f t="shared" si="29"/>
        <v>1</v>
      </c>
      <c r="BA132" s="9">
        <f t="shared" si="30"/>
        <v>1</v>
      </c>
      <c r="BB132" s="9" t="s">
        <v>88</v>
      </c>
      <c r="BC132" s="9">
        <f t="shared" si="31"/>
        <v>2</v>
      </c>
      <c r="BD132" s="12"/>
      <c r="BE132" s="9" t="str">
        <f t="shared" si="44"/>
        <v>N/A</v>
      </c>
      <c r="BF132" s="9" t="s">
        <v>124</v>
      </c>
      <c r="BG132" s="9">
        <f t="shared" si="33"/>
        <v>1</v>
      </c>
      <c r="BH132" s="9">
        <f t="shared" si="34"/>
        <v>0</v>
      </c>
      <c r="BI132" s="9">
        <f t="shared" si="35"/>
        <v>1</v>
      </c>
      <c r="BJ132" s="9">
        <f t="shared" si="36"/>
        <v>0</v>
      </c>
      <c r="BK132" s="9">
        <f t="shared" si="37"/>
        <v>0</v>
      </c>
      <c r="BL132" s="9">
        <f t="shared" si="38"/>
        <v>0</v>
      </c>
      <c r="BM132" s="9">
        <f t="shared" si="39"/>
        <v>0</v>
      </c>
      <c r="BN132" s="9" t="s">
        <v>108</v>
      </c>
      <c r="BO132" s="11">
        <f t="shared" si="40"/>
        <v>3</v>
      </c>
    </row>
    <row r="133" ht="22.5" customHeight="1">
      <c r="A133" s="9">
        <f t="shared" si="41"/>
        <v>132</v>
      </c>
      <c r="B133" s="10">
        <v>46050.892669050925</v>
      </c>
      <c r="C133" s="9" t="s">
        <v>67</v>
      </c>
      <c r="D133" s="9">
        <f t="shared" si="1"/>
        <v>1</v>
      </c>
      <c r="E133" s="9" t="s">
        <v>68</v>
      </c>
      <c r="F133" s="9">
        <f t="shared" si="2"/>
        <v>1</v>
      </c>
      <c r="G133" s="9" t="s">
        <v>82</v>
      </c>
      <c r="H133" s="9" t="str">
        <f t="shared" si="3"/>
        <v>Urban</v>
      </c>
      <c r="I133" s="9">
        <f t="shared" si="4"/>
        <v>2</v>
      </c>
      <c r="J133" s="9" t="s">
        <v>145</v>
      </c>
      <c r="K133" s="9" t="s">
        <v>146</v>
      </c>
      <c r="L133" s="9">
        <f t="shared" si="5"/>
        <v>1</v>
      </c>
      <c r="M133" s="9" t="s">
        <v>101</v>
      </c>
      <c r="N133" s="9">
        <f t="shared" si="6"/>
        <v>2</v>
      </c>
      <c r="O133" s="9" t="s">
        <v>78</v>
      </c>
      <c r="P133" s="9">
        <f t="shared" si="7"/>
        <v>3</v>
      </c>
      <c r="Q133" s="9" t="s">
        <v>73</v>
      </c>
      <c r="R133" s="9">
        <f t="shared" si="8"/>
        <v>2</v>
      </c>
      <c r="S133" s="9" t="s">
        <v>78</v>
      </c>
      <c r="T133" s="9">
        <f t="shared" si="9"/>
        <v>3</v>
      </c>
      <c r="U133" s="9" t="s">
        <v>92</v>
      </c>
      <c r="V133" s="9">
        <f t="shared" si="10"/>
        <v>3.5</v>
      </c>
      <c r="W133" s="9" t="s">
        <v>180</v>
      </c>
      <c r="X133" s="9">
        <f t="shared" si="11"/>
        <v>0</v>
      </c>
      <c r="Y133" s="9">
        <f t="shared" si="12"/>
        <v>1</v>
      </c>
      <c r="Z133" s="9">
        <f t="shared" si="13"/>
        <v>1</v>
      </c>
      <c r="AA133" s="9">
        <f t="shared" si="14"/>
        <v>0</v>
      </c>
      <c r="AB133" s="9" t="s">
        <v>85</v>
      </c>
      <c r="AC133" s="9">
        <f t="shared" si="15"/>
        <v>4</v>
      </c>
      <c r="AD133" s="9" t="s">
        <v>85</v>
      </c>
      <c r="AE133" s="9">
        <f t="shared" si="16"/>
        <v>4</v>
      </c>
      <c r="AF133" s="9" t="s">
        <v>76</v>
      </c>
      <c r="AG133" s="9">
        <f t="shared" si="17"/>
        <v>5.5</v>
      </c>
      <c r="AH133" s="9" t="s">
        <v>73</v>
      </c>
      <c r="AI133" s="9">
        <f t="shared" si="18"/>
        <v>2</v>
      </c>
      <c r="AJ133" s="9" t="s">
        <v>77</v>
      </c>
      <c r="AK133" s="9">
        <f t="shared" si="19"/>
        <v>1</v>
      </c>
      <c r="AL133" s="9" t="s">
        <v>77</v>
      </c>
      <c r="AM133" s="9">
        <f t="shared" si="20"/>
        <v>1</v>
      </c>
      <c r="AN133" s="9" t="s">
        <v>77</v>
      </c>
      <c r="AO133" s="9">
        <f t="shared" si="21"/>
        <v>1</v>
      </c>
      <c r="AP133" s="9" t="s">
        <v>77</v>
      </c>
      <c r="AQ133" s="9">
        <f t="shared" si="22"/>
        <v>1</v>
      </c>
      <c r="AR133" s="9" t="s">
        <v>78</v>
      </c>
      <c r="AS133" s="9">
        <f t="shared" si="23"/>
        <v>3</v>
      </c>
      <c r="AT133" s="9" t="s">
        <v>131</v>
      </c>
      <c r="AU133" s="9">
        <f t="shared" si="24"/>
        <v>1</v>
      </c>
      <c r="AV133" s="9">
        <f t="shared" si="25"/>
        <v>1</v>
      </c>
      <c r="AW133" s="9">
        <f t="shared" si="26"/>
        <v>0</v>
      </c>
      <c r="AX133" s="9">
        <f t="shared" si="27"/>
        <v>0</v>
      </c>
      <c r="AY133" s="9">
        <f t="shared" si="28"/>
        <v>0</v>
      </c>
      <c r="AZ133" s="9">
        <f t="shared" si="29"/>
        <v>1</v>
      </c>
      <c r="BA133" s="9">
        <f t="shared" si="30"/>
        <v>0</v>
      </c>
      <c r="BB133" s="9" t="s">
        <v>88</v>
      </c>
      <c r="BC133" s="9">
        <f t="shared" si="31"/>
        <v>2</v>
      </c>
      <c r="BD133" s="12"/>
      <c r="BE133" s="9" t="str">
        <f t="shared" si="44"/>
        <v>N/A</v>
      </c>
      <c r="BF133" s="9" t="s">
        <v>240</v>
      </c>
      <c r="BG133" s="9">
        <f t="shared" si="33"/>
        <v>0</v>
      </c>
      <c r="BH133" s="9">
        <f t="shared" si="34"/>
        <v>1</v>
      </c>
      <c r="BI133" s="9">
        <f t="shared" si="35"/>
        <v>1</v>
      </c>
      <c r="BJ133" s="9">
        <f t="shared" si="36"/>
        <v>0</v>
      </c>
      <c r="BK133" s="9">
        <f t="shared" si="37"/>
        <v>0</v>
      </c>
      <c r="BL133" s="9">
        <f t="shared" si="38"/>
        <v>0</v>
      </c>
      <c r="BM133" s="9">
        <f t="shared" si="39"/>
        <v>1</v>
      </c>
      <c r="BN133" s="9" t="s">
        <v>68</v>
      </c>
      <c r="BO133" s="11">
        <f t="shared" si="40"/>
        <v>1</v>
      </c>
    </row>
    <row r="134" ht="22.5" customHeight="1">
      <c r="A134" s="9">
        <f t="shared" si="41"/>
        <v>133</v>
      </c>
      <c r="B134" s="10">
        <v>46050.89851719908</v>
      </c>
      <c r="C134" s="9" t="s">
        <v>90</v>
      </c>
      <c r="D134" s="9">
        <f t="shared" si="1"/>
        <v>2</v>
      </c>
      <c r="E134" s="9" t="s">
        <v>68</v>
      </c>
      <c r="F134" s="9">
        <f t="shared" si="2"/>
        <v>1</v>
      </c>
      <c r="G134" s="9" t="s">
        <v>91</v>
      </c>
      <c r="H134" s="9" t="str">
        <f t="shared" si="3"/>
        <v>Urban</v>
      </c>
      <c r="I134" s="9">
        <f t="shared" si="4"/>
        <v>2</v>
      </c>
      <c r="J134" s="9" t="s">
        <v>70</v>
      </c>
      <c r="K134" s="9" t="s">
        <v>100</v>
      </c>
      <c r="L134" s="9">
        <f t="shared" si="5"/>
        <v>3</v>
      </c>
      <c r="M134" s="9" t="s">
        <v>109</v>
      </c>
      <c r="N134" s="9">
        <f t="shared" si="6"/>
        <v>9</v>
      </c>
      <c r="O134" s="9" t="s">
        <v>78</v>
      </c>
      <c r="P134" s="9">
        <f t="shared" si="7"/>
        <v>3</v>
      </c>
      <c r="Q134" s="9" t="s">
        <v>73</v>
      </c>
      <c r="R134" s="9">
        <f t="shared" si="8"/>
        <v>2</v>
      </c>
      <c r="S134" s="9" t="s">
        <v>78</v>
      </c>
      <c r="T134" s="9">
        <f t="shared" si="9"/>
        <v>3</v>
      </c>
      <c r="U134" s="9" t="s">
        <v>110</v>
      </c>
      <c r="V134" s="9">
        <f t="shared" si="10"/>
        <v>0.75</v>
      </c>
      <c r="W134" s="9" t="s">
        <v>93</v>
      </c>
      <c r="X134" s="9">
        <f t="shared" si="11"/>
        <v>0</v>
      </c>
      <c r="Y134" s="9">
        <f t="shared" si="12"/>
        <v>1</v>
      </c>
      <c r="Z134" s="9">
        <f t="shared" si="13"/>
        <v>0</v>
      </c>
      <c r="AA134" s="9">
        <f t="shared" si="14"/>
        <v>0</v>
      </c>
      <c r="AB134" s="9" t="s">
        <v>78</v>
      </c>
      <c r="AC134" s="9">
        <f t="shared" si="15"/>
        <v>3</v>
      </c>
      <c r="AD134" s="9" t="s">
        <v>85</v>
      </c>
      <c r="AE134" s="9">
        <f t="shared" si="16"/>
        <v>4</v>
      </c>
      <c r="AF134" s="9" t="s">
        <v>76</v>
      </c>
      <c r="AG134" s="9">
        <f t="shared" si="17"/>
        <v>5.5</v>
      </c>
      <c r="AH134" s="9" t="s">
        <v>78</v>
      </c>
      <c r="AI134" s="9">
        <f t="shared" si="18"/>
        <v>3</v>
      </c>
      <c r="AJ134" s="9" t="s">
        <v>73</v>
      </c>
      <c r="AK134" s="9">
        <f t="shared" si="19"/>
        <v>2</v>
      </c>
      <c r="AL134" s="9" t="s">
        <v>77</v>
      </c>
      <c r="AM134" s="9">
        <f t="shared" si="20"/>
        <v>1</v>
      </c>
      <c r="AN134" s="9" t="s">
        <v>73</v>
      </c>
      <c r="AO134" s="9">
        <f t="shared" si="21"/>
        <v>2</v>
      </c>
      <c r="AP134" s="9" t="s">
        <v>73</v>
      </c>
      <c r="AQ134" s="9">
        <f t="shared" si="22"/>
        <v>2</v>
      </c>
      <c r="AR134" s="9" t="s">
        <v>78</v>
      </c>
      <c r="AS134" s="9">
        <f t="shared" si="23"/>
        <v>3</v>
      </c>
      <c r="AT134" s="9" t="s">
        <v>137</v>
      </c>
      <c r="AU134" s="9">
        <f t="shared" si="24"/>
        <v>1</v>
      </c>
      <c r="AV134" s="9">
        <f t="shared" si="25"/>
        <v>0</v>
      </c>
      <c r="AW134" s="9">
        <f t="shared" si="26"/>
        <v>0</v>
      </c>
      <c r="AX134" s="9">
        <f t="shared" si="27"/>
        <v>1</v>
      </c>
      <c r="AY134" s="9">
        <f t="shared" si="28"/>
        <v>0</v>
      </c>
      <c r="AZ134" s="9">
        <f t="shared" si="29"/>
        <v>0</v>
      </c>
      <c r="BA134" s="9">
        <f t="shared" si="30"/>
        <v>0</v>
      </c>
      <c r="BB134" s="9" t="s">
        <v>88</v>
      </c>
      <c r="BC134" s="9">
        <f t="shared" si="31"/>
        <v>2</v>
      </c>
      <c r="BD134" s="12"/>
      <c r="BE134" s="9" t="str">
        <f t="shared" si="44"/>
        <v>N/A</v>
      </c>
      <c r="BF134" s="9" t="s">
        <v>95</v>
      </c>
      <c r="BG134" s="9">
        <f t="shared" si="33"/>
        <v>1</v>
      </c>
      <c r="BH134" s="9">
        <f t="shared" si="34"/>
        <v>0</v>
      </c>
      <c r="BI134" s="9">
        <f t="shared" si="35"/>
        <v>1</v>
      </c>
      <c r="BJ134" s="9">
        <f t="shared" si="36"/>
        <v>1</v>
      </c>
      <c r="BK134" s="9">
        <f t="shared" si="37"/>
        <v>0</v>
      </c>
      <c r="BL134" s="9">
        <f t="shared" si="38"/>
        <v>0</v>
      </c>
      <c r="BM134" s="9">
        <f t="shared" si="39"/>
        <v>0</v>
      </c>
      <c r="BN134" s="9" t="s">
        <v>68</v>
      </c>
      <c r="BO134" s="11">
        <f t="shared" si="40"/>
        <v>1</v>
      </c>
    </row>
    <row r="135" ht="22.5" customHeight="1">
      <c r="A135" s="9">
        <f t="shared" si="41"/>
        <v>134</v>
      </c>
      <c r="B135" s="10">
        <v>46050.898672048614</v>
      </c>
      <c r="C135" s="9" t="s">
        <v>90</v>
      </c>
      <c r="D135" s="9">
        <f t="shared" si="1"/>
        <v>2</v>
      </c>
      <c r="E135" s="9" t="s">
        <v>68</v>
      </c>
      <c r="F135" s="9">
        <f t="shared" si="2"/>
        <v>1</v>
      </c>
      <c r="G135" s="9" t="s">
        <v>91</v>
      </c>
      <c r="H135" s="9" t="str">
        <f t="shared" si="3"/>
        <v>Urban</v>
      </c>
      <c r="I135" s="9">
        <f t="shared" si="4"/>
        <v>2</v>
      </c>
      <c r="J135" s="9" t="s">
        <v>145</v>
      </c>
      <c r="K135" s="9" t="s">
        <v>146</v>
      </c>
      <c r="L135" s="9">
        <f t="shared" si="5"/>
        <v>1</v>
      </c>
      <c r="M135" s="9" t="s">
        <v>109</v>
      </c>
      <c r="N135" s="9">
        <f t="shared" si="6"/>
        <v>9</v>
      </c>
      <c r="O135" s="9" t="s">
        <v>73</v>
      </c>
      <c r="P135" s="9">
        <f t="shared" si="7"/>
        <v>2</v>
      </c>
      <c r="Q135" s="9" t="s">
        <v>73</v>
      </c>
      <c r="R135" s="9">
        <f t="shared" si="8"/>
        <v>2</v>
      </c>
      <c r="S135" s="9" t="s">
        <v>73</v>
      </c>
      <c r="T135" s="9">
        <f t="shared" si="9"/>
        <v>2</v>
      </c>
      <c r="U135" s="9" t="s">
        <v>74</v>
      </c>
      <c r="V135" s="9">
        <f t="shared" si="10"/>
        <v>1.5</v>
      </c>
      <c r="W135" s="9" t="s">
        <v>93</v>
      </c>
      <c r="X135" s="9">
        <f t="shared" si="11"/>
        <v>0</v>
      </c>
      <c r="Y135" s="9">
        <f t="shared" si="12"/>
        <v>1</v>
      </c>
      <c r="Z135" s="9">
        <f t="shared" si="13"/>
        <v>0</v>
      </c>
      <c r="AA135" s="9">
        <f t="shared" si="14"/>
        <v>0</v>
      </c>
      <c r="AB135" s="9" t="s">
        <v>73</v>
      </c>
      <c r="AC135" s="9">
        <f t="shared" si="15"/>
        <v>2</v>
      </c>
      <c r="AD135" s="9" t="s">
        <v>73</v>
      </c>
      <c r="AE135" s="9">
        <f t="shared" si="16"/>
        <v>2</v>
      </c>
      <c r="AF135" s="9" t="s">
        <v>76</v>
      </c>
      <c r="AG135" s="9">
        <f t="shared" si="17"/>
        <v>5.5</v>
      </c>
      <c r="AH135" s="9" t="s">
        <v>78</v>
      </c>
      <c r="AI135" s="9">
        <f t="shared" si="18"/>
        <v>3</v>
      </c>
      <c r="AJ135" s="9" t="s">
        <v>78</v>
      </c>
      <c r="AK135" s="9">
        <f t="shared" si="19"/>
        <v>3</v>
      </c>
      <c r="AL135" s="9" t="s">
        <v>73</v>
      </c>
      <c r="AM135" s="9">
        <f t="shared" si="20"/>
        <v>2</v>
      </c>
      <c r="AN135" s="9" t="s">
        <v>73</v>
      </c>
      <c r="AO135" s="9">
        <f t="shared" si="21"/>
        <v>2</v>
      </c>
      <c r="AP135" s="9" t="s">
        <v>73</v>
      </c>
      <c r="AQ135" s="9">
        <f t="shared" si="22"/>
        <v>2</v>
      </c>
      <c r="AR135" s="9" t="s">
        <v>78</v>
      </c>
      <c r="AS135" s="9">
        <f t="shared" si="23"/>
        <v>3</v>
      </c>
      <c r="AT135" s="9" t="s">
        <v>133</v>
      </c>
      <c r="AU135" s="9">
        <f t="shared" si="24"/>
        <v>0</v>
      </c>
      <c r="AV135" s="9">
        <f t="shared" si="25"/>
        <v>1</v>
      </c>
      <c r="AW135" s="9">
        <f t="shared" si="26"/>
        <v>0</v>
      </c>
      <c r="AX135" s="9">
        <f t="shared" si="27"/>
        <v>0</v>
      </c>
      <c r="AY135" s="9">
        <f t="shared" si="28"/>
        <v>0</v>
      </c>
      <c r="AZ135" s="9">
        <f t="shared" si="29"/>
        <v>0</v>
      </c>
      <c r="BA135" s="9">
        <f t="shared" si="30"/>
        <v>0</v>
      </c>
      <c r="BB135" s="9" t="s">
        <v>88</v>
      </c>
      <c r="BC135" s="9">
        <f t="shared" si="31"/>
        <v>2</v>
      </c>
      <c r="BD135" s="12"/>
      <c r="BE135" s="9" t="str">
        <f t="shared" si="44"/>
        <v>N/A</v>
      </c>
      <c r="BF135" s="9" t="s">
        <v>224</v>
      </c>
      <c r="BG135" s="9">
        <f t="shared" si="33"/>
        <v>0</v>
      </c>
      <c r="BH135" s="9">
        <f t="shared" si="34"/>
        <v>0</v>
      </c>
      <c r="BI135" s="9">
        <f t="shared" si="35"/>
        <v>1</v>
      </c>
      <c r="BJ135" s="9">
        <f t="shared" si="36"/>
        <v>0</v>
      </c>
      <c r="BK135" s="9">
        <f t="shared" si="37"/>
        <v>0</v>
      </c>
      <c r="BL135" s="9">
        <f t="shared" si="38"/>
        <v>0</v>
      </c>
      <c r="BM135" s="9">
        <f t="shared" si="39"/>
        <v>0</v>
      </c>
      <c r="BN135" s="9" t="s">
        <v>68</v>
      </c>
      <c r="BO135" s="11">
        <f t="shared" si="40"/>
        <v>1</v>
      </c>
    </row>
    <row r="136" ht="22.5" customHeight="1">
      <c r="A136" s="9">
        <f t="shared" si="41"/>
        <v>135</v>
      </c>
      <c r="B136" s="10">
        <v>46050.90178252315</v>
      </c>
      <c r="C136" s="9" t="s">
        <v>241</v>
      </c>
      <c r="D136" s="9" t="str">
        <f t="shared" si="1"/>
        <v>N/A</v>
      </c>
      <c r="E136" s="9" t="s">
        <v>68</v>
      </c>
      <c r="F136" s="9">
        <f t="shared" si="2"/>
        <v>1</v>
      </c>
      <c r="G136" s="9" t="s">
        <v>91</v>
      </c>
      <c r="H136" s="9" t="str">
        <f t="shared" si="3"/>
        <v>Urban</v>
      </c>
      <c r="I136" s="9">
        <f t="shared" si="4"/>
        <v>2</v>
      </c>
      <c r="J136" s="9" t="s">
        <v>83</v>
      </c>
      <c r="K136" s="9" t="s">
        <v>84</v>
      </c>
      <c r="L136" s="9">
        <f t="shared" si="5"/>
        <v>2</v>
      </c>
      <c r="M136" s="9" t="s">
        <v>101</v>
      </c>
      <c r="N136" s="9">
        <f t="shared" si="6"/>
        <v>2</v>
      </c>
      <c r="O136" s="9" t="s">
        <v>85</v>
      </c>
      <c r="P136" s="9">
        <f t="shared" si="7"/>
        <v>4</v>
      </c>
      <c r="Q136" s="9" t="s">
        <v>78</v>
      </c>
      <c r="R136" s="9">
        <f t="shared" si="8"/>
        <v>3</v>
      </c>
      <c r="S136" s="9" t="s">
        <v>103</v>
      </c>
      <c r="T136" s="9">
        <f t="shared" si="9"/>
        <v>5</v>
      </c>
      <c r="U136" s="9" t="s">
        <v>74</v>
      </c>
      <c r="V136" s="9">
        <f t="shared" si="10"/>
        <v>1.5</v>
      </c>
      <c r="W136" s="9" t="s">
        <v>93</v>
      </c>
      <c r="X136" s="9">
        <f t="shared" si="11"/>
        <v>0</v>
      </c>
      <c r="Y136" s="9">
        <f t="shared" si="12"/>
        <v>1</v>
      </c>
      <c r="Z136" s="9">
        <f t="shared" si="13"/>
        <v>0</v>
      </c>
      <c r="AA136" s="9">
        <f t="shared" si="14"/>
        <v>0</v>
      </c>
      <c r="AB136" s="9" t="s">
        <v>85</v>
      </c>
      <c r="AC136" s="9">
        <f t="shared" si="15"/>
        <v>4</v>
      </c>
      <c r="AD136" s="9" t="s">
        <v>78</v>
      </c>
      <c r="AE136" s="9">
        <f t="shared" si="16"/>
        <v>3</v>
      </c>
      <c r="AF136" s="9" t="s">
        <v>71</v>
      </c>
      <c r="AG136" s="9">
        <f t="shared" si="17"/>
        <v>7.7</v>
      </c>
      <c r="AH136" s="9" t="s">
        <v>78</v>
      </c>
      <c r="AI136" s="9">
        <f t="shared" si="18"/>
        <v>3</v>
      </c>
      <c r="AJ136" s="9" t="s">
        <v>78</v>
      </c>
      <c r="AK136" s="9">
        <f t="shared" si="19"/>
        <v>3</v>
      </c>
      <c r="AL136" s="9" t="s">
        <v>73</v>
      </c>
      <c r="AM136" s="9">
        <f t="shared" si="20"/>
        <v>2</v>
      </c>
      <c r="AN136" s="9" t="s">
        <v>73</v>
      </c>
      <c r="AO136" s="9">
        <f t="shared" si="21"/>
        <v>2</v>
      </c>
      <c r="AP136" s="9" t="s">
        <v>78</v>
      </c>
      <c r="AQ136" s="9">
        <f t="shared" si="22"/>
        <v>3</v>
      </c>
      <c r="AR136" s="9" t="s">
        <v>73</v>
      </c>
      <c r="AS136" s="9">
        <f t="shared" si="23"/>
        <v>2</v>
      </c>
      <c r="AT136" s="9" t="s">
        <v>153</v>
      </c>
      <c r="AU136" s="9">
        <f t="shared" si="24"/>
        <v>1</v>
      </c>
      <c r="AV136" s="9">
        <f t="shared" si="25"/>
        <v>0</v>
      </c>
      <c r="AW136" s="9">
        <f t="shared" si="26"/>
        <v>0</v>
      </c>
      <c r="AX136" s="9">
        <f t="shared" si="27"/>
        <v>0</v>
      </c>
      <c r="AY136" s="9">
        <f t="shared" si="28"/>
        <v>0</v>
      </c>
      <c r="AZ136" s="9">
        <f t="shared" si="29"/>
        <v>1</v>
      </c>
      <c r="BA136" s="9">
        <f t="shared" si="30"/>
        <v>1</v>
      </c>
      <c r="BB136" s="9" t="s">
        <v>68</v>
      </c>
      <c r="BC136" s="9">
        <f t="shared" si="31"/>
        <v>1</v>
      </c>
      <c r="BD136" s="12"/>
      <c r="BE136" s="9" t="str">
        <f t="shared" si="44"/>
        <v>N/A</v>
      </c>
      <c r="BF136" s="9" t="s">
        <v>211</v>
      </c>
      <c r="BG136" s="9">
        <f t="shared" si="33"/>
        <v>1</v>
      </c>
      <c r="BH136" s="9">
        <f t="shared" si="34"/>
        <v>0</v>
      </c>
      <c r="BI136" s="9">
        <f t="shared" si="35"/>
        <v>1</v>
      </c>
      <c r="BJ136" s="9">
        <f t="shared" si="36"/>
        <v>1</v>
      </c>
      <c r="BK136" s="9">
        <f t="shared" si="37"/>
        <v>1</v>
      </c>
      <c r="BL136" s="9">
        <f t="shared" si="38"/>
        <v>0</v>
      </c>
      <c r="BM136" s="9">
        <f t="shared" si="39"/>
        <v>0</v>
      </c>
      <c r="BN136" s="9" t="s">
        <v>108</v>
      </c>
      <c r="BO136" s="11">
        <f t="shared" si="40"/>
        <v>3</v>
      </c>
    </row>
    <row r="137" ht="22.5" customHeight="1">
      <c r="A137" s="9">
        <f t="shared" si="41"/>
        <v>136</v>
      </c>
      <c r="B137" s="10">
        <v>46050.9034699537</v>
      </c>
      <c r="C137" s="9" t="s">
        <v>90</v>
      </c>
      <c r="D137" s="9">
        <f t="shared" si="1"/>
        <v>2</v>
      </c>
      <c r="E137" s="9" t="s">
        <v>68</v>
      </c>
      <c r="F137" s="9">
        <f t="shared" si="2"/>
        <v>1</v>
      </c>
      <c r="G137" s="9" t="s">
        <v>91</v>
      </c>
      <c r="H137" s="9" t="str">
        <f t="shared" si="3"/>
        <v>Urban</v>
      </c>
      <c r="I137" s="9">
        <f t="shared" si="4"/>
        <v>2</v>
      </c>
      <c r="J137" s="9" t="s">
        <v>70</v>
      </c>
      <c r="K137" s="9" t="s">
        <v>100</v>
      </c>
      <c r="L137" s="9">
        <f t="shared" si="5"/>
        <v>3</v>
      </c>
      <c r="M137" s="9" t="s">
        <v>101</v>
      </c>
      <c r="N137" s="9">
        <f t="shared" si="6"/>
        <v>2</v>
      </c>
      <c r="O137" s="9" t="s">
        <v>78</v>
      </c>
      <c r="P137" s="9">
        <f t="shared" si="7"/>
        <v>3</v>
      </c>
      <c r="Q137" s="9" t="s">
        <v>78</v>
      </c>
      <c r="R137" s="9">
        <f t="shared" si="8"/>
        <v>3</v>
      </c>
      <c r="S137" s="9" t="s">
        <v>78</v>
      </c>
      <c r="T137" s="9">
        <f t="shared" si="9"/>
        <v>3</v>
      </c>
      <c r="U137" s="9" t="s">
        <v>110</v>
      </c>
      <c r="V137" s="9">
        <f t="shared" si="10"/>
        <v>0.75</v>
      </c>
      <c r="W137" s="9" t="s">
        <v>93</v>
      </c>
      <c r="X137" s="9">
        <f t="shared" si="11"/>
        <v>0</v>
      </c>
      <c r="Y137" s="9">
        <f t="shared" si="12"/>
        <v>1</v>
      </c>
      <c r="Z137" s="9">
        <f t="shared" si="13"/>
        <v>0</v>
      </c>
      <c r="AA137" s="9">
        <f t="shared" si="14"/>
        <v>0</v>
      </c>
      <c r="AB137" s="9" t="s">
        <v>85</v>
      </c>
      <c r="AC137" s="9">
        <f t="shared" si="15"/>
        <v>4</v>
      </c>
      <c r="AD137" s="9" t="s">
        <v>73</v>
      </c>
      <c r="AE137" s="9">
        <f t="shared" si="16"/>
        <v>2</v>
      </c>
      <c r="AF137" s="9" t="s">
        <v>71</v>
      </c>
      <c r="AG137" s="9">
        <f t="shared" si="17"/>
        <v>7.7</v>
      </c>
      <c r="AH137" s="9" t="s">
        <v>85</v>
      </c>
      <c r="AI137" s="9">
        <f t="shared" si="18"/>
        <v>4</v>
      </c>
      <c r="AJ137" s="9" t="s">
        <v>78</v>
      </c>
      <c r="AK137" s="9">
        <f t="shared" si="19"/>
        <v>3</v>
      </c>
      <c r="AL137" s="9" t="s">
        <v>78</v>
      </c>
      <c r="AM137" s="9">
        <f t="shared" si="20"/>
        <v>3</v>
      </c>
      <c r="AN137" s="9" t="s">
        <v>78</v>
      </c>
      <c r="AO137" s="9">
        <f t="shared" si="21"/>
        <v>3</v>
      </c>
      <c r="AP137" s="9" t="s">
        <v>78</v>
      </c>
      <c r="AQ137" s="9">
        <f t="shared" si="22"/>
        <v>3</v>
      </c>
      <c r="AR137" s="9" t="s">
        <v>85</v>
      </c>
      <c r="AS137" s="9">
        <f t="shared" si="23"/>
        <v>4</v>
      </c>
      <c r="AT137" s="9" t="s">
        <v>242</v>
      </c>
      <c r="AU137" s="9">
        <f t="shared" si="24"/>
        <v>1</v>
      </c>
      <c r="AV137" s="9">
        <f t="shared" si="25"/>
        <v>0</v>
      </c>
      <c r="AW137" s="9">
        <f t="shared" si="26"/>
        <v>0</v>
      </c>
      <c r="AX137" s="9">
        <f t="shared" si="27"/>
        <v>0</v>
      </c>
      <c r="AY137" s="9">
        <f t="shared" si="28"/>
        <v>0</v>
      </c>
      <c r="AZ137" s="9">
        <f t="shared" si="29"/>
        <v>1</v>
      </c>
      <c r="BA137" s="9">
        <f t="shared" si="30"/>
        <v>0</v>
      </c>
      <c r="BB137" s="9" t="s">
        <v>88</v>
      </c>
      <c r="BC137" s="9">
        <f t="shared" si="31"/>
        <v>2</v>
      </c>
      <c r="BD137" s="12"/>
      <c r="BE137" s="9" t="str">
        <f t="shared" si="44"/>
        <v>N/A</v>
      </c>
      <c r="BF137" s="9" t="s">
        <v>214</v>
      </c>
      <c r="BG137" s="9">
        <f t="shared" si="33"/>
        <v>0</v>
      </c>
      <c r="BH137" s="9">
        <f t="shared" si="34"/>
        <v>0</v>
      </c>
      <c r="BI137" s="9">
        <f t="shared" si="35"/>
        <v>1</v>
      </c>
      <c r="BJ137" s="9">
        <f t="shared" si="36"/>
        <v>0</v>
      </c>
      <c r="BK137" s="9">
        <f t="shared" si="37"/>
        <v>1</v>
      </c>
      <c r="BL137" s="9">
        <f t="shared" si="38"/>
        <v>0</v>
      </c>
      <c r="BM137" s="9">
        <f t="shared" si="39"/>
        <v>1</v>
      </c>
      <c r="BN137" s="9" t="s">
        <v>108</v>
      </c>
      <c r="BO137" s="11">
        <f t="shared" si="40"/>
        <v>3</v>
      </c>
    </row>
    <row r="138" ht="22.5" customHeight="1">
      <c r="A138" s="9">
        <f t="shared" si="41"/>
        <v>137</v>
      </c>
      <c r="B138" s="10">
        <v>46050.905649953704</v>
      </c>
      <c r="C138" s="9" t="s">
        <v>67</v>
      </c>
      <c r="D138" s="9">
        <f t="shared" si="1"/>
        <v>1</v>
      </c>
      <c r="E138" s="9" t="s">
        <v>68</v>
      </c>
      <c r="F138" s="9">
        <f t="shared" si="2"/>
        <v>1</v>
      </c>
      <c r="G138" s="9" t="s">
        <v>91</v>
      </c>
      <c r="H138" s="9" t="str">
        <f t="shared" si="3"/>
        <v>Urban</v>
      </c>
      <c r="I138" s="9">
        <f t="shared" si="4"/>
        <v>2</v>
      </c>
      <c r="J138" s="9" t="s">
        <v>83</v>
      </c>
      <c r="K138" s="9" t="s">
        <v>84</v>
      </c>
      <c r="L138" s="9">
        <f t="shared" si="5"/>
        <v>2</v>
      </c>
      <c r="M138" s="9" t="s">
        <v>76</v>
      </c>
      <c r="N138" s="9">
        <f t="shared" si="6"/>
        <v>5.5</v>
      </c>
      <c r="O138" s="9" t="s">
        <v>85</v>
      </c>
      <c r="P138" s="9">
        <f t="shared" si="7"/>
        <v>4</v>
      </c>
      <c r="Q138" s="9" t="s">
        <v>78</v>
      </c>
      <c r="R138" s="9">
        <f t="shared" si="8"/>
        <v>3</v>
      </c>
      <c r="S138" s="9" t="s">
        <v>85</v>
      </c>
      <c r="T138" s="9">
        <f t="shared" si="9"/>
        <v>4</v>
      </c>
      <c r="U138" s="9" t="s">
        <v>92</v>
      </c>
      <c r="V138" s="9">
        <f t="shared" si="10"/>
        <v>3.5</v>
      </c>
      <c r="W138" s="9" t="s">
        <v>143</v>
      </c>
      <c r="X138" s="9">
        <f t="shared" si="11"/>
        <v>1</v>
      </c>
      <c r="Y138" s="9">
        <f t="shared" si="12"/>
        <v>0</v>
      </c>
      <c r="Z138" s="9">
        <f t="shared" si="13"/>
        <v>0</v>
      </c>
      <c r="AA138" s="9">
        <f t="shared" si="14"/>
        <v>0</v>
      </c>
      <c r="AB138" s="9" t="s">
        <v>78</v>
      </c>
      <c r="AC138" s="9">
        <f t="shared" si="15"/>
        <v>3</v>
      </c>
      <c r="AD138" s="9" t="s">
        <v>78</v>
      </c>
      <c r="AE138" s="9">
        <f t="shared" si="16"/>
        <v>3</v>
      </c>
      <c r="AF138" s="9" t="s">
        <v>76</v>
      </c>
      <c r="AG138" s="9">
        <f t="shared" si="17"/>
        <v>5.5</v>
      </c>
      <c r="AH138" s="9" t="s">
        <v>78</v>
      </c>
      <c r="AI138" s="9">
        <f t="shared" si="18"/>
        <v>3</v>
      </c>
      <c r="AJ138" s="9" t="s">
        <v>77</v>
      </c>
      <c r="AK138" s="9">
        <f t="shared" si="19"/>
        <v>1</v>
      </c>
      <c r="AL138" s="9" t="s">
        <v>78</v>
      </c>
      <c r="AM138" s="9">
        <f t="shared" si="20"/>
        <v>3</v>
      </c>
      <c r="AN138" s="9" t="s">
        <v>78</v>
      </c>
      <c r="AO138" s="9">
        <f t="shared" si="21"/>
        <v>3</v>
      </c>
      <c r="AP138" s="9" t="s">
        <v>73</v>
      </c>
      <c r="AQ138" s="9">
        <f t="shared" si="22"/>
        <v>2</v>
      </c>
      <c r="AR138" s="9" t="s">
        <v>85</v>
      </c>
      <c r="AS138" s="9">
        <f t="shared" si="23"/>
        <v>4</v>
      </c>
      <c r="AT138" s="9" t="s">
        <v>104</v>
      </c>
      <c r="AU138" s="9">
        <f t="shared" si="24"/>
        <v>1</v>
      </c>
      <c r="AV138" s="9">
        <f t="shared" si="25"/>
        <v>1</v>
      </c>
      <c r="AW138" s="9">
        <f t="shared" si="26"/>
        <v>1</v>
      </c>
      <c r="AX138" s="9">
        <f t="shared" si="27"/>
        <v>1</v>
      </c>
      <c r="AY138" s="9">
        <f t="shared" si="28"/>
        <v>1</v>
      </c>
      <c r="AZ138" s="9">
        <f t="shared" si="29"/>
        <v>1</v>
      </c>
      <c r="BA138" s="9">
        <f t="shared" si="30"/>
        <v>1</v>
      </c>
      <c r="BB138" s="9" t="s">
        <v>88</v>
      </c>
      <c r="BC138" s="9">
        <f t="shared" si="31"/>
        <v>2</v>
      </c>
      <c r="BD138" s="12"/>
      <c r="BE138" s="9" t="str">
        <f t="shared" si="44"/>
        <v>N/A</v>
      </c>
      <c r="BF138" s="9" t="s">
        <v>222</v>
      </c>
      <c r="BG138" s="9">
        <f t="shared" si="33"/>
        <v>1</v>
      </c>
      <c r="BH138" s="9">
        <f t="shared" si="34"/>
        <v>0</v>
      </c>
      <c r="BI138" s="9">
        <f t="shared" si="35"/>
        <v>0</v>
      </c>
      <c r="BJ138" s="9">
        <f t="shared" si="36"/>
        <v>1</v>
      </c>
      <c r="BK138" s="9">
        <f t="shared" si="37"/>
        <v>1</v>
      </c>
      <c r="BL138" s="9">
        <f t="shared" si="38"/>
        <v>1</v>
      </c>
      <c r="BM138" s="9">
        <f t="shared" si="39"/>
        <v>0</v>
      </c>
      <c r="BN138" s="9" t="s">
        <v>108</v>
      </c>
      <c r="BO138" s="11">
        <f t="shared" si="40"/>
        <v>3</v>
      </c>
    </row>
    <row r="139" ht="22.5" customHeight="1">
      <c r="A139" s="9">
        <f t="shared" si="41"/>
        <v>138</v>
      </c>
      <c r="B139" s="10">
        <v>46050.91096961805</v>
      </c>
      <c r="C139" s="9" t="s">
        <v>90</v>
      </c>
      <c r="D139" s="9">
        <f t="shared" si="1"/>
        <v>2</v>
      </c>
      <c r="E139" s="9" t="s">
        <v>68</v>
      </c>
      <c r="F139" s="9">
        <f t="shared" si="2"/>
        <v>1</v>
      </c>
      <c r="G139" s="9" t="s">
        <v>91</v>
      </c>
      <c r="H139" s="9" t="str">
        <f t="shared" si="3"/>
        <v>Urban</v>
      </c>
      <c r="I139" s="9">
        <f t="shared" si="4"/>
        <v>2</v>
      </c>
      <c r="J139" s="9" t="s">
        <v>70</v>
      </c>
      <c r="K139" s="9" t="s">
        <v>100</v>
      </c>
      <c r="L139" s="9">
        <f t="shared" si="5"/>
        <v>3</v>
      </c>
      <c r="M139" s="9" t="s">
        <v>71</v>
      </c>
      <c r="N139" s="9">
        <f t="shared" si="6"/>
        <v>7.7</v>
      </c>
      <c r="O139" s="9" t="s">
        <v>85</v>
      </c>
      <c r="P139" s="9">
        <f t="shared" si="7"/>
        <v>4</v>
      </c>
      <c r="Q139" s="9" t="s">
        <v>85</v>
      </c>
      <c r="R139" s="9">
        <f t="shared" si="8"/>
        <v>4</v>
      </c>
      <c r="S139" s="9" t="s">
        <v>85</v>
      </c>
      <c r="T139" s="9">
        <f t="shared" si="9"/>
        <v>4</v>
      </c>
      <c r="U139" s="9" t="s">
        <v>96</v>
      </c>
      <c r="V139" s="9">
        <f t="shared" si="10"/>
        <v>2.5</v>
      </c>
      <c r="W139" s="9" t="s">
        <v>105</v>
      </c>
      <c r="X139" s="9">
        <f t="shared" si="11"/>
        <v>1</v>
      </c>
      <c r="Y139" s="9">
        <f t="shared" si="12"/>
        <v>1</v>
      </c>
      <c r="Z139" s="9">
        <f t="shared" si="13"/>
        <v>0</v>
      </c>
      <c r="AA139" s="9">
        <f t="shared" si="14"/>
        <v>0</v>
      </c>
      <c r="AB139" s="9" t="s">
        <v>78</v>
      </c>
      <c r="AC139" s="9">
        <f t="shared" si="15"/>
        <v>3</v>
      </c>
      <c r="AD139" s="9" t="s">
        <v>78</v>
      </c>
      <c r="AE139" s="9">
        <f t="shared" si="16"/>
        <v>3</v>
      </c>
      <c r="AF139" s="9" t="s">
        <v>76</v>
      </c>
      <c r="AG139" s="9">
        <f t="shared" si="17"/>
        <v>5.5</v>
      </c>
      <c r="AH139" s="9" t="s">
        <v>78</v>
      </c>
      <c r="AI139" s="9">
        <f t="shared" si="18"/>
        <v>3</v>
      </c>
      <c r="AJ139" s="9" t="s">
        <v>78</v>
      </c>
      <c r="AK139" s="9">
        <f t="shared" si="19"/>
        <v>3</v>
      </c>
      <c r="AL139" s="9" t="s">
        <v>78</v>
      </c>
      <c r="AM139" s="9">
        <f t="shared" si="20"/>
        <v>3</v>
      </c>
      <c r="AN139" s="9" t="s">
        <v>78</v>
      </c>
      <c r="AO139" s="9">
        <f t="shared" si="21"/>
        <v>3</v>
      </c>
      <c r="AP139" s="9" t="s">
        <v>78</v>
      </c>
      <c r="AQ139" s="9">
        <f t="shared" si="22"/>
        <v>3</v>
      </c>
      <c r="AR139" s="9" t="s">
        <v>78</v>
      </c>
      <c r="AS139" s="9">
        <f t="shared" si="23"/>
        <v>3</v>
      </c>
      <c r="AT139" s="9" t="s">
        <v>243</v>
      </c>
      <c r="AU139" s="9">
        <f t="shared" si="24"/>
        <v>1</v>
      </c>
      <c r="AV139" s="9">
        <f t="shared" si="25"/>
        <v>1</v>
      </c>
      <c r="AW139" s="9">
        <f t="shared" si="26"/>
        <v>1</v>
      </c>
      <c r="AX139" s="9">
        <f t="shared" si="27"/>
        <v>1</v>
      </c>
      <c r="AY139" s="9">
        <f t="shared" si="28"/>
        <v>0</v>
      </c>
      <c r="AZ139" s="9">
        <f t="shared" si="29"/>
        <v>0</v>
      </c>
      <c r="BA139" s="9">
        <f t="shared" si="30"/>
        <v>0</v>
      </c>
      <c r="BB139" s="9" t="s">
        <v>88</v>
      </c>
      <c r="BC139" s="9">
        <f t="shared" si="31"/>
        <v>2</v>
      </c>
      <c r="BD139" s="12"/>
      <c r="BE139" s="9" t="str">
        <f t="shared" si="44"/>
        <v>N/A</v>
      </c>
      <c r="BF139" s="9" t="s">
        <v>172</v>
      </c>
      <c r="BG139" s="9">
        <f t="shared" si="33"/>
        <v>1</v>
      </c>
      <c r="BH139" s="9">
        <f t="shared" si="34"/>
        <v>0</v>
      </c>
      <c r="BI139" s="9">
        <f t="shared" si="35"/>
        <v>0</v>
      </c>
      <c r="BJ139" s="9">
        <f t="shared" si="36"/>
        <v>1</v>
      </c>
      <c r="BK139" s="9">
        <f t="shared" si="37"/>
        <v>0</v>
      </c>
      <c r="BL139" s="9">
        <f t="shared" si="38"/>
        <v>0</v>
      </c>
      <c r="BM139" s="9">
        <f t="shared" si="39"/>
        <v>1</v>
      </c>
      <c r="BN139" s="9" t="s">
        <v>108</v>
      </c>
      <c r="BO139" s="11">
        <f t="shared" si="40"/>
        <v>3</v>
      </c>
    </row>
    <row r="140" ht="22.5" customHeight="1">
      <c r="A140" s="9">
        <f t="shared" si="41"/>
        <v>139</v>
      </c>
      <c r="B140" s="10">
        <v>46050.9132403588</v>
      </c>
      <c r="C140" s="9" t="s">
        <v>90</v>
      </c>
      <c r="D140" s="9">
        <f t="shared" si="1"/>
        <v>2</v>
      </c>
      <c r="E140" s="9" t="s">
        <v>68</v>
      </c>
      <c r="F140" s="9">
        <f t="shared" si="2"/>
        <v>1</v>
      </c>
      <c r="G140" s="9" t="s">
        <v>91</v>
      </c>
      <c r="H140" s="9" t="str">
        <f t="shared" si="3"/>
        <v>Urban</v>
      </c>
      <c r="I140" s="9">
        <f t="shared" si="4"/>
        <v>2</v>
      </c>
      <c r="J140" s="9" t="s">
        <v>70</v>
      </c>
      <c r="K140" s="9" t="s">
        <v>100</v>
      </c>
      <c r="L140" s="9">
        <f t="shared" si="5"/>
        <v>3</v>
      </c>
      <c r="M140" s="9" t="s">
        <v>101</v>
      </c>
      <c r="N140" s="9">
        <f t="shared" si="6"/>
        <v>2</v>
      </c>
      <c r="O140" s="9" t="s">
        <v>78</v>
      </c>
      <c r="P140" s="9">
        <f t="shared" si="7"/>
        <v>3</v>
      </c>
      <c r="Q140" s="9" t="s">
        <v>78</v>
      </c>
      <c r="R140" s="9">
        <f t="shared" si="8"/>
        <v>3</v>
      </c>
      <c r="S140" s="9" t="s">
        <v>78</v>
      </c>
      <c r="T140" s="9">
        <f t="shared" si="9"/>
        <v>3</v>
      </c>
      <c r="U140" s="9" t="s">
        <v>96</v>
      </c>
      <c r="V140" s="9">
        <f t="shared" si="10"/>
        <v>2.5</v>
      </c>
      <c r="W140" s="9" t="s">
        <v>93</v>
      </c>
      <c r="X140" s="9">
        <f t="shared" si="11"/>
        <v>0</v>
      </c>
      <c r="Y140" s="9">
        <f t="shared" si="12"/>
        <v>1</v>
      </c>
      <c r="Z140" s="9">
        <f t="shared" si="13"/>
        <v>0</v>
      </c>
      <c r="AA140" s="9">
        <f t="shared" si="14"/>
        <v>0</v>
      </c>
      <c r="AB140" s="9" t="s">
        <v>78</v>
      </c>
      <c r="AC140" s="9">
        <f t="shared" si="15"/>
        <v>3</v>
      </c>
      <c r="AD140" s="9" t="s">
        <v>78</v>
      </c>
      <c r="AE140" s="9">
        <f t="shared" si="16"/>
        <v>3</v>
      </c>
      <c r="AF140" s="9" t="s">
        <v>71</v>
      </c>
      <c r="AG140" s="9">
        <f t="shared" si="17"/>
        <v>7.7</v>
      </c>
      <c r="AH140" s="9" t="s">
        <v>78</v>
      </c>
      <c r="AI140" s="9">
        <f t="shared" si="18"/>
        <v>3</v>
      </c>
      <c r="AJ140" s="9" t="s">
        <v>78</v>
      </c>
      <c r="AK140" s="9">
        <f t="shared" si="19"/>
        <v>3</v>
      </c>
      <c r="AL140" s="9" t="s">
        <v>78</v>
      </c>
      <c r="AM140" s="9">
        <f t="shared" si="20"/>
        <v>3</v>
      </c>
      <c r="AN140" s="9" t="s">
        <v>78</v>
      </c>
      <c r="AO140" s="9">
        <f t="shared" si="21"/>
        <v>3</v>
      </c>
      <c r="AP140" s="9" t="s">
        <v>78</v>
      </c>
      <c r="AQ140" s="9">
        <f t="shared" si="22"/>
        <v>3</v>
      </c>
      <c r="AR140" s="9" t="s">
        <v>78</v>
      </c>
      <c r="AS140" s="9">
        <f t="shared" si="23"/>
        <v>3</v>
      </c>
      <c r="AT140" s="9" t="s">
        <v>127</v>
      </c>
      <c r="AU140" s="9">
        <f t="shared" si="24"/>
        <v>1</v>
      </c>
      <c r="AV140" s="9">
        <f t="shared" si="25"/>
        <v>1</v>
      </c>
      <c r="AW140" s="9">
        <f t="shared" si="26"/>
        <v>1</v>
      </c>
      <c r="AX140" s="9">
        <f t="shared" si="27"/>
        <v>1</v>
      </c>
      <c r="AY140" s="9">
        <f t="shared" si="28"/>
        <v>1</v>
      </c>
      <c r="AZ140" s="9">
        <f t="shared" si="29"/>
        <v>0</v>
      </c>
      <c r="BA140" s="9">
        <f t="shared" si="30"/>
        <v>0</v>
      </c>
      <c r="BB140" s="9" t="s">
        <v>88</v>
      </c>
      <c r="BC140" s="9">
        <f t="shared" si="31"/>
        <v>2</v>
      </c>
      <c r="BD140" s="12"/>
      <c r="BE140" s="9" t="str">
        <f t="shared" si="44"/>
        <v>N/A</v>
      </c>
      <c r="BF140" s="9" t="s">
        <v>142</v>
      </c>
      <c r="BG140" s="9">
        <f t="shared" si="33"/>
        <v>0</v>
      </c>
      <c r="BH140" s="9">
        <f t="shared" si="34"/>
        <v>0</v>
      </c>
      <c r="BI140" s="9">
        <f t="shared" si="35"/>
        <v>0</v>
      </c>
      <c r="BJ140" s="9">
        <f t="shared" si="36"/>
        <v>0</v>
      </c>
      <c r="BK140" s="9">
        <f t="shared" si="37"/>
        <v>1</v>
      </c>
      <c r="BL140" s="9">
        <f t="shared" si="38"/>
        <v>1</v>
      </c>
      <c r="BM140" s="9">
        <f t="shared" si="39"/>
        <v>0</v>
      </c>
      <c r="BN140" s="9" t="s">
        <v>68</v>
      </c>
      <c r="BO140" s="11">
        <f t="shared" si="40"/>
        <v>1</v>
      </c>
    </row>
    <row r="141" ht="22.5" customHeight="1">
      <c r="A141" s="9">
        <f t="shared" si="41"/>
        <v>140</v>
      </c>
      <c r="B141" s="10">
        <v>46050.91801616898</v>
      </c>
      <c r="C141" s="9" t="s">
        <v>67</v>
      </c>
      <c r="D141" s="9">
        <f t="shared" si="1"/>
        <v>1</v>
      </c>
      <c r="E141" s="9" t="s">
        <v>68</v>
      </c>
      <c r="F141" s="9">
        <f t="shared" si="2"/>
        <v>1</v>
      </c>
      <c r="G141" s="9" t="s">
        <v>82</v>
      </c>
      <c r="H141" s="9" t="str">
        <f t="shared" si="3"/>
        <v>Urban</v>
      </c>
      <c r="I141" s="9">
        <f t="shared" si="4"/>
        <v>2</v>
      </c>
      <c r="J141" s="9" t="s">
        <v>70</v>
      </c>
      <c r="K141" s="9" t="s">
        <v>100</v>
      </c>
      <c r="L141" s="9">
        <f t="shared" si="5"/>
        <v>3</v>
      </c>
      <c r="M141" s="9" t="s">
        <v>71</v>
      </c>
      <c r="N141" s="9">
        <f t="shared" si="6"/>
        <v>7.7</v>
      </c>
      <c r="O141" s="9" t="s">
        <v>85</v>
      </c>
      <c r="P141" s="9">
        <f t="shared" si="7"/>
        <v>4</v>
      </c>
      <c r="Q141" s="9" t="s">
        <v>78</v>
      </c>
      <c r="R141" s="9">
        <f t="shared" si="8"/>
        <v>3</v>
      </c>
      <c r="S141" s="9" t="s">
        <v>85</v>
      </c>
      <c r="T141" s="9">
        <f t="shared" si="9"/>
        <v>4</v>
      </c>
      <c r="U141" s="9" t="s">
        <v>74</v>
      </c>
      <c r="V141" s="9">
        <f t="shared" si="10"/>
        <v>1.5</v>
      </c>
      <c r="W141" s="9" t="s">
        <v>97</v>
      </c>
      <c r="X141" s="9">
        <f t="shared" si="11"/>
        <v>1</v>
      </c>
      <c r="Y141" s="9">
        <f t="shared" si="12"/>
        <v>0</v>
      </c>
      <c r="Z141" s="9">
        <f t="shared" si="13"/>
        <v>1</v>
      </c>
      <c r="AA141" s="9">
        <f t="shared" si="14"/>
        <v>0</v>
      </c>
      <c r="AB141" s="9" t="s">
        <v>73</v>
      </c>
      <c r="AC141" s="9">
        <f t="shared" si="15"/>
        <v>2</v>
      </c>
      <c r="AD141" s="9" t="s">
        <v>73</v>
      </c>
      <c r="AE141" s="9">
        <f t="shared" si="16"/>
        <v>2</v>
      </c>
      <c r="AF141" s="9" t="s">
        <v>76</v>
      </c>
      <c r="AG141" s="9">
        <f t="shared" si="17"/>
        <v>5.5</v>
      </c>
      <c r="AH141" s="9" t="s">
        <v>78</v>
      </c>
      <c r="AI141" s="9">
        <f t="shared" si="18"/>
        <v>3</v>
      </c>
      <c r="AJ141" s="9" t="s">
        <v>78</v>
      </c>
      <c r="AK141" s="9">
        <f t="shared" si="19"/>
        <v>3</v>
      </c>
      <c r="AL141" s="9" t="s">
        <v>73</v>
      </c>
      <c r="AM141" s="9">
        <f t="shared" si="20"/>
        <v>2</v>
      </c>
      <c r="AN141" s="9" t="s">
        <v>85</v>
      </c>
      <c r="AO141" s="9">
        <f t="shared" si="21"/>
        <v>4</v>
      </c>
      <c r="AP141" s="9" t="s">
        <v>78</v>
      </c>
      <c r="AQ141" s="9">
        <f t="shared" si="22"/>
        <v>3</v>
      </c>
      <c r="AR141" s="9" t="s">
        <v>73</v>
      </c>
      <c r="AS141" s="9">
        <f t="shared" si="23"/>
        <v>2</v>
      </c>
      <c r="AT141" s="9" t="s">
        <v>234</v>
      </c>
      <c r="AU141" s="9">
        <f t="shared" si="24"/>
        <v>0</v>
      </c>
      <c r="AV141" s="9">
        <f t="shared" si="25"/>
        <v>0</v>
      </c>
      <c r="AW141" s="9">
        <f t="shared" si="26"/>
        <v>0</v>
      </c>
      <c r="AX141" s="9">
        <f t="shared" si="27"/>
        <v>1</v>
      </c>
      <c r="AY141" s="9">
        <f t="shared" si="28"/>
        <v>0</v>
      </c>
      <c r="AZ141" s="9">
        <f t="shared" si="29"/>
        <v>1</v>
      </c>
      <c r="BA141" s="9">
        <f t="shared" si="30"/>
        <v>0</v>
      </c>
      <c r="BB141" s="9" t="s">
        <v>68</v>
      </c>
      <c r="BC141" s="9">
        <f t="shared" si="31"/>
        <v>1</v>
      </c>
      <c r="BD141" s="9" t="s">
        <v>244</v>
      </c>
      <c r="BE141" s="9" t="str">
        <f t="shared" ref="BE141:BE180" si="45">IFS(OR(BD141="Sleeping tracking",BD141="Sleep tracker"),"Sleep tracker app",BD141="Health","Health app",OR(BD141="Samsung Health ",BD141="samsung health"),"Samsung Health app",OR(BD141="Alarm clock ",BD141="Alarm "),"Alarm app",BD141="My health app","My health app",BD141="Smartwatch / wearable apps","Wearable app",BD141="HryFine","HryFine app",TRUE,"N/A")
</f>
        <v>Alarm app</v>
      </c>
      <c r="BF141" s="9" t="s">
        <v>245</v>
      </c>
      <c r="BG141" s="9">
        <f t="shared" si="33"/>
        <v>0</v>
      </c>
      <c r="BH141" s="9">
        <f t="shared" si="34"/>
        <v>1</v>
      </c>
      <c r="BI141" s="9">
        <f t="shared" si="35"/>
        <v>1</v>
      </c>
      <c r="BJ141" s="9">
        <f t="shared" si="36"/>
        <v>1</v>
      </c>
      <c r="BK141" s="9">
        <f t="shared" si="37"/>
        <v>1</v>
      </c>
      <c r="BL141" s="9">
        <f t="shared" si="38"/>
        <v>1</v>
      </c>
      <c r="BM141" s="9">
        <f t="shared" si="39"/>
        <v>1</v>
      </c>
      <c r="BN141" s="9" t="s">
        <v>68</v>
      </c>
      <c r="BO141" s="11">
        <f t="shared" si="40"/>
        <v>1</v>
      </c>
    </row>
    <row r="142" ht="22.5" customHeight="1">
      <c r="A142" s="9">
        <f t="shared" si="41"/>
        <v>141</v>
      </c>
      <c r="B142" s="10">
        <v>46050.91878623843</v>
      </c>
      <c r="C142" s="9" t="s">
        <v>90</v>
      </c>
      <c r="D142" s="9">
        <f t="shared" si="1"/>
        <v>2</v>
      </c>
      <c r="E142" s="9" t="s">
        <v>68</v>
      </c>
      <c r="F142" s="9">
        <f t="shared" si="2"/>
        <v>1</v>
      </c>
      <c r="G142" s="9" t="s">
        <v>91</v>
      </c>
      <c r="H142" s="9" t="str">
        <f t="shared" si="3"/>
        <v>Urban</v>
      </c>
      <c r="I142" s="9">
        <f t="shared" si="4"/>
        <v>2</v>
      </c>
      <c r="J142" s="9" t="s">
        <v>83</v>
      </c>
      <c r="K142" s="9" t="s">
        <v>84</v>
      </c>
      <c r="L142" s="9">
        <f t="shared" si="5"/>
        <v>2</v>
      </c>
      <c r="M142" s="9" t="s">
        <v>101</v>
      </c>
      <c r="N142" s="9">
        <f t="shared" si="6"/>
        <v>2</v>
      </c>
      <c r="O142" s="9" t="s">
        <v>78</v>
      </c>
      <c r="P142" s="9">
        <f t="shared" si="7"/>
        <v>3</v>
      </c>
      <c r="Q142" s="9" t="s">
        <v>85</v>
      </c>
      <c r="R142" s="9">
        <f t="shared" si="8"/>
        <v>4</v>
      </c>
      <c r="S142" s="9" t="s">
        <v>85</v>
      </c>
      <c r="T142" s="9">
        <f t="shared" si="9"/>
        <v>4</v>
      </c>
      <c r="U142" s="9" t="s">
        <v>92</v>
      </c>
      <c r="V142" s="9">
        <f t="shared" si="10"/>
        <v>3.5</v>
      </c>
      <c r="W142" s="9" t="s">
        <v>86</v>
      </c>
      <c r="X142" s="9">
        <f t="shared" si="11"/>
        <v>1</v>
      </c>
      <c r="Y142" s="9">
        <f t="shared" si="12"/>
        <v>1</v>
      </c>
      <c r="Z142" s="9">
        <f t="shared" si="13"/>
        <v>1</v>
      </c>
      <c r="AA142" s="9">
        <f t="shared" si="14"/>
        <v>0</v>
      </c>
      <c r="AB142" s="9" t="s">
        <v>73</v>
      </c>
      <c r="AC142" s="9">
        <f t="shared" si="15"/>
        <v>2</v>
      </c>
      <c r="AD142" s="9" t="s">
        <v>73</v>
      </c>
      <c r="AE142" s="9">
        <f t="shared" si="16"/>
        <v>2</v>
      </c>
      <c r="AF142" s="9" t="s">
        <v>76</v>
      </c>
      <c r="AG142" s="9">
        <f t="shared" si="17"/>
        <v>5.5</v>
      </c>
      <c r="AH142" s="9" t="s">
        <v>78</v>
      </c>
      <c r="AI142" s="9">
        <f t="shared" si="18"/>
        <v>3</v>
      </c>
      <c r="AJ142" s="9" t="s">
        <v>78</v>
      </c>
      <c r="AK142" s="9">
        <f t="shared" si="19"/>
        <v>3</v>
      </c>
      <c r="AL142" s="9" t="s">
        <v>73</v>
      </c>
      <c r="AM142" s="9">
        <f t="shared" si="20"/>
        <v>2</v>
      </c>
      <c r="AN142" s="9" t="s">
        <v>78</v>
      </c>
      <c r="AO142" s="9">
        <f t="shared" si="21"/>
        <v>3</v>
      </c>
      <c r="AP142" s="9" t="s">
        <v>78</v>
      </c>
      <c r="AQ142" s="9">
        <f t="shared" si="22"/>
        <v>3</v>
      </c>
      <c r="AR142" s="9" t="s">
        <v>78</v>
      </c>
      <c r="AS142" s="9">
        <f t="shared" si="23"/>
        <v>3</v>
      </c>
      <c r="AT142" s="9" t="s">
        <v>246</v>
      </c>
      <c r="AU142" s="9">
        <f t="shared" si="24"/>
        <v>1</v>
      </c>
      <c r="AV142" s="9">
        <f t="shared" si="25"/>
        <v>1</v>
      </c>
      <c r="AW142" s="9">
        <f t="shared" si="26"/>
        <v>1</v>
      </c>
      <c r="AX142" s="9">
        <f t="shared" si="27"/>
        <v>1</v>
      </c>
      <c r="AY142" s="9">
        <f t="shared" si="28"/>
        <v>0</v>
      </c>
      <c r="AZ142" s="9">
        <f t="shared" si="29"/>
        <v>1</v>
      </c>
      <c r="BA142" s="9">
        <f t="shared" si="30"/>
        <v>1</v>
      </c>
      <c r="BB142" s="9" t="s">
        <v>88</v>
      </c>
      <c r="BC142" s="9">
        <f t="shared" si="31"/>
        <v>2</v>
      </c>
      <c r="BD142" s="12"/>
      <c r="BE142" s="9" t="str">
        <f t="shared" si="45"/>
        <v>N/A</v>
      </c>
      <c r="BF142" s="9" t="s">
        <v>204</v>
      </c>
      <c r="BG142" s="9">
        <f t="shared" si="33"/>
        <v>0</v>
      </c>
      <c r="BH142" s="9">
        <f t="shared" si="34"/>
        <v>0</v>
      </c>
      <c r="BI142" s="9">
        <f t="shared" si="35"/>
        <v>1</v>
      </c>
      <c r="BJ142" s="9">
        <f t="shared" si="36"/>
        <v>1</v>
      </c>
      <c r="BK142" s="9">
        <f t="shared" si="37"/>
        <v>1</v>
      </c>
      <c r="BL142" s="9">
        <f t="shared" si="38"/>
        <v>0</v>
      </c>
      <c r="BM142" s="9">
        <f t="shared" si="39"/>
        <v>0</v>
      </c>
      <c r="BN142" s="9" t="s">
        <v>108</v>
      </c>
      <c r="BO142" s="11">
        <f t="shared" si="40"/>
        <v>3</v>
      </c>
    </row>
    <row r="143" ht="22.5" customHeight="1">
      <c r="A143" s="9">
        <f t="shared" si="41"/>
        <v>142</v>
      </c>
      <c r="B143" s="10">
        <v>46050.919466273146</v>
      </c>
      <c r="C143" s="9" t="s">
        <v>67</v>
      </c>
      <c r="D143" s="9">
        <f t="shared" si="1"/>
        <v>1</v>
      </c>
      <c r="E143" s="9" t="s">
        <v>68</v>
      </c>
      <c r="F143" s="9">
        <f t="shared" si="2"/>
        <v>1</v>
      </c>
      <c r="G143" s="9" t="s">
        <v>69</v>
      </c>
      <c r="H143" s="9" t="str">
        <f t="shared" si="3"/>
        <v>Rural</v>
      </c>
      <c r="I143" s="9">
        <f t="shared" si="4"/>
        <v>1</v>
      </c>
      <c r="J143" s="9" t="s">
        <v>145</v>
      </c>
      <c r="K143" s="9" t="s">
        <v>146</v>
      </c>
      <c r="L143" s="9">
        <f t="shared" si="5"/>
        <v>1</v>
      </c>
      <c r="M143" s="9" t="s">
        <v>109</v>
      </c>
      <c r="N143" s="9">
        <f t="shared" si="6"/>
        <v>9</v>
      </c>
      <c r="O143" s="9" t="s">
        <v>73</v>
      </c>
      <c r="P143" s="9">
        <f t="shared" si="7"/>
        <v>2</v>
      </c>
      <c r="Q143" s="9" t="s">
        <v>85</v>
      </c>
      <c r="R143" s="9">
        <f t="shared" si="8"/>
        <v>4</v>
      </c>
      <c r="S143" s="9" t="s">
        <v>73</v>
      </c>
      <c r="T143" s="9">
        <f t="shared" si="9"/>
        <v>2</v>
      </c>
      <c r="U143" s="9" t="s">
        <v>74</v>
      </c>
      <c r="V143" s="9">
        <f t="shared" si="10"/>
        <v>1.5</v>
      </c>
      <c r="W143" s="9" t="s">
        <v>105</v>
      </c>
      <c r="X143" s="9">
        <f t="shared" si="11"/>
        <v>1</v>
      </c>
      <c r="Y143" s="9">
        <f t="shared" si="12"/>
        <v>1</v>
      </c>
      <c r="Z143" s="9">
        <f t="shared" si="13"/>
        <v>0</v>
      </c>
      <c r="AA143" s="9">
        <f t="shared" si="14"/>
        <v>0</v>
      </c>
      <c r="AB143" s="9" t="s">
        <v>103</v>
      </c>
      <c r="AC143" s="9">
        <f t="shared" si="15"/>
        <v>5</v>
      </c>
      <c r="AD143" s="9" t="s">
        <v>103</v>
      </c>
      <c r="AE143" s="9">
        <f t="shared" si="16"/>
        <v>5</v>
      </c>
      <c r="AF143" s="9" t="s">
        <v>76</v>
      </c>
      <c r="AG143" s="9">
        <f t="shared" si="17"/>
        <v>5.5</v>
      </c>
      <c r="AH143" s="9" t="s">
        <v>73</v>
      </c>
      <c r="AI143" s="9">
        <f t="shared" si="18"/>
        <v>2</v>
      </c>
      <c r="AJ143" s="9" t="s">
        <v>77</v>
      </c>
      <c r="AK143" s="9">
        <f t="shared" si="19"/>
        <v>1</v>
      </c>
      <c r="AL143" s="9" t="s">
        <v>77</v>
      </c>
      <c r="AM143" s="9">
        <f t="shared" si="20"/>
        <v>1</v>
      </c>
      <c r="AN143" s="9" t="s">
        <v>77</v>
      </c>
      <c r="AO143" s="9">
        <f t="shared" si="21"/>
        <v>1</v>
      </c>
      <c r="AP143" s="9" t="s">
        <v>73</v>
      </c>
      <c r="AQ143" s="9">
        <f t="shared" si="22"/>
        <v>2</v>
      </c>
      <c r="AR143" s="9" t="s">
        <v>77</v>
      </c>
      <c r="AS143" s="9">
        <f t="shared" si="23"/>
        <v>1</v>
      </c>
      <c r="AT143" s="9" t="s">
        <v>247</v>
      </c>
      <c r="AU143" s="9">
        <f t="shared" si="24"/>
        <v>1</v>
      </c>
      <c r="AV143" s="9">
        <f t="shared" si="25"/>
        <v>0</v>
      </c>
      <c r="AW143" s="9">
        <f t="shared" si="26"/>
        <v>0</v>
      </c>
      <c r="AX143" s="9">
        <f t="shared" si="27"/>
        <v>0</v>
      </c>
      <c r="AY143" s="9">
        <f t="shared" si="28"/>
        <v>0</v>
      </c>
      <c r="AZ143" s="9">
        <f t="shared" si="29"/>
        <v>0</v>
      </c>
      <c r="BA143" s="9">
        <f t="shared" si="30"/>
        <v>0</v>
      </c>
      <c r="BB143" s="9" t="s">
        <v>88</v>
      </c>
      <c r="BC143" s="9">
        <f t="shared" si="31"/>
        <v>2</v>
      </c>
      <c r="BD143" s="12"/>
      <c r="BE143" s="9" t="str">
        <f t="shared" si="45"/>
        <v>N/A</v>
      </c>
      <c r="BF143" s="9" t="s">
        <v>157</v>
      </c>
      <c r="BG143" s="9">
        <f t="shared" si="33"/>
        <v>0</v>
      </c>
      <c r="BH143" s="9">
        <f t="shared" si="34"/>
        <v>0</v>
      </c>
      <c r="BI143" s="9">
        <f t="shared" si="35"/>
        <v>0</v>
      </c>
      <c r="BJ143" s="9">
        <f t="shared" si="36"/>
        <v>1</v>
      </c>
      <c r="BK143" s="9">
        <f t="shared" si="37"/>
        <v>0</v>
      </c>
      <c r="BL143" s="9">
        <f t="shared" si="38"/>
        <v>1</v>
      </c>
      <c r="BM143" s="9">
        <f t="shared" si="39"/>
        <v>1</v>
      </c>
      <c r="BN143" s="9" t="s">
        <v>68</v>
      </c>
      <c r="BO143" s="11">
        <f t="shared" si="40"/>
        <v>1</v>
      </c>
    </row>
    <row r="144" ht="22.5" customHeight="1">
      <c r="A144" s="9">
        <f t="shared" si="41"/>
        <v>143</v>
      </c>
      <c r="B144" s="10">
        <v>46050.91982916667</v>
      </c>
      <c r="C144" s="9" t="s">
        <v>67</v>
      </c>
      <c r="D144" s="9">
        <f t="shared" si="1"/>
        <v>1</v>
      </c>
      <c r="E144" s="9" t="s">
        <v>68</v>
      </c>
      <c r="F144" s="9">
        <f t="shared" si="2"/>
        <v>1</v>
      </c>
      <c r="G144" s="9" t="s">
        <v>69</v>
      </c>
      <c r="H144" s="9" t="str">
        <f t="shared" si="3"/>
        <v>Rural</v>
      </c>
      <c r="I144" s="9">
        <f t="shared" si="4"/>
        <v>1</v>
      </c>
      <c r="J144" s="9" t="s">
        <v>145</v>
      </c>
      <c r="K144" s="9" t="s">
        <v>146</v>
      </c>
      <c r="L144" s="9">
        <f t="shared" si="5"/>
        <v>1</v>
      </c>
      <c r="M144" s="9" t="s">
        <v>76</v>
      </c>
      <c r="N144" s="9">
        <f t="shared" si="6"/>
        <v>5.5</v>
      </c>
      <c r="O144" s="9" t="s">
        <v>73</v>
      </c>
      <c r="P144" s="9">
        <f t="shared" si="7"/>
        <v>2</v>
      </c>
      <c r="Q144" s="9" t="s">
        <v>73</v>
      </c>
      <c r="R144" s="9">
        <f t="shared" si="8"/>
        <v>2</v>
      </c>
      <c r="S144" s="9" t="s">
        <v>78</v>
      </c>
      <c r="T144" s="9">
        <f t="shared" si="9"/>
        <v>3</v>
      </c>
      <c r="U144" s="9" t="s">
        <v>74</v>
      </c>
      <c r="V144" s="9">
        <f t="shared" si="10"/>
        <v>1.5</v>
      </c>
      <c r="W144" s="9" t="s">
        <v>105</v>
      </c>
      <c r="X144" s="9">
        <f t="shared" si="11"/>
        <v>1</v>
      </c>
      <c r="Y144" s="9">
        <f t="shared" si="12"/>
        <v>1</v>
      </c>
      <c r="Z144" s="9">
        <f t="shared" si="13"/>
        <v>0</v>
      </c>
      <c r="AA144" s="9">
        <f t="shared" si="14"/>
        <v>0</v>
      </c>
      <c r="AB144" s="9" t="s">
        <v>72</v>
      </c>
      <c r="AC144" s="9">
        <f t="shared" si="15"/>
        <v>1</v>
      </c>
      <c r="AD144" s="9" t="s">
        <v>73</v>
      </c>
      <c r="AE144" s="9">
        <f t="shared" si="16"/>
        <v>2</v>
      </c>
      <c r="AF144" s="9" t="s">
        <v>71</v>
      </c>
      <c r="AG144" s="9">
        <f t="shared" si="17"/>
        <v>7.7</v>
      </c>
      <c r="AH144" s="9" t="s">
        <v>85</v>
      </c>
      <c r="AI144" s="9">
        <f t="shared" si="18"/>
        <v>4</v>
      </c>
      <c r="AJ144" s="9" t="s">
        <v>78</v>
      </c>
      <c r="AK144" s="9">
        <f t="shared" si="19"/>
        <v>3</v>
      </c>
      <c r="AL144" s="9" t="s">
        <v>78</v>
      </c>
      <c r="AM144" s="9">
        <f t="shared" si="20"/>
        <v>3</v>
      </c>
      <c r="AN144" s="9" t="s">
        <v>85</v>
      </c>
      <c r="AO144" s="9">
        <f t="shared" si="21"/>
        <v>4</v>
      </c>
      <c r="AP144" s="9" t="s">
        <v>78</v>
      </c>
      <c r="AQ144" s="9">
        <f t="shared" si="22"/>
        <v>3</v>
      </c>
      <c r="AR144" s="9" t="s">
        <v>78</v>
      </c>
      <c r="AS144" s="9">
        <f t="shared" si="23"/>
        <v>3</v>
      </c>
      <c r="AT144" s="9" t="s">
        <v>147</v>
      </c>
      <c r="AU144" s="9">
        <f t="shared" si="24"/>
        <v>1</v>
      </c>
      <c r="AV144" s="9">
        <f t="shared" si="25"/>
        <v>0</v>
      </c>
      <c r="AW144" s="9">
        <f t="shared" si="26"/>
        <v>0</v>
      </c>
      <c r="AX144" s="9">
        <f t="shared" si="27"/>
        <v>0</v>
      </c>
      <c r="AY144" s="9">
        <f t="shared" si="28"/>
        <v>0</v>
      </c>
      <c r="AZ144" s="9">
        <f t="shared" si="29"/>
        <v>0</v>
      </c>
      <c r="BA144" s="9">
        <f t="shared" si="30"/>
        <v>0</v>
      </c>
      <c r="BB144" s="9" t="s">
        <v>88</v>
      </c>
      <c r="BC144" s="9">
        <f t="shared" si="31"/>
        <v>2</v>
      </c>
      <c r="BD144" s="12"/>
      <c r="BE144" s="9" t="str">
        <f t="shared" si="45"/>
        <v>N/A</v>
      </c>
      <c r="BF144" s="9" t="s">
        <v>107</v>
      </c>
      <c r="BG144" s="9">
        <f t="shared" si="33"/>
        <v>1</v>
      </c>
      <c r="BH144" s="9">
        <f t="shared" si="34"/>
        <v>0</v>
      </c>
      <c r="BI144" s="9">
        <f t="shared" si="35"/>
        <v>0</v>
      </c>
      <c r="BJ144" s="9">
        <f t="shared" si="36"/>
        <v>0</v>
      </c>
      <c r="BK144" s="9">
        <f t="shared" si="37"/>
        <v>0</v>
      </c>
      <c r="BL144" s="9">
        <f t="shared" si="38"/>
        <v>0</v>
      </c>
      <c r="BM144" s="9">
        <f t="shared" si="39"/>
        <v>0</v>
      </c>
      <c r="BN144" s="9" t="s">
        <v>88</v>
      </c>
      <c r="BO144" s="11">
        <f t="shared" si="40"/>
        <v>2</v>
      </c>
    </row>
    <row r="145" ht="22.5" customHeight="1">
      <c r="A145" s="9">
        <f t="shared" si="41"/>
        <v>144</v>
      </c>
      <c r="B145" s="10">
        <v>46050.92031347222</v>
      </c>
      <c r="C145" s="9" t="s">
        <v>67</v>
      </c>
      <c r="D145" s="9">
        <f t="shared" si="1"/>
        <v>1</v>
      </c>
      <c r="E145" s="9" t="s">
        <v>68</v>
      </c>
      <c r="F145" s="9">
        <f t="shared" si="2"/>
        <v>1</v>
      </c>
      <c r="G145" s="9" t="s">
        <v>91</v>
      </c>
      <c r="H145" s="9" t="str">
        <f t="shared" si="3"/>
        <v>Urban</v>
      </c>
      <c r="I145" s="9">
        <f t="shared" si="4"/>
        <v>2</v>
      </c>
      <c r="J145" s="9" t="s">
        <v>145</v>
      </c>
      <c r="K145" s="9" t="s">
        <v>146</v>
      </c>
      <c r="L145" s="9">
        <f t="shared" si="5"/>
        <v>1</v>
      </c>
      <c r="M145" s="9" t="s">
        <v>71</v>
      </c>
      <c r="N145" s="9">
        <f t="shared" si="6"/>
        <v>7.7</v>
      </c>
      <c r="O145" s="9" t="s">
        <v>78</v>
      </c>
      <c r="P145" s="9">
        <f t="shared" si="7"/>
        <v>3</v>
      </c>
      <c r="Q145" s="9" t="s">
        <v>85</v>
      </c>
      <c r="R145" s="9">
        <f t="shared" si="8"/>
        <v>4</v>
      </c>
      <c r="S145" s="9" t="s">
        <v>78</v>
      </c>
      <c r="T145" s="9">
        <f t="shared" si="9"/>
        <v>3</v>
      </c>
      <c r="U145" s="9" t="s">
        <v>110</v>
      </c>
      <c r="V145" s="9">
        <f t="shared" si="10"/>
        <v>0.75</v>
      </c>
      <c r="W145" s="9" t="s">
        <v>97</v>
      </c>
      <c r="X145" s="9">
        <f t="shared" si="11"/>
        <v>1</v>
      </c>
      <c r="Y145" s="9">
        <f t="shared" si="12"/>
        <v>0</v>
      </c>
      <c r="Z145" s="9">
        <f t="shared" si="13"/>
        <v>1</v>
      </c>
      <c r="AA145" s="9">
        <f t="shared" si="14"/>
        <v>0</v>
      </c>
      <c r="AB145" s="9" t="s">
        <v>78</v>
      </c>
      <c r="AC145" s="9">
        <f t="shared" si="15"/>
        <v>3</v>
      </c>
      <c r="AD145" s="9" t="s">
        <v>78</v>
      </c>
      <c r="AE145" s="9">
        <f t="shared" si="16"/>
        <v>3</v>
      </c>
      <c r="AF145" s="9" t="s">
        <v>71</v>
      </c>
      <c r="AG145" s="9">
        <f t="shared" si="17"/>
        <v>7.7</v>
      </c>
      <c r="AH145" s="9" t="s">
        <v>85</v>
      </c>
      <c r="AI145" s="9">
        <f t="shared" si="18"/>
        <v>4</v>
      </c>
      <c r="AJ145" s="9" t="s">
        <v>78</v>
      </c>
      <c r="AK145" s="9">
        <f t="shared" si="19"/>
        <v>3</v>
      </c>
      <c r="AL145" s="9" t="s">
        <v>85</v>
      </c>
      <c r="AM145" s="9">
        <f t="shared" si="20"/>
        <v>4</v>
      </c>
      <c r="AN145" s="9" t="s">
        <v>78</v>
      </c>
      <c r="AO145" s="9">
        <f t="shared" si="21"/>
        <v>3</v>
      </c>
      <c r="AP145" s="9" t="s">
        <v>78</v>
      </c>
      <c r="AQ145" s="9">
        <f t="shared" si="22"/>
        <v>3</v>
      </c>
      <c r="AR145" s="9" t="s">
        <v>78</v>
      </c>
      <c r="AS145" s="9">
        <f t="shared" si="23"/>
        <v>3</v>
      </c>
      <c r="AT145" s="9" t="s">
        <v>162</v>
      </c>
      <c r="AU145" s="9">
        <f t="shared" si="24"/>
        <v>0</v>
      </c>
      <c r="AV145" s="9">
        <f t="shared" si="25"/>
        <v>0</v>
      </c>
      <c r="AW145" s="9">
        <f t="shared" si="26"/>
        <v>0</v>
      </c>
      <c r="AX145" s="9">
        <f t="shared" si="27"/>
        <v>0</v>
      </c>
      <c r="AY145" s="9">
        <f t="shared" si="28"/>
        <v>0</v>
      </c>
      <c r="AZ145" s="9">
        <f t="shared" si="29"/>
        <v>1</v>
      </c>
      <c r="BA145" s="9">
        <f t="shared" si="30"/>
        <v>0</v>
      </c>
      <c r="BB145" s="9" t="s">
        <v>88</v>
      </c>
      <c r="BC145" s="9">
        <f t="shared" si="31"/>
        <v>2</v>
      </c>
      <c r="BD145" s="12"/>
      <c r="BE145" s="9" t="str">
        <f t="shared" si="45"/>
        <v>N/A</v>
      </c>
      <c r="BF145" s="9" t="s">
        <v>248</v>
      </c>
      <c r="BG145" s="9">
        <f t="shared" si="33"/>
        <v>0</v>
      </c>
      <c r="BH145" s="9">
        <f t="shared" si="34"/>
        <v>0</v>
      </c>
      <c r="BI145" s="9">
        <f t="shared" si="35"/>
        <v>0</v>
      </c>
      <c r="BJ145" s="9">
        <f t="shared" si="36"/>
        <v>1</v>
      </c>
      <c r="BK145" s="9">
        <f t="shared" si="37"/>
        <v>0</v>
      </c>
      <c r="BL145" s="9">
        <f t="shared" si="38"/>
        <v>0</v>
      </c>
      <c r="BM145" s="9">
        <f t="shared" si="39"/>
        <v>1</v>
      </c>
      <c r="BN145" s="9" t="s">
        <v>108</v>
      </c>
      <c r="BO145" s="11">
        <f t="shared" si="40"/>
        <v>3</v>
      </c>
    </row>
    <row r="146" ht="22.5" customHeight="1">
      <c r="A146" s="9">
        <f t="shared" si="41"/>
        <v>145</v>
      </c>
      <c r="B146" s="10">
        <v>46050.92234439815</v>
      </c>
      <c r="C146" s="9" t="s">
        <v>90</v>
      </c>
      <c r="D146" s="9">
        <f t="shared" si="1"/>
        <v>2</v>
      </c>
      <c r="E146" s="9" t="s">
        <v>68</v>
      </c>
      <c r="F146" s="9">
        <f t="shared" si="2"/>
        <v>1</v>
      </c>
      <c r="G146" s="9" t="s">
        <v>91</v>
      </c>
      <c r="H146" s="9" t="str">
        <f t="shared" si="3"/>
        <v>Urban</v>
      </c>
      <c r="I146" s="9">
        <f t="shared" si="4"/>
        <v>2</v>
      </c>
      <c r="J146" s="9" t="s">
        <v>83</v>
      </c>
      <c r="K146" s="9" t="s">
        <v>84</v>
      </c>
      <c r="L146" s="9">
        <f t="shared" si="5"/>
        <v>2</v>
      </c>
      <c r="M146" s="9" t="s">
        <v>101</v>
      </c>
      <c r="N146" s="9">
        <f t="shared" si="6"/>
        <v>2</v>
      </c>
      <c r="O146" s="9" t="s">
        <v>78</v>
      </c>
      <c r="P146" s="9">
        <f t="shared" si="7"/>
        <v>3</v>
      </c>
      <c r="Q146" s="9" t="s">
        <v>85</v>
      </c>
      <c r="R146" s="9">
        <f t="shared" si="8"/>
        <v>4</v>
      </c>
      <c r="S146" s="9" t="s">
        <v>85</v>
      </c>
      <c r="T146" s="9">
        <f t="shared" si="9"/>
        <v>4</v>
      </c>
      <c r="U146" s="9" t="s">
        <v>92</v>
      </c>
      <c r="V146" s="9">
        <f t="shared" si="10"/>
        <v>3.5</v>
      </c>
      <c r="W146" s="9" t="s">
        <v>143</v>
      </c>
      <c r="X146" s="9">
        <f t="shared" si="11"/>
        <v>1</v>
      </c>
      <c r="Y146" s="9">
        <f t="shared" si="12"/>
        <v>0</v>
      </c>
      <c r="Z146" s="9">
        <f t="shared" si="13"/>
        <v>0</v>
      </c>
      <c r="AA146" s="9">
        <f t="shared" si="14"/>
        <v>0</v>
      </c>
      <c r="AB146" s="9" t="s">
        <v>85</v>
      </c>
      <c r="AC146" s="9">
        <f t="shared" si="15"/>
        <v>4</v>
      </c>
      <c r="AD146" s="9" t="s">
        <v>78</v>
      </c>
      <c r="AE146" s="9">
        <f t="shared" si="16"/>
        <v>3</v>
      </c>
      <c r="AF146" s="9" t="s">
        <v>71</v>
      </c>
      <c r="AG146" s="9">
        <f t="shared" si="17"/>
        <v>7.7</v>
      </c>
      <c r="AH146" s="9" t="s">
        <v>85</v>
      </c>
      <c r="AI146" s="9">
        <f t="shared" si="18"/>
        <v>4</v>
      </c>
      <c r="AJ146" s="9" t="s">
        <v>73</v>
      </c>
      <c r="AK146" s="9">
        <f t="shared" si="19"/>
        <v>2</v>
      </c>
      <c r="AL146" s="9" t="s">
        <v>78</v>
      </c>
      <c r="AM146" s="9">
        <f t="shared" si="20"/>
        <v>3</v>
      </c>
      <c r="AN146" s="9" t="s">
        <v>85</v>
      </c>
      <c r="AO146" s="9">
        <f t="shared" si="21"/>
        <v>4</v>
      </c>
      <c r="AP146" s="9" t="s">
        <v>85</v>
      </c>
      <c r="AQ146" s="9">
        <f t="shared" si="22"/>
        <v>4</v>
      </c>
      <c r="AR146" s="9" t="s">
        <v>85</v>
      </c>
      <c r="AS146" s="9">
        <f t="shared" si="23"/>
        <v>4</v>
      </c>
      <c r="AT146" s="9" t="s">
        <v>238</v>
      </c>
      <c r="AU146" s="9">
        <f t="shared" si="24"/>
        <v>1</v>
      </c>
      <c r="AV146" s="9">
        <f t="shared" si="25"/>
        <v>0</v>
      </c>
      <c r="AW146" s="9">
        <f t="shared" si="26"/>
        <v>0</v>
      </c>
      <c r="AX146" s="9">
        <f t="shared" si="27"/>
        <v>1</v>
      </c>
      <c r="AY146" s="9">
        <f t="shared" si="28"/>
        <v>0</v>
      </c>
      <c r="AZ146" s="9">
        <f t="shared" si="29"/>
        <v>1</v>
      </c>
      <c r="BA146" s="9">
        <f t="shared" si="30"/>
        <v>0</v>
      </c>
      <c r="BB146" s="9" t="s">
        <v>88</v>
      </c>
      <c r="BC146" s="9">
        <f t="shared" si="31"/>
        <v>2</v>
      </c>
      <c r="BD146" s="12"/>
      <c r="BE146" s="9" t="str">
        <f t="shared" si="45"/>
        <v>N/A</v>
      </c>
      <c r="BF146" s="9" t="s">
        <v>249</v>
      </c>
      <c r="BG146" s="9">
        <f t="shared" si="33"/>
        <v>1</v>
      </c>
      <c r="BH146" s="9">
        <f t="shared" si="34"/>
        <v>0</v>
      </c>
      <c r="BI146" s="9">
        <f t="shared" si="35"/>
        <v>1</v>
      </c>
      <c r="BJ146" s="9">
        <f t="shared" si="36"/>
        <v>0</v>
      </c>
      <c r="BK146" s="9">
        <f t="shared" si="37"/>
        <v>0</v>
      </c>
      <c r="BL146" s="9">
        <f t="shared" si="38"/>
        <v>0</v>
      </c>
      <c r="BM146" s="9">
        <f t="shared" si="39"/>
        <v>1</v>
      </c>
      <c r="BN146" s="9" t="s">
        <v>68</v>
      </c>
      <c r="BO146" s="11">
        <f t="shared" si="40"/>
        <v>1</v>
      </c>
    </row>
    <row r="147" ht="22.5" customHeight="1">
      <c r="A147" s="9">
        <f t="shared" si="41"/>
        <v>146</v>
      </c>
      <c r="B147" s="10">
        <v>46050.92441446759</v>
      </c>
      <c r="C147" s="9" t="s">
        <v>67</v>
      </c>
      <c r="D147" s="9">
        <f t="shared" si="1"/>
        <v>1</v>
      </c>
      <c r="E147" s="9" t="s">
        <v>68</v>
      </c>
      <c r="F147" s="9">
        <f t="shared" si="2"/>
        <v>1</v>
      </c>
      <c r="G147" s="9" t="s">
        <v>69</v>
      </c>
      <c r="H147" s="9" t="str">
        <f t="shared" si="3"/>
        <v>Rural</v>
      </c>
      <c r="I147" s="9">
        <f t="shared" si="4"/>
        <v>1</v>
      </c>
      <c r="J147" s="9" t="s">
        <v>70</v>
      </c>
      <c r="K147" s="9" t="s">
        <v>100</v>
      </c>
      <c r="L147" s="9">
        <f t="shared" si="5"/>
        <v>3</v>
      </c>
      <c r="M147" s="9" t="s">
        <v>109</v>
      </c>
      <c r="N147" s="9">
        <f t="shared" si="6"/>
        <v>9</v>
      </c>
      <c r="O147" s="9" t="s">
        <v>73</v>
      </c>
      <c r="P147" s="9">
        <f t="shared" si="7"/>
        <v>2</v>
      </c>
      <c r="Q147" s="9" t="s">
        <v>78</v>
      </c>
      <c r="R147" s="9">
        <f t="shared" si="8"/>
        <v>3</v>
      </c>
      <c r="S147" s="9" t="s">
        <v>78</v>
      </c>
      <c r="T147" s="9">
        <f t="shared" si="9"/>
        <v>3</v>
      </c>
      <c r="U147" s="9" t="s">
        <v>110</v>
      </c>
      <c r="V147" s="9">
        <f t="shared" si="10"/>
        <v>0.75</v>
      </c>
      <c r="W147" s="9" t="s">
        <v>102</v>
      </c>
      <c r="X147" s="9">
        <f t="shared" si="11"/>
        <v>1</v>
      </c>
      <c r="Y147" s="9">
        <f t="shared" si="12"/>
        <v>1</v>
      </c>
      <c r="Z147" s="9">
        <f t="shared" si="13"/>
        <v>1</v>
      </c>
      <c r="AA147" s="9">
        <f t="shared" si="14"/>
        <v>1</v>
      </c>
      <c r="AB147" s="9" t="s">
        <v>78</v>
      </c>
      <c r="AC147" s="9">
        <f t="shared" si="15"/>
        <v>3</v>
      </c>
      <c r="AD147" s="9" t="s">
        <v>78</v>
      </c>
      <c r="AE147" s="9">
        <f t="shared" si="16"/>
        <v>3</v>
      </c>
      <c r="AF147" s="9" t="s">
        <v>71</v>
      </c>
      <c r="AG147" s="9">
        <f t="shared" si="17"/>
        <v>7.7</v>
      </c>
      <c r="AH147" s="9" t="s">
        <v>103</v>
      </c>
      <c r="AI147" s="9">
        <f t="shared" si="18"/>
        <v>5</v>
      </c>
      <c r="AJ147" s="9" t="s">
        <v>78</v>
      </c>
      <c r="AK147" s="9">
        <f t="shared" si="19"/>
        <v>3</v>
      </c>
      <c r="AL147" s="9" t="s">
        <v>85</v>
      </c>
      <c r="AM147" s="9">
        <f t="shared" si="20"/>
        <v>4</v>
      </c>
      <c r="AN147" s="9" t="s">
        <v>85</v>
      </c>
      <c r="AO147" s="9">
        <f t="shared" si="21"/>
        <v>4</v>
      </c>
      <c r="AP147" s="9" t="s">
        <v>77</v>
      </c>
      <c r="AQ147" s="9">
        <f t="shared" si="22"/>
        <v>1</v>
      </c>
      <c r="AR147" s="9" t="s">
        <v>78</v>
      </c>
      <c r="AS147" s="9">
        <f t="shared" si="23"/>
        <v>3</v>
      </c>
      <c r="AT147" s="9" t="s">
        <v>188</v>
      </c>
      <c r="AU147" s="9">
        <f t="shared" si="24"/>
        <v>1</v>
      </c>
      <c r="AV147" s="9">
        <f t="shared" si="25"/>
        <v>1</v>
      </c>
      <c r="AW147" s="9">
        <f t="shared" si="26"/>
        <v>0</v>
      </c>
      <c r="AX147" s="9">
        <f t="shared" si="27"/>
        <v>1</v>
      </c>
      <c r="AY147" s="9">
        <f t="shared" si="28"/>
        <v>0</v>
      </c>
      <c r="AZ147" s="9">
        <f t="shared" si="29"/>
        <v>0</v>
      </c>
      <c r="BA147" s="9">
        <f t="shared" si="30"/>
        <v>0</v>
      </c>
      <c r="BB147" s="9" t="s">
        <v>88</v>
      </c>
      <c r="BC147" s="9">
        <f t="shared" si="31"/>
        <v>2</v>
      </c>
      <c r="BD147" s="12"/>
      <c r="BE147" s="9" t="str">
        <f t="shared" si="45"/>
        <v>N/A</v>
      </c>
      <c r="BF147" s="9" t="s">
        <v>250</v>
      </c>
      <c r="BG147" s="9">
        <f t="shared" si="33"/>
        <v>1</v>
      </c>
      <c r="BH147" s="9">
        <f t="shared" si="34"/>
        <v>0</v>
      </c>
      <c r="BI147" s="9">
        <f t="shared" si="35"/>
        <v>1</v>
      </c>
      <c r="BJ147" s="9">
        <f t="shared" si="36"/>
        <v>1</v>
      </c>
      <c r="BK147" s="9">
        <f t="shared" si="37"/>
        <v>0</v>
      </c>
      <c r="BL147" s="9">
        <f t="shared" si="38"/>
        <v>1</v>
      </c>
      <c r="BM147" s="9">
        <f t="shared" si="39"/>
        <v>1</v>
      </c>
      <c r="BN147" s="9" t="s">
        <v>108</v>
      </c>
      <c r="BO147" s="11">
        <f t="shared" si="40"/>
        <v>3</v>
      </c>
    </row>
    <row r="148" ht="22.5" customHeight="1">
      <c r="A148" s="9">
        <f t="shared" si="41"/>
        <v>147</v>
      </c>
      <c r="B148" s="10">
        <v>46050.926500104164</v>
      </c>
      <c r="C148" s="9" t="s">
        <v>90</v>
      </c>
      <c r="D148" s="9">
        <f t="shared" si="1"/>
        <v>2</v>
      </c>
      <c r="E148" s="9" t="s">
        <v>68</v>
      </c>
      <c r="F148" s="9">
        <f t="shared" si="2"/>
        <v>1</v>
      </c>
      <c r="G148" s="9" t="s">
        <v>91</v>
      </c>
      <c r="H148" s="9" t="str">
        <f t="shared" si="3"/>
        <v>Urban</v>
      </c>
      <c r="I148" s="9">
        <f t="shared" si="4"/>
        <v>2</v>
      </c>
      <c r="J148" s="9" t="s">
        <v>70</v>
      </c>
      <c r="K148" s="9" t="s">
        <v>100</v>
      </c>
      <c r="L148" s="9">
        <f t="shared" si="5"/>
        <v>3</v>
      </c>
      <c r="M148" s="9" t="s">
        <v>101</v>
      </c>
      <c r="N148" s="9">
        <f t="shared" si="6"/>
        <v>2</v>
      </c>
      <c r="O148" s="9" t="s">
        <v>78</v>
      </c>
      <c r="P148" s="9">
        <f t="shared" si="7"/>
        <v>3</v>
      </c>
      <c r="Q148" s="9" t="s">
        <v>78</v>
      </c>
      <c r="R148" s="9">
        <f t="shared" si="8"/>
        <v>3</v>
      </c>
      <c r="S148" s="9" t="s">
        <v>85</v>
      </c>
      <c r="T148" s="9">
        <f t="shared" si="9"/>
        <v>4</v>
      </c>
      <c r="U148" s="9" t="s">
        <v>110</v>
      </c>
      <c r="V148" s="9">
        <f t="shared" si="10"/>
        <v>0.75</v>
      </c>
      <c r="W148" s="9" t="s">
        <v>93</v>
      </c>
      <c r="X148" s="9">
        <f t="shared" si="11"/>
        <v>0</v>
      </c>
      <c r="Y148" s="9">
        <f t="shared" si="12"/>
        <v>1</v>
      </c>
      <c r="Z148" s="9">
        <f t="shared" si="13"/>
        <v>0</v>
      </c>
      <c r="AA148" s="9">
        <f t="shared" si="14"/>
        <v>0</v>
      </c>
      <c r="AB148" s="9" t="s">
        <v>85</v>
      </c>
      <c r="AC148" s="9">
        <f t="shared" si="15"/>
        <v>4</v>
      </c>
      <c r="AD148" s="9" t="s">
        <v>85</v>
      </c>
      <c r="AE148" s="9">
        <f t="shared" si="16"/>
        <v>4</v>
      </c>
      <c r="AF148" s="9" t="s">
        <v>71</v>
      </c>
      <c r="AG148" s="9">
        <f t="shared" si="17"/>
        <v>7.7</v>
      </c>
      <c r="AH148" s="9" t="s">
        <v>85</v>
      </c>
      <c r="AI148" s="9">
        <f t="shared" si="18"/>
        <v>4</v>
      </c>
      <c r="AJ148" s="9" t="s">
        <v>78</v>
      </c>
      <c r="AK148" s="9">
        <f t="shared" si="19"/>
        <v>3</v>
      </c>
      <c r="AL148" s="9" t="s">
        <v>73</v>
      </c>
      <c r="AM148" s="9">
        <f t="shared" si="20"/>
        <v>2</v>
      </c>
      <c r="AN148" s="9" t="s">
        <v>85</v>
      </c>
      <c r="AO148" s="9">
        <f t="shared" si="21"/>
        <v>4</v>
      </c>
      <c r="AP148" s="9" t="s">
        <v>85</v>
      </c>
      <c r="AQ148" s="9">
        <f t="shared" si="22"/>
        <v>4</v>
      </c>
      <c r="AR148" s="9" t="s">
        <v>85</v>
      </c>
      <c r="AS148" s="9">
        <f t="shared" si="23"/>
        <v>4</v>
      </c>
      <c r="AT148" s="9" t="s">
        <v>238</v>
      </c>
      <c r="AU148" s="9">
        <f t="shared" si="24"/>
        <v>1</v>
      </c>
      <c r="AV148" s="9">
        <f t="shared" si="25"/>
        <v>0</v>
      </c>
      <c r="AW148" s="9">
        <f t="shared" si="26"/>
        <v>0</v>
      </c>
      <c r="AX148" s="9">
        <f t="shared" si="27"/>
        <v>1</v>
      </c>
      <c r="AY148" s="9">
        <f t="shared" si="28"/>
        <v>0</v>
      </c>
      <c r="AZ148" s="9">
        <f t="shared" si="29"/>
        <v>1</v>
      </c>
      <c r="BA148" s="9">
        <f t="shared" si="30"/>
        <v>0</v>
      </c>
      <c r="BB148" s="9" t="s">
        <v>88</v>
      </c>
      <c r="BC148" s="9">
        <f t="shared" si="31"/>
        <v>2</v>
      </c>
      <c r="BD148" s="12"/>
      <c r="BE148" s="9" t="str">
        <f t="shared" si="45"/>
        <v>N/A</v>
      </c>
      <c r="BF148" s="9" t="s">
        <v>130</v>
      </c>
      <c r="BG148" s="9">
        <f t="shared" si="33"/>
        <v>1</v>
      </c>
      <c r="BH148" s="9">
        <f t="shared" si="34"/>
        <v>0</v>
      </c>
      <c r="BI148" s="9">
        <f t="shared" si="35"/>
        <v>0</v>
      </c>
      <c r="BJ148" s="9">
        <f t="shared" si="36"/>
        <v>1</v>
      </c>
      <c r="BK148" s="9">
        <f t="shared" si="37"/>
        <v>1</v>
      </c>
      <c r="BL148" s="9">
        <f t="shared" si="38"/>
        <v>0</v>
      </c>
      <c r="BM148" s="9">
        <f t="shared" si="39"/>
        <v>0</v>
      </c>
      <c r="BN148" s="9" t="s">
        <v>68</v>
      </c>
      <c r="BO148" s="11">
        <f t="shared" si="40"/>
        <v>1</v>
      </c>
    </row>
    <row r="149" ht="22.5" customHeight="1">
      <c r="A149" s="9">
        <f t="shared" si="41"/>
        <v>148</v>
      </c>
      <c r="B149" s="10">
        <v>46050.92945994213</v>
      </c>
      <c r="C149" s="9" t="s">
        <v>90</v>
      </c>
      <c r="D149" s="9">
        <f t="shared" si="1"/>
        <v>2</v>
      </c>
      <c r="E149" s="9" t="s">
        <v>68</v>
      </c>
      <c r="F149" s="9">
        <f t="shared" si="2"/>
        <v>1</v>
      </c>
      <c r="G149" s="9" t="s">
        <v>82</v>
      </c>
      <c r="H149" s="9" t="str">
        <f t="shared" si="3"/>
        <v>Urban</v>
      </c>
      <c r="I149" s="9">
        <f t="shared" si="4"/>
        <v>2</v>
      </c>
      <c r="J149" s="9" t="s">
        <v>83</v>
      </c>
      <c r="K149" s="9" t="s">
        <v>84</v>
      </c>
      <c r="L149" s="9">
        <f t="shared" si="5"/>
        <v>2</v>
      </c>
      <c r="M149" s="9" t="s">
        <v>101</v>
      </c>
      <c r="N149" s="9">
        <f t="shared" si="6"/>
        <v>2</v>
      </c>
      <c r="O149" s="9" t="s">
        <v>73</v>
      </c>
      <c r="P149" s="9">
        <f t="shared" si="7"/>
        <v>2</v>
      </c>
      <c r="Q149" s="9" t="s">
        <v>103</v>
      </c>
      <c r="R149" s="9">
        <f t="shared" si="8"/>
        <v>5</v>
      </c>
      <c r="S149" s="9" t="s">
        <v>73</v>
      </c>
      <c r="T149" s="9">
        <f t="shared" si="9"/>
        <v>2</v>
      </c>
      <c r="U149" s="9" t="s">
        <v>92</v>
      </c>
      <c r="V149" s="9">
        <f t="shared" si="10"/>
        <v>3.5</v>
      </c>
      <c r="W149" s="9" t="s">
        <v>111</v>
      </c>
      <c r="X149" s="9">
        <f t="shared" si="11"/>
        <v>1</v>
      </c>
      <c r="Y149" s="9">
        <f t="shared" si="12"/>
        <v>1</v>
      </c>
      <c r="Z149" s="9">
        <f t="shared" si="13"/>
        <v>0</v>
      </c>
      <c r="AA149" s="9">
        <f t="shared" si="14"/>
        <v>1</v>
      </c>
      <c r="AB149" s="9" t="s">
        <v>78</v>
      </c>
      <c r="AC149" s="9">
        <f t="shared" si="15"/>
        <v>3</v>
      </c>
      <c r="AD149" s="9" t="s">
        <v>73</v>
      </c>
      <c r="AE149" s="9">
        <f t="shared" si="16"/>
        <v>2</v>
      </c>
      <c r="AF149" s="9" t="s">
        <v>109</v>
      </c>
      <c r="AG149" s="9">
        <f t="shared" si="17"/>
        <v>9</v>
      </c>
      <c r="AH149" s="9" t="s">
        <v>103</v>
      </c>
      <c r="AI149" s="9">
        <f t="shared" si="18"/>
        <v>5</v>
      </c>
      <c r="AJ149" s="9" t="s">
        <v>73</v>
      </c>
      <c r="AK149" s="9">
        <f t="shared" si="19"/>
        <v>2</v>
      </c>
      <c r="AL149" s="9" t="s">
        <v>73</v>
      </c>
      <c r="AM149" s="9">
        <f t="shared" si="20"/>
        <v>2</v>
      </c>
      <c r="AN149" s="9" t="s">
        <v>120</v>
      </c>
      <c r="AO149" s="9">
        <f t="shared" si="21"/>
        <v>5</v>
      </c>
      <c r="AP149" s="9" t="s">
        <v>85</v>
      </c>
      <c r="AQ149" s="9">
        <f t="shared" si="22"/>
        <v>4</v>
      </c>
      <c r="AR149" s="9" t="s">
        <v>120</v>
      </c>
      <c r="AS149" s="9">
        <f t="shared" si="23"/>
        <v>5</v>
      </c>
      <c r="AT149" s="9" t="s">
        <v>251</v>
      </c>
      <c r="AU149" s="9">
        <f t="shared" si="24"/>
        <v>1</v>
      </c>
      <c r="AV149" s="9">
        <f t="shared" si="25"/>
        <v>1</v>
      </c>
      <c r="AW149" s="9">
        <f t="shared" si="26"/>
        <v>0</v>
      </c>
      <c r="AX149" s="9">
        <f t="shared" si="27"/>
        <v>1</v>
      </c>
      <c r="AY149" s="9">
        <f t="shared" si="28"/>
        <v>0</v>
      </c>
      <c r="AZ149" s="9">
        <f t="shared" si="29"/>
        <v>1</v>
      </c>
      <c r="BA149" s="9">
        <f t="shared" si="30"/>
        <v>1</v>
      </c>
      <c r="BB149" s="9" t="s">
        <v>88</v>
      </c>
      <c r="BC149" s="9">
        <f t="shared" si="31"/>
        <v>2</v>
      </c>
      <c r="BD149" s="12"/>
      <c r="BE149" s="9" t="str">
        <f t="shared" si="45"/>
        <v>N/A</v>
      </c>
      <c r="BF149" s="9" t="s">
        <v>89</v>
      </c>
      <c r="BG149" s="9">
        <f t="shared" si="33"/>
        <v>1</v>
      </c>
      <c r="BH149" s="9">
        <f t="shared" si="34"/>
        <v>1</v>
      </c>
      <c r="BI149" s="9">
        <f t="shared" si="35"/>
        <v>1</v>
      </c>
      <c r="BJ149" s="9">
        <f t="shared" si="36"/>
        <v>1</v>
      </c>
      <c r="BK149" s="9">
        <f t="shared" si="37"/>
        <v>1</v>
      </c>
      <c r="BL149" s="9">
        <f t="shared" si="38"/>
        <v>1</v>
      </c>
      <c r="BM149" s="9">
        <f t="shared" si="39"/>
        <v>1</v>
      </c>
      <c r="BN149" s="9" t="s">
        <v>68</v>
      </c>
      <c r="BO149" s="11">
        <f t="shared" si="40"/>
        <v>1</v>
      </c>
    </row>
    <row r="150" ht="22.5" customHeight="1">
      <c r="A150" s="9">
        <f t="shared" si="41"/>
        <v>149</v>
      </c>
      <c r="B150" s="10">
        <v>46050.93984739583</v>
      </c>
      <c r="C150" s="9" t="s">
        <v>90</v>
      </c>
      <c r="D150" s="9">
        <f t="shared" si="1"/>
        <v>2</v>
      </c>
      <c r="E150" s="9" t="s">
        <v>68</v>
      </c>
      <c r="F150" s="9">
        <f t="shared" si="2"/>
        <v>1</v>
      </c>
      <c r="G150" s="9" t="s">
        <v>91</v>
      </c>
      <c r="H150" s="9" t="str">
        <f t="shared" si="3"/>
        <v>Urban</v>
      </c>
      <c r="I150" s="9">
        <f t="shared" si="4"/>
        <v>2</v>
      </c>
      <c r="J150" s="9" t="s">
        <v>70</v>
      </c>
      <c r="K150" s="9" t="s">
        <v>100</v>
      </c>
      <c r="L150" s="9">
        <f t="shared" si="5"/>
        <v>3</v>
      </c>
      <c r="M150" s="9" t="s">
        <v>71</v>
      </c>
      <c r="N150" s="9">
        <f t="shared" si="6"/>
        <v>7.7</v>
      </c>
      <c r="O150" s="9" t="s">
        <v>103</v>
      </c>
      <c r="P150" s="9">
        <f t="shared" si="7"/>
        <v>5</v>
      </c>
      <c r="Q150" s="9" t="s">
        <v>78</v>
      </c>
      <c r="R150" s="9">
        <f t="shared" si="8"/>
        <v>3</v>
      </c>
      <c r="S150" s="9" t="s">
        <v>103</v>
      </c>
      <c r="T150" s="9">
        <f t="shared" si="9"/>
        <v>5</v>
      </c>
      <c r="U150" s="9" t="s">
        <v>96</v>
      </c>
      <c r="V150" s="9">
        <f t="shared" si="10"/>
        <v>2.5</v>
      </c>
      <c r="W150" s="9" t="s">
        <v>86</v>
      </c>
      <c r="X150" s="9">
        <f t="shared" si="11"/>
        <v>1</v>
      </c>
      <c r="Y150" s="9">
        <f t="shared" si="12"/>
        <v>1</v>
      </c>
      <c r="Z150" s="9">
        <f t="shared" si="13"/>
        <v>1</v>
      </c>
      <c r="AA150" s="9">
        <f t="shared" si="14"/>
        <v>0</v>
      </c>
      <c r="AB150" s="9" t="s">
        <v>85</v>
      </c>
      <c r="AC150" s="9">
        <f t="shared" si="15"/>
        <v>4</v>
      </c>
      <c r="AD150" s="9" t="s">
        <v>78</v>
      </c>
      <c r="AE150" s="9">
        <f t="shared" si="16"/>
        <v>3</v>
      </c>
      <c r="AF150" s="9" t="s">
        <v>71</v>
      </c>
      <c r="AG150" s="9">
        <f t="shared" si="17"/>
        <v>7.7</v>
      </c>
      <c r="AH150" s="9" t="s">
        <v>85</v>
      </c>
      <c r="AI150" s="9">
        <f t="shared" si="18"/>
        <v>4</v>
      </c>
      <c r="AJ150" s="9" t="s">
        <v>78</v>
      </c>
      <c r="AK150" s="9">
        <f t="shared" si="19"/>
        <v>3</v>
      </c>
      <c r="AL150" s="9" t="s">
        <v>78</v>
      </c>
      <c r="AM150" s="9">
        <f t="shared" si="20"/>
        <v>3</v>
      </c>
      <c r="AN150" s="9" t="s">
        <v>85</v>
      </c>
      <c r="AO150" s="9">
        <f t="shared" si="21"/>
        <v>4</v>
      </c>
      <c r="AP150" s="9" t="s">
        <v>78</v>
      </c>
      <c r="AQ150" s="9">
        <f t="shared" si="22"/>
        <v>3</v>
      </c>
      <c r="AR150" s="9" t="s">
        <v>78</v>
      </c>
      <c r="AS150" s="9">
        <f t="shared" si="23"/>
        <v>3</v>
      </c>
      <c r="AT150" s="9" t="s">
        <v>155</v>
      </c>
      <c r="AU150" s="9">
        <f t="shared" si="24"/>
        <v>1</v>
      </c>
      <c r="AV150" s="9">
        <f t="shared" si="25"/>
        <v>0</v>
      </c>
      <c r="AW150" s="9">
        <f t="shared" si="26"/>
        <v>0</v>
      </c>
      <c r="AX150" s="9">
        <f t="shared" si="27"/>
        <v>1</v>
      </c>
      <c r="AY150" s="9">
        <f t="shared" si="28"/>
        <v>0</v>
      </c>
      <c r="AZ150" s="9">
        <f t="shared" si="29"/>
        <v>1</v>
      </c>
      <c r="BA150" s="9">
        <f t="shared" si="30"/>
        <v>0</v>
      </c>
      <c r="BB150" s="9" t="s">
        <v>88</v>
      </c>
      <c r="BC150" s="9">
        <f t="shared" si="31"/>
        <v>2</v>
      </c>
      <c r="BD150" s="12"/>
      <c r="BE150" s="9" t="str">
        <f t="shared" si="45"/>
        <v>N/A</v>
      </c>
      <c r="BF150" s="9" t="s">
        <v>252</v>
      </c>
      <c r="BG150" s="9">
        <f t="shared" si="33"/>
        <v>1</v>
      </c>
      <c r="BH150" s="9">
        <f t="shared" si="34"/>
        <v>1</v>
      </c>
      <c r="BI150" s="9">
        <f t="shared" si="35"/>
        <v>0</v>
      </c>
      <c r="BJ150" s="9">
        <f t="shared" si="36"/>
        <v>0</v>
      </c>
      <c r="BK150" s="9">
        <f t="shared" si="37"/>
        <v>0</v>
      </c>
      <c r="BL150" s="9">
        <f t="shared" si="38"/>
        <v>0</v>
      </c>
      <c r="BM150" s="9">
        <f t="shared" si="39"/>
        <v>0</v>
      </c>
      <c r="BN150" s="9" t="s">
        <v>108</v>
      </c>
      <c r="BO150" s="11">
        <f t="shared" si="40"/>
        <v>3</v>
      </c>
    </row>
    <row r="151" ht="22.5" customHeight="1">
      <c r="A151" s="9">
        <f t="shared" si="41"/>
        <v>150</v>
      </c>
      <c r="B151" s="10">
        <v>46050.96149277777</v>
      </c>
      <c r="C151" s="9" t="s">
        <v>90</v>
      </c>
      <c r="D151" s="9">
        <f t="shared" si="1"/>
        <v>2</v>
      </c>
      <c r="E151" s="9" t="s">
        <v>68</v>
      </c>
      <c r="F151" s="9">
        <f t="shared" si="2"/>
        <v>1</v>
      </c>
      <c r="G151" s="9" t="s">
        <v>82</v>
      </c>
      <c r="H151" s="9" t="str">
        <f t="shared" si="3"/>
        <v>Urban</v>
      </c>
      <c r="I151" s="9">
        <f t="shared" si="4"/>
        <v>2</v>
      </c>
      <c r="J151" s="9" t="s">
        <v>70</v>
      </c>
      <c r="K151" s="9" t="s">
        <v>100</v>
      </c>
      <c r="L151" s="9">
        <f t="shared" si="5"/>
        <v>3</v>
      </c>
      <c r="M151" s="9" t="s">
        <v>76</v>
      </c>
      <c r="N151" s="9">
        <f t="shared" si="6"/>
        <v>5.5</v>
      </c>
      <c r="O151" s="9" t="s">
        <v>78</v>
      </c>
      <c r="P151" s="9">
        <f t="shared" si="7"/>
        <v>3</v>
      </c>
      <c r="Q151" s="9" t="s">
        <v>78</v>
      </c>
      <c r="R151" s="9">
        <f t="shared" si="8"/>
        <v>3</v>
      </c>
      <c r="S151" s="9" t="s">
        <v>85</v>
      </c>
      <c r="T151" s="9">
        <f t="shared" si="9"/>
        <v>4</v>
      </c>
      <c r="U151" s="9" t="s">
        <v>74</v>
      </c>
      <c r="V151" s="9">
        <f t="shared" si="10"/>
        <v>1.5</v>
      </c>
      <c r="W151" s="9" t="s">
        <v>105</v>
      </c>
      <c r="X151" s="9">
        <f t="shared" si="11"/>
        <v>1</v>
      </c>
      <c r="Y151" s="9">
        <f t="shared" si="12"/>
        <v>1</v>
      </c>
      <c r="Z151" s="9">
        <f t="shared" si="13"/>
        <v>0</v>
      </c>
      <c r="AA151" s="9">
        <f t="shared" si="14"/>
        <v>0</v>
      </c>
      <c r="AB151" s="9" t="s">
        <v>78</v>
      </c>
      <c r="AC151" s="9">
        <f t="shared" si="15"/>
        <v>3</v>
      </c>
      <c r="AD151" s="9" t="s">
        <v>85</v>
      </c>
      <c r="AE151" s="9">
        <f t="shared" si="16"/>
        <v>4</v>
      </c>
      <c r="AF151" s="9" t="s">
        <v>76</v>
      </c>
      <c r="AG151" s="9">
        <f t="shared" si="17"/>
        <v>5.5</v>
      </c>
      <c r="AH151" s="9" t="s">
        <v>73</v>
      </c>
      <c r="AI151" s="9">
        <f t="shared" si="18"/>
        <v>2</v>
      </c>
      <c r="AJ151" s="9" t="s">
        <v>78</v>
      </c>
      <c r="AK151" s="9">
        <f t="shared" si="19"/>
        <v>3</v>
      </c>
      <c r="AL151" s="9" t="s">
        <v>78</v>
      </c>
      <c r="AM151" s="9">
        <f t="shared" si="20"/>
        <v>3</v>
      </c>
      <c r="AN151" s="9" t="s">
        <v>78</v>
      </c>
      <c r="AO151" s="9">
        <f t="shared" si="21"/>
        <v>3</v>
      </c>
      <c r="AP151" s="9" t="s">
        <v>78</v>
      </c>
      <c r="AQ151" s="9">
        <f t="shared" si="22"/>
        <v>3</v>
      </c>
      <c r="AR151" s="9" t="s">
        <v>78</v>
      </c>
      <c r="AS151" s="9">
        <f t="shared" si="23"/>
        <v>3</v>
      </c>
      <c r="AT151" s="9" t="s">
        <v>253</v>
      </c>
      <c r="AU151" s="9">
        <f t="shared" si="24"/>
        <v>1</v>
      </c>
      <c r="AV151" s="9">
        <f t="shared" si="25"/>
        <v>0</v>
      </c>
      <c r="AW151" s="9">
        <f t="shared" si="26"/>
        <v>1</v>
      </c>
      <c r="AX151" s="9">
        <f t="shared" si="27"/>
        <v>1</v>
      </c>
      <c r="AY151" s="9">
        <f t="shared" si="28"/>
        <v>1</v>
      </c>
      <c r="AZ151" s="9">
        <f t="shared" si="29"/>
        <v>0</v>
      </c>
      <c r="BA151" s="9">
        <f t="shared" si="30"/>
        <v>0</v>
      </c>
      <c r="BB151" s="9" t="s">
        <v>88</v>
      </c>
      <c r="BC151" s="9">
        <f t="shared" si="31"/>
        <v>2</v>
      </c>
      <c r="BD151" s="12"/>
      <c r="BE151" s="9" t="str">
        <f t="shared" si="45"/>
        <v>N/A</v>
      </c>
      <c r="BF151" s="9" t="s">
        <v>211</v>
      </c>
      <c r="BG151" s="9">
        <f t="shared" si="33"/>
        <v>1</v>
      </c>
      <c r="BH151" s="9">
        <f t="shared" si="34"/>
        <v>0</v>
      </c>
      <c r="BI151" s="9">
        <f t="shared" si="35"/>
        <v>1</v>
      </c>
      <c r="BJ151" s="9">
        <f t="shared" si="36"/>
        <v>1</v>
      </c>
      <c r="BK151" s="9">
        <f t="shared" si="37"/>
        <v>1</v>
      </c>
      <c r="BL151" s="9">
        <f t="shared" si="38"/>
        <v>0</v>
      </c>
      <c r="BM151" s="9">
        <f t="shared" si="39"/>
        <v>0</v>
      </c>
      <c r="BN151" s="9" t="s">
        <v>68</v>
      </c>
      <c r="BO151" s="11">
        <f t="shared" si="40"/>
        <v>1</v>
      </c>
    </row>
    <row r="152" ht="22.5" customHeight="1">
      <c r="A152" s="9">
        <f t="shared" si="41"/>
        <v>151</v>
      </c>
      <c r="B152" s="10">
        <v>46050.972232395834</v>
      </c>
      <c r="C152" s="9" t="s">
        <v>67</v>
      </c>
      <c r="D152" s="9">
        <f t="shared" si="1"/>
        <v>1</v>
      </c>
      <c r="E152" s="9" t="s">
        <v>68</v>
      </c>
      <c r="F152" s="9">
        <f t="shared" si="2"/>
        <v>1</v>
      </c>
      <c r="G152" s="9" t="s">
        <v>69</v>
      </c>
      <c r="H152" s="9" t="str">
        <f t="shared" si="3"/>
        <v>Rural</v>
      </c>
      <c r="I152" s="9">
        <f t="shared" si="4"/>
        <v>1</v>
      </c>
      <c r="J152" s="9" t="s">
        <v>145</v>
      </c>
      <c r="K152" s="9" t="s">
        <v>146</v>
      </c>
      <c r="L152" s="9">
        <f t="shared" si="5"/>
        <v>1</v>
      </c>
      <c r="M152" s="9" t="s">
        <v>76</v>
      </c>
      <c r="N152" s="9">
        <f t="shared" si="6"/>
        <v>5.5</v>
      </c>
      <c r="O152" s="9" t="s">
        <v>72</v>
      </c>
      <c r="P152" s="9">
        <f t="shared" si="7"/>
        <v>1</v>
      </c>
      <c r="Q152" s="9" t="s">
        <v>85</v>
      </c>
      <c r="R152" s="9">
        <f t="shared" si="8"/>
        <v>4</v>
      </c>
      <c r="S152" s="9" t="s">
        <v>78</v>
      </c>
      <c r="T152" s="9">
        <f t="shared" si="9"/>
        <v>3</v>
      </c>
      <c r="U152" s="9" t="s">
        <v>92</v>
      </c>
      <c r="V152" s="9">
        <f t="shared" si="10"/>
        <v>3.5</v>
      </c>
      <c r="W152" s="9" t="s">
        <v>102</v>
      </c>
      <c r="X152" s="9">
        <f t="shared" si="11"/>
        <v>1</v>
      </c>
      <c r="Y152" s="9">
        <f t="shared" si="12"/>
        <v>1</v>
      </c>
      <c r="Z152" s="9">
        <f t="shared" si="13"/>
        <v>1</v>
      </c>
      <c r="AA152" s="9">
        <f t="shared" si="14"/>
        <v>1</v>
      </c>
      <c r="AB152" s="9" t="s">
        <v>78</v>
      </c>
      <c r="AC152" s="9">
        <f t="shared" si="15"/>
        <v>3</v>
      </c>
      <c r="AD152" s="9" t="s">
        <v>78</v>
      </c>
      <c r="AE152" s="9">
        <f t="shared" si="16"/>
        <v>3</v>
      </c>
      <c r="AF152" s="9" t="s">
        <v>71</v>
      </c>
      <c r="AG152" s="9">
        <f t="shared" si="17"/>
        <v>7.7</v>
      </c>
      <c r="AH152" s="9" t="s">
        <v>78</v>
      </c>
      <c r="AI152" s="9">
        <f t="shared" si="18"/>
        <v>3</v>
      </c>
      <c r="AJ152" s="9" t="s">
        <v>78</v>
      </c>
      <c r="AK152" s="9">
        <f t="shared" si="19"/>
        <v>3</v>
      </c>
      <c r="AL152" s="9" t="s">
        <v>73</v>
      </c>
      <c r="AM152" s="9">
        <f t="shared" si="20"/>
        <v>2</v>
      </c>
      <c r="AN152" s="9" t="s">
        <v>78</v>
      </c>
      <c r="AO152" s="9">
        <f t="shared" si="21"/>
        <v>3</v>
      </c>
      <c r="AP152" s="9" t="s">
        <v>78</v>
      </c>
      <c r="AQ152" s="9">
        <f t="shared" si="22"/>
        <v>3</v>
      </c>
      <c r="AR152" s="9" t="s">
        <v>78</v>
      </c>
      <c r="AS152" s="9">
        <f t="shared" si="23"/>
        <v>3</v>
      </c>
      <c r="AT152" s="9" t="s">
        <v>190</v>
      </c>
      <c r="AU152" s="9">
        <f t="shared" si="24"/>
        <v>1</v>
      </c>
      <c r="AV152" s="9">
        <f t="shared" si="25"/>
        <v>1</v>
      </c>
      <c r="AW152" s="9">
        <f t="shared" si="26"/>
        <v>0</v>
      </c>
      <c r="AX152" s="9">
        <f t="shared" si="27"/>
        <v>0</v>
      </c>
      <c r="AY152" s="9">
        <f t="shared" si="28"/>
        <v>0</v>
      </c>
      <c r="AZ152" s="9">
        <f t="shared" si="29"/>
        <v>0</v>
      </c>
      <c r="BA152" s="9">
        <f t="shared" si="30"/>
        <v>1</v>
      </c>
      <c r="BB152" s="9" t="s">
        <v>88</v>
      </c>
      <c r="BC152" s="9">
        <f t="shared" si="31"/>
        <v>2</v>
      </c>
      <c r="BD152" s="12"/>
      <c r="BE152" s="9" t="str">
        <f t="shared" si="45"/>
        <v>N/A</v>
      </c>
      <c r="BF152" s="9" t="s">
        <v>254</v>
      </c>
      <c r="BG152" s="9">
        <f t="shared" si="33"/>
        <v>1</v>
      </c>
      <c r="BH152" s="9">
        <f t="shared" si="34"/>
        <v>1</v>
      </c>
      <c r="BI152" s="9">
        <f t="shared" si="35"/>
        <v>1</v>
      </c>
      <c r="BJ152" s="9">
        <f t="shared" si="36"/>
        <v>1</v>
      </c>
      <c r="BK152" s="9">
        <f t="shared" si="37"/>
        <v>0</v>
      </c>
      <c r="BL152" s="9">
        <f t="shared" si="38"/>
        <v>0</v>
      </c>
      <c r="BM152" s="9">
        <f t="shared" si="39"/>
        <v>0</v>
      </c>
      <c r="BN152" s="9" t="s">
        <v>108</v>
      </c>
      <c r="BO152" s="11">
        <f t="shared" si="40"/>
        <v>3</v>
      </c>
    </row>
    <row r="153" ht="22.5" customHeight="1">
      <c r="A153" s="9">
        <f t="shared" si="41"/>
        <v>152</v>
      </c>
      <c r="B153" s="10">
        <v>46050.974502384255</v>
      </c>
      <c r="C153" s="9" t="s">
        <v>67</v>
      </c>
      <c r="D153" s="9">
        <f t="shared" si="1"/>
        <v>1</v>
      </c>
      <c r="E153" s="9" t="s">
        <v>68</v>
      </c>
      <c r="F153" s="9">
        <f t="shared" si="2"/>
        <v>1</v>
      </c>
      <c r="G153" s="9" t="s">
        <v>69</v>
      </c>
      <c r="H153" s="9" t="str">
        <f t="shared" si="3"/>
        <v>Rural</v>
      </c>
      <c r="I153" s="9">
        <f t="shared" si="4"/>
        <v>1</v>
      </c>
      <c r="J153" s="9" t="s">
        <v>70</v>
      </c>
      <c r="K153" s="9" t="s">
        <v>100</v>
      </c>
      <c r="L153" s="9">
        <f t="shared" si="5"/>
        <v>3</v>
      </c>
      <c r="M153" s="9" t="s">
        <v>101</v>
      </c>
      <c r="N153" s="9">
        <f t="shared" si="6"/>
        <v>2</v>
      </c>
      <c r="O153" s="9" t="s">
        <v>72</v>
      </c>
      <c r="P153" s="9">
        <f t="shared" si="7"/>
        <v>1</v>
      </c>
      <c r="Q153" s="9" t="s">
        <v>73</v>
      </c>
      <c r="R153" s="9">
        <f t="shared" si="8"/>
        <v>2</v>
      </c>
      <c r="S153" s="9" t="s">
        <v>73</v>
      </c>
      <c r="T153" s="9">
        <f t="shared" si="9"/>
        <v>2</v>
      </c>
      <c r="U153" s="9" t="s">
        <v>74</v>
      </c>
      <c r="V153" s="9">
        <f t="shared" si="10"/>
        <v>1.5</v>
      </c>
      <c r="W153" s="9" t="s">
        <v>122</v>
      </c>
      <c r="X153" s="9">
        <f t="shared" si="11"/>
        <v>0</v>
      </c>
      <c r="Y153" s="9">
        <f t="shared" si="12"/>
        <v>0</v>
      </c>
      <c r="Z153" s="9">
        <f t="shared" si="13"/>
        <v>1</v>
      </c>
      <c r="AA153" s="9">
        <f t="shared" si="14"/>
        <v>0</v>
      </c>
      <c r="AB153" s="9" t="s">
        <v>73</v>
      </c>
      <c r="AC153" s="9">
        <f t="shared" si="15"/>
        <v>2</v>
      </c>
      <c r="AD153" s="9" t="s">
        <v>73</v>
      </c>
      <c r="AE153" s="9">
        <f t="shared" si="16"/>
        <v>2</v>
      </c>
      <c r="AF153" s="9" t="s">
        <v>71</v>
      </c>
      <c r="AG153" s="9">
        <f t="shared" si="17"/>
        <v>7.7</v>
      </c>
      <c r="AH153" s="9" t="s">
        <v>103</v>
      </c>
      <c r="AI153" s="9">
        <f t="shared" si="18"/>
        <v>5</v>
      </c>
      <c r="AJ153" s="9" t="s">
        <v>85</v>
      </c>
      <c r="AK153" s="9">
        <f t="shared" si="19"/>
        <v>4</v>
      </c>
      <c r="AL153" s="9" t="s">
        <v>85</v>
      </c>
      <c r="AM153" s="9">
        <f t="shared" si="20"/>
        <v>4</v>
      </c>
      <c r="AN153" s="9" t="s">
        <v>78</v>
      </c>
      <c r="AO153" s="9">
        <f t="shared" si="21"/>
        <v>3</v>
      </c>
      <c r="AP153" s="9" t="s">
        <v>85</v>
      </c>
      <c r="AQ153" s="9">
        <f t="shared" si="22"/>
        <v>4</v>
      </c>
      <c r="AR153" s="9" t="s">
        <v>78</v>
      </c>
      <c r="AS153" s="9">
        <f t="shared" si="23"/>
        <v>3</v>
      </c>
      <c r="AT153" s="9" t="s">
        <v>219</v>
      </c>
      <c r="AU153" s="9">
        <f t="shared" si="24"/>
        <v>0</v>
      </c>
      <c r="AV153" s="9">
        <f t="shared" si="25"/>
        <v>0</v>
      </c>
      <c r="AW153" s="9">
        <f t="shared" si="26"/>
        <v>0</v>
      </c>
      <c r="AX153" s="9">
        <f t="shared" si="27"/>
        <v>0</v>
      </c>
      <c r="AY153" s="9">
        <f t="shared" si="28"/>
        <v>1</v>
      </c>
      <c r="AZ153" s="9">
        <f t="shared" si="29"/>
        <v>0</v>
      </c>
      <c r="BA153" s="9">
        <f t="shared" si="30"/>
        <v>0</v>
      </c>
      <c r="BB153" s="9" t="s">
        <v>88</v>
      </c>
      <c r="BC153" s="9">
        <f t="shared" si="31"/>
        <v>2</v>
      </c>
      <c r="BD153" s="12"/>
      <c r="BE153" s="9" t="str">
        <f t="shared" si="45"/>
        <v>N/A</v>
      </c>
      <c r="BF153" s="9" t="s">
        <v>129</v>
      </c>
      <c r="BG153" s="9">
        <f t="shared" si="33"/>
        <v>0</v>
      </c>
      <c r="BH153" s="9">
        <f t="shared" si="34"/>
        <v>0</v>
      </c>
      <c r="BI153" s="9">
        <f t="shared" si="35"/>
        <v>0</v>
      </c>
      <c r="BJ153" s="9">
        <f t="shared" si="36"/>
        <v>0</v>
      </c>
      <c r="BK153" s="9">
        <f t="shared" si="37"/>
        <v>0</v>
      </c>
      <c r="BL153" s="9">
        <f t="shared" si="38"/>
        <v>1</v>
      </c>
      <c r="BM153" s="9">
        <f t="shared" si="39"/>
        <v>0</v>
      </c>
      <c r="BN153" s="9" t="s">
        <v>108</v>
      </c>
      <c r="BO153" s="11">
        <f t="shared" si="40"/>
        <v>3</v>
      </c>
    </row>
    <row r="154" ht="22.5" customHeight="1">
      <c r="A154" s="9">
        <f t="shared" si="41"/>
        <v>153</v>
      </c>
      <c r="B154" s="10">
        <v>46051.00960892361</v>
      </c>
      <c r="C154" s="9" t="s">
        <v>90</v>
      </c>
      <c r="D154" s="9">
        <f t="shared" si="1"/>
        <v>2</v>
      </c>
      <c r="E154" s="9" t="s">
        <v>68</v>
      </c>
      <c r="F154" s="9">
        <f t="shared" si="2"/>
        <v>1</v>
      </c>
      <c r="G154" s="9" t="s">
        <v>91</v>
      </c>
      <c r="H154" s="9" t="str">
        <f t="shared" si="3"/>
        <v>Urban</v>
      </c>
      <c r="I154" s="9">
        <f t="shared" si="4"/>
        <v>2</v>
      </c>
      <c r="J154" s="9" t="s">
        <v>83</v>
      </c>
      <c r="K154" s="9" t="s">
        <v>84</v>
      </c>
      <c r="L154" s="9">
        <f t="shared" si="5"/>
        <v>2</v>
      </c>
      <c r="M154" s="9" t="s">
        <v>71</v>
      </c>
      <c r="N154" s="9">
        <f t="shared" si="6"/>
        <v>7.7</v>
      </c>
      <c r="O154" s="9" t="s">
        <v>85</v>
      </c>
      <c r="P154" s="9">
        <f t="shared" si="7"/>
        <v>4</v>
      </c>
      <c r="Q154" s="9" t="s">
        <v>78</v>
      </c>
      <c r="R154" s="9">
        <f t="shared" si="8"/>
        <v>3</v>
      </c>
      <c r="S154" s="9" t="s">
        <v>103</v>
      </c>
      <c r="T154" s="9">
        <f t="shared" si="9"/>
        <v>5</v>
      </c>
      <c r="U154" s="9" t="s">
        <v>92</v>
      </c>
      <c r="V154" s="9">
        <f t="shared" si="10"/>
        <v>3.5</v>
      </c>
      <c r="W154" s="9" t="s">
        <v>86</v>
      </c>
      <c r="X154" s="9">
        <f t="shared" si="11"/>
        <v>1</v>
      </c>
      <c r="Y154" s="9">
        <f t="shared" si="12"/>
        <v>1</v>
      </c>
      <c r="Z154" s="9">
        <f t="shared" si="13"/>
        <v>1</v>
      </c>
      <c r="AA154" s="9">
        <f t="shared" si="14"/>
        <v>0</v>
      </c>
      <c r="AB154" s="9" t="s">
        <v>78</v>
      </c>
      <c r="AC154" s="9">
        <f t="shared" si="15"/>
        <v>3</v>
      </c>
      <c r="AD154" s="9" t="s">
        <v>72</v>
      </c>
      <c r="AE154" s="9">
        <f t="shared" si="16"/>
        <v>1</v>
      </c>
      <c r="AF154" s="9" t="s">
        <v>71</v>
      </c>
      <c r="AG154" s="9">
        <f t="shared" si="17"/>
        <v>7.7</v>
      </c>
      <c r="AH154" s="9" t="s">
        <v>72</v>
      </c>
      <c r="AI154" s="9">
        <f t="shared" si="18"/>
        <v>1</v>
      </c>
      <c r="AJ154" s="9" t="s">
        <v>77</v>
      </c>
      <c r="AK154" s="9">
        <f t="shared" si="19"/>
        <v>1</v>
      </c>
      <c r="AL154" s="9" t="s">
        <v>120</v>
      </c>
      <c r="AM154" s="9">
        <f t="shared" si="20"/>
        <v>5</v>
      </c>
      <c r="AN154" s="9" t="s">
        <v>85</v>
      </c>
      <c r="AO154" s="9">
        <f t="shared" si="21"/>
        <v>4</v>
      </c>
      <c r="AP154" s="9" t="s">
        <v>73</v>
      </c>
      <c r="AQ154" s="9">
        <f t="shared" si="22"/>
        <v>2</v>
      </c>
      <c r="AR154" s="9" t="s">
        <v>78</v>
      </c>
      <c r="AS154" s="9">
        <f t="shared" si="23"/>
        <v>3</v>
      </c>
      <c r="AT154" s="9" t="s">
        <v>255</v>
      </c>
      <c r="AU154" s="9">
        <f t="shared" si="24"/>
        <v>0</v>
      </c>
      <c r="AV154" s="9">
        <f t="shared" si="25"/>
        <v>0</v>
      </c>
      <c r="AW154" s="9">
        <f t="shared" si="26"/>
        <v>1</v>
      </c>
      <c r="AX154" s="9">
        <f t="shared" si="27"/>
        <v>1</v>
      </c>
      <c r="AY154" s="9">
        <f t="shared" si="28"/>
        <v>0</v>
      </c>
      <c r="AZ154" s="9">
        <f t="shared" si="29"/>
        <v>1</v>
      </c>
      <c r="BA154" s="9">
        <f t="shared" si="30"/>
        <v>1</v>
      </c>
      <c r="BB154" s="9" t="s">
        <v>88</v>
      </c>
      <c r="BC154" s="9">
        <f t="shared" si="31"/>
        <v>2</v>
      </c>
      <c r="BD154" s="12"/>
      <c r="BE154" s="9" t="str">
        <f t="shared" si="45"/>
        <v>N/A</v>
      </c>
      <c r="BF154" s="9" t="s">
        <v>216</v>
      </c>
      <c r="BG154" s="9">
        <f t="shared" si="33"/>
        <v>1</v>
      </c>
      <c r="BH154" s="9">
        <f t="shared" si="34"/>
        <v>0</v>
      </c>
      <c r="BI154" s="9">
        <f t="shared" si="35"/>
        <v>0</v>
      </c>
      <c r="BJ154" s="9">
        <f t="shared" si="36"/>
        <v>1</v>
      </c>
      <c r="BK154" s="9">
        <f t="shared" si="37"/>
        <v>1</v>
      </c>
      <c r="BL154" s="9">
        <f t="shared" si="38"/>
        <v>1</v>
      </c>
      <c r="BM154" s="9">
        <f t="shared" si="39"/>
        <v>1</v>
      </c>
      <c r="BN154" s="9" t="s">
        <v>68</v>
      </c>
      <c r="BO154" s="11">
        <f t="shared" si="40"/>
        <v>1</v>
      </c>
    </row>
    <row r="155" ht="22.5" customHeight="1">
      <c r="A155" s="9">
        <f t="shared" si="41"/>
        <v>154</v>
      </c>
      <c r="B155" s="10">
        <v>46051.016100023146</v>
      </c>
      <c r="C155" s="9" t="s">
        <v>90</v>
      </c>
      <c r="D155" s="9">
        <f t="shared" si="1"/>
        <v>2</v>
      </c>
      <c r="E155" s="9" t="s">
        <v>68</v>
      </c>
      <c r="F155" s="9">
        <f t="shared" si="2"/>
        <v>1</v>
      </c>
      <c r="G155" s="9" t="s">
        <v>91</v>
      </c>
      <c r="H155" s="9" t="str">
        <f t="shared" si="3"/>
        <v>Urban</v>
      </c>
      <c r="I155" s="9">
        <f t="shared" si="4"/>
        <v>2</v>
      </c>
      <c r="J155" s="9" t="s">
        <v>70</v>
      </c>
      <c r="K155" s="9" t="s">
        <v>100</v>
      </c>
      <c r="L155" s="9">
        <f t="shared" si="5"/>
        <v>3</v>
      </c>
      <c r="M155" s="9" t="s">
        <v>76</v>
      </c>
      <c r="N155" s="9">
        <f t="shared" si="6"/>
        <v>5.5</v>
      </c>
      <c r="O155" s="9" t="s">
        <v>78</v>
      </c>
      <c r="P155" s="9">
        <f t="shared" si="7"/>
        <v>3</v>
      </c>
      <c r="Q155" s="9" t="s">
        <v>85</v>
      </c>
      <c r="R155" s="9">
        <f t="shared" si="8"/>
        <v>4</v>
      </c>
      <c r="S155" s="9" t="s">
        <v>78</v>
      </c>
      <c r="T155" s="9">
        <f t="shared" si="9"/>
        <v>3</v>
      </c>
      <c r="U155" s="9" t="s">
        <v>74</v>
      </c>
      <c r="V155" s="9">
        <f t="shared" si="10"/>
        <v>1.5</v>
      </c>
      <c r="W155" s="9" t="s">
        <v>111</v>
      </c>
      <c r="X155" s="9">
        <f t="shared" si="11"/>
        <v>1</v>
      </c>
      <c r="Y155" s="9">
        <f t="shared" si="12"/>
        <v>1</v>
      </c>
      <c r="Z155" s="9">
        <f t="shared" si="13"/>
        <v>0</v>
      </c>
      <c r="AA155" s="9">
        <f t="shared" si="14"/>
        <v>1</v>
      </c>
      <c r="AB155" s="9" t="s">
        <v>73</v>
      </c>
      <c r="AC155" s="9">
        <f t="shared" si="15"/>
        <v>2</v>
      </c>
      <c r="AD155" s="9" t="s">
        <v>73</v>
      </c>
      <c r="AE155" s="9">
        <f t="shared" si="16"/>
        <v>2</v>
      </c>
      <c r="AF155" s="9" t="s">
        <v>71</v>
      </c>
      <c r="AG155" s="9">
        <f t="shared" si="17"/>
        <v>7.7</v>
      </c>
      <c r="AH155" s="9" t="s">
        <v>85</v>
      </c>
      <c r="AI155" s="9">
        <f t="shared" si="18"/>
        <v>4</v>
      </c>
      <c r="AJ155" s="9" t="s">
        <v>73</v>
      </c>
      <c r="AK155" s="9">
        <f t="shared" si="19"/>
        <v>2</v>
      </c>
      <c r="AL155" s="9" t="s">
        <v>85</v>
      </c>
      <c r="AM155" s="9">
        <f t="shared" si="20"/>
        <v>4</v>
      </c>
      <c r="AN155" s="9" t="s">
        <v>120</v>
      </c>
      <c r="AO155" s="9">
        <f t="shared" si="21"/>
        <v>5</v>
      </c>
      <c r="AP155" s="9" t="s">
        <v>85</v>
      </c>
      <c r="AQ155" s="9">
        <f t="shared" si="22"/>
        <v>4</v>
      </c>
      <c r="AR155" s="9" t="s">
        <v>85</v>
      </c>
      <c r="AS155" s="9">
        <f t="shared" si="23"/>
        <v>4</v>
      </c>
      <c r="AT155" s="9" t="s">
        <v>256</v>
      </c>
      <c r="AU155" s="9">
        <f t="shared" si="24"/>
        <v>1</v>
      </c>
      <c r="AV155" s="9">
        <f t="shared" si="25"/>
        <v>1</v>
      </c>
      <c r="AW155" s="9">
        <f t="shared" si="26"/>
        <v>0</v>
      </c>
      <c r="AX155" s="9">
        <f t="shared" si="27"/>
        <v>1</v>
      </c>
      <c r="AY155" s="9">
        <f t="shared" si="28"/>
        <v>0</v>
      </c>
      <c r="AZ155" s="9">
        <f t="shared" si="29"/>
        <v>0</v>
      </c>
      <c r="BA155" s="9">
        <f t="shared" si="30"/>
        <v>0</v>
      </c>
      <c r="BB155" s="9" t="s">
        <v>88</v>
      </c>
      <c r="BC155" s="9">
        <f t="shared" si="31"/>
        <v>2</v>
      </c>
      <c r="BD155" s="12"/>
      <c r="BE155" s="9" t="str">
        <f t="shared" si="45"/>
        <v>N/A</v>
      </c>
      <c r="BF155" s="9" t="s">
        <v>257</v>
      </c>
      <c r="BG155" s="9">
        <f t="shared" si="33"/>
        <v>1</v>
      </c>
      <c r="BH155" s="9">
        <f t="shared" si="34"/>
        <v>1</v>
      </c>
      <c r="BI155" s="9">
        <f t="shared" si="35"/>
        <v>0</v>
      </c>
      <c r="BJ155" s="9">
        <f t="shared" si="36"/>
        <v>0</v>
      </c>
      <c r="BK155" s="9">
        <f t="shared" si="37"/>
        <v>1</v>
      </c>
      <c r="BL155" s="9">
        <f t="shared" si="38"/>
        <v>0</v>
      </c>
      <c r="BM155" s="9">
        <f t="shared" si="39"/>
        <v>1</v>
      </c>
      <c r="BN155" s="9" t="s">
        <v>68</v>
      </c>
      <c r="BO155" s="11">
        <f t="shared" si="40"/>
        <v>1</v>
      </c>
    </row>
    <row r="156" ht="22.5" customHeight="1">
      <c r="A156" s="9">
        <f t="shared" si="41"/>
        <v>155</v>
      </c>
      <c r="B156" s="10">
        <v>46051.04093993056</v>
      </c>
      <c r="C156" s="9" t="s">
        <v>67</v>
      </c>
      <c r="D156" s="9">
        <f t="shared" si="1"/>
        <v>1</v>
      </c>
      <c r="E156" s="9" t="s">
        <v>68</v>
      </c>
      <c r="F156" s="9">
        <f t="shared" si="2"/>
        <v>1</v>
      </c>
      <c r="G156" s="9" t="s">
        <v>69</v>
      </c>
      <c r="H156" s="9" t="str">
        <f t="shared" si="3"/>
        <v>Rural</v>
      </c>
      <c r="I156" s="9">
        <f t="shared" si="4"/>
        <v>1</v>
      </c>
      <c r="J156" s="9" t="s">
        <v>83</v>
      </c>
      <c r="K156" s="9" t="s">
        <v>84</v>
      </c>
      <c r="L156" s="9">
        <f t="shared" si="5"/>
        <v>2</v>
      </c>
      <c r="M156" s="9" t="s">
        <v>101</v>
      </c>
      <c r="N156" s="9">
        <f t="shared" si="6"/>
        <v>2</v>
      </c>
      <c r="O156" s="9" t="s">
        <v>78</v>
      </c>
      <c r="P156" s="9">
        <f t="shared" si="7"/>
        <v>3</v>
      </c>
      <c r="Q156" s="9" t="s">
        <v>78</v>
      </c>
      <c r="R156" s="9">
        <f t="shared" si="8"/>
        <v>3</v>
      </c>
      <c r="S156" s="9" t="s">
        <v>78</v>
      </c>
      <c r="T156" s="9">
        <f t="shared" si="9"/>
        <v>3</v>
      </c>
      <c r="U156" s="9" t="s">
        <v>92</v>
      </c>
      <c r="V156" s="9">
        <f t="shared" si="10"/>
        <v>3.5</v>
      </c>
      <c r="W156" s="9" t="s">
        <v>86</v>
      </c>
      <c r="X156" s="9">
        <f t="shared" si="11"/>
        <v>1</v>
      </c>
      <c r="Y156" s="9">
        <f t="shared" si="12"/>
        <v>1</v>
      </c>
      <c r="Z156" s="9">
        <f t="shared" si="13"/>
        <v>1</v>
      </c>
      <c r="AA156" s="9">
        <f t="shared" si="14"/>
        <v>0</v>
      </c>
      <c r="AB156" s="9" t="s">
        <v>78</v>
      </c>
      <c r="AC156" s="9">
        <f t="shared" si="15"/>
        <v>3</v>
      </c>
      <c r="AD156" s="9" t="s">
        <v>85</v>
      </c>
      <c r="AE156" s="9">
        <f t="shared" si="16"/>
        <v>4</v>
      </c>
      <c r="AF156" s="9" t="s">
        <v>76</v>
      </c>
      <c r="AG156" s="9">
        <f t="shared" si="17"/>
        <v>5.5</v>
      </c>
      <c r="AH156" s="9" t="s">
        <v>85</v>
      </c>
      <c r="AI156" s="9">
        <f t="shared" si="18"/>
        <v>4</v>
      </c>
      <c r="AJ156" s="9" t="s">
        <v>78</v>
      </c>
      <c r="AK156" s="9">
        <f t="shared" si="19"/>
        <v>3</v>
      </c>
      <c r="AL156" s="9" t="s">
        <v>77</v>
      </c>
      <c r="AM156" s="9">
        <f t="shared" si="20"/>
        <v>1</v>
      </c>
      <c r="AN156" s="9" t="s">
        <v>77</v>
      </c>
      <c r="AO156" s="9">
        <f t="shared" si="21"/>
        <v>1</v>
      </c>
      <c r="AP156" s="9" t="s">
        <v>85</v>
      </c>
      <c r="AQ156" s="9">
        <f t="shared" si="22"/>
        <v>4</v>
      </c>
      <c r="AR156" s="9" t="s">
        <v>120</v>
      </c>
      <c r="AS156" s="9">
        <f t="shared" si="23"/>
        <v>5</v>
      </c>
      <c r="AT156" s="9" t="s">
        <v>104</v>
      </c>
      <c r="AU156" s="9">
        <f t="shared" si="24"/>
        <v>1</v>
      </c>
      <c r="AV156" s="9">
        <f t="shared" si="25"/>
        <v>1</v>
      </c>
      <c r="AW156" s="9">
        <f t="shared" si="26"/>
        <v>1</v>
      </c>
      <c r="AX156" s="9">
        <f t="shared" si="27"/>
        <v>1</v>
      </c>
      <c r="AY156" s="9">
        <f t="shared" si="28"/>
        <v>1</v>
      </c>
      <c r="AZ156" s="9">
        <f t="shared" si="29"/>
        <v>1</v>
      </c>
      <c r="BA156" s="9">
        <f t="shared" si="30"/>
        <v>1</v>
      </c>
      <c r="BB156" s="9" t="s">
        <v>88</v>
      </c>
      <c r="BC156" s="9">
        <f t="shared" si="31"/>
        <v>2</v>
      </c>
      <c r="BD156" s="12"/>
      <c r="BE156" s="9" t="str">
        <f t="shared" si="45"/>
        <v>N/A</v>
      </c>
      <c r="BF156" s="9" t="s">
        <v>89</v>
      </c>
      <c r="BG156" s="9">
        <f t="shared" si="33"/>
        <v>1</v>
      </c>
      <c r="BH156" s="9">
        <f t="shared" si="34"/>
        <v>1</v>
      </c>
      <c r="BI156" s="9">
        <f t="shared" si="35"/>
        <v>1</v>
      </c>
      <c r="BJ156" s="9">
        <f t="shared" si="36"/>
        <v>1</v>
      </c>
      <c r="BK156" s="9">
        <f t="shared" si="37"/>
        <v>1</v>
      </c>
      <c r="BL156" s="9">
        <f t="shared" si="38"/>
        <v>1</v>
      </c>
      <c r="BM156" s="9">
        <f t="shared" si="39"/>
        <v>1</v>
      </c>
      <c r="BN156" s="9" t="s">
        <v>108</v>
      </c>
      <c r="BO156" s="11">
        <f t="shared" si="40"/>
        <v>3</v>
      </c>
    </row>
    <row r="157" ht="22.5" customHeight="1">
      <c r="A157" s="9">
        <f t="shared" si="41"/>
        <v>156</v>
      </c>
      <c r="B157" s="10">
        <v>46051.17085436343</v>
      </c>
      <c r="C157" s="9" t="s">
        <v>90</v>
      </c>
      <c r="D157" s="9">
        <f t="shared" si="1"/>
        <v>2</v>
      </c>
      <c r="E157" s="9" t="s">
        <v>68</v>
      </c>
      <c r="F157" s="9">
        <f t="shared" si="2"/>
        <v>1</v>
      </c>
      <c r="G157" s="9" t="s">
        <v>82</v>
      </c>
      <c r="H157" s="9" t="str">
        <f t="shared" si="3"/>
        <v>Urban</v>
      </c>
      <c r="I157" s="9">
        <f t="shared" si="4"/>
        <v>2</v>
      </c>
      <c r="J157" s="9" t="s">
        <v>83</v>
      </c>
      <c r="K157" s="9" t="s">
        <v>84</v>
      </c>
      <c r="L157" s="9">
        <f t="shared" si="5"/>
        <v>2</v>
      </c>
      <c r="M157" s="9" t="s">
        <v>101</v>
      </c>
      <c r="N157" s="9">
        <f t="shared" si="6"/>
        <v>2</v>
      </c>
      <c r="O157" s="12"/>
      <c r="P157" s="9" t="str">
        <f t="shared" si="7"/>
        <v>N/A</v>
      </c>
      <c r="Q157" s="12"/>
      <c r="R157" s="9" t="str">
        <f t="shared" si="8"/>
        <v>N/A</v>
      </c>
      <c r="S157" s="9" t="s">
        <v>78</v>
      </c>
      <c r="T157" s="9">
        <f t="shared" si="9"/>
        <v>3</v>
      </c>
      <c r="U157" s="9" t="s">
        <v>92</v>
      </c>
      <c r="V157" s="9">
        <f t="shared" si="10"/>
        <v>3.5</v>
      </c>
      <c r="W157" s="9" t="s">
        <v>122</v>
      </c>
      <c r="X157" s="9">
        <f t="shared" si="11"/>
        <v>0</v>
      </c>
      <c r="Y157" s="9">
        <f t="shared" si="12"/>
        <v>0</v>
      </c>
      <c r="Z157" s="9">
        <f t="shared" si="13"/>
        <v>1</v>
      </c>
      <c r="AA157" s="9">
        <f t="shared" si="14"/>
        <v>0</v>
      </c>
      <c r="AB157" s="9" t="s">
        <v>103</v>
      </c>
      <c r="AC157" s="9">
        <f t="shared" si="15"/>
        <v>5</v>
      </c>
      <c r="AD157" s="12"/>
      <c r="AE157" s="9" t="str">
        <f t="shared" si="16"/>
        <v>N/A</v>
      </c>
      <c r="AF157" s="9" t="s">
        <v>71</v>
      </c>
      <c r="AG157" s="9">
        <f t="shared" si="17"/>
        <v>7.7</v>
      </c>
      <c r="AH157" s="9" t="s">
        <v>72</v>
      </c>
      <c r="AI157" s="9">
        <f t="shared" si="18"/>
        <v>1</v>
      </c>
      <c r="AJ157" s="9" t="s">
        <v>78</v>
      </c>
      <c r="AK157" s="9">
        <f t="shared" si="19"/>
        <v>3</v>
      </c>
      <c r="AL157" s="12"/>
      <c r="AM157" s="9" t="str">
        <f t="shared" si="20"/>
        <v>N/A</v>
      </c>
      <c r="AN157" s="12"/>
      <c r="AO157" s="9" t="str">
        <f t="shared" si="21"/>
        <v>N/A</v>
      </c>
      <c r="AP157" s="12"/>
      <c r="AQ157" s="9" t="str">
        <f t="shared" si="22"/>
        <v>N/A</v>
      </c>
      <c r="AR157" s="12"/>
      <c r="AS157" s="9" t="str">
        <f t="shared" si="23"/>
        <v>N/A</v>
      </c>
      <c r="AT157" s="9" t="s">
        <v>258</v>
      </c>
      <c r="AU157" s="9">
        <f t="shared" si="24"/>
        <v>0</v>
      </c>
      <c r="AV157" s="9">
        <f t="shared" si="25"/>
        <v>1</v>
      </c>
      <c r="AW157" s="9">
        <f t="shared" si="26"/>
        <v>1</v>
      </c>
      <c r="AX157" s="9">
        <f t="shared" si="27"/>
        <v>0</v>
      </c>
      <c r="AY157" s="9">
        <f t="shared" si="28"/>
        <v>1</v>
      </c>
      <c r="AZ157" s="9">
        <f t="shared" si="29"/>
        <v>1</v>
      </c>
      <c r="BA157" s="9">
        <f t="shared" si="30"/>
        <v>0</v>
      </c>
      <c r="BB157" s="9" t="s">
        <v>68</v>
      </c>
      <c r="BC157" s="9">
        <f t="shared" si="31"/>
        <v>1</v>
      </c>
      <c r="BD157" s="9" t="s">
        <v>259</v>
      </c>
      <c r="BE157" s="9" t="str">
        <f t="shared" si="45"/>
        <v>N/A</v>
      </c>
      <c r="BF157" s="9" t="s">
        <v>260</v>
      </c>
      <c r="BG157" s="9">
        <f t="shared" si="33"/>
        <v>1</v>
      </c>
      <c r="BH157" s="9">
        <f t="shared" si="34"/>
        <v>1</v>
      </c>
      <c r="BI157" s="9">
        <f t="shared" si="35"/>
        <v>1</v>
      </c>
      <c r="BJ157" s="9">
        <f t="shared" si="36"/>
        <v>1</v>
      </c>
      <c r="BK157" s="9">
        <f t="shared" si="37"/>
        <v>1</v>
      </c>
      <c r="BL157" s="9">
        <f t="shared" si="38"/>
        <v>1</v>
      </c>
      <c r="BM157" s="9">
        <f t="shared" si="39"/>
        <v>1</v>
      </c>
      <c r="BN157" s="9" t="s">
        <v>108</v>
      </c>
      <c r="BO157" s="11">
        <f t="shared" si="40"/>
        <v>3</v>
      </c>
    </row>
    <row r="158" ht="22.5" customHeight="1">
      <c r="A158" s="9">
        <f t="shared" si="41"/>
        <v>157</v>
      </c>
      <c r="B158" s="10">
        <v>46051.26373494213</v>
      </c>
      <c r="C158" s="9" t="s">
        <v>90</v>
      </c>
      <c r="D158" s="9">
        <f t="shared" si="1"/>
        <v>2</v>
      </c>
      <c r="E158" s="9" t="s">
        <v>68</v>
      </c>
      <c r="F158" s="9">
        <f t="shared" si="2"/>
        <v>1</v>
      </c>
      <c r="G158" s="9" t="s">
        <v>69</v>
      </c>
      <c r="H158" s="9" t="str">
        <f t="shared" si="3"/>
        <v>Rural</v>
      </c>
      <c r="I158" s="9">
        <f t="shared" si="4"/>
        <v>1</v>
      </c>
      <c r="J158" s="9" t="s">
        <v>70</v>
      </c>
      <c r="K158" s="9" t="s">
        <v>100</v>
      </c>
      <c r="L158" s="9">
        <f t="shared" si="5"/>
        <v>3</v>
      </c>
      <c r="M158" s="9" t="s">
        <v>76</v>
      </c>
      <c r="N158" s="9">
        <f t="shared" si="6"/>
        <v>5.5</v>
      </c>
      <c r="O158" s="9" t="s">
        <v>78</v>
      </c>
      <c r="P158" s="9">
        <f t="shared" si="7"/>
        <v>3</v>
      </c>
      <c r="Q158" s="9" t="s">
        <v>73</v>
      </c>
      <c r="R158" s="9">
        <f t="shared" si="8"/>
        <v>2</v>
      </c>
      <c r="S158" s="9" t="s">
        <v>78</v>
      </c>
      <c r="T158" s="9">
        <f t="shared" si="9"/>
        <v>3</v>
      </c>
      <c r="U158" s="9" t="s">
        <v>74</v>
      </c>
      <c r="V158" s="9">
        <f t="shared" si="10"/>
        <v>1.5</v>
      </c>
      <c r="W158" s="9" t="s">
        <v>93</v>
      </c>
      <c r="X158" s="9">
        <f t="shared" si="11"/>
        <v>0</v>
      </c>
      <c r="Y158" s="9">
        <f t="shared" si="12"/>
        <v>1</v>
      </c>
      <c r="Z158" s="9">
        <f t="shared" si="13"/>
        <v>0</v>
      </c>
      <c r="AA158" s="9">
        <f t="shared" si="14"/>
        <v>0</v>
      </c>
      <c r="AB158" s="9" t="s">
        <v>73</v>
      </c>
      <c r="AC158" s="9">
        <f t="shared" si="15"/>
        <v>2</v>
      </c>
      <c r="AD158" s="9" t="s">
        <v>85</v>
      </c>
      <c r="AE158" s="9">
        <f t="shared" si="16"/>
        <v>4</v>
      </c>
      <c r="AF158" s="9" t="s">
        <v>109</v>
      </c>
      <c r="AG158" s="9">
        <f t="shared" si="17"/>
        <v>9</v>
      </c>
      <c r="AH158" s="9" t="s">
        <v>85</v>
      </c>
      <c r="AI158" s="9">
        <f t="shared" si="18"/>
        <v>4</v>
      </c>
      <c r="AJ158" s="9" t="s">
        <v>73</v>
      </c>
      <c r="AK158" s="9">
        <f t="shared" si="19"/>
        <v>2</v>
      </c>
      <c r="AL158" s="9" t="s">
        <v>73</v>
      </c>
      <c r="AM158" s="9">
        <f t="shared" si="20"/>
        <v>2</v>
      </c>
      <c r="AN158" s="9" t="s">
        <v>73</v>
      </c>
      <c r="AO158" s="9">
        <f t="shared" si="21"/>
        <v>2</v>
      </c>
      <c r="AP158" s="9" t="s">
        <v>73</v>
      </c>
      <c r="AQ158" s="9">
        <f t="shared" si="22"/>
        <v>2</v>
      </c>
      <c r="AR158" s="9" t="s">
        <v>78</v>
      </c>
      <c r="AS158" s="9">
        <f t="shared" si="23"/>
        <v>3</v>
      </c>
      <c r="AT158" s="9" t="s">
        <v>261</v>
      </c>
      <c r="AU158" s="9">
        <f t="shared" si="24"/>
        <v>1</v>
      </c>
      <c r="AV158" s="9">
        <f t="shared" si="25"/>
        <v>1</v>
      </c>
      <c r="AW158" s="9">
        <f t="shared" si="26"/>
        <v>1</v>
      </c>
      <c r="AX158" s="9">
        <f t="shared" si="27"/>
        <v>1</v>
      </c>
      <c r="AY158" s="9">
        <f t="shared" si="28"/>
        <v>1</v>
      </c>
      <c r="AZ158" s="9">
        <f t="shared" si="29"/>
        <v>1</v>
      </c>
      <c r="BA158" s="9">
        <f t="shared" si="30"/>
        <v>1</v>
      </c>
      <c r="BB158" s="9" t="s">
        <v>88</v>
      </c>
      <c r="BC158" s="9">
        <f t="shared" si="31"/>
        <v>2</v>
      </c>
      <c r="BD158" s="12"/>
      <c r="BE158" s="9" t="str">
        <f t="shared" si="45"/>
        <v>N/A</v>
      </c>
      <c r="BF158" s="9" t="s">
        <v>89</v>
      </c>
      <c r="BG158" s="9">
        <f t="shared" si="33"/>
        <v>1</v>
      </c>
      <c r="BH158" s="9">
        <f t="shared" si="34"/>
        <v>1</v>
      </c>
      <c r="BI158" s="9">
        <f t="shared" si="35"/>
        <v>1</v>
      </c>
      <c r="BJ158" s="9">
        <f t="shared" si="36"/>
        <v>1</v>
      </c>
      <c r="BK158" s="9">
        <f t="shared" si="37"/>
        <v>1</v>
      </c>
      <c r="BL158" s="9">
        <f t="shared" si="38"/>
        <v>1</v>
      </c>
      <c r="BM158" s="9">
        <f t="shared" si="39"/>
        <v>1</v>
      </c>
      <c r="BN158" s="9" t="s">
        <v>108</v>
      </c>
      <c r="BO158" s="11">
        <f t="shared" si="40"/>
        <v>3</v>
      </c>
    </row>
    <row r="159" ht="22.5" customHeight="1">
      <c r="A159" s="9">
        <f t="shared" si="41"/>
        <v>158</v>
      </c>
      <c r="B159" s="10">
        <v>46051.285086805554</v>
      </c>
      <c r="C159" s="9" t="s">
        <v>90</v>
      </c>
      <c r="D159" s="9">
        <f t="shared" si="1"/>
        <v>2</v>
      </c>
      <c r="E159" s="9" t="s">
        <v>68</v>
      </c>
      <c r="F159" s="9">
        <f t="shared" si="2"/>
        <v>1</v>
      </c>
      <c r="G159" s="9" t="s">
        <v>91</v>
      </c>
      <c r="H159" s="9" t="str">
        <f t="shared" si="3"/>
        <v>Urban</v>
      </c>
      <c r="I159" s="9">
        <f t="shared" si="4"/>
        <v>2</v>
      </c>
      <c r="J159" s="9" t="s">
        <v>70</v>
      </c>
      <c r="K159" s="9" t="s">
        <v>100</v>
      </c>
      <c r="L159" s="9">
        <f t="shared" si="5"/>
        <v>3</v>
      </c>
      <c r="M159" s="9" t="s">
        <v>109</v>
      </c>
      <c r="N159" s="9">
        <f t="shared" si="6"/>
        <v>9</v>
      </c>
      <c r="O159" s="9" t="s">
        <v>78</v>
      </c>
      <c r="P159" s="9">
        <f t="shared" si="7"/>
        <v>3</v>
      </c>
      <c r="Q159" s="9" t="s">
        <v>73</v>
      </c>
      <c r="R159" s="9">
        <f t="shared" si="8"/>
        <v>2</v>
      </c>
      <c r="S159" s="9" t="s">
        <v>85</v>
      </c>
      <c r="T159" s="9">
        <f t="shared" si="9"/>
        <v>4</v>
      </c>
      <c r="U159" s="9" t="s">
        <v>110</v>
      </c>
      <c r="V159" s="9">
        <f t="shared" si="10"/>
        <v>0.75</v>
      </c>
      <c r="W159" s="9" t="s">
        <v>143</v>
      </c>
      <c r="X159" s="9">
        <f t="shared" si="11"/>
        <v>1</v>
      </c>
      <c r="Y159" s="9">
        <f t="shared" si="12"/>
        <v>0</v>
      </c>
      <c r="Z159" s="9">
        <f t="shared" si="13"/>
        <v>0</v>
      </c>
      <c r="AA159" s="9">
        <f t="shared" si="14"/>
        <v>0</v>
      </c>
      <c r="AB159" s="9" t="s">
        <v>73</v>
      </c>
      <c r="AC159" s="9">
        <f t="shared" si="15"/>
        <v>2</v>
      </c>
      <c r="AD159" s="9" t="s">
        <v>73</v>
      </c>
      <c r="AE159" s="9">
        <f t="shared" si="16"/>
        <v>2</v>
      </c>
      <c r="AF159" s="9" t="s">
        <v>71</v>
      </c>
      <c r="AG159" s="9">
        <f t="shared" si="17"/>
        <v>7.7</v>
      </c>
      <c r="AH159" s="9" t="s">
        <v>78</v>
      </c>
      <c r="AI159" s="9">
        <f t="shared" si="18"/>
        <v>3</v>
      </c>
      <c r="AJ159" s="9" t="s">
        <v>73</v>
      </c>
      <c r="AK159" s="9">
        <f t="shared" si="19"/>
        <v>2</v>
      </c>
      <c r="AL159" s="9" t="s">
        <v>73</v>
      </c>
      <c r="AM159" s="9">
        <f t="shared" si="20"/>
        <v>2</v>
      </c>
      <c r="AN159" s="9" t="s">
        <v>85</v>
      </c>
      <c r="AO159" s="9">
        <f t="shared" si="21"/>
        <v>4</v>
      </c>
      <c r="AP159" s="9" t="s">
        <v>78</v>
      </c>
      <c r="AQ159" s="9">
        <f t="shared" si="22"/>
        <v>3</v>
      </c>
      <c r="AR159" s="9" t="s">
        <v>78</v>
      </c>
      <c r="AS159" s="9">
        <f t="shared" si="23"/>
        <v>3</v>
      </c>
      <c r="AT159" s="9" t="s">
        <v>162</v>
      </c>
      <c r="AU159" s="9">
        <f t="shared" si="24"/>
        <v>0</v>
      </c>
      <c r="AV159" s="9">
        <f t="shared" si="25"/>
        <v>0</v>
      </c>
      <c r="AW159" s="9">
        <f t="shared" si="26"/>
        <v>0</v>
      </c>
      <c r="AX159" s="9">
        <f t="shared" si="27"/>
        <v>0</v>
      </c>
      <c r="AY159" s="9">
        <f t="shared" si="28"/>
        <v>0</v>
      </c>
      <c r="AZ159" s="9">
        <f t="shared" si="29"/>
        <v>1</v>
      </c>
      <c r="BA159" s="9">
        <f t="shared" si="30"/>
        <v>0</v>
      </c>
      <c r="BB159" s="9" t="s">
        <v>88</v>
      </c>
      <c r="BC159" s="9">
        <f t="shared" si="31"/>
        <v>2</v>
      </c>
      <c r="BD159" s="12"/>
      <c r="BE159" s="9" t="str">
        <f t="shared" si="45"/>
        <v>N/A</v>
      </c>
      <c r="BF159" s="9" t="s">
        <v>172</v>
      </c>
      <c r="BG159" s="9">
        <f t="shared" si="33"/>
        <v>1</v>
      </c>
      <c r="BH159" s="9">
        <f t="shared" si="34"/>
        <v>0</v>
      </c>
      <c r="BI159" s="9">
        <f t="shared" si="35"/>
        <v>0</v>
      </c>
      <c r="BJ159" s="9">
        <f t="shared" si="36"/>
        <v>1</v>
      </c>
      <c r="BK159" s="9">
        <f t="shared" si="37"/>
        <v>0</v>
      </c>
      <c r="BL159" s="9">
        <f t="shared" si="38"/>
        <v>0</v>
      </c>
      <c r="BM159" s="9">
        <f t="shared" si="39"/>
        <v>1</v>
      </c>
      <c r="BN159" s="9" t="s">
        <v>108</v>
      </c>
      <c r="BO159" s="11">
        <f t="shared" si="40"/>
        <v>3</v>
      </c>
    </row>
    <row r="160" ht="22.5" customHeight="1">
      <c r="A160" s="9">
        <f t="shared" si="41"/>
        <v>159</v>
      </c>
      <c r="B160" s="10">
        <v>46051.338230486115</v>
      </c>
      <c r="C160" s="9" t="s">
        <v>90</v>
      </c>
      <c r="D160" s="9">
        <f t="shared" si="1"/>
        <v>2</v>
      </c>
      <c r="E160" s="9" t="s">
        <v>68</v>
      </c>
      <c r="F160" s="9">
        <f t="shared" si="2"/>
        <v>1</v>
      </c>
      <c r="G160" s="9" t="s">
        <v>69</v>
      </c>
      <c r="H160" s="9" t="str">
        <f t="shared" si="3"/>
        <v>Rural</v>
      </c>
      <c r="I160" s="9">
        <f t="shared" si="4"/>
        <v>1</v>
      </c>
      <c r="J160" s="9" t="s">
        <v>70</v>
      </c>
      <c r="K160" s="9" t="s">
        <v>100</v>
      </c>
      <c r="L160" s="9">
        <f t="shared" si="5"/>
        <v>3</v>
      </c>
      <c r="M160" s="9" t="s">
        <v>76</v>
      </c>
      <c r="N160" s="9">
        <f t="shared" si="6"/>
        <v>5.5</v>
      </c>
      <c r="O160" s="9" t="s">
        <v>78</v>
      </c>
      <c r="P160" s="9">
        <f t="shared" si="7"/>
        <v>3</v>
      </c>
      <c r="Q160" s="9" t="s">
        <v>85</v>
      </c>
      <c r="R160" s="9">
        <f t="shared" si="8"/>
        <v>4</v>
      </c>
      <c r="S160" s="9" t="s">
        <v>78</v>
      </c>
      <c r="T160" s="9">
        <f t="shared" si="9"/>
        <v>3</v>
      </c>
      <c r="U160" s="9" t="s">
        <v>96</v>
      </c>
      <c r="V160" s="9">
        <f t="shared" si="10"/>
        <v>2.5</v>
      </c>
      <c r="W160" s="9" t="s">
        <v>105</v>
      </c>
      <c r="X160" s="9">
        <f t="shared" si="11"/>
        <v>1</v>
      </c>
      <c r="Y160" s="9">
        <f t="shared" si="12"/>
        <v>1</v>
      </c>
      <c r="Z160" s="9">
        <f t="shared" si="13"/>
        <v>0</v>
      </c>
      <c r="AA160" s="9">
        <f t="shared" si="14"/>
        <v>0</v>
      </c>
      <c r="AB160" s="9" t="s">
        <v>73</v>
      </c>
      <c r="AC160" s="9">
        <f t="shared" si="15"/>
        <v>2</v>
      </c>
      <c r="AD160" s="9" t="s">
        <v>73</v>
      </c>
      <c r="AE160" s="9">
        <f t="shared" si="16"/>
        <v>2</v>
      </c>
      <c r="AF160" s="9" t="s">
        <v>76</v>
      </c>
      <c r="AG160" s="9">
        <f t="shared" si="17"/>
        <v>5.5</v>
      </c>
      <c r="AH160" s="9" t="s">
        <v>85</v>
      </c>
      <c r="AI160" s="9">
        <f t="shared" si="18"/>
        <v>4</v>
      </c>
      <c r="AJ160" s="9" t="s">
        <v>73</v>
      </c>
      <c r="AK160" s="9">
        <f t="shared" si="19"/>
        <v>2</v>
      </c>
      <c r="AL160" s="9" t="s">
        <v>85</v>
      </c>
      <c r="AM160" s="9">
        <f t="shared" si="20"/>
        <v>4</v>
      </c>
      <c r="AN160" s="9" t="s">
        <v>85</v>
      </c>
      <c r="AO160" s="9">
        <f t="shared" si="21"/>
        <v>4</v>
      </c>
      <c r="AP160" s="9" t="s">
        <v>78</v>
      </c>
      <c r="AQ160" s="9">
        <f t="shared" si="22"/>
        <v>3</v>
      </c>
      <c r="AR160" s="9" t="s">
        <v>85</v>
      </c>
      <c r="AS160" s="9">
        <f t="shared" si="23"/>
        <v>4</v>
      </c>
      <c r="AT160" s="9" t="s">
        <v>201</v>
      </c>
      <c r="AU160" s="9">
        <f t="shared" si="24"/>
        <v>0</v>
      </c>
      <c r="AV160" s="9">
        <f t="shared" si="25"/>
        <v>1</v>
      </c>
      <c r="AW160" s="9">
        <f t="shared" si="26"/>
        <v>0</v>
      </c>
      <c r="AX160" s="9">
        <f t="shared" si="27"/>
        <v>1</v>
      </c>
      <c r="AY160" s="9">
        <f t="shared" si="28"/>
        <v>1</v>
      </c>
      <c r="AZ160" s="9">
        <f t="shared" si="29"/>
        <v>1</v>
      </c>
      <c r="BA160" s="9">
        <f t="shared" si="30"/>
        <v>0</v>
      </c>
      <c r="BB160" s="9" t="s">
        <v>68</v>
      </c>
      <c r="BC160" s="9">
        <f t="shared" si="31"/>
        <v>1</v>
      </c>
      <c r="BD160" s="9" t="s">
        <v>262</v>
      </c>
      <c r="BE160" s="9" t="str">
        <f t="shared" si="45"/>
        <v>My health app</v>
      </c>
      <c r="BF160" s="9" t="s">
        <v>263</v>
      </c>
      <c r="BG160" s="9">
        <f t="shared" si="33"/>
        <v>1</v>
      </c>
      <c r="BH160" s="9">
        <f t="shared" si="34"/>
        <v>1</v>
      </c>
      <c r="BI160" s="9">
        <f t="shared" si="35"/>
        <v>0</v>
      </c>
      <c r="BJ160" s="9">
        <f t="shared" si="36"/>
        <v>1</v>
      </c>
      <c r="BK160" s="9">
        <f t="shared" si="37"/>
        <v>1</v>
      </c>
      <c r="BL160" s="9">
        <f t="shared" si="38"/>
        <v>0</v>
      </c>
      <c r="BM160" s="9">
        <f t="shared" si="39"/>
        <v>0</v>
      </c>
      <c r="BN160" s="9" t="s">
        <v>108</v>
      </c>
      <c r="BO160" s="11">
        <f t="shared" si="40"/>
        <v>3</v>
      </c>
    </row>
    <row r="161" ht="22.5" customHeight="1">
      <c r="A161" s="9">
        <f t="shared" si="41"/>
        <v>160</v>
      </c>
      <c r="B161" s="10">
        <v>46051.35553421296</v>
      </c>
      <c r="C161" s="9" t="s">
        <v>90</v>
      </c>
      <c r="D161" s="9">
        <f t="shared" si="1"/>
        <v>2</v>
      </c>
      <c r="E161" s="9" t="s">
        <v>68</v>
      </c>
      <c r="F161" s="9">
        <f t="shared" si="2"/>
        <v>1</v>
      </c>
      <c r="G161" s="9" t="s">
        <v>82</v>
      </c>
      <c r="H161" s="9" t="str">
        <f t="shared" si="3"/>
        <v>Urban</v>
      </c>
      <c r="I161" s="9">
        <f t="shared" si="4"/>
        <v>2</v>
      </c>
      <c r="J161" s="9" t="s">
        <v>70</v>
      </c>
      <c r="K161" s="9" t="s">
        <v>100</v>
      </c>
      <c r="L161" s="9">
        <f t="shared" si="5"/>
        <v>3</v>
      </c>
      <c r="M161" s="9" t="s">
        <v>101</v>
      </c>
      <c r="N161" s="9">
        <f t="shared" si="6"/>
        <v>2</v>
      </c>
      <c r="O161" s="12"/>
      <c r="P161" s="9" t="str">
        <f t="shared" si="7"/>
        <v>N/A</v>
      </c>
      <c r="Q161" s="9" t="s">
        <v>78</v>
      </c>
      <c r="R161" s="9">
        <f t="shared" si="8"/>
        <v>3</v>
      </c>
      <c r="S161" s="12"/>
      <c r="T161" s="9" t="str">
        <f t="shared" si="9"/>
        <v>N/A</v>
      </c>
      <c r="U161" s="9" t="s">
        <v>96</v>
      </c>
      <c r="V161" s="9">
        <f t="shared" si="10"/>
        <v>2.5</v>
      </c>
      <c r="W161" s="9" t="s">
        <v>93</v>
      </c>
      <c r="X161" s="9">
        <f t="shared" si="11"/>
        <v>0</v>
      </c>
      <c r="Y161" s="9">
        <f t="shared" si="12"/>
        <v>1</v>
      </c>
      <c r="Z161" s="9">
        <f t="shared" si="13"/>
        <v>0</v>
      </c>
      <c r="AA161" s="9">
        <f t="shared" si="14"/>
        <v>0</v>
      </c>
      <c r="AB161" s="9" t="s">
        <v>85</v>
      </c>
      <c r="AC161" s="9">
        <f t="shared" si="15"/>
        <v>4</v>
      </c>
      <c r="AD161" s="9" t="s">
        <v>78</v>
      </c>
      <c r="AE161" s="9">
        <f t="shared" si="16"/>
        <v>3</v>
      </c>
      <c r="AF161" s="9" t="s">
        <v>71</v>
      </c>
      <c r="AG161" s="9">
        <f t="shared" si="17"/>
        <v>7.7</v>
      </c>
      <c r="AH161" s="9" t="s">
        <v>85</v>
      </c>
      <c r="AI161" s="9">
        <f t="shared" si="18"/>
        <v>4</v>
      </c>
      <c r="AJ161" s="9" t="s">
        <v>73</v>
      </c>
      <c r="AK161" s="9">
        <f t="shared" si="19"/>
        <v>2</v>
      </c>
      <c r="AL161" s="9" t="s">
        <v>73</v>
      </c>
      <c r="AM161" s="9">
        <f t="shared" si="20"/>
        <v>2</v>
      </c>
      <c r="AN161" s="9" t="s">
        <v>73</v>
      </c>
      <c r="AO161" s="9">
        <f t="shared" si="21"/>
        <v>2</v>
      </c>
      <c r="AP161" s="9" t="s">
        <v>78</v>
      </c>
      <c r="AQ161" s="9">
        <f t="shared" si="22"/>
        <v>3</v>
      </c>
      <c r="AR161" s="9" t="s">
        <v>78</v>
      </c>
      <c r="AS161" s="9">
        <f t="shared" si="23"/>
        <v>3</v>
      </c>
      <c r="AT161" s="9" t="s">
        <v>264</v>
      </c>
      <c r="AU161" s="9">
        <f t="shared" si="24"/>
        <v>1</v>
      </c>
      <c r="AV161" s="9">
        <f t="shared" si="25"/>
        <v>0</v>
      </c>
      <c r="AW161" s="9">
        <f t="shared" si="26"/>
        <v>1</v>
      </c>
      <c r="AX161" s="9">
        <f t="shared" si="27"/>
        <v>1</v>
      </c>
      <c r="AY161" s="9">
        <f t="shared" si="28"/>
        <v>0</v>
      </c>
      <c r="AZ161" s="9">
        <f t="shared" si="29"/>
        <v>1</v>
      </c>
      <c r="BA161" s="9">
        <f t="shared" si="30"/>
        <v>0</v>
      </c>
      <c r="BB161" s="9" t="s">
        <v>88</v>
      </c>
      <c r="BC161" s="9">
        <f t="shared" si="31"/>
        <v>2</v>
      </c>
      <c r="BD161" s="12"/>
      <c r="BE161" s="9" t="str">
        <f t="shared" si="45"/>
        <v>N/A</v>
      </c>
      <c r="BF161" s="9" t="s">
        <v>95</v>
      </c>
      <c r="BG161" s="9">
        <f t="shared" si="33"/>
        <v>1</v>
      </c>
      <c r="BH161" s="9">
        <f t="shared" si="34"/>
        <v>0</v>
      </c>
      <c r="BI161" s="9">
        <f t="shared" si="35"/>
        <v>1</v>
      </c>
      <c r="BJ161" s="9">
        <f t="shared" si="36"/>
        <v>1</v>
      </c>
      <c r="BK161" s="9">
        <f t="shared" si="37"/>
        <v>0</v>
      </c>
      <c r="BL161" s="9">
        <f t="shared" si="38"/>
        <v>0</v>
      </c>
      <c r="BM161" s="9">
        <f t="shared" si="39"/>
        <v>0</v>
      </c>
      <c r="BN161" s="9" t="s">
        <v>68</v>
      </c>
      <c r="BO161" s="11">
        <f t="shared" si="40"/>
        <v>1</v>
      </c>
    </row>
    <row r="162" ht="22.5" customHeight="1">
      <c r="A162" s="9">
        <f t="shared" si="41"/>
        <v>161</v>
      </c>
      <c r="B162" s="10">
        <v>46051.36565270834</v>
      </c>
      <c r="C162" s="9" t="s">
        <v>67</v>
      </c>
      <c r="D162" s="9">
        <f t="shared" si="1"/>
        <v>1</v>
      </c>
      <c r="E162" s="9" t="s">
        <v>68</v>
      </c>
      <c r="F162" s="9">
        <f t="shared" si="2"/>
        <v>1</v>
      </c>
      <c r="G162" s="9" t="s">
        <v>82</v>
      </c>
      <c r="H162" s="9" t="str">
        <f t="shared" si="3"/>
        <v>Urban</v>
      </c>
      <c r="I162" s="9">
        <f t="shared" si="4"/>
        <v>2</v>
      </c>
      <c r="J162" s="9" t="s">
        <v>83</v>
      </c>
      <c r="K162" s="9" t="s">
        <v>84</v>
      </c>
      <c r="L162" s="9">
        <f t="shared" si="5"/>
        <v>2</v>
      </c>
      <c r="M162" s="9" t="s">
        <v>76</v>
      </c>
      <c r="N162" s="9">
        <f t="shared" si="6"/>
        <v>5.5</v>
      </c>
      <c r="O162" s="9" t="s">
        <v>73</v>
      </c>
      <c r="P162" s="9">
        <f t="shared" si="7"/>
        <v>2</v>
      </c>
      <c r="Q162" s="9" t="s">
        <v>73</v>
      </c>
      <c r="R162" s="9">
        <f t="shared" si="8"/>
        <v>2</v>
      </c>
      <c r="S162" s="9" t="s">
        <v>73</v>
      </c>
      <c r="T162" s="9">
        <f t="shared" si="9"/>
        <v>2</v>
      </c>
      <c r="U162" s="9" t="s">
        <v>96</v>
      </c>
      <c r="V162" s="9">
        <f t="shared" si="10"/>
        <v>2.5</v>
      </c>
      <c r="W162" s="9" t="s">
        <v>143</v>
      </c>
      <c r="X162" s="9">
        <f t="shared" si="11"/>
        <v>1</v>
      </c>
      <c r="Y162" s="9">
        <f t="shared" si="12"/>
        <v>0</v>
      </c>
      <c r="Z162" s="9">
        <f t="shared" si="13"/>
        <v>0</v>
      </c>
      <c r="AA162" s="9">
        <f t="shared" si="14"/>
        <v>0</v>
      </c>
      <c r="AB162" s="9" t="s">
        <v>73</v>
      </c>
      <c r="AC162" s="9">
        <f t="shared" si="15"/>
        <v>2</v>
      </c>
      <c r="AD162" s="9" t="s">
        <v>72</v>
      </c>
      <c r="AE162" s="9">
        <f t="shared" si="16"/>
        <v>1</v>
      </c>
      <c r="AF162" s="9" t="s">
        <v>76</v>
      </c>
      <c r="AG162" s="9">
        <f t="shared" si="17"/>
        <v>5.5</v>
      </c>
      <c r="AH162" s="9" t="s">
        <v>73</v>
      </c>
      <c r="AI162" s="9">
        <f t="shared" si="18"/>
        <v>2</v>
      </c>
      <c r="AJ162" s="9" t="s">
        <v>78</v>
      </c>
      <c r="AK162" s="9">
        <f t="shared" si="19"/>
        <v>3</v>
      </c>
      <c r="AL162" s="12"/>
      <c r="AM162" s="9" t="str">
        <f t="shared" si="20"/>
        <v>N/A</v>
      </c>
      <c r="AN162" s="9" t="s">
        <v>85</v>
      </c>
      <c r="AO162" s="9">
        <f t="shared" si="21"/>
        <v>4</v>
      </c>
      <c r="AP162" s="9" t="s">
        <v>85</v>
      </c>
      <c r="AQ162" s="9">
        <f t="shared" si="22"/>
        <v>4</v>
      </c>
      <c r="AR162" s="9" t="s">
        <v>85</v>
      </c>
      <c r="AS162" s="9">
        <f t="shared" si="23"/>
        <v>4</v>
      </c>
      <c r="AT162" s="9" t="s">
        <v>265</v>
      </c>
      <c r="AU162" s="9">
        <f t="shared" si="24"/>
        <v>0</v>
      </c>
      <c r="AV162" s="9">
        <f t="shared" si="25"/>
        <v>0</v>
      </c>
      <c r="AW162" s="9">
        <f t="shared" si="26"/>
        <v>1</v>
      </c>
      <c r="AX162" s="9">
        <f t="shared" si="27"/>
        <v>0</v>
      </c>
      <c r="AY162" s="9">
        <f t="shared" si="28"/>
        <v>0</v>
      </c>
      <c r="AZ162" s="9">
        <f t="shared" si="29"/>
        <v>0</v>
      </c>
      <c r="BA162" s="9">
        <f t="shared" si="30"/>
        <v>0</v>
      </c>
      <c r="BB162" s="9" t="s">
        <v>68</v>
      </c>
      <c r="BC162" s="9">
        <f t="shared" si="31"/>
        <v>1</v>
      </c>
      <c r="BD162" s="12"/>
      <c r="BE162" s="9" t="str">
        <f t="shared" si="45"/>
        <v>N/A</v>
      </c>
      <c r="BF162" s="9" t="s">
        <v>107</v>
      </c>
      <c r="BG162" s="9">
        <f t="shared" si="33"/>
        <v>1</v>
      </c>
      <c r="BH162" s="9">
        <f t="shared" si="34"/>
        <v>0</v>
      </c>
      <c r="BI162" s="9">
        <f t="shared" si="35"/>
        <v>0</v>
      </c>
      <c r="BJ162" s="9">
        <f t="shared" si="36"/>
        <v>0</v>
      </c>
      <c r="BK162" s="9">
        <f t="shared" si="37"/>
        <v>0</v>
      </c>
      <c r="BL162" s="9">
        <f t="shared" si="38"/>
        <v>0</v>
      </c>
      <c r="BM162" s="9">
        <f t="shared" si="39"/>
        <v>0</v>
      </c>
      <c r="BN162" s="9" t="s">
        <v>108</v>
      </c>
      <c r="BO162" s="11">
        <f t="shared" si="40"/>
        <v>3</v>
      </c>
    </row>
    <row r="163" ht="22.5" customHeight="1">
      <c r="A163" s="9">
        <f t="shared" si="41"/>
        <v>162</v>
      </c>
      <c r="B163" s="10">
        <v>46051.38436813657</v>
      </c>
      <c r="C163" s="9" t="s">
        <v>90</v>
      </c>
      <c r="D163" s="9">
        <f t="shared" si="1"/>
        <v>2</v>
      </c>
      <c r="E163" s="9" t="s">
        <v>68</v>
      </c>
      <c r="F163" s="9">
        <f t="shared" si="2"/>
        <v>1</v>
      </c>
      <c r="G163" s="9" t="s">
        <v>82</v>
      </c>
      <c r="H163" s="9" t="str">
        <f t="shared" si="3"/>
        <v>Urban</v>
      </c>
      <c r="I163" s="9">
        <f t="shared" si="4"/>
        <v>2</v>
      </c>
      <c r="J163" s="9" t="s">
        <v>70</v>
      </c>
      <c r="K163" s="9" t="s">
        <v>100</v>
      </c>
      <c r="L163" s="9">
        <f t="shared" si="5"/>
        <v>3</v>
      </c>
      <c r="M163" s="9" t="s">
        <v>101</v>
      </c>
      <c r="N163" s="9">
        <f t="shared" si="6"/>
        <v>2</v>
      </c>
      <c r="O163" s="9" t="s">
        <v>78</v>
      </c>
      <c r="P163" s="9">
        <f t="shared" si="7"/>
        <v>3</v>
      </c>
      <c r="Q163" s="9" t="s">
        <v>78</v>
      </c>
      <c r="R163" s="9">
        <f t="shared" si="8"/>
        <v>3</v>
      </c>
      <c r="S163" s="9" t="s">
        <v>78</v>
      </c>
      <c r="T163" s="9">
        <f t="shared" si="9"/>
        <v>3</v>
      </c>
      <c r="U163" s="9" t="s">
        <v>92</v>
      </c>
      <c r="V163" s="9">
        <f t="shared" si="10"/>
        <v>3.5</v>
      </c>
      <c r="W163" s="9" t="s">
        <v>180</v>
      </c>
      <c r="X163" s="9">
        <f t="shared" si="11"/>
        <v>0</v>
      </c>
      <c r="Y163" s="9">
        <f t="shared" si="12"/>
        <v>1</v>
      </c>
      <c r="Z163" s="9">
        <f t="shared" si="13"/>
        <v>1</v>
      </c>
      <c r="AA163" s="9">
        <f t="shared" si="14"/>
        <v>0</v>
      </c>
      <c r="AB163" s="9" t="s">
        <v>78</v>
      </c>
      <c r="AC163" s="9">
        <f t="shared" si="15"/>
        <v>3</v>
      </c>
      <c r="AD163" s="9" t="s">
        <v>85</v>
      </c>
      <c r="AE163" s="9">
        <f t="shared" si="16"/>
        <v>4</v>
      </c>
      <c r="AF163" s="9" t="s">
        <v>71</v>
      </c>
      <c r="AG163" s="9">
        <f t="shared" si="17"/>
        <v>7.7</v>
      </c>
      <c r="AH163" s="9" t="s">
        <v>85</v>
      </c>
      <c r="AI163" s="9">
        <f t="shared" si="18"/>
        <v>4</v>
      </c>
      <c r="AJ163" s="9" t="s">
        <v>73</v>
      </c>
      <c r="AK163" s="9">
        <f t="shared" si="19"/>
        <v>2</v>
      </c>
      <c r="AL163" s="9" t="s">
        <v>85</v>
      </c>
      <c r="AM163" s="9">
        <f t="shared" si="20"/>
        <v>4</v>
      </c>
      <c r="AN163" s="9" t="s">
        <v>85</v>
      </c>
      <c r="AO163" s="9">
        <f t="shared" si="21"/>
        <v>4</v>
      </c>
      <c r="AP163" s="9" t="s">
        <v>85</v>
      </c>
      <c r="AQ163" s="9">
        <f t="shared" si="22"/>
        <v>4</v>
      </c>
      <c r="AR163" s="9" t="s">
        <v>78</v>
      </c>
      <c r="AS163" s="9">
        <f t="shared" si="23"/>
        <v>3</v>
      </c>
      <c r="AT163" s="9" t="s">
        <v>238</v>
      </c>
      <c r="AU163" s="9">
        <f t="shared" si="24"/>
        <v>1</v>
      </c>
      <c r="AV163" s="9">
        <f t="shared" si="25"/>
        <v>0</v>
      </c>
      <c r="AW163" s="9">
        <f t="shared" si="26"/>
        <v>0</v>
      </c>
      <c r="AX163" s="9">
        <f t="shared" si="27"/>
        <v>1</v>
      </c>
      <c r="AY163" s="9">
        <f t="shared" si="28"/>
        <v>0</v>
      </c>
      <c r="AZ163" s="9">
        <f t="shared" si="29"/>
        <v>1</v>
      </c>
      <c r="BA163" s="9">
        <f t="shared" si="30"/>
        <v>0</v>
      </c>
      <c r="BB163" s="9" t="s">
        <v>88</v>
      </c>
      <c r="BC163" s="9">
        <f t="shared" si="31"/>
        <v>2</v>
      </c>
      <c r="BD163" s="12"/>
      <c r="BE163" s="9" t="str">
        <f t="shared" si="45"/>
        <v>N/A</v>
      </c>
      <c r="BF163" s="9" t="s">
        <v>211</v>
      </c>
      <c r="BG163" s="9">
        <f t="shared" si="33"/>
        <v>1</v>
      </c>
      <c r="BH163" s="9">
        <f t="shared" si="34"/>
        <v>0</v>
      </c>
      <c r="BI163" s="9">
        <f t="shared" si="35"/>
        <v>1</v>
      </c>
      <c r="BJ163" s="9">
        <f t="shared" si="36"/>
        <v>1</v>
      </c>
      <c r="BK163" s="9">
        <f t="shared" si="37"/>
        <v>1</v>
      </c>
      <c r="BL163" s="9">
        <f t="shared" si="38"/>
        <v>0</v>
      </c>
      <c r="BM163" s="9">
        <f t="shared" si="39"/>
        <v>0</v>
      </c>
      <c r="BN163" s="9" t="s">
        <v>68</v>
      </c>
      <c r="BO163" s="11">
        <f t="shared" si="40"/>
        <v>1</v>
      </c>
    </row>
    <row r="164" ht="22.5" customHeight="1">
      <c r="A164" s="9">
        <f t="shared" si="41"/>
        <v>163</v>
      </c>
      <c r="B164" s="10">
        <v>46051.39394497685</v>
      </c>
      <c r="C164" s="9" t="s">
        <v>67</v>
      </c>
      <c r="D164" s="9">
        <f t="shared" si="1"/>
        <v>1</v>
      </c>
      <c r="E164" s="9" t="s">
        <v>68</v>
      </c>
      <c r="F164" s="9">
        <f t="shared" si="2"/>
        <v>1</v>
      </c>
      <c r="G164" s="9" t="s">
        <v>82</v>
      </c>
      <c r="H164" s="9" t="str">
        <f t="shared" si="3"/>
        <v>Urban</v>
      </c>
      <c r="I164" s="9">
        <f t="shared" si="4"/>
        <v>2</v>
      </c>
      <c r="J164" s="9" t="s">
        <v>70</v>
      </c>
      <c r="K164" s="9" t="s">
        <v>100</v>
      </c>
      <c r="L164" s="9">
        <f t="shared" si="5"/>
        <v>3</v>
      </c>
      <c r="M164" s="9" t="s">
        <v>71</v>
      </c>
      <c r="N164" s="9">
        <f t="shared" si="6"/>
        <v>7.7</v>
      </c>
      <c r="O164" s="9" t="s">
        <v>73</v>
      </c>
      <c r="P164" s="9">
        <f t="shared" si="7"/>
        <v>2</v>
      </c>
      <c r="Q164" s="9" t="s">
        <v>73</v>
      </c>
      <c r="R164" s="9">
        <f t="shared" si="8"/>
        <v>2</v>
      </c>
      <c r="S164" s="9" t="s">
        <v>78</v>
      </c>
      <c r="T164" s="9">
        <f t="shared" si="9"/>
        <v>3</v>
      </c>
      <c r="U164" s="9" t="s">
        <v>92</v>
      </c>
      <c r="V164" s="9">
        <f t="shared" si="10"/>
        <v>3.5</v>
      </c>
      <c r="W164" s="9" t="s">
        <v>180</v>
      </c>
      <c r="X164" s="9">
        <f t="shared" si="11"/>
        <v>0</v>
      </c>
      <c r="Y164" s="9">
        <f t="shared" si="12"/>
        <v>1</v>
      </c>
      <c r="Z164" s="9">
        <f t="shared" si="13"/>
        <v>1</v>
      </c>
      <c r="AA164" s="9">
        <f t="shared" si="14"/>
        <v>0</v>
      </c>
      <c r="AB164" s="9" t="s">
        <v>85</v>
      </c>
      <c r="AC164" s="9">
        <f t="shared" si="15"/>
        <v>4</v>
      </c>
      <c r="AD164" s="9" t="s">
        <v>78</v>
      </c>
      <c r="AE164" s="9">
        <f t="shared" si="16"/>
        <v>3</v>
      </c>
      <c r="AF164" s="9" t="s">
        <v>71</v>
      </c>
      <c r="AG164" s="9">
        <f t="shared" si="17"/>
        <v>7.7</v>
      </c>
      <c r="AH164" s="9" t="s">
        <v>78</v>
      </c>
      <c r="AI164" s="9">
        <f t="shared" si="18"/>
        <v>3</v>
      </c>
      <c r="AJ164" s="9" t="s">
        <v>78</v>
      </c>
      <c r="AK164" s="9">
        <f t="shared" si="19"/>
        <v>3</v>
      </c>
      <c r="AL164" s="9" t="s">
        <v>73</v>
      </c>
      <c r="AM164" s="9">
        <f t="shared" si="20"/>
        <v>2</v>
      </c>
      <c r="AN164" s="9" t="s">
        <v>78</v>
      </c>
      <c r="AO164" s="9">
        <f t="shared" si="21"/>
        <v>3</v>
      </c>
      <c r="AP164" s="9" t="s">
        <v>78</v>
      </c>
      <c r="AQ164" s="9">
        <f t="shared" si="22"/>
        <v>3</v>
      </c>
      <c r="AR164" s="9" t="s">
        <v>78</v>
      </c>
      <c r="AS164" s="9">
        <f t="shared" si="23"/>
        <v>3</v>
      </c>
      <c r="AT164" s="9" t="s">
        <v>116</v>
      </c>
      <c r="AU164" s="9">
        <f t="shared" si="24"/>
        <v>1</v>
      </c>
      <c r="AV164" s="9">
        <f t="shared" si="25"/>
        <v>0</v>
      </c>
      <c r="AW164" s="9">
        <f t="shared" si="26"/>
        <v>0</v>
      </c>
      <c r="AX164" s="9">
        <f t="shared" si="27"/>
        <v>0</v>
      </c>
      <c r="AY164" s="9">
        <f t="shared" si="28"/>
        <v>0</v>
      </c>
      <c r="AZ164" s="9">
        <f t="shared" si="29"/>
        <v>1</v>
      </c>
      <c r="BA164" s="9">
        <f t="shared" si="30"/>
        <v>0</v>
      </c>
      <c r="BB164" s="9" t="s">
        <v>88</v>
      </c>
      <c r="BC164" s="9">
        <f t="shared" si="31"/>
        <v>2</v>
      </c>
      <c r="BD164" s="12"/>
      <c r="BE164" s="9" t="str">
        <f t="shared" si="45"/>
        <v>N/A</v>
      </c>
      <c r="BF164" s="9" t="s">
        <v>107</v>
      </c>
      <c r="BG164" s="9">
        <f t="shared" si="33"/>
        <v>1</v>
      </c>
      <c r="BH164" s="9">
        <f t="shared" si="34"/>
        <v>0</v>
      </c>
      <c r="BI164" s="9">
        <f t="shared" si="35"/>
        <v>0</v>
      </c>
      <c r="BJ164" s="9">
        <f t="shared" si="36"/>
        <v>0</v>
      </c>
      <c r="BK164" s="9">
        <f t="shared" si="37"/>
        <v>0</v>
      </c>
      <c r="BL164" s="9">
        <f t="shared" si="38"/>
        <v>0</v>
      </c>
      <c r="BM164" s="9">
        <f t="shared" si="39"/>
        <v>0</v>
      </c>
      <c r="BN164" s="9" t="s">
        <v>108</v>
      </c>
      <c r="BO164" s="11">
        <f t="shared" si="40"/>
        <v>3</v>
      </c>
    </row>
    <row r="165" ht="22.5" customHeight="1">
      <c r="A165" s="9">
        <f t="shared" si="41"/>
        <v>164</v>
      </c>
      <c r="B165" s="10">
        <v>46051.40639574074</v>
      </c>
      <c r="C165" s="9" t="s">
        <v>90</v>
      </c>
      <c r="D165" s="9">
        <f t="shared" si="1"/>
        <v>2</v>
      </c>
      <c r="E165" s="9" t="s">
        <v>68</v>
      </c>
      <c r="F165" s="9">
        <f t="shared" si="2"/>
        <v>1</v>
      </c>
      <c r="G165" s="9" t="s">
        <v>69</v>
      </c>
      <c r="H165" s="9" t="str">
        <f t="shared" si="3"/>
        <v>Rural</v>
      </c>
      <c r="I165" s="9">
        <f t="shared" si="4"/>
        <v>1</v>
      </c>
      <c r="J165" s="9" t="s">
        <v>145</v>
      </c>
      <c r="K165" s="9" t="s">
        <v>146</v>
      </c>
      <c r="L165" s="9">
        <f t="shared" si="5"/>
        <v>1</v>
      </c>
      <c r="M165" s="9" t="s">
        <v>76</v>
      </c>
      <c r="N165" s="9">
        <f t="shared" si="6"/>
        <v>5.5</v>
      </c>
      <c r="O165" s="9" t="s">
        <v>72</v>
      </c>
      <c r="P165" s="9">
        <f t="shared" si="7"/>
        <v>1</v>
      </c>
      <c r="Q165" s="9" t="s">
        <v>72</v>
      </c>
      <c r="R165" s="9">
        <f t="shared" si="8"/>
        <v>1</v>
      </c>
      <c r="S165" s="9" t="s">
        <v>72</v>
      </c>
      <c r="T165" s="9">
        <f t="shared" si="9"/>
        <v>1</v>
      </c>
      <c r="U165" s="9" t="s">
        <v>110</v>
      </c>
      <c r="V165" s="9">
        <f t="shared" si="10"/>
        <v>0.75</v>
      </c>
      <c r="W165" s="9" t="s">
        <v>97</v>
      </c>
      <c r="X165" s="9">
        <f t="shared" si="11"/>
        <v>1</v>
      </c>
      <c r="Y165" s="9">
        <f t="shared" si="12"/>
        <v>0</v>
      </c>
      <c r="Z165" s="9">
        <f t="shared" si="13"/>
        <v>1</v>
      </c>
      <c r="AA165" s="9">
        <f t="shared" si="14"/>
        <v>0</v>
      </c>
      <c r="AB165" s="9" t="s">
        <v>72</v>
      </c>
      <c r="AC165" s="9">
        <f t="shared" si="15"/>
        <v>1</v>
      </c>
      <c r="AD165" s="9" t="s">
        <v>103</v>
      </c>
      <c r="AE165" s="9">
        <f t="shared" si="16"/>
        <v>5</v>
      </c>
      <c r="AF165" s="9" t="s">
        <v>76</v>
      </c>
      <c r="AG165" s="9">
        <f t="shared" si="17"/>
        <v>5.5</v>
      </c>
      <c r="AH165" s="9" t="s">
        <v>103</v>
      </c>
      <c r="AI165" s="9">
        <f t="shared" si="18"/>
        <v>5</v>
      </c>
      <c r="AJ165" s="9" t="s">
        <v>85</v>
      </c>
      <c r="AK165" s="9">
        <f t="shared" si="19"/>
        <v>4</v>
      </c>
      <c r="AL165" s="9" t="s">
        <v>77</v>
      </c>
      <c r="AM165" s="9">
        <f t="shared" si="20"/>
        <v>1</v>
      </c>
      <c r="AN165" s="9" t="s">
        <v>120</v>
      </c>
      <c r="AO165" s="9">
        <f t="shared" si="21"/>
        <v>5</v>
      </c>
      <c r="AP165" s="12"/>
      <c r="AQ165" s="9" t="str">
        <f t="shared" si="22"/>
        <v>N/A</v>
      </c>
      <c r="AR165" s="9" t="s">
        <v>120</v>
      </c>
      <c r="AS165" s="9">
        <f t="shared" si="23"/>
        <v>5</v>
      </c>
      <c r="AT165" s="9" t="s">
        <v>266</v>
      </c>
      <c r="AU165" s="9">
        <f t="shared" si="24"/>
        <v>1</v>
      </c>
      <c r="AV165" s="9">
        <f t="shared" si="25"/>
        <v>1</v>
      </c>
      <c r="AW165" s="9">
        <f t="shared" si="26"/>
        <v>0</v>
      </c>
      <c r="AX165" s="9">
        <f t="shared" si="27"/>
        <v>1</v>
      </c>
      <c r="AY165" s="9">
        <f t="shared" si="28"/>
        <v>0</v>
      </c>
      <c r="AZ165" s="9">
        <f t="shared" si="29"/>
        <v>1</v>
      </c>
      <c r="BA165" s="9">
        <f t="shared" si="30"/>
        <v>0</v>
      </c>
      <c r="BB165" s="9" t="s">
        <v>88</v>
      </c>
      <c r="BC165" s="9">
        <f t="shared" si="31"/>
        <v>2</v>
      </c>
      <c r="BD165" s="12"/>
      <c r="BE165" s="9" t="str">
        <f t="shared" si="45"/>
        <v>N/A</v>
      </c>
      <c r="BF165" s="9" t="s">
        <v>135</v>
      </c>
      <c r="BG165" s="9">
        <f t="shared" si="33"/>
        <v>1</v>
      </c>
      <c r="BH165" s="9">
        <f t="shared" si="34"/>
        <v>0</v>
      </c>
      <c r="BI165" s="9">
        <f t="shared" si="35"/>
        <v>0</v>
      </c>
      <c r="BJ165" s="9">
        <f t="shared" si="36"/>
        <v>1</v>
      </c>
      <c r="BK165" s="9">
        <f t="shared" si="37"/>
        <v>0</v>
      </c>
      <c r="BL165" s="9">
        <f t="shared" si="38"/>
        <v>1</v>
      </c>
      <c r="BM165" s="9">
        <f t="shared" si="39"/>
        <v>0</v>
      </c>
      <c r="BN165" s="9" t="s">
        <v>68</v>
      </c>
      <c r="BO165" s="11">
        <f t="shared" si="40"/>
        <v>1</v>
      </c>
    </row>
    <row r="166" ht="22.5" customHeight="1">
      <c r="A166" s="9">
        <f t="shared" si="41"/>
        <v>165</v>
      </c>
      <c r="B166" s="10">
        <v>46051.40923488426</v>
      </c>
      <c r="C166" s="9" t="s">
        <v>90</v>
      </c>
      <c r="D166" s="9">
        <f t="shared" si="1"/>
        <v>2</v>
      </c>
      <c r="E166" s="9" t="s">
        <v>68</v>
      </c>
      <c r="F166" s="9">
        <f t="shared" si="2"/>
        <v>1</v>
      </c>
      <c r="G166" s="9" t="s">
        <v>91</v>
      </c>
      <c r="H166" s="9" t="str">
        <f t="shared" si="3"/>
        <v>Urban</v>
      </c>
      <c r="I166" s="9">
        <f t="shared" si="4"/>
        <v>2</v>
      </c>
      <c r="J166" s="9" t="s">
        <v>70</v>
      </c>
      <c r="K166" s="9" t="s">
        <v>100</v>
      </c>
      <c r="L166" s="9">
        <f t="shared" si="5"/>
        <v>3</v>
      </c>
      <c r="M166" s="9" t="s">
        <v>101</v>
      </c>
      <c r="N166" s="9">
        <f t="shared" si="6"/>
        <v>2</v>
      </c>
      <c r="O166" s="9" t="s">
        <v>73</v>
      </c>
      <c r="P166" s="9">
        <f t="shared" si="7"/>
        <v>2</v>
      </c>
      <c r="Q166" s="9" t="s">
        <v>72</v>
      </c>
      <c r="R166" s="9">
        <f t="shared" si="8"/>
        <v>1</v>
      </c>
      <c r="S166" s="9" t="s">
        <v>73</v>
      </c>
      <c r="T166" s="9">
        <f t="shared" si="9"/>
        <v>2</v>
      </c>
      <c r="U166" s="9" t="s">
        <v>92</v>
      </c>
      <c r="V166" s="9">
        <f t="shared" si="10"/>
        <v>3.5</v>
      </c>
      <c r="W166" s="9" t="s">
        <v>93</v>
      </c>
      <c r="X166" s="9">
        <f t="shared" si="11"/>
        <v>0</v>
      </c>
      <c r="Y166" s="9">
        <f t="shared" si="12"/>
        <v>1</v>
      </c>
      <c r="Z166" s="9">
        <f t="shared" si="13"/>
        <v>0</v>
      </c>
      <c r="AA166" s="9">
        <f t="shared" si="14"/>
        <v>0</v>
      </c>
      <c r="AB166" s="9" t="s">
        <v>85</v>
      </c>
      <c r="AC166" s="9">
        <f t="shared" si="15"/>
        <v>4</v>
      </c>
      <c r="AD166" s="9" t="s">
        <v>78</v>
      </c>
      <c r="AE166" s="9">
        <f t="shared" si="16"/>
        <v>3</v>
      </c>
      <c r="AF166" s="9" t="s">
        <v>71</v>
      </c>
      <c r="AG166" s="9">
        <f t="shared" si="17"/>
        <v>7.7</v>
      </c>
      <c r="AH166" s="9" t="s">
        <v>72</v>
      </c>
      <c r="AI166" s="9">
        <f t="shared" si="18"/>
        <v>1</v>
      </c>
      <c r="AJ166" s="9" t="s">
        <v>73</v>
      </c>
      <c r="AK166" s="9">
        <f t="shared" si="19"/>
        <v>2</v>
      </c>
      <c r="AL166" s="9" t="s">
        <v>73</v>
      </c>
      <c r="AM166" s="9">
        <f t="shared" si="20"/>
        <v>2</v>
      </c>
      <c r="AN166" s="9" t="s">
        <v>85</v>
      </c>
      <c r="AO166" s="9">
        <f t="shared" si="21"/>
        <v>4</v>
      </c>
      <c r="AP166" s="9" t="s">
        <v>85</v>
      </c>
      <c r="AQ166" s="9">
        <f t="shared" si="22"/>
        <v>4</v>
      </c>
      <c r="AR166" s="12"/>
      <c r="AS166" s="9" t="str">
        <f t="shared" si="23"/>
        <v>N/A</v>
      </c>
      <c r="AT166" s="9" t="s">
        <v>162</v>
      </c>
      <c r="AU166" s="9">
        <f t="shared" si="24"/>
        <v>0</v>
      </c>
      <c r="AV166" s="9">
        <f t="shared" si="25"/>
        <v>0</v>
      </c>
      <c r="AW166" s="9">
        <f t="shared" si="26"/>
        <v>0</v>
      </c>
      <c r="AX166" s="9">
        <f t="shared" si="27"/>
        <v>0</v>
      </c>
      <c r="AY166" s="9">
        <f t="shared" si="28"/>
        <v>0</v>
      </c>
      <c r="AZ166" s="9">
        <f t="shared" si="29"/>
        <v>1</v>
      </c>
      <c r="BA166" s="9">
        <f t="shared" si="30"/>
        <v>0</v>
      </c>
      <c r="BB166" s="9" t="s">
        <v>88</v>
      </c>
      <c r="BC166" s="9">
        <f t="shared" si="31"/>
        <v>2</v>
      </c>
      <c r="BD166" s="12"/>
      <c r="BE166" s="9" t="str">
        <f t="shared" si="45"/>
        <v>N/A</v>
      </c>
      <c r="BF166" s="9" t="s">
        <v>150</v>
      </c>
      <c r="BG166" s="9">
        <f t="shared" si="33"/>
        <v>0</v>
      </c>
      <c r="BH166" s="9">
        <f t="shared" si="34"/>
        <v>0</v>
      </c>
      <c r="BI166" s="9">
        <f t="shared" si="35"/>
        <v>0</v>
      </c>
      <c r="BJ166" s="9">
        <f t="shared" si="36"/>
        <v>0</v>
      </c>
      <c r="BK166" s="9">
        <f t="shared" si="37"/>
        <v>1</v>
      </c>
      <c r="BL166" s="9">
        <f t="shared" si="38"/>
        <v>0</v>
      </c>
      <c r="BM166" s="9">
        <f t="shared" si="39"/>
        <v>0</v>
      </c>
      <c r="BN166" s="9" t="s">
        <v>68</v>
      </c>
      <c r="BO166" s="11">
        <f t="shared" si="40"/>
        <v>1</v>
      </c>
    </row>
    <row r="167" ht="22.5" customHeight="1">
      <c r="A167" s="9">
        <f t="shared" si="41"/>
        <v>166</v>
      </c>
      <c r="B167" s="10">
        <v>46051.413698668985</v>
      </c>
      <c r="C167" s="9" t="s">
        <v>67</v>
      </c>
      <c r="D167" s="9">
        <f t="shared" si="1"/>
        <v>1</v>
      </c>
      <c r="E167" s="9" t="s">
        <v>68</v>
      </c>
      <c r="F167" s="9">
        <f t="shared" si="2"/>
        <v>1</v>
      </c>
      <c r="G167" s="9" t="s">
        <v>82</v>
      </c>
      <c r="H167" s="9" t="str">
        <f t="shared" si="3"/>
        <v>Urban</v>
      </c>
      <c r="I167" s="9">
        <f t="shared" si="4"/>
        <v>2</v>
      </c>
      <c r="J167" s="9" t="s">
        <v>70</v>
      </c>
      <c r="K167" s="9" t="s">
        <v>100</v>
      </c>
      <c r="L167" s="9">
        <f t="shared" si="5"/>
        <v>3</v>
      </c>
      <c r="M167" s="9" t="s">
        <v>109</v>
      </c>
      <c r="N167" s="9">
        <f t="shared" si="6"/>
        <v>9</v>
      </c>
      <c r="O167" s="9" t="s">
        <v>78</v>
      </c>
      <c r="P167" s="9">
        <f t="shared" si="7"/>
        <v>3</v>
      </c>
      <c r="Q167" s="9" t="s">
        <v>78</v>
      </c>
      <c r="R167" s="9">
        <f t="shared" si="8"/>
        <v>3</v>
      </c>
      <c r="S167" s="9" t="s">
        <v>78</v>
      </c>
      <c r="T167" s="9">
        <f t="shared" si="9"/>
        <v>3</v>
      </c>
      <c r="U167" s="9" t="s">
        <v>96</v>
      </c>
      <c r="V167" s="9">
        <f t="shared" si="10"/>
        <v>2.5</v>
      </c>
      <c r="W167" s="9" t="s">
        <v>143</v>
      </c>
      <c r="X167" s="9">
        <f t="shared" si="11"/>
        <v>1</v>
      </c>
      <c r="Y167" s="9">
        <f t="shared" si="12"/>
        <v>0</v>
      </c>
      <c r="Z167" s="9">
        <f t="shared" si="13"/>
        <v>0</v>
      </c>
      <c r="AA167" s="9">
        <f t="shared" si="14"/>
        <v>0</v>
      </c>
      <c r="AB167" s="9" t="s">
        <v>73</v>
      </c>
      <c r="AC167" s="9">
        <f t="shared" si="15"/>
        <v>2</v>
      </c>
      <c r="AD167" s="9" t="s">
        <v>78</v>
      </c>
      <c r="AE167" s="9">
        <f t="shared" si="16"/>
        <v>3</v>
      </c>
      <c r="AF167" s="9" t="s">
        <v>109</v>
      </c>
      <c r="AG167" s="9">
        <f t="shared" si="17"/>
        <v>9</v>
      </c>
      <c r="AH167" s="9" t="s">
        <v>85</v>
      </c>
      <c r="AI167" s="9">
        <f t="shared" si="18"/>
        <v>4</v>
      </c>
      <c r="AJ167" s="9" t="s">
        <v>73</v>
      </c>
      <c r="AK167" s="9">
        <f t="shared" si="19"/>
        <v>2</v>
      </c>
      <c r="AL167" s="9" t="s">
        <v>73</v>
      </c>
      <c r="AM167" s="9">
        <f t="shared" si="20"/>
        <v>2</v>
      </c>
      <c r="AN167" s="9" t="s">
        <v>85</v>
      </c>
      <c r="AO167" s="9">
        <f t="shared" si="21"/>
        <v>4</v>
      </c>
      <c r="AP167" s="9" t="s">
        <v>73</v>
      </c>
      <c r="AQ167" s="9">
        <f t="shared" si="22"/>
        <v>2</v>
      </c>
      <c r="AR167" s="9" t="s">
        <v>85</v>
      </c>
      <c r="AS167" s="9">
        <f t="shared" si="23"/>
        <v>4</v>
      </c>
      <c r="AT167" s="9" t="s">
        <v>267</v>
      </c>
      <c r="AU167" s="9">
        <f t="shared" si="24"/>
        <v>0</v>
      </c>
      <c r="AV167" s="9">
        <f t="shared" si="25"/>
        <v>1</v>
      </c>
      <c r="AW167" s="9">
        <f t="shared" si="26"/>
        <v>1</v>
      </c>
      <c r="AX167" s="9">
        <f t="shared" si="27"/>
        <v>1</v>
      </c>
      <c r="AY167" s="9">
        <f t="shared" si="28"/>
        <v>0</v>
      </c>
      <c r="AZ167" s="9">
        <f t="shared" si="29"/>
        <v>1</v>
      </c>
      <c r="BA167" s="9">
        <f t="shared" si="30"/>
        <v>0</v>
      </c>
      <c r="BB167" s="9" t="s">
        <v>88</v>
      </c>
      <c r="BC167" s="9">
        <f t="shared" si="31"/>
        <v>2</v>
      </c>
      <c r="BD167" s="12"/>
      <c r="BE167" s="9" t="str">
        <f t="shared" si="45"/>
        <v>N/A</v>
      </c>
      <c r="BF167" s="9" t="s">
        <v>268</v>
      </c>
      <c r="BG167" s="9">
        <f t="shared" si="33"/>
        <v>1</v>
      </c>
      <c r="BH167" s="9">
        <f t="shared" si="34"/>
        <v>0</v>
      </c>
      <c r="BI167" s="9">
        <f t="shared" si="35"/>
        <v>1</v>
      </c>
      <c r="BJ167" s="9">
        <f t="shared" si="36"/>
        <v>0</v>
      </c>
      <c r="BK167" s="9">
        <f t="shared" si="37"/>
        <v>1</v>
      </c>
      <c r="BL167" s="9">
        <f t="shared" si="38"/>
        <v>1</v>
      </c>
      <c r="BM167" s="9">
        <f t="shared" si="39"/>
        <v>0</v>
      </c>
      <c r="BN167" s="9" t="s">
        <v>68</v>
      </c>
      <c r="BO167" s="11">
        <f t="shared" si="40"/>
        <v>1</v>
      </c>
    </row>
    <row r="168" ht="22.5" customHeight="1">
      <c r="A168" s="9">
        <f t="shared" si="41"/>
        <v>167</v>
      </c>
      <c r="B168" s="10">
        <v>46051.416832939816</v>
      </c>
      <c r="C168" s="9" t="s">
        <v>90</v>
      </c>
      <c r="D168" s="9">
        <f t="shared" si="1"/>
        <v>2</v>
      </c>
      <c r="E168" s="9" t="s">
        <v>68</v>
      </c>
      <c r="F168" s="9">
        <f t="shared" si="2"/>
        <v>1</v>
      </c>
      <c r="G168" s="9" t="s">
        <v>91</v>
      </c>
      <c r="H168" s="9" t="str">
        <f t="shared" si="3"/>
        <v>Urban</v>
      </c>
      <c r="I168" s="9">
        <f t="shared" si="4"/>
        <v>2</v>
      </c>
      <c r="J168" s="9" t="s">
        <v>83</v>
      </c>
      <c r="K168" s="9" t="s">
        <v>84</v>
      </c>
      <c r="L168" s="9">
        <f t="shared" si="5"/>
        <v>2</v>
      </c>
      <c r="M168" s="9" t="s">
        <v>71</v>
      </c>
      <c r="N168" s="9">
        <f t="shared" si="6"/>
        <v>7.7</v>
      </c>
      <c r="O168" s="9" t="s">
        <v>73</v>
      </c>
      <c r="P168" s="9">
        <f t="shared" si="7"/>
        <v>2</v>
      </c>
      <c r="Q168" s="9" t="s">
        <v>85</v>
      </c>
      <c r="R168" s="9">
        <f t="shared" si="8"/>
        <v>4</v>
      </c>
      <c r="S168" s="9" t="s">
        <v>73</v>
      </c>
      <c r="T168" s="9">
        <f t="shared" si="9"/>
        <v>2</v>
      </c>
      <c r="U168" s="9" t="s">
        <v>92</v>
      </c>
      <c r="V168" s="9">
        <f t="shared" si="10"/>
        <v>3.5</v>
      </c>
      <c r="W168" s="9" t="s">
        <v>93</v>
      </c>
      <c r="X168" s="9">
        <f t="shared" si="11"/>
        <v>0</v>
      </c>
      <c r="Y168" s="9">
        <f t="shared" si="12"/>
        <v>1</v>
      </c>
      <c r="Z168" s="9">
        <f t="shared" si="13"/>
        <v>0</v>
      </c>
      <c r="AA168" s="9">
        <f t="shared" si="14"/>
        <v>0</v>
      </c>
      <c r="AB168" s="9" t="s">
        <v>103</v>
      </c>
      <c r="AC168" s="9">
        <f t="shared" si="15"/>
        <v>5</v>
      </c>
      <c r="AD168" s="9" t="s">
        <v>85</v>
      </c>
      <c r="AE168" s="9">
        <f t="shared" si="16"/>
        <v>4</v>
      </c>
      <c r="AF168" s="9" t="s">
        <v>71</v>
      </c>
      <c r="AG168" s="9">
        <f t="shared" si="17"/>
        <v>7.7</v>
      </c>
      <c r="AH168" s="9" t="s">
        <v>85</v>
      </c>
      <c r="AI168" s="9">
        <f t="shared" si="18"/>
        <v>4</v>
      </c>
      <c r="AJ168" s="9" t="s">
        <v>73</v>
      </c>
      <c r="AK168" s="9">
        <f t="shared" si="19"/>
        <v>2</v>
      </c>
      <c r="AL168" s="9" t="s">
        <v>78</v>
      </c>
      <c r="AM168" s="9">
        <f t="shared" si="20"/>
        <v>3</v>
      </c>
      <c r="AN168" s="9" t="s">
        <v>78</v>
      </c>
      <c r="AO168" s="9">
        <f t="shared" si="21"/>
        <v>3</v>
      </c>
      <c r="AP168" s="9" t="s">
        <v>85</v>
      </c>
      <c r="AQ168" s="9">
        <f t="shared" si="22"/>
        <v>4</v>
      </c>
      <c r="AR168" s="9" t="s">
        <v>85</v>
      </c>
      <c r="AS168" s="9">
        <f t="shared" si="23"/>
        <v>4</v>
      </c>
      <c r="AT168" s="9" t="s">
        <v>269</v>
      </c>
      <c r="AU168" s="9">
        <f t="shared" si="24"/>
        <v>0</v>
      </c>
      <c r="AV168" s="9">
        <f t="shared" si="25"/>
        <v>1</v>
      </c>
      <c r="AW168" s="9">
        <f t="shared" si="26"/>
        <v>0</v>
      </c>
      <c r="AX168" s="9">
        <f t="shared" si="27"/>
        <v>0</v>
      </c>
      <c r="AY168" s="9">
        <f t="shared" si="28"/>
        <v>1</v>
      </c>
      <c r="AZ168" s="9">
        <f t="shared" si="29"/>
        <v>1</v>
      </c>
      <c r="BA168" s="9">
        <f t="shared" si="30"/>
        <v>0</v>
      </c>
      <c r="BB168" s="9" t="s">
        <v>88</v>
      </c>
      <c r="BC168" s="9">
        <f t="shared" si="31"/>
        <v>2</v>
      </c>
      <c r="BD168" s="12"/>
      <c r="BE168" s="9" t="str">
        <f t="shared" si="45"/>
        <v>N/A</v>
      </c>
      <c r="BF168" s="9" t="s">
        <v>89</v>
      </c>
      <c r="BG168" s="9">
        <f t="shared" si="33"/>
        <v>1</v>
      </c>
      <c r="BH168" s="9">
        <f t="shared" si="34"/>
        <v>1</v>
      </c>
      <c r="BI168" s="9">
        <f t="shared" si="35"/>
        <v>1</v>
      </c>
      <c r="BJ168" s="9">
        <f t="shared" si="36"/>
        <v>1</v>
      </c>
      <c r="BK168" s="9">
        <f t="shared" si="37"/>
        <v>1</v>
      </c>
      <c r="BL168" s="9">
        <f t="shared" si="38"/>
        <v>1</v>
      </c>
      <c r="BM168" s="9">
        <f t="shared" si="39"/>
        <v>1</v>
      </c>
      <c r="BN168" s="9" t="s">
        <v>68</v>
      </c>
      <c r="BO168" s="11">
        <f t="shared" si="40"/>
        <v>1</v>
      </c>
    </row>
    <row r="169" ht="22.5" customHeight="1">
      <c r="A169" s="9">
        <f t="shared" si="41"/>
        <v>168</v>
      </c>
      <c r="B169" s="10">
        <v>46051.422560555555</v>
      </c>
      <c r="C169" s="9" t="s">
        <v>90</v>
      </c>
      <c r="D169" s="9">
        <f t="shared" si="1"/>
        <v>2</v>
      </c>
      <c r="E169" s="9" t="s">
        <v>68</v>
      </c>
      <c r="F169" s="9">
        <f t="shared" si="2"/>
        <v>1</v>
      </c>
      <c r="G169" s="9" t="s">
        <v>91</v>
      </c>
      <c r="H169" s="9" t="str">
        <f t="shared" si="3"/>
        <v>Urban</v>
      </c>
      <c r="I169" s="9">
        <f t="shared" si="4"/>
        <v>2</v>
      </c>
      <c r="J169" s="9" t="s">
        <v>70</v>
      </c>
      <c r="K169" s="9" t="s">
        <v>100</v>
      </c>
      <c r="L169" s="9">
        <f t="shared" si="5"/>
        <v>3</v>
      </c>
      <c r="M169" s="9" t="s">
        <v>76</v>
      </c>
      <c r="N169" s="9">
        <f t="shared" si="6"/>
        <v>5.5</v>
      </c>
      <c r="O169" s="9" t="s">
        <v>78</v>
      </c>
      <c r="P169" s="9">
        <f t="shared" si="7"/>
        <v>3</v>
      </c>
      <c r="Q169" s="9" t="s">
        <v>78</v>
      </c>
      <c r="R169" s="9">
        <f t="shared" si="8"/>
        <v>3</v>
      </c>
      <c r="S169" s="9" t="s">
        <v>78</v>
      </c>
      <c r="T169" s="9">
        <f t="shared" si="9"/>
        <v>3</v>
      </c>
      <c r="U169" s="9" t="s">
        <v>96</v>
      </c>
      <c r="V169" s="9">
        <f t="shared" si="10"/>
        <v>2.5</v>
      </c>
      <c r="W169" s="9" t="s">
        <v>143</v>
      </c>
      <c r="X169" s="9">
        <f t="shared" si="11"/>
        <v>1</v>
      </c>
      <c r="Y169" s="9">
        <f t="shared" si="12"/>
        <v>0</v>
      </c>
      <c r="Z169" s="9">
        <f t="shared" si="13"/>
        <v>0</v>
      </c>
      <c r="AA169" s="9">
        <f t="shared" si="14"/>
        <v>0</v>
      </c>
      <c r="AB169" s="9" t="s">
        <v>73</v>
      </c>
      <c r="AC169" s="9">
        <f t="shared" si="15"/>
        <v>2</v>
      </c>
      <c r="AD169" s="9" t="s">
        <v>73</v>
      </c>
      <c r="AE169" s="9">
        <f t="shared" si="16"/>
        <v>2</v>
      </c>
      <c r="AF169" s="9" t="s">
        <v>71</v>
      </c>
      <c r="AG169" s="9">
        <f t="shared" si="17"/>
        <v>7.7</v>
      </c>
      <c r="AH169" s="9" t="s">
        <v>85</v>
      </c>
      <c r="AI169" s="9">
        <f t="shared" si="18"/>
        <v>4</v>
      </c>
      <c r="AJ169" s="9" t="s">
        <v>73</v>
      </c>
      <c r="AK169" s="9">
        <f t="shared" si="19"/>
        <v>2</v>
      </c>
      <c r="AL169" s="9" t="s">
        <v>78</v>
      </c>
      <c r="AM169" s="9">
        <f t="shared" si="20"/>
        <v>3</v>
      </c>
      <c r="AN169" s="9" t="s">
        <v>85</v>
      </c>
      <c r="AO169" s="9">
        <f t="shared" si="21"/>
        <v>4</v>
      </c>
      <c r="AP169" s="9" t="s">
        <v>85</v>
      </c>
      <c r="AQ169" s="9">
        <f t="shared" si="22"/>
        <v>4</v>
      </c>
      <c r="AR169" s="9" t="s">
        <v>85</v>
      </c>
      <c r="AS169" s="9">
        <f t="shared" si="23"/>
        <v>4</v>
      </c>
      <c r="AT169" s="9" t="s">
        <v>147</v>
      </c>
      <c r="AU169" s="9">
        <f t="shared" si="24"/>
        <v>1</v>
      </c>
      <c r="AV169" s="9">
        <f t="shared" si="25"/>
        <v>0</v>
      </c>
      <c r="AW169" s="9">
        <f t="shared" si="26"/>
        <v>0</v>
      </c>
      <c r="AX169" s="9">
        <f t="shared" si="27"/>
        <v>0</v>
      </c>
      <c r="AY169" s="9">
        <f t="shared" si="28"/>
        <v>0</v>
      </c>
      <c r="AZ169" s="9">
        <f t="shared" si="29"/>
        <v>0</v>
      </c>
      <c r="BA169" s="9">
        <f t="shared" si="30"/>
        <v>0</v>
      </c>
      <c r="BB169" s="9" t="s">
        <v>88</v>
      </c>
      <c r="BC169" s="9">
        <f t="shared" si="31"/>
        <v>2</v>
      </c>
      <c r="BD169" s="12"/>
      <c r="BE169" s="9" t="str">
        <f t="shared" si="45"/>
        <v>N/A</v>
      </c>
      <c r="BF169" s="9" t="s">
        <v>129</v>
      </c>
      <c r="BG169" s="9">
        <f t="shared" si="33"/>
        <v>0</v>
      </c>
      <c r="BH169" s="9">
        <f t="shared" si="34"/>
        <v>0</v>
      </c>
      <c r="BI169" s="9">
        <f t="shared" si="35"/>
        <v>0</v>
      </c>
      <c r="BJ169" s="9">
        <f t="shared" si="36"/>
        <v>0</v>
      </c>
      <c r="BK169" s="9">
        <f t="shared" si="37"/>
        <v>0</v>
      </c>
      <c r="BL169" s="9">
        <f t="shared" si="38"/>
        <v>1</v>
      </c>
      <c r="BM169" s="9">
        <f t="shared" si="39"/>
        <v>0</v>
      </c>
      <c r="BN169" s="9" t="s">
        <v>88</v>
      </c>
      <c r="BO169" s="11">
        <f t="shared" si="40"/>
        <v>2</v>
      </c>
    </row>
    <row r="170" ht="22.5" customHeight="1">
      <c r="A170" s="9">
        <f t="shared" si="41"/>
        <v>169</v>
      </c>
      <c r="B170" s="10">
        <v>46051.428233541665</v>
      </c>
      <c r="C170" s="9" t="s">
        <v>67</v>
      </c>
      <c r="D170" s="9">
        <f t="shared" si="1"/>
        <v>1</v>
      </c>
      <c r="E170" s="9" t="s">
        <v>68</v>
      </c>
      <c r="F170" s="9">
        <f t="shared" si="2"/>
        <v>1</v>
      </c>
      <c r="G170" s="9" t="s">
        <v>69</v>
      </c>
      <c r="H170" s="9" t="str">
        <f t="shared" si="3"/>
        <v>Rural</v>
      </c>
      <c r="I170" s="9">
        <f t="shared" si="4"/>
        <v>1</v>
      </c>
      <c r="J170" s="9" t="s">
        <v>145</v>
      </c>
      <c r="K170" s="9" t="s">
        <v>146</v>
      </c>
      <c r="L170" s="9">
        <f t="shared" si="5"/>
        <v>1</v>
      </c>
      <c r="M170" s="9" t="s">
        <v>76</v>
      </c>
      <c r="N170" s="9">
        <f t="shared" si="6"/>
        <v>5.5</v>
      </c>
      <c r="O170" s="9" t="s">
        <v>78</v>
      </c>
      <c r="P170" s="9">
        <f t="shared" si="7"/>
        <v>3</v>
      </c>
      <c r="Q170" s="9" t="s">
        <v>85</v>
      </c>
      <c r="R170" s="9">
        <f t="shared" si="8"/>
        <v>4</v>
      </c>
      <c r="S170" s="9" t="s">
        <v>73</v>
      </c>
      <c r="T170" s="9">
        <f t="shared" si="9"/>
        <v>2</v>
      </c>
      <c r="U170" s="9" t="s">
        <v>270</v>
      </c>
      <c r="V170" s="9">
        <f t="shared" si="10"/>
        <v>0.25</v>
      </c>
      <c r="W170" s="9" t="s">
        <v>105</v>
      </c>
      <c r="X170" s="9">
        <f t="shared" si="11"/>
        <v>1</v>
      </c>
      <c r="Y170" s="9">
        <f t="shared" si="12"/>
        <v>1</v>
      </c>
      <c r="Z170" s="9">
        <f t="shared" si="13"/>
        <v>0</v>
      </c>
      <c r="AA170" s="9">
        <f t="shared" si="14"/>
        <v>0</v>
      </c>
      <c r="AB170" s="9" t="s">
        <v>72</v>
      </c>
      <c r="AC170" s="9">
        <f t="shared" si="15"/>
        <v>1</v>
      </c>
      <c r="AD170" s="9" t="s">
        <v>72</v>
      </c>
      <c r="AE170" s="9">
        <f t="shared" si="16"/>
        <v>1</v>
      </c>
      <c r="AF170" s="9" t="s">
        <v>71</v>
      </c>
      <c r="AG170" s="9">
        <f t="shared" si="17"/>
        <v>7.7</v>
      </c>
      <c r="AH170" s="9" t="s">
        <v>103</v>
      </c>
      <c r="AI170" s="9">
        <f t="shared" si="18"/>
        <v>5</v>
      </c>
      <c r="AJ170" s="9" t="s">
        <v>85</v>
      </c>
      <c r="AK170" s="9">
        <f t="shared" si="19"/>
        <v>4</v>
      </c>
      <c r="AL170" s="9" t="s">
        <v>85</v>
      </c>
      <c r="AM170" s="9">
        <f t="shared" si="20"/>
        <v>4</v>
      </c>
      <c r="AN170" s="9" t="s">
        <v>85</v>
      </c>
      <c r="AO170" s="9">
        <f t="shared" si="21"/>
        <v>4</v>
      </c>
      <c r="AP170" s="9" t="s">
        <v>85</v>
      </c>
      <c r="AQ170" s="9">
        <f t="shared" si="22"/>
        <v>4</v>
      </c>
      <c r="AR170" s="9" t="s">
        <v>85</v>
      </c>
      <c r="AS170" s="9">
        <f t="shared" si="23"/>
        <v>4</v>
      </c>
      <c r="AT170" s="9" t="s">
        <v>271</v>
      </c>
      <c r="AU170" s="9">
        <f t="shared" si="24"/>
        <v>0</v>
      </c>
      <c r="AV170" s="9">
        <f t="shared" si="25"/>
        <v>0</v>
      </c>
      <c r="AW170" s="9">
        <f t="shared" si="26"/>
        <v>0</v>
      </c>
      <c r="AX170" s="9">
        <f t="shared" si="27"/>
        <v>1</v>
      </c>
      <c r="AY170" s="9">
        <f t="shared" si="28"/>
        <v>1</v>
      </c>
      <c r="AZ170" s="9">
        <f t="shared" si="29"/>
        <v>1</v>
      </c>
      <c r="BA170" s="9">
        <f t="shared" si="30"/>
        <v>0</v>
      </c>
      <c r="BB170" s="9" t="s">
        <v>88</v>
      </c>
      <c r="BC170" s="9">
        <f t="shared" si="31"/>
        <v>2</v>
      </c>
      <c r="BD170" s="12"/>
      <c r="BE170" s="9" t="str">
        <f t="shared" si="45"/>
        <v>N/A</v>
      </c>
      <c r="BF170" s="9" t="s">
        <v>272</v>
      </c>
      <c r="BG170" s="9">
        <f t="shared" si="33"/>
        <v>0</v>
      </c>
      <c r="BH170" s="9">
        <f t="shared" si="34"/>
        <v>0</v>
      </c>
      <c r="BI170" s="9">
        <f t="shared" si="35"/>
        <v>1</v>
      </c>
      <c r="BJ170" s="9">
        <f t="shared" si="36"/>
        <v>0</v>
      </c>
      <c r="BK170" s="9">
        <f t="shared" si="37"/>
        <v>1</v>
      </c>
      <c r="BL170" s="9">
        <f t="shared" si="38"/>
        <v>1</v>
      </c>
      <c r="BM170" s="9">
        <f t="shared" si="39"/>
        <v>0</v>
      </c>
      <c r="BN170" s="9" t="s">
        <v>108</v>
      </c>
      <c r="BO170" s="11">
        <f t="shared" si="40"/>
        <v>3</v>
      </c>
    </row>
    <row r="171" ht="22.5" customHeight="1">
      <c r="A171" s="9">
        <f t="shared" si="41"/>
        <v>170</v>
      </c>
      <c r="B171" s="10">
        <v>46051.43145554398</v>
      </c>
      <c r="C171" s="9" t="s">
        <v>67</v>
      </c>
      <c r="D171" s="9">
        <f t="shared" si="1"/>
        <v>1</v>
      </c>
      <c r="E171" s="9" t="s">
        <v>68</v>
      </c>
      <c r="F171" s="9">
        <f t="shared" si="2"/>
        <v>1</v>
      </c>
      <c r="G171" s="9" t="s">
        <v>69</v>
      </c>
      <c r="H171" s="9" t="str">
        <f t="shared" si="3"/>
        <v>Rural</v>
      </c>
      <c r="I171" s="9">
        <f t="shared" si="4"/>
        <v>1</v>
      </c>
      <c r="J171" s="9" t="s">
        <v>83</v>
      </c>
      <c r="K171" s="9" t="s">
        <v>84</v>
      </c>
      <c r="L171" s="9">
        <f t="shared" si="5"/>
        <v>2</v>
      </c>
      <c r="M171" s="9" t="s">
        <v>71</v>
      </c>
      <c r="N171" s="9">
        <f t="shared" si="6"/>
        <v>7.7</v>
      </c>
      <c r="O171" s="9" t="s">
        <v>73</v>
      </c>
      <c r="P171" s="9">
        <f t="shared" si="7"/>
        <v>2</v>
      </c>
      <c r="Q171" s="9" t="s">
        <v>85</v>
      </c>
      <c r="R171" s="9">
        <f t="shared" si="8"/>
        <v>4</v>
      </c>
      <c r="S171" s="9" t="s">
        <v>103</v>
      </c>
      <c r="T171" s="9">
        <f t="shared" si="9"/>
        <v>5</v>
      </c>
      <c r="U171" s="9" t="s">
        <v>74</v>
      </c>
      <c r="V171" s="9">
        <f t="shared" si="10"/>
        <v>1.5</v>
      </c>
      <c r="W171" s="9" t="s">
        <v>86</v>
      </c>
      <c r="X171" s="9">
        <f t="shared" si="11"/>
        <v>1</v>
      </c>
      <c r="Y171" s="9">
        <f t="shared" si="12"/>
        <v>1</v>
      </c>
      <c r="Z171" s="9">
        <f t="shared" si="13"/>
        <v>1</v>
      </c>
      <c r="AA171" s="9">
        <f t="shared" si="14"/>
        <v>0</v>
      </c>
      <c r="AB171" s="9" t="s">
        <v>78</v>
      </c>
      <c r="AC171" s="9">
        <f t="shared" si="15"/>
        <v>3</v>
      </c>
      <c r="AD171" s="9" t="s">
        <v>103</v>
      </c>
      <c r="AE171" s="9">
        <f t="shared" si="16"/>
        <v>5</v>
      </c>
      <c r="AF171" s="9" t="s">
        <v>76</v>
      </c>
      <c r="AG171" s="9">
        <f t="shared" si="17"/>
        <v>5.5</v>
      </c>
      <c r="AH171" s="9" t="s">
        <v>103</v>
      </c>
      <c r="AI171" s="9">
        <f t="shared" si="18"/>
        <v>5</v>
      </c>
      <c r="AJ171" s="9" t="s">
        <v>85</v>
      </c>
      <c r="AK171" s="9">
        <f t="shared" si="19"/>
        <v>4</v>
      </c>
      <c r="AL171" s="9" t="s">
        <v>120</v>
      </c>
      <c r="AM171" s="9">
        <f t="shared" si="20"/>
        <v>5</v>
      </c>
      <c r="AN171" s="9" t="s">
        <v>120</v>
      </c>
      <c r="AO171" s="9">
        <f t="shared" si="21"/>
        <v>5</v>
      </c>
      <c r="AP171" s="9" t="s">
        <v>85</v>
      </c>
      <c r="AQ171" s="9">
        <f t="shared" si="22"/>
        <v>4</v>
      </c>
      <c r="AR171" s="9" t="s">
        <v>85</v>
      </c>
      <c r="AS171" s="9">
        <f t="shared" si="23"/>
        <v>4</v>
      </c>
      <c r="AT171" s="9" t="s">
        <v>104</v>
      </c>
      <c r="AU171" s="9">
        <f t="shared" si="24"/>
        <v>1</v>
      </c>
      <c r="AV171" s="9">
        <f t="shared" si="25"/>
        <v>1</v>
      </c>
      <c r="AW171" s="9">
        <f t="shared" si="26"/>
        <v>1</v>
      </c>
      <c r="AX171" s="9">
        <f t="shared" si="27"/>
        <v>1</v>
      </c>
      <c r="AY171" s="9">
        <f t="shared" si="28"/>
        <v>1</v>
      </c>
      <c r="AZ171" s="9">
        <f t="shared" si="29"/>
        <v>1</v>
      </c>
      <c r="BA171" s="9">
        <f t="shared" si="30"/>
        <v>1</v>
      </c>
      <c r="BB171" s="9" t="s">
        <v>88</v>
      </c>
      <c r="BC171" s="9">
        <f t="shared" si="31"/>
        <v>2</v>
      </c>
      <c r="BD171" s="12"/>
      <c r="BE171" s="9" t="str">
        <f t="shared" si="45"/>
        <v>N/A</v>
      </c>
      <c r="BF171" s="9" t="s">
        <v>89</v>
      </c>
      <c r="BG171" s="9">
        <f t="shared" si="33"/>
        <v>1</v>
      </c>
      <c r="BH171" s="9">
        <f t="shared" si="34"/>
        <v>1</v>
      </c>
      <c r="BI171" s="9">
        <f t="shared" si="35"/>
        <v>1</v>
      </c>
      <c r="BJ171" s="9">
        <f t="shared" si="36"/>
        <v>1</v>
      </c>
      <c r="BK171" s="9">
        <f t="shared" si="37"/>
        <v>1</v>
      </c>
      <c r="BL171" s="9">
        <f t="shared" si="38"/>
        <v>1</v>
      </c>
      <c r="BM171" s="9">
        <f t="shared" si="39"/>
        <v>1</v>
      </c>
      <c r="BN171" s="9" t="s">
        <v>68</v>
      </c>
      <c r="BO171" s="11">
        <f t="shared" si="40"/>
        <v>1</v>
      </c>
    </row>
    <row r="172" ht="22.5" customHeight="1">
      <c r="A172" s="9">
        <f t="shared" si="41"/>
        <v>171</v>
      </c>
      <c r="B172" s="10">
        <v>46051.43745016203</v>
      </c>
      <c r="C172" s="9" t="s">
        <v>90</v>
      </c>
      <c r="D172" s="9">
        <f t="shared" si="1"/>
        <v>2</v>
      </c>
      <c r="E172" s="9" t="s">
        <v>68</v>
      </c>
      <c r="F172" s="9">
        <f t="shared" si="2"/>
        <v>1</v>
      </c>
      <c r="G172" s="9" t="s">
        <v>91</v>
      </c>
      <c r="H172" s="9" t="str">
        <f t="shared" si="3"/>
        <v>Urban</v>
      </c>
      <c r="I172" s="9">
        <f t="shared" si="4"/>
        <v>2</v>
      </c>
      <c r="J172" s="9" t="s">
        <v>70</v>
      </c>
      <c r="K172" s="9" t="s">
        <v>100</v>
      </c>
      <c r="L172" s="9">
        <f t="shared" si="5"/>
        <v>3</v>
      </c>
      <c r="M172" s="9" t="s">
        <v>101</v>
      </c>
      <c r="N172" s="9">
        <f t="shared" si="6"/>
        <v>2</v>
      </c>
      <c r="O172" s="9" t="s">
        <v>78</v>
      </c>
      <c r="P172" s="9">
        <f t="shared" si="7"/>
        <v>3</v>
      </c>
      <c r="Q172" s="9" t="s">
        <v>85</v>
      </c>
      <c r="R172" s="9">
        <f t="shared" si="8"/>
        <v>4</v>
      </c>
      <c r="S172" s="9" t="s">
        <v>73</v>
      </c>
      <c r="T172" s="9">
        <f t="shared" si="9"/>
        <v>2</v>
      </c>
      <c r="U172" s="9" t="s">
        <v>96</v>
      </c>
      <c r="V172" s="9">
        <f t="shared" si="10"/>
        <v>2.5</v>
      </c>
      <c r="W172" s="9" t="s">
        <v>102</v>
      </c>
      <c r="X172" s="9">
        <f t="shared" si="11"/>
        <v>1</v>
      </c>
      <c r="Y172" s="9">
        <f t="shared" si="12"/>
        <v>1</v>
      </c>
      <c r="Z172" s="9">
        <f t="shared" si="13"/>
        <v>1</v>
      </c>
      <c r="AA172" s="9">
        <f t="shared" si="14"/>
        <v>1</v>
      </c>
      <c r="AB172" s="9" t="s">
        <v>78</v>
      </c>
      <c r="AC172" s="9">
        <f t="shared" si="15"/>
        <v>3</v>
      </c>
      <c r="AD172" s="9" t="s">
        <v>73</v>
      </c>
      <c r="AE172" s="9">
        <f t="shared" si="16"/>
        <v>2</v>
      </c>
      <c r="AF172" s="9" t="s">
        <v>109</v>
      </c>
      <c r="AG172" s="9">
        <f t="shared" si="17"/>
        <v>9</v>
      </c>
      <c r="AH172" s="9" t="s">
        <v>85</v>
      </c>
      <c r="AI172" s="9">
        <f t="shared" si="18"/>
        <v>4</v>
      </c>
      <c r="AJ172" s="9" t="s">
        <v>73</v>
      </c>
      <c r="AK172" s="9">
        <f t="shared" si="19"/>
        <v>2</v>
      </c>
      <c r="AL172" s="9" t="s">
        <v>73</v>
      </c>
      <c r="AM172" s="9">
        <f t="shared" si="20"/>
        <v>2</v>
      </c>
      <c r="AN172" s="9" t="s">
        <v>73</v>
      </c>
      <c r="AO172" s="9">
        <f t="shared" si="21"/>
        <v>2</v>
      </c>
      <c r="AP172" s="9" t="s">
        <v>85</v>
      </c>
      <c r="AQ172" s="9">
        <f t="shared" si="22"/>
        <v>4</v>
      </c>
      <c r="AR172" s="9" t="s">
        <v>85</v>
      </c>
      <c r="AS172" s="9">
        <f t="shared" si="23"/>
        <v>4</v>
      </c>
      <c r="AT172" s="9" t="s">
        <v>273</v>
      </c>
      <c r="AU172" s="9">
        <f t="shared" si="24"/>
        <v>0</v>
      </c>
      <c r="AV172" s="9">
        <f t="shared" si="25"/>
        <v>1</v>
      </c>
      <c r="AW172" s="9">
        <f t="shared" si="26"/>
        <v>0</v>
      </c>
      <c r="AX172" s="9">
        <f t="shared" si="27"/>
        <v>0</v>
      </c>
      <c r="AY172" s="9">
        <f t="shared" si="28"/>
        <v>1</v>
      </c>
      <c r="AZ172" s="9">
        <f t="shared" si="29"/>
        <v>0</v>
      </c>
      <c r="BA172" s="9">
        <f t="shared" si="30"/>
        <v>0</v>
      </c>
      <c r="BB172" s="9" t="s">
        <v>88</v>
      </c>
      <c r="BC172" s="9">
        <f t="shared" si="31"/>
        <v>2</v>
      </c>
      <c r="BD172" s="12"/>
      <c r="BE172" s="9" t="str">
        <f t="shared" si="45"/>
        <v>N/A</v>
      </c>
      <c r="BF172" s="9" t="s">
        <v>173</v>
      </c>
      <c r="BG172" s="9">
        <f t="shared" si="33"/>
        <v>0</v>
      </c>
      <c r="BH172" s="9">
        <f t="shared" si="34"/>
        <v>0</v>
      </c>
      <c r="BI172" s="9">
        <f t="shared" si="35"/>
        <v>0</v>
      </c>
      <c r="BJ172" s="9">
        <f t="shared" si="36"/>
        <v>1</v>
      </c>
      <c r="BK172" s="9">
        <f t="shared" si="37"/>
        <v>0</v>
      </c>
      <c r="BL172" s="9">
        <f t="shared" si="38"/>
        <v>1</v>
      </c>
      <c r="BM172" s="9">
        <f t="shared" si="39"/>
        <v>0</v>
      </c>
      <c r="BN172" s="9" t="s">
        <v>68</v>
      </c>
      <c r="BO172" s="11">
        <f t="shared" si="40"/>
        <v>1</v>
      </c>
    </row>
    <row r="173" ht="22.5" customHeight="1">
      <c r="A173" s="9">
        <f t="shared" si="41"/>
        <v>172</v>
      </c>
      <c r="B173" s="10">
        <v>46051.455303483795</v>
      </c>
      <c r="C173" s="9" t="s">
        <v>90</v>
      </c>
      <c r="D173" s="9">
        <f t="shared" si="1"/>
        <v>2</v>
      </c>
      <c r="E173" s="9" t="s">
        <v>68</v>
      </c>
      <c r="F173" s="9">
        <f t="shared" si="2"/>
        <v>1</v>
      </c>
      <c r="G173" s="9" t="s">
        <v>82</v>
      </c>
      <c r="H173" s="9" t="str">
        <f t="shared" si="3"/>
        <v>Urban</v>
      </c>
      <c r="I173" s="9">
        <f t="shared" si="4"/>
        <v>2</v>
      </c>
      <c r="J173" s="9" t="s">
        <v>70</v>
      </c>
      <c r="K173" s="9" t="s">
        <v>100</v>
      </c>
      <c r="L173" s="9">
        <f t="shared" si="5"/>
        <v>3</v>
      </c>
      <c r="M173" s="9" t="s">
        <v>101</v>
      </c>
      <c r="N173" s="9">
        <f t="shared" si="6"/>
        <v>2</v>
      </c>
      <c r="O173" s="9" t="s">
        <v>72</v>
      </c>
      <c r="P173" s="9">
        <f t="shared" si="7"/>
        <v>1</v>
      </c>
      <c r="Q173" s="9" t="s">
        <v>85</v>
      </c>
      <c r="R173" s="9">
        <f t="shared" si="8"/>
        <v>4</v>
      </c>
      <c r="S173" s="9" t="s">
        <v>73</v>
      </c>
      <c r="T173" s="9">
        <f t="shared" si="9"/>
        <v>2</v>
      </c>
      <c r="U173" s="9" t="s">
        <v>74</v>
      </c>
      <c r="V173" s="9">
        <f t="shared" si="10"/>
        <v>1.5</v>
      </c>
      <c r="W173" s="9" t="s">
        <v>180</v>
      </c>
      <c r="X173" s="9">
        <f t="shared" si="11"/>
        <v>0</v>
      </c>
      <c r="Y173" s="9">
        <f t="shared" si="12"/>
        <v>1</v>
      </c>
      <c r="Z173" s="9">
        <f t="shared" si="13"/>
        <v>1</v>
      </c>
      <c r="AA173" s="9">
        <f t="shared" si="14"/>
        <v>0</v>
      </c>
      <c r="AB173" s="9" t="s">
        <v>78</v>
      </c>
      <c r="AC173" s="9">
        <f t="shared" si="15"/>
        <v>3</v>
      </c>
      <c r="AD173" s="9" t="s">
        <v>85</v>
      </c>
      <c r="AE173" s="9">
        <f t="shared" si="16"/>
        <v>4</v>
      </c>
      <c r="AF173" s="9" t="s">
        <v>71</v>
      </c>
      <c r="AG173" s="9">
        <f t="shared" si="17"/>
        <v>7.7</v>
      </c>
      <c r="AH173" s="9" t="s">
        <v>85</v>
      </c>
      <c r="AI173" s="9">
        <f t="shared" si="18"/>
        <v>4</v>
      </c>
      <c r="AJ173" s="9" t="s">
        <v>73</v>
      </c>
      <c r="AK173" s="9">
        <f t="shared" si="19"/>
        <v>2</v>
      </c>
      <c r="AL173" s="9" t="s">
        <v>78</v>
      </c>
      <c r="AM173" s="9">
        <f t="shared" si="20"/>
        <v>3</v>
      </c>
      <c r="AN173" s="9" t="s">
        <v>85</v>
      </c>
      <c r="AO173" s="9">
        <f t="shared" si="21"/>
        <v>4</v>
      </c>
      <c r="AP173" s="9" t="s">
        <v>85</v>
      </c>
      <c r="AQ173" s="9">
        <f t="shared" si="22"/>
        <v>4</v>
      </c>
      <c r="AR173" s="9" t="s">
        <v>85</v>
      </c>
      <c r="AS173" s="9">
        <f t="shared" si="23"/>
        <v>4</v>
      </c>
      <c r="AT173" s="9" t="s">
        <v>188</v>
      </c>
      <c r="AU173" s="9">
        <f t="shared" si="24"/>
        <v>1</v>
      </c>
      <c r="AV173" s="9">
        <f t="shared" si="25"/>
        <v>1</v>
      </c>
      <c r="AW173" s="9">
        <f t="shared" si="26"/>
        <v>0</v>
      </c>
      <c r="AX173" s="9">
        <f t="shared" si="27"/>
        <v>1</v>
      </c>
      <c r="AY173" s="9">
        <f t="shared" si="28"/>
        <v>0</v>
      </c>
      <c r="AZ173" s="9">
        <f t="shared" si="29"/>
        <v>0</v>
      </c>
      <c r="BA173" s="9">
        <f t="shared" si="30"/>
        <v>0</v>
      </c>
      <c r="BB173" s="9" t="s">
        <v>68</v>
      </c>
      <c r="BC173" s="9">
        <f t="shared" si="31"/>
        <v>1</v>
      </c>
      <c r="BD173" s="9" t="s">
        <v>244</v>
      </c>
      <c r="BE173" s="9" t="str">
        <f t="shared" si="45"/>
        <v>Alarm app</v>
      </c>
      <c r="BF173" s="9" t="s">
        <v>187</v>
      </c>
      <c r="BG173" s="9">
        <f t="shared" si="33"/>
        <v>1</v>
      </c>
      <c r="BH173" s="9">
        <f t="shared" si="34"/>
        <v>0</v>
      </c>
      <c r="BI173" s="9">
        <f t="shared" si="35"/>
        <v>0</v>
      </c>
      <c r="BJ173" s="9">
        <f t="shared" si="36"/>
        <v>0</v>
      </c>
      <c r="BK173" s="9">
        <f t="shared" si="37"/>
        <v>0</v>
      </c>
      <c r="BL173" s="9">
        <f t="shared" si="38"/>
        <v>1</v>
      </c>
      <c r="BM173" s="9">
        <f t="shared" si="39"/>
        <v>0</v>
      </c>
      <c r="BN173" s="9" t="s">
        <v>68</v>
      </c>
      <c r="BO173" s="11">
        <f t="shared" si="40"/>
        <v>1</v>
      </c>
    </row>
    <row r="174" ht="22.5" customHeight="1">
      <c r="A174" s="9">
        <f t="shared" si="41"/>
        <v>173</v>
      </c>
      <c r="B174" s="10">
        <v>46051.47233413195</v>
      </c>
      <c r="C174" s="9" t="s">
        <v>90</v>
      </c>
      <c r="D174" s="9">
        <f t="shared" si="1"/>
        <v>2</v>
      </c>
      <c r="E174" s="9" t="s">
        <v>68</v>
      </c>
      <c r="F174" s="9">
        <f t="shared" si="2"/>
        <v>1</v>
      </c>
      <c r="G174" s="9" t="s">
        <v>69</v>
      </c>
      <c r="H174" s="9" t="str">
        <f t="shared" si="3"/>
        <v>Rural</v>
      </c>
      <c r="I174" s="9">
        <f t="shared" si="4"/>
        <v>1</v>
      </c>
      <c r="J174" s="9" t="s">
        <v>145</v>
      </c>
      <c r="K174" s="9" t="s">
        <v>146</v>
      </c>
      <c r="L174" s="9">
        <f t="shared" si="5"/>
        <v>1</v>
      </c>
      <c r="M174" s="9" t="s">
        <v>101</v>
      </c>
      <c r="N174" s="9">
        <f t="shared" si="6"/>
        <v>2</v>
      </c>
      <c r="O174" s="9" t="s">
        <v>73</v>
      </c>
      <c r="P174" s="9">
        <f t="shared" si="7"/>
        <v>2</v>
      </c>
      <c r="Q174" s="9" t="s">
        <v>72</v>
      </c>
      <c r="R174" s="9">
        <f t="shared" si="8"/>
        <v>1</v>
      </c>
      <c r="S174" s="9" t="s">
        <v>73</v>
      </c>
      <c r="T174" s="9">
        <f t="shared" si="9"/>
        <v>2</v>
      </c>
      <c r="U174" s="9" t="s">
        <v>92</v>
      </c>
      <c r="V174" s="9">
        <f t="shared" si="10"/>
        <v>3.5</v>
      </c>
      <c r="W174" s="9" t="s">
        <v>93</v>
      </c>
      <c r="X174" s="9">
        <f t="shared" si="11"/>
        <v>0</v>
      </c>
      <c r="Y174" s="9">
        <f t="shared" si="12"/>
        <v>1</v>
      </c>
      <c r="Z174" s="9">
        <f t="shared" si="13"/>
        <v>0</v>
      </c>
      <c r="AA174" s="9">
        <f t="shared" si="14"/>
        <v>0</v>
      </c>
      <c r="AB174" s="9" t="s">
        <v>78</v>
      </c>
      <c r="AC174" s="9">
        <f t="shared" si="15"/>
        <v>3</v>
      </c>
      <c r="AD174" s="9" t="s">
        <v>78</v>
      </c>
      <c r="AE174" s="9">
        <f t="shared" si="16"/>
        <v>3</v>
      </c>
      <c r="AF174" s="9" t="s">
        <v>109</v>
      </c>
      <c r="AG174" s="9">
        <f t="shared" si="17"/>
        <v>9</v>
      </c>
      <c r="AH174" s="9" t="s">
        <v>103</v>
      </c>
      <c r="AI174" s="9">
        <f t="shared" si="18"/>
        <v>5</v>
      </c>
      <c r="AJ174" s="9" t="s">
        <v>85</v>
      </c>
      <c r="AK174" s="9">
        <f t="shared" si="19"/>
        <v>4</v>
      </c>
      <c r="AL174" s="9" t="s">
        <v>85</v>
      </c>
      <c r="AM174" s="9">
        <f t="shared" si="20"/>
        <v>4</v>
      </c>
      <c r="AN174" s="9" t="s">
        <v>120</v>
      </c>
      <c r="AO174" s="9">
        <f t="shared" si="21"/>
        <v>5</v>
      </c>
      <c r="AP174" s="9" t="s">
        <v>120</v>
      </c>
      <c r="AQ174" s="9">
        <f t="shared" si="22"/>
        <v>5</v>
      </c>
      <c r="AR174" s="9" t="s">
        <v>85</v>
      </c>
      <c r="AS174" s="9">
        <f t="shared" si="23"/>
        <v>4</v>
      </c>
      <c r="AT174" s="9" t="s">
        <v>125</v>
      </c>
      <c r="AU174" s="9">
        <f t="shared" si="24"/>
        <v>0</v>
      </c>
      <c r="AV174" s="9">
        <f t="shared" si="25"/>
        <v>0</v>
      </c>
      <c r="AW174" s="9">
        <f t="shared" si="26"/>
        <v>0</v>
      </c>
      <c r="AX174" s="9">
        <f t="shared" si="27"/>
        <v>1</v>
      </c>
      <c r="AY174" s="9">
        <f t="shared" si="28"/>
        <v>0</v>
      </c>
      <c r="AZ174" s="9">
        <f t="shared" si="29"/>
        <v>0</v>
      </c>
      <c r="BA174" s="9">
        <f t="shared" si="30"/>
        <v>0</v>
      </c>
      <c r="BB174" s="9" t="s">
        <v>88</v>
      </c>
      <c r="BC174" s="9">
        <f t="shared" si="31"/>
        <v>2</v>
      </c>
      <c r="BD174" s="12"/>
      <c r="BE174" s="9" t="str">
        <f t="shared" si="45"/>
        <v>N/A</v>
      </c>
      <c r="BF174" s="9" t="s">
        <v>107</v>
      </c>
      <c r="BG174" s="9">
        <f t="shared" si="33"/>
        <v>1</v>
      </c>
      <c r="BH174" s="9">
        <f t="shared" si="34"/>
        <v>0</v>
      </c>
      <c r="BI174" s="9">
        <f t="shared" si="35"/>
        <v>0</v>
      </c>
      <c r="BJ174" s="9">
        <f t="shared" si="36"/>
        <v>0</v>
      </c>
      <c r="BK174" s="9">
        <f t="shared" si="37"/>
        <v>0</v>
      </c>
      <c r="BL174" s="9">
        <f t="shared" si="38"/>
        <v>0</v>
      </c>
      <c r="BM174" s="9">
        <f t="shared" si="39"/>
        <v>0</v>
      </c>
      <c r="BN174" s="9" t="s">
        <v>108</v>
      </c>
      <c r="BO174" s="11">
        <f t="shared" si="40"/>
        <v>3</v>
      </c>
    </row>
    <row r="175" ht="22.5" customHeight="1">
      <c r="A175" s="9">
        <f t="shared" si="41"/>
        <v>174</v>
      </c>
      <c r="B175" s="10">
        <v>46051.498164861114</v>
      </c>
      <c r="C175" s="9" t="s">
        <v>67</v>
      </c>
      <c r="D175" s="9">
        <f t="shared" si="1"/>
        <v>1</v>
      </c>
      <c r="E175" s="9" t="s">
        <v>68</v>
      </c>
      <c r="F175" s="9">
        <f t="shared" si="2"/>
        <v>1</v>
      </c>
      <c r="G175" s="9" t="s">
        <v>91</v>
      </c>
      <c r="H175" s="9" t="str">
        <f t="shared" si="3"/>
        <v>Urban</v>
      </c>
      <c r="I175" s="9">
        <f t="shared" si="4"/>
        <v>2</v>
      </c>
      <c r="J175" s="9" t="s">
        <v>70</v>
      </c>
      <c r="K175" s="9" t="s">
        <v>100</v>
      </c>
      <c r="L175" s="9">
        <f t="shared" si="5"/>
        <v>3</v>
      </c>
      <c r="M175" s="9" t="s">
        <v>101</v>
      </c>
      <c r="N175" s="9">
        <f t="shared" si="6"/>
        <v>2</v>
      </c>
      <c r="O175" s="9" t="s">
        <v>85</v>
      </c>
      <c r="P175" s="9">
        <f t="shared" si="7"/>
        <v>4</v>
      </c>
      <c r="Q175" s="9" t="s">
        <v>85</v>
      </c>
      <c r="R175" s="9">
        <f t="shared" si="8"/>
        <v>4</v>
      </c>
      <c r="S175" s="9" t="s">
        <v>78</v>
      </c>
      <c r="T175" s="9">
        <f t="shared" si="9"/>
        <v>3</v>
      </c>
      <c r="U175" s="9" t="s">
        <v>96</v>
      </c>
      <c r="V175" s="9">
        <f t="shared" si="10"/>
        <v>2.5</v>
      </c>
      <c r="W175" s="9" t="s">
        <v>180</v>
      </c>
      <c r="X175" s="9">
        <f t="shared" si="11"/>
        <v>0</v>
      </c>
      <c r="Y175" s="9">
        <f t="shared" si="12"/>
        <v>1</v>
      </c>
      <c r="Z175" s="9">
        <f t="shared" si="13"/>
        <v>1</v>
      </c>
      <c r="AA175" s="9">
        <f t="shared" si="14"/>
        <v>0</v>
      </c>
      <c r="AB175" s="9" t="s">
        <v>85</v>
      </c>
      <c r="AC175" s="9">
        <f t="shared" si="15"/>
        <v>4</v>
      </c>
      <c r="AD175" s="9" t="s">
        <v>85</v>
      </c>
      <c r="AE175" s="9">
        <f t="shared" si="16"/>
        <v>4</v>
      </c>
      <c r="AF175" s="9" t="s">
        <v>76</v>
      </c>
      <c r="AG175" s="9">
        <f t="shared" si="17"/>
        <v>5.5</v>
      </c>
      <c r="AH175" s="9" t="s">
        <v>78</v>
      </c>
      <c r="AI175" s="9">
        <f t="shared" si="18"/>
        <v>3</v>
      </c>
      <c r="AJ175" s="9" t="s">
        <v>73</v>
      </c>
      <c r="AK175" s="9">
        <f t="shared" si="19"/>
        <v>2</v>
      </c>
      <c r="AL175" s="9" t="s">
        <v>73</v>
      </c>
      <c r="AM175" s="9">
        <f t="shared" si="20"/>
        <v>2</v>
      </c>
      <c r="AN175" s="9" t="s">
        <v>78</v>
      </c>
      <c r="AO175" s="9">
        <f t="shared" si="21"/>
        <v>3</v>
      </c>
      <c r="AP175" s="9" t="s">
        <v>78</v>
      </c>
      <c r="AQ175" s="9">
        <f t="shared" si="22"/>
        <v>3</v>
      </c>
      <c r="AR175" s="9" t="s">
        <v>78</v>
      </c>
      <c r="AS175" s="9">
        <f t="shared" si="23"/>
        <v>3</v>
      </c>
      <c r="AT175" s="9" t="s">
        <v>274</v>
      </c>
      <c r="AU175" s="9">
        <f t="shared" si="24"/>
        <v>1</v>
      </c>
      <c r="AV175" s="9">
        <f t="shared" si="25"/>
        <v>0</v>
      </c>
      <c r="AW175" s="9">
        <f t="shared" si="26"/>
        <v>0</v>
      </c>
      <c r="AX175" s="9">
        <f t="shared" si="27"/>
        <v>1</v>
      </c>
      <c r="AY175" s="9">
        <f t="shared" si="28"/>
        <v>1</v>
      </c>
      <c r="AZ175" s="9">
        <f t="shared" si="29"/>
        <v>1</v>
      </c>
      <c r="BA175" s="9">
        <f t="shared" si="30"/>
        <v>0</v>
      </c>
      <c r="BB175" s="9" t="s">
        <v>88</v>
      </c>
      <c r="BC175" s="9">
        <f t="shared" si="31"/>
        <v>2</v>
      </c>
      <c r="BD175" s="12"/>
      <c r="BE175" s="9" t="str">
        <f t="shared" si="45"/>
        <v>N/A</v>
      </c>
      <c r="BF175" s="9" t="s">
        <v>275</v>
      </c>
      <c r="BG175" s="9">
        <f t="shared" si="33"/>
        <v>1</v>
      </c>
      <c r="BH175" s="9">
        <f t="shared" si="34"/>
        <v>0</v>
      </c>
      <c r="BI175" s="9">
        <f t="shared" si="35"/>
        <v>1</v>
      </c>
      <c r="BJ175" s="9">
        <f t="shared" si="36"/>
        <v>0</v>
      </c>
      <c r="BK175" s="9">
        <f t="shared" si="37"/>
        <v>0</v>
      </c>
      <c r="BL175" s="9">
        <f t="shared" si="38"/>
        <v>1</v>
      </c>
      <c r="BM175" s="9">
        <f t="shared" si="39"/>
        <v>1</v>
      </c>
      <c r="BN175" s="9" t="s">
        <v>108</v>
      </c>
      <c r="BO175" s="11">
        <f t="shared" si="40"/>
        <v>3</v>
      </c>
    </row>
    <row r="176" ht="22.5" customHeight="1">
      <c r="A176" s="9">
        <f t="shared" si="41"/>
        <v>175</v>
      </c>
      <c r="B176" s="10">
        <v>46051.52192267361</v>
      </c>
      <c r="C176" s="9" t="s">
        <v>67</v>
      </c>
      <c r="D176" s="9">
        <f t="shared" si="1"/>
        <v>1</v>
      </c>
      <c r="E176" s="9" t="s">
        <v>68</v>
      </c>
      <c r="F176" s="9">
        <f t="shared" si="2"/>
        <v>1</v>
      </c>
      <c r="G176" s="9" t="s">
        <v>91</v>
      </c>
      <c r="H176" s="9" t="str">
        <f t="shared" si="3"/>
        <v>Urban</v>
      </c>
      <c r="I176" s="9">
        <f t="shared" si="4"/>
        <v>2</v>
      </c>
      <c r="J176" s="9" t="s">
        <v>70</v>
      </c>
      <c r="K176" s="9" t="s">
        <v>100</v>
      </c>
      <c r="L176" s="9">
        <f t="shared" si="5"/>
        <v>3</v>
      </c>
      <c r="M176" s="9" t="s">
        <v>76</v>
      </c>
      <c r="N176" s="9">
        <f t="shared" si="6"/>
        <v>5.5</v>
      </c>
      <c r="O176" s="9" t="s">
        <v>85</v>
      </c>
      <c r="P176" s="9">
        <f t="shared" si="7"/>
        <v>4</v>
      </c>
      <c r="Q176" s="9" t="s">
        <v>85</v>
      </c>
      <c r="R176" s="9">
        <f t="shared" si="8"/>
        <v>4</v>
      </c>
      <c r="S176" s="9" t="s">
        <v>85</v>
      </c>
      <c r="T176" s="9">
        <f t="shared" si="9"/>
        <v>4</v>
      </c>
      <c r="U176" s="9" t="s">
        <v>92</v>
      </c>
      <c r="V176" s="9">
        <f t="shared" si="10"/>
        <v>3.5</v>
      </c>
      <c r="W176" s="9" t="s">
        <v>86</v>
      </c>
      <c r="X176" s="9">
        <f t="shared" si="11"/>
        <v>1</v>
      </c>
      <c r="Y176" s="9">
        <f t="shared" si="12"/>
        <v>1</v>
      </c>
      <c r="Z176" s="9">
        <f t="shared" si="13"/>
        <v>1</v>
      </c>
      <c r="AA176" s="9">
        <f t="shared" si="14"/>
        <v>0</v>
      </c>
      <c r="AB176" s="9" t="s">
        <v>103</v>
      </c>
      <c r="AC176" s="9">
        <f t="shared" si="15"/>
        <v>5</v>
      </c>
      <c r="AD176" s="9" t="s">
        <v>103</v>
      </c>
      <c r="AE176" s="9">
        <f t="shared" si="16"/>
        <v>5</v>
      </c>
      <c r="AF176" s="9" t="s">
        <v>76</v>
      </c>
      <c r="AG176" s="9">
        <f t="shared" si="17"/>
        <v>5.5</v>
      </c>
      <c r="AH176" s="9" t="s">
        <v>72</v>
      </c>
      <c r="AI176" s="9">
        <f t="shared" si="18"/>
        <v>1</v>
      </c>
      <c r="AJ176" s="9" t="s">
        <v>77</v>
      </c>
      <c r="AK176" s="9">
        <f t="shared" si="19"/>
        <v>1</v>
      </c>
      <c r="AL176" s="9" t="s">
        <v>77</v>
      </c>
      <c r="AM176" s="9">
        <f t="shared" si="20"/>
        <v>1</v>
      </c>
      <c r="AN176" s="9" t="s">
        <v>77</v>
      </c>
      <c r="AO176" s="9">
        <f t="shared" si="21"/>
        <v>1</v>
      </c>
      <c r="AP176" s="9" t="s">
        <v>77</v>
      </c>
      <c r="AQ176" s="9">
        <f t="shared" si="22"/>
        <v>1</v>
      </c>
      <c r="AR176" s="9" t="s">
        <v>77</v>
      </c>
      <c r="AS176" s="9">
        <f t="shared" si="23"/>
        <v>1</v>
      </c>
      <c r="AT176" s="9" t="s">
        <v>104</v>
      </c>
      <c r="AU176" s="9">
        <f t="shared" si="24"/>
        <v>1</v>
      </c>
      <c r="AV176" s="9">
        <f t="shared" si="25"/>
        <v>1</v>
      </c>
      <c r="AW176" s="9">
        <f t="shared" si="26"/>
        <v>1</v>
      </c>
      <c r="AX176" s="9">
        <f t="shared" si="27"/>
        <v>1</v>
      </c>
      <c r="AY176" s="9">
        <f t="shared" si="28"/>
        <v>1</v>
      </c>
      <c r="AZ176" s="9">
        <f t="shared" si="29"/>
        <v>1</v>
      </c>
      <c r="BA176" s="9">
        <f t="shared" si="30"/>
        <v>1</v>
      </c>
      <c r="BB176" s="9" t="s">
        <v>88</v>
      </c>
      <c r="BC176" s="9">
        <f t="shared" si="31"/>
        <v>2</v>
      </c>
      <c r="BD176" s="12"/>
      <c r="BE176" s="9" t="str">
        <f t="shared" si="45"/>
        <v>N/A</v>
      </c>
      <c r="BF176" s="9" t="s">
        <v>276</v>
      </c>
      <c r="BG176" s="9">
        <f t="shared" si="33"/>
        <v>1</v>
      </c>
      <c r="BH176" s="9">
        <f t="shared" si="34"/>
        <v>1</v>
      </c>
      <c r="BI176" s="9">
        <f t="shared" si="35"/>
        <v>1</v>
      </c>
      <c r="BJ176" s="9">
        <f t="shared" si="36"/>
        <v>0</v>
      </c>
      <c r="BK176" s="9">
        <f t="shared" si="37"/>
        <v>1</v>
      </c>
      <c r="BL176" s="9">
        <f t="shared" si="38"/>
        <v>0</v>
      </c>
      <c r="BM176" s="9">
        <f t="shared" si="39"/>
        <v>1</v>
      </c>
      <c r="BN176" s="9" t="s">
        <v>68</v>
      </c>
      <c r="BO176" s="11">
        <f t="shared" si="40"/>
        <v>1</v>
      </c>
    </row>
    <row r="177" ht="22.5" customHeight="1">
      <c r="A177" s="9">
        <f t="shared" si="41"/>
        <v>176</v>
      </c>
      <c r="B177" s="10">
        <v>46051.525975462966</v>
      </c>
      <c r="C177" s="9" t="s">
        <v>90</v>
      </c>
      <c r="D177" s="9">
        <f t="shared" si="1"/>
        <v>2</v>
      </c>
      <c r="E177" s="9" t="s">
        <v>68</v>
      </c>
      <c r="F177" s="9">
        <f t="shared" si="2"/>
        <v>1</v>
      </c>
      <c r="G177" s="9" t="s">
        <v>91</v>
      </c>
      <c r="H177" s="9" t="str">
        <f t="shared" si="3"/>
        <v>Urban</v>
      </c>
      <c r="I177" s="9">
        <f t="shared" si="4"/>
        <v>2</v>
      </c>
      <c r="J177" s="9" t="s">
        <v>70</v>
      </c>
      <c r="K177" s="9" t="s">
        <v>100</v>
      </c>
      <c r="L177" s="9">
        <f t="shared" si="5"/>
        <v>3</v>
      </c>
      <c r="M177" s="9" t="s">
        <v>101</v>
      </c>
      <c r="N177" s="9">
        <f t="shared" si="6"/>
        <v>2</v>
      </c>
      <c r="O177" s="9" t="s">
        <v>78</v>
      </c>
      <c r="P177" s="9">
        <f t="shared" si="7"/>
        <v>3</v>
      </c>
      <c r="Q177" s="9" t="s">
        <v>78</v>
      </c>
      <c r="R177" s="9">
        <f t="shared" si="8"/>
        <v>3</v>
      </c>
      <c r="S177" s="9" t="s">
        <v>73</v>
      </c>
      <c r="T177" s="9">
        <f t="shared" si="9"/>
        <v>2</v>
      </c>
      <c r="U177" s="9" t="s">
        <v>96</v>
      </c>
      <c r="V177" s="9">
        <f t="shared" si="10"/>
        <v>2.5</v>
      </c>
      <c r="W177" s="9" t="s">
        <v>86</v>
      </c>
      <c r="X177" s="9">
        <f t="shared" si="11"/>
        <v>1</v>
      </c>
      <c r="Y177" s="9">
        <f t="shared" si="12"/>
        <v>1</v>
      </c>
      <c r="Z177" s="9">
        <f t="shared" si="13"/>
        <v>1</v>
      </c>
      <c r="AA177" s="9">
        <f t="shared" si="14"/>
        <v>0</v>
      </c>
      <c r="AB177" s="9" t="s">
        <v>103</v>
      </c>
      <c r="AC177" s="9">
        <f t="shared" si="15"/>
        <v>5</v>
      </c>
      <c r="AD177" s="9" t="s">
        <v>103</v>
      </c>
      <c r="AE177" s="9">
        <f t="shared" si="16"/>
        <v>5</v>
      </c>
      <c r="AF177" s="9" t="s">
        <v>109</v>
      </c>
      <c r="AG177" s="9">
        <f t="shared" si="17"/>
        <v>9</v>
      </c>
      <c r="AH177" s="9" t="s">
        <v>85</v>
      </c>
      <c r="AI177" s="9">
        <f t="shared" si="18"/>
        <v>4</v>
      </c>
      <c r="AJ177" s="9" t="s">
        <v>77</v>
      </c>
      <c r="AK177" s="9">
        <f t="shared" si="19"/>
        <v>1</v>
      </c>
      <c r="AL177" s="9" t="s">
        <v>77</v>
      </c>
      <c r="AM177" s="9">
        <f t="shared" si="20"/>
        <v>1</v>
      </c>
      <c r="AN177" s="9" t="s">
        <v>78</v>
      </c>
      <c r="AO177" s="9">
        <f t="shared" si="21"/>
        <v>3</v>
      </c>
      <c r="AP177" s="9" t="s">
        <v>78</v>
      </c>
      <c r="AQ177" s="9">
        <f t="shared" si="22"/>
        <v>3</v>
      </c>
      <c r="AR177" s="9" t="s">
        <v>78</v>
      </c>
      <c r="AS177" s="9">
        <f t="shared" si="23"/>
        <v>3</v>
      </c>
      <c r="AT177" s="9" t="s">
        <v>147</v>
      </c>
      <c r="AU177" s="9">
        <f t="shared" si="24"/>
        <v>1</v>
      </c>
      <c r="AV177" s="9">
        <f t="shared" si="25"/>
        <v>0</v>
      </c>
      <c r="AW177" s="9">
        <f t="shared" si="26"/>
        <v>0</v>
      </c>
      <c r="AX177" s="9">
        <f t="shared" si="27"/>
        <v>0</v>
      </c>
      <c r="AY177" s="9">
        <f t="shared" si="28"/>
        <v>0</v>
      </c>
      <c r="AZ177" s="9">
        <f t="shared" si="29"/>
        <v>0</v>
      </c>
      <c r="BA177" s="9">
        <f t="shared" si="30"/>
        <v>0</v>
      </c>
      <c r="BB177" s="9" t="s">
        <v>88</v>
      </c>
      <c r="BC177" s="9">
        <f t="shared" si="31"/>
        <v>2</v>
      </c>
      <c r="BD177" s="12"/>
      <c r="BE177" s="9" t="str">
        <f t="shared" si="45"/>
        <v>N/A</v>
      </c>
      <c r="BF177" s="9" t="s">
        <v>107</v>
      </c>
      <c r="BG177" s="9">
        <f t="shared" si="33"/>
        <v>1</v>
      </c>
      <c r="BH177" s="9">
        <f t="shared" si="34"/>
        <v>0</v>
      </c>
      <c r="BI177" s="9">
        <f t="shared" si="35"/>
        <v>0</v>
      </c>
      <c r="BJ177" s="9">
        <f t="shared" si="36"/>
        <v>0</v>
      </c>
      <c r="BK177" s="9">
        <f t="shared" si="37"/>
        <v>0</v>
      </c>
      <c r="BL177" s="9">
        <f t="shared" si="38"/>
        <v>0</v>
      </c>
      <c r="BM177" s="9">
        <f t="shared" si="39"/>
        <v>0</v>
      </c>
      <c r="BN177" s="9" t="s">
        <v>88</v>
      </c>
      <c r="BO177" s="11">
        <f t="shared" si="40"/>
        <v>2</v>
      </c>
    </row>
    <row r="178" ht="22.5" customHeight="1">
      <c r="A178" s="9">
        <f t="shared" si="41"/>
        <v>177</v>
      </c>
      <c r="B178" s="10">
        <v>46051.52780171296</v>
      </c>
      <c r="C178" s="9" t="s">
        <v>90</v>
      </c>
      <c r="D178" s="9">
        <f t="shared" si="1"/>
        <v>2</v>
      </c>
      <c r="E178" s="9" t="s">
        <v>68</v>
      </c>
      <c r="F178" s="9">
        <f t="shared" si="2"/>
        <v>1</v>
      </c>
      <c r="G178" s="9" t="s">
        <v>91</v>
      </c>
      <c r="H178" s="9" t="str">
        <f t="shared" si="3"/>
        <v>Urban</v>
      </c>
      <c r="I178" s="9">
        <f t="shared" si="4"/>
        <v>2</v>
      </c>
      <c r="J178" s="9" t="s">
        <v>83</v>
      </c>
      <c r="K178" s="9" t="s">
        <v>84</v>
      </c>
      <c r="L178" s="9">
        <f t="shared" si="5"/>
        <v>2</v>
      </c>
      <c r="M178" s="9" t="s">
        <v>101</v>
      </c>
      <c r="N178" s="9">
        <f t="shared" si="6"/>
        <v>2</v>
      </c>
      <c r="O178" s="9" t="s">
        <v>85</v>
      </c>
      <c r="P178" s="9">
        <f t="shared" si="7"/>
        <v>4</v>
      </c>
      <c r="Q178" s="9" t="s">
        <v>73</v>
      </c>
      <c r="R178" s="9">
        <f t="shared" si="8"/>
        <v>2</v>
      </c>
      <c r="S178" s="9" t="s">
        <v>103</v>
      </c>
      <c r="T178" s="9">
        <f t="shared" si="9"/>
        <v>5</v>
      </c>
      <c r="U178" s="9" t="s">
        <v>92</v>
      </c>
      <c r="V178" s="9">
        <f t="shared" si="10"/>
        <v>3.5</v>
      </c>
      <c r="W178" s="9" t="s">
        <v>122</v>
      </c>
      <c r="X178" s="9">
        <f t="shared" si="11"/>
        <v>0</v>
      </c>
      <c r="Y178" s="9">
        <f t="shared" si="12"/>
        <v>0</v>
      </c>
      <c r="Z178" s="9">
        <f t="shared" si="13"/>
        <v>1</v>
      </c>
      <c r="AA178" s="9">
        <f t="shared" si="14"/>
        <v>0</v>
      </c>
      <c r="AB178" s="9" t="s">
        <v>78</v>
      </c>
      <c r="AC178" s="9">
        <f t="shared" si="15"/>
        <v>3</v>
      </c>
      <c r="AD178" s="9" t="s">
        <v>78</v>
      </c>
      <c r="AE178" s="9">
        <f t="shared" si="16"/>
        <v>3</v>
      </c>
      <c r="AF178" s="9" t="s">
        <v>71</v>
      </c>
      <c r="AG178" s="9">
        <f t="shared" si="17"/>
        <v>7.7</v>
      </c>
      <c r="AH178" s="9" t="s">
        <v>78</v>
      </c>
      <c r="AI178" s="9">
        <f t="shared" si="18"/>
        <v>3</v>
      </c>
      <c r="AJ178" s="9" t="s">
        <v>77</v>
      </c>
      <c r="AK178" s="9">
        <f t="shared" si="19"/>
        <v>1</v>
      </c>
      <c r="AL178" s="9" t="s">
        <v>78</v>
      </c>
      <c r="AM178" s="9">
        <f t="shared" si="20"/>
        <v>3</v>
      </c>
      <c r="AN178" s="9" t="s">
        <v>77</v>
      </c>
      <c r="AO178" s="9">
        <f t="shared" si="21"/>
        <v>1</v>
      </c>
      <c r="AP178" s="9" t="s">
        <v>78</v>
      </c>
      <c r="AQ178" s="9">
        <f t="shared" si="22"/>
        <v>3</v>
      </c>
      <c r="AR178" s="9" t="s">
        <v>78</v>
      </c>
      <c r="AS178" s="9">
        <f t="shared" si="23"/>
        <v>3</v>
      </c>
      <c r="AT178" s="9" t="s">
        <v>104</v>
      </c>
      <c r="AU178" s="9">
        <f t="shared" si="24"/>
        <v>1</v>
      </c>
      <c r="AV178" s="9">
        <f t="shared" si="25"/>
        <v>1</v>
      </c>
      <c r="AW178" s="9">
        <f t="shared" si="26"/>
        <v>1</v>
      </c>
      <c r="AX178" s="9">
        <f t="shared" si="27"/>
        <v>1</v>
      </c>
      <c r="AY178" s="9">
        <f t="shared" si="28"/>
        <v>1</v>
      </c>
      <c r="AZ178" s="9">
        <f t="shared" si="29"/>
        <v>1</v>
      </c>
      <c r="BA178" s="9">
        <f t="shared" si="30"/>
        <v>1</v>
      </c>
      <c r="BB178" s="9" t="s">
        <v>88</v>
      </c>
      <c r="BC178" s="9">
        <f t="shared" si="31"/>
        <v>2</v>
      </c>
      <c r="BD178" s="12"/>
      <c r="BE178" s="9" t="str">
        <f t="shared" si="45"/>
        <v>N/A</v>
      </c>
      <c r="BF178" s="9" t="s">
        <v>89</v>
      </c>
      <c r="BG178" s="9">
        <f t="shared" si="33"/>
        <v>1</v>
      </c>
      <c r="BH178" s="9">
        <f t="shared" si="34"/>
        <v>1</v>
      </c>
      <c r="BI178" s="9">
        <f t="shared" si="35"/>
        <v>1</v>
      </c>
      <c r="BJ178" s="9">
        <f t="shared" si="36"/>
        <v>1</v>
      </c>
      <c r="BK178" s="9">
        <f t="shared" si="37"/>
        <v>1</v>
      </c>
      <c r="BL178" s="9">
        <f t="shared" si="38"/>
        <v>1</v>
      </c>
      <c r="BM178" s="9">
        <f t="shared" si="39"/>
        <v>1</v>
      </c>
      <c r="BN178" s="9" t="s">
        <v>68</v>
      </c>
      <c r="BO178" s="11">
        <f t="shared" si="40"/>
        <v>1</v>
      </c>
    </row>
    <row r="179" ht="22.5" customHeight="1">
      <c r="A179" s="9">
        <f t="shared" si="41"/>
        <v>178</v>
      </c>
      <c r="B179" s="10">
        <v>46051.53110958333</v>
      </c>
      <c r="C179" s="9" t="s">
        <v>67</v>
      </c>
      <c r="D179" s="9">
        <f t="shared" si="1"/>
        <v>1</v>
      </c>
      <c r="E179" s="9" t="s">
        <v>68</v>
      </c>
      <c r="F179" s="9">
        <f t="shared" si="2"/>
        <v>1</v>
      </c>
      <c r="G179" s="9" t="s">
        <v>82</v>
      </c>
      <c r="H179" s="9" t="str">
        <f t="shared" si="3"/>
        <v>Urban</v>
      </c>
      <c r="I179" s="9">
        <f t="shared" si="4"/>
        <v>2</v>
      </c>
      <c r="J179" s="9" t="s">
        <v>70</v>
      </c>
      <c r="K179" s="9" t="s">
        <v>100</v>
      </c>
      <c r="L179" s="9">
        <f t="shared" si="5"/>
        <v>3</v>
      </c>
      <c r="M179" s="9" t="s">
        <v>101</v>
      </c>
      <c r="N179" s="9">
        <f t="shared" si="6"/>
        <v>2</v>
      </c>
      <c r="O179" s="9" t="s">
        <v>73</v>
      </c>
      <c r="P179" s="9">
        <f t="shared" si="7"/>
        <v>2</v>
      </c>
      <c r="Q179" s="9" t="s">
        <v>85</v>
      </c>
      <c r="R179" s="9">
        <f t="shared" si="8"/>
        <v>4</v>
      </c>
      <c r="S179" s="9" t="s">
        <v>73</v>
      </c>
      <c r="T179" s="9">
        <f t="shared" si="9"/>
        <v>2</v>
      </c>
      <c r="U179" s="9" t="s">
        <v>74</v>
      </c>
      <c r="V179" s="9">
        <f t="shared" si="10"/>
        <v>1.5</v>
      </c>
      <c r="W179" s="9" t="s">
        <v>180</v>
      </c>
      <c r="X179" s="9">
        <f t="shared" si="11"/>
        <v>0</v>
      </c>
      <c r="Y179" s="9">
        <f t="shared" si="12"/>
        <v>1</v>
      </c>
      <c r="Z179" s="9">
        <f t="shared" si="13"/>
        <v>1</v>
      </c>
      <c r="AA179" s="9">
        <f t="shared" si="14"/>
        <v>0</v>
      </c>
      <c r="AB179" s="9" t="s">
        <v>73</v>
      </c>
      <c r="AC179" s="9">
        <f t="shared" si="15"/>
        <v>2</v>
      </c>
      <c r="AD179" s="9" t="s">
        <v>73</v>
      </c>
      <c r="AE179" s="9">
        <f t="shared" si="16"/>
        <v>2</v>
      </c>
      <c r="AF179" s="9" t="s">
        <v>76</v>
      </c>
      <c r="AG179" s="9">
        <f t="shared" si="17"/>
        <v>5.5</v>
      </c>
      <c r="AH179" s="9" t="s">
        <v>85</v>
      </c>
      <c r="AI179" s="9">
        <f t="shared" si="18"/>
        <v>4</v>
      </c>
      <c r="AJ179" s="9" t="s">
        <v>73</v>
      </c>
      <c r="AK179" s="9">
        <f t="shared" si="19"/>
        <v>2</v>
      </c>
      <c r="AL179" s="9" t="s">
        <v>85</v>
      </c>
      <c r="AM179" s="9">
        <f t="shared" si="20"/>
        <v>4</v>
      </c>
      <c r="AN179" s="9" t="s">
        <v>73</v>
      </c>
      <c r="AO179" s="9">
        <f t="shared" si="21"/>
        <v>2</v>
      </c>
      <c r="AP179" s="9" t="s">
        <v>85</v>
      </c>
      <c r="AQ179" s="9">
        <f t="shared" si="22"/>
        <v>4</v>
      </c>
      <c r="AR179" s="9" t="s">
        <v>85</v>
      </c>
      <c r="AS179" s="9">
        <f t="shared" si="23"/>
        <v>4</v>
      </c>
      <c r="AT179" s="9" t="s">
        <v>188</v>
      </c>
      <c r="AU179" s="9">
        <f t="shared" si="24"/>
        <v>1</v>
      </c>
      <c r="AV179" s="9">
        <f t="shared" si="25"/>
        <v>1</v>
      </c>
      <c r="AW179" s="9">
        <f t="shared" si="26"/>
        <v>0</v>
      </c>
      <c r="AX179" s="9">
        <f t="shared" si="27"/>
        <v>1</v>
      </c>
      <c r="AY179" s="9">
        <f t="shared" si="28"/>
        <v>0</v>
      </c>
      <c r="AZ179" s="9">
        <f t="shared" si="29"/>
        <v>0</v>
      </c>
      <c r="BA179" s="9">
        <f t="shared" si="30"/>
        <v>0</v>
      </c>
      <c r="BB179" s="9" t="s">
        <v>88</v>
      </c>
      <c r="BC179" s="9">
        <f t="shared" si="31"/>
        <v>2</v>
      </c>
      <c r="BD179" s="12"/>
      <c r="BE179" s="9" t="str">
        <f t="shared" si="45"/>
        <v>N/A</v>
      </c>
      <c r="BF179" s="9" t="s">
        <v>252</v>
      </c>
      <c r="BG179" s="9">
        <f t="shared" si="33"/>
        <v>1</v>
      </c>
      <c r="BH179" s="9">
        <f t="shared" si="34"/>
        <v>1</v>
      </c>
      <c r="BI179" s="9">
        <f t="shared" si="35"/>
        <v>0</v>
      </c>
      <c r="BJ179" s="9">
        <f t="shared" si="36"/>
        <v>0</v>
      </c>
      <c r="BK179" s="9">
        <f t="shared" si="37"/>
        <v>0</v>
      </c>
      <c r="BL179" s="9">
        <f t="shared" si="38"/>
        <v>0</v>
      </c>
      <c r="BM179" s="9">
        <f t="shared" si="39"/>
        <v>0</v>
      </c>
      <c r="BN179" s="9" t="s">
        <v>68</v>
      </c>
      <c r="BO179" s="11">
        <f t="shared" si="40"/>
        <v>1</v>
      </c>
    </row>
    <row r="180" ht="22.5" customHeight="1">
      <c r="A180" s="9">
        <f t="shared" si="41"/>
        <v>179</v>
      </c>
      <c r="B180" s="10">
        <v>46051.537858634256</v>
      </c>
      <c r="C180" s="9" t="s">
        <v>67</v>
      </c>
      <c r="D180" s="9">
        <f t="shared" si="1"/>
        <v>1</v>
      </c>
      <c r="E180" s="9" t="s">
        <v>68</v>
      </c>
      <c r="F180" s="9">
        <f t="shared" si="2"/>
        <v>1</v>
      </c>
      <c r="G180" s="9" t="s">
        <v>69</v>
      </c>
      <c r="H180" s="9" t="str">
        <f t="shared" si="3"/>
        <v>Rural</v>
      </c>
      <c r="I180" s="9">
        <f t="shared" si="4"/>
        <v>1</v>
      </c>
      <c r="J180" s="9" t="s">
        <v>70</v>
      </c>
      <c r="K180" s="9" t="s">
        <v>100</v>
      </c>
      <c r="L180" s="9">
        <f t="shared" si="5"/>
        <v>3</v>
      </c>
      <c r="M180" s="9" t="s">
        <v>76</v>
      </c>
      <c r="N180" s="9">
        <f t="shared" si="6"/>
        <v>5.5</v>
      </c>
      <c r="O180" s="9" t="s">
        <v>78</v>
      </c>
      <c r="P180" s="9">
        <f t="shared" si="7"/>
        <v>3</v>
      </c>
      <c r="Q180" s="9" t="s">
        <v>78</v>
      </c>
      <c r="R180" s="9">
        <f t="shared" si="8"/>
        <v>3</v>
      </c>
      <c r="S180" s="9" t="s">
        <v>78</v>
      </c>
      <c r="T180" s="9">
        <f t="shared" si="9"/>
        <v>3</v>
      </c>
      <c r="U180" s="9" t="s">
        <v>110</v>
      </c>
      <c r="V180" s="9">
        <f t="shared" si="10"/>
        <v>0.75</v>
      </c>
      <c r="W180" s="9" t="s">
        <v>143</v>
      </c>
      <c r="X180" s="9">
        <f t="shared" si="11"/>
        <v>1</v>
      </c>
      <c r="Y180" s="9">
        <f t="shared" si="12"/>
        <v>0</v>
      </c>
      <c r="Z180" s="9">
        <f t="shared" si="13"/>
        <v>0</v>
      </c>
      <c r="AA180" s="9">
        <f t="shared" si="14"/>
        <v>0</v>
      </c>
      <c r="AB180" s="9" t="s">
        <v>78</v>
      </c>
      <c r="AC180" s="9">
        <f t="shared" si="15"/>
        <v>3</v>
      </c>
      <c r="AD180" s="9" t="s">
        <v>78</v>
      </c>
      <c r="AE180" s="9">
        <f t="shared" si="16"/>
        <v>3</v>
      </c>
      <c r="AF180" s="9" t="s">
        <v>71</v>
      </c>
      <c r="AG180" s="9">
        <f t="shared" si="17"/>
        <v>7.7</v>
      </c>
      <c r="AH180" s="9" t="s">
        <v>85</v>
      </c>
      <c r="AI180" s="9">
        <f t="shared" si="18"/>
        <v>4</v>
      </c>
      <c r="AJ180" s="9" t="s">
        <v>85</v>
      </c>
      <c r="AK180" s="9">
        <f t="shared" si="19"/>
        <v>4</v>
      </c>
      <c r="AL180" s="9" t="s">
        <v>85</v>
      </c>
      <c r="AM180" s="9">
        <f t="shared" si="20"/>
        <v>4</v>
      </c>
      <c r="AN180" s="9" t="s">
        <v>85</v>
      </c>
      <c r="AO180" s="9">
        <f t="shared" si="21"/>
        <v>4</v>
      </c>
      <c r="AP180" s="9" t="s">
        <v>85</v>
      </c>
      <c r="AQ180" s="9">
        <f t="shared" si="22"/>
        <v>4</v>
      </c>
      <c r="AR180" s="9" t="s">
        <v>85</v>
      </c>
      <c r="AS180" s="9">
        <f t="shared" si="23"/>
        <v>4</v>
      </c>
      <c r="AT180" s="9" t="s">
        <v>182</v>
      </c>
      <c r="AU180" s="9">
        <f t="shared" si="24"/>
        <v>0</v>
      </c>
      <c r="AV180" s="9">
        <f t="shared" si="25"/>
        <v>0</v>
      </c>
      <c r="AW180" s="9">
        <f t="shared" si="26"/>
        <v>0</v>
      </c>
      <c r="AX180" s="9">
        <f t="shared" si="27"/>
        <v>0</v>
      </c>
      <c r="AY180" s="9">
        <f t="shared" si="28"/>
        <v>1</v>
      </c>
      <c r="AZ180" s="9">
        <f t="shared" si="29"/>
        <v>0</v>
      </c>
      <c r="BA180" s="9">
        <f t="shared" si="30"/>
        <v>0</v>
      </c>
      <c r="BB180" s="9" t="s">
        <v>88</v>
      </c>
      <c r="BC180" s="9">
        <f t="shared" si="31"/>
        <v>2</v>
      </c>
      <c r="BD180" s="12"/>
      <c r="BE180" s="9" t="str">
        <f t="shared" si="45"/>
        <v>N/A</v>
      </c>
      <c r="BF180" s="9" t="s">
        <v>150</v>
      </c>
      <c r="BG180" s="9">
        <f t="shared" si="33"/>
        <v>0</v>
      </c>
      <c r="BH180" s="9">
        <f t="shared" si="34"/>
        <v>0</v>
      </c>
      <c r="BI180" s="9">
        <f t="shared" si="35"/>
        <v>0</v>
      </c>
      <c r="BJ180" s="9">
        <f t="shared" si="36"/>
        <v>0</v>
      </c>
      <c r="BK180" s="9">
        <f t="shared" si="37"/>
        <v>1</v>
      </c>
      <c r="BL180" s="9">
        <f t="shared" si="38"/>
        <v>0</v>
      </c>
      <c r="BM180" s="9">
        <f t="shared" si="39"/>
        <v>0</v>
      </c>
      <c r="BN180" s="9" t="s">
        <v>88</v>
      </c>
      <c r="BO180" s="11">
        <f t="shared" si="40"/>
        <v>2</v>
      </c>
    </row>
    <row r="181" ht="22.5" customHeight="1">
      <c r="A181" s="9">
        <f t="shared" si="41"/>
        <v>180</v>
      </c>
      <c r="B181" s="10">
        <v>46051.53803498842</v>
      </c>
      <c r="C181" s="9" t="s">
        <v>90</v>
      </c>
      <c r="D181" s="9">
        <f t="shared" si="1"/>
        <v>2</v>
      </c>
      <c r="E181" s="9" t="s">
        <v>68</v>
      </c>
      <c r="F181" s="9">
        <f t="shared" si="2"/>
        <v>1</v>
      </c>
      <c r="G181" s="9" t="s">
        <v>91</v>
      </c>
      <c r="H181" s="9" t="str">
        <f t="shared" si="3"/>
        <v>Urban</v>
      </c>
      <c r="I181" s="9">
        <f t="shared" si="4"/>
        <v>2</v>
      </c>
      <c r="J181" s="9" t="s">
        <v>83</v>
      </c>
      <c r="K181" s="9" t="s">
        <v>84</v>
      </c>
      <c r="L181" s="9">
        <f t="shared" si="5"/>
        <v>2</v>
      </c>
      <c r="M181" s="9" t="s">
        <v>101</v>
      </c>
      <c r="N181" s="9">
        <f t="shared" si="6"/>
        <v>2</v>
      </c>
      <c r="O181" s="9" t="s">
        <v>78</v>
      </c>
      <c r="P181" s="9">
        <f t="shared" si="7"/>
        <v>3</v>
      </c>
      <c r="Q181" s="9" t="s">
        <v>72</v>
      </c>
      <c r="R181" s="9">
        <f t="shared" si="8"/>
        <v>1</v>
      </c>
      <c r="S181" s="9" t="s">
        <v>72</v>
      </c>
      <c r="T181" s="9">
        <f t="shared" si="9"/>
        <v>1</v>
      </c>
      <c r="U181" s="9" t="s">
        <v>96</v>
      </c>
      <c r="V181" s="9">
        <f t="shared" si="10"/>
        <v>2.5</v>
      </c>
      <c r="W181" s="9" t="s">
        <v>93</v>
      </c>
      <c r="X181" s="9">
        <f t="shared" si="11"/>
        <v>0</v>
      </c>
      <c r="Y181" s="9">
        <f t="shared" si="12"/>
        <v>1</v>
      </c>
      <c r="Z181" s="9">
        <f t="shared" si="13"/>
        <v>0</v>
      </c>
      <c r="AA181" s="9">
        <f t="shared" si="14"/>
        <v>0</v>
      </c>
      <c r="AB181" s="9" t="s">
        <v>78</v>
      </c>
      <c r="AC181" s="9">
        <f t="shared" si="15"/>
        <v>3</v>
      </c>
      <c r="AD181" s="9" t="s">
        <v>78</v>
      </c>
      <c r="AE181" s="9">
        <f t="shared" si="16"/>
        <v>3</v>
      </c>
      <c r="AF181" s="9" t="s">
        <v>71</v>
      </c>
      <c r="AG181" s="9">
        <f t="shared" si="17"/>
        <v>7.7</v>
      </c>
      <c r="AH181" s="9" t="s">
        <v>78</v>
      </c>
      <c r="AI181" s="9">
        <f t="shared" si="18"/>
        <v>3</v>
      </c>
      <c r="AJ181" s="9" t="s">
        <v>73</v>
      </c>
      <c r="AK181" s="9">
        <f t="shared" si="19"/>
        <v>2</v>
      </c>
      <c r="AL181" s="9" t="s">
        <v>73</v>
      </c>
      <c r="AM181" s="9">
        <f t="shared" si="20"/>
        <v>2</v>
      </c>
      <c r="AN181" s="9" t="s">
        <v>73</v>
      </c>
      <c r="AO181" s="9">
        <f t="shared" si="21"/>
        <v>2</v>
      </c>
      <c r="AP181" s="9" t="s">
        <v>78</v>
      </c>
      <c r="AQ181" s="9">
        <f t="shared" si="22"/>
        <v>3</v>
      </c>
      <c r="AR181" s="9" t="s">
        <v>78</v>
      </c>
      <c r="AS181" s="9">
        <f t="shared" si="23"/>
        <v>3</v>
      </c>
      <c r="AT181" s="9" t="s">
        <v>182</v>
      </c>
      <c r="AU181" s="9">
        <f t="shared" si="24"/>
        <v>0</v>
      </c>
      <c r="AV181" s="9">
        <f t="shared" si="25"/>
        <v>0</v>
      </c>
      <c r="AW181" s="9">
        <f t="shared" si="26"/>
        <v>0</v>
      </c>
      <c r="AX181" s="9">
        <f t="shared" si="27"/>
        <v>0</v>
      </c>
      <c r="AY181" s="9">
        <f t="shared" si="28"/>
        <v>1</v>
      </c>
      <c r="AZ181" s="9">
        <f t="shared" si="29"/>
        <v>0</v>
      </c>
      <c r="BA181" s="9">
        <f t="shared" si="30"/>
        <v>0</v>
      </c>
      <c r="BB181" s="9" t="s">
        <v>68</v>
      </c>
      <c r="BC181" s="9">
        <f t="shared" si="31"/>
        <v>1</v>
      </c>
      <c r="BD181" s="9" t="s">
        <v>277</v>
      </c>
      <c r="BE181" s="9" t="str">
        <f t="shared" ref="BE181:BE272" si="46">IFS(OR(BD181="Sleeping tracking",BD181="Sleep tracker"),"Sleep tracker app",BD181="Health","Health app",OR(BD181="Samsung Health ",BD181="samsung health"),"Samsung Health app",OR(BD181="Alarm clock ",BD181="Alarm "),"Alarm app",BD181="My health app","My health app",BD181="Smartwatch /wearable apps ","Wearable app",BD181="HryFine","HryFine app",TRUE,"N/A")
</f>
        <v>Wearable app</v>
      </c>
      <c r="BF181" s="9" t="s">
        <v>129</v>
      </c>
      <c r="BG181" s="9">
        <f t="shared" si="33"/>
        <v>0</v>
      </c>
      <c r="BH181" s="9">
        <f t="shared" si="34"/>
        <v>0</v>
      </c>
      <c r="BI181" s="9">
        <f t="shared" si="35"/>
        <v>0</v>
      </c>
      <c r="BJ181" s="9">
        <f t="shared" si="36"/>
        <v>0</v>
      </c>
      <c r="BK181" s="9">
        <f t="shared" si="37"/>
        <v>0</v>
      </c>
      <c r="BL181" s="9">
        <f t="shared" si="38"/>
        <v>1</v>
      </c>
      <c r="BM181" s="9">
        <f t="shared" si="39"/>
        <v>0</v>
      </c>
      <c r="BN181" s="9" t="s">
        <v>108</v>
      </c>
      <c r="BO181" s="11">
        <f t="shared" si="40"/>
        <v>3</v>
      </c>
    </row>
    <row r="182" ht="22.5" customHeight="1">
      <c r="A182" s="9">
        <f t="shared" si="41"/>
        <v>181</v>
      </c>
      <c r="B182" s="10">
        <v>46051.53859269676</v>
      </c>
      <c r="C182" s="9" t="s">
        <v>67</v>
      </c>
      <c r="D182" s="9">
        <f t="shared" si="1"/>
        <v>1</v>
      </c>
      <c r="E182" s="9" t="s">
        <v>68</v>
      </c>
      <c r="F182" s="9">
        <f t="shared" si="2"/>
        <v>1</v>
      </c>
      <c r="G182" s="9" t="s">
        <v>82</v>
      </c>
      <c r="H182" s="9" t="str">
        <f t="shared" si="3"/>
        <v>Urban</v>
      </c>
      <c r="I182" s="9">
        <f t="shared" si="4"/>
        <v>2</v>
      </c>
      <c r="J182" s="9" t="s">
        <v>70</v>
      </c>
      <c r="K182" s="9" t="s">
        <v>100</v>
      </c>
      <c r="L182" s="9">
        <f t="shared" si="5"/>
        <v>3</v>
      </c>
      <c r="M182" s="9" t="s">
        <v>76</v>
      </c>
      <c r="N182" s="9">
        <f t="shared" si="6"/>
        <v>5.5</v>
      </c>
      <c r="O182" s="9" t="s">
        <v>73</v>
      </c>
      <c r="P182" s="9">
        <f t="shared" si="7"/>
        <v>2</v>
      </c>
      <c r="Q182" s="9" t="s">
        <v>85</v>
      </c>
      <c r="R182" s="9">
        <f t="shared" si="8"/>
        <v>4</v>
      </c>
      <c r="S182" s="9" t="s">
        <v>73</v>
      </c>
      <c r="T182" s="9">
        <f t="shared" si="9"/>
        <v>2</v>
      </c>
      <c r="U182" s="9" t="s">
        <v>74</v>
      </c>
      <c r="V182" s="9">
        <f t="shared" si="10"/>
        <v>1.5</v>
      </c>
      <c r="W182" s="9" t="s">
        <v>122</v>
      </c>
      <c r="X182" s="9">
        <f t="shared" si="11"/>
        <v>0</v>
      </c>
      <c r="Y182" s="9">
        <f t="shared" si="12"/>
        <v>0</v>
      </c>
      <c r="Z182" s="9">
        <f t="shared" si="13"/>
        <v>1</v>
      </c>
      <c r="AA182" s="9">
        <f t="shared" si="14"/>
        <v>0</v>
      </c>
      <c r="AB182" s="9" t="s">
        <v>85</v>
      </c>
      <c r="AC182" s="9">
        <f t="shared" si="15"/>
        <v>4</v>
      </c>
      <c r="AD182" s="9" t="s">
        <v>85</v>
      </c>
      <c r="AE182" s="9">
        <f t="shared" si="16"/>
        <v>4</v>
      </c>
      <c r="AF182" s="9" t="s">
        <v>71</v>
      </c>
      <c r="AG182" s="9">
        <f t="shared" si="17"/>
        <v>7.7</v>
      </c>
      <c r="AH182" s="9" t="s">
        <v>103</v>
      </c>
      <c r="AI182" s="9">
        <f t="shared" si="18"/>
        <v>5</v>
      </c>
      <c r="AJ182" s="9" t="s">
        <v>120</v>
      </c>
      <c r="AK182" s="9">
        <f t="shared" si="19"/>
        <v>5</v>
      </c>
      <c r="AL182" s="9" t="s">
        <v>85</v>
      </c>
      <c r="AM182" s="9">
        <f t="shared" si="20"/>
        <v>4</v>
      </c>
      <c r="AN182" s="9" t="s">
        <v>85</v>
      </c>
      <c r="AO182" s="9">
        <f t="shared" si="21"/>
        <v>4</v>
      </c>
      <c r="AP182" s="9" t="s">
        <v>85</v>
      </c>
      <c r="AQ182" s="9">
        <f t="shared" si="22"/>
        <v>4</v>
      </c>
      <c r="AR182" s="9" t="s">
        <v>120</v>
      </c>
      <c r="AS182" s="9">
        <f t="shared" si="23"/>
        <v>5</v>
      </c>
      <c r="AT182" s="9" t="s">
        <v>278</v>
      </c>
      <c r="AU182" s="9">
        <f t="shared" si="24"/>
        <v>0</v>
      </c>
      <c r="AV182" s="9">
        <f t="shared" si="25"/>
        <v>1</v>
      </c>
      <c r="AW182" s="9">
        <f t="shared" si="26"/>
        <v>0</v>
      </c>
      <c r="AX182" s="9">
        <f t="shared" si="27"/>
        <v>0</v>
      </c>
      <c r="AY182" s="9">
        <f t="shared" si="28"/>
        <v>0</v>
      </c>
      <c r="AZ182" s="9">
        <f t="shared" si="29"/>
        <v>0</v>
      </c>
      <c r="BA182" s="9">
        <f t="shared" si="30"/>
        <v>0</v>
      </c>
      <c r="BB182" s="9" t="s">
        <v>88</v>
      </c>
      <c r="BC182" s="9">
        <f t="shared" si="31"/>
        <v>2</v>
      </c>
      <c r="BD182" s="12"/>
      <c r="BE182" s="9" t="str">
        <f t="shared" si="46"/>
        <v>N/A</v>
      </c>
      <c r="BF182" s="9" t="s">
        <v>206</v>
      </c>
      <c r="BG182" s="9">
        <f t="shared" si="33"/>
        <v>1</v>
      </c>
      <c r="BH182" s="9">
        <f t="shared" si="34"/>
        <v>0</v>
      </c>
      <c r="BI182" s="9">
        <f t="shared" si="35"/>
        <v>0</v>
      </c>
      <c r="BJ182" s="9">
        <f t="shared" si="36"/>
        <v>1</v>
      </c>
      <c r="BK182" s="9">
        <f t="shared" si="37"/>
        <v>0</v>
      </c>
      <c r="BL182" s="9">
        <f t="shared" si="38"/>
        <v>0</v>
      </c>
      <c r="BM182" s="9">
        <f t="shared" si="39"/>
        <v>0</v>
      </c>
      <c r="BN182" s="9" t="s">
        <v>68</v>
      </c>
      <c r="BO182" s="11">
        <f t="shared" si="40"/>
        <v>1</v>
      </c>
    </row>
    <row r="183" ht="22.5" customHeight="1">
      <c r="A183" s="9">
        <f t="shared" si="41"/>
        <v>182</v>
      </c>
      <c r="B183" s="10">
        <v>46051.53965289352</v>
      </c>
      <c r="C183" s="9" t="s">
        <v>67</v>
      </c>
      <c r="D183" s="9">
        <f t="shared" si="1"/>
        <v>1</v>
      </c>
      <c r="E183" s="9" t="s">
        <v>68</v>
      </c>
      <c r="F183" s="9">
        <f t="shared" si="2"/>
        <v>1</v>
      </c>
      <c r="G183" s="9" t="s">
        <v>91</v>
      </c>
      <c r="H183" s="9" t="str">
        <f t="shared" si="3"/>
        <v>Urban</v>
      </c>
      <c r="I183" s="9">
        <f t="shared" si="4"/>
        <v>2</v>
      </c>
      <c r="J183" s="9" t="s">
        <v>70</v>
      </c>
      <c r="K183" s="9" t="s">
        <v>100</v>
      </c>
      <c r="L183" s="9">
        <f t="shared" si="5"/>
        <v>3</v>
      </c>
      <c r="M183" s="9" t="s">
        <v>109</v>
      </c>
      <c r="N183" s="9">
        <f t="shared" si="6"/>
        <v>9</v>
      </c>
      <c r="O183" s="9" t="s">
        <v>78</v>
      </c>
      <c r="P183" s="9">
        <f t="shared" si="7"/>
        <v>3</v>
      </c>
      <c r="Q183" s="9" t="s">
        <v>73</v>
      </c>
      <c r="R183" s="9">
        <f t="shared" si="8"/>
        <v>2</v>
      </c>
      <c r="S183" s="9" t="s">
        <v>73</v>
      </c>
      <c r="T183" s="9">
        <f t="shared" si="9"/>
        <v>2</v>
      </c>
      <c r="U183" s="9" t="s">
        <v>92</v>
      </c>
      <c r="V183" s="9">
        <f t="shared" si="10"/>
        <v>3.5</v>
      </c>
      <c r="W183" s="9" t="s">
        <v>86</v>
      </c>
      <c r="X183" s="9">
        <f t="shared" si="11"/>
        <v>1</v>
      </c>
      <c r="Y183" s="9">
        <f t="shared" si="12"/>
        <v>1</v>
      </c>
      <c r="Z183" s="9">
        <f t="shared" si="13"/>
        <v>1</v>
      </c>
      <c r="AA183" s="9">
        <f t="shared" si="14"/>
        <v>0</v>
      </c>
      <c r="AB183" s="9" t="s">
        <v>73</v>
      </c>
      <c r="AC183" s="9">
        <f t="shared" si="15"/>
        <v>2</v>
      </c>
      <c r="AD183" s="9" t="s">
        <v>73</v>
      </c>
      <c r="AE183" s="9">
        <f t="shared" si="16"/>
        <v>2</v>
      </c>
      <c r="AF183" s="9" t="s">
        <v>76</v>
      </c>
      <c r="AG183" s="9">
        <f t="shared" si="17"/>
        <v>5.5</v>
      </c>
      <c r="AH183" s="9" t="s">
        <v>72</v>
      </c>
      <c r="AI183" s="9">
        <f t="shared" si="18"/>
        <v>1</v>
      </c>
      <c r="AJ183" s="9" t="s">
        <v>85</v>
      </c>
      <c r="AK183" s="9">
        <f t="shared" si="19"/>
        <v>4</v>
      </c>
      <c r="AL183" s="9" t="s">
        <v>77</v>
      </c>
      <c r="AM183" s="9">
        <f t="shared" si="20"/>
        <v>1</v>
      </c>
      <c r="AN183" s="9" t="s">
        <v>73</v>
      </c>
      <c r="AO183" s="9">
        <f t="shared" si="21"/>
        <v>2</v>
      </c>
      <c r="AP183" s="9" t="s">
        <v>78</v>
      </c>
      <c r="AQ183" s="9">
        <f t="shared" si="22"/>
        <v>3</v>
      </c>
      <c r="AR183" s="9" t="s">
        <v>85</v>
      </c>
      <c r="AS183" s="9">
        <f t="shared" si="23"/>
        <v>4</v>
      </c>
      <c r="AT183" s="9" t="s">
        <v>186</v>
      </c>
      <c r="AU183" s="9">
        <f t="shared" si="24"/>
        <v>1</v>
      </c>
      <c r="AV183" s="9">
        <f t="shared" si="25"/>
        <v>0</v>
      </c>
      <c r="AW183" s="9">
        <f t="shared" si="26"/>
        <v>1</v>
      </c>
      <c r="AX183" s="9">
        <f t="shared" si="27"/>
        <v>0</v>
      </c>
      <c r="AY183" s="9">
        <f t="shared" si="28"/>
        <v>0</v>
      </c>
      <c r="AZ183" s="9">
        <f t="shared" si="29"/>
        <v>1</v>
      </c>
      <c r="BA183" s="9">
        <f t="shared" si="30"/>
        <v>0</v>
      </c>
      <c r="BB183" s="9" t="s">
        <v>68</v>
      </c>
      <c r="BC183" s="9">
        <f t="shared" si="31"/>
        <v>1</v>
      </c>
      <c r="BD183" s="9" t="s">
        <v>279</v>
      </c>
      <c r="BE183" s="9" t="str">
        <f t="shared" si="46"/>
        <v>N/A</v>
      </c>
      <c r="BF183" s="9" t="s">
        <v>211</v>
      </c>
      <c r="BG183" s="9">
        <f t="shared" si="33"/>
        <v>1</v>
      </c>
      <c r="BH183" s="9">
        <f t="shared" si="34"/>
        <v>0</v>
      </c>
      <c r="BI183" s="9">
        <f t="shared" si="35"/>
        <v>1</v>
      </c>
      <c r="BJ183" s="9">
        <f t="shared" si="36"/>
        <v>1</v>
      </c>
      <c r="BK183" s="9">
        <f t="shared" si="37"/>
        <v>1</v>
      </c>
      <c r="BL183" s="9">
        <f t="shared" si="38"/>
        <v>0</v>
      </c>
      <c r="BM183" s="9">
        <f t="shared" si="39"/>
        <v>0</v>
      </c>
      <c r="BN183" s="9" t="s">
        <v>108</v>
      </c>
      <c r="BO183" s="11">
        <f t="shared" si="40"/>
        <v>3</v>
      </c>
    </row>
    <row r="184" ht="22.5" customHeight="1">
      <c r="A184" s="9">
        <f t="shared" si="41"/>
        <v>183</v>
      </c>
      <c r="B184" s="10">
        <v>46051.54195085648</v>
      </c>
      <c r="C184" s="9" t="s">
        <v>90</v>
      </c>
      <c r="D184" s="9">
        <f t="shared" si="1"/>
        <v>2</v>
      </c>
      <c r="E184" s="9" t="s">
        <v>68</v>
      </c>
      <c r="F184" s="9">
        <f t="shared" si="2"/>
        <v>1</v>
      </c>
      <c r="G184" s="9" t="s">
        <v>91</v>
      </c>
      <c r="H184" s="9" t="str">
        <f t="shared" si="3"/>
        <v>Urban</v>
      </c>
      <c r="I184" s="9">
        <f t="shared" si="4"/>
        <v>2</v>
      </c>
      <c r="J184" s="9" t="s">
        <v>83</v>
      </c>
      <c r="K184" s="9" t="s">
        <v>84</v>
      </c>
      <c r="L184" s="9">
        <f t="shared" si="5"/>
        <v>2</v>
      </c>
      <c r="M184" s="9" t="s">
        <v>76</v>
      </c>
      <c r="N184" s="9">
        <f t="shared" si="6"/>
        <v>5.5</v>
      </c>
      <c r="O184" s="9" t="s">
        <v>85</v>
      </c>
      <c r="P184" s="9">
        <f t="shared" si="7"/>
        <v>4</v>
      </c>
      <c r="Q184" s="9" t="s">
        <v>78</v>
      </c>
      <c r="R184" s="9">
        <f t="shared" si="8"/>
        <v>3</v>
      </c>
      <c r="S184" s="9" t="s">
        <v>103</v>
      </c>
      <c r="T184" s="9">
        <f t="shared" si="9"/>
        <v>5</v>
      </c>
      <c r="U184" s="9" t="s">
        <v>92</v>
      </c>
      <c r="V184" s="9">
        <f t="shared" si="10"/>
        <v>3.5</v>
      </c>
      <c r="W184" s="9" t="s">
        <v>93</v>
      </c>
      <c r="X184" s="9">
        <f t="shared" si="11"/>
        <v>0</v>
      </c>
      <c r="Y184" s="9">
        <f t="shared" si="12"/>
        <v>1</v>
      </c>
      <c r="Z184" s="9">
        <f t="shared" si="13"/>
        <v>0</v>
      </c>
      <c r="AA184" s="9">
        <f t="shared" si="14"/>
        <v>0</v>
      </c>
      <c r="AB184" s="9" t="s">
        <v>78</v>
      </c>
      <c r="AC184" s="9">
        <f t="shared" si="15"/>
        <v>3</v>
      </c>
      <c r="AD184" s="9" t="s">
        <v>103</v>
      </c>
      <c r="AE184" s="9">
        <f t="shared" si="16"/>
        <v>5</v>
      </c>
      <c r="AF184" s="9" t="s">
        <v>76</v>
      </c>
      <c r="AG184" s="9">
        <f t="shared" si="17"/>
        <v>5.5</v>
      </c>
      <c r="AH184" s="9" t="s">
        <v>73</v>
      </c>
      <c r="AI184" s="9">
        <f t="shared" si="18"/>
        <v>2</v>
      </c>
      <c r="AJ184" s="9" t="s">
        <v>77</v>
      </c>
      <c r="AK184" s="9">
        <f t="shared" si="19"/>
        <v>1</v>
      </c>
      <c r="AL184" s="9" t="s">
        <v>77</v>
      </c>
      <c r="AM184" s="9">
        <f t="shared" si="20"/>
        <v>1</v>
      </c>
      <c r="AN184" s="9" t="s">
        <v>77</v>
      </c>
      <c r="AO184" s="9">
        <f t="shared" si="21"/>
        <v>1</v>
      </c>
      <c r="AP184" s="9" t="s">
        <v>78</v>
      </c>
      <c r="AQ184" s="9">
        <f t="shared" si="22"/>
        <v>3</v>
      </c>
      <c r="AR184" s="9" t="s">
        <v>85</v>
      </c>
      <c r="AS184" s="9">
        <f t="shared" si="23"/>
        <v>4</v>
      </c>
      <c r="AT184" s="9" t="s">
        <v>118</v>
      </c>
      <c r="AU184" s="9">
        <f t="shared" si="24"/>
        <v>0</v>
      </c>
      <c r="AV184" s="9">
        <f t="shared" si="25"/>
        <v>1</v>
      </c>
      <c r="AW184" s="9">
        <f t="shared" si="26"/>
        <v>0</v>
      </c>
      <c r="AX184" s="9">
        <f t="shared" si="27"/>
        <v>0</v>
      </c>
      <c r="AY184" s="9">
        <f t="shared" si="28"/>
        <v>0</v>
      </c>
      <c r="AZ184" s="9">
        <f t="shared" si="29"/>
        <v>1</v>
      </c>
      <c r="BA184" s="9">
        <f t="shared" si="30"/>
        <v>0</v>
      </c>
      <c r="BB184" s="9" t="s">
        <v>88</v>
      </c>
      <c r="BC184" s="9">
        <f t="shared" si="31"/>
        <v>2</v>
      </c>
      <c r="BD184" s="12"/>
      <c r="BE184" s="9" t="str">
        <f t="shared" si="46"/>
        <v>N/A</v>
      </c>
      <c r="BF184" s="9" t="s">
        <v>161</v>
      </c>
      <c r="BG184" s="9">
        <f t="shared" si="33"/>
        <v>0</v>
      </c>
      <c r="BH184" s="9">
        <f t="shared" si="34"/>
        <v>0</v>
      </c>
      <c r="BI184" s="9">
        <f t="shared" si="35"/>
        <v>0</v>
      </c>
      <c r="BJ184" s="9">
        <f t="shared" si="36"/>
        <v>1</v>
      </c>
      <c r="BK184" s="9">
        <f t="shared" si="37"/>
        <v>0</v>
      </c>
      <c r="BL184" s="9">
        <f t="shared" si="38"/>
        <v>0</v>
      </c>
      <c r="BM184" s="9">
        <f t="shared" si="39"/>
        <v>0</v>
      </c>
      <c r="BN184" s="9" t="s">
        <v>68</v>
      </c>
      <c r="BO184" s="11">
        <f t="shared" si="40"/>
        <v>1</v>
      </c>
    </row>
    <row r="185" ht="22.5" customHeight="1">
      <c r="A185" s="9">
        <f t="shared" si="41"/>
        <v>184</v>
      </c>
      <c r="B185" s="10">
        <v>46051.545548449074</v>
      </c>
      <c r="C185" s="9" t="s">
        <v>67</v>
      </c>
      <c r="D185" s="9">
        <f t="shared" si="1"/>
        <v>1</v>
      </c>
      <c r="E185" s="9" t="s">
        <v>68</v>
      </c>
      <c r="F185" s="9">
        <f t="shared" si="2"/>
        <v>1</v>
      </c>
      <c r="G185" s="9" t="s">
        <v>69</v>
      </c>
      <c r="H185" s="9" t="str">
        <f t="shared" si="3"/>
        <v>Rural</v>
      </c>
      <c r="I185" s="9">
        <f t="shared" si="4"/>
        <v>1</v>
      </c>
      <c r="J185" s="9" t="s">
        <v>145</v>
      </c>
      <c r="K185" s="9" t="s">
        <v>146</v>
      </c>
      <c r="L185" s="9">
        <f t="shared" si="5"/>
        <v>1</v>
      </c>
      <c r="M185" s="9" t="s">
        <v>109</v>
      </c>
      <c r="N185" s="9">
        <f t="shared" si="6"/>
        <v>9</v>
      </c>
      <c r="O185" s="9" t="s">
        <v>78</v>
      </c>
      <c r="P185" s="9">
        <f t="shared" si="7"/>
        <v>3</v>
      </c>
      <c r="Q185" s="9" t="s">
        <v>85</v>
      </c>
      <c r="R185" s="9">
        <f t="shared" si="8"/>
        <v>4</v>
      </c>
      <c r="S185" s="9" t="s">
        <v>73</v>
      </c>
      <c r="T185" s="9">
        <f t="shared" si="9"/>
        <v>2</v>
      </c>
      <c r="U185" s="9" t="s">
        <v>74</v>
      </c>
      <c r="V185" s="9">
        <f t="shared" si="10"/>
        <v>1.5</v>
      </c>
      <c r="W185" s="9" t="s">
        <v>86</v>
      </c>
      <c r="X185" s="9">
        <f t="shared" si="11"/>
        <v>1</v>
      </c>
      <c r="Y185" s="9">
        <f t="shared" si="12"/>
        <v>1</v>
      </c>
      <c r="Z185" s="9">
        <f t="shared" si="13"/>
        <v>1</v>
      </c>
      <c r="AA185" s="9">
        <f t="shared" si="14"/>
        <v>0</v>
      </c>
      <c r="AB185" s="9" t="s">
        <v>78</v>
      </c>
      <c r="AC185" s="9">
        <f t="shared" si="15"/>
        <v>3</v>
      </c>
      <c r="AD185" s="9" t="s">
        <v>78</v>
      </c>
      <c r="AE185" s="9">
        <f t="shared" si="16"/>
        <v>3</v>
      </c>
      <c r="AF185" s="9" t="s">
        <v>71</v>
      </c>
      <c r="AG185" s="9">
        <f t="shared" si="17"/>
        <v>7.7</v>
      </c>
      <c r="AH185" s="9" t="s">
        <v>85</v>
      </c>
      <c r="AI185" s="9">
        <f t="shared" si="18"/>
        <v>4</v>
      </c>
      <c r="AJ185" s="9" t="s">
        <v>85</v>
      </c>
      <c r="AK185" s="9">
        <f t="shared" si="19"/>
        <v>4</v>
      </c>
      <c r="AL185" s="9" t="s">
        <v>78</v>
      </c>
      <c r="AM185" s="9">
        <f t="shared" si="20"/>
        <v>3</v>
      </c>
      <c r="AN185" s="9" t="s">
        <v>85</v>
      </c>
      <c r="AO185" s="9">
        <f t="shared" si="21"/>
        <v>4</v>
      </c>
      <c r="AP185" s="9" t="s">
        <v>85</v>
      </c>
      <c r="AQ185" s="9">
        <f t="shared" si="22"/>
        <v>4</v>
      </c>
      <c r="AR185" s="9" t="s">
        <v>85</v>
      </c>
      <c r="AS185" s="9">
        <f t="shared" si="23"/>
        <v>4</v>
      </c>
      <c r="AT185" s="9" t="s">
        <v>239</v>
      </c>
      <c r="AU185" s="9">
        <f t="shared" si="24"/>
        <v>1</v>
      </c>
      <c r="AV185" s="9">
        <f t="shared" si="25"/>
        <v>1</v>
      </c>
      <c r="AW185" s="9">
        <f t="shared" si="26"/>
        <v>0</v>
      </c>
      <c r="AX185" s="9">
        <f t="shared" si="27"/>
        <v>0</v>
      </c>
      <c r="AY185" s="9">
        <f t="shared" si="28"/>
        <v>0</v>
      </c>
      <c r="AZ185" s="9">
        <f t="shared" si="29"/>
        <v>1</v>
      </c>
      <c r="BA185" s="9">
        <f t="shared" si="30"/>
        <v>1</v>
      </c>
      <c r="BB185" s="9" t="s">
        <v>88</v>
      </c>
      <c r="BC185" s="9">
        <f t="shared" si="31"/>
        <v>2</v>
      </c>
      <c r="BD185" s="12"/>
      <c r="BE185" s="9" t="str">
        <f t="shared" si="46"/>
        <v>N/A</v>
      </c>
      <c r="BF185" s="9" t="s">
        <v>280</v>
      </c>
      <c r="BG185" s="9">
        <f t="shared" si="33"/>
        <v>1</v>
      </c>
      <c r="BH185" s="9">
        <f t="shared" si="34"/>
        <v>1</v>
      </c>
      <c r="BI185" s="9">
        <f t="shared" si="35"/>
        <v>0</v>
      </c>
      <c r="BJ185" s="9">
        <f t="shared" si="36"/>
        <v>1</v>
      </c>
      <c r="BK185" s="9">
        <f t="shared" si="37"/>
        <v>0</v>
      </c>
      <c r="BL185" s="9">
        <f t="shared" si="38"/>
        <v>0</v>
      </c>
      <c r="BM185" s="9">
        <f t="shared" si="39"/>
        <v>0</v>
      </c>
      <c r="BN185" s="9" t="s">
        <v>68</v>
      </c>
      <c r="BO185" s="11">
        <f t="shared" si="40"/>
        <v>1</v>
      </c>
    </row>
    <row r="186" ht="22.5" customHeight="1">
      <c r="A186" s="9">
        <f t="shared" si="41"/>
        <v>185</v>
      </c>
      <c r="B186" s="10">
        <v>46051.556483333334</v>
      </c>
      <c r="C186" s="9" t="s">
        <v>67</v>
      </c>
      <c r="D186" s="9">
        <f t="shared" si="1"/>
        <v>1</v>
      </c>
      <c r="E186" s="9" t="s">
        <v>68</v>
      </c>
      <c r="F186" s="9">
        <f t="shared" si="2"/>
        <v>1</v>
      </c>
      <c r="G186" s="9" t="s">
        <v>69</v>
      </c>
      <c r="H186" s="9" t="str">
        <f t="shared" si="3"/>
        <v>Rural</v>
      </c>
      <c r="I186" s="9">
        <f t="shared" si="4"/>
        <v>1</v>
      </c>
      <c r="J186" s="9" t="s">
        <v>145</v>
      </c>
      <c r="K186" s="9" t="s">
        <v>146</v>
      </c>
      <c r="L186" s="9">
        <f t="shared" si="5"/>
        <v>1</v>
      </c>
      <c r="M186" s="9" t="s">
        <v>109</v>
      </c>
      <c r="N186" s="9">
        <f t="shared" si="6"/>
        <v>9</v>
      </c>
      <c r="O186" s="9" t="s">
        <v>78</v>
      </c>
      <c r="P186" s="9">
        <f t="shared" si="7"/>
        <v>3</v>
      </c>
      <c r="Q186" s="9" t="s">
        <v>85</v>
      </c>
      <c r="R186" s="9">
        <f t="shared" si="8"/>
        <v>4</v>
      </c>
      <c r="S186" s="9" t="s">
        <v>78</v>
      </c>
      <c r="T186" s="9">
        <f t="shared" si="9"/>
        <v>3</v>
      </c>
      <c r="U186" s="9" t="s">
        <v>74</v>
      </c>
      <c r="V186" s="9">
        <f t="shared" si="10"/>
        <v>1.5</v>
      </c>
      <c r="W186" s="9" t="s">
        <v>102</v>
      </c>
      <c r="X186" s="9">
        <f t="shared" si="11"/>
        <v>1</v>
      </c>
      <c r="Y186" s="9">
        <f t="shared" si="12"/>
        <v>1</v>
      </c>
      <c r="Z186" s="9">
        <f t="shared" si="13"/>
        <v>1</v>
      </c>
      <c r="AA186" s="9">
        <f t="shared" si="14"/>
        <v>1</v>
      </c>
      <c r="AB186" s="9" t="s">
        <v>78</v>
      </c>
      <c r="AC186" s="9">
        <f t="shared" si="15"/>
        <v>3</v>
      </c>
      <c r="AD186" s="9" t="s">
        <v>85</v>
      </c>
      <c r="AE186" s="9">
        <f t="shared" si="16"/>
        <v>4</v>
      </c>
      <c r="AF186" s="9" t="s">
        <v>71</v>
      </c>
      <c r="AG186" s="9">
        <f t="shared" si="17"/>
        <v>7.7</v>
      </c>
      <c r="AH186" s="9" t="s">
        <v>85</v>
      </c>
      <c r="AI186" s="9">
        <f t="shared" si="18"/>
        <v>4</v>
      </c>
      <c r="AJ186" s="9" t="s">
        <v>73</v>
      </c>
      <c r="AK186" s="9">
        <f t="shared" si="19"/>
        <v>2</v>
      </c>
      <c r="AL186" s="9" t="s">
        <v>78</v>
      </c>
      <c r="AM186" s="9">
        <f t="shared" si="20"/>
        <v>3</v>
      </c>
      <c r="AN186" s="9" t="s">
        <v>85</v>
      </c>
      <c r="AO186" s="9">
        <f t="shared" si="21"/>
        <v>4</v>
      </c>
      <c r="AP186" s="9" t="s">
        <v>85</v>
      </c>
      <c r="AQ186" s="9">
        <f t="shared" si="22"/>
        <v>4</v>
      </c>
      <c r="AR186" s="9" t="s">
        <v>85</v>
      </c>
      <c r="AS186" s="9">
        <f t="shared" si="23"/>
        <v>4</v>
      </c>
      <c r="AT186" s="9" t="s">
        <v>281</v>
      </c>
      <c r="AU186" s="9">
        <f t="shared" si="24"/>
        <v>1</v>
      </c>
      <c r="AV186" s="9">
        <f t="shared" si="25"/>
        <v>0</v>
      </c>
      <c r="AW186" s="9">
        <f t="shared" si="26"/>
        <v>0</v>
      </c>
      <c r="AX186" s="9">
        <f t="shared" si="27"/>
        <v>0</v>
      </c>
      <c r="AY186" s="9">
        <f t="shared" si="28"/>
        <v>0</v>
      </c>
      <c r="AZ186" s="9">
        <f t="shared" si="29"/>
        <v>0</v>
      </c>
      <c r="BA186" s="9">
        <f t="shared" si="30"/>
        <v>1</v>
      </c>
      <c r="BB186" s="9" t="s">
        <v>88</v>
      </c>
      <c r="BC186" s="9">
        <f t="shared" si="31"/>
        <v>2</v>
      </c>
      <c r="BD186" s="12"/>
      <c r="BE186" s="9" t="str">
        <f t="shared" si="46"/>
        <v>N/A</v>
      </c>
      <c r="BF186" s="9" t="s">
        <v>119</v>
      </c>
      <c r="BG186" s="9">
        <f t="shared" si="33"/>
        <v>1</v>
      </c>
      <c r="BH186" s="9">
        <f t="shared" si="34"/>
        <v>0</v>
      </c>
      <c r="BI186" s="9">
        <f t="shared" si="35"/>
        <v>0</v>
      </c>
      <c r="BJ186" s="9">
        <f t="shared" si="36"/>
        <v>0</v>
      </c>
      <c r="BK186" s="9">
        <f t="shared" si="37"/>
        <v>0</v>
      </c>
      <c r="BL186" s="9">
        <f t="shared" si="38"/>
        <v>0</v>
      </c>
      <c r="BM186" s="9">
        <f t="shared" si="39"/>
        <v>1</v>
      </c>
      <c r="BN186" s="9" t="s">
        <v>108</v>
      </c>
      <c r="BO186" s="11">
        <f t="shared" si="40"/>
        <v>3</v>
      </c>
    </row>
    <row r="187" ht="22.5" customHeight="1">
      <c r="A187" s="9">
        <f t="shared" si="41"/>
        <v>186</v>
      </c>
      <c r="B187" s="10">
        <v>46051.558296030096</v>
      </c>
      <c r="C187" s="9" t="s">
        <v>67</v>
      </c>
      <c r="D187" s="9">
        <f t="shared" si="1"/>
        <v>1</v>
      </c>
      <c r="E187" s="9" t="s">
        <v>68</v>
      </c>
      <c r="F187" s="9">
        <f t="shared" si="2"/>
        <v>1</v>
      </c>
      <c r="G187" s="9" t="s">
        <v>91</v>
      </c>
      <c r="H187" s="9" t="str">
        <f t="shared" si="3"/>
        <v>Urban</v>
      </c>
      <c r="I187" s="9">
        <f t="shared" si="4"/>
        <v>2</v>
      </c>
      <c r="J187" s="9" t="s">
        <v>145</v>
      </c>
      <c r="K187" s="9" t="s">
        <v>146</v>
      </c>
      <c r="L187" s="9">
        <f t="shared" si="5"/>
        <v>1</v>
      </c>
      <c r="M187" s="9" t="s">
        <v>71</v>
      </c>
      <c r="N187" s="9">
        <f t="shared" si="6"/>
        <v>7.7</v>
      </c>
      <c r="O187" s="9" t="s">
        <v>78</v>
      </c>
      <c r="P187" s="9">
        <f t="shared" si="7"/>
        <v>3</v>
      </c>
      <c r="Q187" s="9" t="s">
        <v>85</v>
      </c>
      <c r="R187" s="9">
        <f t="shared" si="8"/>
        <v>4</v>
      </c>
      <c r="S187" s="9" t="s">
        <v>73</v>
      </c>
      <c r="T187" s="9">
        <f t="shared" si="9"/>
        <v>2</v>
      </c>
      <c r="U187" s="9" t="s">
        <v>74</v>
      </c>
      <c r="V187" s="9">
        <f t="shared" si="10"/>
        <v>1.5</v>
      </c>
      <c r="W187" s="9" t="s">
        <v>180</v>
      </c>
      <c r="X187" s="9">
        <f t="shared" si="11"/>
        <v>0</v>
      </c>
      <c r="Y187" s="9">
        <f t="shared" si="12"/>
        <v>1</v>
      </c>
      <c r="Z187" s="9">
        <f t="shared" si="13"/>
        <v>1</v>
      </c>
      <c r="AA187" s="9">
        <f t="shared" si="14"/>
        <v>0</v>
      </c>
      <c r="AB187" s="9" t="s">
        <v>85</v>
      </c>
      <c r="AC187" s="9">
        <f t="shared" si="15"/>
        <v>4</v>
      </c>
      <c r="AD187" s="9" t="s">
        <v>78</v>
      </c>
      <c r="AE187" s="9">
        <f t="shared" si="16"/>
        <v>3</v>
      </c>
      <c r="AF187" s="9" t="s">
        <v>71</v>
      </c>
      <c r="AG187" s="9">
        <f t="shared" si="17"/>
        <v>7.7</v>
      </c>
      <c r="AH187" s="9" t="s">
        <v>78</v>
      </c>
      <c r="AI187" s="9">
        <f t="shared" si="18"/>
        <v>3</v>
      </c>
      <c r="AJ187" s="9" t="s">
        <v>78</v>
      </c>
      <c r="AK187" s="9">
        <f t="shared" si="19"/>
        <v>3</v>
      </c>
      <c r="AL187" s="9" t="s">
        <v>78</v>
      </c>
      <c r="AM187" s="9">
        <f t="shared" si="20"/>
        <v>3</v>
      </c>
      <c r="AN187" s="9" t="s">
        <v>78</v>
      </c>
      <c r="AO187" s="9">
        <f t="shared" si="21"/>
        <v>3</v>
      </c>
      <c r="AP187" s="9" t="s">
        <v>78</v>
      </c>
      <c r="AQ187" s="9">
        <f t="shared" si="22"/>
        <v>3</v>
      </c>
      <c r="AR187" s="9" t="s">
        <v>78</v>
      </c>
      <c r="AS187" s="9">
        <f t="shared" si="23"/>
        <v>3</v>
      </c>
      <c r="AT187" s="9" t="s">
        <v>282</v>
      </c>
      <c r="AU187" s="9">
        <f t="shared" si="24"/>
        <v>1</v>
      </c>
      <c r="AV187" s="9">
        <f t="shared" si="25"/>
        <v>0</v>
      </c>
      <c r="AW187" s="9">
        <f t="shared" si="26"/>
        <v>1</v>
      </c>
      <c r="AX187" s="9">
        <f t="shared" si="27"/>
        <v>1</v>
      </c>
      <c r="AY187" s="9">
        <f t="shared" si="28"/>
        <v>1</v>
      </c>
      <c r="AZ187" s="9">
        <f t="shared" si="29"/>
        <v>0</v>
      </c>
      <c r="BA187" s="9">
        <f t="shared" si="30"/>
        <v>0</v>
      </c>
      <c r="BB187" s="9" t="s">
        <v>88</v>
      </c>
      <c r="BC187" s="9">
        <f t="shared" si="31"/>
        <v>2</v>
      </c>
      <c r="BD187" s="12"/>
      <c r="BE187" s="9" t="str">
        <f t="shared" si="46"/>
        <v>N/A</v>
      </c>
      <c r="BF187" s="9" t="s">
        <v>89</v>
      </c>
      <c r="BG187" s="9">
        <f t="shared" si="33"/>
        <v>1</v>
      </c>
      <c r="BH187" s="9">
        <f t="shared" si="34"/>
        <v>1</v>
      </c>
      <c r="BI187" s="9">
        <f t="shared" si="35"/>
        <v>1</v>
      </c>
      <c r="BJ187" s="9">
        <f t="shared" si="36"/>
        <v>1</v>
      </c>
      <c r="BK187" s="9">
        <f t="shared" si="37"/>
        <v>1</v>
      </c>
      <c r="BL187" s="9">
        <f t="shared" si="38"/>
        <v>1</v>
      </c>
      <c r="BM187" s="9">
        <f t="shared" si="39"/>
        <v>1</v>
      </c>
      <c r="BN187" s="9" t="s">
        <v>68</v>
      </c>
      <c r="BO187" s="11">
        <f t="shared" si="40"/>
        <v>1</v>
      </c>
    </row>
    <row r="188" ht="22.5" customHeight="1">
      <c r="A188" s="9">
        <f t="shared" si="41"/>
        <v>187</v>
      </c>
      <c r="B188" s="10">
        <v>46051.57787317129</v>
      </c>
      <c r="C188" s="9" t="s">
        <v>67</v>
      </c>
      <c r="D188" s="9">
        <f t="shared" si="1"/>
        <v>1</v>
      </c>
      <c r="E188" s="9" t="s">
        <v>68</v>
      </c>
      <c r="F188" s="9">
        <f t="shared" si="2"/>
        <v>1</v>
      </c>
      <c r="G188" s="9" t="s">
        <v>91</v>
      </c>
      <c r="H188" s="9" t="str">
        <f t="shared" si="3"/>
        <v>Urban</v>
      </c>
      <c r="I188" s="9">
        <f t="shared" si="4"/>
        <v>2</v>
      </c>
      <c r="J188" s="9" t="s">
        <v>70</v>
      </c>
      <c r="K188" s="9" t="s">
        <v>100</v>
      </c>
      <c r="L188" s="9">
        <f t="shared" si="5"/>
        <v>3</v>
      </c>
      <c r="M188" s="9" t="s">
        <v>101</v>
      </c>
      <c r="N188" s="9">
        <f t="shared" si="6"/>
        <v>2</v>
      </c>
      <c r="O188" s="9" t="s">
        <v>85</v>
      </c>
      <c r="P188" s="9">
        <f t="shared" si="7"/>
        <v>4</v>
      </c>
      <c r="Q188" s="9" t="s">
        <v>85</v>
      </c>
      <c r="R188" s="9">
        <f t="shared" si="8"/>
        <v>4</v>
      </c>
      <c r="S188" s="9" t="s">
        <v>85</v>
      </c>
      <c r="T188" s="9">
        <f t="shared" si="9"/>
        <v>4</v>
      </c>
      <c r="U188" s="9" t="s">
        <v>92</v>
      </c>
      <c r="V188" s="9">
        <f t="shared" si="10"/>
        <v>3.5</v>
      </c>
      <c r="W188" s="9" t="s">
        <v>86</v>
      </c>
      <c r="X188" s="9">
        <f t="shared" si="11"/>
        <v>1</v>
      </c>
      <c r="Y188" s="9">
        <f t="shared" si="12"/>
        <v>1</v>
      </c>
      <c r="Z188" s="9">
        <f t="shared" si="13"/>
        <v>1</v>
      </c>
      <c r="AA188" s="9">
        <f t="shared" si="14"/>
        <v>0</v>
      </c>
      <c r="AB188" s="9" t="s">
        <v>85</v>
      </c>
      <c r="AC188" s="9">
        <f t="shared" si="15"/>
        <v>4</v>
      </c>
      <c r="AD188" s="9" t="s">
        <v>85</v>
      </c>
      <c r="AE188" s="9">
        <f t="shared" si="16"/>
        <v>4</v>
      </c>
      <c r="AF188" s="9" t="s">
        <v>71</v>
      </c>
      <c r="AG188" s="9">
        <f t="shared" si="17"/>
        <v>7.7</v>
      </c>
      <c r="AH188" s="9" t="s">
        <v>85</v>
      </c>
      <c r="AI188" s="9">
        <f t="shared" si="18"/>
        <v>4</v>
      </c>
      <c r="AJ188" s="9" t="s">
        <v>73</v>
      </c>
      <c r="AK188" s="9">
        <f t="shared" si="19"/>
        <v>2</v>
      </c>
      <c r="AL188" s="9" t="s">
        <v>73</v>
      </c>
      <c r="AM188" s="9">
        <f t="shared" si="20"/>
        <v>2</v>
      </c>
      <c r="AN188" s="9" t="s">
        <v>85</v>
      </c>
      <c r="AO188" s="9">
        <f t="shared" si="21"/>
        <v>4</v>
      </c>
      <c r="AP188" s="9" t="s">
        <v>73</v>
      </c>
      <c r="AQ188" s="9">
        <f t="shared" si="22"/>
        <v>2</v>
      </c>
      <c r="AR188" s="9" t="s">
        <v>85</v>
      </c>
      <c r="AS188" s="9">
        <f t="shared" si="23"/>
        <v>4</v>
      </c>
      <c r="AT188" s="9" t="s">
        <v>165</v>
      </c>
      <c r="AU188" s="9">
        <f t="shared" si="24"/>
        <v>1</v>
      </c>
      <c r="AV188" s="9">
        <f t="shared" si="25"/>
        <v>1</v>
      </c>
      <c r="AW188" s="9">
        <f t="shared" si="26"/>
        <v>0</v>
      </c>
      <c r="AX188" s="9">
        <f t="shared" si="27"/>
        <v>1</v>
      </c>
      <c r="AY188" s="9">
        <f t="shared" si="28"/>
        <v>1</v>
      </c>
      <c r="AZ188" s="9">
        <f t="shared" si="29"/>
        <v>1</v>
      </c>
      <c r="BA188" s="9">
        <f t="shared" si="30"/>
        <v>1</v>
      </c>
      <c r="BB188" s="9" t="s">
        <v>88</v>
      </c>
      <c r="BC188" s="9">
        <f t="shared" si="31"/>
        <v>2</v>
      </c>
      <c r="BD188" s="12"/>
      <c r="BE188" s="9" t="str">
        <f t="shared" si="46"/>
        <v>N/A</v>
      </c>
      <c r="BF188" s="9" t="s">
        <v>166</v>
      </c>
      <c r="BG188" s="9">
        <f t="shared" si="33"/>
        <v>1</v>
      </c>
      <c r="BH188" s="9">
        <f t="shared" si="34"/>
        <v>0</v>
      </c>
      <c r="BI188" s="9">
        <f t="shared" si="35"/>
        <v>1</v>
      </c>
      <c r="BJ188" s="9">
        <f t="shared" si="36"/>
        <v>1</v>
      </c>
      <c r="BK188" s="9">
        <f t="shared" si="37"/>
        <v>1</v>
      </c>
      <c r="BL188" s="9">
        <f t="shared" si="38"/>
        <v>1</v>
      </c>
      <c r="BM188" s="9">
        <f t="shared" si="39"/>
        <v>1</v>
      </c>
      <c r="BN188" s="9" t="s">
        <v>68</v>
      </c>
      <c r="BO188" s="11">
        <f t="shared" si="40"/>
        <v>1</v>
      </c>
    </row>
    <row r="189" ht="22.5" customHeight="1">
      <c r="A189" s="9">
        <f t="shared" si="41"/>
        <v>188</v>
      </c>
      <c r="B189" s="10">
        <v>46051.63697265046</v>
      </c>
      <c r="C189" s="9" t="s">
        <v>90</v>
      </c>
      <c r="D189" s="9">
        <f t="shared" si="1"/>
        <v>2</v>
      </c>
      <c r="E189" s="9" t="s">
        <v>68</v>
      </c>
      <c r="F189" s="9">
        <f t="shared" si="2"/>
        <v>1</v>
      </c>
      <c r="G189" s="9" t="s">
        <v>82</v>
      </c>
      <c r="H189" s="9" t="str">
        <f t="shared" si="3"/>
        <v>Urban</v>
      </c>
      <c r="I189" s="9">
        <f t="shared" si="4"/>
        <v>2</v>
      </c>
      <c r="J189" s="9" t="s">
        <v>70</v>
      </c>
      <c r="K189" s="9" t="s">
        <v>100</v>
      </c>
      <c r="L189" s="9">
        <f t="shared" si="5"/>
        <v>3</v>
      </c>
      <c r="M189" s="9" t="s">
        <v>76</v>
      </c>
      <c r="N189" s="9">
        <f t="shared" si="6"/>
        <v>5.5</v>
      </c>
      <c r="O189" s="9" t="s">
        <v>78</v>
      </c>
      <c r="P189" s="9">
        <f t="shared" si="7"/>
        <v>3</v>
      </c>
      <c r="Q189" s="9" t="s">
        <v>78</v>
      </c>
      <c r="R189" s="9">
        <f t="shared" si="8"/>
        <v>3</v>
      </c>
      <c r="S189" s="12"/>
      <c r="T189" s="9" t="str">
        <f t="shared" si="9"/>
        <v>N/A</v>
      </c>
      <c r="U189" s="9" t="s">
        <v>92</v>
      </c>
      <c r="V189" s="9">
        <f t="shared" si="10"/>
        <v>3.5</v>
      </c>
      <c r="W189" s="9" t="s">
        <v>86</v>
      </c>
      <c r="X189" s="9">
        <f t="shared" si="11"/>
        <v>1</v>
      </c>
      <c r="Y189" s="9">
        <f t="shared" si="12"/>
        <v>1</v>
      </c>
      <c r="Z189" s="9">
        <f t="shared" si="13"/>
        <v>1</v>
      </c>
      <c r="AA189" s="9">
        <f t="shared" si="14"/>
        <v>0</v>
      </c>
      <c r="AB189" s="9" t="s">
        <v>78</v>
      </c>
      <c r="AC189" s="9">
        <f t="shared" si="15"/>
        <v>3</v>
      </c>
      <c r="AD189" s="9" t="s">
        <v>78</v>
      </c>
      <c r="AE189" s="9">
        <f t="shared" si="16"/>
        <v>3</v>
      </c>
      <c r="AF189" s="9" t="s">
        <v>71</v>
      </c>
      <c r="AG189" s="9">
        <f t="shared" si="17"/>
        <v>7.7</v>
      </c>
      <c r="AH189" s="9" t="s">
        <v>78</v>
      </c>
      <c r="AI189" s="9">
        <f t="shared" si="18"/>
        <v>3</v>
      </c>
      <c r="AJ189" s="9" t="s">
        <v>73</v>
      </c>
      <c r="AK189" s="9">
        <f t="shared" si="19"/>
        <v>2</v>
      </c>
      <c r="AL189" s="9" t="s">
        <v>73</v>
      </c>
      <c r="AM189" s="9">
        <f t="shared" si="20"/>
        <v>2</v>
      </c>
      <c r="AN189" s="9" t="s">
        <v>73</v>
      </c>
      <c r="AO189" s="9">
        <f t="shared" si="21"/>
        <v>2</v>
      </c>
      <c r="AP189" s="9" t="s">
        <v>78</v>
      </c>
      <c r="AQ189" s="9">
        <f t="shared" si="22"/>
        <v>3</v>
      </c>
      <c r="AR189" s="9" t="s">
        <v>78</v>
      </c>
      <c r="AS189" s="9">
        <f t="shared" si="23"/>
        <v>3</v>
      </c>
      <c r="AT189" s="9" t="s">
        <v>132</v>
      </c>
      <c r="AU189" s="9">
        <f t="shared" si="24"/>
        <v>0</v>
      </c>
      <c r="AV189" s="9">
        <f t="shared" si="25"/>
        <v>0</v>
      </c>
      <c r="AW189" s="9">
        <f t="shared" si="26"/>
        <v>0</v>
      </c>
      <c r="AX189" s="9">
        <f t="shared" si="27"/>
        <v>0</v>
      </c>
      <c r="AY189" s="9">
        <f t="shared" si="28"/>
        <v>0</v>
      </c>
      <c r="AZ189" s="9">
        <f t="shared" si="29"/>
        <v>0</v>
      </c>
      <c r="BA189" s="9">
        <f t="shared" si="30"/>
        <v>1</v>
      </c>
      <c r="BB189" s="9" t="s">
        <v>88</v>
      </c>
      <c r="BC189" s="9">
        <f t="shared" si="31"/>
        <v>2</v>
      </c>
      <c r="BD189" s="12"/>
      <c r="BE189" s="9" t="str">
        <f t="shared" si="46"/>
        <v>N/A</v>
      </c>
      <c r="BF189" s="9" t="s">
        <v>150</v>
      </c>
      <c r="BG189" s="9">
        <f t="shared" si="33"/>
        <v>0</v>
      </c>
      <c r="BH189" s="9">
        <f t="shared" si="34"/>
        <v>0</v>
      </c>
      <c r="BI189" s="9">
        <f t="shared" si="35"/>
        <v>0</v>
      </c>
      <c r="BJ189" s="9">
        <f t="shared" si="36"/>
        <v>0</v>
      </c>
      <c r="BK189" s="9">
        <f t="shared" si="37"/>
        <v>1</v>
      </c>
      <c r="BL189" s="9">
        <f t="shared" si="38"/>
        <v>0</v>
      </c>
      <c r="BM189" s="9">
        <f t="shared" si="39"/>
        <v>0</v>
      </c>
      <c r="BN189" s="9" t="s">
        <v>108</v>
      </c>
      <c r="BO189" s="11">
        <f t="shared" si="40"/>
        <v>3</v>
      </c>
    </row>
    <row r="190" ht="22.5" customHeight="1">
      <c r="A190" s="9">
        <f t="shared" si="41"/>
        <v>189</v>
      </c>
      <c r="B190" s="10">
        <v>46051.683741597226</v>
      </c>
      <c r="C190" s="9" t="s">
        <v>90</v>
      </c>
      <c r="D190" s="9">
        <f t="shared" si="1"/>
        <v>2</v>
      </c>
      <c r="E190" s="9" t="s">
        <v>68</v>
      </c>
      <c r="F190" s="9">
        <f t="shared" si="2"/>
        <v>1</v>
      </c>
      <c r="G190" s="9" t="s">
        <v>69</v>
      </c>
      <c r="H190" s="9" t="str">
        <f t="shared" si="3"/>
        <v>Rural</v>
      </c>
      <c r="I190" s="9">
        <f t="shared" si="4"/>
        <v>1</v>
      </c>
      <c r="J190" s="9" t="s">
        <v>70</v>
      </c>
      <c r="K190" s="9" t="s">
        <v>100</v>
      </c>
      <c r="L190" s="9">
        <f t="shared" si="5"/>
        <v>3</v>
      </c>
      <c r="M190" s="9" t="s">
        <v>101</v>
      </c>
      <c r="N190" s="9">
        <f t="shared" si="6"/>
        <v>2</v>
      </c>
      <c r="O190" s="9" t="s">
        <v>78</v>
      </c>
      <c r="P190" s="9">
        <f t="shared" si="7"/>
        <v>3</v>
      </c>
      <c r="Q190" s="9" t="s">
        <v>78</v>
      </c>
      <c r="R190" s="9">
        <f t="shared" si="8"/>
        <v>3</v>
      </c>
      <c r="S190" s="9" t="s">
        <v>72</v>
      </c>
      <c r="T190" s="9">
        <f t="shared" si="9"/>
        <v>1</v>
      </c>
      <c r="U190" s="9" t="s">
        <v>92</v>
      </c>
      <c r="V190" s="9">
        <f t="shared" si="10"/>
        <v>3.5</v>
      </c>
      <c r="W190" s="9" t="s">
        <v>86</v>
      </c>
      <c r="X190" s="9">
        <f t="shared" si="11"/>
        <v>1</v>
      </c>
      <c r="Y190" s="9">
        <f t="shared" si="12"/>
        <v>1</v>
      </c>
      <c r="Z190" s="9">
        <f t="shared" si="13"/>
        <v>1</v>
      </c>
      <c r="AA190" s="9">
        <f t="shared" si="14"/>
        <v>0</v>
      </c>
      <c r="AB190" s="9" t="s">
        <v>78</v>
      </c>
      <c r="AC190" s="9">
        <f t="shared" si="15"/>
        <v>3</v>
      </c>
      <c r="AD190" s="9" t="s">
        <v>72</v>
      </c>
      <c r="AE190" s="9">
        <f t="shared" si="16"/>
        <v>1</v>
      </c>
      <c r="AF190" s="9" t="s">
        <v>109</v>
      </c>
      <c r="AG190" s="9">
        <f t="shared" si="17"/>
        <v>9</v>
      </c>
      <c r="AH190" s="9" t="s">
        <v>85</v>
      </c>
      <c r="AI190" s="9">
        <f t="shared" si="18"/>
        <v>4</v>
      </c>
      <c r="AJ190" s="9" t="s">
        <v>73</v>
      </c>
      <c r="AK190" s="9">
        <f t="shared" si="19"/>
        <v>2</v>
      </c>
      <c r="AL190" s="9" t="s">
        <v>73</v>
      </c>
      <c r="AM190" s="9">
        <f t="shared" si="20"/>
        <v>2</v>
      </c>
      <c r="AN190" s="9" t="s">
        <v>73</v>
      </c>
      <c r="AO190" s="9">
        <f t="shared" si="21"/>
        <v>2</v>
      </c>
      <c r="AP190" s="9" t="s">
        <v>78</v>
      </c>
      <c r="AQ190" s="9">
        <f t="shared" si="22"/>
        <v>3</v>
      </c>
      <c r="AR190" s="9" t="s">
        <v>78</v>
      </c>
      <c r="AS190" s="9">
        <f t="shared" si="23"/>
        <v>3</v>
      </c>
      <c r="AT190" s="9" t="s">
        <v>283</v>
      </c>
      <c r="AU190" s="9">
        <f t="shared" si="24"/>
        <v>1</v>
      </c>
      <c r="AV190" s="9">
        <f t="shared" si="25"/>
        <v>0</v>
      </c>
      <c r="AW190" s="9">
        <f t="shared" si="26"/>
        <v>0</v>
      </c>
      <c r="AX190" s="9">
        <f t="shared" si="27"/>
        <v>1</v>
      </c>
      <c r="AY190" s="9">
        <f t="shared" si="28"/>
        <v>1</v>
      </c>
      <c r="AZ190" s="9">
        <f t="shared" si="29"/>
        <v>0</v>
      </c>
      <c r="BA190" s="9">
        <f t="shared" si="30"/>
        <v>0</v>
      </c>
      <c r="BB190" s="9" t="s">
        <v>88</v>
      </c>
      <c r="BC190" s="9">
        <f t="shared" si="31"/>
        <v>2</v>
      </c>
      <c r="BD190" s="12"/>
      <c r="BE190" s="9" t="str">
        <f t="shared" si="46"/>
        <v>N/A</v>
      </c>
      <c r="BF190" s="9" t="s">
        <v>249</v>
      </c>
      <c r="BG190" s="9">
        <f t="shared" si="33"/>
        <v>1</v>
      </c>
      <c r="BH190" s="9">
        <f t="shared" si="34"/>
        <v>0</v>
      </c>
      <c r="BI190" s="9">
        <f t="shared" si="35"/>
        <v>1</v>
      </c>
      <c r="BJ190" s="9">
        <f t="shared" si="36"/>
        <v>0</v>
      </c>
      <c r="BK190" s="9">
        <f t="shared" si="37"/>
        <v>0</v>
      </c>
      <c r="BL190" s="9">
        <f t="shared" si="38"/>
        <v>0</v>
      </c>
      <c r="BM190" s="9">
        <f t="shared" si="39"/>
        <v>1</v>
      </c>
      <c r="BN190" s="9" t="s">
        <v>108</v>
      </c>
      <c r="BO190" s="11">
        <f t="shared" si="40"/>
        <v>3</v>
      </c>
    </row>
    <row r="191" ht="22.5" customHeight="1">
      <c r="A191" s="9">
        <f t="shared" si="41"/>
        <v>190</v>
      </c>
      <c r="B191" s="10">
        <v>46051.68649533565</v>
      </c>
      <c r="C191" s="9" t="s">
        <v>90</v>
      </c>
      <c r="D191" s="9">
        <f t="shared" si="1"/>
        <v>2</v>
      </c>
      <c r="E191" s="9" t="s">
        <v>68</v>
      </c>
      <c r="F191" s="9">
        <f t="shared" si="2"/>
        <v>1</v>
      </c>
      <c r="G191" s="9" t="s">
        <v>91</v>
      </c>
      <c r="H191" s="9" t="str">
        <f t="shared" si="3"/>
        <v>Urban</v>
      </c>
      <c r="I191" s="9">
        <f t="shared" si="4"/>
        <v>2</v>
      </c>
      <c r="J191" s="9" t="s">
        <v>70</v>
      </c>
      <c r="K191" s="9" t="s">
        <v>100</v>
      </c>
      <c r="L191" s="9">
        <f t="shared" si="5"/>
        <v>3</v>
      </c>
      <c r="M191" s="9" t="s">
        <v>109</v>
      </c>
      <c r="N191" s="9">
        <f t="shared" si="6"/>
        <v>9</v>
      </c>
      <c r="O191" s="9" t="s">
        <v>85</v>
      </c>
      <c r="P191" s="9">
        <f t="shared" si="7"/>
        <v>4</v>
      </c>
      <c r="Q191" s="9" t="s">
        <v>85</v>
      </c>
      <c r="R191" s="9">
        <f t="shared" si="8"/>
        <v>4</v>
      </c>
      <c r="S191" s="9" t="s">
        <v>85</v>
      </c>
      <c r="T191" s="9">
        <f t="shared" si="9"/>
        <v>4</v>
      </c>
      <c r="U191" s="9" t="s">
        <v>92</v>
      </c>
      <c r="V191" s="9">
        <f t="shared" si="10"/>
        <v>3.5</v>
      </c>
      <c r="W191" s="9" t="s">
        <v>105</v>
      </c>
      <c r="X191" s="9">
        <f t="shared" si="11"/>
        <v>1</v>
      </c>
      <c r="Y191" s="9">
        <f t="shared" si="12"/>
        <v>1</v>
      </c>
      <c r="Z191" s="9">
        <f t="shared" si="13"/>
        <v>0</v>
      </c>
      <c r="AA191" s="9">
        <f t="shared" si="14"/>
        <v>0</v>
      </c>
      <c r="AB191" s="9" t="s">
        <v>73</v>
      </c>
      <c r="AC191" s="9">
        <f t="shared" si="15"/>
        <v>2</v>
      </c>
      <c r="AD191" s="9" t="s">
        <v>73</v>
      </c>
      <c r="AE191" s="9">
        <f t="shared" si="16"/>
        <v>2</v>
      </c>
      <c r="AF191" s="9" t="s">
        <v>71</v>
      </c>
      <c r="AG191" s="9">
        <f t="shared" si="17"/>
        <v>7.7</v>
      </c>
      <c r="AH191" s="9" t="s">
        <v>85</v>
      </c>
      <c r="AI191" s="9">
        <f t="shared" si="18"/>
        <v>4</v>
      </c>
      <c r="AJ191" s="9" t="s">
        <v>85</v>
      </c>
      <c r="AK191" s="9">
        <f t="shared" si="19"/>
        <v>4</v>
      </c>
      <c r="AL191" s="9" t="s">
        <v>85</v>
      </c>
      <c r="AM191" s="9">
        <f t="shared" si="20"/>
        <v>4</v>
      </c>
      <c r="AN191" s="9" t="s">
        <v>85</v>
      </c>
      <c r="AO191" s="9">
        <f t="shared" si="21"/>
        <v>4</v>
      </c>
      <c r="AP191" s="9" t="s">
        <v>85</v>
      </c>
      <c r="AQ191" s="9">
        <f t="shared" si="22"/>
        <v>4</v>
      </c>
      <c r="AR191" s="9" t="s">
        <v>85</v>
      </c>
      <c r="AS191" s="9">
        <f t="shared" si="23"/>
        <v>4</v>
      </c>
      <c r="AT191" s="9" t="s">
        <v>284</v>
      </c>
      <c r="AU191" s="9">
        <f t="shared" si="24"/>
        <v>1</v>
      </c>
      <c r="AV191" s="9">
        <f t="shared" si="25"/>
        <v>1</v>
      </c>
      <c r="AW191" s="9">
        <f t="shared" si="26"/>
        <v>1</v>
      </c>
      <c r="AX191" s="9">
        <f t="shared" si="27"/>
        <v>0</v>
      </c>
      <c r="AY191" s="9">
        <f t="shared" si="28"/>
        <v>0</v>
      </c>
      <c r="AZ191" s="9">
        <f t="shared" si="29"/>
        <v>0</v>
      </c>
      <c r="BA191" s="9">
        <f t="shared" si="30"/>
        <v>0</v>
      </c>
      <c r="BB191" s="9" t="s">
        <v>88</v>
      </c>
      <c r="BC191" s="9">
        <f t="shared" si="31"/>
        <v>2</v>
      </c>
      <c r="BD191" s="12"/>
      <c r="BE191" s="9" t="str">
        <f t="shared" si="46"/>
        <v>N/A</v>
      </c>
      <c r="BF191" s="9" t="s">
        <v>285</v>
      </c>
      <c r="BG191" s="9">
        <f t="shared" si="33"/>
        <v>0</v>
      </c>
      <c r="BH191" s="9">
        <f t="shared" si="34"/>
        <v>0</v>
      </c>
      <c r="BI191" s="9">
        <f t="shared" si="35"/>
        <v>1</v>
      </c>
      <c r="BJ191" s="9">
        <f t="shared" si="36"/>
        <v>1</v>
      </c>
      <c r="BK191" s="9">
        <f t="shared" si="37"/>
        <v>1</v>
      </c>
      <c r="BL191" s="9">
        <f t="shared" si="38"/>
        <v>1</v>
      </c>
      <c r="BM191" s="9">
        <f t="shared" si="39"/>
        <v>0</v>
      </c>
      <c r="BN191" s="9" t="s">
        <v>68</v>
      </c>
      <c r="BO191" s="11">
        <f t="shared" si="40"/>
        <v>1</v>
      </c>
    </row>
    <row r="192" ht="22.5" customHeight="1">
      <c r="A192" s="9">
        <f t="shared" si="41"/>
        <v>191</v>
      </c>
      <c r="B192" s="10">
        <v>46051.690599305555</v>
      </c>
      <c r="C192" s="9" t="s">
        <v>67</v>
      </c>
      <c r="D192" s="9">
        <f t="shared" si="1"/>
        <v>1</v>
      </c>
      <c r="E192" s="9" t="s">
        <v>68</v>
      </c>
      <c r="F192" s="9">
        <f t="shared" si="2"/>
        <v>1</v>
      </c>
      <c r="G192" s="9" t="s">
        <v>69</v>
      </c>
      <c r="H192" s="9" t="str">
        <f t="shared" si="3"/>
        <v>Rural</v>
      </c>
      <c r="I192" s="9">
        <f t="shared" si="4"/>
        <v>1</v>
      </c>
      <c r="J192" s="9" t="s">
        <v>83</v>
      </c>
      <c r="K192" s="9" t="s">
        <v>84</v>
      </c>
      <c r="L192" s="9">
        <f t="shared" si="5"/>
        <v>2</v>
      </c>
      <c r="M192" s="9" t="s">
        <v>76</v>
      </c>
      <c r="N192" s="9">
        <f t="shared" si="6"/>
        <v>5.5</v>
      </c>
      <c r="O192" s="9" t="s">
        <v>73</v>
      </c>
      <c r="P192" s="9">
        <f t="shared" si="7"/>
        <v>2</v>
      </c>
      <c r="Q192" s="9" t="s">
        <v>78</v>
      </c>
      <c r="R192" s="9">
        <f t="shared" si="8"/>
        <v>3</v>
      </c>
      <c r="S192" s="9" t="s">
        <v>78</v>
      </c>
      <c r="T192" s="9">
        <f t="shared" si="9"/>
        <v>3</v>
      </c>
      <c r="U192" s="9" t="s">
        <v>110</v>
      </c>
      <c r="V192" s="9">
        <f t="shared" si="10"/>
        <v>0.75</v>
      </c>
      <c r="W192" s="9" t="s">
        <v>174</v>
      </c>
      <c r="X192" s="9">
        <f t="shared" si="11"/>
        <v>1</v>
      </c>
      <c r="Y192" s="9">
        <f t="shared" si="12"/>
        <v>1</v>
      </c>
      <c r="Z192" s="9">
        <f t="shared" si="13"/>
        <v>1</v>
      </c>
      <c r="AA192" s="9">
        <f t="shared" si="14"/>
        <v>1</v>
      </c>
      <c r="AB192" s="9" t="s">
        <v>73</v>
      </c>
      <c r="AC192" s="9">
        <f t="shared" si="15"/>
        <v>2</v>
      </c>
      <c r="AD192" s="9" t="s">
        <v>78</v>
      </c>
      <c r="AE192" s="9">
        <f t="shared" si="16"/>
        <v>3</v>
      </c>
      <c r="AF192" s="9" t="s">
        <v>71</v>
      </c>
      <c r="AG192" s="9">
        <f t="shared" si="17"/>
        <v>7.7</v>
      </c>
      <c r="AH192" s="9" t="s">
        <v>78</v>
      </c>
      <c r="AI192" s="9">
        <f t="shared" si="18"/>
        <v>3</v>
      </c>
      <c r="AJ192" s="9" t="s">
        <v>73</v>
      </c>
      <c r="AK192" s="9">
        <f t="shared" si="19"/>
        <v>2</v>
      </c>
      <c r="AL192" s="9" t="s">
        <v>120</v>
      </c>
      <c r="AM192" s="9">
        <f t="shared" si="20"/>
        <v>5</v>
      </c>
      <c r="AN192" s="9" t="s">
        <v>120</v>
      </c>
      <c r="AO192" s="9">
        <f t="shared" si="21"/>
        <v>5</v>
      </c>
      <c r="AP192" s="9" t="s">
        <v>85</v>
      </c>
      <c r="AQ192" s="9">
        <f t="shared" si="22"/>
        <v>4</v>
      </c>
      <c r="AR192" s="9" t="s">
        <v>73</v>
      </c>
      <c r="AS192" s="9">
        <f t="shared" si="23"/>
        <v>2</v>
      </c>
      <c r="AT192" s="9" t="s">
        <v>286</v>
      </c>
      <c r="AU192" s="9">
        <f t="shared" si="24"/>
        <v>0</v>
      </c>
      <c r="AV192" s="9">
        <f t="shared" si="25"/>
        <v>0</v>
      </c>
      <c r="AW192" s="9">
        <f t="shared" si="26"/>
        <v>0</v>
      </c>
      <c r="AX192" s="9">
        <f t="shared" si="27"/>
        <v>0</v>
      </c>
      <c r="AY192" s="9">
        <f t="shared" si="28"/>
        <v>0</v>
      </c>
      <c r="AZ192" s="9">
        <f t="shared" si="29"/>
        <v>0</v>
      </c>
      <c r="BA192" s="9">
        <f t="shared" si="30"/>
        <v>0</v>
      </c>
      <c r="BB192" s="9" t="s">
        <v>88</v>
      </c>
      <c r="BC192" s="9">
        <f t="shared" si="31"/>
        <v>2</v>
      </c>
      <c r="BD192" s="12"/>
      <c r="BE192" s="9" t="str">
        <f t="shared" si="46"/>
        <v>N/A</v>
      </c>
      <c r="BF192" s="9" t="s">
        <v>113</v>
      </c>
      <c r="BG192" s="9">
        <f t="shared" si="33"/>
        <v>0</v>
      </c>
      <c r="BH192" s="9">
        <f t="shared" si="34"/>
        <v>0</v>
      </c>
      <c r="BI192" s="9">
        <f t="shared" si="35"/>
        <v>0</v>
      </c>
      <c r="BJ192" s="9">
        <f t="shared" si="36"/>
        <v>0</v>
      </c>
      <c r="BK192" s="9">
        <f t="shared" si="37"/>
        <v>0</v>
      </c>
      <c r="BL192" s="9">
        <f t="shared" si="38"/>
        <v>0</v>
      </c>
      <c r="BM192" s="9">
        <f t="shared" si="39"/>
        <v>1</v>
      </c>
      <c r="BN192" s="9" t="s">
        <v>108</v>
      </c>
      <c r="BO192" s="11">
        <f t="shared" si="40"/>
        <v>3</v>
      </c>
    </row>
    <row r="193" ht="22.5" customHeight="1">
      <c r="A193" s="9">
        <f t="shared" si="41"/>
        <v>192</v>
      </c>
      <c r="B193" s="10">
        <v>46051.72209106482</v>
      </c>
      <c r="C193" s="9" t="s">
        <v>67</v>
      </c>
      <c r="D193" s="9">
        <f t="shared" si="1"/>
        <v>1</v>
      </c>
      <c r="E193" s="9" t="s">
        <v>68</v>
      </c>
      <c r="F193" s="9">
        <f t="shared" si="2"/>
        <v>1</v>
      </c>
      <c r="G193" s="9" t="s">
        <v>82</v>
      </c>
      <c r="H193" s="9" t="str">
        <f t="shared" si="3"/>
        <v>Urban</v>
      </c>
      <c r="I193" s="9">
        <f t="shared" si="4"/>
        <v>2</v>
      </c>
      <c r="J193" s="9" t="s">
        <v>83</v>
      </c>
      <c r="K193" s="9" t="s">
        <v>84</v>
      </c>
      <c r="L193" s="9">
        <f t="shared" si="5"/>
        <v>2</v>
      </c>
      <c r="M193" s="9" t="s">
        <v>71</v>
      </c>
      <c r="N193" s="9">
        <f t="shared" si="6"/>
        <v>7.7</v>
      </c>
      <c r="O193" s="9" t="s">
        <v>78</v>
      </c>
      <c r="P193" s="9">
        <f t="shared" si="7"/>
        <v>3</v>
      </c>
      <c r="Q193" s="9" t="s">
        <v>78</v>
      </c>
      <c r="R193" s="9">
        <f t="shared" si="8"/>
        <v>3</v>
      </c>
      <c r="S193" s="9" t="s">
        <v>78</v>
      </c>
      <c r="T193" s="9">
        <f t="shared" si="9"/>
        <v>3</v>
      </c>
      <c r="U193" s="9" t="s">
        <v>96</v>
      </c>
      <c r="V193" s="9">
        <f t="shared" si="10"/>
        <v>2.5</v>
      </c>
      <c r="W193" s="9" t="s">
        <v>180</v>
      </c>
      <c r="X193" s="9">
        <f t="shared" si="11"/>
        <v>0</v>
      </c>
      <c r="Y193" s="9">
        <f t="shared" si="12"/>
        <v>1</v>
      </c>
      <c r="Z193" s="9">
        <f t="shared" si="13"/>
        <v>1</v>
      </c>
      <c r="AA193" s="9">
        <f t="shared" si="14"/>
        <v>0</v>
      </c>
      <c r="AB193" s="9" t="s">
        <v>73</v>
      </c>
      <c r="AC193" s="9">
        <f t="shared" si="15"/>
        <v>2</v>
      </c>
      <c r="AD193" s="9" t="s">
        <v>73</v>
      </c>
      <c r="AE193" s="9">
        <f t="shared" si="16"/>
        <v>2</v>
      </c>
      <c r="AF193" s="9" t="s">
        <v>76</v>
      </c>
      <c r="AG193" s="9">
        <f t="shared" si="17"/>
        <v>5.5</v>
      </c>
      <c r="AH193" s="9" t="s">
        <v>73</v>
      </c>
      <c r="AI193" s="9">
        <f t="shared" si="18"/>
        <v>2</v>
      </c>
      <c r="AJ193" s="9" t="s">
        <v>73</v>
      </c>
      <c r="AK193" s="9">
        <f t="shared" si="19"/>
        <v>2</v>
      </c>
      <c r="AL193" s="9" t="s">
        <v>73</v>
      </c>
      <c r="AM193" s="9">
        <f t="shared" si="20"/>
        <v>2</v>
      </c>
      <c r="AN193" s="9" t="s">
        <v>73</v>
      </c>
      <c r="AO193" s="9">
        <f t="shared" si="21"/>
        <v>2</v>
      </c>
      <c r="AP193" s="9" t="s">
        <v>78</v>
      </c>
      <c r="AQ193" s="9">
        <f t="shared" si="22"/>
        <v>3</v>
      </c>
      <c r="AR193" s="9" t="s">
        <v>78</v>
      </c>
      <c r="AS193" s="9">
        <f t="shared" si="23"/>
        <v>3</v>
      </c>
      <c r="AT193" s="9" t="s">
        <v>247</v>
      </c>
      <c r="AU193" s="9">
        <f t="shared" si="24"/>
        <v>1</v>
      </c>
      <c r="AV193" s="9">
        <f t="shared" si="25"/>
        <v>0</v>
      </c>
      <c r="AW193" s="9">
        <f t="shared" si="26"/>
        <v>0</v>
      </c>
      <c r="AX193" s="9">
        <f t="shared" si="27"/>
        <v>0</v>
      </c>
      <c r="AY193" s="9">
        <f t="shared" si="28"/>
        <v>0</v>
      </c>
      <c r="AZ193" s="9">
        <f t="shared" si="29"/>
        <v>0</v>
      </c>
      <c r="BA193" s="9">
        <f t="shared" si="30"/>
        <v>0</v>
      </c>
      <c r="BB193" s="9" t="s">
        <v>88</v>
      </c>
      <c r="BC193" s="9">
        <f t="shared" si="31"/>
        <v>2</v>
      </c>
      <c r="BD193" s="12"/>
      <c r="BE193" s="9" t="str">
        <f t="shared" si="46"/>
        <v>N/A</v>
      </c>
      <c r="BF193" s="9" t="s">
        <v>185</v>
      </c>
      <c r="BG193" s="9">
        <f t="shared" si="33"/>
        <v>1</v>
      </c>
      <c r="BH193" s="9">
        <f t="shared" si="34"/>
        <v>1</v>
      </c>
      <c r="BI193" s="9">
        <f t="shared" si="35"/>
        <v>0</v>
      </c>
      <c r="BJ193" s="9">
        <f t="shared" si="36"/>
        <v>0</v>
      </c>
      <c r="BK193" s="9">
        <f t="shared" si="37"/>
        <v>0</v>
      </c>
      <c r="BL193" s="9">
        <f t="shared" si="38"/>
        <v>0</v>
      </c>
      <c r="BM193" s="9">
        <f t="shared" si="39"/>
        <v>1</v>
      </c>
      <c r="BN193" s="9" t="s">
        <v>68</v>
      </c>
      <c r="BO193" s="11">
        <f t="shared" si="40"/>
        <v>1</v>
      </c>
    </row>
    <row r="194" ht="22.5" customHeight="1">
      <c r="A194" s="9">
        <f t="shared" si="41"/>
        <v>193</v>
      </c>
      <c r="B194" s="10">
        <v>46051.7238584838</v>
      </c>
      <c r="C194" s="9" t="s">
        <v>67</v>
      </c>
      <c r="D194" s="9">
        <f t="shared" si="1"/>
        <v>1</v>
      </c>
      <c r="E194" s="9" t="s">
        <v>68</v>
      </c>
      <c r="F194" s="9">
        <f t="shared" si="2"/>
        <v>1</v>
      </c>
      <c r="G194" s="9" t="s">
        <v>91</v>
      </c>
      <c r="H194" s="9" t="str">
        <f t="shared" si="3"/>
        <v>Urban</v>
      </c>
      <c r="I194" s="9">
        <f t="shared" si="4"/>
        <v>2</v>
      </c>
      <c r="J194" s="9" t="s">
        <v>83</v>
      </c>
      <c r="K194" s="9" t="s">
        <v>84</v>
      </c>
      <c r="L194" s="9">
        <f t="shared" si="5"/>
        <v>2</v>
      </c>
      <c r="M194" s="9" t="s">
        <v>71</v>
      </c>
      <c r="N194" s="9">
        <f t="shared" si="6"/>
        <v>7.7</v>
      </c>
      <c r="O194" s="9" t="s">
        <v>78</v>
      </c>
      <c r="P194" s="9">
        <f t="shared" si="7"/>
        <v>3</v>
      </c>
      <c r="Q194" s="9" t="s">
        <v>78</v>
      </c>
      <c r="R194" s="9">
        <f t="shared" si="8"/>
        <v>3</v>
      </c>
      <c r="S194" s="9" t="s">
        <v>72</v>
      </c>
      <c r="T194" s="9">
        <f t="shared" si="9"/>
        <v>1</v>
      </c>
      <c r="U194" s="9" t="s">
        <v>110</v>
      </c>
      <c r="V194" s="9">
        <f t="shared" si="10"/>
        <v>0.75</v>
      </c>
      <c r="W194" s="9" t="s">
        <v>93</v>
      </c>
      <c r="X194" s="9">
        <f t="shared" si="11"/>
        <v>0</v>
      </c>
      <c r="Y194" s="9">
        <f t="shared" si="12"/>
        <v>1</v>
      </c>
      <c r="Z194" s="9">
        <f t="shared" si="13"/>
        <v>0</v>
      </c>
      <c r="AA194" s="9">
        <f t="shared" si="14"/>
        <v>0</v>
      </c>
      <c r="AB194" s="9" t="s">
        <v>73</v>
      </c>
      <c r="AC194" s="9">
        <f t="shared" si="15"/>
        <v>2</v>
      </c>
      <c r="AD194" s="9" t="s">
        <v>73</v>
      </c>
      <c r="AE194" s="9">
        <f t="shared" si="16"/>
        <v>2</v>
      </c>
      <c r="AF194" s="9" t="s">
        <v>71</v>
      </c>
      <c r="AG194" s="9">
        <f t="shared" si="17"/>
        <v>7.7</v>
      </c>
      <c r="AH194" s="9" t="s">
        <v>85</v>
      </c>
      <c r="AI194" s="9">
        <f t="shared" si="18"/>
        <v>4</v>
      </c>
      <c r="AJ194" s="9" t="s">
        <v>77</v>
      </c>
      <c r="AK194" s="9">
        <f t="shared" si="19"/>
        <v>1</v>
      </c>
      <c r="AL194" s="9" t="s">
        <v>77</v>
      </c>
      <c r="AM194" s="9">
        <f t="shared" si="20"/>
        <v>1</v>
      </c>
      <c r="AN194" s="9" t="s">
        <v>78</v>
      </c>
      <c r="AO194" s="9">
        <f t="shared" si="21"/>
        <v>3</v>
      </c>
      <c r="AP194" s="9" t="s">
        <v>77</v>
      </c>
      <c r="AQ194" s="9">
        <f t="shared" si="22"/>
        <v>1</v>
      </c>
      <c r="AR194" s="9" t="s">
        <v>77</v>
      </c>
      <c r="AS194" s="9">
        <f t="shared" si="23"/>
        <v>1</v>
      </c>
      <c r="AT194" s="9" t="s">
        <v>208</v>
      </c>
      <c r="AU194" s="9">
        <f t="shared" si="24"/>
        <v>0</v>
      </c>
      <c r="AV194" s="9">
        <f t="shared" si="25"/>
        <v>1</v>
      </c>
      <c r="AW194" s="9">
        <f t="shared" si="26"/>
        <v>1</v>
      </c>
      <c r="AX194" s="9">
        <f t="shared" si="27"/>
        <v>0</v>
      </c>
      <c r="AY194" s="9">
        <f t="shared" si="28"/>
        <v>1</v>
      </c>
      <c r="AZ194" s="9">
        <f t="shared" si="29"/>
        <v>0</v>
      </c>
      <c r="BA194" s="9">
        <f t="shared" si="30"/>
        <v>0</v>
      </c>
      <c r="BB194" s="9" t="s">
        <v>88</v>
      </c>
      <c r="BC194" s="9">
        <f t="shared" si="31"/>
        <v>2</v>
      </c>
      <c r="BD194" s="12"/>
      <c r="BE194" s="9" t="str">
        <f t="shared" si="46"/>
        <v>N/A</v>
      </c>
      <c r="BF194" s="9" t="s">
        <v>179</v>
      </c>
      <c r="BG194" s="9">
        <f t="shared" si="33"/>
        <v>1</v>
      </c>
      <c r="BH194" s="9">
        <f t="shared" si="34"/>
        <v>0</v>
      </c>
      <c r="BI194" s="9">
        <f t="shared" si="35"/>
        <v>0</v>
      </c>
      <c r="BJ194" s="9">
        <f t="shared" si="36"/>
        <v>0</v>
      </c>
      <c r="BK194" s="9">
        <f t="shared" si="37"/>
        <v>0</v>
      </c>
      <c r="BL194" s="9">
        <f t="shared" si="38"/>
        <v>1</v>
      </c>
      <c r="BM194" s="9">
        <f t="shared" si="39"/>
        <v>1</v>
      </c>
      <c r="BN194" s="9" t="s">
        <v>68</v>
      </c>
      <c r="BO194" s="11">
        <f t="shared" si="40"/>
        <v>1</v>
      </c>
    </row>
    <row r="195" ht="22.5" customHeight="1">
      <c r="A195" s="9">
        <f t="shared" si="41"/>
        <v>194</v>
      </c>
      <c r="B195" s="10">
        <v>46051.75397708333</v>
      </c>
      <c r="C195" s="9" t="s">
        <v>90</v>
      </c>
      <c r="D195" s="9">
        <f t="shared" si="1"/>
        <v>2</v>
      </c>
      <c r="E195" s="9" t="s">
        <v>68</v>
      </c>
      <c r="F195" s="9">
        <f t="shared" si="2"/>
        <v>1</v>
      </c>
      <c r="G195" s="9" t="s">
        <v>91</v>
      </c>
      <c r="H195" s="9" t="str">
        <f t="shared" si="3"/>
        <v>Urban</v>
      </c>
      <c r="I195" s="9">
        <f t="shared" si="4"/>
        <v>2</v>
      </c>
      <c r="J195" s="9" t="s">
        <v>83</v>
      </c>
      <c r="K195" s="9" t="s">
        <v>84</v>
      </c>
      <c r="L195" s="9">
        <f t="shared" si="5"/>
        <v>2</v>
      </c>
      <c r="M195" s="9" t="s">
        <v>101</v>
      </c>
      <c r="N195" s="9">
        <f t="shared" si="6"/>
        <v>2</v>
      </c>
      <c r="O195" s="9" t="s">
        <v>78</v>
      </c>
      <c r="P195" s="9">
        <f t="shared" si="7"/>
        <v>3</v>
      </c>
      <c r="Q195" s="9" t="s">
        <v>78</v>
      </c>
      <c r="R195" s="9">
        <f t="shared" si="8"/>
        <v>3</v>
      </c>
      <c r="S195" s="9" t="s">
        <v>78</v>
      </c>
      <c r="T195" s="9">
        <f t="shared" si="9"/>
        <v>3</v>
      </c>
      <c r="U195" s="9" t="s">
        <v>74</v>
      </c>
      <c r="V195" s="9">
        <f t="shared" si="10"/>
        <v>1.5</v>
      </c>
      <c r="W195" s="9" t="s">
        <v>143</v>
      </c>
      <c r="X195" s="9">
        <f t="shared" si="11"/>
        <v>1</v>
      </c>
      <c r="Y195" s="9">
        <f t="shared" si="12"/>
        <v>0</v>
      </c>
      <c r="Z195" s="9">
        <f t="shared" si="13"/>
        <v>0</v>
      </c>
      <c r="AA195" s="9">
        <f t="shared" si="14"/>
        <v>0</v>
      </c>
      <c r="AB195" s="9" t="s">
        <v>78</v>
      </c>
      <c r="AC195" s="9">
        <f t="shared" si="15"/>
        <v>3</v>
      </c>
      <c r="AD195" s="9" t="s">
        <v>78</v>
      </c>
      <c r="AE195" s="9">
        <f t="shared" si="16"/>
        <v>3</v>
      </c>
      <c r="AF195" s="9" t="s">
        <v>76</v>
      </c>
      <c r="AG195" s="9">
        <f t="shared" si="17"/>
        <v>5.5</v>
      </c>
      <c r="AH195" s="9" t="s">
        <v>78</v>
      </c>
      <c r="AI195" s="9">
        <f t="shared" si="18"/>
        <v>3</v>
      </c>
      <c r="AJ195" s="9" t="s">
        <v>78</v>
      </c>
      <c r="AK195" s="9">
        <f t="shared" si="19"/>
        <v>3</v>
      </c>
      <c r="AL195" s="9" t="s">
        <v>78</v>
      </c>
      <c r="AM195" s="9">
        <f t="shared" si="20"/>
        <v>3</v>
      </c>
      <c r="AN195" s="9" t="s">
        <v>78</v>
      </c>
      <c r="AO195" s="9">
        <f t="shared" si="21"/>
        <v>3</v>
      </c>
      <c r="AP195" s="9" t="s">
        <v>78</v>
      </c>
      <c r="AQ195" s="9">
        <f t="shared" si="22"/>
        <v>3</v>
      </c>
      <c r="AR195" s="9" t="s">
        <v>78</v>
      </c>
      <c r="AS195" s="9">
        <f t="shared" si="23"/>
        <v>3</v>
      </c>
      <c r="AT195" s="9" t="s">
        <v>287</v>
      </c>
      <c r="AU195" s="9">
        <f t="shared" si="24"/>
        <v>0</v>
      </c>
      <c r="AV195" s="9">
        <f t="shared" si="25"/>
        <v>0</v>
      </c>
      <c r="AW195" s="9">
        <f t="shared" si="26"/>
        <v>1</v>
      </c>
      <c r="AX195" s="9">
        <f t="shared" si="27"/>
        <v>0</v>
      </c>
      <c r="AY195" s="9">
        <f t="shared" si="28"/>
        <v>1</v>
      </c>
      <c r="AZ195" s="9">
        <f t="shared" si="29"/>
        <v>0</v>
      </c>
      <c r="BA195" s="9">
        <f t="shared" si="30"/>
        <v>0</v>
      </c>
      <c r="BB195" s="9" t="s">
        <v>68</v>
      </c>
      <c r="BC195" s="9">
        <f t="shared" si="31"/>
        <v>1</v>
      </c>
      <c r="BD195" s="12"/>
      <c r="BE195" s="9" t="str">
        <f t="shared" si="46"/>
        <v>N/A</v>
      </c>
      <c r="BF195" s="12"/>
      <c r="BG195" s="9">
        <f t="shared" si="33"/>
        <v>0</v>
      </c>
      <c r="BH195" s="9">
        <f t="shared" si="34"/>
        <v>0</v>
      </c>
      <c r="BI195" s="9">
        <f t="shared" si="35"/>
        <v>0</v>
      </c>
      <c r="BJ195" s="9">
        <f t="shared" si="36"/>
        <v>0</v>
      </c>
      <c r="BK195" s="9">
        <f t="shared" si="37"/>
        <v>0</v>
      </c>
      <c r="BL195" s="9">
        <f t="shared" si="38"/>
        <v>0</v>
      </c>
      <c r="BM195" s="9">
        <f t="shared" si="39"/>
        <v>0</v>
      </c>
      <c r="BN195" s="12"/>
      <c r="BO195" s="11" t="str">
        <f t="shared" si="40"/>
        <v>N/A</v>
      </c>
    </row>
    <row r="196" ht="22.5" customHeight="1">
      <c r="A196" s="9">
        <f t="shared" si="41"/>
        <v>195</v>
      </c>
      <c r="B196" s="10">
        <v>46051.773875046296</v>
      </c>
      <c r="C196" s="9" t="s">
        <v>90</v>
      </c>
      <c r="D196" s="9">
        <f t="shared" si="1"/>
        <v>2</v>
      </c>
      <c r="E196" s="9" t="s">
        <v>68</v>
      </c>
      <c r="F196" s="9">
        <f t="shared" si="2"/>
        <v>1</v>
      </c>
      <c r="G196" s="9" t="s">
        <v>69</v>
      </c>
      <c r="H196" s="9" t="str">
        <f t="shared" si="3"/>
        <v>Rural</v>
      </c>
      <c r="I196" s="9">
        <f t="shared" si="4"/>
        <v>1</v>
      </c>
      <c r="J196" s="9" t="s">
        <v>145</v>
      </c>
      <c r="K196" s="9" t="s">
        <v>146</v>
      </c>
      <c r="L196" s="9">
        <f t="shared" si="5"/>
        <v>1</v>
      </c>
      <c r="M196" s="9" t="s">
        <v>76</v>
      </c>
      <c r="N196" s="9">
        <f t="shared" si="6"/>
        <v>5.5</v>
      </c>
      <c r="O196" s="9" t="s">
        <v>73</v>
      </c>
      <c r="P196" s="9">
        <f t="shared" si="7"/>
        <v>2</v>
      </c>
      <c r="Q196" s="9" t="s">
        <v>85</v>
      </c>
      <c r="R196" s="9">
        <f t="shared" si="8"/>
        <v>4</v>
      </c>
      <c r="S196" s="9" t="s">
        <v>85</v>
      </c>
      <c r="T196" s="9">
        <f t="shared" si="9"/>
        <v>4</v>
      </c>
      <c r="U196" s="9" t="s">
        <v>96</v>
      </c>
      <c r="V196" s="9">
        <f t="shared" si="10"/>
        <v>2.5</v>
      </c>
      <c r="W196" s="9" t="s">
        <v>143</v>
      </c>
      <c r="X196" s="9">
        <f t="shared" si="11"/>
        <v>1</v>
      </c>
      <c r="Y196" s="9">
        <f t="shared" si="12"/>
        <v>0</v>
      </c>
      <c r="Z196" s="9">
        <f t="shared" si="13"/>
        <v>0</v>
      </c>
      <c r="AA196" s="9">
        <f t="shared" si="14"/>
        <v>0</v>
      </c>
      <c r="AB196" s="9" t="s">
        <v>85</v>
      </c>
      <c r="AC196" s="9">
        <f t="shared" si="15"/>
        <v>4</v>
      </c>
      <c r="AD196" s="9" t="s">
        <v>85</v>
      </c>
      <c r="AE196" s="9">
        <f t="shared" si="16"/>
        <v>4</v>
      </c>
      <c r="AF196" s="9" t="s">
        <v>71</v>
      </c>
      <c r="AG196" s="9">
        <f t="shared" si="17"/>
        <v>7.7</v>
      </c>
      <c r="AH196" s="9" t="s">
        <v>85</v>
      </c>
      <c r="AI196" s="9">
        <f t="shared" si="18"/>
        <v>4</v>
      </c>
      <c r="AJ196" s="9" t="s">
        <v>85</v>
      </c>
      <c r="AK196" s="9">
        <f t="shared" si="19"/>
        <v>4</v>
      </c>
      <c r="AL196" s="9" t="s">
        <v>85</v>
      </c>
      <c r="AM196" s="9">
        <f t="shared" si="20"/>
        <v>4</v>
      </c>
      <c r="AN196" s="9" t="s">
        <v>85</v>
      </c>
      <c r="AO196" s="9">
        <f t="shared" si="21"/>
        <v>4</v>
      </c>
      <c r="AP196" s="9" t="s">
        <v>85</v>
      </c>
      <c r="AQ196" s="9">
        <f t="shared" si="22"/>
        <v>4</v>
      </c>
      <c r="AR196" s="9" t="s">
        <v>85</v>
      </c>
      <c r="AS196" s="9">
        <f t="shared" si="23"/>
        <v>4</v>
      </c>
      <c r="AT196" s="9" t="s">
        <v>106</v>
      </c>
      <c r="AU196" s="9">
        <f t="shared" si="24"/>
        <v>0</v>
      </c>
      <c r="AV196" s="9">
        <f t="shared" si="25"/>
        <v>0</v>
      </c>
      <c r="AW196" s="9">
        <f t="shared" si="26"/>
        <v>1</v>
      </c>
      <c r="AX196" s="9">
        <f t="shared" si="27"/>
        <v>0</v>
      </c>
      <c r="AY196" s="9">
        <f t="shared" si="28"/>
        <v>0</v>
      </c>
      <c r="AZ196" s="9">
        <f t="shared" si="29"/>
        <v>1</v>
      </c>
      <c r="BA196" s="9">
        <f t="shared" si="30"/>
        <v>0</v>
      </c>
      <c r="BB196" s="9" t="s">
        <v>88</v>
      </c>
      <c r="BC196" s="9">
        <f t="shared" si="31"/>
        <v>2</v>
      </c>
      <c r="BD196" s="12"/>
      <c r="BE196" s="9" t="str">
        <f t="shared" si="46"/>
        <v>N/A</v>
      </c>
      <c r="BF196" s="9" t="s">
        <v>191</v>
      </c>
      <c r="BG196" s="9">
        <f t="shared" si="33"/>
        <v>0</v>
      </c>
      <c r="BH196" s="9">
        <f t="shared" si="34"/>
        <v>1</v>
      </c>
      <c r="BI196" s="9">
        <f t="shared" si="35"/>
        <v>0</v>
      </c>
      <c r="BJ196" s="9">
        <f t="shared" si="36"/>
        <v>0</v>
      </c>
      <c r="BK196" s="9">
        <f t="shared" si="37"/>
        <v>0</v>
      </c>
      <c r="BL196" s="9">
        <f t="shared" si="38"/>
        <v>0</v>
      </c>
      <c r="BM196" s="9">
        <f t="shared" si="39"/>
        <v>0</v>
      </c>
      <c r="BN196" s="9" t="s">
        <v>68</v>
      </c>
      <c r="BO196" s="11">
        <f t="shared" si="40"/>
        <v>1</v>
      </c>
    </row>
    <row r="197" ht="22.5" customHeight="1">
      <c r="A197" s="9">
        <f t="shared" si="41"/>
        <v>196</v>
      </c>
      <c r="B197" s="10">
        <v>46051.81115609954</v>
      </c>
      <c r="C197" s="9" t="s">
        <v>67</v>
      </c>
      <c r="D197" s="9">
        <f t="shared" si="1"/>
        <v>1</v>
      </c>
      <c r="E197" s="9" t="s">
        <v>68</v>
      </c>
      <c r="F197" s="9">
        <f t="shared" si="2"/>
        <v>1</v>
      </c>
      <c r="G197" s="9" t="s">
        <v>91</v>
      </c>
      <c r="H197" s="9" t="str">
        <f t="shared" si="3"/>
        <v>Urban</v>
      </c>
      <c r="I197" s="9">
        <f t="shared" si="4"/>
        <v>2</v>
      </c>
      <c r="J197" s="9" t="s">
        <v>145</v>
      </c>
      <c r="K197" s="9" t="s">
        <v>146</v>
      </c>
      <c r="L197" s="9">
        <f t="shared" si="5"/>
        <v>1</v>
      </c>
      <c r="M197" s="9" t="s">
        <v>71</v>
      </c>
      <c r="N197" s="9">
        <f t="shared" si="6"/>
        <v>7.7</v>
      </c>
      <c r="O197" s="12"/>
      <c r="P197" s="9" t="str">
        <f t="shared" si="7"/>
        <v>N/A</v>
      </c>
      <c r="Q197" s="9" t="s">
        <v>78</v>
      </c>
      <c r="R197" s="9">
        <f t="shared" si="8"/>
        <v>3</v>
      </c>
      <c r="S197" s="12"/>
      <c r="T197" s="9" t="str">
        <f t="shared" si="9"/>
        <v>N/A</v>
      </c>
      <c r="U197" s="9" t="s">
        <v>74</v>
      </c>
      <c r="V197" s="9">
        <f t="shared" si="10"/>
        <v>1.5</v>
      </c>
      <c r="W197" s="9" t="s">
        <v>86</v>
      </c>
      <c r="X197" s="9">
        <f t="shared" si="11"/>
        <v>1</v>
      </c>
      <c r="Y197" s="9">
        <f t="shared" si="12"/>
        <v>1</v>
      </c>
      <c r="Z197" s="9">
        <f t="shared" si="13"/>
        <v>1</v>
      </c>
      <c r="AA197" s="9">
        <f t="shared" si="14"/>
        <v>0</v>
      </c>
      <c r="AB197" s="9" t="s">
        <v>73</v>
      </c>
      <c r="AC197" s="9">
        <f t="shared" si="15"/>
        <v>2</v>
      </c>
      <c r="AD197" s="9" t="s">
        <v>78</v>
      </c>
      <c r="AE197" s="9">
        <f t="shared" si="16"/>
        <v>3</v>
      </c>
      <c r="AF197" s="9" t="s">
        <v>76</v>
      </c>
      <c r="AG197" s="9">
        <f t="shared" si="17"/>
        <v>5.5</v>
      </c>
      <c r="AH197" s="9" t="s">
        <v>78</v>
      </c>
      <c r="AI197" s="9">
        <f t="shared" si="18"/>
        <v>3</v>
      </c>
      <c r="AJ197" s="9" t="s">
        <v>73</v>
      </c>
      <c r="AK197" s="9">
        <f t="shared" si="19"/>
        <v>2</v>
      </c>
      <c r="AL197" s="9" t="s">
        <v>78</v>
      </c>
      <c r="AM197" s="9">
        <f t="shared" si="20"/>
        <v>3</v>
      </c>
      <c r="AN197" s="9" t="s">
        <v>78</v>
      </c>
      <c r="AO197" s="9">
        <f t="shared" si="21"/>
        <v>3</v>
      </c>
      <c r="AP197" s="9" t="s">
        <v>73</v>
      </c>
      <c r="AQ197" s="9">
        <f t="shared" si="22"/>
        <v>2</v>
      </c>
      <c r="AR197" s="9" t="s">
        <v>78</v>
      </c>
      <c r="AS197" s="9">
        <f t="shared" si="23"/>
        <v>3</v>
      </c>
      <c r="AT197" s="12"/>
      <c r="AU197" s="9">
        <f t="shared" si="24"/>
        <v>0</v>
      </c>
      <c r="AV197" s="9">
        <f t="shared" si="25"/>
        <v>0</v>
      </c>
      <c r="AW197" s="9">
        <f t="shared" si="26"/>
        <v>0</v>
      </c>
      <c r="AX197" s="9">
        <f t="shared" si="27"/>
        <v>0</v>
      </c>
      <c r="AY197" s="9">
        <f t="shared" si="28"/>
        <v>0</v>
      </c>
      <c r="AZ197" s="9">
        <f t="shared" si="29"/>
        <v>0</v>
      </c>
      <c r="BA197" s="9">
        <f t="shared" si="30"/>
        <v>0</v>
      </c>
      <c r="BB197" s="9" t="s">
        <v>88</v>
      </c>
      <c r="BC197" s="9">
        <f t="shared" si="31"/>
        <v>2</v>
      </c>
      <c r="BD197" s="12"/>
      <c r="BE197" s="9" t="str">
        <f t="shared" si="46"/>
        <v>N/A</v>
      </c>
      <c r="BF197" s="9" t="s">
        <v>288</v>
      </c>
      <c r="BG197" s="9">
        <f t="shared" si="33"/>
        <v>0</v>
      </c>
      <c r="BH197" s="9">
        <f t="shared" si="34"/>
        <v>0</v>
      </c>
      <c r="BI197" s="9">
        <f t="shared" si="35"/>
        <v>0</v>
      </c>
      <c r="BJ197" s="9">
        <f t="shared" si="36"/>
        <v>1</v>
      </c>
      <c r="BK197" s="9">
        <f t="shared" si="37"/>
        <v>0</v>
      </c>
      <c r="BL197" s="9">
        <f t="shared" si="38"/>
        <v>0</v>
      </c>
      <c r="BM197" s="9">
        <f t="shared" si="39"/>
        <v>0</v>
      </c>
      <c r="BN197" s="9" t="s">
        <v>108</v>
      </c>
      <c r="BO197" s="11">
        <f t="shared" si="40"/>
        <v>3</v>
      </c>
    </row>
    <row r="198" ht="22.5" customHeight="1">
      <c r="A198" s="9">
        <f t="shared" si="41"/>
        <v>197</v>
      </c>
      <c r="B198" s="10">
        <v>46051.81553903935</v>
      </c>
      <c r="C198" s="9" t="s">
        <v>90</v>
      </c>
      <c r="D198" s="9">
        <f t="shared" si="1"/>
        <v>2</v>
      </c>
      <c r="E198" s="9" t="s">
        <v>68</v>
      </c>
      <c r="F198" s="9">
        <f t="shared" si="2"/>
        <v>1</v>
      </c>
      <c r="G198" s="9" t="s">
        <v>91</v>
      </c>
      <c r="H198" s="9" t="str">
        <f t="shared" si="3"/>
        <v>Urban</v>
      </c>
      <c r="I198" s="9">
        <f t="shared" si="4"/>
        <v>2</v>
      </c>
      <c r="J198" s="9" t="s">
        <v>70</v>
      </c>
      <c r="K198" s="9" t="s">
        <v>100</v>
      </c>
      <c r="L198" s="9">
        <f t="shared" si="5"/>
        <v>3</v>
      </c>
      <c r="M198" s="9" t="s">
        <v>109</v>
      </c>
      <c r="N198" s="9">
        <f t="shared" si="6"/>
        <v>9</v>
      </c>
      <c r="O198" s="9" t="s">
        <v>72</v>
      </c>
      <c r="P198" s="9">
        <f t="shared" si="7"/>
        <v>1</v>
      </c>
      <c r="Q198" s="9" t="s">
        <v>78</v>
      </c>
      <c r="R198" s="9">
        <f t="shared" si="8"/>
        <v>3</v>
      </c>
      <c r="S198" s="9" t="s">
        <v>72</v>
      </c>
      <c r="T198" s="9">
        <f t="shared" si="9"/>
        <v>1</v>
      </c>
      <c r="U198" s="9" t="s">
        <v>270</v>
      </c>
      <c r="V198" s="9">
        <f t="shared" si="10"/>
        <v>0.25</v>
      </c>
      <c r="W198" s="9" t="s">
        <v>105</v>
      </c>
      <c r="X198" s="9">
        <f t="shared" si="11"/>
        <v>1</v>
      </c>
      <c r="Y198" s="9">
        <f t="shared" si="12"/>
        <v>1</v>
      </c>
      <c r="Z198" s="9">
        <f t="shared" si="13"/>
        <v>0</v>
      </c>
      <c r="AA198" s="9">
        <f t="shared" si="14"/>
        <v>0</v>
      </c>
      <c r="AB198" s="9" t="s">
        <v>72</v>
      </c>
      <c r="AC198" s="9">
        <f t="shared" si="15"/>
        <v>1</v>
      </c>
      <c r="AD198" s="9" t="s">
        <v>72</v>
      </c>
      <c r="AE198" s="9">
        <f t="shared" si="16"/>
        <v>1</v>
      </c>
      <c r="AF198" s="9" t="s">
        <v>71</v>
      </c>
      <c r="AG198" s="9">
        <f t="shared" si="17"/>
        <v>7.7</v>
      </c>
      <c r="AH198" s="9" t="s">
        <v>103</v>
      </c>
      <c r="AI198" s="9">
        <f t="shared" si="18"/>
        <v>5</v>
      </c>
      <c r="AJ198" s="9" t="s">
        <v>78</v>
      </c>
      <c r="AK198" s="9">
        <f t="shared" si="19"/>
        <v>3</v>
      </c>
      <c r="AL198" s="9" t="s">
        <v>85</v>
      </c>
      <c r="AM198" s="9">
        <f t="shared" si="20"/>
        <v>4</v>
      </c>
      <c r="AN198" s="9" t="s">
        <v>73</v>
      </c>
      <c r="AO198" s="9">
        <f t="shared" si="21"/>
        <v>2</v>
      </c>
      <c r="AP198" s="9" t="s">
        <v>120</v>
      </c>
      <c r="AQ198" s="9">
        <f t="shared" si="22"/>
        <v>5</v>
      </c>
      <c r="AR198" s="9" t="s">
        <v>120</v>
      </c>
      <c r="AS198" s="9">
        <f t="shared" si="23"/>
        <v>5</v>
      </c>
      <c r="AT198" s="9" t="s">
        <v>289</v>
      </c>
      <c r="AU198" s="9">
        <f t="shared" si="24"/>
        <v>1</v>
      </c>
      <c r="AV198" s="9">
        <f t="shared" si="25"/>
        <v>1</v>
      </c>
      <c r="AW198" s="9">
        <f t="shared" si="26"/>
        <v>1</v>
      </c>
      <c r="AX198" s="9">
        <f t="shared" si="27"/>
        <v>1</v>
      </c>
      <c r="AY198" s="9">
        <f t="shared" si="28"/>
        <v>1</v>
      </c>
      <c r="AZ198" s="9">
        <f t="shared" si="29"/>
        <v>1</v>
      </c>
      <c r="BA198" s="9">
        <f t="shared" si="30"/>
        <v>1</v>
      </c>
      <c r="BB198" s="9" t="s">
        <v>88</v>
      </c>
      <c r="BC198" s="9">
        <f t="shared" si="31"/>
        <v>2</v>
      </c>
      <c r="BD198" s="12"/>
      <c r="BE198" s="9" t="str">
        <f t="shared" si="46"/>
        <v>N/A</v>
      </c>
      <c r="BF198" s="9" t="s">
        <v>166</v>
      </c>
      <c r="BG198" s="9">
        <f t="shared" si="33"/>
        <v>1</v>
      </c>
      <c r="BH198" s="9">
        <f t="shared" si="34"/>
        <v>0</v>
      </c>
      <c r="BI198" s="9">
        <f t="shared" si="35"/>
        <v>1</v>
      </c>
      <c r="BJ198" s="9">
        <f t="shared" si="36"/>
        <v>1</v>
      </c>
      <c r="BK198" s="9">
        <f t="shared" si="37"/>
        <v>1</v>
      </c>
      <c r="BL198" s="9">
        <f t="shared" si="38"/>
        <v>1</v>
      </c>
      <c r="BM198" s="9">
        <f t="shared" si="39"/>
        <v>1</v>
      </c>
      <c r="BN198" s="9" t="s">
        <v>68</v>
      </c>
      <c r="BO198" s="11">
        <f t="shared" si="40"/>
        <v>1</v>
      </c>
    </row>
    <row r="199" ht="22.5" customHeight="1">
      <c r="A199" s="9">
        <f t="shared" si="41"/>
        <v>198</v>
      </c>
      <c r="B199" s="10">
        <v>46051.81797878472</v>
      </c>
      <c r="C199" s="9" t="s">
        <v>67</v>
      </c>
      <c r="D199" s="9">
        <f t="shared" si="1"/>
        <v>1</v>
      </c>
      <c r="E199" s="9" t="s">
        <v>68</v>
      </c>
      <c r="F199" s="9">
        <f t="shared" si="2"/>
        <v>1</v>
      </c>
      <c r="G199" s="12"/>
      <c r="H199" s="9" t="str">
        <f t="shared" si="3"/>
        <v>N/A</v>
      </c>
      <c r="I199" s="9" t="str">
        <f t="shared" si="4"/>
        <v>N/A</v>
      </c>
      <c r="J199" s="9" t="s">
        <v>83</v>
      </c>
      <c r="K199" s="9" t="s">
        <v>84</v>
      </c>
      <c r="L199" s="9">
        <f t="shared" si="5"/>
        <v>2</v>
      </c>
      <c r="M199" s="9" t="s">
        <v>101</v>
      </c>
      <c r="N199" s="9">
        <f t="shared" si="6"/>
        <v>2</v>
      </c>
      <c r="O199" s="9" t="s">
        <v>78</v>
      </c>
      <c r="P199" s="9">
        <f t="shared" si="7"/>
        <v>3</v>
      </c>
      <c r="Q199" s="9" t="s">
        <v>78</v>
      </c>
      <c r="R199" s="9">
        <f t="shared" si="8"/>
        <v>3</v>
      </c>
      <c r="S199" s="9" t="s">
        <v>73</v>
      </c>
      <c r="T199" s="9">
        <f t="shared" si="9"/>
        <v>2</v>
      </c>
      <c r="U199" s="9" t="s">
        <v>92</v>
      </c>
      <c r="V199" s="9">
        <f t="shared" si="10"/>
        <v>3.5</v>
      </c>
      <c r="W199" s="9" t="s">
        <v>97</v>
      </c>
      <c r="X199" s="9">
        <f t="shared" si="11"/>
        <v>1</v>
      </c>
      <c r="Y199" s="9">
        <f t="shared" si="12"/>
        <v>0</v>
      </c>
      <c r="Z199" s="9">
        <f t="shared" si="13"/>
        <v>1</v>
      </c>
      <c r="AA199" s="9">
        <f t="shared" si="14"/>
        <v>0</v>
      </c>
      <c r="AB199" s="9" t="s">
        <v>72</v>
      </c>
      <c r="AC199" s="9">
        <f t="shared" si="15"/>
        <v>1</v>
      </c>
      <c r="AD199" s="9" t="s">
        <v>73</v>
      </c>
      <c r="AE199" s="9">
        <f t="shared" si="16"/>
        <v>2</v>
      </c>
      <c r="AF199" s="9" t="s">
        <v>76</v>
      </c>
      <c r="AG199" s="9">
        <f t="shared" si="17"/>
        <v>5.5</v>
      </c>
      <c r="AH199" s="9" t="s">
        <v>73</v>
      </c>
      <c r="AI199" s="9">
        <f t="shared" si="18"/>
        <v>2</v>
      </c>
      <c r="AJ199" s="9" t="s">
        <v>73</v>
      </c>
      <c r="AK199" s="9">
        <f t="shared" si="19"/>
        <v>2</v>
      </c>
      <c r="AL199" s="9" t="s">
        <v>73</v>
      </c>
      <c r="AM199" s="9">
        <f t="shared" si="20"/>
        <v>2</v>
      </c>
      <c r="AN199" s="9" t="s">
        <v>73</v>
      </c>
      <c r="AO199" s="9">
        <f t="shared" si="21"/>
        <v>2</v>
      </c>
      <c r="AP199" s="9" t="s">
        <v>78</v>
      </c>
      <c r="AQ199" s="9">
        <f t="shared" si="22"/>
        <v>3</v>
      </c>
      <c r="AR199" s="9" t="s">
        <v>78</v>
      </c>
      <c r="AS199" s="9">
        <f t="shared" si="23"/>
        <v>3</v>
      </c>
      <c r="AT199" s="9" t="s">
        <v>147</v>
      </c>
      <c r="AU199" s="9">
        <f t="shared" si="24"/>
        <v>1</v>
      </c>
      <c r="AV199" s="9">
        <f t="shared" si="25"/>
        <v>0</v>
      </c>
      <c r="AW199" s="9">
        <f t="shared" si="26"/>
        <v>0</v>
      </c>
      <c r="AX199" s="9">
        <f t="shared" si="27"/>
        <v>0</v>
      </c>
      <c r="AY199" s="9">
        <f t="shared" si="28"/>
        <v>0</v>
      </c>
      <c r="AZ199" s="9">
        <f t="shared" si="29"/>
        <v>0</v>
      </c>
      <c r="BA199" s="9">
        <f t="shared" si="30"/>
        <v>0</v>
      </c>
      <c r="BB199" s="9" t="s">
        <v>68</v>
      </c>
      <c r="BC199" s="9">
        <f t="shared" si="31"/>
        <v>1</v>
      </c>
      <c r="BD199" s="9" t="s">
        <v>290</v>
      </c>
      <c r="BE199" s="9" t="str">
        <f t="shared" si="46"/>
        <v>N/A</v>
      </c>
      <c r="BF199" s="12"/>
      <c r="BG199" s="9">
        <f t="shared" si="33"/>
        <v>0</v>
      </c>
      <c r="BH199" s="9">
        <f t="shared" si="34"/>
        <v>0</v>
      </c>
      <c r="BI199" s="9">
        <f t="shared" si="35"/>
        <v>0</v>
      </c>
      <c r="BJ199" s="9">
        <f t="shared" si="36"/>
        <v>0</v>
      </c>
      <c r="BK199" s="9">
        <f t="shared" si="37"/>
        <v>0</v>
      </c>
      <c r="BL199" s="9">
        <f t="shared" si="38"/>
        <v>0</v>
      </c>
      <c r="BM199" s="9">
        <f t="shared" si="39"/>
        <v>0</v>
      </c>
      <c r="BN199" s="9" t="s">
        <v>108</v>
      </c>
      <c r="BO199" s="11">
        <f t="shared" si="40"/>
        <v>3</v>
      </c>
    </row>
    <row r="200" ht="22.5" customHeight="1">
      <c r="A200" s="9">
        <f t="shared" si="41"/>
        <v>199</v>
      </c>
      <c r="B200" s="10">
        <v>46051.86828388889</v>
      </c>
      <c r="C200" s="9" t="s">
        <v>67</v>
      </c>
      <c r="D200" s="9">
        <f t="shared" si="1"/>
        <v>1</v>
      </c>
      <c r="E200" s="9" t="s">
        <v>68</v>
      </c>
      <c r="F200" s="9">
        <f t="shared" si="2"/>
        <v>1</v>
      </c>
      <c r="G200" s="9" t="s">
        <v>69</v>
      </c>
      <c r="H200" s="9" t="str">
        <f t="shared" si="3"/>
        <v>Rural</v>
      </c>
      <c r="I200" s="9">
        <f t="shared" si="4"/>
        <v>1</v>
      </c>
      <c r="J200" s="9" t="s">
        <v>70</v>
      </c>
      <c r="K200" s="9" t="s">
        <v>100</v>
      </c>
      <c r="L200" s="9">
        <f t="shared" si="5"/>
        <v>3</v>
      </c>
      <c r="M200" s="9" t="s">
        <v>76</v>
      </c>
      <c r="N200" s="9">
        <f t="shared" si="6"/>
        <v>5.5</v>
      </c>
      <c r="O200" s="9" t="s">
        <v>85</v>
      </c>
      <c r="P200" s="9">
        <f t="shared" si="7"/>
        <v>4</v>
      </c>
      <c r="Q200" s="9" t="s">
        <v>103</v>
      </c>
      <c r="R200" s="9">
        <f t="shared" si="8"/>
        <v>5</v>
      </c>
      <c r="S200" s="9" t="s">
        <v>73</v>
      </c>
      <c r="T200" s="9">
        <f t="shared" si="9"/>
        <v>2</v>
      </c>
      <c r="U200" s="9" t="s">
        <v>96</v>
      </c>
      <c r="V200" s="9">
        <f t="shared" si="10"/>
        <v>2.5</v>
      </c>
      <c r="W200" s="9" t="s">
        <v>122</v>
      </c>
      <c r="X200" s="9">
        <f t="shared" si="11"/>
        <v>0</v>
      </c>
      <c r="Y200" s="9">
        <f t="shared" si="12"/>
        <v>0</v>
      </c>
      <c r="Z200" s="9">
        <f t="shared" si="13"/>
        <v>1</v>
      </c>
      <c r="AA200" s="9">
        <f t="shared" si="14"/>
        <v>0</v>
      </c>
      <c r="AB200" s="9" t="s">
        <v>85</v>
      </c>
      <c r="AC200" s="9">
        <f t="shared" si="15"/>
        <v>4</v>
      </c>
      <c r="AD200" s="9" t="s">
        <v>85</v>
      </c>
      <c r="AE200" s="9">
        <f t="shared" si="16"/>
        <v>4</v>
      </c>
      <c r="AF200" s="9" t="s">
        <v>76</v>
      </c>
      <c r="AG200" s="9">
        <f t="shared" si="17"/>
        <v>5.5</v>
      </c>
      <c r="AH200" s="9" t="s">
        <v>73</v>
      </c>
      <c r="AI200" s="9">
        <f t="shared" si="18"/>
        <v>2</v>
      </c>
      <c r="AJ200" s="9" t="s">
        <v>78</v>
      </c>
      <c r="AK200" s="9">
        <f t="shared" si="19"/>
        <v>3</v>
      </c>
      <c r="AL200" s="9" t="s">
        <v>73</v>
      </c>
      <c r="AM200" s="9">
        <f t="shared" si="20"/>
        <v>2</v>
      </c>
      <c r="AN200" s="9" t="s">
        <v>85</v>
      </c>
      <c r="AO200" s="9">
        <f t="shared" si="21"/>
        <v>4</v>
      </c>
      <c r="AP200" s="9" t="s">
        <v>78</v>
      </c>
      <c r="AQ200" s="9">
        <f t="shared" si="22"/>
        <v>3</v>
      </c>
      <c r="AR200" s="9" t="s">
        <v>73</v>
      </c>
      <c r="AS200" s="9">
        <f t="shared" si="23"/>
        <v>2</v>
      </c>
      <c r="AT200" s="9" t="s">
        <v>147</v>
      </c>
      <c r="AU200" s="9">
        <f t="shared" si="24"/>
        <v>1</v>
      </c>
      <c r="AV200" s="9">
        <f t="shared" si="25"/>
        <v>0</v>
      </c>
      <c r="AW200" s="9">
        <f t="shared" si="26"/>
        <v>0</v>
      </c>
      <c r="AX200" s="9">
        <f t="shared" si="27"/>
        <v>0</v>
      </c>
      <c r="AY200" s="9">
        <f t="shared" si="28"/>
        <v>0</v>
      </c>
      <c r="AZ200" s="9">
        <f t="shared" si="29"/>
        <v>0</v>
      </c>
      <c r="BA200" s="9">
        <f t="shared" si="30"/>
        <v>0</v>
      </c>
      <c r="BB200" s="9" t="s">
        <v>88</v>
      </c>
      <c r="BC200" s="9">
        <f t="shared" si="31"/>
        <v>2</v>
      </c>
      <c r="BD200" s="12"/>
      <c r="BE200" s="9" t="str">
        <f t="shared" si="46"/>
        <v>N/A</v>
      </c>
      <c r="BF200" s="12"/>
      <c r="BG200" s="9">
        <f t="shared" si="33"/>
        <v>0</v>
      </c>
      <c r="BH200" s="9">
        <f t="shared" si="34"/>
        <v>0</v>
      </c>
      <c r="BI200" s="9">
        <f t="shared" si="35"/>
        <v>0</v>
      </c>
      <c r="BJ200" s="9">
        <f t="shared" si="36"/>
        <v>0</v>
      </c>
      <c r="BK200" s="9">
        <f t="shared" si="37"/>
        <v>0</v>
      </c>
      <c r="BL200" s="9">
        <f t="shared" si="38"/>
        <v>0</v>
      </c>
      <c r="BM200" s="9">
        <f t="shared" si="39"/>
        <v>0</v>
      </c>
      <c r="BN200" s="9" t="s">
        <v>108</v>
      </c>
      <c r="BO200" s="11">
        <f t="shared" si="40"/>
        <v>3</v>
      </c>
    </row>
    <row r="201" ht="22.5" customHeight="1">
      <c r="A201" s="9">
        <f t="shared" si="41"/>
        <v>200</v>
      </c>
      <c r="B201" s="10">
        <v>46051.86926255787</v>
      </c>
      <c r="C201" s="9" t="s">
        <v>90</v>
      </c>
      <c r="D201" s="9">
        <f t="shared" si="1"/>
        <v>2</v>
      </c>
      <c r="E201" s="9" t="s">
        <v>68</v>
      </c>
      <c r="F201" s="9">
        <f t="shared" si="2"/>
        <v>1</v>
      </c>
      <c r="G201" s="9" t="s">
        <v>69</v>
      </c>
      <c r="H201" s="9" t="str">
        <f t="shared" si="3"/>
        <v>Rural</v>
      </c>
      <c r="I201" s="9">
        <f t="shared" si="4"/>
        <v>1</v>
      </c>
      <c r="J201" s="9" t="s">
        <v>70</v>
      </c>
      <c r="K201" s="9" t="s">
        <v>100</v>
      </c>
      <c r="L201" s="9">
        <f t="shared" si="5"/>
        <v>3</v>
      </c>
      <c r="M201" s="9" t="s">
        <v>101</v>
      </c>
      <c r="N201" s="9">
        <f t="shared" si="6"/>
        <v>2</v>
      </c>
      <c r="O201" s="9" t="s">
        <v>73</v>
      </c>
      <c r="P201" s="9">
        <f t="shared" si="7"/>
        <v>2</v>
      </c>
      <c r="Q201" s="9" t="s">
        <v>78</v>
      </c>
      <c r="R201" s="9">
        <f t="shared" si="8"/>
        <v>3</v>
      </c>
      <c r="S201" s="9" t="s">
        <v>78</v>
      </c>
      <c r="T201" s="9">
        <f t="shared" si="9"/>
        <v>3</v>
      </c>
      <c r="U201" s="9" t="s">
        <v>92</v>
      </c>
      <c r="V201" s="9">
        <f t="shared" si="10"/>
        <v>3.5</v>
      </c>
      <c r="W201" s="9" t="s">
        <v>143</v>
      </c>
      <c r="X201" s="9">
        <f t="shared" si="11"/>
        <v>1</v>
      </c>
      <c r="Y201" s="9">
        <f t="shared" si="12"/>
        <v>0</v>
      </c>
      <c r="Z201" s="9">
        <f t="shared" si="13"/>
        <v>0</v>
      </c>
      <c r="AA201" s="9">
        <f t="shared" si="14"/>
        <v>0</v>
      </c>
      <c r="AB201" s="9" t="s">
        <v>73</v>
      </c>
      <c r="AC201" s="9">
        <f t="shared" si="15"/>
        <v>2</v>
      </c>
      <c r="AD201" s="9" t="s">
        <v>72</v>
      </c>
      <c r="AE201" s="9">
        <f t="shared" si="16"/>
        <v>1</v>
      </c>
      <c r="AF201" s="9" t="s">
        <v>71</v>
      </c>
      <c r="AG201" s="9">
        <f t="shared" si="17"/>
        <v>7.7</v>
      </c>
      <c r="AH201" s="9" t="s">
        <v>85</v>
      </c>
      <c r="AI201" s="9">
        <f t="shared" si="18"/>
        <v>4</v>
      </c>
      <c r="AJ201" s="9" t="s">
        <v>73</v>
      </c>
      <c r="AK201" s="9">
        <f t="shared" si="19"/>
        <v>2</v>
      </c>
      <c r="AL201" s="9" t="s">
        <v>78</v>
      </c>
      <c r="AM201" s="9">
        <f t="shared" si="20"/>
        <v>3</v>
      </c>
      <c r="AN201" s="9" t="s">
        <v>78</v>
      </c>
      <c r="AO201" s="9">
        <f t="shared" si="21"/>
        <v>3</v>
      </c>
      <c r="AP201" s="9" t="s">
        <v>85</v>
      </c>
      <c r="AQ201" s="9">
        <f t="shared" si="22"/>
        <v>4</v>
      </c>
      <c r="AR201" s="9" t="s">
        <v>85</v>
      </c>
      <c r="AS201" s="9">
        <f t="shared" si="23"/>
        <v>4</v>
      </c>
      <c r="AT201" s="9" t="s">
        <v>123</v>
      </c>
      <c r="AU201" s="9">
        <f t="shared" si="24"/>
        <v>1</v>
      </c>
      <c r="AV201" s="9">
        <f t="shared" si="25"/>
        <v>1</v>
      </c>
      <c r="AW201" s="9">
        <f t="shared" si="26"/>
        <v>1</v>
      </c>
      <c r="AX201" s="9">
        <f t="shared" si="27"/>
        <v>0</v>
      </c>
      <c r="AY201" s="9">
        <f t="shared" si="28"/>
        <v>0</v>
      </c>
      <c r="AZ201" s="9">
        <f t="shared" si="29"/>
        <v>0</v>
      </c>
      <c r="BA201" s="9">
        <f t="shared" si="30"/>
        <v>0</v>
      </c>
      <c r="BB201" s="9" t="s">
        <v>88</v>
      </c>
      <c r="BC201" s="9">
        <f t="shared" si="31"/>
        <v>2</v>
      </c>
      <c r="BD201" s="12"/>
      <c r="BE201" s="9" t="str">
        <f t="shared" si="46"/>
        <v>N/A</v>
      </c>
      <c r="BF201" s="9" t="s">
        <v>291</v>
      </c>
      <c r="BG201" s="9">
        <f t="shared" si="33"/>
        <v>1</v>
      </c>
      <c r="BH201" s="9">
        <f t="shared" si="34"/>
        <v>0</v>
      </c>
      <c r="BI201" s="9">
        <f t="shared" si="35"/>
        <v>1</v>
      </c>
      <c r="BJ201" s="9">
        <f t="shared" si="36"/>
        <v>1</v>
      </c>
      <c r="BK201" s="9">
        <f t="shared" si="37"/>
        <v>0</v>
      </c>
      <c r="BL201" s="9">
        <f t="shared" si="38"/>
        <v>0</v>
      </c>
      <c r="BM201" s="9">
        <f t="shared" si="39"/>
        <v>0</v>
      </c>
      <c r="BN201" s="9" t="s">
        <v>68</v>
      </c>
      <c r="BO201" s="11">
        <f t="shared" si="40"/>
        <v>1</v>
      </c>
    </row>
    <row r="202" ht="22.5" customHeight="1">
      <c r="A202" s="9">
        <f t="shared" si="41"/>
        <v>201</v>
      </c>
      <c r="B202" s="10">
        <v>46051.88509755787</v>
      </c>
      <c r="C202" s="9" t="s">
        <v>90</v>
      </c>
      <c r="D202" s="9">
        <f t="shared" si="1"/>
        <v>2</v>
      </c>
      <c r="E202" s="9" t="s">
        <v>68</v>
      </c>
      <c r="F202" s="9">
        <f t="shared" si="2"/>
        <v>1</v>
      </c>
      <c r="G202" s="9" t="s">
        <v>82</v>
      </c>
      <c r="H202" s="9" t="str">
        <f t="shared" si="3"/>
        <v>Urban</v>
      </c>
      <c r="I202" s="9">
        <f t="shared" si="4"/>
        <v>2</v>
      </c>
      <c r="J202" s="9" t="s">
        <v>70</v>
      </c>
      <c r="K202" s="9" t="s">
        <v>100</v>
      </c>
      <c r="L202" s="9">
        <f t="shared" si="5"/>
        <v>3</v>
      </c>
      <c r="M202" s="9" t="s">
        <v>101</v>
      </c>
      <c r="N202" s="9">
        <f t="shared" si="6"/>
        <v>2</v>
      </c>
      <c r="O202" s="9" t="s">
        <v>78</v>
      </c>
      <c r="P202" s="9">
        <f t="shared" si="7"/>
        <v>3</v>
      </c>
      <c r="Q202" s="9" t="s">
        <v>85</v>
      </c>
      <c r="R202" s="9">
        <f t="shared" si="8"/>
        <v>4</v>
      </c>
      <c r="S202" s="9" t="s">
        <v>78</v>
      </c>
      <c r="T202" s="9">
        <f t="shared" si="9"/>
        <v>3</v>
      </c>
      <c r="U202" s="9" t="s">
        <v>110</v>
      </c>
      <c r="V202" s="9">
        <f t="shared" si="10"/>
        <v>0.75</v>
      </c>
      <c r="W202" s="9" t="s">
        <v>86</v>
      </c>
      <c r="X202" s="9">
        <f t="shared" si="11"/>
        <v>1</v>
      </c>
      <c r="Y202" s="9">
        <f t="shared" si="12"/>
        <v>1</v>
      </c>
      <c r="Z202" s="9">
        <f t="shared" si="13"/>
        <v>1</v>
      </c>
      <c r="AA202" s="9">
        <f t="shared" si="14"/>
        <v>0</v>
      </c>
      <c r="AB202" s="9" t="s">
        <v>85</v>
      </c>
      <c r="AC202" s="9">
        <f t="shared" si="15"/>
        <v>4</v>
      </c>
      <c r="AD202" s="9" t="s">
        <v>85</v>
      </c>
      <c r="AE202" s="9">
        <f t="shared" si="16"/>
        <v>4</v>
      </c>
      <c r="AF202" s="9" t="s">
        <v>109</v>
      </c>
      <c r="AG202" s="9">
        <f t="shared" si="17"/>
        <v>9</v>
      </c>
      <c r="AH202" s="9" t="s">
        <v>103</v>
      </c>
      <c r="AI202" s="9">
        <f t="shared" si="18"/>
        <v>5</v>
      </c>
      <c r="AJ202" s="9" t="s">
        <v>73</v>
      </c>
      <c r="AK202" s="9">
        <f t="shared" si="19"/>
        <v>2</v>
      </c>
      <c r="AL202" s="9" t="s">
        <v>78</v>
      </c>
      <c r="AM202" s="9">
        <f t="shared" si="20"/>
        <v>3</v>
      </c>
      <c r="AN202" s="9" t="s">
        <v>78</v>
      </c>
      <c r="AO202" s="9">
        <f t="shared" si="21"/>
        <v>3</v>
      </c>
      <c r="AP202" s="9" t="s">
        <v>78</v>
      </c>
      <c r="AQ202" s="9">
        <f t="shared" si="22"/>
        <v>3</v>
      </c>
      <c r="AR202" s="9" t="s">
        <v>78</v>
      </c>
      <c r="AS202" s="9">
        <f t="shared" si="23"/>
        <v>3</v>
      </c>
      <c r="AT202" s="9" t="s">
        <v>165</v>
      </c>
      <c r="AU202" s="9">
        <f t="shared" si="24"/>
        <v>1</v>
      </c>
      <c r="AV202" s="9">
        <f t="shared" si="25"/>
        <v>1</v>
      </c>
      <c r="AW202" s="9">
        <f t="shared" si="26"/>
        <v>0</v>
      </c>
      <c r="AX202" s="9">
        <f t="shared" si="27"/>
        <v>1</v>
      </c>
      <c r="AY202" s="9">
        <f t="shared" si="28"/>
        <v>1</v>
      </c>
      <c r="AZ202" s="9">
        <f t="shared" si="29"/>
        <v>1</v>
      </c>
      <c r="BA202" s="9">
        <f t="shared" si="30"/>
        <v>1</v>
      </c>
      <c r="BB202" s="9" t="s">
        <v>88</v>
      </c>
      <c r="BC202" s="9">
        <f t="shared" si="31"/>
        <v>2</v>
      </c>
      <c r="BD202" s="12"/>
      <c r="BE202" s="9" t="str">
        <f t="shared" si="46"/>
        <v>N/A</v>
      </c>
      <c r="BF202" s="9" t="s">
        <v>166</v>
      </c>
      <c r="BG202" s="9">
        <f t="shared" si="33"/>
        <v>1</v>
      </c>
      <c r="BH202" s="9">
        <f t="shared" si="34"/>
        <v>0</v>
      </c>
      <c r="BI202" s="9">
        <f t="shared" si="35"/>
        <v>1</v>
      </c>
      <c r="BJ202" s="9">
        <f t="shared" si="36"/>
        <v>1</v>
      </c>
      <c r="BK202" s="9">
        <f t="shared" si="37"/>
        <v>1</v>
      </c>
      <c r="BL202" s="9">
        <f t="shared" si="38"/>
        <v>1</v>
      </c>
      <c r="BM202" s="9">
        <f t="shared" si="39"/>
        <v>1</v>
      </c>
      <c r="BN202" s="9" t="s">
        <v>68</v>
      </c>
      <c r="BO202" s="11">
        <f t="shared" si="40"/>
        <v>1</v>
      </c>
    </row>
    <row r="203" ht="22.5" customHeight="1">
      <c r="A203" s="9">
        <f t="shared" si="41"/>
        <v>202</v>
      </c>
      <c r="B203" s="10">
        <v>46051.90937685185</v>
      </c>
      <c r="C203" s="9" t="s">
        <v>67</v>
      </c>
      <c r="D203" s="9">
        <f t="shared" si="1"/>
        <v>1</v>
      </c>
      <c r="E203" s="9" t="s">
        <v>68</v>
      </c>
      <c r="F203" s="9">
        <f t="shared" si="2"/>
        <v>1</v>
      </c>
      <c r="G203" s="9" t="s">
        <v>69</v>
      </c>
      <c r="H203" s="9" t="str">
        <f t="shared" si="3"/>
        <v>Rural</v>
      </c>
      <c r="I203" s="9">
        <f t="shared" si="4"/>
        <v>1</v>
      </c>
      <c r="J203" s="9" t="s">
        <v>145</v>
      </c>
      <c r="K203" s="9" t="s">
        <v>146</v>
      </c>
      <c r="L203" s="9">
        <f t="shared" si="5"/>
        <v>1</v>
      </c>
      <c r="M203" s="9" t="s">
        <v>71</v>
      </c>
      <c r="N203" s="9">
        <f t="shared" si="6"/>
        <v>7.7</v>
      </c>
      <c r="O203" s="9" t="s">
        <v>78</v>
      </c>
      <c r="P203" s="9">
        <f t="shared" si="7"/>
        <v>3</v>
      </c>
      <c r="Q203" s="9" t="s">
        <v>72</v>
      </c>
      <c r="R203" s="9">
        <f t="shared" si="8"/>
        <v>1</v>
      </c>
      <c r="S203" s="9" t="s">
        <v>85</v>
      </c>
      <c r="T203" s="9">
        <f t="shared" si="9"/>
        <v>4</v>
      </c>
      <c r="U203" s="9" t="s">
        <v>96</v>
      </c>
      <c r="V203" s="9">
        <f t="shared" si="10"/>
        <v>2.5</v>
      </c>
      <c r="W203" s="9" t="s">
        <v>180</v>
      </c>
      <c r="X203" s="9">
        <f t="shared" si="11"/>
        <v>0</v>
      </c>
      <c r="Y203" s="9">
        <f t="shared" si="12"/>
        <v>1</v>
      </c>
      <c r="Z203" s="9">
        <f t="shared" si="13"/>
        <v>1</v>
      </c>
      <c r="AA203" s="9">
        <f t="shared" si="14"/>
        <v>0</v>
      </c>
      <c r="AB203" s="9" t="s">
        <v>85</v>
      </c>
      <c r="AC203" s="9">
        <f t="shared" si="15"/>
        <v>4</v>
      </c>
      <c r="AD203" s="9" t="s">
        <v>85</v>
      </c>
      <c r="AE203" s="9">
        <f t="shared" si="16"/>
        <v>4</v>
      </c>
      <c r="AF203" s="9" t="s">
        <v>76</v>
      </c>
      <c r="AG203" s="9">
        <f t="shared" si="17"/>
        <v>5.5</v>
      </c>
      <c r="AH203" s="9" t="s">
        <v>73</v>
      </c>
      <c r="AI203" s="9">
        <f t="shared" si="18"/>
        <v>2</v>
      </c>
      <c r="AJ203" s="9" t="s">
        <v>73</v>
      </c>
      <c r="AK203" s="9">
        <f t="shared" si="19"/>
        <v>2</v>
      </c>
      <c r="AL203" s="9" t="s">
        <v>77</v>
      </c>
      <c r="AM203" s="9">
        <f t="shared" si="20"/>
        <v>1</v>
      </c>
      <c r="AN203" s="9" t="s">
        <v>78</v>
      </c>
      <c r="AO203" s="9">
        <f t="shared" si="21"/>
        <v>3</v>
      </c>
      <c r="AP203" s="9" t="s">
        <v>73</v>
      </c>
      <c r="AQ203" s="9">
        <f t="shared" si="22"/>
        <v>2</v>
      </c>
      <c r="AR203" s="9" t="s">
        <v>85</v>
      </c>
      <c r="AS203" s="9">
        <f t="shared" si="23"/>
        <v>4</v>
      </c>
      <c r="AT203" s="9" t="s">
        <v>147</v>
      </c>
      <c r="AU203" s="9">
        <f t="shared" si="24"/>
        <v>1</v>
      </c>
      <c r="AV203" s="9">
        <f t="shared" si="25"/>
        <v>0</v>
      </c>
      <c r="AW203" s="9">
        <f t="shared" si="26"/>
        <v>0</v>
      </c>
      <c r="AX203" s="9">
        <f t="shared" si="27"/>
        <v>0</v>
      </c>
      <c r="AY203" s="9">
        <f t="shared" si="28"/>
        <v>0</v>
      </c>
      <c r="AZ203" s="9">
        <f t="shared" si="29"/>
        <v>0</v>
      </c>
      <c r="BA203" s="9">
        <f t="shared" si="30"/>
        <v>0</v>
      </c>
      <c r="BB203" s="9" t="s">
        <v>68</v>
      </c>
      <c r="BC203" s="9">
        <f t="shared" si="31"/>
        <v>1</v>
      </c>
      <c r="BD203" s="9" t="s">
        <v>292</v>
      </c>
      <c r="BE203" s="9" t="str">
        <f t="shared" si="46"/>
        <v>N/A</v>
      </c>
      <c r="BF203" s="9" t="s">
        <v>129</v>
      </c>
      <c r="BG203" s="9">
        <f t="shared" si="33"/>
        <v>0</v>
      </c>
      <c r="BH203" s="9">
        <f t="shared" si="34"/>
        <v>0</v>
      </c>
      <c r="BI203" s="9">
        <f t="shared" si="35"/>
        <v>0</v>
      </c>
      <c r="BJ203" s="9">
        <f t="shared" si="36"/>
        <v>0</v>
      </c>
      <c r="BK203" s="9">
        <f t="shared" si="37"/>
        <v>0</v>
      </c>
      <c r="BL203" s="9">
        <f t="shared" si="38"/>
        <v>1</v>
      </c>
      <c r="BM203" s="9">
        <f t="shared" si="39"/>
        <v>0</v>
      </c>
      <c r="BN203" s="9" t="s">
        <v>68</v>
      </c>
      <c r="BO203" s="11">
        <f t="shared" si="40"/>
        <v>1</v>
      </c>
    </row>
    <row r="204" ht="22.5" customHeight="1">
      <c r="A204" s="9">
        <f t="shared" si="41"/>
        <v>203</v>
      </c>
      <c r="B204" s="10">
        <v>46051.90976002315</v>
      </c>
      <c r="C204" s="9" t="s">
        <v>67</v>
      </c>
      <c r="D204" s="9">
        <f t="shared" si="1"/>
        <v>1</v>
      </c>
      <c r="E204" s="9" t="s">
        <v>68</v>
      </c>
      <c r="F204" s="9">
        <f t="shared" si="2"/>
        <v>1</v>
      </c>
      <c r="G204" s="9" t="s">
        <v>69</v>
      </c>
      <c r="H204" s="9" t="str">
        <f t="shared" si="3"/>
        <v>Rural</v>
      </c>
      <c r="I204" s="9">
        <f t="shared" si="4"/>
        <v>1</v>
      </c>
      <c r="J204" s="9" t="s">
        <v>145</v>
      </c>
      <c r="K204" s="9" t="s">
        <v>146</v>
      </c>
      <c r="L204" s="9">
        <f t="shared" si="5"/>
        <v>1</v>
      </c>
      <c r="M204" s="9" t="s">
        <v>76</v>
      </c>
      <c r="N204" s="9">
        <f t="shared" si="6"/>
        <v>5.5</v>
      </c>
      <c r="O204" s="9" t="s">
        <v>72</v>
      </c>
      <c r="P204" s="9">
        <f t="shared" si="7"/>
        <v>1</v>
      </c>
      <c r="Q204" s="9" t="s">
        <v>103</v>
      </c>
      <c r="R204" s="9">
        <f t="shared" si="8"/>
        <v>5</v>
      </c>
      <c r="S204" s="9" t="s">
        <v>73</v>
      </c>
      <c r="T204" s="9">
        <f t="shared" si="9"/>
        <v>2</v>
      </c>
      <c r="U204" s="9" t="s">
        <v>74</v>
      </c>
      <c r="V204" s="9">
        <f t="shared" si="10"/>
        <v>1.5</v>
      </c>
      <c r="W204" s="9" t="s">
        <v>111</v>
      </c>
      <c r="X204" s="9">
        <f t="shared" si="11"/>
        <v>1</v>
      </c>
      <c r="Y204" s="9">
        <f t="shared" si="12"/>
        <v>1</v>
      </c>
      <c r="Z204" s="9">
        <f t="shared" si="13"/>
        <v>0</v>
      </c>
      <c r="AA204" s="9">
        <f t="shared" si="14"/>
        <v>1</v>
      </c>
      <c r="AB204" s="9" t="s">
        <v>73</v>
      </c>
      <c r="AC204" s="9">
        <f t="shared" si="15"/>
        <v>2</v>
      </c>
      <c r="AD204" s="9" t="s">
        <v>73</v>
      </c>
      <c r="AE204" s="9">
        <f t="shared" si="16"/>
        <v>2</v>
      </c>
      <c r="AF204" s="9" t="s">
        <v>71</v>
      </c>
      <c r="AG204" s="9">
        <f t="shared" si="17"/>
        <v>7.7</v>
      </c>
      <c r="AH204" s="9" t="s">
        <v>103</v>
      </c>
      <c r="AI204" s="9">
        <f t="shared" si="18"/>
        <v>5</v>
      </c>
      <c r="AJ204" s="9" t="s">
        <v>85</v>
      </c>
      <c r="AK204" s="9">
        <f t="shared" si="19"/>
        <v>4</v>
      </c>
      <c r="AL204" s="9" t="s">
        <v>120</v>
      </c>
      <c r="AM204" s="9">
        <f t="shared" si="20"/>
        <v>5</v>
      </c>
      <c r="AN204" s="9" t="s">
        <v>120</v>
      </c>
      <c r="AO204" s="9">
        <f t="shared" si="21"/>
        <v>5</v>
      </c>
      <c r="AP204" s="9" t="s">
        <v>120</v>
      </c>
      <c r="AQ204" s="9">
        <f t="shared" si="22"/>
        <v>5</v>
      </c>
      <c r="AR204" s="9" t="s">
        <v>85</v>
      </c>
      <c r="AS204" s="9">
        <f t="shared" si="23"/>
        <v>4</v>
      </c>
      <c r="AT204" s="9" t="s">
        <v>293</v>
      </c>
      <c r="AU204" s="9">
        <f t="shared" si="24"/>
        <v>0</v>
      </c>
      <c r="AV204" s="9">
        <f t="shared" si="25"/>
        <v>1</v>
      </c>
      <c r="AW204" s="9">
        <f t="shared" si="26"/>
        <v>1</v>
      </c>
      <c r="AX204" s="9">
        <f t="shared" si="27"/>
        <v>0</v>
      </c>
      <c r="AY204" s="9">
        <f t="shared" si="28"/>
        <v>0</v>
      </c>
      <c r="AZ204" s="9">
        <f t="shared" si="29"/>
        <v>0</v>
      </c>
      <c r="BA204" s="9">
        <f t="shared" si="30"/>
        <v>0</v>
      </c>
      <c r="BB204" s="9" t="s">
        <v>88</v>
      </c>
      <c r="BC204" s="9">
        <f t="shared" si="31"/>
        <v>2</v>
      </c>
      <c r="BD204" s="12"/>
      <c r="BE204" s="9" t="str">
        <f t="shared" si="46"/>
        <v>N/A</v>
      </c>
      <c r="BF204" s="9" t="s">
        <v>185</v>
      </c>
      <c r="BG204" s="9">
        <f t="shared" si="33"/>
        <v>1</v>
      </c>
      <c r="BH204" s="9">
        <f t="shared" si="34"/>
        <v>1</v>
      </c>
      <c r="BI204" s="9">
        <f t="shared" si="35"/>
        <v>0</v>
      </c>
      <c r="BJ204" s="9">
        <f t="shared" si="36"/>
        <v>0</v>
      </c>
      <c r="BK204" s="9">
        <f t="shared" si="37"/>
        <v>0</v>
      </c>
      <c r="BL204" s="9">
        <f t="shared" si="38"/>
        <v>0</v>
      </c>
      <c r="BM204" s="9">
        <f t="shared" si="39"/>
        <v>1</v>
      </c>
      <c r="BN204" s="9" t="s">
        <v>68</v>
      </c>
      <c r="BO204" s="11">
        <f t="shared" si="40"/>
        <v>1</v>
      </c>
    </row>
    <row r="205" ht="22.5" customHeight="1">
      <c r="A205" s="9">
        <f t="shared" si="41"/>
        <v>204</v>
      </c>
      <c r="B205" s="10">
        <v>46051.92072637731</v>
      </c>
      <c r="C205" s="9" t="s">
        <v>90</v>
      </c>
      <c r="D205" s="9">
        <f t="shared" si="1"/>
        <v>2</v>
      </c>
      <c r="E205" s="9" t="s">
        <v>68</v>
      </c>
      <c r="F205" s="9">
        <f t="shared" si="2"/>
        <v>1</v>
      </c>
      <c r="G205" s="9" t="s">
        <v>69</v>
      </c>
      <c r="H205" s="9" t="str">
        <f t="shared" si="3"/>
        <v>Rural</v>
      </c>
      <c r="I205" s="9">
        <f t="shared" si="4"/>
        <v>1</v>
      </c>
      <c r="J205" s="9" t="s">
        <v>70</v>
      </c>
      <c r="K205" s="9" t="s">
        <v>100</v>
      </c>
      <c r="L205" s="9">
        <f t="shared" si="5"/>
        <v>3</v>
      </c>
      <c r="M205" s="9" t="s">
        <v>71</v>
      </c>
      <c r="N205" s="9">
        <f t="shared" si="6"/>
        <v>7.7</v>
      </c>
      <c r="O205" s="9" t="s">
        <v>72</v>
      </c>
      <c r="P205" s="9">
        <f t="shared" si="7"/>
        <v>1</v>
      </c>
      <c r="Q205" s="9" t="s">
        <v>72</v>
      </c>
      <c r="R205" s="9">
        <f t="shared" si="8"/>
        <v>1</v>
      </c>
      <c r="S205" s="9" t="s">
        <v>72</v>
      </c>
      <c r="T205" s="9">
        <f t="shared" si="9"/>
        <v>1</v>
      </c>
      <c r="U205" s="9" t="s">
        <v>74</v>
      </c>
      <c r="V205" s="9">
        <f t="shared" si="10"/>
        <v>1.5</v>
      </c>
      <c r="W205" s="9" t="s">
        <v>143</v>
      </c>
      <c r="X205" s="9">
        <f t="shared" si="11"/>
        <v>1</v>
      </c>
      <c r="Y205" s="9">
        <f t="shared" si="12"/>
        <v>0</v>
      </c>
      <c r="Z205" s="9">
        <f t="shared" si="13"/>
        <v>0</v>
      </c>
      <c r="AA205" s="9">
        <f t="shared" si="14"/>
        <v>0</v>
      </c>
      <c r="AB205" s="9" t="s">
        <v>72</v>
      </c>
      <c r="AC205" s="9">
        <f t="shared" si="15"/>
        <v>1</v>
      </c>
      <c r="AD205" s="9" t="s">
        <v>73</v>
      </c>
      <c r="AE205" s="9">
        <f t="shared" si="16"/>
        <v>2</v>
      </c>
      <c r="AF205" s="9" t="s">
        <v>109</v>
      </c>
      <c r="AG205" s="9">
        <f t="shared" si="17"/>
        <v>9</v>
      </c>
      <c r="AH205" s="9" t="s">
        <v>73</v>
      </c>
      <c r="AI205" s="9">
        <f t="shared" si="18"/>
        <v>2</v>
      </c>
      <c r="AJ205" s="9" t="s">
        <v>77</v>
      </c>
      <c r="AK205" s="9">
        <f t="shared" si="19"/>
        <v>1</v>
      </c>
      <c r="AL205" s="9" t="s">
        <v>78</v>
      </c>
      <c r="AM205" s="9">
        <f t="shared" si="20"/>
        <v>3</v>
      </c>
      <c r="AN205" s="9" t="s">
        <v>78</v>
      </c>
      <c r="AO205" s="9">
        <f t="shared" si="21"/>
        <v>3</v>
      </c>
      <c r="AP205" s="9" t="s">
        <v>78</v>
      </c>
      <c r="AQ205" s="9">
        <f t="shared" si="22"/>
        <v>3</v>
      </c>
      <c r="AR205" s="9" t="s">
        <v>77</v>
      </c>
      <c r="AS205" s="9">
        <f t="shared" si="23"/>
        <v>1</v>
      </c>
      <c r="AT205" s="9" t="s">
        <v>294</v>
      </c>
      <c r="AU205" s="9">
        <f t="shared" si="24"/>
        <v>0</v>
      </c>
      <c r="AV205" s="9">
        <f t="shared" si="25"/>
        <v>0</v>
      </c>
      <c r="AW205" s="9">
        <f t="shared" si="26"/>
        <v>0</v>
      </c>
      <c r="AX205" s="9">
        <f t="shared" si="27"/>
        <v>0</v>
      </c>
      <c r="AY205" s="9">
        <f t="shared" si="28"/>
        <v>0</v>
      </c>
      <c r="AZ205" s="9">
        <f t="shared" si="29"/>
        <v>0</v>
      </c>
      <c r="BA205" s="9">
        <f t="shared" si="30"/>
        <v>0</v>
      </c>
      <c r="BB205" s="9" t="s">
        <v>88</v>
      </c>
      <c r="BC205" s="9">
        <f t="shared" si="31"/>
        <v>2</v>
      </c>
      <c r="BD205" s="12"/>
      <c r="BE205" s="9" t="str">
        <f t="shared" si="46"/>
        <v>N/A</v>
      </c>
      <c r="BF205" s="9" t="s">
        <v>107</v>
      </c>
      <c r="BG205" s="9">
        <f t="shared" si="33"/>
        <v>1</v>
      </c>
      <c r="BH205" s="9">
        <f t="shared" si="34"/>
        <v>0</v>
      </c>
      <c r="BI205" s="9">
        <f t="shared" si="35"/>
        <v>0</v>
      </c>
      <c r="BJ205" s="9">
        <f t="shared" si="36"/>
        <v>0</v>
      </c>
      <c r="BK205" s="9">
        <f t="shared" si="37"/>
        <v>0</v>
      </c>
      <c r="BL205" s="9">
        <f t="shared" si="38"/>
        <v>0</v>
      </c>
      <c r="BM205" s="9">
        <f t="shared" si="39"/>
        <v>0</v>
      </c>
      <c r="BN205" s="9" t="s">
        <v>108</v>
      </c>
      <c r="BO205" s="11">
        <f t="shared" si="40"/>
        <v>3</v>
      </c>
    </row>
    <row r="206" ht="22.5" customHeight="1">
      <c r="A206" s="9">
        <f t="shared" si="41"/>
        <v>205</v>
      </c>
      <c r="B206" s="10">
        <v>46051.92196976852</v>
      </c>
      <c r="C206" s="9" t="s">
        <v>90</v>
      </c>
      <c r="D206" s="9">
        <f t="shared" si="1"/>
        <v>2</v>
      </c>
      <c r="E206" s="9" t="s">
        <v>68</v>
      </c>
      <c r="F206" s="9">
        <f t="shared" si="2"/>
        <v>1</v>
      </c>
      <c r="G206" s="9" t="s">
        <v>91</v>
      </c>
      <c r="H206" s="9" t="str">
        <f t="shared" si="3"/>
        <v>Urban</v>
      </c>
      <c r="I206" s="9">
        <f t="shared" si="4"/>
        <v>2</v>
      </c>
      <c r="J206" s="9" t="s">
        <v>83</v>
      </c>
      <c r="K206" s="9" t="s">
        <v>84</v>
      </c>
      <c r="L206" s="9">
        <f t="shared" si="5"/>
        <v>2</v>
      </c>
      <c r="M206" s="9" t="s">
        <v>101</v>
      </c>
      <c r="N206" s="9">
        <f t="shared" si="6"/>
        <v>2</v>
      </c>
      <c r="O206" s="9" t="s">
        <v>73</v>
      </c>
      <c r="P206" s="9">
        <f t="shared" si="7"/>
        <v>2</v>
      </c>
      <c r="Q206" s="9" t="s">
        <v>78</v>
      </c>
      <c r="R206" s="9">
        <f t="shared" si="8"/>
        <v>3</v>
      </c>
      <c r="S206" s="9" t="s">
        <v>78</v>
      </c>
      <c r="T206" s="9">
        <f t="shared" si="9"/>
        <v>3</v>
      </c>
      <c r="U206" s="9" t="s">
        <v>96</v>
      </c>
      <c r="V206" s="9">
        <f t="shared" si="10"/>
        <v>2.5</v>
      </c>
      <c r="W206" s="9" t="s">
        <v>86</v>
      </c>
      <c r="X206" s="9">
        <f t="shared" si="11"/>
        <v>1</v>
      </c>
      <c r="Y206" s="9">
        <f t="shared" si="12"/>
        <v>1</v>
      </c>
      <c r="Z206" s="9">
        <f t="shared" si="13"/>
        <v>1</v>
      </c>
      <c r="AA206" s="9">
        <f t="shared" si="14"/>
        <v>0</v>
      </c>
      <c r="AB206" s="9" t="s">
        <v>103</v>
      </c>
      <c r="AC206" s="9">
        <f t="shared" si="15"/>
        <v>5</v>
      </c>
      <c r="AD206" s="9" t="s">
        <v>78</v>
      </c>
      <c r="AE206" s="9">
        <f t="shared" si="16"/>
        <v>3</v>
      </c>
      <c r="AF206" s="9" t="s">
        <v>101</v>
      </c>
      <c r="AG206" s="9">
        <f t="shared" si="17"/>
        <v>2</v>
      </c>
      <c r="AH206" s="9" t="s">
        <v>78</v>
      </c>
      <c r="AI206" s="9">
        <f t="shared" si="18"/>
        <v>3</v>
      </c>
      <c r="AJ206" s="9" t="s">
        <v>77</v>
      </c>
      <c r="AK206" s="9">
        <f t="shared" si="19"/>
        <v>1</v>
      </c>
      <c r="AL206" s="9" t="s">
        <v>120</v>
      </c>
      <c r="AM206" s="9">
        <f t="shared" si="20"/>
        <v>5</v>
      </c>
      <c r="AN206" s="9" t="s">
        <v>120</v>
      </c>
      <c r="AO206" s="9">
        <f t="shared" si="21"/>
        <v>5</v>
      </c>
      <c r="AP206" s="9" t="s">
        <v>120</v>
      </c>
      <c r="AQ206" s="9">
        <f t="shared" si="22"/>
        <v>5</v>
      </c>
      <c r="AR206" s="9" t="s">
        <v>120</v>
      </c>
      <c r="AS206" s="9">
        <f t="shared" si="23"/>
        <v>5</v>
      </c>
      <c r="AT206" s="9" t="s">
        <v>147</v>
      </c>
      <c r="AU206" s="9">
        <f t="shared" si="24"/>
        <v>1</v>
      </c>
      <c r="AV206" s="9">
        <f t="shared" si="25"/>
        <v>0</v>
      </c>
      <c r="AW206" s="9">
        <f t="shared" si="26"/>
        <v>0</v>
      </c>
      <c r="AX206" s="9">
        <f t="shared" si="27"/>
        <v>0</v>
      </c>
      <c r="AY206" s="9">
        <f t="shared" si="28"/>
        <v>0</v>
      </c>
      <c r="AZ206" s="9">
        <f t="shared" si="29"/>
        <v>0</v>
      </c>
      <c r="BA206" s="9">
        <f t="shared" si="30"/>
        <v>0</v>
      </c>
      <c r="BB206" s="9" t="s">
        <v>88</v>
      </c>
      <c r="BC206" s="9">
        <f t="shared" si="31"/>
        <v>2</v>
      </c>
      <c r="BD206" s="12"/>
      <c r="BE206" s="9" t="str">
        <f t="shared" si="46"/>
        <v>N/A</v>
      </c>
      <c r="BF206" s="9" t="s">
        <v>107</v>
      </c>
      <c r="BG206" s="9">
        <f t="shared" si="33"/>
        <v>1</v>
      </c>
      <c r="BH206" s="9">
        <f t="shared" si="34"/>
        <v>0</v>
      </c>
      <c r="BI206" s="9">
        <f t="shared" si="35"/>
        <v>0</v>
      </c>
      <c r="BJ206" s="9">
        <f t="shared" si="36"/>
        <v>0</v>
      </c>
      <c r="BK206" s="9">
        <f t="shared" si="37"/>
        <v>0</v>
      </c>
      <c r="BL206" s="9">
        <f t="shared" si="38"/>
        <v>0</v>
      </c>
      <c r="BM206" s="9">
        <f t="shared" si="39"/>
        <v>0</v>
      </c>
      <c r="BN206" s="9" t="s">
        <v>68</v>
      </c>
      <c r="BO206" s="11">
        <f t="shared" si="40"/>
        <v>1</v>
      </c>
    </row>
    <row r="207" ht="22.5" customHeight="1">
      <c r="A207" s="9">
        <f t="shared" si="41"/>
        <v>206</v>
      </c>
      <c r="B207" s="10">
        <v>46051.922343240745</v>
      </c>
      <c r="C207" s="9" t="s">
        <v>67</v>
      </c>
      <c r="D207" s="9">
        <f t="shared" si="1"/>
        <v>1</v>
      </c>
      <c r="E207" s="9" t="s">
        <v>68</v>
      </c>
      <c r="F207" s="9">
        <f t="shared" si="2"/>
        <v>1</v>
      </c>
      <c r="G207" s="9" t="s">
        <v>91</v>
      </c>
      <c r="H207" s="9" t="str">
        <f t="shared" si="3"/>
        <v>Urban</v>
      </c>
      <c r="I207" s="9">
        <f t="shared" si="4"/>
        <v>2</v>
      </c>
      <c r="J207" s="9" t="s">
        <v>70</v>
      </c>
      <c r="K207" s="9" t="s">
        <v>100</v>
      </c>
      <c r="L207" s="9">
        <f t="shared" si="5"/>
        <v>3</v>
      </c>
      <c r="M207" s="9" t="s">
        <v>109</v>
      </c>
      <c r="N207" s="9">
        <f t="shared" si="6"/>
        <v>9</v>
      </c>
      <c r="O207" s="9" t="s">
        <v>73</v>
      </c>
      <c r="P207" s="9">
        <f t="shared" si="7"/>
        <v>2</v>
      </c>
      <c r="Q207" s="9" t="s">
        <v>85</v>
      </c>
      <c r="R207" s="9">
        <f t="shared" si="8"/>
        <v>4</v>
      </c>
      <c r="S207" s="9" t="s">
        <v>72</v>
      </c>
      <c r="T207" s="9">
        <f t="shared" si="9"/>
        <v>1</v>
      </c>
      <c r="U207" s="9" t="s">
        <v>74</v>
      </c>
      <c r="V207" s="9">
        <f t="shared" si="10"/>
        <v>1.5</v>
      </c>
      <c r="W207" s="9" t="s">
        <v>93</v>
      </c>
      <c r="X207" s="9">
        <f t="shared" si="11"/>
        <v>0</v>
      </c>
      <c r="Y207" s="9">
        <f t="shared" si="12"/>
        <v>1</v>
      </c>
      <c r="Z207" s="9">
        <f t="shared" si="13"/>
        <v>0</v>
      </c>
      <c r="AA207" s="9">
        <f t="shared" si="14"/>
        <v>0</v>
      </c>
      <c r="AB207" s="9" t="s">
        <v>78</v>
      </c>
      <c r="AC207" s="9">
        <f t="shared" si="15"/>
        <v>3</v>
      </c>
      <c r="AD207" s="9" t="s">
        <v>73</v>
      </c>
      <c r="AE207" s="9">
        <f t="shared" si="16"/>
        <v>2</v>
      </c>
      <c r="AF207" s="9" t="s">
        <v>71</v>
      </c>
      <c r="AG207" s="9">
        <f t="shared" si="17"/>
        <v>7.7</v>
      </c>
      <c r="AH207" s="9" t="s">
        <v>103</v>
      </c>
      <c r="AI207" s="9">
        <f t="shared" si="18"/>
        <v>5</v>
      </c>
      <c r="AJ207" s="9" t="s">
        <v>78</v>
      </c>
      <c r="AK207" s="9">
        <f t="shared" si="19"/>
        <v>3</v>
      </c>
      <c r="AL207" s="9" t="s">
        <v>78</v>
      </c>
      <c r="AM207" s="9">
        <f t="shared" si="20"/>
        <v>3</v>
      </c>
      <c r="AN207" s="9" t="s">
        <v>85</v>
      </c>
      <c r="AO207" s="9">
        <f t="shared" si="21"/>
        <v>4</v>
      </c>
      <c r="AP207" s="9" t="s">
        <v>85</v>
      </c>
      <c r="AQ207" s="9">
        <f t="shared" si="22"/>
        <v>4</v>
      </c>
      <c r="AR207" s="9" t="s">
        <v>85</v>
      </c>
      <c r="AS207" s="9">
        <f t="shared" si="23"/>
        <v>4</v>
      </c>
      <c r="AT207" s="9" t="s">
        <v>94</v>
      </c>
      <c r="AU207" s="9">
        <f t="shared" si="24"/>
        <v>0</v>
      </c>
      <c r="AV207" s="9">
        <f t="shared" si="25"/>
        <v>0</v>
      </c>
      <c r="AW207" s="9">
        <f t="shared" si="26"/>
        <v>1</v>
      </c>
      <c r="AX207" s="9">
        <f t="shared" si="27"/>
        <v>0</v>
      </c>
      <c r="AY207" s="9">
        <f t="shared" si="28"/>
        <v>0</v>
      </c>
      <c r="AZ207" s="9">
        <f t="shared" si="29"/>
        <v>1</v>
      </c>
      <c r="BA207" s="9">
        <f t="shared" si="30"/>
        <v>0</v>
      </c>
      <c r="BB207" s="9" t="s">
        <v>88</v>
      </c>
      <c r="BC207" s="9">
        <f t="shared" si="31"/>
        <v>2</v>
      </c>
      <c r="BD207" s="12"/>
      <c r="BE207" s="9" t="str">
        <f t="shared" si="46"/>
        <v>N/A</v>
      </c>
      <c r="BF207" s="9" t="s">
        <v>206</v>
      </c>
      <c r="BG207" s="9">
        <f t="shared" si="33"/>
        <v>1</v>
      </c>
      <c r="BH207" s="9">
        <f t="shared" si="34"/>
        <v>0</v>
      </c>
      <c r="BI207" s="9">
        <f t="shared" si="35"/>
        <v>0</v>
      </c>
      <c r="BJ207" s="9">
        <f t="shared" si="36"/>
        <v>1</v>
      </c>
      <c r="BK207" s="9">
        <f t="shared" si="37"/>
        <v>0</v>
      </c>
      <c r="BL207" s="9">
        <f t="shared" si="38"/>
        <v>0</v>
      </c>
      <c r="BM207" s="9">
        <f t="shared" si="39"/>
        <v>0</v>
      </c>
      <c r="BN207" s="9" t="s">
        <v>68</v>
      </c>
      <c r="BO207" s="11">
        <f t="shared" si="40"/>
        <v>1</v>
      </c>
    </row>
    <row r="208" ht="22.5" customHeight="1">
      <c r="A208" s="9">
        <f t="shared" si="41"/>
        <v>207</v>
      </c>
      <c r="B208" s="10">
        <v>46051.92234508102</v>
      </c>
      <c r="C208" s="9" t="s">
        <v>90</v>
      </c>
      <c r="D208" s="9">
        <f t="shared" si="1"/>
        <v>2</v>
      </c>
      <c r="E208" s="9" t="s">
        <v>68</v>
      </c>
      <c r="F208" s="9">
        <f t="shared" si="2"/>
        <v>1</v>
      </c>
      <c r="G208" s="9" t="s">
        <v>82</v>
      </c>
      <c r="H208" s="9" t="str">
        <f t="shared" si="3"/>
        <v>Urban</v>
      </c>
      <c r="I208" s="9">
        <f t="shared" si="4"/>
        <v>2</v>
      </c>
      <c r="J208" s="9" t="s">
        <v>83</v>
      </c>
      <c r="K208" s="9" t="s">
        <v>84</v>
      </c>
      <c r="L208" s="9">
        <f t="shared" si="5"/>
        <v>2</v>
      </c>
      <c r="M208" s="9" t="s">
        <v>71</v>
      </c>
      <c r="N208" s="9">
        <f t="shared" si="6"/>
        <v>7.7</v>
      </c>
      <c r="O208" s="9" t="s">
        <v>85</v>
      </c>
      <c r="P208" s="9">
        <f t="shared" si="7"/>
        <v>4</v>
      </c>
      <c r="Q208" s="9" t="s">
        <v>73</v>
      </c>
      <c r="R208" s="9">
        <f t="shared" si="8"/>
        <v>2</v>
      </c>
      <c r="S208" s="9" t="s">
        <v>78</v>
      </c>
      <c r="T208" s="9">
        <f t="shared" si="9"/>
        <v>3</v>
      </c>
      <c r="U208" s="9" t="s">
        <v>96</v>
      </c>
      <c r="V208" s="9">
        <f t="shared" si="10"/>
        <v>2.5</v>
      </c>
      <c r="W208" s="9" t="s">
        <v>143</v>
      </c>
      <c r="X208" s="9">
        <f t="shared" si="11"/>
        <v>1</v>
      </c>
      <c r="Y208" s="9">
        <f t="shared" si="12"/>
        <v>0</v>
      </c>
      <c r="Z208" s="9">
        <f t="shared" si="13"/>
        <v>0</v>
      </c>
      <c r="AA208" s="9">
        <f t="shared" si="14"/>
        <v>0</v>
      </c>
      <c r="AB208" s="9" t="s">
        <v>78</v>
      </c>
      <c r="AC208" s="9">
        <f t="shared" si="15"/>
        <v>3</v>
      </c>
      <c r="AD208" s="9" t="s">
        <v>72</v>
      </c>
      <c r="AE208" s="9">
        <f t="shared" si="16"/>
        <v>1</v>
      </c>
      <c r="AF208" s="9" t="s">
        <v>71</v>
      </c>
      <c r="AG208" s="9">
        <f t="shared" si="17"/>
        <v>7.7</v>
      </c>
      <c r="AH208" s="9" t="s">
        <v>103</v>
      </c>
      <c r="AI208" s="9">
        <f t="shared" si="18"/>
        <v>5</v>
      </c>
      <c r="AJ208" s="9" t="s">
        <v>78</v>
      </c>
      <c r="AK208" s="9">
        <f t="shared" si="19"/>
        <v>3</v>
      </c>
      <c r="AL208" s="9" t="s">
        <v>73</v>
      </c>
      <c r="AM208" s="9">
        <f t="shared" si="20"/>
        <v>2</v>
      </c>
      <c r="AN208" s="9" t="s">
        <v>77</v>
      </c>
      <c r="AO208" s="9">
        <f t="shared" si="21"/>
        <v>1</v>
      </c>
      <c r="AP208" s="9" t="s">
        <v>78</v>
      </c>
      <c r="AQ208" s="9">
        <f t="shared" si="22"/>
        <v>3</v>
      </c>
      <c r="AR208" s="9" t="s">
        <v>78</v>
      </c>
      <c r="AS208" s="9">
        <f t="shared" si="23"/>
        <v>3</v>
      </c>
      <c r="AT208" s="9" t="s">
        <v>147</v>
      </c>
      <c r="AU208" s="9">
        <f t="shared" si="24"/>
        <v>1</v>
      </c>
      <c r="AV208" s="9">
        <f t="shared" si="25"/>
        <v>0</v>
      </c>
      <c r="AW208" s="9">
        <f t="shared" si="26"/>
        <v>0</v>
      </c>
      <c r="AX208" s="9">
        <f t="shared" si="27"/>
        <v>0</v>
      </c>
      <c r="AY208" s="9">
        <f t="shared" si="28"/>
        <v>0</v>
      </c>
      <c r="AZ208" s="9">
        <f t="shared" si="29"/>
        <v>0</v>
      </c>
      <c r="BA208" s="9">
        <f t="shared" si="30"/>
        <v>0</v>
      </c>
      <c r="BB208" s="9" t="s">
        <v>88</v>
      </c>
      <c r="BC208" s="9">
        <f t="shared" si="31"/>
        <v>2</v>
      </c>
      <c r="BD208" s="12"/>
      <c r="BE208" s="9" t="str">
        <f t="shared" si="46"/>
        <v>N/A</v>
      </c>
      <c r="BF208" s="9" t="s">
        <v>252</v>
      </c>
      <c r="BG208" s="9">
        <f t="shared" si="33"/>
        <v>1</v>
      </c>
      <c r="BH208" s="9">
        <f t="shared" si="34"/>
        <v>1</v>
      </c>
      <c r="BI208" s="9">
        <f t="shared" si="35"/>
        <v>0</v>
      </c>
      <c r="BJ208" s="9">
        <f t="shared" si="36"/>
        <v>0</v>
      </c>
      <c r="BK208" s="9">
        <f t="shared" si="37"/>
        <v>0</v>
      </c>
      <c r="BL208" s="9">
        <f t="shared" si="38"/>
        <v>0</v>
      </c>
      <c r="BM208" s="9">
        <f t="shared" si="39"/>
        <v>0</v>
      </c>
      <c r="BN208" s="9" t="s">
        <v>108</v>
      </c>
      <c r="BO208" s="11">
        <f t="shared" si="40"/>
        <v>3</v>
      </c>
    </row>
    <row r="209" ht="22.5" customHeight="1">
      <c r="A209" s="9">
        <f t="shared" si="41"/>
        <v>208</v>
      </c>
      <c r="B209" s="10">
        <v>46051.92268472222</v>
      </c>
      <c r="C209" s="9" t="s">
        <v>90</v>
      </c>
      <c r="D209" s="9">
        <f t="shared" si="1"/>
        <v>2</v>
      </c>
      <c r="E209" s="9" t="s">
        <v>68</v>
      </c>
      <c r="F209" s="9">
        <f t="shared" si="2"/>
        <v>1</v>
      </c>
      <c r="G209" s="9" t="s">
        <v>91</v>
      </c>
      <c r="H209" s="9" t="str">
        <f t="shared" si="3"/>
        <v>Urban</v>
      </c>
      <c r="I209" s="9">
        <f t="shared" si="4"/>
        <v>2</v>
      </c>
      <c r="J209" s="9" t="s">
        <v>70</v>
      </c>
      <c r="K209" s="9" t="s">
        <v>100</v>
      </c>
      <c r="L209" s="9">
        <f t="shared" si="5"/>
        <v>3</v>
      </c>
      <c r="M209" s="9" t="s">
        <v>71</v>
      </c>
      <c r="N209" s="9">
        <f t="shared" si="6"/>
        <v>7.7</v>
      </c>
      <c r="O209" s="9" t="s">
        <v>78</v>
      </c>
      <c r="P209" s="9">
        <f t="shared" si="7"/>
        <v>3</v>
      </c>
      <c r="Q209" s="9" t="s">
        <v>73</v>
      </c>
      <c r="R209" s="9">
        <f t="shared" si="8"/>
        <v>2</v>
      </c>
      <c r="S209" s="9" t="s">
        <v>73</v>
      </c>
      <c r="T209" s="9">
        <f t="shared" si="9"/>
        <v>2</v>
      </c>
      <c r="U209" s="9" t="s">
        <v>96</v>
      </c>
      <c r="V209" s="9">
        <f t="shared" si="10"/>
        <v>2.5</v>
      </c>
      <c r="W209" s="9" t="s">
        <v>93</v>
      </c>
      <c r="X209" s="9">
        <f t="shared" si="11"/>
        <v>0</v>
      </c>
      <c r="Y209" s="9">
        <f t="shared" si="12"/>
        <v>1</v>
      </c>
      <c r="Z209" s="9">
        <f t="shared" si="13"/>
        <v>0</v>
      </c>
      <c r="AA209" s="9">
        <f t="shared" si="14"/>
        <v>0</v>
      </c>
      <c r="AB209" s="9" t="s">
        <v>78</v>
      </c>
      <c r="AC209" s="9">
        <f t="shared" si="15"/>
        <v>3</v>
      </c>
      <c r="AD209" s="9" t="s">
        <v>78</v>
      </c>
      <c r="AE209" s="9">
        <f t="shared" si="16"/>
        <v>3</v>
      </c>
      <c r="AF209" s="9" t="s">
        <v>76</v>
      </c>
      <c r="AG209" s="9">
        <f t="shared" si="17"/>
        <v>5.5</v>
      </c>
      <c r="AH209" s="9" t="s">
        <v>78</v>
      </c>
      <c r="AI209" s="9">
        <f t="shared" si="18"/>
        <v>3</v>
      </c>
      <c r="AJ209" s="9" t="s">
        <v>73</v>
      </c>
      <c r="AK209" s="9">
        <f t="shared" si="19"/>
        <v>2</v>
      </c>
      <c r="AL209" s="9" t="s">
        <v>77</v>
      </c>
      <c r="AM209" s="9">
        <f t="shared" si="20"/>
        <v>1</v>
      </c>
      <c r="AN209" s="9" t="s">
        <v>73</v>
      </c>
      <c r="AO209" s="9">
        <f t="shared" si="21"/>
        <v>2</v>
      </c>
      <c r="AP209" s="9" t="s">
        <v>73</v>
      </c>
      <c r="AQ209" s="9">
        <f t="shared" si="22"/>
        <v>2</v>
      </c>
      <c r="AR209" s="9" t="s">
        <v>73</v>
      </c>
      <c r="AS209" s="9">
        <f t="shared" si="23"/>
        <v>2</v>
      </c>
      <c r="AT209" s="9" t="s">
        <v>294</v>
      </c>
      <c r="AU209" s="9">
        <f t="shared" si="24"/>
        <v>0</v>
      </c>
      <c r="AV209" s="9">
        <f t="shared" si="25"/>
        <v>0</v>
      </c>
      <c r="AW209" s="9">
        <f t="shared" si="26"/>
        <v>0</v>
      </c>
      <c r="AX209" s="9">
        <f t="shared" si="27"/>
        <v>0</v>
      </c>
      <c r="AY209" s="9">
        <f t="shared" si="28"/>
        <v>0</v>
      </c>
      <c r="AZ209" s="9">
        <f t="shared" si="29"/>
        <v>0</v>
      </c>
      <c r="BA209" s="9">
        <f t="shared" si="30"/>
        <v>0</v>
      </c>
      <c r="BB209" s="9" t="s">
        <v>88</v>
      </c>
      <c r="BC209" s="9">
        <f t="shared" si="31"/>
        <v>2</v>
      </c>
      <c r="BD209" s="12"/>
      <c r="BE209" s="9" t="str">
        <f t="shared" si="46"/>
        <v>N/A</v>
      </c>
      <c r="BF209" s="9" t="s">
        <v>113</v>
      </c>
      <c r="BG209" s="9">
        <f t="shared" si="33"/>
        <v>0</v>
      </c>
      <c r="BH209" s="9">
        <f t="shared" si="34"/>
        <v>0</v>
      </c>
      <c r="BI209" s="9">
        <f t="shared" si="35"/>
        <v>0</v>
      </c>
      <c r="BJ209" s="9">
        <f t="shared" si="36"/>
        <v>0</v>
      </c>
      <c r="BK209" s="9">
        <f t="shared" si="37"/>
        <v>0</v>
      </c>
      <c r="BL209" s="9">
        <f t="shared" si="38"/>
        <v>0</v>
      </c>
      <c r="BM209" s="9">
        <f t="shared" si="39"/>
        <v>1</v>
      </c>
      <c r="BN209" s="9" t="s">
        <v>68</v>
      </c>
      <c r="BO209" s="11">
        <f t="shared" si="40"/>
        <v>1</v>
      </c>
    </row>
    <row r="210" ht="22.5" customHeight="1">
      <c r="A210" s="9">
        <f t="shared" si="41"/>
        <v>209</v>
      </c>
      <c r="B210" s="10">
        <v>46051.923971145836</v>
      </c>
      <c r="C210" s="9" t="s">
        <v>90</v>
      </c>
      <c r="D210" s="9">
        <f t="shared" si="1"/>
        <v>2</v>
      </c>
      <c r="E210" s="9" t="s">
        <v>68</v>
      </c>
      <c r="F210" s="9">
        <f t="shared" si="2"/>
        <v>1</v>
      </c>
      <c r="G210" s="9" t="s">
        <v>82</v>
      </c>
      <c r="H210" s="9" t="str">
        <f t="shared" si="3"/>
        <v>Urban</v>
      </c>
      <c r="I210" s="9">
        <f t="shared" si="4"/>
        <v>2</v>
      </c>
      <c r="J210" s="9" t="s">
        <v>70</v>
      </c>
      <c r="K210" s="9" t="s">
        <v>100</v>
      </c>
      <c r="L210" s="9">
        <f t="shared" si="5"/>
        <v>3</v>
      </c>
      <c r="M210" s="9" t="s">
        <v>76</v>
      </c>
      <c r="N210" s="9">
        <f t="shared" si="6"/>
        <v>5.5</v>
      </c>
      <c r="O210" s="9" t="s">
        <v>73</v>
      </c>
      <c r="P210" s="9">
        <f t="shared" si="7"/>
        <v>2</v>
      </c>
      <c r="Q210" s="9" t="s">
        <v>78</v>
      </c>
      <c r="R210" s="9">
        <f t="shared" si="8"/>
        <v>3</v>
      </c>
      <c r="S210" s="9" t="s">
        <v>73</v>
      </c>
      <c r="T210" s="9">
        <f t="shared" si="9"/>
        <v>2</v>
      </c>
      <c r="U210" s="9" t="s">
        <v>74</v>
      </c>
      <c r="V210" s="9">
        <f t="shared" si="10"/>
        <v>1.5</v>
      </c>
      <c r="W210" s="9" t="s">
        <v>143</v>
      </c>
      <c r="X210" s="9">
        <f t="shared" si="11"/>
        <v>1</v>
      </c>
      <c r="Y210" s="9">
        <f t="shared" si="12"/>
        <v>0</v>
      </c>
      <c r="Z210" s="9">
        <f t="shared" si="13"/>
        <v>0</v>
      </c>
      <c r="AA210" s="9">
        <f t="shared" si="14"/>
        <v>0</v>
      </c>
      <c r="AB210" s="9" t="s">
        <v>85</v>
      </c>
      <c r="AC210" s="9">
        <f t="shared" si="15"/>
        <v>4</v>
      </c>
      <c r="AD210" s="9" t="s">
        <v>85</v>
      </c>
      <c r="AE210" s="9">
        <f t="shared" si="16"/>
        <v>4</v>
      </c>
      <c r="AF210" s="9" t="s">
        <v>76</v>
      </c>
      <c r="AG210" s="9">
        <f t="shared" si="17"/>
        <v>5.5</v>
      </c>
      <c r="AH210" s="9" t="s">
        <v>85</v>
      </c>
      <c r="AI210" s="9">
        <f t="shared" si="18"/>
        <v>4</v>
      </c>
      <c r="AJ210" s="9" t="s">
        <v>78</v>
      </c>
      <c r="AK210" s="9">
        <f t="shared" si="19"/>
        <v>3</v>
      </c>
      <c r="AL210" s="9" t="s">
        <v>85</v>
      </c>
      <c r="AM210" s="9">
        <f t="shared" si="20"/>
        <v>4</v>
      </c>
      <c r="AN210" s="9" t="s">
        <v>85</v>
      </c>
      <c r="AO210" s="9">
        <f t="shared" si="21"/>
        <v>4</v>
      </c>
      <c r="AP210" s="9" t="s">
        <v>85</v>
      </c>
      <c r="AQ210" s="9">
        <f t="shared" si="22"/>
        <v>4</v>
      </c>
      <c r="AR210" s="9" t="s">
        <v>85</v>
      </c>
      <c r="AS210" s="9">
        <f t="shared" si="23"/>
        <v>4</v>
      </c>
      <c r="AT210" s="9" t="s">
        <v>147</v>
      </c>
      <c r="AU210" s="9">
        <f t="shared" si="24"/>
        <v>1</v>
      </c>
      <c r="AV210" s="9">
        <f t="shared" si="25"/>
        <v>0</v>
      </c>
      <c r="AW210" s="9">
        <f t="shared" si="26"/>
        <v>0</v>
      </c>
      <c r="AX210" s="9">
        <f t="shared" si="27"/>
        <v>0</v>
      </c>
      <c r="AY210" s="9">
        <f t="shared" si="28"/>
        <v>0</v>
      </c>
      <c r="AZ210" s="9">
        <f t="shared" si="29"/>
        <v>0</v>
      </c>
      <c r="BA210" s="9">
        <f t="shared" si="30"/>
        <v>0</v>
      </c>
      <c r="BB210" s="9" t="s">
        <v>88</v>
      </c>
      <c r="BC210" s="9">
        <f t="shared" si="31"/>
        <v>2</v>
      </c>
      <c r="BD210" s="12"/>
      <c r="BE210" s="9" t="str">
        <f t="shared" si="46"/>
        <v>N/A</v>
      </c>
      <c r="BF210" s="9" t="s">
        <v>224</v>
      </c>
      <c r="BG210" s="9">
        <f t="shared" si="33"/>
        <v>0</v>
      </c>
      <c r="BH210" s="9">
        <f t="shared" si="34"/>
        <v>0</v>
      </c>
      <c r="BI210" s="9">
        <f t="shared" si="35"/>
        <v>1</v>
      </c>
      <c r="BJ210" s="9">
        <f t="shared" si="36"/>
        <v>0</v>
      </c>
      <c r="BK210" s="9">
        <f t="shared" si="37"/>
        <v>0</v>
      </c>
      <c r="BL210" s="9">
        <f t="shared" si="38"/>
        <v>0</v>
      </c>
      <c r="BM210" s="9">
        <f t="shared" si="39"/>
        <v>0</v>
      </c>
      <c r="BN210" s="9" t="s">
        <v>108</v>
      </c>
      <c r="BO210" s="11">
        <f t="shared" si="40"/>
        <v>3</v>
      </c>
    </row>
    <row r="211" ht="22.5" customHeight="1">
      <c r="A211" s="9">
        <f t="shared" si="41"/>
        <v>210</v>
      </c>
      <c r="B211" s="10">
        <v>46051.924315</v>
      </c>
      <c r="C211" s="9" t="s">
        <v>67</v>
      </c>
      <c r="D211" s="9">
        <f t="shared" si="1"/>
        <v>1</v>
      </c>
      <c r="E211" s="9" t="s">
        <v>68</v>
      </c>
      <c r="F211" s="9">
        <f t="shared" si="2"/>
        <v>1</v>
      </c>
      <c r="G211" s="9" t="s">
        <v>82</v>
      </c>
      <c r="H211" s="9" t="str">
        <f t="shared" si="3"/>
        <v>Urban</v>
      </c>
      <c r="I211" s="9">
        <f t="shared" si="4"/>
        <v>2</v>
      </c>
      <c r="J211" s="9" t="s">
        <v>70</v>
      </c>
      <c r="K211" s="9" t="s">
        <v>100</v>
      </c>
      <c r="L211" s="9">
        <f t="shared" si="5"/>
        <v>3</v>
      </c>
      <c r="M211" s="9" t="s">
        <v>71</v>
      </c>
      <c r="N211" s="9">
        <f t="shared" si="6"/>
        <v>7.7</v>
      </c>
      <c r="O211" s="9" t="s">
        <v>78</v>
      </c>
      <c r="P211" s="9">
        <f t="shared" si="7"/>
        <v>3</v>
      </c>
      <c r="Q211" s="9" t="s">
        <v>85</v>
      </c>
      <c r="R211" s="9">
        <f t="shared" si="8"/>
        <v>4</v>
      </c>
      <c r="S211" s="9" t="s">
        <v>73</v>
      </c>
      <c r="T211" s="9">
        <f t="shared" si="9"/>
        <v>2</v>
      </c>
      <c r="U211" s="9" t="s">
        <v>96</v>
      </c>
      <c r="V211" s="9">
        <f t="shared" si="10"/>
        <v>2.5</v>
      </c>
      <c r="W211" s="9" t="s">
        <v>174</v>
      </c>
      <c r="X211" s="9">
        <f t="shared" si="11"/>
        <v>1</v>
      </c>
      <c r="Y211" s="9">
        <f t="shared" si="12"/>
        <v>1</v>
      </c>
      <c r="Z211" s="9">
        <f t="shared" si="13"/>
        <v>1</v>
      </c>
      <c r="AA211" s="9">
        <f t="shared" si="14"/>
        <v>1</v>
      </c>
      <c r="AB211" s="9" t="s">
        <v>78</v>
      </c>
      <c r="AC211" s="9">
        <f t="shared" si="15"/>
        <v>3</v>
      </c>
      <c r="AD211" s="9" t="s">
        <v>85</v>
      </c>
      <c r="AE211" s="9">
        <f t="shared" si="16"/>
        <v>4</v>
      </c>
      <c r="AF211" s="9" t="s">
        <v>71</v>
      </c>
      <c r="AG211" s="9">
        <f t="shared" si="17"/>
        <v>7.7</v>
      </c>
      <c r="AH211" s="9" t="s">
        <v>103</v>
      </c>
      <c r="AI211" s="9">
        <f t="shared" si="18"/>
        <v>5</v>
      </c>
      <c r="AJ211" s="9" t="s">
        <v>78</v>
      </c>
      <c r="AK211" s="9">
        <f t="shared" si="19"/>
        <v>3</v>
      </c>
      <c r="AL211" s="9" t="s">
        <v>78</v>
      </c>
      <c r="AM211" s="9">
        <f t="shared" si="20"/>
        <v>3</v>
      </c>
      <c r="AN211" s="9" t="s">
        <v>78</v>
      </c>
      <c r="AO211" s="9">
        <f t="shared" si="21"/>
        <v>3</v>
      </c>
      <c r="AP211" s="9" t="s">
        <v>78</v>
      </c>
      <c r="AQ211" s="9">
        <f t="shared" si="22"/>
        <v>3</v>
      </c>
      <c r="AR211" s="9" t="s">
        <v>78</v>
      </c>
      <c r="AS211" s="9">
        <f t="shared" si="23"/>
        <v>3</v>
      </c>
      <c r="AT211" s="9" t="s">
        <v>295</v>
      </c>
      <c r="AU211" s="9">
        <f t="shared" si="24"/>
        <v>1</v>
      </c>
      <c r="AV211" s="9">
        <f t="shared" si="25"/>
        <v>0</v>
      </c>
      <c r="AW211" s="9">
        <f t="shared" si="26"/>
        <v>0</v>
      </c>
      <c r="AX211" s="9">
        <f t="shared" si="27"/>
        <v>1</v>
      </c>
      <c r="AY211" s="9">
        <f t="shared" si="28"/>
        <v>1</v>
      </c>
      <c r="AZ211" s="9">
        <f t="shared" si="29"/>
        <v>1</v>
      </c>
      <c r="BA211" s="9">
        <f t="shared" si="30"/>
        <v>1</v>
      </c>
      <c r="BB211" s="9" t="s">
        <v>68</v>
      </c>
      <c r="BC211" s="9">
        <f t="shared" si="31"/>
        <v>1</v>
      </c>
      <c r="BD211" s="9" t="s">
        <v>296</v>
      </c>
      <c r="BE211" s="9" t="str">
        <f t="shared" si="46"/>
        <v>N/A</v>
      </c>
      <c r="BF211" s="9" t="s">
        <v>211</v>
      </c>
      <c r="BG211" s="9">
        <f t="shared" si="33"/>
        <v>1</v>
      </c>
      <c r="BH211" s="9">
        <f t="shared" si="34"/>
        <v>0</v>
      </c>
      <c r="BI211" s="9">
        <f t="shared" si="35"/>
        <v>1</v>
      </c>
      <c r="BJ211" s="9">
        <f t="shared" si="36"/>
        <v>1</v>
      </c>
      <c r="BK211" s="9">
        <f t="shared" si="37"/>
        <v>1</v>
      </c>
      <c r="BL211" s="9">
        <f t="shared" si="38"/>
        <v>0</v>
      </c>
      <c r="BM211" s="9">
        <f t="shared" si="39"/>
        <v>0</v>
      </c>
      <c r="BN211" s="9" t="s">
        <v>108</v>
      </c>
      <c r="BO211" s="11">
        <f t="shared" si="40"/>
        <v>3</v>
      </c>
    </row>
    <row r="212" ht="22.5" customHeight="1">
      <c r="A212" s="9">
        <f t="shared" si="41"/>
        <v>211</v>
      </c>
      <c r="B212" s="10">
        <v>46051.92532106482</v>
      </c>
      <c r="C212" s="9" t="s">
        <v>67</v>
      </c>
      <c r="D212" s="9">
        <f t="shared" si="1"/>
        <v>1</v>
      </c>
      <c r="E212" s="9" t="s">
        <v>68</v>
      </c>
      <c r="F212" s="9">
        <f t="shared" si="2"/>
        <v>1</v>
      </c>
      <c r="G212" s="9" t="s">
        <v>91</v>
      </c>
      <c r="H212" s="9" t="str">
        <f t="shared" si="3"/>
        <v>Urban</v>
      </c>
      <c r="I212" s="9">
        <f t="shared" si="4"/>
        <v>2</v>
      </c>
      <c r="J212" s="9" t="s">
        <v>145</v>
      </c>
      <c r="K212" s="9" t="s">
        <v>146</v>
      </c>
      <c r="L212" s="9">
        <f t="shared" si="5"/>
        <v>1</v>
      </c>
      <c r="M212" s="9" t="s">
        <v>109</v>
      </c>
      <c r="N212" s="9">
        <f t="shared" si="6"/>
        <v>9</v>
      </c>
      <c r="O212" s="12"/>
      <c r="P212" s="9" t="str">
        <f t="shared" si="7"/>
        <v>N/A</v>
      </c>
      <c r="Q212" s="12"/>
      <c r="R212" s="9" t="str">
        <f t="shared" si="8"/>
        <v>N/A</v>
      </c>
      <c r="S212" s="9" t="s">
        <v>72</v>
      </c>
      <c r="T212" s="9">
        <f t="shared" si="9"/>
        <v>1</v>
      </c>
      <c r="U212" s="9" t="s">
        <v>92</v>
      </c>
      <c r="V212" s="9">
        <f t="shared" si="10"/>
        <v>3.5</v>
      </c>
      <c r="W212" s="9" t="s">
        <v>93</v>
      </c>
      <c r="X212" s="9">
        <f t="shared" si="11"/>
        <v>0</v>
      </c>
      <c r="Y212" s="9">
        <f t="shared" si="12"/>
        <v>1</v>
      </c>
      <c r="Z212" s="9">
        <f t="shared" si="13"/>
        <v>0</v>
      </c>
      <c r="AA212" s="9">
        <f t="shared" si="14"/>
        <v>0</v>
      </c>
      <c r="AB212" s="9" t="s">
        <v>72</v>
      </c>
      <c r="AC212" s="9">
        <f t="shared" si="15"/>
        <v>1</v>
      </c>
      <c r="AD212" s="12"/>
      <c r="AE212" s="9" t="str">
        <f t="shared" si="16"/>
        <v>N/A</v>
      </c>
      <c r="AF212" s="9" t="s">
        <v>76</v>
      </c>
      <c r="AG212" s="9">
        <f t="shared" si="17"/>
        <v>5.5</v>
      </c>
      <c r="AH212" s="9" t="s">
        <v>72</v>
      </c>
      <c r="AI212" s="9">
        <f t="shared" si="18"/>
        <v>1</v>
      </c>
      <c r="AJ212" s="9" t="s">
        <v>77</v>
      </c>
      <c r="AK212" s="9">
        <f t="shared" si="19"/>
        <v>1</v>
      </c>
      <c r="AL212" s="12"/>
      <c r="AM212" s="9" t="str">
        <f t="shared" si="20"/>
        <v>N/A</v>
      </c>
      <c r="AN212" s="12"/>
      <c r="AO212" s="9" t="str">
        <f t="shared" si="21"/>
        <v>N/A</v>
      </c>
      <c r="AP212" s="12"/>
      <c r="AQ212" s="9" t="str">
        <f t="shared" si="22"/>
        <v>N/A</v>
      </c>
      <c r="AR212" s="12"/>
      <c r="AS212" s="9" t="str">
        <f t="shared" si="23"/>
        <v>N/A</v>
      </c>
      <c r="AT212" s="9" t="s">
        <v>147</v>
      </c>
      <c r="AU212" s="9">
        <f t="shared" si="24"/>
        <v>1</v>
      </c>
      <c r="AV212" s="9">
        <f t="shared" si="25"/>
        <v>0</v>
      </c>
      <c r="AW212" s="9">
        <f t="shared" si="26"/>
        <v>0</v>
      </c>
      <c r="AX212" s="9">
        <f t="shared" si="27"/>
        <v>0</v>
      </c>
      <c r="AY212" s="9">
        <f t="shared" si="28"/>
        <v>0</v>
      </c>
      <c r="AZ212" s="9">
        <f t="shared" si="29"/>
        <v>0</v>
      </c>
      <c r="BA212" s="9">
        <f t="shared" si="30"/>
        <v>0</v>
      </c>
      <c r="BB212" s="9" t="s">
        <v>88</v>
      </c>
      <c r="BC212" s="9">
        <f t="shared" si="31"/>
        <v>2</v>
      </c>
      <c r="BD212" s="12"/>
      <c r="BE212" s="9" t="str">
        <f t="shared" si="46"/>
        <v>N/A</v>
      </c>
      <c r="BF212" s="9" t="s">
        <v>107</v>
      </c>
      <c r="BG212" s="9">
        <f t="shared" si="33"/>
        <v>1</v>
      </c>
      <c r="BH212" s="9">
        <f t="shared" si="34"/>
        <v>0</v>
      </c>
      <c r="BI212" s="9">
        <f t="shared" si="35"/>
        <v>0</v>
      </c>
      <c r="BJ212" s="9">
        <f t="shared" si="36"/>
        <v>0</v>
      </c>
      <c r="BK212" s="9">
        <f t="shared" si="37"/>
        <v>0</v>
      </c>
      <c r="BL212" s="9">
        <f t="shared" si="38"/>
        <v>0</v>
      </c>
      <c r="BM212" s="9">
        <f t="shared" si="39"/>
        <v>0</v>
      </c>
      <c r="BN212" s="9" t="s">
        <v>68</v>
      </c>
      <c r="BO212" s="11">
        <f t="shared" si="40"/>
        <v>1</v>
      </c>
    </row>
    <row r="213" ht="22.5" customHeight="1">
      <c r="A213" s="9">
        <f t="shared" si="41"/>
        <v>212</v>
      </c>
      <c r="B213" s="10">
        <v>46051.92649175926</v>
      </c>
      <c r="C213" s="9" t="s">
        <v>90</v>
      </c>
      <c r="D213" s="9">
        <f t="shared" si="1"/>
        <v>2</v>
      </c>
      <c r="E213" s="9" t="s">
        <v>68</v>
      </c>
      <c r="F213" s="9">
        <f t="shared" si="2"/>
        <v>1</v>
      </c>
      <c r="G213" s="9" t="s">
        <v>82</v>
      </c>
      <c r="H213" s="9" t="str">
        <f t="shared" si="3"/>
        <v>Urban</v>
      </c>
      <c r="I213" s="9">
        <f t="shared" si="4"/>
        <v>2</v>
      </c>
      <c r="J213" s="9" t="s">
        <v>83</v>
      </c>
      <c r="K213" s="9" t="s">
        <v>84</v>
      </c>
      <c r="L213" s="9">
        <f t="shared" si="5"/>
        <v>2</v>
      </c>
      <c r="M213" s="9" t="s">
        <v>101</v>
      </c>
      <c r="N213" s="9">
        <f t="shared" si="6"/>
        <v>2</v>
      </c>
      <c r="O213" s="9" t="s">
        <v>78</v>
      </c>
      <c r="P213" s="9">
        <f t="shared" si="7"/>
        <v>3</v>
      </c>
      <c r="Q213" s="9" t="s">
        <v>78</v>
      </c>
      <c r="R213" s="9">
        <f t="shared" si="8"/>
        <v>3</v>
      </c>
      <c r="S213" s="9" t="s">
        <v>78</v>
      </c>
      <c r="T213" s="9">
        <f t="shared" si="9"/>
        <v>3</v>
      </c>
      <c r="U213" s="9" t="s">
        <v>74</v>
      </c>
      <c r="V213" s="9">
        <f t="shared" si="10"/>
        <v>1.5</v>
      </c>
      <c r="W213" s="9" t="s">
        <v>105</v>
      </c>
      <c r="X213" s="9">
        <f t="shared" si="11"/>
        <v>1</v>
      </c>
      <c r="Y213" s="9">
        <f t="shared" si="12"/>
        <v>1</v>
      </c>
      <c r="Z213" s="9">
        <f t="shared" si="13"/>
        <v>0</v>
      </c>
      <c r="AA213" s="9">
        <f t="shared" si="14"/>
        <v>0</v>
      </c>
      <c r="AB213" s="9" t="s">
        <v>73</v>
      </c>
      <c r="AC213" s="9">
        <f t="shared" si="15"/>
        <v>2</v>
      </c>
      <c r="AD213" s="9" t="s">
        <v>78</v>
      </c>
      <c r="AE213" s="9">
        <f t="shared" si="16"/>
        <v>3</v>
      </c>
      <c r="AF213" s="9" t="s">
        <v>76</v>
      </c>
      <c r="AG213" s="9">
        <f t="shared" si="17"/>
        <v>5.5</v>
      </c>
      <c r="AH213" s="9" t="s">
        <v>85</v>
      </c>
      <c r="AI213" s="9">
        <f t="shared" si="18"/>
        <v>4</v>
      </c>
      <c r="AJ213" s="9" t="s">
        <v>73</v>
      </c>
      <c r="AK213" s="9">
        <f t="shared" si="19"/>
        <v>2</v>
      </c>
      <c r="AL213" s="9" t="s">
        <v>73</v>
      </c>
      <c r="AM213" s="9">
        <f t="shared" si="20"/>
        <v>2</v>
      </c>
      <c r="AN213" s="9" t="s">
        <v>78</v>
      </c>
      <c r="AO213" s="9">
        <f t="shared" si="21"/>
        <v>3</v>
      </c>
      <c r="AP213" s="9" t="s">
        <v>78</v>
      </c>
      <c r="AQ213" s="9">
        <f t="shared" si="22"/>
        <v>3</v>
      </c>
      <c r="AR213" s="9" t="s">
        <v>78</v>
      </c>
      <c r="AS213" s="9">
        <f t="shared" si="23"/>
        <v>3</v>
      </c>
      <c r="AT213" s="9" t="s">
        <v>186</v>
      </c>
      <c r="AU213" s="9">
        <f t="shared" si="24"/>
        <v>1</v>
      </c>
      <c r="AV213" s="9">
        <f t="shared" si="25"/>
        <v>0</v>
      </c>
      <c r="AW213" s="9">
        <f t="shared" si="26"/>
        <v>1</v>
      </c>
      <c r="AX213" s="9">
        <f t="shared" si="27"/>
        <v>0</v>
      </c>
      <c r="AY213" s="9">
        <f t="shared" si="28"/>
        <v>0</v>
      </c>
      <c r="AZ213" s="9">
        <f t="shared" si="29"/>
        <v>1</v>
      </c>
      <c r="BA213" s="9">
        <f t="shared" si="30"/>
        <v>0</v>
      </c>
      <c r="BB213" s="9" t="s">
        <v>88</v>
      </c>
      <c r="BC213" s="9">
        <f t="shared" si="31"/>
        <v>2</v>
      </c>
      <c r="BD213" s="12"/>
      <c r="BE213" s="9" t="str">
        <f t="shared" si="46"/>
        <v>N/A</v>
      </c>
      <c r="BF213" s="9" t="s">
        <v>250</v>
      </c>
      <c r="BG213" s="9">
        <f t="shared" si="33"/>
        <v>1</v>
      </c>
      <c r="BH213" s="9">
        <f t="shared" si="34"/>
        <v>0</v>
      </c>
      <c r="BI213" s="9">
        <f t="shared" si="35"/>
        <v>1</v>
      </c>
      <c r="BJ213" s="9">
        <f t="shared" si="36"/>
        <v>1</v>
      </c>
      <c r="BK213" s="9">
        <f t="shared" si="37"/>
        <v>0</v>
      </c>
      <c r="BL213" s="9">
        <f t="shared" si="38"/>
        <v>1</v>
      </c>
      <c r="BM213" s="9">
        <f t="shared" si="39"/>
        <v>1</v>
      </c>
      <c r="BN213" s="9" t="s">
        <v>108</v>
      </c>
      <c r="BO213" s="11">
        <f t="shared" si="40"/>
        <v>3</v>
      </c>
    </row>
    <row r="214" ht="22.5" customHeight="1">
      <c r="A214" s="9">
        <f t="shared" si="41"/>
        <v>213</v>
      </c>
      <c r="B214" s="10">
        <v>46051.92654439815</v>
      </c>
      <c r="C214" s="9" t="s">
        <v>90</v>
      </c>
      <c r="D214" s="9">
        <f t="shared" si="1"/>
        <v>2</v>
      </c>
      <c r="E214" s="9" t="s">
        <v>68</v>
      </c>
      <c r="F214" s="9">
        <f t="shared" si="2"/>
        <v>1</v>
      </c>
      <c r="G214" s="9" t="s">
        <v>82</v>
      </c>
      <c r="H214" s="9" t="str">
        <f t="shared" si="3"/>
        <v>Urban</v>
      </c>
      <c r="I214" s="9">
        <f t="shared" si="4"/>
        <v>2</v>
      </c>
      <c r="J214" s="9" t="s">
        <v>70</v>
      </c>
      <c r="K214" s="9" t="s">
        <v>100</v>
      </c>
      <c r="L214" s="9">
        <f t="shared" si="5"/>
        <v>3</v>
      </c>
      <c r="M214" s="9" t="s">
        <v>71</v>
      </c>
      <c r="N214" s="9">
        <f t="shared" si="6"/>
        <v>7.7</v>
      </c>
      <c r="O214" s="9" t="s">
        <v>73</v>
      </c>
      <c r="P214" s="9">
        <f t="shared" si="7"/>
        <v>2</v>
      </c>
      <c r="Q214" s="9" t="s">
        <v>73</v>
      </c>
      <c r="R214" s="9">
        <f t="shared" si="8"/>
        <v>2</v>
      </c>
      <c r="S214" s="9" t="s">
        <v>73</v>
      </c>
      <c r="T214" s="9">
        <f t="shared" si="9"/>
        <v>2</v>
      </c>
      <c r="U214" s="9" t="s">
        <v>110</v>
      </c>
      <c r="V214" s="9">
        <f t="shared" si="10"/>
        <v>0.75</v>
      </c>
      <c r="W214" s="9" t="s">
        <v>93</v>
      </c>
      <c r="X214" s="9">
        <f t="shared" si="11"/>
        <v>0</v>
      </c>
      <c r="Y214" s="9">
        <f t="shared" si="12"/>
        <v>1</v>
      </c>
      <c r="Z214" s="9">
        <f t="shared" si="13"/>
        <v>0</v>
      </c>
      <c r="AA214" s="9">
        <f t="shared" si="14"/>
        <v>0</v>
      </c>
      <c r="AB214" s="9" t="s">
        <v>73</v>
      </c>
      <c r="AC214" s="9">
        <f t="shared" si="15"/>
        <v>2</v>
      </c>
      <c r="AD214" s="9" t="s">
        <v>73</v>
      </c>
      <c r="AE214" s="9">
        <f t="shared" si="16"/>
        <v>2</v>
      </c>
      <c r="AF214" s="9" t="s">
        <v>71</v>
      </c>
      <c r="AG214" s="9">
        <f t="shared" si="17"/>
        <v>7.7</v>
      </c>
      <c r="AH214" s="9" t="s">
        <v>85</v>
      </c>
      <c r="AI214" s="9">
        <f t="shared" si="18"/>
        <v>4</v>
      </c>
      <c r="AJ214" s="9" t="s">
        <v>78</v>
      </c>
      <c r="AK214" s="9">
        <f t="shared" si="19"/>
        <v>3</v>
      </c>
      <c r="AL214" s="9" t="s">
        <v>85</v>
      </c>
      <c r="AM214" s="9">
        <f t="shared" si="20"/>
        <v>4</v>
      </c>
      <c r="AN214" s="9" t="s">
        <v>85</v>
      </c>
      <c r="AO214" s="9">
        <f t="shared" si="21"/>
        <v>4</v>
      </c>
      <c r="AP214" s="9" t="s">
        <v>85</v>
      </c>
      <c r="AQ214" s="9">
        <f t="shared" si="22"/>
        <v>4</v>
      </c>
      <c r="AR214" s="9" t="s">
        <v>85</v>
      </c>
      <c r="AS214" s="9">
        <f t="shared" si="23"/>
        <v>4</v>
      </c>
      <c r="AT214" s="9" t="s">
        <v>294</v>
      </c>
      <c r="AU214" s="9">
        <f t="shared" si="24"/>
        <v>0</v>
      </c>
      <c r="AV214" s="9">
        <f t="shared" si="25"/>
        <v>0</v>
      </c>
      <c r="AW214" s="9">
        <f t="shared" si="26"/>
        <v>0</v>
      </c>
      <c r="AX214" s="9">
        <f t="shared" si="27"/>
        <v>0</v>
      </c>
      <c r="AY214" s="9">
        <f t="shared" si="28"/>
        <v>0</v>
      </c>
      <c r="AZ214" s="9">
        <f t="shared" si="29"/>
        <v>0</v>
      </c>
      <c r="BA214" s="9">
        <f t="shared" si="30"/>
        <v>0</v>
      </c>
      <c r="BB214" s="9" t="s">
        <v>88</v>
      </c>
      <c r="BC214" s="9">
        <f t="shared" si="31"/>
        <v>2</v>
      </c>
      <c r="BD214" s="12"/>
      <c r="BE214" s="9" t="str">
        <f t="shared" si="46"/>
        <v>N/A</v>
      </c>
      <c r="BF214" s="9" t="s">
        <v>107</v>
      </c>
      <c r="BG214" s="9">
        <f t="shared" si="33"/>
        <v>1</v>
      </c>
      <c r="BH214" s="9">
        <f t="shared" si="34"/>
        <v>0</v>
      </c>
      <c r="BI214" s="9">
        <f t="shared" si="35"/>
        <v>0</v>
      </c>
      <c r="BJ214" s="9">
        <f t="shared" si="36"/>
        <v>0</v>
      </c>
      <c r="BK214" s="9">
        <f t="shared" si="37"/>
        <v>0</v>
      </c>
      <c r="BL214" s="9">
        <f t="shared" si="38"/>
        <v>0</v>
      </c>
      <c r="BM214" s="9">
        <f t="shared" si="39"/>
        <v>0</v>
      </c>
      <c r="BN214" s="9" t="s">
        <v>108</v>
      </c>
      <c r="BO214" s="11">
        <f t="shared" si="40"/>
        <v>3</v>
      </c>
    </row>
    <row r="215" ht="22.5" customHeight="1">
      <c r="A215" s="9">
        <f t="shared" si="41"/>
        <v>214</v>
      </c>
      <c r="B215" s="10">
        <v>46051.929799907404</v>
      </c>
      <c r="C215" s="9" t="s">
        <v>90</v>
      </c>
      <c r="D215" s="9">
        <f t="shared" si="1"/>
        <v>2</v>
      </c>
      <c r="E215" s="9" t="s">
        <v>68</v>
      </c>
      <c r="F215" s="9">
        <f t="shared" si="2"/>
        <v>1</v>
      </c>
      <c r="G215" s="9" t="s">
        <v>69</v>
      </c>
      <c r="H215" s="9" t="str">
        <f t="shared" si="3"/>
        <v>Rural</v>
      </c>
      <c r="I215" s="9">
        <f t="shared" si="4"/>
        <v>1</v>
      </c>
      <c r="J215" s="9" t="s">
        <v>83</v>
      </c>
      <c r="K215" s="9" t="s">
        <v>84</v>
      </c>
      <c r="L215" s="9">
        <f t="shared" si="5"/>
        <v>2</v>
      </c>
      <c r="M215" s="9" t="s">
        <v>76</v>
      </c>
      <c r="N215" s="9">
        <f t="shared" si="6"/>
        <v>5.5</v>
      </c>
      <c r="O215" s="9" t="s">
        <v>78</v>
      </c>
      <c r="P215" s="9">
        <f t="shared" si="7"/>
        <v>3</v>
      </c>
      <c r="Q215" s="9" t="s">
        <v>78</v>
      </c>
      <c r="R215" s="9">
        <f t="shared" si="8"/>
        <v>3</v>
      </c>
      <c r="S215" s="9" t="s">
        <v>78</v>
      </c>
      <c r="T215" s="9">
        <f t="shared" si="9"/>
        <v>3</v>
      </c>
      <c r="U215" s="9" t="s">
        <v>92</v>
      </c>
      <c r="V215" s="9">
        <f t="shared" si="10"/>
        <v>3.5</v>
      </c>
      <c r="W215" s="9" t="s">
        <v>105</v>
      </c>
      <c r="X215" s="9">
        <f t="shared" si="11"/>
        <v>1</v>
      </c>
      <c r="Y215" s="9">
        <f t="shared" si="12"/>
        <v>1</v>
      </c>
      <c r="Z215" s="9">
        <f t="shared" si="13"/>
        <v>0</v>
      </c>
      <c r="AA215" s="9">
        <f t="shared" si="14"/>
        <v>0</v>
      </c>
      <c r="AB215" s="9" t="s">
        <v>78</v>
      </c>
      <c r="AC215" s="9">
        <f t="shared" si="15"/>
        <v>3</v>
      </c>
      <c r="AD215" s="12"/>
      <c r="AE215" s="9" t="str">
        <f t="shared" si="16"/>
        <v>N/A</v>
      </c>
      <c r="AF215" s="9" t="s">
        <v>76</v>
      </c>
      <c r="AG215" s="9">
        <f t="shared" si="17"/>
        <v>5.5</v>
      </c>
      <c r="AH215" s="9" t="s">
        <v>103</v>
      </c>
      <c r="AI215" s="9">
        <f t="shared" si="18"/>
        <v>5</v>
      </c>
      <c r="AJ215" s="9" t="s">
        <v>78</v>
      </c>
      <c r="AK215" s="9">
        <f t="shared" si="19"/>
        <v>3</v>
      </c>
      <c r="AL215" s="9" t="s">
        <v>78</v>
      </c>
      <c r="AM215" s="9">
        <f t="shared" si="20"/>
        <v>3</v>
      </c>
      <c r="AN215" s="9" t="s">
        <v>78</v>
      </c>
      <c r="AO215" s="9">
        <f t="shared" si="21"/>
        <v>3</v>
      </c>
      <c r="AP215" s="9" t="s">
        <v>78</v>
      </c>
      <c r="AQ215" s="9">
        <f t="shared" si="22"/>
        <v>3</v>
      </c>
      <c r="AR215" s="9" t="s">
        <v>78</v>
      </c>
      <c r="AS215" s="9">
        <f t="shared" si="23"/>
        <v>3</v>
      </c>
      <c r="AT215" s="9" t="s">
        <v>104</v>
      </c>
      <c r="AU215" s="9">
        <f t="shared" si="24"/>
        <v>1</v>
      </c>
      <c r="AV215" s="9">
        <f t="shared" si="25"/>
        <v>1</v>
      </c>
      <c r="AW215" s="9">
        <f t="shared" si="26"/>
        <v>1</v>
      </c>
      <c r="AX215" s="9">
        <f t="shared" si="27"/>
        <v>1</v>
      </c>
      <c r="AY215" s="9">
        <f t="shared" si="28"/>
        <v>1</v>
      </c>
      <c r="AZ215" s="9">
        <f t="shared" si="29"/>
        <v>1</v>
      </c>
      <c r="BA215" s="9">
        <f t="shared" si="30"/>
        <v>1</v>
      </c>
      <c r="BB215" s="9" t="s">
        <v>88</v>
      </c>
      <c r="BC215" s="9">
        <f t="shared" si="31"/>
        <v>2</v>
      </c>
      <c r="BD215" s="12"/>
      <c r="BE215" s="9" t="str">
        <f t="shared" si="46"/>
        <v>N/A</v>
      </c>
      <c r="BF215" s="9" t="s">
        <v>260</v>
      </c>
      <c r="BG215" s="9">
        <f t="shared" si="33"/>
        <v>1</v>
      </c>
      <c r="BH215" s="9">
        <f t="shared" si="34"/>
        <v>1</v>
      </c>
      <c r="BI215" s="9">
        <f t="shared" si="35"/>
        <v>1</v>
      </c>
      <c r="BJ215" s="9">
        <f t="shared" si="36"/>
        <v>1</v>
      </c>
      <c r="BK215" s="9">
        <f t="shared" si="37"/>
        <v>1</v>
      </c>
      <c r="BL215" s="9">
        <f t="shared" si="38"/>
        <v>1</v>
      </c>
      <c r="BM215" s="9">
        <f t="shared" si="39"/>
        <v>1</v>
      </c>
      <c r="BN215" s="9" t="s">
        <v>68</v>
      </c>
      <c r="BO215" s="11">
        <f t="shared" si="40"/>
        <v>1</v>
      </c>
    </row>
    <row r="216" ht="22.5" customHeight="1">
      <c r="A216" s="9">
        <f t="shared" si="41"/>
        <v>215</v>
      </c>
      <c r="B216" s="10">
        <v>46051.930227233795</v>
      </c>
      <c r="C216" s="9" t="s">
        <v>67</v>
      </c>
      <c r="D216" s="9">
        <f t="shared" si="1"/>
        <v>1</v>
      </c>
      <c r="E216" s="9" t="s">
        <v>68</v>
      </c>
      <c r="F216" s="9">
        <f t="shared" si="2"/>
        <v>1</v>
      </c>
      <c r="G216" s="9" t="s">
        <v>69</v>
      </c>
      <c r="H216" s="9" t="str">
        <f t="shared" si="3"/>
        <v>Rural</v>
      </c>
      <c r="I216" s="9">
        <f t="shared" si="4"/>
        <v>1</v>
      </c>
      <c r="J216" s="9" t="s">
        <v>70</v>
      </c>
      <c r="K216" s="9" t="s">
        <v>100</v>
      </c>
      <c r="L216" s="9">
        <f t="shared" si="5"/>
        <v>3</v>
      </c>
      <c r="M216" s="9" t="s">
        <v>71</v>
      </c>
      <c r="N216" s="9">
        <f t="shared" si="6"/>
        <v>7.7</v>
      </c>
      <c r="O216" s="9" t="s">
        <v>73</v>
      </c>
      <c r="P216" s="9">
        <f t="shared" si="7"/>
        <v>2</v>
      </c>
      <c r="Q216" s="9" t="s">
        <v>85</v>
      </c>
      <c r="R216" s="9">
        <f t="shared" si="8"/>
        <v>4</v>
      </c>
      <c r="S216" s="9" t="s">
        <v>73</v>
      </c>
      <c r="T216" s="9">
        <f t="shared" si="9"/>
        <v>2</v>
      </c>
      <c r="U216" s="9" t="s">
        <v>96</v>
      </c>
      <c r="V216" s="9">
        <f t="shared" si="10"/>
        <v>2.5</v>
      </c>
      <c r="W216" s="9" t="s">
        <v>86</v>
      </c>
      <c r="X216" s="9">
        <f t="shared" si="11"/>
        <v>1</v>
      </c>
      <c r="Y216" s="9">
        <f t="shared" si="12"/>
        <v>1</v>
      </c>
      <c r="Z216" s="9">
        <f t="shared" si="13"/>
        <v>1</v>
      </c>
      <c r="AA216" s="9">
        <f t="shared" si="14"/>
        <v>0</v>
      </c>
      <c r="AB216" s="9" t="s">
        <v>73</v>
      </c>
      <c r="AC216" s="9">
        <f t="shared" si="15"/>
        <v>2</v>
      </c>
      <c r="AD216" s="9" t="s">
        <v>73</v>
      </c>
      <c r="AE216" s="9">
        <f t="shared" si="16"/>
        <v>2</v>
      </c>
      <c r="AF216" s="9" t="s">
        <v>71</v>
      </c>
      <c r="AG216" s="9">
        <f t="shared" si="17"/>
        <v>7.7</v>
      </c>
      <c r="AH216" s="9" t="s">
        <v>78</v>
      </c>
      <c r="AI216" s="9">
        <f t="shared" si="18"/>
        <v>3</v>
      </c>
      <c r="AJ216" s="9" t="s">
        <v>73</v>
      </c>
      <c r="AK216" s="9">
        <f t="shared" si="19"/>
        <v>2</v>
      </c>
      <c r="AL216" s="9" t="s">
        <v>78</v>
      </c>
      <c r="AM216" s="9">
        <f t="shared" si="20"/>
        <v>3</v>
      </c>
      <c r="AN216" s="9" t="s">
        <v>78</v>
      </c>
      <c r="AO216" s="9">
        <f t="shared" si="21"/>
        <v>3</v>
      </c>
      <c r="AP216" s="9" t="s">
        <v>78</v>
      </c>
      <c r="AQ216" s="9">
        <f t="shared" si="22"/>
        <v>3</v>
      </c>
      <c r="AR216" s="9" t="s">
        <v>78</v>
      </c>
      <c r="AS216" s="9">
        <f t="shared" si="23"/>
        <v>3</v>
      </c>
      <c r="AT216" s="9" t="s">
        <v>266</v>
      </c>
      <c r="AU216" s="9">
        <f t="shared" si="24"/>
        <v>1</v>
      </c>
      <c r="AV216" s="9">
        <f t="shared" si="25"/>
        <v>1</v>
      </c>
      <c r="AW216" s="9">
        <f t="shared" si="26"/>
        <v>0</v>
      </c>
      <c r="AX216" s="9">
        <f t="shared" si="27"/>
        <v>1</v>
      </c>
      <c r="AY216" s="9">
        <f t="shared" si="28"/>
        <v>0</v>
      </c>
      <c r="AZ216" s="9">
        <f t="shared" si="29"/>
        <v>1</v>
      </c>
      <c r="BA216" s="9">
        <f t="shared" si="30"/>
        <v>0</v>
      </c>
      <c r="BB216" s="9" t="s">
        <v>88</v>
      </c>
      <c r="BC216" s="9">
        <f t="shared" si="31"/>
        <v>2</v>
      </c>
      <c r="BD216" s="12"/>
      <c r="BE216" s="9" t="str">
        <f t="shared" si="46"/>
        <v>N/A</v>
      </c>
      <c r="BF216" s="9" t="s">
        <v>166</v>
      </c>
      <c r="BG216" s="9">
        <f t="shared" si="33"/>
        <v>1</v>
      </c>
      <c r="BH216" s="9">
        <f t="shared" si="34"/>
        <v>0</v>
      </c>
      <c r="BI216" s="9">
        <f t="shared" si="35"/>
        <v>1</v>
      </c>
      <c r="BJ216" s="9">
        <f t="shared" si="36"/>
        <v>1</v>
      </c>
      <c r="BK216" s="9">
        <f t="shared" si="37"/>
        <v>1</v>
      </c>
      <c r="BL216" s="9">
        <f t="shared" si="38"/>
        <v>1</v>
      </c>
      <c r="BM216" s="9">
        <f t="shared" si="39"/>
        <v>1</v>
      </c>
      <c r="BN216" s="9" t="s">
        <v>108</v>
      </c>
      <c r="BO216" s="11">
        <f t="shared" si="40"/>
        <v>3</v>
      </c>
    </row>
    <row r="217" ht="22.5" customHeight="1">
      <c r="A217" s="9">
        <f t="shared" si="41"/>
        <v>216</v>
      </c>
      <c r="B217" s="10">
        <v>46051.93768787037</v>
      </c>
      <c r="C217" s="9" t="s">
        <v>67</v>
      </c>
      <c r="D217" s="9">
        <f t="shared" si="1"/>
        <v>1</v>
      </c>
      <c r="E217" s="9" t="s">
        <v>68</v>
      </c>
      <c r="F217" s="9">
        <f t="shared" si="2"/>
        <v>1</v>
      </c>
      <c r="G217" s="9" t="s">
        <v>91</v>
      </c>
      <c r="H217" s="9" t="str">
        <f t="shared" si="3"/>
        <v>Urban</v>
      </c>
      <c r="I217" s="9">
        <f t="shared" si="4"/>
        <v>2</v>
      </c>
      <c r="J217" s="9" t="s">
        <v>83</v>
      </c>
      <c r="K217" s="9" t="s">
        <v>84</v>
      </c>
      <c r="L217" s="9">
        <f t="shared" si="5"/>
        <v>2</v>
      </c>
      <c r="M217" s="9" t="s">
        <v>109</v>
      </c>
      <c r="N217" s="9">
        <f t="shared" si="6"/>
        <v>9</v>
      </c>
      <c r="O217" s="9" t="s">
        <v>85</v>
      </c>
      <c r="P217" s="9">
        <f t="shared" si="7"/>
        <v>4</v>
      </c>
      <c r="Q217" s="9" t="s">
        <v>85</v>
      </c>
      <c r="R217" s="9">
        <f t="shared" si="8"/>
        <v>4</v>
      </c>
      <c r="S217" s="9" t="s">
        <v>85</v>
      </c>
      <c r="T217" s="9">
        <f t="shared" si="9"/>
        <v>4</v>
      </c>
      <c r="U217" s="9" t="s">
        <v>96</v>
      </c>
      <c r="V217" s="9">
        <f t="shared" si="10"/>
        <v>2.5</v>
      </c>
      <c r="W217" s="9" t="s">
        <v>105</v>
      </c>
      <c r="X217" s="9">
        <f t="shared" si="11"/>
        <v>1</v>
      </c>
      <c r="Y217" s="9">
        <f t="shared" si="12"/>
        <v>1</v>
      </c>
      <c r="Z217" s="9">
        <f t="shared" si="13"/>
        <v>0</v>
      </c>
      <c r="AA217" s="9">
        <f t="shared" si="14"/>
        <v>0</v>
      </c>
      <c r="AB217" s="9" t="s">
        <v>73</v>
      </c>
      <c r="AC217" s="9">
        <f t="shared" si="15"/>
        <v>2</v>
      </c>
      <c r="AD217" s="9" t="s">
        <v>85</v>
      </c>
      <c r="AE217" s="9">
        <f t="shared" si="16"/>
        <v>4</v>
      </c>
      <c r="AF217" s="9" t="s">
        <v>109</v>
      </c>
      <c r="AG217" s="9">
        <f t="shared" si="17"/>
        <v>9</v>
      </c>
      <c r="AH217" s="9" t="s">
        <v>85</v>
      </c>
      <c r="AI217" s="9">
        <f t="shared" si="18"/>
        <v>4</v>
      </c>
      <c r="AJ217" s="9" t="s">
        <v>73</v>
      </c>
      <c r="AK217" s="9">
        <f t="shared" si="19"/>
        <v>2</v>
      </c>
      <c r="AL217" s="9" t="s">
        <v>73</v>
      </c>
      <c r="AM217" s="9">
        <f t="shared" si="20"/>
        <v>2</v>
      </c>
      <c r="AN217" s="9" t="s">
        <v>73</v>
      </c>
      <c r="AO217" s="9">
        <f t="shared" si="21"/>
        <v>2</v>
      </c>
      <c r="AP217" s="9" t="s">
        <v>73</v>
      </c>
      <c r="AQ217" s="9">
        <f t="shared" si="22"/>
        <v>2</v>
      </c>
      <c r="AR217" s="9" t="s">
        <v>73</v>
      </c>
      <c r="AS217" s="9">
        <f t="shared" si="23"/>
        <v>2</v>
      </c>
      <c r="AT217" s="9" t="s">
        <v>153</v>
      </c>
      <c r="AU217" s="9">
        <f t="shared" si="24"/>
        <v>1</v>
      </c>
      <c r="AV217" s="9">
        <f t="shared" si="25"/>
        <v>0</v>
      </c>
      <c r="AW217" s="9">
        <f t="shared" si="26"/>
        <v>0</v>
      </c>
      <c r="AX217" s="9">
        <f t="shared" si="27"/>
        <v>0</v>
      </c>
      <c r="AY217" s="9">
        <f t="shared" si="28"/>
        <v>0</v>
      </c>
      <c r="AZ217" s="9">
        <f t="shared" si="29"/>
        <v>1</v>
      </c>
      <c r="BA217" s="9">
        <f t="shared" si="30"/>
        <v>1</v>
      </c>
      <c r="BB217" s="9" t="s">
        <v>88</v>
      </c>
      <c r="BC217" s="9">
        <f t="shared" si="31"/>
        <v>2</v>
      </c>
      <c r="BD217" s="12"/>
      <c r="BE217" s="9" t="str">
        <f t="shared" si="46"/>
        <v>N/A</v>
      </c>
      <c r="BF217" s="9" t="s">
        <v>235</v>
      </c>
      <c r="BG217" s="9">
        <f t="shared" si="33"/>
        <v>1</v>
      </c>
      <c r="BH217" s="9">
        <f t="shared" si="34"/>
        <v>0</v>
      </c>
      <c r="BI217" s="9">
        <f t="shared" si="35"/>
        <v>1</v>
      </c>
      <c r="BJ217" s="9">
        <f t="shared" si="36"/>
        <v>0</v>
      </c>
      <c r="BK217" s="9">
        <f t="shared" si="37"/>
        <v>1</v>
      </c>
      <c r="BL217" s="9">
        <f t="shared" si="38"/>
        <v>0</v>
      </c>
      <c r="BM217" s="9">
        <f t="shared" si="39"/>
        <v>0</v>
      </c>
      <c r="BN217" s="9" t="s">
        <v>88</v>
      </c>
      <c r="BO217" s="11">
        <f t="shared" si="40"/>
        <v>2</v>
      </c>
    </row>
    <row r="218" ht="22.5" customHeight="1">
      <c r="A218" s="9">
        <f t="shared" si="41"/>
        <v>217</v>
      </c>
      <c r="B218" s="10">
        <v>46051.93861186343</v>
      </c>
      <c r="C218" s="9" t="s">
        <v>90</v>
      </c>
      <c r="D218" s="9">
        <f t="shared" si="1"/>
        <v>2</v>
      </c>
      <c r="E218" s="9" t="s">
        <v>68</v>
      </c>
      <c r="F218" s="9">
        <f t="shared" si="2"/>
        <v>1</v>
      </c>
      <c r="G218" s="9" t="s">
        <v>69</v>
      </c>
      <c r="H218" s="9" t="str">
        <f t="shared" si="3"/>
        <v>Rural</v>
      </c>
      <c r="I218" s="9">
        <f t="shared" si="4"/>
        <v>1</v>
      </c>
      <c r="J218" s="9" t="s">
        <v>145</v>
      </c>
      <c r="K218" s="9" t="s">
        <v>146</v>
      </c>
      <c r="L218" s="9">
        <f t="shared" si="5"/>
        <v>1</v>
      </c>
      <c r="M218" s="9" t="s">
        <v>101</v>
      </c>
      <c r="N218" s="9">
        <f t="shared" si="6"/>
        <v>2</v>
      </c>
      <c r="O218" s="9" t="s">
        <v>78</v>
      </c>
      <c r="P218" s="9">
        <f t="shared" si="7"/>
        <v>3</v>
      </c>
      <c r="Q218" s="9" t="s">
        <v>78</v>
      </c>
      <c r="R218" s="9">
        <f t="shared" si="8"/>
        <v>3</v>
      </c>
      <c r="S218" s="9" t="s">
        <v>78</v>
      </c>
      <c r="T218" s="9">
        <f t="shared" si="9"/>
        <v>3</v>
      </c>
      <c r="U218" s="9" t="s">
        <v>96</v>
      </c>
      <c r="V218" s="9">
        <f t="shared" si="10"/>
        <v>2.5</v>
      </c>
      <c r="W218" s="9" t="s">
        <v>93</v>
      </c>
      <c r="X218" s="9">
        <f t="shared" si="11"/>
        <v>0</v>
      </c>
      <c r="Y218" s="9">
        <f t="shared" si="12"/>
        <v>1</v>
      </c>
      <c r="Z218" s="9">
        <f t="shared" si="13"/>
        <v>0</v>
      </c>
      <c r="AA218" s="9">
        <f t="shared" si="14"/>
        <v>0</v>
      </c>
      <c r="AB218" s="9" t="s">
        <v>78</v>
      </c>
      <c r="AC218" s="9">
        <f t="shared" si="15"/>
        <v>3</v>
      </c>
      <c r="AD218" s="9" t="s">
        <v>78</v>
      </c>
      <c r="AE218" s="9">
        <f t="shared" si="16"/>
        <v>3</v>
      </c>
      <c r="AF218" s="9" t="s">
        <v>76</v>
      </c>
      <c r="AG218" s="9">
        <f t="shared" si="17"/>
        <v>5.5</v>
      </c>
      <c r="AH218" s="9" t="s">
        <v>78</v>
      </c>
      <c r="AI218" s="9">
        <f t="shared" si="18"/>
        <v>3</v>
      </c>
      <c r="AJ218" s="9" t="s">
        <v>78</v>
      </c>
      <c r="AK218" s="9">
        <f t="shared" si="19"/>
        <v>3</v>
      </c>
      <c r="AL218" s="9" t="s">
        <v>78</v>
      </c>
      <c r="AM218" s="9">
        <f t="shared" si="20"/>
        <v>3</v>
      </c>
      <c r="AN218" s="9" t="s">
        <v>78</v>
      </c>
      <c r="AO218" s="9">
        <f t="shared" si="21"/>
        <v>3</v>
      </c>
      <c r="AP218" s="9" t="s">
        <v>85</v>
      </c>
      <c r="AQ218" s="9">
        <f t="shared" si="22"/>
        <v>4</v>
      </c>
      <c r="AR218" s="9" t="s">
        <v>85</v>
      </c>
      <c r="AS218" s="9">
        <f t="shared" si="23"/>
        <v>4</v>
      </c>
      <c r="AT218" s="9" t="s">
        <v>190</v>
      </c>
      <c r="AU218" s="9">
        <f t="shared" si="24"/>
        <v>1</v>
      </c>
      <c r="AV218" s="9">
        <f t="shared" si="25"/>
        <v>1</v>
      </c>
      <c r="AW218" s="9">
        <f t="shared" si="26"/>
        <v>0</v>
      </c>
      <c r="AX218" s="9">
        <f t="shared" si="27"/>
        <v>0</v>
      </c>
      <c r="AY218" s="9">
        <f t="shared" si="28"/>
        <v>0</v>
      </c>
      <c r="AZ218" s="9">
        <f t="shared" si="29"/>
        <v>0</v>
      </c>
      <c r="BA218" s="9">
        <f t="shared" si="30"/>
        <v>1</v>
      </c>
      <c r="BB218" s="9" t="s">
        <v>88</v>
      </c>
      <c r="BC218" s="9">
        <f t="shared" si="31"/>
        <v>2</v>
      </c>
      <c r="BD218" s="12"/>
      <c r="BE218" s="9" t="str">
        <f t="shared" si="46"/>
        <v>N/A</v>
      </c>
      <c r="BF218" s="9" t="s">
        <v>206</v>
      </c>
      <c r="BG218" s="9">
        <f t="shared" si="33"/>
        <v>1</v>
      </c>
      <c r="BH218" s="9">
        <f t="shared" si="34"/>
        <v>0</v>
      </c>
      <c r="BI218" s="9">
        <f t="shared" si="35"/>
        <v>0</v>
      </c>
      <c r="BJ218" s="9">
        <f t="shared" si="36"/>
        <v>1</v>
      </c>
      <c r="BK218" s="9">
        <f t="shared" si="37"/>
        <v>0</v>
      </c>
      <c r="BL218" s="9">
        <f t="shared" si="38"/>
        <v>0</v>
      </c>
      <c r="BM218" s="9">
        <f t="shared" si="39"/>
        <v>0</v>
      </c>
      <c r="BN218" s="9" t="s">
        <v>108</v>
      </c>
      <c r="BO218" s="11">
        <f t="shared" si="40"/>
        <v>3</v>
      </c>
    </row>
    <row r="219" ht="22.5" customHeight="1">
      <c r="A219" s="9">
        <f t="shared" si="41"/>
        <v>218</v>
      </c>
      <c r="B219" s="10">
        <v>46051.93984396991</v>
      </c>
      <c r="C219" s="9" t="s">
        <v>67</v>
      </c>
      <c r="D219" s="9">
        <f t="shared" si="1"/>
        <v>1</v>
      </c>
      <c r="E219" s="9" t="s">
        <v>68</v>
      </c>
      <c r="F219" s="9">
        <f t="shared" si="2"/>
        <v>1</v>
      </c>
      <c r="G219" s="9" t="s">
        <v>69</v>
      </c>
      <c r="H219" s="9" t="str">
        <f t="shared" si="3"/>
        <v>Rural</v>
      </c>
      <c r="I219" s="9">
        <f t="shared" si="4"/>
        <v>1</v>
      </c>
      <c r="J219" s="9" t="s">
        <v>70</v>
      </c>
      <c r="K219" s="9" t="s">
        <v>100</v>
      </c>
      <c r="L219" s="9">
        <f t="shared" si="5"/>
        <v>3</v>
      </c>
      <c r="M219" s="9" t="s">
        <v>109</v>
      </c>
      <c r="N219" s="9">
        <f t="shared" si="6"/>
        <v>9</v>
      </c>
      <c r="O219" s="9" t="s">
        <v>103</v>
      </c>
      <c r="P219" s="9">
        <f t="shared" si="7"/>
        <v>5</v>
      </c>
      <c r="Q219" s="9" t="s">
        <v>73</v>
      </c>
      <c r="R219" s="9">
        <f t="shared" si="8"/>
        <v>2</v>
      </c>
      <c r="S219" s="9" t="s">
        <v>103</v>
      </c>
      <c r="T219" s="9">
        <f t="shared" si="9"/>
        <v>5</v>
      </c>
      <c r="U219" s="9" t="s">
        <v>74</v>
      </c>
      <c r="V219" s="9">
        <f t="shared" si="10"/>
        <v>1.5</v>
      </c>
      <c r="W219" s="9" t="s">
        <v>86</v>
      </c>
      <c r="X219" s="9">
        <f t="shared" si="11"/>
        <v>1</v>
      </c>
      <c r="Y219" s="9">
        <f t="shared" si="12"/>
        <v>1</v>
      </c>
      <c r="Z219" s="9">
        <f t="shared" si="13"/>
        <v>1</v>
      </c>
      <c r="AA219" s="9">
        <f t="shared" si="14"/>
        <v>0</v>
      </c>
      <c r="AB219" s="9" t="s">
        <v>78</v>
      </c>
      <c r="AC219" s="9">
        <f t="shared" si="15"/>
        <v>3</v>
      </c>
      <c r="AD219" s="9" t="s">
        <v>103</v>
      </c>
      <c r="AE219" s="9">
        <f t="shared" si="16"/>
        <v>5</v>
      </c>
      <c r="AF219" s="9" t="s">
        <v>71</v>
      </c>
      <c r="AG219" s="9">
        <f t="shared" si="17"/>
        <v>7.7</v>
      </c>
      <c r="AH219" s="9" t="s">
        <v>78</v>
      </c>
      <c r="AI219" s="9">
        <f t="shared" si="18"/>
        <v>3</v>
      </c>
      <c r="AJ219" s="9" t="s">
        <v>78</v>
      </c>
      <c r="AK219" s="9">
        <f t="shared" si="19"/>
        <v>3</v>
      </c>
      <c r="AL219" s="9" t="s">
        <v>73</v>
      </c>
      <c r="AM219" s="9">
        <f t="shared" si="20"/>
        <v>2</v>
      </c>
      <c r="AN219" s="9" t="s">
        <v>78</v>
      </c>
      <c r="AO219" s="9">
        <f t="shared" si="21"/>
        <v>3</v>
      </c>
      <c r="AP219" s="9" t="s">
        <v>120</v>
      </c>
      <c r="AQ219" s="9">
        <f t="shared" si="22"/>
        <v>5</v>
      </c>
      <c r="AR219" s="9" t="s">
        <v>78</v>
      </c>
      <c r="AS219" s="9">
        <f t="shared" si="23"/>
        <v>3</v>
      </c>
      <c r="AT219" s="9" t="s">
        <v>297</v>
      </c>
      <c r="AU219" s="9">
        <f t="shared" si="24"/>
        <v>1</v>
      </c>
      <c r="AV219" s="9">
        <f t="shared" si="25"/>
        <v>1</v>
      </c>
      <c r="AW219" s="9">
        <f t="shared" si="26"/>
        <v>0</v>
      </c>
      <c r="AX219" s="9">
        <f t="shared" si="27"/>
        <v>1</v>
      </c>
      <c r="AY219" s="9">
        <f t="shared" si="28"/>
        <v>0</v>
      </c>
      <c r="AZ219" s="9">
        <f t="shared" si="29"/>
        <v>0</v>
      </c>
      <c r="BA219" s="9">
        <f t="shared" si="30"/>
        <v>1</v>
      </c>
      <c r="BB219" s="9" t="s">
        <v>88</v>
      </c>
      <c r="BC219" s="9">
        <f t="shared" si="31"/>
        <v>2</v>
      </c>
      <c r="BD219" s="12"/>
      <c r="BE219" s="9" t="str">
        <f t="shared" si="46"/>
        <v>N/A</v>
      </c>
      <c r="BF219" s="9" t="s">
        <v>298</v>
      </c>
      <c r="BG219" s="9">
        <f t="shared" si="33"/>
        <v>1</v>
      </c>
      <c r="BH219" s="9">
        <f t="shared" si="34"/>
        <v>0</v>
      </c>
      <c r="BI219" s="9">
        <f t="shared" si="35"/>
        <v>1</v>
      </c>
      <c r="BJ219" s="9">
        <f t="shared" si="36"/>
        <v>1</v>
      </c>
      <c r="BK219" s="9">
        <f t="shared" si="37"/>
        <v>0</v>
      </c>
      <c r="BL219" s="9">
        <f t="shared" si="38"/>
        <v>0</v>
      </c>
      <c r="BM219" s="9">
        <f t="shared" si="39"/>
        <v>1</v>
      </c>
      <c r="BN219" s="9" t="s">
        <v>108</v>
      </c>
      <c r="BO219" s="11">
        <f t="shared" si="40"/>
        <v>3</v>
      </c>
    </row>
    <row r="220" ht="22.5" customHeight="1">
      <c r="A220" s="9">
        <f t="shared" si="41"/>
        <v>219</v>
      </c>
      <c r="B220" s="10">
        <v>46051.947475266206</v>
      </c>
      <c r="C220" s="9" t="s">
        <v>90</v>
      </c>
      <c r="D220" s="9">
        <f t="shared" si="1"/>
        <v>2</v>
      </c>
      <c r="E220" s="9" t="s">
        <v>68</v>
      </c>
      <c r="F220" s="9">
        <f t="shared" si="2"/>
        <v>1</v>
      </c>
      <c r="G220" s="9" t="s">
        <v>69</v>
      </c>
      <c r="H220" s="9" t="str">
        <f t="shared" si="3"/>
        <v>Rural</v>
      </c>
      <c r="I220" s="9">
        <f t="shared" si="4"/>
        <v>1</v>
      </c>
      <c r="J220" s="9" t="s">
        <v>70</v>
      </c>
      <c r="K220" s="9" t="s">
        <v>100</v>
      </c>
      <c r="L220" s="9">
        <f t="shared" si="5"/>
        <v>3</v>
      </c>
      <c r="M220" s="9" t="s">
        <v>71</v>
      </c>
      <c r="N220" s="9">
        <f t="shared" si="6"/>
        <v>7.7</v>
      </c>
      <c r="O220" s="9" t="s">
        <v>73</v>
      </c>
      <c r="P220" s="9">
        <f t="shared" si="7"/>
        <v>2</v>
      </c>
      <c r="Q220" s="9" t="s">
        <v>85</v>
      </c>
      <c r="R220" s="9">
        <f t="shared" si="8"/>
        <v>4</v>
      </c>
      <c r="S220" s="9" t="s">
        <v>72</v>
      </c>
      <c r="T220" s="9">
        <f t="shared" si="9"/>
        <v>1</v>
      </c>
      <c r="U220" s="9" t="s">
        <v>96</v>
      </c>
      <c r="V220" s="9">
        <f t="shared" si="10"/>
        <v>2.5</v>
      </c>
      <c r="W220" s="9" t="s">
        <v>143</v>
      </c>
      <c r="X220" s="9">
        <f t="shared" si="11"/>
        <v>1</v>
      </c>
      <c r="Y220" s="9">
        <f t="shared" si="12"/>
        <v>0</v>
      </c>
      <c r="Z220" s="9">
        <f t="shared" si="13"/>
        <v>0</v>
      </c>
      <c r="AA220" s="9">
        <f t="shared" si="14"/>
        <v>0</v>
      </c>
      <c r="AB220" s="9" t="s">
        <v>85</v>
      </c>
      <c r="AC220" s="9">
        <f t="shared" si="15"/>
        <v>4</v>
      </c>
      <c r="AD220" s="9" t="s">
        <v>85</v>
      </c>
      <c r="AE220" s="9">
        <f t="shared" si="16"/>
        <v>4</v>
      </c>
      <c r="AF220" s="9" t="s">
        <v>71</v>
      </c>
      <c r="AG220" s="9">
        <f t="shared" si="17"/>
        <v>7.7</v>
      </c>
      <c r="AH220" s="9" t="s">
        <v>85</v>
      </c>
      <c r="AI220" s="9">
        <f t="shared" si="18"/>
        <v>4</v>
      </c>
      <c r="AJ220" s="9" t="s">
        <v>73</v>
      </c>
      <c r="AK220" s="9">
        <f t="shared" si="19"/>
        <v>2</v>
      </c>
      <c r="AL220" s="9" t="s">
        <v>85</v>
      </c>
      <c r="AM220" s="9">
        <f t="shared" si="20"/>
        <v>4</v>
      </c>
      <c r="AN220" s="9" t="s">
        <v>85</v>
      </c>
      <c r="AO220" s="9">
        <f t="shared" si="21"/>
        <v>4</v>
      </c>
      <c r="AP220" s="9" t="s">
        <v>85</v>
      </c>
      <c r="AQ220" s="9">
        <f t="shared" si="22"/>
        <v>4</v>
      </c>
      <c r="AR220" s="9" t="s">
        <v>85</v>
      </c>
      <c r="AS220" s="9">
        <f t="shared" si="23"/>
        <v>4</v>
      </c>
      <c r="AT220" s="9" t="s">
        <v>125</v>
      </c>
      <c r="AU220" s="9">
        <f t="shared" si="24"/>
        <v>0</v>
      </c>
      <c r="AV220" s="9">
        <f t="shared" si="25"/>
        <v>0</v>
      </c>
      <c r="AW220" s="9">
        <f t="shared" si="26"/>
        <v>0</v>
      </c>
      <c r="AX220" s="9">
        <f t="shared" si="27"/>
        <v>1</v>
      </c>
      <c r="AY220" s="9">
        <f t="shared" si="28"/>
        <v>0</v>
      </c>
      <c r="AZ220" s="9">
        <f t="shared" si="29"/>
        <v>0</v>
      </c>
      <c r="BA220" s="9">
        <f t="shared" si="30"/>
        <v>0</v>
      </c>
      <c r="BB220" s="9" t="s">
        <v>88</v>
      </c>
      <c r="BC220" s="9">
        <f t="shared" si="31"/>
        <v>2</v>
      </c>
      <c r="BD220" s="12"/>
      <c r="BE220" s="9" t="str">
        <f t="shared" si="46"/>
        <v>N/A</v>
      </c>
      <c r="BF220" s="9" t="s">
        <v>150</v>
      </c>
      <c r="BG220" s="9">
        <f t="shared" si="33"/>
        <v>0</v>
      </c>
      <c r="BH220" s="9">
        <f t="shared" si="34"/>
        <v>0</v>
      </c>
      <c r="BI220" s="9">
        <f t="shared" si="35"/>
        <v>0</v>
      </c>
      <c r="BJ220" s="9">
        <f t="shared" si="36"/>
        <v>0</v>
      </c>
      <c r="BK220" s="9">
        <f t="shared" si="37"/>
        <v>1</v>
      </c>
      <c r="BL220" s="9">
        <f t="shared" si="38"/>
        <v>0</v>
      </c>
      <c r="BM220" s="9">
        <f t="shared" si="39"/>
        <v>0</v>
      </c>
      <c r="BN220" s="9" t="s">
        <v>108</v>
      </c>
      <c r="BO220" s="11">
        <f t="shared" si="40"/>
        <v>3</v>
      </c>
    </row>
    <row r="221" ht="22.5" customHeight="1">
      <c r="A221" s="9">
        <f t="shared" si="41"/>
        <v>220</v>
      </c>
      <c r="B221" s="10">
        <v>46051.948171400465</v>
      </c>
      <c r="C221" s="9" t="s">
        <v>67</v>
      </c>
      <c r="D221" s="9">
        <f t="shared" si="1"/>
        <v>1</v>
      </c>
      <c r="E221" s="9" t="s">
        <v>68</v>
      </c>
      <c r="F221" s="9">
        <f t="shared" si="2"/>
        <v>1</v>
      </c>
      <c r="G221" s="9" t="s">
        <v>82</v>
      </c>
      <c r="H221" s="9" t="str">
        <f t="shared" si="3"/>
        <v>Urban</v>
      </c>
      <c r="I221" s="9">
        <f t="shared" si="4"/>
        <v>2</v>
      </c>
      <c r="J221" s="9" t="s">
        <v>145</v>
      </c>
      <c r="K221" s="9" t="s">
        <v>146</v>
      </c>
      <c r="L221" s="9">
        <f t="shared" si="5"/>
        <v>1</v>
      </c>
      <c r="M221" s="9" t="s">
        <v>71</v>
      </c>
      <c r="N221" s="9">
        <f t="shared" si="6"/>
        <v>7.7</v>
      </c>
      <c r="O221" s="9" t="s">
        <v>72</v>
      </c>
      <c r="P221" s="9">
        <f t="shared" si="7"/>
        <v>1</v>
      </c>
      <c r="Q221" s="9" t="s">
        <v>78</v>
      </c>
      <c r="R221" s="9">
        <f t="shared" si="8"/>
        <v>3</v>
      </c>
      <c r="S221" s="9" t="s">
        <v>73</v>
      </c>
      <c r="T221" s="9">
        <f t="shared" si="9"/>
        <v>2</v>
      </c>
      <c r="U221" s="9" t="s">
        <v>110</v>
      </c>
      <c r="V221" s="9">
        <f t="shared" si="10"/>
        <v>0.75</v>
      </c>
      <c r="W221" s="9" t="s">
        <v>86</v>
      </c>
      <c r="X221" s="9">
        <f t="shared" si="11"/>
        <v>1</v>
      </c>
      <c r="Y221" s="9">
        <f t="shared" si="12"/>
        <v>1</v>
      </c>
      <c r="Z221" s="9">
        <f t="shared" si="13"/>
        <v>1</v>
      </c>
      <c r="AA221" s="9">
        <f t="shared" si="14"/>
        <v>0</v>
      </c>
      <c r="AB221" s="9" t="s">
        <v>72</v>
      </c>
      <c r="AC221" s="9">
        <f t="shared" si="15"/>
        <v>1</v>
      </c>
      <c r="AD221" s="9" t="s">
        <v>73</v>
      </c>
      <c r="AE221" s="9">
        <f t="shared" si="16"/>
        <v>2</v>
      </c>
      <c r="AF221" s="9" t="s">
        <v>71</v>
      </c>
      <c r="AG221" s="9">
        <f t="shared" si="17"/>
        <v>7.7</v>
      </c>
      <c r="AH221" s="9" t="s">
        <v>78</v>
      </c>
      <c r="AI221" s="9">
        <f t="shared" si="18"/>
        <v>3</v>
      </c>
      <c r="AJ221" s="9" t="s">
        <v>73</v>
      </c>
      <c r="AK221" s="9">
        <f t="shared" si="19"/>
        <v>2</v>
      </c>
      <c r="AL221" s="9" t="s">
        <v>73</v>
      </c>
      <c r="AM221" s="9">
        <f t="shared" si="20"/>
        <v>2</v>
      </c>
      <c r="AN221" s="9" t="s">
        <v>85</v>
      </c>
      <c r="AO221" s="9">
        <f t="shared" si="21"/>
        <v>4</v>
      </c>
      <c r="AP221" s="9" t="s">
        <v>78</v>
      </c>
      <c r="AQ221" s="9">
        <f t="shared" si="22"/>
        <v>3</v>
      </c>
      <c r="AR221" s="9" t="s">
        <v>85</v>
      </c>
      <c r="AS221" s="9">
        <f t="shared" si="23"/>
        <v>4</v>
      </c>
      <c r="AT221" s="9" t="s">
        <v>294</v>
      </c>
      <c r="AU221" s="9">
        <f t="shared" si="24"/>
        <v>0</v>
      </c>
      <c r="AV221" s="9">
        <f t="shared" si="25"/>
        <v>0</v>
      </c>
      <c r="AW221" s="9">
        <f t="shared" si="26"/>
        <v>0</v>
      </c>
      <c r="AX221" s="9">
        <f t="shared" si="27"/>
        <v>0</v>
      </c>
      <c r="AY221" s="9">
        <f t="shared" si="28"/>
        <v>0</v>
      </c>
      <c r="AZ221" s="9">
        <f t="shared" si="29"/>
        <v>0</v>
      </c>
      <c r="BA221" s="9">
        <f t="shared" si="30"/>
        <v>0</v>
      </c>
      <c r="BB221" s="9" t="s">
        <v>88</v>
      </c>
      <c r="BC221" s="9">
        <f t="shared" si="31"/>
        <v>2</v>
      </c>
      <c r="BD221" s="12"/>
      <c r="BE221" s="9" t="str">
        <f t="shared" si="46"/>
        <v>N/A</v>
      </c>
      <c r="BF221" s="9" t="s">
        <v>107</v>
      </c>
      <c r="BG221" s="9">
        <f t="shared" si="33"/>
        <v>1</v>
      </c>
      <c r="BH221" s="9">
        <f t="shared" si="34"/>
        <v>0</v>
      </c>
      <c r="BI221" s="9">
        <f t="shared" si="35"/>
        <v>0</v>
      </c>
      <c r="BJ221" s="9">
        <f t="shared" si="36"/>
        <v>0</v>
      </c>
      <c r="BK221" s="9">
        <f t="shared" si="37"/>
        <v>0</v>
      </c>
      <c r="BL221" s="9">
        <f t="shared" si="38"/>
        <v>0</v>
      </c>
      <c r="BM221" s="9">
        <f t="shared" si="39"/>
        <v>0</v>
      </c>
      <c r="BN221" s="9" t="s">
        <v>88</v>
      </c>
      <c r="BO221" s="11">
        <f t="shared" si="40"/>
        <v>2</v>
      </c>
    </row>
    <row r="222" ht="22.5" customHeight="1">
      <c r="A222" s="9">
        <f t="shared" si="41"/>
        <v>221</v>
      </c>
      <c r="B222" s="10">
        <v>46051.948460879634</v>
      </c>
      <c r="C222" s="9" t="s">
        <v>90</v>
      </c>
      <c r="D222" s="9">
        <f t="shared" si="1"/>
        <v>2</v>
      </c>
      <c r="E222" s="9" t="s">
        <v>68</v>
      </c>
      <c r="F222" s="9">
        <f t="shared" si="2"/>
        <v>1</v>
      </c>
      <c r="G222" s="9" t="s">
        <v>69</v>
      </c>
      <c r="H222" s="9" t="str">
        <f t="shared" si="3"/>
        <v>Rural</v>
      </c>
      <c r="I222" s="9">
        <f t="shared" si="4"/>
        <v>1</v>
      </c>
      <c r="J222" s="9" t="s">
        <v>70</v>
      </c>
      <c r="K222" s="9" t="s">
        <v>100</v>
      </c>
      <c r="L222" s="9">
        <f t="shared" si="5"/>
        <v>3</v>
      </c>
      <c r="M222" s="9" t="s">
        <v>101</v>
      </c>
      <c r="N222" s="9">
        <f t="shared" si="6"/>
        <v>2</v>
      </c>
      <c r="O222" s="9" t="s">
        <v>78</v>
      </c>
      <c r="P222" s="9">
        <f t="shared" si="7"/>
        <v>3</v>
      </c>
      <c r="Q222" s="9" t="s">
        <v>78</v>
      </c>
      <c r="R222" s="9">
        <f t="shared" si="8"/>
        <v>3</v>
      </c>
      <c r="S222" s="9" t="s">
        <v>78</v>
      </c>
      <c r="T222" s="9">
        <f t="shared" si="9"/>
        <v>3</v>
      </c>
      <c r="U222" s="9" t="s">
        <v>74</v>
      </c>
      <c r="V222" s="9">
        <f t="shared" si="10"/>
        <v>1.5</v>
      </c>
      <c r="W222" s="9" t="s">
        <v>143</v>
      </c>
      <c r="X222" s="9">
        <f t="shared" si="11"/>
        <v>1</v>
      </c>
      <c r="Y222" s="9">
        <f t="shared" si="12"/>
        <v>0</v>
      </c>
      <c r="Z222" s="9">
        <f t="shared" si="13"/>
        <v>0</v>
      </c>
      <c r="AA222" s="9">
        <f t="shared" si="14"/>
        <v>0</v>
      </c>
      <c r="AB222" s="9" t="s">
        <v>78</v>
      </c>
      <c r="AC222" s="9">
        <f t="shared" si="15"/>
        <v>3</v>
      </c>
      <c r="AD222" s="9" t="s">
        <v>85</v>
      </c>
      <c r="AE222" s="9">
        <f t="shared" si="16"/>
        <v>4</v>
      </c>
      <c r="AF222" s="9" t="s">
        <v>71</v>
      </c>
      <c r="AG222" s="9">
        <f t="shared" si="17"/>
        <v>7.7</v>
      </c>
      <c r="AH222" s="9" t="s">
        <v>85</v>
      </c>
      <c r="AI222" s="9">
        <f t="shared" si="18"/>
        <v>4</v>
      </c>
      <c r="AJ222" s="9" t="s">
        <v>73</v>
      </c>
      <c r="AK222" s="9">
        <f t="shared" si="19"/>
        <v>2</v>
      </c>
      <c r="AL222" s="9" t="s">
        <v>78</v>
      </c>
      <c r="AM222" s="9">
        <f t="shared" si="20"/>
        <v>3</v>
      </c>
      <c r="AN222" s="9" t="s">
        <v>78</v>
      </c>
      <c r="AO222" s="9">
        <f t="shared" si="21"/>
        <v>3</v>
      </c>
      <c r="AP222" s="9" t="s">
        <v>78</v>
      </c>
      <c r="AQ222" s="9">
        <f t="shared" si="22"/>
        <v>3</v>
      </c>
      <c r="AR222" s="9" t="s">
        <v>78</v>
      </c>
      <c r="AS222" s="9">
        <f t="shared" si="23"/>
        <v>3</v>
      </c>
      <c r="AT222" s="9" t="s">
        <v>125</v>
      </c>
      <c r="AU222" s="9">
        <f t="shared" si="24"/>
        <v>0</v>
      </c>
      <c r="AV222" s="9">
        <f t="shared" si="25"/>
        <v>0</v>
      </c>
      <c r="AW222" s="9">
        <f t="shared" si="26"/>
        <v>0</v>
      </c>
      <c r="AX222" s="9">
        <f t="shared" si="27"/>
        <v>1</v>
      </c>
      <c r="AY222" s="9">
        <f t="shared" si="28"/>
        <v>0</v>
      </c>
      <c r="AZ222" s="9">
        <f t="shared" si="29"/>
        <v>0</v>
      </c>
      <c r="BA222" s="9">
        <f t="shared" si="30"/>
        <v>0</v>
      </c>
      <c r="BB222" s="9" t="s">
        <v>88</v>
      </c>
      <c r="BC222" s="9">
        <f t="shared" si="31"/>
        <v>2</v>
      </c>
      <c r="BD222" s="12"/>
      <c r="BE222" s="9" t="str">
        <f t="shared" si="46"/>
        <v>N/A</v>
      </c>
      <c r="BF222" s="9" t="s">
        <v>129</v>
      </c>
      <c r="BG222" s="9">
        <f t="shared" si="33"/>
        <v>0</v>
      </c>
      <c r="BH222" s="9">
        <f t="shared" si="34"/>
        <v>0</v>
      </c>
      <c r="BI222" s="9">
        <f t="shared" si="35"/>
        <v>0</v>
      </c>
      <c r="BJ222" s="9">
        <f t="shared" si="36"/>
        <v>0</v>
      </c>
      <c r="BK222" s="9">
        <f t="shared" si="37"/>
        <v>0</v>
      </c>
      <c r="BL222" s="9">
        <f t="shared" si="38"/>
        <v>1</v>
      </c>
      <c r="BM222" s="9">
        <f t="shared" si="39"/>
        <v>0</v>
      </c>
      <c r="BN222" s="9" t="s">
        <v>108</v>
      </c>
      <c r="BO222" s="11">
        <f t="shared" si="40"/>
        <v>3</v>
      </c>
    </row>
    <row r="223" ht="22.5" customHeight="1">
      <c r="A223" s="9">
        <f t="shared" si="41"/>
        <v>222</v>
      </c>
      <c r="B223" s="10">
        <v>46051.95053181713</v>
      </c>
      <c r="C223" s="9" t="s">
        <v>90</v>
      </c>
      <c r="D223" s="9">
        <f t="shared" si="1"/>
        <v>2</v>
      </c>
      <c r="E223" s="9" t="s">
        <v>68</v>
      </c>
      <c r="F223" s="9">
        <f t="shared" si="2"/>
        <v>1</v>
      </c>
      <c r="G223" s="9" t="s">
        <v>69</v>
      </c>
      <c r="H223" s="9" t="str">
        <f t="shared" si="3"/>
        <v>Rural</v>
      </c>
      <c r="I223" s="9">
        <f t="shared" si="4"/>
        <v>1</v>
      </c>
      <c r="J223" s="9" t="s">
        <v>83</v>
      </c>
      <c r="K223" s="9" t="s">
        <v>84</v>
      </c>
      <c r="L223" s="9">
        <f t="shared" si="5"/>
        <v>2</v>
      </c>
      <c r="M223" s="9" t="s">
        <v>101</v>
      </c>
      <c r="N223" s="9">
        <f t="shared" si="6"/>
        <v>2</v>
      </c>
      <c r="O223" s="9" t="s">
        <v>85</v>
      </c>
      <c r="P223" s="9">
        <f t="shared" si="7"/>
        <v>4</v>
      </c>
      <c r="Q223" s="9" t="s">
        <v>73</v>
      </c>
      <c r="R223" s="9">
        <f t="shared" si="8"/>
        <v>2</v>
      </c>
      <c r="S223" s="9" t="s">
        <v>73</v>
      </c>
      <c r="T223" s="9">
        <f t="shared" si="9"/>
        <v>2</v>
      </c>
      <c r="U223" s="9" t="s">
        <v>92</v>
      </c>
      <c r="V223" s="9">
        <f t="shared" si="10"/>
        <v>3.5</v>
      </c>
      <c r="W223" s="9" t="s">
        <v>86</v>
      </c>
      <c r="X223" s="9">
        <f t="shared" si="11"/>
        <v>1</v>
      </c>
      <c r="Y223" s="9">
        <f t="shared" si="12"/>
        <v>1</v>
      </c>
      <c r="Z223" s="9">
        <f t="shared" si="13"/>
        <v>1</v>
      </c>
      <c r="AA223" s="9">
        <f t="shared" si="14"/>
        <v>0</v>
      </c>
      <c r="AB223" s="9" t="s">
        <v>85</v>
      </c>
      <c r="AC223" s="9">
        <f t="shared" si="15"/>
        <v>4</v>
      </c>
      <c r="AD223" s="9" t="s">
        <v>85</v>
      </c>
      <c r="AE223" s="9">
        <f t="shared" si="16"/>
        <v>4</v>
      </c>
      <c r="AF223" s="9" t="s">
        <v>109</v>
      </c>
      <c r="AG223" s="9">
        <f t="shared" si="17"/>
        <v>9</v>
      </c>
      <c r="AH223" s="9" t="s">
        <v>103</v>
      </c>
      <c r="AI223" s="9">
        <f t="shared" si="18"/>
        <v>5</v>
      </c>
      <c r="AJ223" s="9" t="s">
        <v>73</v>
      </c>
      <c r="AK223" s="9">
        <f t="shared" si="19"/>
        <v>2</v>
      </c>
      <c r="AL223" s="9" t="s">
        <v>85</v>
      </c>
      <c r="AM223" s="9">
        <f t="shared" si="20"/>
        <v>4</v>
      </c>
      <c r="AN223" s="9" t="s">
        <v>85</v>
      </c>
      <c r="AO223" s="9">
        <f t="shared" si="21"/>
        <v>4</v>
      </c>
      <c r="AP223" s="9" t="s">
        <v>85</v>
      </c>
      <c r="AQ223" s="9">
        <f t="shared" si="22"/>
        <v>4</v>
      </c>
      <c r="AR223" s="9" t="s">
        <v>85</v>
      </c>
      <c r="AS223" s="9">
        <f t="shared" si="23"/>
        <v>4</v>
      </c>
      <c r="AT223" s="9" t="s">
        <v>125</v>
      </c>
      <c r="AU223" s="9">
        <f t="shared" si="24"/>
        <v>0</v>
      </c>
      <c r="AV223" s="9">
        <f t="shared" si="25"/>
        <v>0</v>
      </c>
      <c r="AW223" s="9">
        <f t="shared" si="26"/>
        <v>0</v>
      </c>
      <c r="AX223" s="9">
        <f t="shared" si="27"/>
        <v>1</v>
      </c>
      <c r="AY223" s="9">
        <f t="shared" si="28"/>
        <v>0</v>
      </c>
      <c r="AZ223" s="9">
        <f t="shared" si="29"/>
        <v>0</v>
      </c>
      <c r="BA223" s="9">
        <f t="shared" si="30"/>
        <v>0</v>
      </c>
      <c r="BB223" s="9" t="s">
        <v>88</v>
      </c>
      <c r="BC223" s="9">
        <f t="shared" si="31"/>
        <v>2</v>
      </c>
      <c r="BD223" s="12"/>
      <c r="BE223" s="9" t="str">
        <f t="shared" si="46"/>
        <v>N/A</v>
      </c>
      <c r="BF223" s="9" t="s">
        <v>107</v>
      </c>
      <c r="BG223" s="9">
        <f t="shared" si="33"/>
        <v>1</v>
      </c>
      <c r="BH223" s="9">
        <f t="shared" si="34"/>
        <v>0</v>
      </c>
      <c r="BI223" s="9">
        <f t="shared" si="35"/>
        <v>0</v>
      </c>
      <c r="BJ223" s="9">
        <f t="shared" si="36"/>
        <v>0</v>
      </c>
      <c r="BK223" s="9">
        <f t="shared" si="37"/>
        <v>0</v>
      </c>
      <c r="BL223" s="9">
        <f t="shared" si="38"/>
        <v>0</v>
      </c>
      <c r="BM223" s="9">
        <f t="shared" si="39"/>
        <v>0</v>
      </c>
      <c r="BN223" s="9" t="s">
        <v>68</v>
      </c>
      <c r="BO223" s="11">
        <f t="shared" si="40"/>
        <v>1</v>
      </c>
    </row>
    <row r="224" ht="22.5" customHeight="1">
      <c r="A224" s="9">
        <f t="shared" si="41"/>
        <v>223</v>
      </c>
      <c r="B224" s="10">
        <v>46051.958209502314</v>
      </c>
      <c r="C224" s="9" t="s">
        <v>90</v>
      </c>
      <c r="D224" s="9">
        <f t="shared" si="1"/>
        <v>2</v>
      </c>
      <c r="E224" s="9" t="s">
        <v>68</v>
      </c>
      <c r="F224" s="9">
        <f t="shared" si="2"/>
        <v>1</v>
      </c>
      <c r="G224" s="9" t="s">
        <v>69</v>
      </c>
      <c r="H224" s="9" t="str">
        <f t="shared" si="3"/>
        <v>Rural</v>
      </c>
      <c r="I224" s="9">
        <f t="shared" si="4"/>
        <v>1</v>
      </c>
      <c r="J224" s="9" t="s">
        <v>145</v>
      </c>
      <c r="K224" s="9" t="s">
        <v>146</v>
      </c>
      <c r="L224" s="9">
        <f t="shared" si="5"/>
        <v>1</v>
      </c>
      <c r="M224" s="9" t="s">
        <v>76</v>
      </c>
      <c r="N224" s="9">
        <f t="shared" si="6"/>
        <v>5.5</v>
      </c>
      <c r="O224" s="9" t="s">
        <v>78</v>
      </c>
      <c r="P224" s="9">
        <f t="shared" si="7"/>
        <v>3</v>
      </c>
      <c r="Q224" s="9" t="s">
        <v>78</v>
      </c>
      <c r="R224" s="9">
        <f t="shared" si="8"/>
        <v>3</v>
      </c>
      <c r="S224" s="9" t="s">
        <v>78</v>
      </c>
      <c r="T224" s="9">
        <f t="shared" si="9"/>
        <v>3</v>
      </c>
      <c r="U224" s="9" t="s">
        <v>92</v>
      </c>
      <c r="V224" s="9">
        <f t="shared" si="10"/>
        <v>3.5</v>
      </c>
      <c r="W224" s="9" t="s">
        <v>105</v>
      </c>
      <c r="X224" s="9">
        <f t="shared" si="11"/>
        <v>1</v>
      </c>
      <c r="Y224" s="9">
        <f t="shared" si="12"/>
        <v>1</v>
      </c>
      <c r="Z224" s="9">
        <f t="shared" si="13"/>
        <v>0</v>
      </c>
      <c r="AA224" s="9">
        <f t="shared" si="14"/>
        <v>0</v>
      </c>
      <c r="AB224" s="9" t="s">
        <v>78</v>
      </c>
      <c r="AC224" s="9">
        <f t="shared" si="15"/>
        <v>3</v>
      </c>
      <c r="AD224" s="9" t="s">
        <v>78</v>
      </c>
      <c r="AE224" s="9">
        <f t="shared" si="16"/>
        <v>3</v>
      </c>
      <c r="AF224" s="9" t="s">
        <v>71</v>
      </c>
      <c r="AG224" s="9">
        <f t="shared" si="17"/>
        <v>7.7</v>
      </c>
      <c r="AH224" s="9" t="s">
        <v>78</v>
      </c>
      <c r="AI224" s="9">
        <f t="shared" si="18"/>
        <v>3</v>
      </c>
      <c r="AJ224" s="9" t="s">
        <v>78</v>
      </c>
      <c r="AK224" s="9">
        <f t="shared" si="19"/>
        <v>3</v>
      </c>
      <c r="AL224" s="9" t="s">
        <v>78</v>
      </c>
      <c r="AM224" s="9">
        <f t="shared" si="20"/>
        <v>3</v>
      </c>
      <c r="AN224" s="9" t="s">
        <v>78</v>
      </c>
      <c r="AO224" s="9">
        <f t="shared" si="21"/>
        <v>3</v>
      </c>
      <c r="AP224" s="9" t="s">
        <v>78</v>
      </c>
      <c r="AQ224" s="9">
        <f t="shared" si="22"/>
        <v>3</v>
      </c>
      <c r="AR224" s="9" t="s">
        <v>78</v>
      </c>
      <c r="AS224" s="9">
        <f t="shared" si="23"/>
        <v>3</v>
      </c>
      <c r="AT224" s="9" t="s">
        <v>299</v>
      </c>
      <c r="AU224" s="9">
        <f t="shared" si="24"/>
        <v>0</v>
      </c>
      <c r="AV224" s="9">
        <f t="shared" si="25"/>
        <v>0</v>
      </c>
      <c r="AW224" s="9">
        <f t="shared" si="26"/>
        <v>0</v>
      </c>
      <c r="AX224" s="9">
        <f t="shared" si="27"/>
        <v>0</v>
      </c>
      <c r="AY224" s="9">
        <f t="shared" si="28"/>
        <v>0</v>
      </c>
      <c r="AZ224" s="9">
        <f t="shared" si="29"/>
        <v>0</v>
      </c>
      <c r="BA224" s="9">
        <f t="shared" si="30"/>
        <v>0</v>
      </c>
      <c r="BB224" s="9" t="s">
        <v>88</v>
      </c>
      <c r="BC224" s="9">
        <f t="shared" si="31"/>
        <v>2</v>
      </c>
      <c r="BD224" s="12"/>
      <c r="BE224" s="9" t="str">
        <f t="shared" si="46"/>
        <v>N/A</v>
      </c>
      <c r="BF224" s="12"/>
      <c r="BG224" s="9">
        <f t="shared" si="33"/>
        <v>0</v>
      </c>
      <c r="BH224" s="9">
        <f t="shared" si="34"/>
        <v>0</v>
      </c>
      <c r="BI224" s="9">
        <f t="shared" si="35"/>
        <v>0</v>
      </c>
      <c r="BJ224" s="9">
        <f t="shared" si="36"/>
        <v>0</v>
      </c>
      <c r="BK224" s="9">
        <f t="shared" si="37"/>
        <v>0</v>
      </c>
      <c r="BL224" s="9">
        <f t="shared" si="38"/>
        <v>0</v>
      </c>
      <c r="BM224" s="9">
        <f t="shared" si="39"/>
        <v>0</v>
      </c>
      <c r="BN224" s="9" t="s">
        <v>108</v>
      </c>
      <c r="BO224" s="11">
        <f t="shared" si="40"/>
        <v>3</v>
      </c>
    </row>
    <row r="225" ht="22.5" customHeight="1">
      <c r="A225" s="9">
        <f t="shared" si="41"/>
        <v>224</v>
      </c>
      <c r="B225" s="10">
        <v>46051.959806099534</v>
      </c>
      <c r="C225" s="9" t="s">
        <v>90</v>
      </c>
      <c r="D225" s="9">
        <f t="shared" si="1"/>
        <v>2</v>
      </c>
      <c r="E225" s="9" t="s">
        <v>68</v>
      </c>
      <c r="F225" s="9">
        <f t="shared" si="2"/>
        <v>1</v>
      </c>
      <c r="G225" s="9" t="s">
        <v>91</v>
      </c>
      <c r="H225" s="9" t="str">
        <f t="shared" si="3"/>
        <v>Urban</v>
      </c>
      <c r="I225" s="9">
        <f t="shared" si="4"/>
        <v>2</v>
      </c>
      <c r="J225" s="9" t="s">
        <v>70</v>
      </c>
      <c r="K225" s="9" t="s">
        <v>100</v>
      </c>
      <c r="L225" s="9">
        <f t="shared" si="5"/>
        <v>3</v>
      </c>
      <c r="M225" s="9" t="s">
        <v>101</v>
      </c>
      <c r="N225" s="9">
        <f t="shared" si="6"/>
        <v>2</v>
      </c>
      <c r="O225" s="9" t="s">
        <v>78</v>
      </c>
      <c r="P225" s="9">
        <f t="shared" si="7"/>
        <v>3</v>
      </c>
      <c r="Q225" s="9" t="s">
        <v>78</v>
      </c>
      <c r="R225" s="9">
        <f t="shared" si="8"/>
        <v>3</v>
      </c>
      <c r="S225" s="9" t="s">
        <v>78</v>
      </c>
      <c r="T225" s="9">
        <f t="shared" si="9"/>
        <v>3</v>
      </c>
      <c r="U225" s="9" t="s">
        <v>110</v>
      </c>
      <c r="V225" s="9">
        <f t="shared" si="10"/>
        <v>0.75</v>
      </c>
      <c r="W225" s="9" t="s">
        <v>93</v>
      </c>
      <c r="X225" s="9">
        <f t="shared" si="11"/>
        <v>0</v>
      </c>
      <c r="Y225" s="9">
        <f t="shared" si="12"/>
        <v>1</v>
      </c>
      <c r="Z225" s="9">
        <f t="shared" si="13"/>
        <v>0</v>
      </c>
      <c r="AA225" s="9">
        <f t="shared" si="14"/>
        <v>0</v>
      </c>
      <c r="AB225" s="9" t="s">
        <v>72</v>
      </c>
      <c r="AC225" s="9">
        <f t="shared" si="15"/>
        <v>1</v>
      </c>
      <c r="AD225" s="9" t="s">
        <v>78</v>
      </c>
      <c r="AE225" s="9">
        <f t="shared" si="16"/>
        <v>3</v>
      </c>
      <c r="AF225" s="9" t="s">
        <v>71</v>
      </c>
      <c r="AG225" s="9">
        <f t="shared" si="17"/>
        <v>7.7</v>
      </c>
      <c r="AH225" s="9" t="s">
        <v>73</v>
      </c>
      <c r="AI225" s="9">
        <f t="shared" si="18"/>
        <v>2</v>
      </c>
      <c r="AJ225" s="9" t="s">
        <v>73</v>
      </c>
      <c r="AK225" s="9">
        <f t="shared" si="19"/>
        <v>2</v>
      </c>
      <c r="AL225" s="9" t="s">
        <v>85</v>
      </c>
      <c r="AM225" s="9">
        <f t="shared" si="20"/>
        <v>4</v>
      </c>
      <c r="AN225" s="9" t="s">
        <v>85</v>
      </c>
      <c r="AO225" s="9">
        <f t="shared" si="21"/>
        <v>4</v>
      </c>
      <c r="AP225" s="9" t="s">
        <v>78</v>
      </c>
      <c r="AQ225" s="9">
        <f t="shared" si="22"/>
        <v>3</v>
      </c>
      <c r="AR225" s="9" t="s">
        <v>78</v>
      </c>
      <c r="AS225" s="9">
        <f t="shared" si="23"/>
        <v>3</v>
      </c>
      <c r="AT225" s="9" t="s">
        <v>300</v>
      </c>
      <c r="AU225" s="9">
        <f t="shared" si="24"/>
        <v>1</v>
      </c>
      <c r="AV225" s="9">
        <f t="shared" si="25"/>
        <v>0</v>
      </c>
      <c r="AW225" s="9">
        <f t="shared" si="26"/>
        <v>1</v>
      </c>
      <c r="AX225" s="9">
        <f t="shared" si="27"/>
        <v>1</v>
      </c>
      <c r="AY225" s="9">
        <f t="shared" si="28"/>
        <v>0</v>
      </c>
      <c r="AZ225" s="9">
        <f t="shared" si="29"/>
        <v>1</v>
      </c>
      <c r="BA225" s="9">
        <f t="shared" si="30"/>
        <v>1</v>
      </c>
      <c r="BB225" s="9" t="s">
        <v>88</v>
      </c>
      <c r="BC225" s="9">
        <f t="shared" si="31"/>
        <v>2</v>
      </c>
      <c r="BD225" s="12"/>
      <c r="BE225" s="9" t="str">
        <f t="shared" si="46"/>
        <v>N/A</v>
      </c>
      <c r="BF225" s="9" t="s">
        <v>301</v>
      </c>
      <c r="BG225" s="9">
        <f t="shared" si="33"/>
        <v>0</v>
      </c>
      <c r="BH225" s="9">
        <f t="shared" si="34"/>
        <v>0</v>
      </c>
      <c r="BI225" s="9">
        <f t="shared" si="35"/>
        <v>0</v>
      </c>
      <c r="BJ225" s="9">
        <f t="shared" si="36"/>
        <v>1</v>
      </c>
      <c r="BK225" s="9">
        <f t="shared" si="37"/>
        <v>1</v>
      </c>
      <c r="BL225" s="9">
        <f t="shared" si="38"/>
        <v>0</v>
      </c>
      <c r="BM225" s="9">
        <f t="shared" si="39"/>
        <v>1</v>
      </c>
      <c r="BN225" s="9" t="s">
        <v>108</v>
      </c>
      <c r="BO225" s="11">
        <f t="shared" si="40"/>
        <v>3</v>
      </c>
    </row>
    <row r="226" ht="22.5" customHeight="1">
      <c r="A226" s="9">
        <f t="shared" si="41"/>
        <v>225</v>
      </c>
      <c r="B226" s="10">
        <v>46051.97059065972</v>
      </c>
      <c r="C226" s="9" t="s">
        <v>241</v>
      </c>
      <c r="D226" s="9" t="str">
        <f t="shared" si="1"/>
        <v>N/A</v>
      </c>
      <c r="E226" s="9" t="s">
        <v>68</v>
      </c>
      <c r="F226" s="9">
        <f t="shared" si="2"/>
        <v>1</v>
      </c>
      <c r="G226" s="9" t="s">
        <v>82</v>
      </c>
      <c r="H226" s="9" t="str">
        <f t="shared" si="3"/>
        <v>Urban</v>
      </c>
      <c r="I226" s="9">
        <f t="shared" si="4"/>
        <v>2</v>
      </c>
      <c r="J226" s="9" t="s">
        <v>145</v>
      </c>
      <c r="K226" s="9" t="s">
        <v>146</v>
      </c>
      <c r="L226" s="9">
        <f t="shared" si="5"/>
        <v>1</v>
      </c>
      <c r="M226" s="9" t="s">
        <v>101</v>
      </c>
      <c r="N226" s="9">
        <f t="shared" si="6"/>
        <v>2</v>
      </c>
      <c r="O226" s="9" t="s">
        <v>78</v>
      </c>
      <c r="P226" s="9">
        <f t="shared" si="7"/>
        <v>3</v>
      </c>
      <c r="Q226" s="9" t="s">
        <v>78</v>
      </c>
      <c r="R226" s="9">
        <f t="shared" si="8"/>
        <v>3</v>
      </c>
      <c r="S226" s="9" t="s">
        <v>78</v>
      </c>
      <c r="T226" s="9">
        <f t="shared" si="9"/>
        <v>3</v>
      </c>
      <c r="U226" s="9" t="s">
        <v>92</v>
      </c>
      <c r="V226" s="9">
        <f t="shared" si="10"/>
        <v>3.5</v>
      </c>
      <c r="W226" s="9" t="s">
        <v>93</v>
      </c>
      <c r="X226" s="9">
        <f t="shared" si="11"/>
        <v>0</v>
      </c>
      <c r="Y226" s="9">
        <f t="shared" si="12"/>
        <v>1</v>
      </c>
      <c r="Z226" s="9">
        <f t="shared" si="13"/>
        <v>0</v>
      </c>
      <c r="AA226" s="9">
        <f t="shared" si="14"/>
        <v>0</v>
      </c>
      <c r="AB226" s="12"/>
      <c r="AC226" s="9" t="str">
        <f t="shared" si="15"/>
        <v>N/A</v>
      </c>
      <c r="AD226" s="9" t="s">
        <v>78</v>
      </c>
      <c r="AE226" s="9">
        <f t="shared" si="16"/>
        <v>3</v>
      </c>
      <c r="AF226" s="9" t="s">
        <v>71</v>
      </c>
      <c r="AG226" s="9">
        <f t="shared" si="17"/>
        <v>7.7</v>
      </c>
      <c r="AH226" s="9" t="s">
        <v>103</v>
      </c>
      <c r="AI226" s="9">
        <f t="shared" si="18"/>
        <v>5</v>
      </c>
      <c r="AJ226" s="9" t="s">
        <v>120</v>
      </c>
      <c r="AK226" s="9">
        <f t="shared" si="19"/>
        <v>5</v>
      </c>
      <c r="AL226" s="9" t="s">
        <v>120</v>
      </c>
      <c r="AM226" s="9">
        <f t="shared" si="20"/>
        <v>5</v>
      </c>
      <c r="AN226" s="9" t="s">
        <v>85</v>
      </c>
      <c r="AO226" s="9">
        <f t="shared" si="21"/>
        <v>4</v>
      </c>
      <c r="AP226" s="9" t="s">
        <v>85</v>
      </c>
      <c r="AQ226" s="9">
        <f t="shared" si="22"/>
        <v>4</v>
      </c>
      <c r="AR226" s="9" t="s">
        <v>85</v>
      </c>
      <c r="AS226" s="9">
        <f t="shared" si="23"/>
        <v>4</v>
      </c>
      <c r="AT226" s="9" t="s">
        <v>133</v>
      </c>
      <c r="AU226" s="9">
        <f t="shared" si="24"/>
        <v>0</v>
      </c>
      <c r="AV226" s="9">
        <f t="shared" si="25"/>
        <v>1</v>
      </c>
      <c r="AW226" s="9">
        <f t="shared" si="26"/>
        <v>0</v>
      </c>
      <c r="AX226" s="9">
        <f t="shared" si="27"/>
        <v>0</v>
      </c>
      <c r="AY226" s="9">
        <f t="shared" si="28"/>
        <v>0</v>
      </c>
      <c r="AZ226" s="9">
        <f t="shared" si="29"/>
        <v>0</v>
      </c>
      <c r="BA226" s="9">
        <f t="shared" si="30"/>
        <v>0</v>
      </c>
      <c r="BB226" s="9" t="s">
        <v>88</v>
      </c>
      <c r="BC226" s="9">
        <f t="shared" si="31"/>
        <v>2</v>
      </c>
      <c r="BD226" s="12"/>
      <c r="BE226" s="9" t="str">
        <f t="shared" si="46"/>
        <v>N/A</v>
      </c>
      <c r="BF226" s="9" t="s">
        <v>107</v>
      </c>
      <c r="BG226" s="9">
        <f t="shared" si="33"/>
        <v>1</v>
      </c>
      <c r="BH226" s="9">
        <f t="shared" si="34"/>
        <v>0</v>
      </c>
      <c r="BI226" s="9">
        <f t="shared" si="35"/>
        <v>0</v>
      </c>
      <c r="BJ226" s="9">
        <f t="shared" si="36"/>
        <v>0</v>
      </c>
      <c r="BK226" s="9">
        <f t="shared" si="37"/>
        <v>0</v>
      </c>
      <c r="BL226" s="9">
        <f t="shared" si="38"/>
        <v>0</v>
      </c>
      <c r="BM226" s="9">
        <f t="shared" si="39"/>
        <v>0</v>
      </c>
      <c r="BN226" s="9" t="s">
        <v>68</v>
      </c>
      <c r="BO226" s="11">
        <f t="shared" si="40"/>
        <v>1</v>
      </c>
    </row>
    <row r="227" ht="22.5" customHeight="1">
      <c r="A227" s="9">
        <f t="shared" si="41"/>
        <v>226</v>
      </c>
      <c r="B227" s="10">
        <v>46051.971538032405</v>
      </c>
      <c r="C227" s="9" t="s">
        <v>90</v>
      </c>
      <c r="D227" s="9">
        <f t="shared" si="1"/>
        <v>2</v>
      </c>
      <c r="E227" s="9" t="s">
        <v>68</v>
      </c>
      <c r="F227" s="9">
        <f t="shared" si="2"/>
        <v>1</v>
      </c>
      <c r="G227" s="9" t="s">
        <v>91</v>
      </c>
      <c r="H227" s="9" t="str">
        <f t="shared" si="3"/>
        <v>Urban</v>
      </c>
      <c r="I227" s="9">
        <f t="shared" si="4"/>
        <v>2</v>
      </c>
      <c r="J227" s="9" t="s">
        <v>70</v>
      </c>
      <c r="K227" s="9" t="s">
        <v>100</v>
      </c>
      <c r="L227" s="9">
        <f t="shared" si="5"/>
        <v>3</v>
      </c>
      <c r="M227" s="9" t="s">
        <v>76</v>
      </c>
      <c r="N227" s="9">
        <f t="shared" si="6"/>
        <v>5.5</v>
      </c>
      <c r="O227" s="9" t="s">
        <v>85</v>
      </c>
      <c r="P227" s="9">
        <f t="shared" si="7"/>
        <v>4</v>
      </c>
      <c r="Q227" s="9" t="s">
        <v>73</v>
      </c>
      <c r="R227" s="9">
        <f t="shared" si="8"/>
        <v>2</v>
      </c>
      <c r="S227" s="9" t="s">
        <v>78</v>
      </c>
      <c r="T227" s="9">
        <f t="shared" si="9"/>
        <v>3</v>
      </c>
      <c r="U227" s="9" t="s">
        <v>92</v>
      </c>
      <c r="V227" s="9">
        <f t="shared" si="10"/>
        <v>3.5</v>
      </c>
      <c r="W227" s="9" t="s">
        <v>180</v>
      </c>
      <c r="X227" s="9">
        <f t="shared" si="11"/>
        <v>0</v>
      </c>
      <c r="Y227" s="9">
        <f t="shared" si="12"/>
        <v>1</v>
      </c>
      <c r="Z227" s="9">
        <f t="shared" si="13"/>
        <v>1</v>
      </c>
      <c r="AA227" s="9">
        <f t="shared" si="14"/>
        <v>0</v>
      </c>
      <c r="AB227" s="9" t="s">
        <v>72</v>
      </c>
      <c r="AC227" s="9">
        <f t="shared" si="15"/>
        <v>1</v>
      </c>
      <c r="AD227" s="9" t="s">
        <v>78</v>
      </c>
      <c r="AE227" s="9">
        <f t="shared" si="16"/>
        <v>3</v>
      </c>
      <c r="AF227" s="9" t="s">
        <v>71</v>
      </c>
      <c r="AG227" s="9">
        <f t="shared" si="17"/>
        <v>7.7</v>
      </c>
      <c r="AH227" s="9" t="s">
        <v>78</v>
      </c>
      <c r="AI227" s="9">
        <f t="shared" si="18"/>
        <v>3</v>
      </c>
      <c r="AJ227" s="9" t="s">
        <v>73</v>
      </c>
      <c r="AK227" s="9">
        <f t="shared" si="19"/>
        <v>2</v>
      </c>
      <c r="AL227" s="9" t="s">
        <v>77</v>
      </c>
      <c r="AM227" s="9">
        <f t="shared" si="20"/>
        <v>1</v>
      </c>
      <c r="AN227" s="9" t="s">
        <v>78</v>
      </c>
      <c r="AO227" s="9">
        <f t="shared" si="21"/>
        <v>3</v>
      </c>
      <c r="AP227" s="9" t="s">
        <v>78</v>
      </c>
      <c r="AQ227" s="9">
        <f t="shared" si="22"/>
        <v>3</v>
      </c>
      <c r="AR227" s="9" t="s">
        <v>78</v>
      </c>
      <c r="AS227" s="9">
        <f t="shared" si="23"/>
        <v>3</v>
      </c>
      <c r="AT227" s="9" t="s">
        <v>162</v>
      </c>
      <c r="AU227" s="9">
        <f t="shared" si="24"/>
        <v>0</v>
      </c>
      <c r="AV227" s="9">
        <f t="shared" si="25"/>
        <v>0</v>
      </c>
      <c r="AW227" s="9">
        <f t="shared" si="26"/>
        <v>0</v>
      </c>
      <c r="AX227" s="9">
        <f t="shared" si="27"/>
        <v>0</v>
      </c>
      <c r="AY227" s="9">
        <f t="shared" si="28"/>
        <v>0</v>
      </c>
      <c r="AZ227" s="9">
        <f t="shared" si="29"/>
        <v>1</v>
      </c>
      <c r="BA227" s="9">
        <f t="shared" si="30"/>
        <v>0</v>
      </c>
      <c r="BB227" s="9" t="s">
        <v>88</v>
      </c>
      <c r="BC227" s="9">
        <f t="shared" si="31"/>
        <v>2</v>
      </c>
      <c r="BD227" s="12"/>
      <c r="BE227" s="9" t="str">
        <f t="shared" si="46"/>
        <v>N/A</v>
      </c>
      <c r="BF227" s="9" t="s">
        <v>191</v>
      </c>
      <c r="BG227" s="9">
        <f t="shared" si="33"/>
        <v>0</v>
      </c>
      <c r="BH227" s="9">
        <f t="shared" si="34"/>
        <v>1</v>
      </c>
      <c r="BI227" s="9">
        <f t="shared" si="35"/>
        <v>0</v>
      </c>
      <c r="BJ227" s="9">
        <f t="shared" si="36"/>
        <v>0</v>
      </c>
      <c r="BK227" s="9">
        <f t="shared" si="37"/>
        <v>0</v>
      </c>
      <c r="BL227" s="9">
        <f t="shared" si="38"/>
        <v>0</v>
      </c>
      <c r="BM227" s="9">
        <f t="shared" si="39"/>
        <v>0</v>
      </c>
      <c r="BN227" s="9" t="s">
        <v>68</v>
      </c>
      <c r="BO227" s="11">
        <f t="shared" si="40"/>
        <v>1</v>
      </c>
    </row>
    <row r="228" ht="22.5" customHeight="1">
      <c r="A228" s="9">
        <f t="shared" si="41"/>
        <v>227</v>
      </c>
      <c r="B228" s="10">
        <v>46051.97425427083</v>
      </c>
      <c r="C228" s="9" t="s">
        <v>90</v>
      </c>
      <c r="D228" s="9">
        <f t="shared" si="1"/>
        <v>2</v>
      </c>
      <c r="E228" s="9" t="s">
        <v>68</v>
      </c>
      <c r="F228" s="9">
        <f t="shared" si="2"/>
        <v>1</v>
      </c>
      <c r="G228" s="9" t="s">
        <v>69</v>
      </c>
      <c r="H228" s="9" t="str">
        <f t="shared" si="3"/>
        <v>Rural</v>
      </c>
      <c r="I228" s="9">
        <f t="shared" si="4"/>
        <v>1</v>
      </c>
      <c r="J228" s="9" t="s">
        <v>145</v>
      </c>
      <c r="K228" s="9" t="s">
        <v>146</v>
      </c>
      <c r="L228" s="9">
        <f t="shared" si="5"/>
        <v>1</v>
      </c>
      <c r="M228" s="9" t="s">
        <v>76</v>
      </c>
      <c r="N228" s="9">
        <f t="shared" si="6"/>
        <v>5.5</v>
      </c>
      <c r="O228" s="9" t="s">
        <v>78</v>
      </c>
      <c r="P228" s="9">
        <f t="shared" si="7"/>
        <v>3</v>
      </c>
      <c r="Q228" s="9" t="s">
        <v>78</v>
      </c>
      <c r="R228" s="9">
        <f t="shared" si="8"/>
        <v>3</v>
      </c>
      <c r="S228" s="9" t="s">
        <v>78</v>
      </c>
      <c r="T228" s="9">
        <f t="shared" si="9"/>
        <v>3</v>
      </c>
      <c r="U228" s="9" t="s">
        <v>92</v>
      </c>
      <c r="V228" s="9">
        <f t="shared" si="10"/>
        <v>3.5</v>
      </c>
      <c r="W228" s="9" t="s">
        <v>143</v>
      </c>
      <c r="X228" s="9">
        <f t="shared" si="11"/>
        <v>1</v>
      </c>
      <c r="Y228" s="9">
        <f t="shared" si="12"/>
        <v>0</v>
      </c>
      <c r="Z228" s="9">
        <f t="shared" si="13"/>
        <v>0</v>
      </c>
      <c r="AA228" s="9">
        <f t="shared" si="14"/>
        <v>0</v>
      </c>
      <c r="AB228" s="9" t="s">
        <v>78</v>
      </c>
      <c r="AC228" s="9">
        <f t="shared" si="15"/>
        <v>3</v>
      </c>
      <c r="AD228" s="9" t="s">
        <v>78</v>
      </c>
      <c r="AE228" s="9">
        <f t="shared" si="16"/>
        <v>3</v>
      </c>
      <c r="AF228" s="9" t="s">
        <v>71</v>
      </c>
      <c r="AG228" s="9">
        <f t="shared" si="17"/>
        <v>7.7</v>
      </c>
      <c r="AH228" s="9" t="s">
        <v>78</v>
      </c>
      <c r="AI228" s="9">
        <f t="shared" si="18"/>
        <v>3</v>
      </c>
      <c r="AJ228" s="9" t="s">
        <v>78</v>
      </c>
      <c r="AK228" s="9">
        <f t="shared" si="19"/>
        <v>3</v>
      </c>
      <c r="AL228" s="9" t="s">
        <v>78</v>
      </c>
      <c r="AM228" s="9">
        <f t="shared" si="20"/>
        <v>3</v>
      </c>
      <c r="AN228" s="9" t="s">
        <v>78</v>
      </c>
      <c r="AO228" s="9">
        <f t="shared" si="21"/>
        <v>3</v>
      </c>
      <c r="AP228" s="9" t="s">
        <v>78</v>
      </c>
      <c r="AQ228" s="9">
        <f t="shared" si="22"/>
        <v>3</v>
      </c>
      <c r="AR228" s="9" t="s">
        <v>78</v>
      </c>
      <c r="AS228" s="9">
        <f t="shared" si="23"/>
        <v>3</v>
      </c>
      <c r="AT228" s="12"/>
      <c r="AU228" s="9">
        <f t="shared" si="24"/>
        <v>0</v>
      </c>
      <c r="AV228" s="9">
        <f t="shared" si="25"/>
        <v>0</v>
      </c>
      <c r="AW228" s="9">
        <f t="shared" si="26"/>
        <v>0</v>
      </c>
      <c r="AX228" s="9">
        <f t="shared" si="27"/>
        <v>0</v>
      </c>
      <c r="AY228" s="9">
        <f t="shared" si="28"/>
        <v>0</v>
      </c>
      <c r="AZ228" s="9">
        <f t="shared" si="29"/>
        <v>0</v>
      </c>
      <c r="BA228" s="9">
        <f t="shared" si="30"/>
        <v>0</v>
      </c>
      <c r="BB228" s="9" t="s">
        <v>88</v>
      </c>
      <c r="BC228" s="9">
        <f t="shared" si="31"/>
        <v>2</v>
      </c>
      <c r="BD228" s="12"/>
      <c r="BE228" s="9" t="str">
        <f t="shared" si="46"/>
        <v>N/A</v>
      </c>
      <c r="BF228" s="12"/>
      <c r="BG228" s="9">
        <f t="shared" si="33"/>
        <v>0</v>
      </c>
      <c r="BH228" s="9">
        <f t="shared" si="34"/>
        <v>0</v>
      </c>
      <c r="BI228" s="9">
        <f t="shared" si="35"/>
        <v>0</v>
      </c>
      <c r="BJ228" s="9">
        <f t="shared" si="36"/>
        <v>0</v>
      </c>
      <c r="BK228" s="9">
        <f t="shared" si="37"/>
        <v>0</v>
      </c>
      <c r="BL228" s="9">
        <f t="shared" si="38"/>
        <v>0</v>
      </c>
      <c r="BM228" s="9">
        <f t="shared" si="39"/>
        <v>0</v>
      </c>
      <c r="BN228" s="9" t="s">
        <v>108</v>
      </c>
      <c r="BO228" s="11">
        <f t="shared" si="40"/>
        <v>3</v>
      </c>
    </row>
    <row r="229" ht="22.5" customHeight="1">
      <c r="A229" s="9">
        <f t="shared" si="41"/>
        <v>228</v>
      </c>
      <c r="B229" s="10">
        <v>46051.97796844908</v>
      </c>
      <c r="C229" s="9" t="s">
        <v>67</v>
      </c>
      <c r="D229" s="9">
        <f t="shared" si="1"/>
        <v>1</v>
      </c>
      <c r="E229" s="9" t="s">
        <v>68</v>
      </c>
      <c r="F229" s="9">
        <f t="shared" si="2"/>
        <v>1</v>
      </c>
      <c r="G229" s="9" t="s">
        <v>91</v>
      </c>
      <c r="H229" s="9" t="str">
        <f t="shared" si="3"/>
        <v>Urban</v>
      </c>
      <c r="I229" s="9">
        <f t="shared" si="4"/>
        <v>2</v>
      </c>
      <c r="J229" s="9" t="s">
        <v>70</v>
      </c>
      <c r="K229" s="9" t="s">
        <v>100</v>
      </c>
      <c r="L229" s="9">
        <f t="shared" si="5"/>
        <v>3</v>
      </c>
      <c r="M229" s="9" t="s">
        <v>109</v>
      </c>
      <c r="N229" s="9">
        <f t="shared" si="6"/>
        <v>9</v>
      </c>
      <c r="O229" s="9" t="s">
        <v>85</v>
      </c>
      <c r="P229" s="9">
        <f t="shared" si="7"/>
        <v>4</v>
      </c>
      <c r="Q229" s="9" t="s">
        <v>103</v>
      </c>
      <c r="R229" s="9">
        <f t="shared" si="8"/>
        <v>5</v>
      </c>
      <c r="S229" s="9" t="s">
        <v>103</v>
      </c>
      <c r="T229" s="9">
        <f t="shared" si="9"/>
        <v>5</v>
      </c>
      <c r="U229" s="9" t="s">
        <v>96</v>
      </c>
      <c r="V229" s="9">
        <f t="shared" si="10"/>
        <v>2.5</v>
      </c>
      <c r="W229" s="9" t="s">
        <v>111</v>
      </c>
      <c r="X229" s="9">
        <f t="shared" si="11"/>
        <v>1</v>
      </c>
      <c r="Y229" s="9">
        <f t="shared" si="12"/>
        <v>1</v>
      </c>
      <c r="Z229" s="9">
        <f t="shared" si="13"/>
        <v>0</v>
      </c>
      <c r="AA229" s="9">
        <f t="shared" si="14"/>
        <v>1</v>
      </c>
      <c r="AB229" s="9" t="s">
        <v>73</v>
      </c>
      <c r="AC229" s="9">
        <f t="shared" si="15"/>
        <v>2</v>
      </c>
      <c r="AD229" s="9" t="s">
        <v>85</v>
      </c>
      <c r="AE229" s="9">
        <f t="shared" si="16"/>
        <v>4</v>
      </c>
      <c r="AF229" s="9" t="s">
        <v>71</v>
      </c>
      <c r="AG229" s="9">
        <f t="shared" si="17"/>
        <v>7.7</v>
      </c>
      <c r="AH229" s="9" t="s">
        <v>103</v>
      </c>
      <c r="AI229" s="9">
        <f t="shared" si="18"/>
        <v>5</v>
      </c>
      <c r="AJ229" s="9" t="s">
        <v>78</v>
      </c>
      <c r="AK229" s="9">
        <f t="shared" si="19"/>
        <v>3</v>
      </c>
      <c r="AL229" s="9" t="s">
        <v>120</v>
      </c>
      <c r="AM229" s="9">
        <f t="shared" si="20"/>
        <v>5</v>
      </c>
      <c r="AN229" s="9" t="s">
        <v>120</v>
      </c>
      <c r="AO229" s="9">
        <f t="shared" si="21"/>
        <v>5</v>
      </c>
      <c r="AP229" s="9" t="s">
        <v>120</v>
      </c>
      <c r="AQ229" s="9">
        <f t="shared" si="22"/>
        <v>5</v>
      </c>
      <c r="AR229" s="9" t="s">
        <v>78</v>
      </c>
      <c r="AS229" s="9">
        <f t="shared" si="23"/>
        <v>3</v>
      </c>
      <c r="AT229" s="9" t="s">
        <v>302</v>
      </c>
      <c r="AU229" s="9">
        <f t="shared" si="24"/>
        <v>0</v>
      </c>
      <c r="AV229" s="9">
        <f t="shared" si="25"/>
        <v>1</v>
      </c>
      <c r="AW229" s="9">
        <f t="shared" si="26"/>
        <v>0</v>
      </c>
      <c r="AX229" s="9">
        <f t="shared" si="27"/>
        <v>1</v>
      </c>
      <c r="AY229" s="9">
        <f t="shared" si="28"/>
        <v>0</v>
      </c>
      <c r="AZ229" s="9">
        <f t="shared" si="29"/>
        <v>0</v>
      </c>
      <c r="BA229" s="9">
        <f t="shared" si="30"/>
        <v>0</v>
      </c>
      <c r="BB229" s="9" t="s">
        <v>88</v>
      </c>
      <c r="BC229" s="9">
        <f t="shared" si="31"/>
        <v>2</v>
      </c>
      <c r="BD229" s="12"/>
      <c r="BE229" s="9" t="str">
        <f t="shared" si="46"/>
        <v>N/A</v>
      </c>
      <c r="BF229" s="9" t="s">
        <v>303</v>
      </c>
      <c r="BG229" s="9">
        <f t="shared" si="33"/>
        <v>0</v>
      </c>
      <c r="BH229" s="9">
        <f t="shared" si="34"/>
        <v>1</v>
      </c>
      <c r="BI229" s="9">
        <f t="shared" si="35"/>
        <v>0</v>
      </c>
      <c r="BJ229" s="9">
        <f t="shared" si="36"/>
        <v>0</v>
      </c>
      <c r="BK229" s="9">
        <f t="shared" si="37"/>
        <v>1</v>
      </c>
      <c r="BL229" s="9">
        <f t="shared" si="38"/>
        <v>0</v>
      </c>
      <c r="BM229" s="9">
        <f t="shared" si="39"/>
        <v>1</v>
      </c>
      <c r="BN229" s="9" t="s">
        <v>108</v>
      </c>
      <c r="BO229" s="11">
        <f t="shared" si="40"/>
        <v>3</v>
      </c>
    </row>
    <row r="230" ht="22.5" customHeight="1">
      <c r="A230" s="9">
        <f t="shared" si="41"/>
        <v>229</v>
      </c>
      <c r="B230" s="10">
        <v>46051.98092569444</v>
      </c>
      <c r="C230" s="9" t="s">
        <v>90</v>
      </c>
      <c r="D230" s="9">
        <f t="shared" si="1"/>
        <v>2</v>
      </c>
      <c r="E230" s="9" t="s">
        <v>68</v>
      </c>
      <c r="F230" s="9">
        <f t="shared" si="2"/>
        <v>1</v>
      </c>
      <c r="G230" s="9" t="s">
        <v>69</v>
      </c>
      <c r="H230" s="9" t="str">
        <f t="shared" si="3"/>
        <v>Rural</v>
      </c>
      <c r="I230" s="9">
        <f t="shared" si="4"/>
        <v>1</v>
      </c>
      <c r="J230" s="9" t="s">
        <v>145</v>
      </c>
      <c r="K230" s="9" t="s">
        <v>146</v>
      </c>
      <c r="L230" s="9">
        <f t="shared" si="5"/>
        <v>1</v>
      </c>
      <c r="M230" s="9" t="s">
        <v>71</v>
      </c>
      <c r="N230" s="9">
        <f t="shared" si="6"/>
        <v>7.7</v>
      </c>
      <c r="O230" s="9" t="s">
        <v>85</v>
      </c>
      <c r="P230" s="9">
        <f t="shared" si="7"/>
        <v>4</v>
      </c>
      <c r="Q230" s="9" t="s">
        <v>85</v>
      </c>
      <c r="R230" s="9">
        <f t="shared" si="8"/>
        <v>4</v>
      </c>
      <c r="S230" s="9" t="s">
        <v>73</v>
      </c>
      <c r="T230" s="9">
        <f t="shared" si="9"/>
        <v>2</v>
      </c>
      <c r="U230" s="9" t="s">
        <v>92</v>
      </c>
      <c r="V230" s="9">
        <f t="shared" si="10"/>
        <v>3.5</v>
      </c>
      <c r="W230" s="9" t="s">
        <v>122</v>
      </c>
      <c r="X230" s="9">
        <f t="shared" si="11"/>
        <v>0</v>
      </c>
      <c r="Y230" s="9">
        <f t="shared" si="12"/>
        <v>0</v>
      </c>
      <c r="Z230" s="9">
        <f t="shared" si="13"/>
        <v>1</v>
      </c>
      <c r="AA230" s="9">
        <f t="shared" si="14"/>
        <v>0</v>
      </c>
      <c r="AB230" s="9" t="s">
        <v>78</v>
      </c>
      <c r="AC230" s="9">
        <f t="shared" si="15"/>
        <v>3</v>
      </c>
      <c r="AD230" s="9" t="s">
        <v>78</v>
      </c>
      <c r="AE230" s="9">
        <f t="shared" si="16"/>
        <v>3</v>
      </c>
      <c r="AF230" s="9" t="s">
        <v>109</v>
      </c>
      <c r="AG230" s="9">
        <f t="shared" si="17"/>
        <v>9</v>
      </c>
      <c r="AH230" s="9" t="s">
        <v>103</v>
      </c>
      <c r="AI230" s="9">
        <f t="shared" si="18"/>
        <v>5</v>
      </c>
      <c r="AJ230" s="9" t="s">
        <v>78</v>
      </c>
      <c r="AK230" s="9">
        <f t="shared" si="19"/>
        <v>3</v>
      </c>
      <c r="AL230" s="9" t="s">
        <v>73</v>
      </c>
      <c r="AM230" s="9">
        <f t="shared" si="20"/>
        <v>2</v>
      </c>
      <c r="AN230" s="9" t="s">
        <v>78</v>
      </c>
      <c r="AO230" s="9">
        <f t="shared" si="21"/>
        <v>3</v>
      </c>
      <c r="AP230" s="9" t="s">
        <v>73</v>
      </c>
      <c r="AQ230" s="9">
        <f t="shared" si="22"/>
        <v>2</v>
      </c>
      <c r="AR230" s="9" t="s">
        <v>85</v>
      </c>
      <c r="AS230" s="9">
        <f t="shared" si="23"/>
        <v>4</v>
      </c>
      <c r="AT230" s="12"/>
      <c r="AU230" s="9">
        <f t="shared" si="24"/>
        <v>0</v>
      </c>
      <c r="AV230" s="9">
        <f t="shared" si="25"/>
        <v>0</v>
      </c>
      <c r="AW230" s="9">
        <f t="shared" si="26"/>
        <v>0</v>
      </c>
      <c r="AX230" s="9">
        <f t="shared" si="27"/>
        <v>0</v>
      </c>
      <c r="AY230" s="9">
        <f t="shared" si="28"/>
        <v>0</v>
      </c>
      <c r="AZ230" s="9">
        <f t="shared" si="29"/>
        <v>0</v>
      </c>
      <c r="BA230" s="9">
        <f t="shared" si="30"/>
        <v>0</v>
      </c>
      <c r="BB230" s="9" t="s">
        <v>88</v>
      </c>
      <c r="BC230" s="9">
        <f t="shared" si="31"/>
        <v>2</v>
      </c>
      <c r="BD230" s="12"/>
      <c r="BE230" s="9" t="str">
        <f t="shared" si="46"/>
        <v>N/A</v>
      </c>
      <c r="BF230" s="9" t="s">
        <v>107</v>
      </c>
      <c r="BG230" s="9">
        <f t="shared" si="33"/>
        <v>1</v>
      </c>
      <c r="BH230" s="9">
        <f t="shared" si="34"/>
        <v>0</v>
      </c>
      <c r="BI230" s="9">
        <f t="shared" si="35"/>
        <v>0</v>
      </c>
      <c r="BJ230" s="9">
        <f t="shared" si="36"/>
        <v>0</v>
      </c>
      <c r="BK230" s="9">
        <f t="shared" si="37"/>
        <v>0</v>
      </c>
      <c r="BL230" s="9">
        <f t="shared" si="38"/>
        <v>0</v>
      </c>
      <c r="BM230" s="9">
        <f t="shared" si="39"/>
        <v>0</v>
      </c>
      <c r="BN230" s="9" t="s">
        <v>108</v>
      </c>
      <c r="BO230" s="11">
        <f t="shared" si="40"/>
        <v>3</v>
      </c>
    </row>
    <row r="231" ht="22.5" customHeight="1">
      <c r="A231" s="9">
        <f t="shared" si="41"/>
        <v>230</v>
      </c>
      <c r="B231" s="10">
        <v>46052.0003459375</v>
      </c>
      <c r="C231" s="9" t="s">
        <v>90</v>
      </c>
      <c r="D231" s="9">
        <f t="shared" si="1"/>
        <v>2</v>
      </c>
      <c r="E231" s="9" t="s">
        <v>68</v>
      </c>
      <c r="F231" s="9">
        <f t="shared" si="2"/>
        <v>1</v>
      </c>
      <c r="G231" s="9" t="s">
        <v>69</v>
      </c>
      <c r="H231" s="9" t="str">
        <f t="shared" si="3"/>
        <v>Rural</v>
      </c>
      <c r="I231" s="9">
        <f t="shared" si="4"/>
        <v>1</v>
      </c>
      <c r="J231" s="9" t="s">
        <v>70</v>
      </c>
      <c r="K231" s="9" t="s">
        <v>100</v>
      </c>
      <c r="L231" s="9">
        <f t="shared" si="5"/>
        <v>3</v>
      </c>
      <c r="M231" s="9" t="s">
        <v>76</v>
      </c>
      <c r="N231" s="9">
        <f t="shared" si="6"/>
        <v>5.5</v>
      </c>
      <c r="O231" s="9" t="s">
        <v>73</v>
      </c>
      <c r="P231" s="9">
        <f t="shared" si="7"/>
        <v>2</v>
      </c>
      <c r="Q231" s="9" t="s">
        <v>85</v>
      </c>
      <c r="R231" s="9">
        <f t="shared" si="8"/>
        <v>4</v>
      </c>
      <c r="S231" s="9" t="s">
        <v>73</v>
      </c>
      <c r="T231" s="9">
        <f t="shared" si="9"/>
        <v>2</v>
      </c>
      <c r="U231" s="9" t="s">
        <v>96</v>
      </c>
      <c r="V231" s="9">
        <f t="shared" si="10"/>
        <v>2.5</v>
      </c>
      <c r="W231" s="9" t="s">
        <v>93</v>
      </c>
      <c r="X231" s="9">
        <f t="shared" si="11"/>
        <v>0</v>
      </c>
      <c r="Y231" s="9">
        <f t="shared" si="12"/>
        <v>1</v>
      </c>
      <c r="Z231" s="9">
        <f t="shared" si="13"/>
        <v>0</v>
      </c>
      <c r="AA231" s="9">
        <f t="shared" si="14"/>
        <v>0</v>
      </c>
      <c r="AB231" s="9" t="s">
        <v>103</v>
      </c>
      <c r="AC231" s="9">
        <f t="shared" si="15"/>
        <v>5</v>
      </c>
      <c r="AD231" s="9" t="s">
        <v>103</v>
      </c>
      <c r="AE231" s="9">
        <f t="shared" si="16"/>
        <v>5</v>
      </c>
      <c r="AF231" s="9" t="s">
        <v>71</v>
      </c>
      <c r="AG231" s="9">
        <f t="shared" si="17"/>
        <v>7.7</v>
      </c>
      <c r="AH231" s="9" t="s">
        <v>73</v>
      </c>
      <c r="AI231" s="9">
        <f t="shared" si="18"/>
        <v>2</v>
      </c>
      <c r="AJ231" s="9" t="s">
        <v>78</v>
      </c>
      <c r="AK231" s="9">
        <f t="shared" si="19"/>
        <v>3</v>
      </c>
      <c r="AL231" s="9" t="s">
        <v>77</v>
      </c>
      <c r="AM231" s="9">
        <f t="shared" si="20"/>
        <v>1</v>
      </c>
      <c r="AN231" s="9" t="s">
        <v>73</v>
      </c>
      <c r="AO231" s="9">
        <f t="shared" si="21"/>
        <v>2</v>
      </c>
      <c r="AP231" s="9" t="s">
        <v>73</v>
      </c>
      <c r="AQ231" s="9">
        <f t="shared" si="22"/>
        <v>2</v>
      </c>
      <c r="AR231" s="9" t="s">
        <v>77</v>
      </c>
      <c r="AS231" s="9">
        <f t="shared" si="23"/>
        <v>1</v>
      </c>
      <c r="AT231" s="9" t="s">
        <v>304</v>
      </c>
      <c r="AU231" s="9">
        <f t="shared" si="24"/>
        <v>1</v>
      </c>
      <c r="AV231" s="9">
        <f t="shared" si="25"/>
        <v>0</v>
      </c>
      <c r="AW231" s="9">
        <f t="shared" si="26"/>
        <v>0</v>
      </c>
      <c r="AX231" s="9">
        <f t="shared" si="27"/>
        <v>0</v>
      </c>
      <c r="AY231" s="9">
        <f t="shared" si="28"/>
        <v>0</v>
      </c>
      <c r="AZ231" s="9">
        <f t="shared" si="29"/>
        <v>0</v>
      </c>
      <c r="BA231" s="9">
        <f t="shared" si="30"/>
        <v>1</v>
      </c>
      <c r="BB231" s="9" t="s">
        <v>88</v>
      </c>
      <c r="BC231" s="9">
        <f t="shared" si="31"/>
        <v>2</v>
      </c>
      <c r="BD231" s="12"/>
      <c r="BE231" s="9" t="str">
        <f t="shared" si="46"/>
        <v>N/A</v>
      </c>
      <c r="BF231" s="9" t="s">
        <v>89</v>
      </c>
      <c r="BG231" s="9">
        <f t="shared" si="33"/>
        <v>1</v>
      </c>
      <c r="BH231" s="9">
        <f t="shared" si="34"/>
        <v>1</v>
      </c>
      <c r="BI231" s="9">
        <f t="shared" si="35"/>
        <v>1</v>
      </c>
      <c r="BJ231" s="9">
        <f t="shared" si="36"/>
        <v>1</v>
      </c>
      <c r="BK231" s="9">
        <f t="shared" si="37"/>
        <v>1</v>
      </c>
      <c r="BL231" s="9">
        <f t="shared" si="38"/>
        <v>1</v>
      </c>
      <c r="BM231" s="9">
        <f t="shared" si="39"/>
        <v>1</v>
      </c>
      <c r="BN231" s="12"/>
      <c r="BO231" s="11" t="str">
        <f t="shared" si="40"/>
        <v>N/A</v>
      </c>
    </row>
    <row r="232" ht="22.5" customHeight="1">
      <c r="A232" s="9">
        <f t="shared" si="41"/>
        <v>231</v>
      </c>
      <c r="B232" s="10">
        <v>46052.00600833334</v>
      </c>
      <c r="C232" s="9" t="s">
        <v>90</v>
      </c>
      <c r="D232" s="9">
        <f t="shared" si="1"/>
        <v>2</v>
      </c>
      <c r="E232" s="9" t="s">
        <v>68</v>
      </c>
      <c r="F232" s="9">
        <f t="shared" si="2"/>
        <v>1</v>
      </c>
      <c r="G232" s="9" t="s">
        <v>69</v>
      </c>
      <c r="H232" s="9" t="str">
        <f t="shared" si="3"/>
        <v>Rural</v>
      </c>
      <c r="I232" s="9">
        <f t="shared" si="4"/>
        <v>1</v>
      </c>
      <c r="J232" s="9" t="s">
        <v>145</v>
      </c>
      <c r="K232" s="9" t="s">
        <v>146</v>
      </c>
      <c r="L232" s="9">
        <f t="shared" si="5"/>
        <v>1</v>
      </c>
      <c r="M232" s="9" t="s">
        <v>101</v>
      </c>
      <c r="N232" s="9">
        <f t="shared" si="6"/>
        <v>2</v>
      </c>
      <c r="O232" s="9" t="s">
        <v>73</v>
      </c>
      <c r="P232" s="9">
        <f t="shared" si="7"/>
        <v>2</v>
      </c>
      <c r="Q232" s="9" t="s">
        <v>85</v>
      </c>
      <c r="R232" s="9">
        <f t="shared" si="8"/>
        <v>4</v>
      </c>
      <c r="S232" s="9" t="s">
        <v>78</v>
      </c>
      <c r="T232" s="9">
        <f t="shared" si="9"/>
        <v>3</v>
      </c>
      <c r="U232" s="9" t="s">
        <v>74</v>
      </c>
      <c r="V232" s="9">
        <f t="shared" si="10"/>
        <v>1.5</v>
      </c>
      <c r="W232" s="9" t="s">
        <v>180</v>
      </c>
      <c r="X232" s="9">
        <f t="shared" si="11"/>
        <v>0</v>
      </c>
      <c r="Y232" s="9">
        <f t="shared" si="12"/>
        <v>1</v>
      </c>
      <c r="Z232" s="9">
        <f t="shared" si="13"/>
        <v>1</v>
      </c>
      <c r="AA232" s="9">
        <f t="shared" si="14"/>
        <v>0</v>
      </c>
      <c r="AB232" s="9" t="s">
        <v>78</v>
      </c>
      <c r="AC232" s="9">
        <f t="shared" si="15"/>
        <v>3</v>
      </c>
      <c r="AD232" s="9" t="s">
        <v>73</v>
      </c>
      <c r="AE232" s="9">
        <f t="shared" si="16"/>
        <v>2</v>
      </c>
      <c r="AF232" s="9" t="s">
        <v>71</v>
      </c>
      <c r="AG232" s="9">
        <f t="shared" si="17"/>
        <v>7.7</v>
      </c>
      <c r="AH232" s="9" t="s">
        <v>103</v>
      </c>
      <c r="AI232" s="9">
        <f t="shared" si="18"/>
        <v>5</v>
      </c>
      <c r="AJ232" s="9" t="s">
        <v>73</v>
      </c>
      <c r="AK232" s="9">
        <f t="shared" si="19"/>
        <v>2</v>
      </c>
      <c r="AL232" s="9" t="s">
        <v>120</v>
      </c>
      <c r="AM232" s="9">
        <f t="shared" si="20"/>
        <v>5</v>
      </c>
      <c r="AN232" s="9" t="s">
        <v>85</v>
      </c>
      <c r="AO232" s="9">
        <f t="shared" si="21"/>
        <v>4</v>
      </c>
      <c r="AP232" s="9" t="s">
        <v>78</v>
      </c>
      <c r="AQ232" s="9">
        <f t="shared" si="22"/>
        <v>3</v>
      </c>
      <c r="AR232" s="9" t="s">
        <v>85</v>
      </c>
      <c r="AS232" s="9">
        <f t="shared" si="23"/>
        <v>4</v>
      </c>
      <c r="AT232" s="9" t="s">
        <v>305</v>
      </c>
      <c r="AU232" s="9">
        <f t="shared" si="24"/>
        <v>0</v>
      </c>
      <c r="AV232" s="9">
        <f t="shared" si="25"/>
        <v>0</v>
      </c>
      <c r="AW232" s="9">
        <f t="shared" si="26"/>
        <v>0</v>
      </c>
      <c r="AX232" s="9">
        <f t="shared" si="27"/>
        <v>0</v>
      </c>
      <c r="AY232" s="9">
        <f t="shared" si="28"/>
        <v>1</v>
      </c>
      <c r="AZ232" s="9">
        <f t="shared" si="29"/>
        <v>1</v>
      </c>
      <c r="BA232" s="9">
        <f t="shared" si="30"/>
        <v>1</v>
      </c>
      <c r="BB232" s="9" t="s">
        <v>88</v>
      </c>
      <c r="BC232" s="9">
        <f t="shared" si="31"/>
        <v>2</v>
      </c>
      <c r="BD232" s="12"/>
      <c r="BE232" s="9" t="str">
        <f t="shared" si="46"/>
        <v>N/A</v>
      </c>
      <c r="BF232" s="9" t="s">
        <v>248</v>
      </c>
      <c r="BG232" s="9">
        <f t="shared" si="33"/>
        <v>0</v>
      </c>
      <c r="BH232" s="9">
        <f t="shared" si="34"/>
        <v>0</v>
      </c>
      <c r="BI232" s="9">
        <f t="shared" si="35"/>
        <v>0</v>
      </c>
      <c r="BJ232" s="9">
        <f t="shared" si="36"/>
        <v>1</v>
      </c>
      <c r="BK232" s="9">
        <f t="shared" si="37"/>
        <v>0</v>
      </c>
      <c r="BL232" s="9">
        <f t="shared" si="38"/>
        <v>0</v>
      </c>
      <c r="BM232" s="9">
        <f t="shared" si="39"/>
        <v>1</v>
      </c>
      <c r="BN232" s="9" t="s">
        <v>68</v>
      </c>
      <c r="BO232" s="11">
        <f t="shared" si="40"/>
        <v>1</v>
      </c>
    </row>
    <row r="233" ht="22.5" customHeight="1">
      <c r="A233" s="9">
        <f t="shared" si="41"/>
        <v>232</v>
      </c>
      <c r="B233" s="10">
        <v>46052.02074126157</v>
      </c>
      <c r="C233" s="9" t="s">
        <v>67</v>
      </c>
      <c r="D233" s="9">
        <f t="shared" si="1"/>
        <v>1</v>
      </c>
      <c r="E233" s="9" t="s">
        <v>68</v>
      </c>
      <c r="F233" s="9">
        <f t="shared" si="2"/>
        <v>1</v>
      </c>
      <c r="G233" s="9" t="s">
        <v>91</v>
      </c>
      <c r="H233" s="9" t="str">
        <f t="shared" si="3"/>
        <v>Urban</v>
      </c>
      <c r="I233" s="9">
        <f t="shared" si="4"/>
        <v>2</v>
      </c>
      <c r="J233" s="9" t="s">
        <v>145</v>
      </c>
      <c r="K233" s="9" t="s">
        <v>146</v>
      </c>
      <c r="L233" s="9">
        <f t="shared" si="5"/>
        <v>1</v>
      </c>
      <c r="M233" s="9" t="s">
        <v>71</v>
      </c>
      <c r="N233" s="9">
        <f t="shared" si="6"/>
        <v>7.7</v>
      </c>
      <c r="O233" s="9" t="s">
        <v>72</v>
      </c>
      <c r="P233" s="9">
        <f t="shared" si="7"/>
        <v>1</v>
      </c>
      <c r="Q233" s="9" t="s">
        <v>72</v>
      </c>
      <c r="R233" s="9">
        <f t="shared" si="8"/>
        <v>1</v>
      </c>
      <c r="S233" s="9" t="s">
        <v>72</v>
      </c>
      <c r="T233" s="9">
        <f t="shared" si="9"/>
        <v>1</v>
      </c>
      <c r="U233" s="9" t="s">
        <v>74</v>
      </c>
      <c r="V233" s="9">
        <f t="shared" si="10"/>
        <v>1.5</v>
      </c>
      <c r="W233" s="9" t="s">
        <v>143</v>
      </c>
      <c r="X233" s="9">
        <f t="shared" si="11"/>
        <v>1</v>
      </c>
      <c r="Y233" s="9">
        <f t="shared" si="12"/>
        <v>0</v>
      </c>
      <c r="Z233" s="9">
        <f t="shared" si="13"/>
        <v>0</v>
      </c>
      <c r="AA233" s="9">
        <f t="shared" si="14"/>
        <v>0</v>
      </c>
      <c r="AB233" s="9" t="s">
        <v>72</v>
      </c>
      <c r="AC233" s="9">
        <f t="shared" si="15"/>
        <v>1</v>
      </c>
      <c r="AD233" s="9" t="s">
        <v>72</v>
      </c>
      <c r="AE233" s="9">
        <f t="shared" si="16"/>
        <v>1</v>
      </c>
      <c r="AF233" s="9" t="s">
        <v>109</v>
      </c>
      <c r="AG233" s="9">
        <f t="shared" si="17"/>
        <v>9</v>
      </c>
      <c r="AH233" s="9" t="s">
        <v>103</v>
      </c>
      <c r="AI233" s="9">
        <f t="shared" si="18"/>
        <v>5</v>
      </c>
      <c r="AJ233" s="9" t="s">
        <v>78</v>
      </c>
      <c r="AK233" s="9">
        <f t="shared" si="19"/>
        <v>3</v>
      </c>
      <c r="AL233" s="9" t="s">
        <v>78</v>
      </c>
      <c r="AM233" s="9">
        <f t="shared" si="20"/>
        <v>3</v>
      </c>
      <c r="AN233" s="9" t="s">
        <v>78</v>
      </c>
      <c r="AO233" s="9">
        <f t="shared" si="21"/>
        <v>3</v>
      </c>
      <c r="AP233" s="9" t="s">
        <v>78</v>
      </c>
      <c r="AQ233" s="9">
        <f t="shared" si="22"/>
        <v>3</v>
      </c>
      <c r="AR233" s="9" t="s">
        <v>78</v>
      </c>
      <c r="AS233" s="9">
        <f t="shared" si="23"/>
        <v>3</v>
      </c>
      <c r="AT233" s="9" t="s">
        <v>294</v>
      </c>
      <c r="AU233" s="9">
        <f t="shared" si="24"/>
        <v>0</v>
      </c>
      <c r="AV233" s="9">
        <f t="shared" si="25"/>
        <v>0</v>
      </c>
      <c r="AW233" s="9">
        <f t="shared" si="26"/>
        <v>0</v>
      </c>
      <c r="AX233" s="9">
        <f t="shared" si="27"/>
        <v>0</v>
      </c>
      <c r="AY233" s="9">
        <f t="shared" si="28"/>
        <v>0</v>
      </c>
      <c r="AZ233" s="9">
        <f t="shared" si="29"/>
        <v>0</v>
      </c>
      <c r="BA233" s="9">
        <f t="shared" si="30"/>
        <v>0</v>
      </c>
      <c r="BB233" s="9" t="s">
        <v>88</v>
      </c>
      <c r="BC233" s="9">
        <f t="shared" si="31"/>
        <v>2</v>
      </c>
      <c r="BD233" s="12"/>
      <c r="BE233" s="9" t="str">
        <f t="shared" si="46"/>
        <v>N/A</v>
      </c>
      <c r="BF233" s="9" t="s">
        <v>113</v>
      </c>
      <c r="BG233" s="9">
        <f t="shared" si="33"/>
        <v>0</v>
      </c>
      <c r="BH233" s="9">
        <f t="shared" si="34"/>
        <v>0</v>
      </c>
      <c r="BI233" s="9">
        <f t="shared" si="35"/>
        <v>0</v>
      </c>
      <c r="BJ233" s="9">
        <f t="shared" si="36"/>
        <v>0</v>
      </c>
      <c r="BK233" s="9">
        <f t="shared" si="37"/>
        <v>0</v>
      </c>
      <c r="BL233" s="9">
        <f t="shared" si="38"/>
        <v>0</v>
      </c>
      <c r="BM233" s="9">
        <f t="shared" si="39"/>
        <v>1</v>
      </c>
      <c r="BN233" s="9" t="s">
        <v>108</v>
      </c>
      <c r="BO233" s="11">
        <f t="shared" si="40"/>
        <v>3</v>
      </c>
    </row>
    <row r="234" ht="22.5" customHeight="1">
      <c r="A234" s="9">
        <f t="shared" si="41"/>
        <v>233</v>
      </c>
      <c r="B234" s="10">
        <v>46052.04433978009</v>
      </c>
      <c r="C234" s="9" t="s">
        <v>67</v>
      </c>
      <c r="D234" s="9">
        <f t="shared" si="1"/>
        <v>1</v>
      </c>
      <c r="E234" s="9" t="s">
        <v>68</v>
      </c>
      <c r="F234" s="9">
        <f t="shared" si="2"/>
        <v>1</v>
      </c>
      <c r="G234" s="9" t="s">
        <v>91</v>
      </c>
      <c r="H234" s="9" t="str">
        <f t="shared" si="3"/>
        <v>Urban</v>
      </c>
      <c r="I234" s="9">
        <f t="shared" si="4"/>
        <v>2</v>
      </c>
      <c r="J234" s="9" t="s">
        <v>70</v>
      </c>
      <c r="K234" s="9" t="s">
        <v>100</v>
      </c>
      <c r="L234" s="9">
        <f t="shared" si="5"/>
        <v>3</v>
      </c>
      <c r="M234" s="9" t="s">
        <v>109</v>
      </c>
      <c r="N234" s="9">
        <f t="shared" si="6"/>
        <v>9</v>
      </c>
      <c r="O234" s="12"/>
      <c r="P234" s="9" t="str">
        <f t="shared" si="7"/>
        <v>N/A</v>
      </c>
      <c r="Q234" s="12"/>
      <c r="R234" s="9" t="str">
        <f t="shared" si="8"/>
        <v>N/A</v>
      </c>
      <c r="S234" s="9" t="s">
        <v>78</v>
      </c>
      <c r="T234" s="9">
        <f t="shared" si="9"/>
        <v>3</v>
      </c>
      <c r="U234" s="9" t="s">
        <v>270</v>
      </c>
      <c r="V234" s="9">
        <f t="shared" si="10"/>
        <v>0.25</v>
      </c>
      <c r="W234" s="9" t="s">
        <v>143</v>
      </c>
      <c r="X234" s="9">
        <f t="shared" si="11"/>
        <v>1</v>
      </c>
      <c r="Y234" s="9">
        <f t="shared" si="12"/>
        <v>0</v>
      </c>
      <c r="Z234" s="9">
        <f t="shared" si="13"/>
        <v>0</v>
      </c>
      <c r="AA234" s="9">
        <f t="shared" si="14"/>
        <v>0</v>
      </c>
      <c r="AB234" s="9" t="s">
        <v>103</v>
      </c>
      <c r="AC234" s="9">
        <f t="shared" si="15"/>
        <v>5</v>
      </c>
      <c r="AD234" s="9" t="s">
        <v>78</v>
      </c>
      <c r="AE234" s="9">
        <f t="shared" si="16"/>
        <v>3</v>
      </c>
      <c r="AF234" s="9" t="s">
        <v>76</v>
      </c>
      <c r="AG234" s="9">
        <f t="shared" si="17"/>
        <v>5.5</v>
      </c>
      <c r="AH234" s="9" t="s">
        <v>78</v>
      </c>
      <c r="AI234" s="9">
        <f t="shared" si="18"/>
        <v>3</v>
      </c>
      <c r="AJ234" s="9" t="s">
        <v>78</v>
      </c>
      <c r="AK234" s="9">
        <f t="shared" si="19"/>
        <v>3</v>
      </c>
      <c r="AL234" s="9" t="s">
        <v>78</v>
      </c>
      <c r="AM234" s="9">
        <f t="shared" si="20"/>
        <v>3</v>
      </c>
      <c r="AN234" s="9" t="s">
        <v>78</v>
      </c>
      <c r="AO234" s="9">
        <f t="shared" si="21"/>
        <v>3</v>
      </c>
      <c r="AP234" s="9" t="s">
        <v>78</v>
      </c>
      <c r="AQ234" s="9">
        <f t="shared" si="22"/>
        <v>3</v>
      </c>
      <c r="AR234" s="9" t="s">
        <v>78</v>
      </c>
      <c r="AS234" s="9">
        <f t="shared" si="23"/>
        <v>3</v>
      </c>
      <c r="AT234" s="9" t="s">
        <v>147</v>
      </c>
      <c r="AU234" s="9">
        <f t="shared" si="24"/>
        <v>1</v>
      </c>
      <c r="AV234" s="9">
        <f t="shared" si="25"/>
        <v>0</v>
      </c>
      <c r="AW234" s="9">
        <f t="shared" si="26"/>
        <v>0</v>
      </c>
      <c r="AX234" s="9">
        <f t="shared" si="27"/>
        <v>0</v>
      </c>
      <c r="AY234" s="9">
        <f t="shared" si="28"/>
        <v>0</v>
      </c>
      <c r="AZ234" s="9">
        <f t="shared" si="29"/>
        <v>0</v>
      </c>
      <c r="BA234" s="9">
        <f t="shared" si="30"/>
        <v>0</v>
      </c>
      <c r="BB234" s="9" t="s">
        <v>88</v>
      </c>
      <c r="BC234" s="9">
        <f t="shared" si="31"/>
        <v>2</v>
      </c>
      <c r="BD234" s="12"/>
      <c r="BE234" s="9" t="str">
        <f t="shared" si="46"/>
        <v>N/A</v>
      </c>
      <c r="BF234" s="9" t="s">
        <v>107</v>
      </c>
      <c r="BG234" s="9">
        <f t="shared" si="33"/>
        <v>1</v>
      </c>
      <c r="BH234" s="9">
        <f t="shared" si="34"/>
        <v>0</v>
      </c>
      <c r="BI234" s="9">
        <f t="shared" si="35"/>
        <v>0</v>
      </c>
      <c r="BJ234" s="9">
        <f t="shared" si="36"/>
        <v>0</v>
      </c>
      <c r="BK234" s="9">
        <f t="shared" si="37"/>
        <v>0</v>
      </c>
      <c r="BL234" s="9">
        <f t="shared" si="38"/>
        <v>0</v>
      </c>
      <c r="BM234" s="9">
        <f t="shared" si="39"/>
        <v>0</v>
      </c>
      <c r="BN234" s="9" t="s">
        <v>108</v>
      </c>
      <c r="BO234" s="11">
        <f t="shared" si="40"/>
        <v>3</v>
      </c>
    </row>
    <row r="235" ht="22.5" customHeight="1">
      <c r="A235" s="9">
        <f t="shared" si="41"/>
        <v>234</v>
      </c>
      <c r="B235" s="10">
        <v>46052.32504364583</v>
      </c>
      <c r="C235" s="9" t="s">
        <v>67</v>
      </c>
      <c r="D235" s="9">
        <f t="shared" si="1"/>
        <v>1</v>
      </c>
      <c r="E235" s="9" t="s">
        <v>68</v>
      </c>
      <c r="F235" s="9">
        <f t="shared" si="2"/>
        <v>1</v>
      </c>
      <c r="G235" s="9" t="s">
        <v>69</v>
      </c>
      <c r="H235" s="9" t="str">
        <f t="shared" si="3"/>
        <v>Rural</v>
      </c>
      <c r="I235" s="9">
        <f t="shared" si="4"/>
        <v>1</v>
      </c>
      <c r="J235" s="9" t="s">
        <v>145</v>
      </c>
      <c r="K235" s="9" t="s">
        <v>146</v>
      </c>
      <c r="L235" s="9">
        <f t="shared" si="5"/>
        <v>1</v>
      </c>
      <c r="M235" s="9" t="s">
        <v>76</v>
      </c>
      <c r="N235" s="9">
        <f t="shared" si="6"/>
        <v>5.5</v>
      </c>
      <c r="O235" s="9" t="s">
        <v>73</v>
      </c>
      <c r="P235" s="9">
        <f t="shared" si="7"/>
        <v>2</v>
      </c>
      <c r="Q235" s="9" t="s">
        <v>103</v>
      </c>
      <c r="R235" s="9">
        <f t="shared" si="8"/>
        <v>5</v>
      </c>
      <c r="S235" s="9" t="s">
        <v>72</v>
      </c>
      <c r="T235" s="9">
        <f t="shared" si="9"/>
        <v>1</v>
      </c>
      <c r="U235" s="9" t="s">
        <v>74</v>
      </c>
      <c r="V235" s="9">
        <f t="shared" si="10"/>
        <v>1.5</v>
      </c>
      <c r="W235" s="9" t="s">
        <v>122</v>
      </c>
      <c r="X235" s="9">
        <f t="shared" si="11"/>
        <v>0</v>
      </c>
      <c r="Y235" s="9">
        <f t="shared" si="12"/>
        <v>0</v>
      </c>
      <c r="Z235" s="9">
        <f t="shared" si="13"/>
        <v>1</v>
      </c>
      <c r="AA235" s="9">
        <f t="shared" si="14"/>
        <v>0</v>
      </c>
      <c r="AB235" s="9" t="s">
        <v>73</v>
      </c>
      <c r="AC235" s="9">
        <f t="shared" si="15"/>
        <v>2</v>
      </c>
      <c r="AD235" s="9" t="s">
        <v>73</v>
      </c>
      <c r="AE235" s="9">
        <f t="shared" si="16"/>
        <v>2</v>
      </c>
      <c r="AF235" s="9" t="s">
        <v>76</v>
      </c>
      <c r="AG235" s="9">
        <f t="shared" si="17"/>
        <v>5.5</v>
      </c>
      <c r="AH235" s="9" t="s">
        <v>85</v>
      </c>
      <c r="AI235" s="9">
        <f t="shared" si="18"/>
        <v>4</v>
      </c>
      <c r="AJ235" s="9" t="s">
        <v>78</v>
      </c>
      <c r="AK235" s="9">
        <f t="shared" si="19"/>
        <v>3</v>
      </c>
      <c r="AL235" s="9" t="s">
        <v>78</v>
      </c>
      <c r="AM235" s="9">
        <f t="shared" si="20"/>
        <v>3</v>
      </c>
      <c r="AN235" s="9" t="s">
        <v>85</v>
      </c>
      <c r="AO235" s="9">
        <f t="shared" si="21"/>
        <v>4</v>
      </c>
      <c r="AP235" s="9" t="s">
        <v>85</v>
      </c>
      <c r="AQ235" s="9">
        <f t="shared" si="22"/>
        <v>4</v>
      </c>
      <c r="AR235" s="9" t="s">
        <v>85</v>
      </c>
      <c r="AS235" s="9">
        <f t="shared" si="23"/>
        <v>4</v>
      </c>
      <c r="AT235" s="9" t="s">
        <v>283</v>
      </c>
      <c r="AU235" s="9">
        <f t="shared" si="24"/>
        <v>1</v>
      </c>
      <c r="AV235" s="9">
        <f t="shared" si="25"/>
        <v>0</v>
      </c>
      <c r="AW235" s="9">
        <f t="shared" si="26"/>
        <v>0</v>
      </c>
      <c r="AX235" s="9">
        <f t="shared" si="27"/>
        <v>1</v>
      </c>
      <c r="AY235" s="9">
        <f t="shared" si="28"/>
        <v>1</v>
      </c>
      <c r="AZ235" s="9">
        <f t="shared" si="29"/>
        <v>0</v>
      </c>
      <c r="BA235" s="9">
        <f t="shared" si="30"/>
        <v>0</v>
      </c>
      <c r="BB235" s="9" t="s">
        <v>88</v>
      </c>
      <c r="BC235" s="9">
        <f t="shared" si="31"/>
        <v>2</v>
      </c>
      <c r="BD235" s="12"/>
      <c r="BE235" s="9" t="str">
        <f t="shared" si="46"/>
        <v>N/A</v>
      </c>
      <c r="BF235" s="9" t="s">
        <v>306</v>
      </c>
      <c r="BG235" s="9">
        <f t="shared" si="33"/>
        <v>1</v>
      </c>
      <c r="BH235" s="9">
        <f t="shared" si="34"/>
        <v>0</v>
      </c>
      <c r="BI235" s="9">
        <f t="shared" si="35"/>
        <v>1</v>
      </c>
      <c r="BJ235" s="9">
        <f t="shared" si="36"/>
        <v>0</v>
      </c>
      <c r="BK235" s="9">
        <f t="shared" si="37"/>
        <v>1</v>
      </c>
      <c r="BL235" s="9">
        <f t="shared" si="38"/>
        <v>1</v>
      </c>
      <c r="BM235" s="9">
        <f t="shared" si="39"/>
        <v>1</v>
      </c>
      <c r="BN235" s="9" t="s">
        <v>68</v>
      </c>
      <c r="BO235" s="11">
        <f t="shared" si="40"/>
        <v>1</v>
      </c>
    </row>
    <row r="236" ht="22.5" customHeight="1">
      <c r="A236" s="9">
        <f t="shared" si="41"/>
        <v>235</v>
      </c>
      <c r="B236" s="10">
        <v>46052.327553738425</v>
      </c>
      <c r="C236" s="9" t="s">
        <v>67</v>
      </c>
      <c r="D236" s="9">
        <f t="shared" si="1"/>
        <v>1</v>
      </c>
      <c r="E236" s="9" t="s">
        <v>68</v>
      </c>
      <c r="F236" s="9">
        <f t="shared" si="2"/>
        <v>1</v>
      </c>
      <c r="G236" s="9" t="s">
        <v>69</v>
      </c>
      <c r="H236" s="9" t="str">
        <f t="shared" si="3"/>
        <v>Rural</v>
      </c>
      <c r="I236" s="9">
        <f t="shared" si="4"/>
        <v>1</v>
      </c>
      <c r="J236" s="9" t="s">
        <v>70</v>
      </c>
      <c r="K236" s="9" t="s">
        <v>100</v>
      </c>
      <c r="L236" s="9">
        <f t="shared" si="5"/>
        <v>3</v>
      </c>
      <c r="M236" s="9" t="s">
        <v>101</v>
      </c>
      <c r="N236" s="9">
        <f t="shared" si="6"/>
        <v>2</v>
      </c>
      <c r="O236" s="9" t="s">
        <v>73</v>
      </c>
      <c r="P236" s="9">
        <f t="shared" si="7"/>
        <v>2</v>
      </c>
      <c r="Q236" s="9" t="s">
        <v>73</v>
      </c>
      <c r="R236" s="9">
        <f t="shared" si="8"/>
        <v>2</v>
      </c>
      <c r="S236" s="9" t="s">
        <v>78</v>
      </c>
      <c r="T236" s="9">
        <f t="shared" si="9"/>
        <v>3</v>
      </c>
      <c r="U236" s="9" t="s">
        <v>110</v>
      </c>
      <c r="V236" s="9">
        <f t="shared" si="10"/>
        <v>0.75</v>
      </c>
      <c r="W236" s="9" t="s">
        <v>174</v>
      </c>
      <c r="X236" s="9">
        <f t="shared" si="11"/>
        <v>1</v>
      </c>
      <c r="Y236" s="9">
        <f t="shared" si="12"/>
        <v>1</v>
      </c>
      <c r="Z236" s="9">
        <f t="shared" si="13"/>
        <v>1</v>
      </c>
      <c r="AA236" s="9">
        <f t="shared" si="14"/>
        <v>1</v>
      </c>
      <c r="AB236" s="9" t="s">
        <v>73</v>
      </c>
      <c r="AC236" s="9">
        <f t="shared" si="15"/>
        <v>2</v>
      </c>
      <c r="AD236" s="9" t="s">
        <v>73</v>
      </c>
      <c r="AE236" s="9">
        <f t="shared" si="16"/>
        <v>2</v>
      </c>
      <c r="AF236" s="9" t="s">
        <v>71</v>
      </c>
      <c r="AG236" s="9">
        <f t="shared" si="17"/>
        <v>7.7</v>
      </c>
      <c r="AH236" s="9" t="s">
        <v>72</v>
      </c>
      <c r="AI236" s="9">
        <f t="shared" si="18"/>
        <v>1</v>
      </c>
      <c r="AJ236" s="9" t="s">
        <v>73</v>
      </c>
      <c r="AK236" s="9">
        <f t="shared" si="19"/>
        <v>2</v>
      </c>
      <c r="AL236" s="9" t="s">
        <v>78</v>
      </c>
      <c r="AM236" s="9">
        <f t="shared" si="20"/>
        <v>3</v>
      </c>
      <c r="AN236" s="9" t="s">
        <v>73</v>
      </c>
      <c r="AO236" s="9">
        <f t="shared" si="21"/>
        <v>2</v>
      </c>
      <c r="AP236" s="9" t="s">
        <v>73</v>
      </c>
      <c r="AQ236" s="9">
        <f t="shared" si="22"/>
        <v>2</v>
      </c>
      <c r="AR236" s="9" t="s">
        <v>73</v>
      </c>
      <c r="AS236" s="9">
        <f t="shared" si="23"/>
        <v>2</v>
      </c>
      <c r="AT236" s="9" t="s">
        <v>261</v>
      </c>
      <c r="AU236" s="9">
        <f t="shared" si="24"/>
        <v>1</v>
      </c>
      <c r="AV236" s="9">
        <f t="shared" si="25"/>
        <v>1</v>
      </c>
      <c r="AW236" s="9">
        <f t="shared" si="26"/>
        <v>1</v>
      </c>
      <c r="AX236" s="9">
        <f t="shared" si="27"/>
        <v>1</v>
      </c>
      <c r="AY236" s="9">
        <f t="shared" si="28"/>
        <v>1</v>
      </c>
      <c r="AZ236" s="9">
        <f t="shared" si="29"/>
        <v>1</v>
      </c>
      <c r="BA236" s="9">
        <f t="shared" si="30"/>
        <v>1</v>
      </c>
      <c r="BB236" s="9" t="s">
        <v>88</v>
      </c>
      <c r="BC236" s="9">
        <f t="shared" si="31"/>
        <v>2</v>
      </c>
      <c r="BD236" s="12"/>
      <c r="BE236" s="9" t="str">
        <f t="shared" si="46"/>
        <v>N/A</v>
      </c>
      <c r="BF236" s="9" t="s">
        <v>260</v>
      </c>
      <c r="BG236" s="9">
        <f t="shared" si="33"/>
        <v>1</v>
      </c>
      <c r="BH236" s="9">
        <f t="shared" si="34"/>
        <v>1</v>
      </c>
      <c r="BI236" s="9">
        <f t="shared" si="35"/>
        <v>1</v>
      </c>
      <c r="BJ236" s="9">
        <f t="shared" si="36"/>
        <v>1</v>
      </c>
      <c r="BK236" s="9">
        <f t="shared" si="37"/>
        <v>1</v>
      </c>
      <c r="BL236" s="9">
        <f t="shared" si="38"/>
        <v>1</v>
      </c>
      <c r="BM236" s="9">
        <f t="shared" si="39"/>
        <v>1</v>
      </c>
      <c r="BN236" s="9" t="s">
        <v>68</v>
      </c>
      <c r="BO236" s="11">
        <f t="shared" si="40"/>
        <v>1</v>
      </c>
    </row>
    <row r="237" ht="22.5" customHeight="1">
      <c r="A237" s="9">
        <f t="shared" si="41"/>
        <v>236</v>
      </c>
      <c r="B237" s="10">
        <v>46052.33881296296</v>
      </c>
      <c r="C237" s="9" t="s">
        <v>90</v>
      </c>
      <c r="D237" s="9">
        <f t="shared" si="1"/>
        <v>2</v>
      </c>
      <c r="E237" s="9" t="s">
        <v>68</v>
      </c>
      <c r="F237" s="9">
        <f t="shared" si="2"/>
        <v>1</v>
      </c>
      <c r="G237" s="9" t="s">
        <v>69</v>
      </c>
      <c r="H237" s="9" t="str">
        <f t="shared" si="3"/>
        <v>Rural</v>
      </c>
      <c r="I237" s="9">
        <f t="shared" si="4"/>
        <v>1</v>
      </c>
      <c r="J237" s="9" t="s">
        <v>70</v>
      </c>
      <c r="K237" s="9" t="s">
        <v>100</v>
      </c>
      <c r="L237" s="9">
        <f t="shared" si="5"/>
        <v>3</v>
      </c>
      <c r="M237" s="9" t="s">
        <v>101</v>
      </c>
      <c r="N237" s="9">
        <f t="shared" si="6"/>
        <v>2</v>
      </c>
      <c r="O237" s="9" t="s">
        <v>73</v>
      </c>
      <c r="P237" s="9">
        <f t="shared" si="7"/>
        <v>2</v>
      </c>
      <c r="Q237" s="9" t="s">
        <v>103</v>
      </c>
      <c r="R237" s="9">
        <f t="shared" si="8"/>
        <v>5</v>
      </c>
      <c r="S237" s="9" t="s">
        <v>72</v>
      </c>
      <c r="T237" s="9">
        <f t="shared" si="9"/>
        <v>1</v>
      </c>
      <c r="U237" s="9" t="s">
        <v>92</v>
      </c>
      <c r="V237" s="9">
        <f t="shared" si="10"/>
        <v>3.5</v>
      </c>
      <c r="W237" s="9" t="s">
        <v>105</v>
      </c>
      <c r="X237" s="9">
        <f t="shared" si="11"/>
        <v>1</v>
      </c>
      <c r="Y237" s="9">
        <f t="shared" si="12"/>
        <v>1</v>
      </c>
      <c r="Z237" s="9">
        <f t="shared" si="13"/>
        <v>0</v>
      </c>
      <c r="AA237" s="9">
        <f t="shared" si="14"/>
        <v>0</v>
      </c>
      <c r="AB237" s="9" t="s">
        <v>103</v>
      </c>
      <c r="AC237" s="9">
        <f t="shared" si="15"/>
        <v>5</v>
      </c>
      <c r="AD237" s="9" t="s">
        <v>85</v>
      </c>
      <c r="AE237" s="9">
        <f t="shared" si="16"/>
        <v>4</v>
      </c>
      <c r="AF237" s="9" t="s">
        <v>76</v>
      </c>
      <c r="AG237" s="9">
        <f t="shared" si="17"/>
        <v>5.5</v>
      </c>
      <c r="AH237" s="9" t="s">
        <v>72</v>
      </c>
      <c r="AI237" s="9">
        <f t="shared" si="18"/>
        <v>1</v>
      </c>
      <c r="AJ237" s="9" t="s">
        <v>77</v>
      </c>
      <c r="AK237" s="9">
        <f t="shared" si="19"/>
        <v>1</v>
      </c>
      <c r="AL237" s="9" t="s">
        <v>77</v>
      </c>
      <c r="AM237" s="9">
        <f t="shared" si="20"/>
        <v>1</v>
      </c>
      <c r="AN237" s="9" t="s">
        <v>78</v>
      </c>
      <c r="AO237" s="9">
        <f t="shared" si="21"/>
        <v>3</v>
      </c>
      <c r="AP237" s="9" t="s">
        <v>120</v>
      </c>
      <c r="AQ237" s="9">
        <f t="shared" si="22"/>
        <v>5</v>
      </c>
      <c r="AR237" s="9" t="s">
        <v>85</v>
      </c>
      <c r="AS237" s="9">
        <f t="shared" si="23"/>
        <v>4</v>
      </c>
      <c r="AT237" s="9" t="s">
        <v>190</v>
      </c>
      <c r="AU237" s="9">
        <f t="shared" si="24"/>
        <v>1</v>
      </c>
      <c r="AV237" s="9">
        <f t="shared" si="25"/>
        <v>1</v>
      </c>
      <c r="AW237" s="9">
        <f t="shared" si="26"/>
        <v>0</v>
      </c>
      <c r="AX237" s="9">
        <f t="shared" si="27"/>
        <v>0</v>
      </c>
      <c r="AY237" s="9">
        <f t="shared" si="28"/>
        <v>0</v>
      </c>
      <c r="AZ237" s="9">
        <f t="shared" si="29"/>
        <v>0</v>
      </c>
      <c r="BA237" s="9">
        <f t="shared" si="30"/>
        <v>1</v>
      </c>
      <c r="BB237" s="9" t="s">
        <v>88</v>
      </c>
      <c r="BC237" s="9">
        <f t="shared" si="31"/>
        <v>2</v>
      </c>
      <c r="BD237" s="12"/>
      <c r="BE237" s="9" t="str">
        <f t="shared" si="46"/>
        <v>N/A</v>
      </c>
      <c r="BF237" s="9" t="s">
        <v>95</v>
      </c>
      <c r="BG237" s="9">
        <f t="shared" si="33"/>
        <v>1</v>
      </c>
      <c r="BH237" s="9">
        <f t="shared" si="34"/>
        <v>0</v>
      </c>
      <c r="BI237" s="9">
        <f t="shared" si="35"/>
        <v>1</v>
      </c>
      <c r="BJ237" s="9">
        <f t="shared" si="36"/>
        <v>1</v>
      </c>
      <c r="BK237" s="9">
        <f t="shared" si="37"/>
        <v>0</v>
      </c>
      <c r="BL237" s="9">
        <f t="shared" si="38"/>
        <v>0</v>
      </c>
      <c r="BM237" s="9">
        <f t="shared" si="39"/>
        <v>0</v>
      </c>
      <c r="BN237" s="9" t="s">
        <v>108</v>
      </c>
      <c r="BO237" s="11">
        <f t="shared" si="40"/>
        <v>3</v>
      </c>
    </row>
    <row r="238" ht="22.5" customHeight="1">
      <c r="A238" s="9">
        <f t="shared" si="41"/>
        <v>237</v>
      </c>
      <c r="B238" s="10">
        <v>46052.35861040509</v>
      </c>
      <c r="C238" s="9" t="s">
        <v>90</v>
      </c>
      <c r="D238" s="9">
        <f t="shared" si="1"/>
        <v>2</v>
      </c>
      <c r="E238" s="9" t="s">
        <v>68</v>
      </c>
      <c r="F238" s="9">
        <f t="shared" si="2"/>
        <v>1</v>
      </c>
      <c r="G238" s="9" t="s">
        <v>91</v>
      </c>
      <c r="H238" s="9" t="str">
        <f t="shared" si="3"/>
        <v>Urban</v>
      </c>
      <c r="I238" s="9">
        <f t="shared" si="4"/>
        <v>2</v>
      </c>
      <c r="J238" s="9" t="s">
        <v>83</v>
      </c>
      <c r="K238" s="9" t="s">
        <v>84</v>
      </c>
      <c r="L238" s="9">
        <f t="shared" si="5"/>
        <v>2</v>
      </c>
      <c r="M238" s="9" t="s">
        <v>101</v>
      </c>
      <c r="N238" s="9">
        <f t="shared" si="6"/>
        <v>2</v>
      </c>
      <c r="O238" s="9" t="s">
        <v>72</v>
      </c>
      <c r="P238" s="9">
        <f t="shared" si="7"/>
        <v>1</v>
      </c>
      <c r="Q238" s="9" t="s">
        <v>73</v>
      </c>
      <c r="R238" s="9">
        <f t="shared" si="8"/>
        <v>2</v>
      </c>
      <c r="S238" s="9" t="s">
        <v>72</v>
      </c>
      <c r="T238" s="9">
        <f t="shared" si="9"/>
        <v>1</v>
      </c>
      <c r="U238" s="9" t="s">
        <v>110</v>
      </c>
      <c r="V238" s="9">
        <f t="shared" si="10"/>
        <v>0.75</v>
      </c>
      <c r="W238" s="9" t="s">
        <v>122</v>
      </c>
      <c r="X238" s="9">
        <f t="shared" si="11"/>
        <v>0</v>
      </c>
      <c r="Y238" s="9">
        <f t="shared" si="12"/>
        <v>0</v>
      </c>
      <c r="Z238" s="9">
        <f t="shared" si="13"/>
        <v>1</v>
      </c>
      <c r="AA238" s="9">
        <f t="shared" si="14"/>
        <v>0</v>
      </c>
      <c r="AB238" s="9" t="s">
        <v>73</v>
      </c>
      <c r="AC238" s="9">
        <f t="shared" si="15"/>
        <v>2</v>
      </c>
      <c r="AD238" s="9" t="s">
        <v>73</v>
      </c>
      <c r="AE238" s="9">
        <f t="shared" si="16"/>
        <v>2</v>
      </c>
      <c r="AF238" s="9" t="s">
        <v>71</v>
      </c>
      <c r="AG238" s="9">
        <f t="shared" si="17"/>
        <v>7.7</v>
      </c>
      <c r="AH238" s="9" t="s">
        <v>103</v>
      </c>
      <c r="AI238" s="9">
        <f t="shared" si="18"/>
        <v>5</v>
      </c>
      <c r="AJ238" s="9" t="s">
        <v>78</v>
      </c>
      <c r="AK238" s="9">
        <f t="shared" si="19"/>
        <v>3</v>
      </c>
      <c r="AL238" s="9" t="s">
        <v>78</v>
      </c>
      <c r="AM238" s="9">
        <f t="shared" si="20"/>
        <v>3</v>
      </c>
      <c r="AN238" s="9" t="s">
        <v>120</v>
      </c>
      <c r="AO238" s="9">
        <f t="shared" si="21"/>
        <v>5</v>
      </c>
      <c r="AP238" s="9" t="s">
        <v>120</v>
      </c>
      <c r="AQ238" s="9">
        <f t="shared" si="22"/>
        <v>5</v>
      </c>
      <c r="AR238" s="9" t="s">
        <v>120</v>
      </c>
      <c r="AS238" s="9">
        <f t="shared" si="23"/>
        <v>5</v>
      </c>
      <c r="AT238" s="9" t="s">
        <v>133</v>
      </c>
      <c r="AU238" s="9">
        <f t="shared" si="24"/>
        <v>0</v>
      </c>
      <c r="AV238" s="9">
        <f t="shared" si="25"/>
        <v>1</v>
      </c>
      <c r="AW238" s="9">
        <f t="shared" si="26"/>
        <v>0</v>
      </c>
      <c r="AX238" s="9">
        <f t="shared" si="27"/>
        <v>0</v>
      </c>
      <c r="AY238" s="9">
        <f t="shared" si="28"/>
        <v>0</v>
      </c>
      <c r="AZ238" s="9">
        <f t="shared" si="29"/>
        <v>0</v>
      </c>
      <c r="BA238" s="9">
        <f t="shared" si="30"/>
        <v>0</v>
      </c>
      <c r="BB238" s="9" t="s">
        <v>88</v>
      </c>
      <c r="BC238" s="9">
        <f t="shared" si="31"/>
        <v>2</v>
      </c>
      <c r="BD238" s="12"/>
      <c r="BE238" s="9" t="str">
        <f t="shared" si="46"/>
        <v>N/A</v>
      </c>
      <c r="BF238" s="9" t="s">
        <v>124</v>
      </c>
      <c r="BG238" s="9">
        <f t="shared" si="33"/>
        <v>1</v>
      </c>
      <c r="BH238" s="9">
        <f t="shared" si="34"/>
        <v>0</v>
      </c>
      <c r="BI238" s="9">
        <f t="shared" si="35"/>
        <v>1</v>
      </c>
      <c r="BJ238" s="9">
        <f t="shared" si="36"/>
        <v>0</v>
      </c>
      <c r="BK238" s="9">
        <f t="shared" si="37"/>
        <v>0</v>
      </c>
      <c r="BL238" s="9">
        <f t="shared" si="38"/>
        <v>0</v>
      </c>
      <c r="BM238" s="9">
        <f t="shared" si="39"/>
        <v>0</v>
      </c>
      <c r="BN238" s="9" t="s">
        <v>68</v>
      </c>
      <c r="BO238" s="11">
        <f t="shared" si="40"/>
        <v>1</v>
      </c>
    </row>
    <row r="239" ht="22.5" customHeight="1">
      <c r="A239" s="9">
        <f t="shared" si="41"/>
        <v>238</v>
      </c>
      <c r="B239" s="10">
        <v>46052.377428368054</v>
      </c>
      <c r="C239" s="9" t="s">
        <v>90</v>
      </c>
      <c r="D239" s="9">
        <f t="shared" si="1"/>
        <v>2</v>
      </c>
      <c r="E239" s="9" t="s">
        <v>68</v>
      </c>
      <c r="F239" s="9">
        <f t="shared" si="2"/>
        <v>1</v>
      </c>
      <c r="G239" s="9" t="s">
        <v>69</v>
      </c>
      <c r="H239" s="9" t="str">
        <f t="shared" si="3"/>
        <v>Rural</v>
      </c>
      <c r="I239" s="9">
        <f t="shared" si="4"/>
        <v>1</v>
      </c>
      <c r="J239" s="9" t="s">
        <v>70</v>
      </c>
      <c r="K239" s="9" t="s">
        <v>100</v>
      </c>
      <c r="L239" s="9">
        <f t="shared" si="5"/>
        <v>3</v>
      </c>
      <c r="M239" s="9" t="s">
        <v>71</v>
      </c>
      <c r="N239" s="9">
        <f t="shared" si="6"/>
        <v>7.7</v>
      </c>
      <c r="O239" s="9" t="s">
        <v>73</v>
      </c>
      <c r="P239" s="9">
        <f t="shared" si="7"/>
        <v>2</v>
      </c>
      <c r="Q239" s="9" t="s">
        <v>85</v>
      </c>
      <c r="R239" s="9">
        <f t="shared" si="8"/>
        <v>4</v>
      </c>
      <c r="S239" s="9" t="s">
        <v>73</v>
      </c>
      <c r="T239" s="9">
        <f t="shared" si="9"/>
        <v>2</v>
      </c>
      <c r="U239" s="9" t="s">
        <v>92</v>
      </c>
      <c r="V239" s="9">
        <f t="shared" si="10"/>
        <v>3.5</v>
      </c>
      <c r="W239" s="9" t="s">
        <v>105</v>
      </c>
      <c r="X239" s="9">
        <f t="shared" si="11"/>
        <v>1</v>
      </c>
      <c r="Y239" s="9">
        <f t="shared" si="12"/>
        <v>1</v>
      </c>
      <c r="Z239" s="9">
        <f t="shared" si="13"/>
        <v>0</v>
      </c>
      <c r="AA239" s="9">
        <f t="shared" si="14"/>
        <v>0</v>
      </c>
      <c r="AB239" s="9" t="s">
        <v>73</v>
      </c>
      <c r="AC239" s="9">
        <f t="shared" si="15"/>
        <v>2</v>
      </c>
      <c r="AD239" s="9" t="s">
        <v>73</v>
      </c>
      <c r="AE239" s="9">
        <f t="shared" si="16"/>
        <v>2</v>
      </c>
      <c r="AF239" s="9" t="s">
        <v>76</v>
      </c>
      <c r="AG239" s="9">
        <f t="shared" si="17"/>
        <v>5.5</v>
      </c>
      <c r="AH239" s="9" t="s">
        <v>85</v>
      </c>
      <c r="AI239" s="9">
        <f t="shared" si="18"/>
        <v>4</v>
      </c>
      <c r="AJ239" s="9" t="s">
        <v>73</v>
      </c>
      <c r="AK239" s="9">
        <f t="shared" si="19"/>
        <v>2</v>
      </c>
      <c r="AL239" s="9" t="s">
        <v>78</v>
      </c>
      <c r="AM239" s="9">
        <f t="shared" si="20"/>
        <v>3</v>
      </c>
      <c r="AN239" s="9" t="s">
        <v>78</v>
      </c>
      <c r="AO239" s="9">
        <f t="shared" si="21"/>
        <v>3</v>
      </c>
      <c r="AP239" s="9" t="s">
        <v>78</v>
      </c>
      <c r="AQ239" s="9">
        <f t="shared" si="22"/>
        <v>3</v>
      </c>
      <c r="AR239" s="9" t="s">
        <v>78</v>
      </c>
      <c r="AS239" s="9">
        <f t="shared" si="23"/>
        <v>3</v>
      </c>
      <c r="AT239" s="9" t="s">
        <v>123</v>
      </c>
      <c r="AU239" s="9">
        <f t="shared" si="24"/>
        <v>1</v>
      </c>
      <c r="AV239" s="9">
        <f t="shared" si="25"/>
        <v>1</v>
      </c>
      <c r="AW239" s="9">
        <f t="shared" si="26"/>
        <v>1</v>
      </c>
      <c r="AX239" s="9">
        <f t="shared" si="27"/>
        <v>0</v>
      </c>
      <c r="AY239" s="9">
        <f t="shared" si="28"/>
        <v>0</v>
      </c>
      <c r="AZ239" s="9">
        <f t="shared" si="29"/>
        <v>0</v>
      </c>
      <c r="BA239" s="9">
        <f t="shared" si="30"/>
        <v>0</v>
      </c>
      <c r="BB239" s="9" t="s">
        <v>88</v>
      </c>
      <c r="BC239" s="9">
        <f t="shared" si="31"/>
        <v>2</v>
      </c>
      <c r="BD239" s="12"/>
      <c r="BE239" s="9" t="str">
        <f t="shared" si="46"/>
        <v>N/A</v>
      </c>
      <c r="BF239" s="9" t="s">
        <v>117</v>
      </c>
      <c r="BG239" s="9">
        <f t="shared" si="33"/>
        <v>0</v>
      </c>
      <c r="BH239" s="9">
        <f t="shared" si="34"/>
        <v>0</v>
      </c>
      <c r="BI239" s="9">
        <f t="shared" si="35"/>
        <v>1</v>
      </c>
      <c r="BJ239" s="9">
        <f t="shared" si="36"/>
        <v>1</v>
      </c>
      <c r="BK239" s="9">
        <f t="shared" si="37"/>
        <v>0</v>
      </c>
      <c r="BL239" s="9">
        <f t="shared" si="38"/>
        <v>0</v>
      </c>
      <c r="BM239" s="9">
        <f t="shared" si="39"/>
        <v>0</v>
      </c>
      <c r="BN239" s="9" t="s">
        <v>68</v>
      </c>
      <c r="BO239" s="11">
        <f t="shared" si="40"/>
        <v>1</v>
      </c>
    </row>
    <row r="240" ht="22.5" customHeight="1">
      <c r="A240" s="9">
        <f t="shared" si="41"/>
        <v>239</v>
      </c>
      <c r="B240" s="10">
        <v>46052.38867799769</v>
      </c>
      <c r="C240" s="9" t="s">
        <v>90</v>
      </c>
      <c r="D240" s="9">
        <f t="shared" si="1"/>
        <v>2</v>
      </c>
      <c r="E240" s="9" t="s">
        <v>68</v>
      </c>
      <c r="F240" s="9">
        <f t="shared" si="2"/>
        <v>1</v>
      </c>
      <c r="G240" s="9" t="s">
        <v>91</v>
      </c>
      <c r="H240" s="9" t="str">
        <f t="shared" si="3"/>
        <v>Urban</v>
      </c>
      <c r="I240" s="9">
        <f t="shared" si="4"/>
        <v>2</v>
      </c>
      <c r="J240" s="9" t="s">
        <v>70</v>
      </c>
      <c r="K240" s="9" t="s">
        <v>100</v>
      </c>
      <c r="L240" s="9">
        <f t="shared" si="5"/>
        <v>3</v>
      </c>
      <c r="M240" s="9" t="s">
        <v>71</v>
      </c>
      <c r="N240" s="9">
        <f t="shared" si="6"/>
        <v>7.7</v>
      </c>
      <c r="O240" s="9" t="s">
        <v>85</v>
      </c>
      <c r="P240" s="9">
        <f t="shared" si="7"/>
        <v>4</v>
      </c>
      <c r="Q240" s="9" t="s">
        <v>73</v>
      </c>
      <c r="R240" s="9">
        <f t="shared" si="8"/>
        <v>2</v>
      </c>
      <c r="S240" s="9" t="s">
        <v>85</v>
      </c>
      <c r="T240" s="9">
        <f t="shared" si="9"/>
        <v>4</v>
      </c>
      <c r="U240" s="9" t="s">
        <v>96</v>
      </c>
      <c r="V240" s="9">
        <f t="shared" si="10"/>
        <v>2.5</v>
      </c>
      <c r="W240" s="9" t="s">
        <v>180</v>
      </c>
      <c r="X240" s="9">
        <f t="shared" si="11"/>
        <v>0</v>
      </c>
      <c r="Y240" s="9">
        <f t="shared" si="12"/>
        <v>1</v>
      </c>
      <c r="Z240" s="9">
        <f t="shared" si="13"/>
        <v>1</v>
      </c>
      <c r="AA240" s="9">
        <f t="shared" si="14"/>
        <v>0</v>
      </c>
      <c r="AB240" s="9" t="s">
        <v>73</v>
      </c>
      <c r="AC240" s="9">
        <f t="shared" si="15"/>
        <v>2</v>
      </c>
      <c r="AD240" s="9" t="s">
        <v>73</v>
      </c>
      <c r="AE240" s="9">
        <f t="shared" si="16"/>
        <v>2</v>
      </c>
      <c r="AF240" s="9" t="s">
        <v>76</v>
      </c>
      <c r="AG240" s="9">
        <f t="shared" si="17"/>
        <v>5.5</v>
      </c>
      <c r="AH240" s="9" t="s">
        <v>73</v>
      </c>
      <c r="AI240" s="9">
        <f t="shared" si="18"/>
        <v>2</v>
      </c>
      <c r="AJ240" s="9" t="s">
        <v>73</v>
      </c>
      <c r="AK240" s="9">
        <f t="shared" si="19"/>
        <v>2</v>
      </c>
      <c r="AL240" s="9" t="s">
        <v>73</v>
      </c>
      <c r="AM240" s="9">
        <f t="shared" si="20"/>
        <v>2</v>
      </c>
      <c r="AN240" s="9" t="s">
        <v>85</v>
      </c>
      <c r="AO240" s="9">
        <f t="shared" si="21"/>
        <v>4</v>
      </c>
      <c r="AP240" s="9" t="s">
        <v>73</v>
      </c>
      <c r="AQ240" s="9">
        <f t="shared" si="22"/>
        <v>2</v>
      </c>
      <c r="AR240" s="9" t="s">
        <v>78</v>
      </c>
      <c r="AS240" s="9">
        <f t="shared" si="23"/>
        <v>3</v>
      </c>
      <c r="AT240" s="9" t="s">
        <v>304</v>
      </c>
      <c r="AU240" s="9">
        <f t="shared" si="24"/>
        <v>1</v>
      </c>
      <c r="AV240" s="9">
        <f t="shared" si="25"/>
        <v>0</v>
      </c>
      <c r="AW240" s="9">
        <f t="shared" si="26"/>
        <v>0</v>
      </c>
      <c r="AX240" s="9">
        <f t="shared" si="27"/>
        <v>0</v>
      </c>
      <c r="AY240" s="9">
        <f t="shared" si="28"/>
        <v>0</v>
      </c>
      <c r="AZ240" s="9">
        <f t="shared" si="29"/>
        <v>0</v>
      </c>
      <c r="BA240" s="9">
        <f t="shared" si="30"/>
        <v>1</v>
      </c>
      <c r="BB240" s="9" t="s">
        <v>88</v>
      </c>
      <c r="BC240" s="9">
        <f t="shared" si="31"/>
        <v>2</v>
      </c>
      <c r="BD240" s="12"/>
      <c r="BE240" s="9" t="str">
        <f t="shared" si="46"/>
        <v>N/A</v>
      </c>
      <c r="BF240" s="9" t="s">
        <v>206</v>
      </c>
      <c r="BG240" s="9">
        <f t="shared" si="33"/>
        <v>1</v>
      </c>
      <c r="BH240" s="9">
        <f t="shared" si="34"/>
        <v>0</v>
      </c>
      <c r="BI240" s="9">
        <f t="shared" si="35"/>
        <v>0</v>
      </c>
      <c r="BJ240" s="9">
        <f t="shared" si="36"/>
        <v>1</v>
      </c>
      <c r="BK240" s="9">
        <f t="shared" si="37"/>
        <v>0</v>
      </c>
      <c r="BL240" s="9">
        <f t="shared" si="38"/>
        <v>0</v>
      </c>
      <c r="BM240" s="9">
        <f t="shared" si="39"/>
        <v>0</v>
      </c>
      <c r="BN240" s="9" t="s">
        <v>68</v>
      </c>
      <c r="BO240" s="11">
        <f t="shared" si="40"/>
        <v>1</v>
      </c>
    </row>
    <row r="241" ht="22.5" customHeight="1">
      <c r="A241" s="9">
        <f t="shared" si="41"/>
        <v>240</v>
      </c>
      <c r="B241" s="10">
        <v>46052.40301439815</v>
      </c>
      <c r="C241" s="9" t="s">
        <v>90</v>
      </c>
      <c r="D241" s="9">
        <f t="shared" si="1"/>
        <v>2</v>
      </c>
      <c r="E241" s="9" t="s">
        <v>68</v>
      </c>
      <c r="F241" s="9">
        <f t="shared" si="2"/>
        <v>1</v>
      </c>
      <c r="G241" s="9" t="s">
        <v>82</v>
      </c>
      <c r="H241" s="9" t="str">
        <f t="shared" si="3"/>
        <v>Urban</v>
      </c>
      <c r="I241" s="9">
        <f t="shared" si="4"/>
        <v>2</v>
      </c>
      <c r="J241" s="9" t="s">
        <v>70</v>
      </c>
      <c r="K241" s="9" t="s">
        <v>100</v>
      </c>
      <c r="L241" s="9">
        <f t="shared" si="5"/>
        <v>3</v>
      </c>
      <c r="M241" s="9" t="s">
        <v>109</v>
      </c>
      <c r="N241" s="9">
        <f t="shared" si="6"/>
        <v>9</v>
      </c>
      <c r="O241" s="9" t="s">
        <v>78</v>
      </c>
      <c r="P241" s="9">
        <f t="shared" si="7"/>
        <v>3</v>
      </c>
      <c r="Q241" s="9" t="s">
        <v>78</v>
      </c>
      <c r="R241" s="9">
        <f t="shared" si="8"/>
        <v>3</v>
      </c>
      <c r="S241" s="9" t="s">
        <v>78</v>
      </c>
      <c r="T241" s="9">
        <f t="shared" si="9"/>
        <v>3</v>
      </c>
      <c r="U241" s="9" t="s">
        <v>74</v>
      </c>
      <c r="V241" s="9">
        <f t="shared" si="10"/>
        <v>1.5</v>
      </c>
      <c r="W241" s="9" t="s">
        <v>307</v>
      </c>
      <c r="X241" s="9">
        <f t="shared" si="11"/>
        <v>0</v>
      </c>
      <c r="Y241" s="9">
        <f t="shared" si="12"/>
        <v>0</v>
      </c>
      <c r="Z241" s="9">
        <f t="shared" si="13"/>
        <v>1</v>
      </c>
      <c r="AA241" s="9">
        <f t="shared" si="14"/>
        <v>0</v>
      </c>
      <c r="AB241" s="9" t="s">
        <v>73</v>
      </c>
      <c r="AC241" s="9">
        <f t="shared" si="15"/>
        <v>2</v>
      </c>
      <c r="AD241" s="9" t="s">
        <v>73</v>
      </c>
      <c r="AE241" s="9">
        <f t="shared" si="16"/>
        <v>2</v>
      </c>
      <c r="AF241" s="9" t="s">
        <v>71</v>
      </c>
      <c r="AG241" s="9">
        <f t="shared" si="17"/>
        <v>7.7</v>
      </c>
      <c r="AH241" s="9" t="s">
        <v>78</v>
      </c>
      <c r="AI241" s="9">
        <f t="shared" si="18"/>
        <v>3</v>
      </c>
      <c r="AJ241" s="9" t="s">
        <v>73</v>
      </c>
      <c r="AK241" s="9">
        <f t="shared" si="19"/>
        <v>2</v>
      </c>
      <c r="AL241" s="9" t="s">
        <v>78</v>
      </c>
      <c r="AM241" s="9">
        <f t="shared" si="20"/>
        <v>3</v>
      </c>
      <c r="AN241" s="9" t="s">
        <v>78</v>
      </c>
      <c r="AO241" s="9">
        <f t="shared" si="21"/>
        <v>3</v>
      </c>
      <c r="AP241" s="9" t="s">
        <v>78</v>
      </c>
      <c r="AQ241" s="9">
        <f t="shared" si="22"/>
        <v>3</v>
      </c>
      <c r="AR241" s="9" t="s">
        <v>120</v>
      </c>
      <c r="AS241" s="9">
        <f t="shared" si="23"/>
        <v>5</v>
      </c>
      <c r="AT241" s="9" t="s">
        <v>178</v>
      </c>
      <c r="AU241" s="9">
        <f t="shared" si="24"/>
        <v>1</v>
      </c>
      <c r="AV241" s="9">
        <f t="shared" si="25"/>
        <v>0</v>
      </c>
      <c r="AW241" s="9">
        <f t="shared" si="26"/>
        <v>0</v>
      </c>
      <c r="AX241" s="9">
        <f t="shared" si="27"/>
        <v>1</v>
      </c>
      <c r="AY241" s="9">
        <f t="shared" si="28"/>
        <v>0</v>
      </c>
      <c r="AZ241" s="9">
        <f t="shared" si="29"/>
        <v>0</v>
      </c>
      <c r="BA241" s="9">
        <f t="shared" si="30"/>
        <v>0</v>
      </c>
      <c r="BB241" s="9" t="s">
        <v>88</v>
      </c>
      <c r="BC241" s="9">
        <f t="shared" si="31"/>
        <v>2</v>
      </c>
      <c r="BD241" s="12"/>
      <c r="BE241" s="9" t="str">
        <f t="shared" si="46"/>
        <v>N/A</v>
      </c>
      <c r="BF241" s="9" t="s">
        <v>308</v>
      </c>
      <c r="BG241" s="9">
        <f t="shared" si="33"/>
        <v>0</v>
      </c>
      <c r="BH241" s="9">
        <f t="shared" si="34"/>
        <v>0</v>
      </c>
      <c r="BI241" s="9">
        <f t="shared" si="35"/>
        <v>0</v>
      </c>
      <c r="BJ241" s="9">
        <f t="shared" si="36"/>
        <v>0</v>
      </c>
      <c r="BK241" s="9">
        <f t="shared" si="37"/>
        <v>1</v>
      </c>
      <c r="BL241" s="9">
        <f t="shared" si="38"/>
        <v>0</v>
      </c>
      <c r="BM241" s="9">
        <f t="shared" si="39"/>
        <v>1</v>
      </c>
      <c r="BN241" s="9" t="s">
        <v>108</v>
      </c>
      <c r="BO241" s="11">
        <f t="shared" si="40"/>
        <v>3</v>
      </c>
    </row>
    <row r="242" ht="22.5" customHeight="1">
      <c r="A242" s="9">
        <f t="shared" si="41"/>
        <v>241</v>
      </c>
      <c r="B242" s="10">
        <v>46052.40583659722</v>
      </c>
      <c r="C242" s="9" t="s">
        <v>90</v>
      </c>
      <c r="D242" s="9">
        <f t="shared" si="1"/>
        <v>2</v>
      </c>
      <c r="E242" s="9" t="s">
        <v>68</v>
      </c>
      <c r="F242" s="9">
        <f t="shared" si="2"/>
        <v>1</v>
      </c>
      <c r="G242" s="9" t="s">
        <v>69</v>
      </c>
      <c r="H242" s="9" t="str">
        <f t="shared" si="3"/>
        <v>Rural</v>
      </c>
      <c r="I242" s="9">
        <f t="shared" si="4"/>
        <v>1</v>
      </c>
      <c r="J242" s="9" t="s">
        <v>70</v>
      </c>
      <c r="K242" s="9" t="s">
        <v>100</v>
      </c>
      <c r="L242" s="9">
        <f t="shared" si="5"/>
        <v>3</v>
      </c>
      <c r="M242" s="9" t="s">
        <v>101</v>
      </c>
      <c r="N242" s="9">
        <f t="shared" si="6"/>
        <v>2</v>
      </c>
      <c r="O242" s="9" t="s">
        <v>73</v>
      </c>
      <c r="P242" s="9">
        <f t="shared" si="7"/>
        <v>2</v>
      </c>
      <c r="Q242" s="9" t="s">
        <v>85</v>
      </c>
      <c r="R242" s="9">
        <f t="shared" si="8"/>
        <v>4</v>
      </c>
      <c r="S242" s="9" t="s">
        <v>73</v>
      </c>
      <c r="T242" s="9">
        <f t="shared" si="9"/>
        <v>2</v>
      </c>
      <c r="U242" s="9" t="s">
        <v>74</v>
      </c>
      <c r="V242" s="9">
        <f t="shared" si="10"/>
        <v>1.5</v>
      </c>
      <c r="W242" s="9" t="s">
        <v>309</v>
      </c>
      <c r="X242" s="9">
        <f t="shared" si="11"/>
        <v>0</v>
      </c>
      <c r="Y242" s="9">
        <f t="shared" si="12"/>
        <v>0</v>
      </c>
      <c r="Z242" s="9">
        <f t="shared" si="13"/>
        <v>0</v>
      </c>
      <c r="AA242" s="9">
        <f t="shared" si="14"/>
        <v>0</v>
      </c>
      <c r="AB242" s="9" t="s">
        <v>85</v>
      </c>
      <c r="AC242" s="9">
        <f t="shared" si="15"/>
        <v>4</v>
      </c>
      <c r="AD242" s="9" t="s">
        <v>73</v>
      </c>
      <c r="AE242" s="9">
        <f t="shared" si="16"/>
        <v>2</v>
      </c>
      <c r="AF242" s="9" t="s">
        <v>71</v>
      </c>
      <c r="AG242" s="9">
        <f t="shared" si="17"/>
        <v>7.7</v>
      </c>
      <c r="AH242" s="9" t="s">
        <v>85</v>
      </c>
      <c r="AI242" s="9">
        <f t="shared" si="18"/>
        <v>4</v>
      </c>
      <c r="AJ242" s="9" t="s">
        <v>85</v>
      </c>
      <c r="AK242" s="9">
        <f t="shared" si="19"/>
        <v>4</v>
      </c>
      <c r="AL242" s="9" t="s">
        <v>78</v>
      </c>
      <c r="AM242" s="9">
        <f t="shared" si="20"/>
        <v>3</v>
      </c>
      <c r="AN242" s="9" t="s">
        <v>85</v>
      </c>
      <c r="AO242" s="9">
        <f t="shared" si="21"/>
        <v>4</v>
      </c>
      <c r="AP242" s="9" t="s">
        <v>85</v>
      </c>
      <c r="AQ242" s="9">
        <f t="shared" si="22"/>
        <v>4</v>
      </c>
      <c r="AR242" s="9" t="s">
        <v>85</v>
      </c>
      <c r="AS242" s="9">
        <f t="shared" si="23"/>
        <v>4</v>
      </c>
      <c r="AT242" s="9" t="s">
        <v>310</v>
      </c>
      <c r="AU242" s="9">
        <f t="shared" si="24"/>
        <v>1</v>
      </c>
      <c r="AV242" s="9">
        <f t="shared" si="25"/>
        <v>1</v>
      </c>
      <c r="AW242" s="9">
        <f t="shared" si="26"/>
        <v>0</v>
      </c>
      <c r="AX242" s="9">
        <f t="shared" si="27"/>
        <v>1</v>
      </c>
      <c r="AY242" s="9">
        <f t="shared" si="28"/>
        <v>1</v>
      </c>
      <c r="AZ242" s="9">
        <f t="shared" si="29"/>
        <v>1</v>
      </c>
      <c r="BA242" s="9">
        <f t="shared" si="30"/>
        <v>0</v>
      </c>
      <c r="BB242" s="9" t="s">
        <v>88</v>
      </c>
      <c r="BC242" s="9">
        <f t="shared" si="31"/>
        <v>2</v>
      </c>
      <c r="BD242" s="12"/>
      <c r="BE242" s="9" t="str">
        <f t="shared" si="46"/>
        <v>N/A</v>
      </c>
      <c r="BF242" s="9" t="s">
        <v>249</v>
      </c>
      <c r="BG242" s="9">
        <f t="shared" si="33"/>
        <v>1</v>
      </c>
      <c r="BH242" s="9">
        <f t="shared" si="34"/>
        <v>0</v>
      </c>
      <c r="BI242" s="9">
        <f t="shared" si="35"/>
        <v>1</v>
      </c>
      <c r="BJ242" s="9">
        <f t="shared" si="36"/>
        <v>0</v>
      </c>
      <c r="BK242" s="9">
        <f t="shared" si="37"/>
        <v>0</v>
      </c>
      <c r="BL242" s="9">
        <f t="shared" si="38"/>
        <v>0</v>
      </c>
      <c r="BM242" s="9">
        <f t="shared" si="39"/>
        <v>1</v>
      </c>
      <c r="BN242" s="9" t="s">
        <v>108</v>
      </c>
      <c r="BO242" s="11">
        <f t="shared" si="40"/>
        <v>3</v>
      </c>
    </row>
    <row r="243" ht="22.5" customHeight="1">
      <c r="A243" s="9">
        <f t="shared" si="41"/>
        <v>242</v>
      </c>
      <c r="B243" s="10">
        <v>46052.43381505787</v>
      </c>
      <c r="C243" s="9" t="s">
        <v>67</v>
      </c>
      <c r="D243" s="9">
        <f t="shared" si="1"/>
        <v>1</v>
      </c>
      <c r="E243" s="9" t="s">
        <v>68</v>
      </c>
      <c r="F243" s="9">
        <f t="shared" si="2"/>
        <v>1</v>
      </c>
      <c r="G243" s="9" t="s">
        <v>82</v>
      </c>
      <c r="H243" s="9" t="str">
        <f t="shared" si="3"/>
        <v>Urban</v>
      </c>
      <c r="I243" s="9">
        <f t="shared" si="4"/>
        <v>2</v>
      </c>
      <c r="J243" s="9" t="s">
        <v>83</v>
      </c>
      <c r="K243" s="9" t="s">
        <v>84</v>
      </c>
      <c r="L243" s="9">
        <f t="shared" si="5"/>
        <v>2</v>
      </c>
      <c r="M243" s="9" t="s">
        <v>109</v>
      </c>
      <c r="N243" s="9">
        <f t="shared" si="6"/>
        <v>9</v>
      </c>
      <c r="O243" s="12"/>
      <c r="P243" s="9" t="str">
        <f t="shared" si="7"/>
        <v>N/A</v>
      </c>
      <c r="Q243" s="12"/>
      <c r="R243" s="9" t="str">
        <f t="shared" si="8"/>
        <v>N/A</v>
      </c>
      <c r="S243" s="9" t="s">
        <v>103</v>
      </c>
      <c r="T243" s="9">
        <f t="shared" si="9"/>
        <v>5</v>
      </c>
      <c r="U243" s="9" t="s">
        <v>96</v>
      </c>
      <c r="V243" s="9">
        <f t="shared" si="10"/>
        <v>2.5</v>
      </c>
      <c r="W243" s="9" t="s">
        <v>93</v>
      </c>
      <c r="X243" s="9">
        <f t="shared" si="11"/>
        <v>0</v>
      </c>
      <c r="Y243" s="9">
        <f t="shared" si="12"/>
        <v>1</v>
      </c>
      <c r="Z243" s="9">
        <f t="shared" si="13"/>
        <v>0</v>
      </c>
      <c r="AA243" s="9">
        <f t="shared" si="14"/>
        <v>0</v>
      </c>
      <c r="AB243" s="12"/>
      <c r="AC243" s="9" t="str">
        <f t="shared" si="15"/>
        <v>N/A</v>
      </c>
      <c r="AD243" s="9" t="s">
        <v>103</v>
      </c>
      <c r="AE243" s="9">
        <f t="shared" si="16"/>
        <v>5</v>
      </c>
      <c r="AF243" s="9" t="s">
        <v>76</v>
      </c>
      <c r="AG243" s="9">
        <f t="shared" si="17"/>
        <v>5.5</v>
      </c>
      <c r="AH243" s="9" t="s">
        <v>78</v>
      </c>
      <c r="AI243" s="9">
        <f t="shared" si="18"/>
        <v>3</v>
      </c>
      <c r="AJ243" s="9" t="s">
        <v>77</v>
      </c>
      <c r="AK243" s="9">
        <f t="shared" si="19"/>
        <v>1</v>
      </c>
      <c r="AL243" s="9" t="s">
        <v>78</v>
      </c>
      <c r="AM243" s="9">
        <f t="shared" si="20"/>
        <v>3</v>
      </c>
      <c r="AN243" s="9" t="s">
        <v>85</v>
      </c>
      <c r="AO243" s="9">
        <f t="shared" si="21"/>
        <v>4</v>
      </c>
      <c r="AP243" s="9" t="s">
        <v>120</v>
      </c>
      <c r="AQ243" s="9">
        <f t="shared" si="22"/>
        <v>5</v>
      </c>
      <c r="AR243" s="9" t="s">
        <v>120</v>
      </c>
      <c r="AS243" s="9">
        <f t="shared" si="23"/>
        <v>5</v>
      </c>
      <c r="AT243" s="9" t="s">
        <v>147</v>
      </c>
      <c r="AU243" s="9">
        <f t="shared" si="24"/>
        <v>1</v>
      </c>
      <c r="AV243" s="9">
        <f t="shared" si="25"/>
        <v>0</v>
      </c>
      <c r="AW243" s="9">
        <f t="shared" si="26"/>
        <v>0</v>
      </c>
      <c r="AX243" s="9">
        <f t="shared" si="27"/>
        <v>0</v>
      </c>
      <c r="AY243" s="9">
        <f t="shared" si="28"/>
        <v>0</v>
      </c>
      <c r="AZ243" s="9">
        <f t="shared" si="29"/>
        <v>0</v>
      </c>
      <c r="BA243" s="9">
        <f t="shared" si="30"/>
        <v>0</v>
      </c>
      <c r="BB243" s="9" t="s">
        <v>88</v>
      </c>
      <c r="BC243" s="9">
        <f t="shared" si="31"/>
        <v>2</v>
      </c>
      <c r="BD243" s="12"/>
      <c r="BE243" s="9" t="str">
        <f t="shared" si="46"/>
        <v>N/A</v>
      </c>
      <c r="BF243" s="9" t="s">
        <v>119</v>
      </c>
      <c r="BG243" s="9">
        <f t="shared" si="33"/>
        <v>1</v>
      </c>
      <c r="BH243" s="9">
        <f t="shared" si="34"/>
        <v>0</v>
      </c>
      <c r="BI243" s="9">
        <f t="shared" si="35"/>
        <v>0</v>
      </c>
      <c r="BJ243" s="9">
        <f t="shared" si="36"/>
        <v>0</v>
      </c>
      <c r="BK243" s="9">
        <f t="shared" si="37"/>
        <v>0</v>
      </c>
      <c r="BL243" s="9">
        <f t="shared" si="38"/>
        <v>0</v>
      </c>
      <c r="BM243" s="9">
        <f t="shared" si="39"/>
        <v>1</v>
      </c>
      <c r="BN243" s="9" t="s">
        <v>88</v>
      </c>
      <c r="BO243" s="11">
        <f t="shared" si="40"/>
        <v>2</v>
      </c>
    </row>
    <row r="244" ht="22.5" customHeight="1">
      <c r="A244" s="9">
        <f t="shared" si="41"/>
        <v>243</v>
      </c>
      <c r="B244" s="10">
        <v>46052.43852087963</v>
      </c>
      <c r="C244" s="9" t="s">
        <v>67</v>
      </c>
      <c r="D244" s="9">
        <f t="shared" si="1"/>
        <v>1</v>
      </c>
      <c r="E244" s="9" t="s">
        <v>68</v>
      </c>
      <c r="F244" s="9">
        <f t="shared" si="2"/>
        <v>1</v>
      </c>
      <c r="G244" s="9" t="s">
        <v>91</v>
      </c>
      <c r="H244" s="9" t="str">
        <f t="shared" si="3"/>
        <v>Urban</v>
      </c>
      <c r="I244" s="9">
        <f t="shared" si="4"/>
        <v>2</v>
      </c>
      <c r="J244" s="9" t="s">
        <v>145</v>
      </c>
      <c r="K244" s="9" t="s">
        <v>146</v>
      </c>
      <c r="L244" s="9">
        <f t="shared" si="5"/>
        <v>1</v>
      </c>
      <c r="M244" s="9" t="s">
        <v>76</v>
      </c>
      <c r="N244" s="9">
        <f t="shared" si="6"/>
        <v>5.5</v>
      </c>
      <c r="O244" s="9" t="s">
        <v>85</v>
      </c>
      <c r="P244" s="9">
        <f t="shared" si="7"/>
        <v>4</v>
      </c>
      <c r="Q244" s="9" t="s">
        <v>85</v>
      </c>
      <c r="R244" s="9">
        <f t="shared" si="8"/>
        <v>4</v>
      </c>
      <c r="S244" s="9" t="s">
        <v>78</v>
      </c>
      <c r="T244" s="9">
        <f t="shared" si="9"/>
        <v>3</v>
      </c>
      <c r="U244" s="9" t="s">
        <v>110</v>
      </c>
      <c r="V244" s="9">
        <f t="shared" si="10"/>
        <v>0.75</v>
      </c>
      <c r="W244" s="9" t="s">
        <v>311</v>
      </c>
      <c r="X244" s="9">
        <f t="shared" si="11"/>
        <v>1</v>
      </c>
      <c r="Y244" s="9">
        <f t="shared" si="12"/>
        <v>0</v>
      </c>
      <c r="Z244" s="9">
        <f t="shared" si="13"/>
        <v>0</v>
      </c>
      <c r="AA244" s="9">
        <f t="shared" si="14"/>
        <v>1</v>
      </c>
      <c r="AB244" s="9" t="s">
        <v>85</v>
      </c>
      <c r="AC244" s="9">
        <f t="shared" si="15"/>
        <v>4</v>
      </c>
      <c r="AD244" s="9" t="s">
        <v>78</v>
      </c>
      <c r="AE244" s="9">
        <f t="shared" si="16"/>
        <v>3</v>
      </c>
      <c r="AF244" s="9" t="s">
        <v>76</v>
      </c>
      <c r="AG244" s="9">
        <f t="shared" si="17"/>
        <v>5.5</v>
      </c>
      <c r="AH244" s="9" t="s">
        <v>85</v>
      </c>
      <c r="AI244" s="9">
        <f t="shared" si="18"/>
        <v>4</v>
      </c>
      <c r="AJ244" s="9" t="s">
        <v>85</v>
      </c>
      <c r="AK244" s="9">
        <f t="shared" si="19"/>
        <v>4</v>
      </c>
      <c r="AL244" s="9" t="s">
        <v>85</v>
      </c>
      <c r="AM244" s="9">
        <f t="shared" si="20"/>
        <v>4</v>
      </c>
      <c r="AN244" s="9" t="s">
        <v>85</v>
      </c>
      <c r="AO244" s="9">
        <f t="shared" si="21"/>
        <v>4</v>
      </c>
      <c r="AP244" s="9" t="s">
        <v>85</v>
      </c>
      <c r="AQ244" s="9">
        <f t="shared" si="22"/>
        <v>4</v>
      </c>
      <c r="AR244" s="9" t="s">
        <v>85</v>
      </c>
      <c r="AS244" s="9">
        <f t="shared" si="23"/>
        <v>4</v>
      </c>
      <c r="AT244" s="9" t="s">
        <v>104</v>
      </c>
      <c r="AU244" s="9">
        <f t="shared" si="24"/>
        <v>1</v>
      </c>
      <c r="AV244" s="9">
        <f t="shared" si="25"/>
        <v>1</v>
      </c>
      <c r="AW244" s="9">
        <f t="shared" si="26"/>
        <v>1</v>
      </c>
      <c r="AX244" s="9">
        <f t="shared" si="27"/>
        <v>1</v>
      </c>
      <c r="AY244" s="9">
        <f t="shared" si="28"/>
        <v>1</v>
      </c>
      <c r="AZ244" s="9">
        <f t="shared" si="29"/>
        <v>1</v>
      </c>
      <c r="BA244" s="9">
        <f t="shared" si="30"/>
        <v>1</v>
      </c>
      <c r="BB244" s="9" t="s">
        <v>68</v>
      </c>
      <c r="BC244" s="9">
        <f t="shared" si="31"/>
        <v>1</v>
      </c>
      <c r="BD244" s="9" t="s">
        <v>177</v>
      </c>
      <c r="BE244" s="9" t="str">
        <f t="shared" si="46"/>
        <v>Sleep tracker app</v>
      </c>
      <c r="BF244" s="9" t="s">
        <v>89</v>
      </c>
      <c r="BG244" s="9">
        <f t="shared" si="33"/>
        <v>1</v>
      </c>
      <c r="BH244" s="9">
        <f t="shared" si="34"/>
        <v>1</v>
      </c>
      <c r="BI244" s="9">
        <f t="shared" si="35"/>
        <v>1</v>
      </c>
      <c r="BJ244" s="9">
        <f t="shared" si="36"/>
        <v>1</v>
      </c>
      <c r="BK244" s="9">
        <f t="shared" si="37"/>
        <v>1</v>
      </c>
      <c r="BL244" s="9">
        <f t="shared" si="38"/>
        <v>1</v>
      </c>
      <c r="BM244" s="9">
        <f t="shared" si="39"/>
        <v>1</v>
      </c>
      <c r="BN244" s="9" t="s">
        <v>68</v>
      </c>
      <c r="BO244" s="11">
        <f t="shared" si="40"/>
        <v>1</v>
      </c>
    </row>
    <row r="245" ht="22.5" customHeight="1">
      <c r="A245" s="9">
        <f t="shared" si="41"/>
        <v>244</v>
      </c>
      <c r="B245" s="10">
        <v>46052.44040424768</v>
      </c>
      <c r="C245" s="9" t="s">
        <v>67</v>
      </c>
      <c r="D245" s="9">
        <f t="shared" si="1"/>
        <v>1</v>
      </c>
      <c r="E245" s="9" t="s">
        <v>68</v>
      </c>
      <c r="F245" s="9">
        <f t="shared" si="2"/>
        <v>1</v>
      </c>
      <c r="G245" s="9" t="s">
        <v>82</v>
      </c>
      <c r="H245" s="9" t="str">
        <f t="shared" si="3"/>
        <v>Urban</v>
      </c>
      <c r="I245" s="9">
        <f t="shared" si="4"/>
        <v>2</v>
      </c>
      <c r="J245" s="9" t="s">
        <v>145</v>
      </c>
      <c r="K245" s="9" t="s">
        <v>146</v>
      </c>
      <c r="L245" s="9">
        <f t="shared" si="5"/>
        <v>1</v>
      </c>
      <c r="M245" s="9" t="s">
        <v>109</v>
      </c>
      <c r="N245" s="9">
        <f t="shared" si="6"/>
        <v>9</v>
      </c>
      <c r="O245" s="9" t="s">
        <v>85</v>
      </c>
      <c r="P245" s="9">
        <f t="shared" si="7"/>
        <v>4</v>
      </c>
      <c r="Q245" s="9" t="s">
        <v>85</v>
      </c>
      <c r="R245" s="9">
        <f t="shared" si="8"/>
        <v>4</v>
      </c>
      <c r="S245" s="9" t="s">
        <v>85</v>
      </c>
      <c r="T245" s="9">
        <f t="shared" si="9"/>
        <v>4</v>
      </c>
      <c r="U245" s="9" t="s">
        <v>110</v>
      </c>
      <c r="V245" s="9">
        <f t="shared" si="10"/>
        <v>0.75</v>
      </c>
      <c r="W245" s="9" t="s">
        <v>93</v>
      </c>
      <c r="X245" s="9">
        <f t="shared" si="11"/>
        <v>0</v>
      </c>
      <c r="Y245" s="9">
        <f t="shared" si="12"/>
        <v>1</v>
      </c>
      <c r="Z245" s="9">
        <f t="shared" si="13"/>
        <v>0</v>
      </c>
      <c r="AA245" s="9">
        <f t="shared" si="14"/>
        <v>0</v>
      </c>
      <c r="AB245" s="9" t="s">
        <v>85</v>
      </c>
      <c r="AC245" s="9">
        <f t="shared" si="15"/>
        <v>4</v>
      </c>
      <c r="AD245" s="9" t="s">
        <v>85</v>
      </c>
      <c r="AE245" s="9">
        <f t="shared" si="16"/>
        <v>4</v>
      </c>
      <c r="AF245" s="9" t="s">
        <v>71</v>
      </c>
      <c r="AG245" s="9">
        <f t="shared" si="17"/>
        <v>7.7</v>
      </c>
      <c r="AH245" s="9" t="s">
        <v>85</v>
      </c>
      <c r="AI245" s="9">
        <f t="shared" si="18"/>
        <v>4</v>
      </c>
      <c r="AJ245" s="9" t="s">
        <v>85</v>
      </c>
      <c r="AK245" s="9">
        <f t="shared" si="19"/>
        <v>4</v>
      </c>
      <c r="AL245" s="9" t="s">
        <v>85</v>
      </c>
      <c r="AM245" s="9">
        <f t="shared" si="20"/>
        <v>4</v>
      </c>
      <c r="AN245" s="9" t="s">
        <v>85</v>
      </c>
      <c r="AO245" s="9">
        <f t="shared" si="21"/>
        <v>4</v>
      </c>
      <c r="AP245" s="9" t="s">
        <v>85</v>
      </c>
      <c r="AQ245" s="9">
        <f t="shared" si="22"/>
        <v>4</v>
      </c>
      <c r="AR245" s="9" t="s">
        <v>85</v>
      </c>
      <c r="AS245" s="9">
        <f t="shared" si="23"/>
        <v>4</v>
      </c>
      <c r="AT245" s="9" t="s">
        <v>133</v>
      </c>
      <c r="AU245" s="9">
        <f t="shared" si="24"/>
        <v>0</v>
      </c>
      <c r="AV245" s="9">
        <f t="shared" si="25"/>
        <v>1</v>
      </c>
      <c r="AW245" s="9">
        <f t="shared" si="26"/>
        <v>0</v>
      </c>
      <c r="AX245" s="9">
        <f t="shared" si="27"/>
        <v>0</v>
      </c>
      <c r="AY245" s="9">
        <f t="shared" si="28"/>
        <v>0</v>
      </c>
      <c r="AZ245" s="9">
        <f t="shared" si="29"/>
        <v>0</v>
      </c>
      <c r="BA245" s="9">
        <f t="shared" si="30"/>
        <v>0</v>
      </c>
      <c r="BB245" s="9" t="s">
        <v>88</v>
      </c>
      <c r="BC245" s="9">
        <f t="shared" si="31"/>
        <v>2</v>
      </c>
      <c r="BD245" s="12"/>
      <c r="BE245" s="9" t="str">
        <f t="shared" si="46"/>
        <v>N/A</v>
      </c>
      <c r="BF245" s="9" t="s">
        <v>113</v>
      </c>
      <c r="BG245" s="9">
        <f t="shared" si="33"/>
        <v>0</v>
      </c>
      <c r="BH245" s="9">
        <f t="shared" si="34"/>
        <v>0</v>
      </c>
      <c r="BI245" s="9">
        <f t="shared" si="35"/>
        <v>0</v>
      </c>
      <c r="BJ245" s="9">
        <f t="shared" si="36"/>
        <v>0</v>
      </c>
      <c r="BK245" s="9">
        <f t="shared" si="37"/>
        <v>0</v>
      </c>
      <c r="BL245" s="9">
        <f t="shared" si="38"/>
        <v>0</v>
      </c>
      <c r="BM245" s="9">
        <f t="shared" si="39"/>
        <v>1</v>
      </c>
      <c r="BN245" s="9" t="s">
        <v>68</v>
      </c>
      <c r="BO245" s="11">
        <f t="shared" si="40"/>
        <v>1</v>
      </c>
    </row>
    <row r="246" ht="22.5" customHeight="1">
      <c r="A246" s="9">
        <f t="shared" si="41"/>
        <v>245</v>
      </c>
      <c r="B246" s="10">
        <v>46052.44348122685</v>
      </c>
      <c r="C246" s="9" t="s">
        <v>90</v>
      </c>
      <c r="D246" s="9">
        <f t="shared" si="1"/>
        <v>2</v>
      </c>
      <c r="E246" s="9" t="s">
        <v>68</v>
      </c>
      <c r="F246" s="9">
        <f t="shared" si="2"/>
        <v>1</v>
      </c>
      <c r="G246" s="9" t="s">
        <v>91</v>
      </c>
      <c r="H246" s="9" t="str">
        <f t="shared" si="3"/>
        <v>Urban</v>
      </c>
      <c r="I246" s="9">
        <f t="shared" si="4"/>
        <v>2</v>
      </c>
      <c r="J246" s="9" t="s">
        <v>70</v>
      </c>
      <c r="K246" s="9" t="s">
        <v>100</v>
      </c>
      <c r="L246" s="9">
        <f t="shared" si="5"/>
        <v>3</v>
      </c>
      <c r="M246" s="9" t="s">
        <v>101</v>
      </c>
      <c r="N246" s="9">
        <f t="shared" si="6"/>
        <v>2</v>
      </c>
      <c r="O246" s="9" t="s">
        <v>73</v>
      </c>
      <c r="P246" s="9">
        <f t="shared" si="7"/>
        <v>2</v>
      </c>
      <c r="Q246" s="9" t="s">
        <v>85</v>
      </c>
      <c r="R246" s="9">
        <f t="shared" si="8"/>
        <v>4</v>
      </c>
      <c r="S246" s="9" t="s">
        <v>73</v>
      </c>
      <c r="T246" s="9">
        <f t="shared" si="9"/>
        <v>2</v>
      </c>
      <c r="U246" s="9" t="s">
        <v>110</v>
      </c>
      <c r="V246" s="9">
        <f t="shared" si="10"/>
        <v>0.75</v>
      </c>
      <c r="W246" s="9" t="s">
        <v>97</v>
      </c>
      <c r="X246" s="9">
        <f t="shared" si="11"/>
        <v>1</v>
      </c>
      <c r="Y246" s="9">
        <f t="shared" si="12"/>
        <v>0</v>
      </c>
      <c r="Z246" s="9">
        <f t="shared" si="13"/>
        <v>1</v>
      </c>
      <c r="AA246" s="9">
        <f t="shared" si="14"/>
        <v>0</v>
      </c>
      <c r="AB246" s="9" t="s">
        <v>78</v>
      </c>
      <c r="AC246" s="9">
        <f t="shared" si="15"/>
        <v>3</v>
      </c>
      <c r="AD246" s="9" t="s">
        <v>85</v>
      </c>
      <c r="AE246" s="9">
        <f t="shared" si="16"/>
        <v>4</v>
      </c>
      <c r="AF246" s="9" t="s">
        <v>71</v>
      </c>
      <c r="AG246" s="9">
        <f t="shared" si="17"/>
        <v>7.7</v>
      </c>
      <c r="AH246" s="9" t="s">
        <v>85</v>
      </c>
      <c r="AI246" s="9">
        <f t="shared" si="18"/>
        <v>4</v>
      </c>
      <c r="AJ246" s="9" t="s">
        <v>85</v>
      </c>
      <c r="AK246" s="9">
        <f t="shared" si="19"/>
        <v>4</v>
      </c>
      <c r="AL246" s="9" t="s">
        <v>85</v>
      </c>
      <c r="AM246" s="9">
        <f t="shared" si="20"/>
        <v>4</v>
      </c>
      <c r="AN246" s="9" t="s">
        <v>85</v>
      </c>
      <c r="AO246" s="9">
        <f t="shared" si="21"/>
        <v>4</v>
      </c>
      <c r="AP246" s="9" t="s">
        <v>85</v>
      </c>
      <c r="AQ246" s="9">
        <f t="shared" si="22"/>
        <v>4</v>
      </c>
      <c r="AR246" s="9" t="s">
        <v>85</v>
      </c>
      <c r="AS246" s="9">
        <f t="shared" si="23"/>
        <v>4</v>
      </c>
      <c r="AT246" s="9" t="s">
        <v>239</v>
      </c>
      <c r="AU246" s="9">
        <f t="shared" si="24"/>
        <v>1</v>
      </c>
      <c r="AV246" s="9">
        <f t="shared" si="25"/>
        <v>1</v>
      </c>
      <c r="AW246" s="9">
        <f t="shared" si="26"/>
        <v>0</v>
      </c>
      <c r="AX246" s="9">
        <f t="shared" si="27"/>
        <v>0</v>
      </c>
      <c r="AY246" s="9">
        <f t="shared" si="28"/>
        <v>0</v>
      </c>
      <c r="AZ246" s="9">
        <f t="shared" si="29"/>
        <v>1</v>
      </c>
      <c r="BA246" s="9">
        <f t="shared" si="30"/>
        <v>1</v>
      </c>
      <c r="BB246" s="9" t="s">
        <v>88</v>
      </c>
      <c r="BC246" s="9">
        <f t="shared" si="31"/>
        <v>2</v>
      </c>
      <c r="BD246" s="12"/>
      <c r="BE246" s="9" t="str">
        <f t="shared" si="46"/>
        <v>N/A</v>
      </c>
      <c r="BF246" s="9" t="s">
        <v>135</v>
      </c>
      <c r="BG246" s="9">
        <f t="shared" si="33"/>
        <v>1</v>
      </c>
      <c r="BH246" s="9">
        <f t="shared" si="34"/>
        <v>0</v>
      </c>
      <c r="BI246" s="9">
        <f t="shared" si="35"/>
        <v>0</v>
      </c>
      <c r="BJ246" s="9">
        <f t="shared" si="36"/>
        <v>1</v>
      </c>
      <c r="BK246" s="9">
        <f t="shared" si="37"/>
        <v>0</v>
      </c>
      <c r="BL246" s="9">
        <f t="shared" si="38"/>
        <v>1</v>
      </c>
      <c r="BM246" s="9">
        <f t="shared" si="39"/>
        <v>0</v>
      </c>
      <c r="BN246" s="9" t="s">
        <v>68</v>
      </c>
      <c r="BO246" s="11">
        <f t="shared" si="40"/>
        <v>1</v>
      </c>
    </row>
    <row r="247" ht="22.5" customHeight="1">
      <c r="A247" s="9">
        <f t="shared" si="41"/>
        <v>246</v>
      </c>
      <c r="B247" s="10">
        <v>46052.487008634256</v>
      </c>
      <c r="C247" s="9" t="s">
        <v>67</v>
      </c>
      <c r="D247" s="9">
        <f t="shared" si="1"/>
        <v>1</v>
      </c>
      <c r="E247" s="9" t="s">
        <v>68</v>
      </c>
      <c r="F247" s="9">
        <f t="shared" si="2"/>
        <v>1</v>
      </c>
      <c r="G247" s="9" t="s">
        <v>69</v>
      </c>
      <c r="H247" s="9" t="str">
        <f t="shared" si="3"/>
        <v>Rural</v>
      </c>
      <c r="I247" s="9">
        <f t="shared" si="4"/>
        <v>1</v>
      </c>
      <c r="J247" s="9" t="s">
        <v>145</v>
      </c>
      <c r="K247" s="9" t="s">
        <v>146</v>
      </c>
      <c r="L247" s="9">
        <f t="shared" si="5"/>
        <v>1</v>
      </c>
      <c r="M247" s="9" t="s">
        <v>76</v>
      </c>
      <c r="N247" s="9">
        <f t="shared" si="6"/>
        <v>5.5</v>
      </c>
      <c r="O247" s="9" t="s">
        <v>78</v>
      </c>
      <c r="P247" s="9">
        <f t="shared" si="7"/>
        <v>3</v>
      </c>
      <c r="Q247" s="9" t="s">
        <v>78</v>
      </c>
      <c r="R247" s="9">
        <f t="shared" si="8"/>
        <v>3</v>
      </c>
      <c r="S247" s="9" t="s">
        <v>73</v>
      </c>
      <c r="T247" s="9">
        <f t="shared" si="9"/>
        <v>2</v>
      </c>
      <c r="U247" s="9" t="s">
        <v>92</v>
      </c>
      <c r="V247" s="9">
        <f t="shared" si="10"/>
        <v>3.5</v>
      </c>
      <c r="W247" s="9" t="s">
        <v>143</v>
      </c>
      <c r="X247" s="9">
        <f t="shared" si="11"/>
        <v>1</v>
      </c>
      <c r="Y247" s="9">
        <f t="shared" si="12"/>
        <v>0</v>
      </c>
      <c r="Z247" s="9">
        <f t="shared" si="13"/>
        <v>0</v>
      </c>
      <c r="AA247" s="9">
        <f t="shared" si="14"/>
        <v>0</v>
      </c>
      <c r="AB247" s="9" t="s">
        <v>73</v>
      </c>
      <c r="AC247" s="9">
        <f t="shared" si="15"/>
        <v>2</v>
      </c>
      <c r="AD247" s="9" t="s">
        <v>73</v>
      </c>
      <c r="AE247" s="9">
        <f t="shared" si="16"/>
        <v>2</v>
      </c>
      <c r="AF247" s="9" t="s">
        <v>101</v>
      </c>
      <c r="AG247" s="9">
        <f t="shared" si="17"/>
        <v>2</v>
      </c>
      <c r="AH247" s="9" t="s">
        <v>85</v>
      </c>
      <c r="AI247" s="9">
        <f t="shared" si="18"/>
        <v>4</v>
      </c>
      <c r="AJ247" s="9" t="s">
        <v>73</v>
      </c>
      <c r="AK247" s="9">
        <f t="shared" si="19"/>
        <v>2</v>
      </c>
      <c r="AL247" s="9" t="s">
        <v>73</v>
      </c>
      <c r="AM247" s="9">
        <f t="shared" si="20"/>
        <v>2</v>
      </c>
      <c r="AN247" s="9" t="s">
        <v>85</v>
      </c>
      <c r="AO247" s="9">
        <f t="shared" si="21"/>
        <v>4</v>
      </c>
      <c r="AP247" s="9" t="s">
        <v>78</v>
      </c>
      <c r="AQ247" s="9">
        <f t="shared" si="22"/>
        <v>3</v>
      </c>
      <c r="AR247" s="9" t="s">
        <v>85</v>
      </c>
      <c r="AS247" s="9">
        <f t="shared" si="23"/>
        <v>4</v>
      </c>
      <c r="AT247" s="9" t="s">
        <v>132</v>
      </c>
      <c r="AU247" s="9">
        <f t="shared" si="24"/>
        <v>0</v>
      </c>
      <c r="AV247" s="9">
        <f t="shared" si="25"/>
        <v>0</v>
      </c>
      <c r="AW247" s="9">
        <f t="shared" si="26"/>
        <v>0</v>
      </c>
      <c r="AX247" s="9">
        <f t="shared" si="27"/>
        <v>0</v>
      </c>
      <c r="AY247" s="9">
        <f t="shared" si="28"/>
        <v>0</v>
      </c>
      <c r="AZ247" s="9">
        <f t="shared" si="29"/>
        <v>0</v>
      </c>
      <c r="BA247" s="9">
        <f t="shared" si="30"/>
        <v>1</v>
      </c>
      <c r="BB247" s="9" t="s">
        <v>88</v>
      </c>
      <c r="BC247" s="9">
        <f t="shared" si="31"/>
        <v>2</v>
      </c>
      <c r="BD247" s="12"/>
      <c r="BE247" s="9" t="str">
        <f t="shared" si="46"/>
        <v>N/A</v>
      </c>
      <c r="BF247" s="9" t="s">
        <v>107</v>
      </c>
      <c r="BG247" s="9">
        <f t="shared" si="33"/>
        <v>1</v>
      </c>
      <c r="BH247" s="9">
        <f t="shared" si="34"/>
        <v>0</v>
      </c>
      <c r="BI247" s="9">
        <f t="shared" si="35"/>
        <v>0</v>
      </c>
      <c r="BJ247" s="9">
        <f t="shared" si="36"/>
        <v>0</v>
      </c>
      <c r="BK247" s="9">
        <f t="shared" si="37"/>
        <v>0</v>
      </c>
      <c r="BL247" s="9">
        <f t="shared" si="38"/>
        <v>0</v>
      </c>
      <c r="BM247" s="9">
        <f t="shared" si="39"/>
        <v>0</v>
      </c>
      <c r="BN247" s="9" t="s">
        <v>68</v>
      </c>
      <c r="BO247" s="11">
        <f t="shared" si="40"/>
        <v>1</v>
      </c>
    </row>
    <row r="248" ht="22.5" customHeight="1">
      <c r="A248" s="9">
        <f t="shared" si="41"/>
        <v>247</v>
      </c>
      <c r="B248" s="10">
        <v>46050.68727376158</v>
      </c>
      <c r="C248" s="9" t="s">
        <v>67</v>
      </c>
      <c r="D248" s="9">
        <f t="shared" si="1"/>
        <v>1</v>
      </c>
      <c r="E248" s="12"/>
      <c r="F248" s="9" t="str">
        <f t="shared" si="2"/>
        <v>N/A</v>
      </c>
      <c r="G248" s="9" t="s">
        <v>91</v>
      </c>
      <c r="H248" s="9" t="str">
        <f t="shared" si="3"/>
        <v>Urban</v>
      </c>
      <c r="I248" s="9">
        <f t="shared" si="4"/>
        <v>2</v>
      </c>
      <c r="J248" s="9" t="s">
        <v>145</v>
      </c>
      <c r="K248" s="9" t="s">
        <v>146</v>
      </c>
      <c r="L248" s="9">
        <f t="shared" si="5"/>
        <v>1</v>
      </c>
      <c r="M248" s="9" t="s">
        <v>109</v>
      </c>
      <c r="N248" s="9">
        <f t="shared" si="6"/>
        <v>9</v>
      </c>
      <c r="O248" s="9" t="s">
        <v>78</v>
      </c>
      <c r="P248" s="9">
        <f t="shared" si="7"/>
        <v>3</v>
      </c>
      <c r="Q248" s="9" t="s">
        <v>78</v>
      </c>
      <c r="R248" s="9">
        <f t="shared" si="8"/>
        <v>3</v>
      </c>
      <c r="S248" s="9" t="s">
        <v>78</v>
      </c>
      <c r="T248" s="9">
        <f t="shared" si="9"/>
        <v>3</v>
      </c>
      <c r="U248" s="9" t="s">
        <v>74</v>
      </c>
      <c r="V248" s="9">
        <f t="shared" si="10"/>
        <v>1.5</v>
      </c>
      <c r="W248" s="9" t="s">
        <v>97</v>
      </c>
      <c r="X248" s="9">
        <f t="shared" si="11"/>
        <v>1</v>
      </c>
      <c r="Y248" s="9">
        <f t="shared" si="12"/>
        <v>0</v>
      </c>
      <c r="Z248" s="9">
        <f t="shared" si="13"/>
        <v>1</v>
      </c>
      <c r="AA248" s="9">
        <f t="shared" si="14"/>
        <v>0</v>
      </c>
      <c r="AB248" s="9" t="s">
        <v>78</v>
      </c>
      <c r="AC248" s="9">
        <f t="shared" si="15"/>
        <v>3</v>
      </c>
      <c r="AD248" s="9" t="s">
        <v>78</v>
      </c>
      <c r="AE248" s="9">
        <f t="shared" si="16"/>
        <v>3</v>
      </c>
      <c r="AF248" s="9" t="s">
        <v>71</v>
      </c>
      <c r="AG248" s="9">
        <f t="shared" si="17"/>
        <v>7.7</v>
      </c>
      <c r="AH248" s="9" t="s">
        <v>78</v>
      </c>
      <c r="AI248" s="9">
        <f t="shared" si="18"/>
        <v>3</v>
      </c>
      <c r="AJ248" s="9" t="s">
        <v>73</v>
      </c>
      <c r="AK248" s="9">
        <f t="shared" si="19"/>
        <v>2</v>
      </c>
      <c r="AL248" s="9" t="s">
        <v>73</v>
      </c>
      <c r="AM248" s="9">
        <f t="shared" si="20"/>
        <v>2</v>
      </c>
      <c r="AN248" s="9" t="s">
        <v>78</v>
      </c>
      <c r="AO248" s="9">
        <f t="shared" si="21"/>
        <v>3</v>
      </c>
      <c r="AP248" s="9" t="s">
        <v>85</v>
      </c>
      <c r="AQ248" s="9">
        <f t="shared" si="22"/>
        <v>4</v>
      </c>
      <c r="AR248" s="9" t="s">
        <v>78</v>
      </c>
      <c r="AS248" s="9">
        <f t="shared" si="23"/>
        <v>3</v>
      </c>
      <c r="AT248" s="9" t="s">
        <v>312</v>
      </c>
      <c r="AU248" s="9">
        <f t="shared" si="24"/>
        <v>0</v>
      </c>
      <c r="AV248" s="9">
        <f t="shared" si="25"/>
        <v>0</v>
      </c>
      <c r="AW248" s="9">
        <f t="shared" si="26"/>
        <v>0</v>
      </c>
      <c r="AX248" s="9">
        <f t="shared" si="27"/>
        <v>0</v>
      </c>
      <c r="AY248" s="9">
        <f t="shared" si="28"/>
        <v>1</v>
      </c>
      <c r="AZ248" s="9">
        <f t="shared" si="29"/>
        <v>0</v>
      </c>
      <c r="BA248" s="9">
        <f t="shared" si="30"/>
        <v>1</v>
      </c>
      <c r="BB248" s="9" t="s">
        <v>88</v>
      </c>
      <c r="BC248" s="9">
        <f t="shared" si="31"/>
        <v>2</v>
      </c>
      <c r="BD248" s="12"/>
      <c r="BE248" s="9" t="str">
        <f t="shared" si="46"/>
        <v>N/A</v>
      </c>
      <c r="BF248" s="9" t="s">
        <v>313</v>
      </c>
      <c r="BG248" s="9">
        <f t="shared" si="33"/>
        <v>0</v>
      </c>
      <c r="BH248" s="9">
        <f t="shared" si="34"/>
        <v>1</v>
      </c>
      <c r="BI248" s="9">
        <f t="shared" si="35"/>
        <v>0</v>
      </c>
      <c r="BJ248" s="9">
        <f t="shared" si="36"/>
        <v>1</v>
      </c>
      <c r="BK248" s="9">
        <f t="shared" si="37"/>
        <v>1</v>
      </c>
      <c r="BL248" s="9">
        <f t="shared" si="38"/>
        <v>0</v>
      </c>
      <c r="BM248" s="9">
        <f t="shared" si="39"/>
        <v>1</v>
      </c>
      <c r="BN248" s="9" t="s">
        <v>108</v>
      </c>
      <c r="BO248" s="11">
        <f t="shared" si="40"/>
        <v>3</v>
      </c>
    </row>
    <row r="249" ht="22.5" customHeight="1">
      <c r="A249" s="9">
        <f t="shared" si="41"/>
        <v>248</v>
      </c>
      <c r="B249" s="10">
        <v>46050.885572025465</v>
      </c>
      <c r="C249" s="9" t="s">
        <v>67</v>
      </c>
      <c r="D249" s="9">
        <f t="shared" si="1"/>
        <v>1</v>
      </c>
      <c r="E249" s="12"/>
      <c r="F249" s="9" t="str">
        <f t="shared" si="2"/>
        <v>N/A</v>
      </c>
      <c r="G249" s="9" t="s">
        <v>91</v>
      </c>
      <c r="H249" s="9" t="str">
        <f t="shared" si="3"/>
        <v>Urban</v>
      </c>
      <c r="I249" s="9">
        <f t="shared" si="4"/>
        <v>2</v>
      </c>
      <c r="J249" s="9" t="s">
        <v>145</v>
      </c>
      <c r="K249" s="9" t="s">
        <v>146</v>
      </c>
      <c r="L249" s="9">
        <f t="shared" si="5"/>
        <v>1</v>
      </c>
      <c r="M249" s="9" t="s">
        <v>76</v>
      </c>
      <c r="N249" s="9">
        <f t="shared" si="6"/>
        <v>5.5</v>
      </c>
      <c r="O249" s="9" t="s">
        <v>73</v>
      </c>
      <c r="P249" s="9">
        <f t="shared" si="7"/>
        <v>2</v>
      </c>
      <c r="Q249" s="9" t="s">
        <v>85</v>
      </c>
      <c r="R249" s="9">
        <f t="shared" si="8"/>
        <v>4</v>
      </c>
      <c r="S249" s="9" t="s">
        <v>72</v>
      </c>
      <c r="T249" s="9">
        <f t="shared" si="9"/>
        <v>1</v>
      </c>
      <c r="U249" s="9" t="s">
        <v>96</v>
      </c>
      <c r="V249" s="9">
        <f t="shared" si="10"/>
        <v>2.5</v>
      </c>
      <c r="W249" s="9" t="s">
        <v>122</v>
      </c>
      <c r="X249" s="9">
        <f t="shared" si="11"/>
        <v>0</v>
      </c>
      <c r="Y249" s="9">
        <f t="shared" si="12"/>
        <v>0</v>
      </c>
      <c r="Z249" s="9">
        <f t="shared" si="13"/>
        <v>1</v>
      </c>
      <c r="AA249" s="9">
        <f t="shared" si="14"/>
        <v>0</v>
      </c>
      <c r="AB249" s="9" t="s">
        <v>78</v>
      </c>
      <c r="AC249" s="9">
        <f t="shared" si="15"/>
        <v>3</v>
      </c>
      <c r="AD249" s="9" t="s">
        <v>73</v>
      </c>
      <c r="AE249" s="9">
        <f t="shared" si="16"/>
        <v>2</v>
      </c>
      <c r="AF249" s="9" t="s">
        <v>71</v>
      </c>
      <c r="AG249" s="9">
        <f t="shared" si="17"/>
        <v>7.7</v>
      </c>
      <c r="AH249" s="9" t="s">
        <v>85</v>
      </c>
      <c r="AI249" s="9">
        <f t="shared" si="18"/>
        <v>4</v>
      </c>
      <c r="AJ249" s="9" t="s">
        <v>85</v>
      </c>
      <c r="AK249" s="9">
        <f t="shared" si="19"/>
        <v>4</v>
      </c>
      <c r="AL249" s="9" t="s">
        <v>85</v>
      </c>
      <c r="AM249" s="9">
        <f t="shared" si="20"/>
        <v>4</v>
      </c>
      <c r="AN249" s="9" t="s">
        <v>73</v>
      </c>
      <c r="AO249" s="9">
        <f t="shared" si="21"/>
        <v>2</v>
      </c>
      <c r="AP249" s="9" t="s">
        <v>78</v>
      </c>
      <c r="AQ249" s="9">
        <f t="shared" si="22"/>
        <v>3</v>
      </c>
      <c r="AR249" s="9" t="s">
        <v>77</v>
      </c>
      <c r="AS249" s="9">
        <f t="shared" si="23"/>
        <v>1</v>
      </c>
      <c r="AT249" s="9" t="s">
        <v>265</v>
      </c>
      <c r="AU249" s="9">
        <f t="shared" si="24"/>
        <v>0</v>
      </c>
      <c r="AV249" s="9">
        <f t="shared" si="25"/>
        <v>0</v>
      </c>
      <c r="AW249" s="9">
        <f t="shared" si="26"/>
        <v>1</v>
      </c>
      <c r="AX249" s="9">
        <f t="shared" si="27"/>
        <v>0</v>
      </c>
      <c r="AY249" s="9">
        <f t="shared" si="28"/>
        <v>0</v>
      </c>
      <c r="AZ249" s="9">
        <f t="shared" si="29"/>
        <v>0</v>
      </c>
      <c r="BA249" s="9">
        <f t="shared" si="30"/>
        <v>0</v>
      </c>
      <c r="BB249" s="9" t="s">
        <v>88</v>
      </c>
      <c r="BC249" s="9">
        <f t="shared" si="31"/>
        <v>2</v>
      </c>
      <c r="BD249" s="12"/>
      <c r="BE249" s="9" t="str">
        <f t="shared" si="46"/>
        <v>N/A</v>
      </c>
      <c r="BF249" s="9" t="s">
        <v>142</v>
      </c>
      <c r="BG249" s="9">
        <f t="shared" si="33"/>
        <v>0</v>
      </c>
      <c r="BH249" s="9">
        <f t="shared" si="34"/>
        <v>0</v>
      </c>
      <c r="BI249" s="9">
        <f t="shared" si="35"/>
        <v>0</v>
      </c>
      <c r="BJ249" s="9">
        <f t="shared" si="36"/>
        <v>0</v>
      </c>
      <c r="BK249" s="9">
        <f t="shared" si="37"/>
        <v>1</v>
      </c>
      <c r="BL249" s="9">
        <f t="shared" si="38"/>
        <v>1</v>
      </c>
      <c r="BM249" s="9">
        <f t="shared" si="39"/>
        <v>0</v>
      </c>
      <c r="BN249" s="12"/>
      <c r="BO249" s="11" t="str">
        <f t="shared" si="40"/>
        <v>N/A</v>
      </c>
    </row>
    <row r="250" ht="22.5" customHeight="1">
      <c r="A250" s="9">
        <f t="shared" si="41"/>
        <v>249</v>
      </c>
      <c r="B250" s="10">
        <v>46051.52693987268</v>
      </c>
      <c r="C250" s="9" t="s">
        <v>67</v>
      </c>
      <c r="D250" s="9">
        <f t="shared" si="1"/>
        <v>1</v>
      </c>
      <c r="E250" s="12"/>
      <c r="F250" s="9" t="str">
        <f t="shared" si="2"/>
        <v>N/A</v>
      </c>
      <c r="G250" s="9" t="s">
        <v>82</v>
      </c>
      <c r="H250" s="9" t="str">
        <f t="shared" si="3"/>
        <v>Urban</v>
      </c>
      <c r="I250" s="9">
        <f t="shared" si="4"/>
        <v>2</v>
      </c>
      <c r="J250" s="9" t="s">
        <v>83</v>
      </c>
      <c r="K250" s="9" t="s">
        <v>84</v>
      </c>
      <c r="L250" s="9">
        <f t="shared" si="5"/>
        <v>2</v>
      </c>
      <c r="M250" s="9" t="s">
        <v>71</v>
      </c>
      <c r="N250" s="9">
        <f t="shared" si="6"/>
        <v>7.7</v>
      </c>
      <c r="O250" s="9" t="s">
        <v>78</v>
      </c>
      <c r="P250" s="9">
        <f t="shared" si="7"/>
        <v>3</v>
      </c>
      <c r="Q250" s="9" t="s">
        <v>85</v>
      </c>
      <c r="R250" s="9">
        <f t="shared" si="8"/>
        <v>4</v>
      </c>
      <c r="S250" s="9" t="s">
        <v>73</v>
      </c>
      <c r="T250" s="9">
        <f t="shared" si="9"/>
        <v>2</v>
      </c>
      <c r="U250" s="9" t="s">
        <v>74</v>
      </c>
      <c r="V250" s="9">
        <f t="shared" si="10"/>
        <v>1.5</v>
      </c>
      <c r="W250" s="9" t="s">
        <v>143</v>
      </c>
      <c r="X250" s="9">
        <f t="shared" si="11"/>
        <v>1</v>
      </c>
      <c r="Y250" s="9">
        <f t="shared" si="12"/>
        <v>0</v>
      </c>
      <c r="Z250" s="9">
        <f t="shared" si="13"/>
        <v>0</v>
      </c>
      <c r="AA250" s="9">
        <f t="shared" si="14"/>
        <v>0</v>
      </c>
      <c r="AB250" s="9" t="s">
        <v>78</v>
      </c>
      <c r="AC250" s="9">
        <f t="shared" si="15"/>
        <v>3</v>
      </c>
      <c r="AD250" s="9" t="s">
        <v>78</v>
      </c>
      <c r="AE250" s="9">
        <f t="shared" si="16"/>
        <v>3</v>
      </c>
      <c r="AF250" s="9" t="s">
        <v>109</v>
      </c>
      <c r="AG250" s="9">
        <f t="shared" si="17"/>
        <v>9</v>
      </c>
      <c r="AH250" s="9" t="s">
        <v>73</v>
      </c>
      <c r="AI250" s="9">
        <f t="shared" si="18"/>
        <v>2</v>
      </c>
      <c r="AJ250" s="9" t="s">
        <v>73</v>
      </c>
      <c r="AK250" s="9">
        <f t="shared" si="19"/>
        <v>2</v>
      </c>
      <c r="AL250" s="9" t="s">
        <v>73</v>
      </c>
      <c r="AM250" s="9">
        <f t="shared" si="20"/>
        <v>2</v>
      </c>
      <c r="AN250" s="9" t="s">
        <v>73</v>
      </c>
      <c r="AO250" s="9">
        <f t="shared" si="21"/>
        <v>2</v>
      </c>
      <c r="AP250" s="9" t="s">
        <v>78</v>
      </c>
      <c r="AQ250" s="9">
        <f t="shared" si="22"/>
        <v>3</v>
      </c>
      <c r="AR250" s="9" t="s">
        <v>78</v>
      </c>
      <c r="AS250" s="9">
        <f t="shared" si="23"/>
        <v>3</v>
      </c>
      <c r="AT250" s="9" t="s">
        <v>314</v>
      </c>
      <c r="AU250" s="9">
        <f t="shared" si="24"/>
        <v>0</v>
      </c>
      <c r="AV250" s="9">
        <f t="shared" si="25"/>
        <v>1</v>
      </c>
      <c r="AW250" s="9">
        <f t="shared" si="26"/>
        <v>1</v>
      </c>
      <c r="AX250" s="9">
        <f t="shared" si="27"/>
        <v>1</v>
      </c>
      <c r="AY250" s="9">
        <f t="shared" si="28"/>
        <v>0</v>
      </c>
      <c r="AZ250" s="9">
        <f t="shared" si="29"/>
        <v>0</v>
      </c>
      <c r="BA250" s="9">
        <f t="shared" si="30"/>
        <v>1</v>
      </c>
      <c r="BB250" s="9" t="s">
        <v>88</v>
      </c>
      <c r="BC250" s="9">
        <f t="shared" si="31"/>
        <v>2</v>
      </c>
      <c r="BD250" s="12"/>
      <c r="BE250" s="9" t="str">
        <f t="shared" si="46"/>
        <v>N/A</v>
      </c>
      <c r="BF250" s="9" t="s">
        <v>315</v>
      </c>
      <c r="BG250" s="9">
        <f t="shared" si="33"/>
        <v>0</v>
      </c>
      <c r="BH250" s="9">
        <f t="shared" si="34"/>
        <v>1</v>
      </c>
      <c r="BI250" s="9">
        <f t="shared" si="35"/>
        <v>1</v>
      </c>
      <c r="BJ250" s="9">
        <f t="shared" si="36"/>
        <v>1</v>
      </c>
      <c r="BK250" s="9">
        <f t="shared" si="37"/>
        <v>1</v>
      </c>
      <c r="BL250" s="9">
        <f t="shared" si="38"/>
        <v>0</v>
      </c>
      <c r="BM250" s="9">
        <f t="shared" si="39"/>
        <v>0</v>
      </c>
      <c r="BN250" s="9" t="s">
        <v>68</v>
      </c>
      <c r="BO250" s="11">
        <f t="shared" si="40"/>
        <v>1</v>
      </c>
    </row>
    <row r="251" ht="22.5" customHeight="1">
      <c r="A251" s="9">
        <f t="shared" si="41"/>
        <v>250</v>
      </c>
      <c r="B251" s="10">
        <v>46051.84062670139</v>
      </c>
      <c r="C251" s="12"/>
      <c r="D251" s="9" t="str">
        <f t="shared" si="1"/>
        <v>N/A</v>
      </c>
      <c r="E251" s="12"/>
      <c r="F251" s="9" t="str">
        <f t="shared" si="2"/>
        <v>N/A</v>
      </c>
      <c r="G251" s="9" t="s">
        <v>82</v>
      </c>
      <c r="H251" s="9" t="str">
        <f t="shared" si="3"/>
        <v>Urban</v>
      </c>
      <c r="I251" s="9">
        <f t="shared" si="4"/>
        <v>2</v>
      </c>
      <c r="J251" s="9" t="s">
        <v>145</v>
      </c>
      <c r="K251" s="9" t="s">
        <v>146</v>
      </c>
      <c r="L251" s="9">
        <f t="shared" si="5"/>
        <v>1</v>
      </c>
      <c r="M251" s="9" t="s">
        <v>76</v>
      </c>
      <c r="N251" s="9">
        <f t="shared" si="6"/>
        <v>5.5</v>
      </c>
      <c r="O251" s="9" t="s">
        <v>78</v>
      </c>
      <c r="P251" s="9">
        <f t="shared" si="7"/>
        <v>3</v>
      </c>
      <c r="Q251" s="9" t="s">
        <v>78</v>
      </c>
      <c r="R251" s="9">
        <f t="shared" si="8"/>
        <v>3</v>
      </c>
      <c r="S251" s="9" t="s">
        <v>73</v>
      </c>
      <c r="T251" s="9">
        <f t="shared" si="9"/>
        <v>2</v>
      </c>
      <c r="U251" s="9" t="s">
        <v>74</v>
      </c>
      <c r="V251" s="9">
        <f t="shared" si="10"/>
        <v>1.5</v>
      </c>
      <c r="W251" s="9" t="s">
        <v>105</v>
      </c>
      <c r="X251" s="9">
        <f t="shared" si="11"/>
        <v>1</v>
      </c>
      <c r="Y251" s="9">
        <f t="shared" si="12"/>
        <v>1</v>
      </c>
      <c r="Z251" s="9">
        <f t="shared" si="13"/>
        <v>0</v>
      </c>
      <c r="AA251" s="9">
        <f t="shared" si="14"/>
        <v>0</v>
      </c>
      <c r="AB251" s="9" t="s">
        <v>78</v>
      </c>
      <c r="AC251" s="9">
        <f t="shared" si="15"/>
        <v>3</v>
      </c>
      <c r="AD251" s="9" t="s">
        <v>78</v>
      </c>
      <c r="AE251" s="9">
        <f t="shared" si="16"/>
        <v>3</v>
      </c>
      <c r="AF251" s="9" t="s">
        <v>76</v>
      </c>
      <c r="AG251" s="9">
        <f t="shared" si="17"/>
        <v>5.5</v>
      </c>
      <c r="AH251" s="9" t="s">
        <v>78</v>
      </c>
      <c r="AI251" s="9">
        <f t="shared" si="18"/>
        <v>3</v>
      </c>
      <c r="AJ251" s="9" t="s">
        <v>78</v>
      </c>
      <c r="AK251" s="9">
        <f t="shared" si="19"/>
        <v>3</v>
      </c>
      <c r="AL251" s="12"/>
      <c r="AM251" s="9" t="str">
        <f t="shared" si="20"/>
        <v>N/A</v>
      </c>
      <c r="AN251" s="12"/>
      <c r="AO251" s="9" t="str">
        <f t="shared" si="21"/>
        <v>N/A</v>
      </c>
      <c r="AP251" s="12"/>
      <c r="AQ251" s="9" t="str">
        <f t="shared" si="22"/>
        <v>N/A</v>
      </c>
      <c r="AR251" s="12"/>
      <c r="AS251" s="9" t="str">
        <f t="shared" si="23"/>
        <v>N/A</v>
      </c>
      <c r="AT251" s="9" t="s">
        <v>133</v>
      </c>
      <c r="AU251" s="9">
        <f t="shared" si="24"/>
        <v>0</v>
      </c>
      <c r="AV251" s="9">
        <f t="shared" si="25"/>
        <v>1</v>
      </c>
      <c r="AW251" s="9">
        <f t="shared" si="26"/>
        <v>0</v>
      </c>
      <c r="AX251" s="9">
        <f t="shared" si="27"/>
        <v>0</v>
      </c>
      <c r="AY251" s="9">
        <f t="shared" si="28"/>
        <v>0</v>
      </c>
      <c r="AZ251" s="9">
        <f t="shared" si="29"/>
        <v>0</v>
      </c>
      <c r="BA251" s="9">
        <f t="shared" si="30"/>
        <v>0</v>
      </c>
      <c r="BB251" s="9" t="s">
        <v>88</v>
      </c>
      <c r="BC251" s="9">
        <f t="shared" si="31"/>
        <v>2</v>
      </c>
      <c r="BD251" s="12"/>
      <c r="BE251" s="9" t="str">
        <f t="shared" si="46"/>
        <v>N/A</v>
      </c>
      <c r="BF251" s="9" t="s">
        <v>113</v>
      </c>
      <c r="BG251" s="9">
        <f t="shared" si="33"/>
        <v>0</v>
      </c>
      <c r="BH251" s="9">
        <f t="shared" si="34"/>
        <v>0</v>
      </c>
      <c r="BI251" s="9">
        <f t="shared" si="35"/>
        <v>0</v>
      </c>
      <c r="BJ251" s="9">
        <f t="shared" si="36"/>
        <v>0</v>
      </c>
      <c r="BK251" s="9">
        <f t="shared" si="37"/>
        <v>0</v>
      </c>
      <c r="BL251" s="9">
        <f t="shared" si="38"/>
        <v>0</v>
      </c>
      <c r="BM251" s="9">
        <f t="shared" si="39"/>
        <v>1</v>
      </c>
      <c r="BN251" s="9" t="s">
        <v>108</v>
      </c>
      <c r="BO251" s="11">
        <f t="shared" si="40"/>
        <v>3</v>
      </c>
    </row>
    <row r="252" ht="22.5" customHeight="1">
      <c r="A252" s="9">
        <f t="shared" si="41"/>
        <v>251</v>
      </c>
      <c r="B252" s="10">
        <v>46052.401395740744</v>
      </c>
      <c r="C252" s="12"/>
      <c r="D252" s="9" t="str">
        <f t="shared" si="1"/>
        <v>N/A</v>
      </c>
      <c r="E252" s="12"/>
      <c r="F252" s="9" t="str">
        <f t="shared" si="2"/>
        <v>N/A</v>
      </c>
      <c r="G252" s="12"/>
      <c r="H252" s="9" t="str">
        <f t="shared" si="3"/>
        <v>N/A</v>
      </c>
      <c r="I252" s="9" t="str">
        <f t="shared" si="4"/>
        <v>N/A</v>
      </c>
      <c r="J252" s="12"/>
      <c r="K252" s="12" t="s">
        <v>316</v>
      </c>
      <c r="L252" s="9" t="str">
        <f t="shared" si="5"/>
        <v>N/A</v>
      </c>
      <c r="M252" s="9" t="s">
        <v>101</v>
      </c>
      <c r="N252" s="9">
        <f t="shared" si="6"/>
        <v>2</v>
      </c>
      <c r="O252" s="9" t="s">
        <v>78</v>
      </c>
      <c r="P252" s="9">
        <f t="shared" si="7"/>
        <v>3</v>
      </c>
      <c r="Q252" s="9" t="s">
        <v>72</v>
      </c>
      <c r="R252" s="9">
        <f t="shared" si="8"/>
        <v>1</v>
      </c>
      <c r="S252" s="9" t="s">
        <v>73</v>
      </c>
      <c r="T252" s="9">
        <f t="shared" si="9"/>
        <v>2</v>
      </c>
      <c r="U252" s="9" t="s">
        <v>136</v>
      </c>
      <c r="V252" s="9">
        <f t="shared" si="10"/>
        <v>0</v>
      </c>
      <c r="W252" s="12"/>
      <c r="X252" s="9">
        <f t="shared" si="11"/>
        <v>0</v>
      </c>
      <c r="Y252" s="9">
        <f t="shared" si="12"/>
        <v>0</v>
      </c>
      <c r="Z252" s="9">
        <f t="shared" si="13"/>
        <v>0</v>
      </c>
      <c r="AA252" s="9">
        <f t="shared" si="14"/>
        <v>0</v>
      </c>
      <c r="AB252" s="12"/>
      <c r="AC252" s="9" t="str">
        <f t="shared" si="15"/>
        <v>N/A</v>
      </c>
      <c r="AD252" s="12"/>
      <c r="AE252" s="9" t="str">
        <f t="shared" si="16"/>
        <v>N/A</v>
      </c>
      <c r="AF252" s="9" t="s">
        <v>101</v>
      </c>
      <c r="AG252" s="9">
        <f t="shared" si="17"/>
        <v>2</v>
      </c>
      <c r="AH252" s="9" t="s">
        <v>78</v>
      </c>
      <c r="AI252" s="9">
        <f t="shared" si="18"/>
        <v>3</v>
      </c>
      <c r="AJ252" s="9" t="s">
        <v>77</v>
      </c>
      <c r="AK252" s="9">
        <f t="shared" si="19"/>
        <v>1</v>
      </c>
      <c r="AL252" s="9" t="s">
        <v>77</v>
      </c>
      <c r="AM252" s="9">
        <f t="shared" si="20"/>
        <v>1</v>
      </c>
      <c r="AN252" s="9" t="s">
        <v>73</v>
      </c>
      <c r="AO252" s="9">
        <f t="shared" si="21"/>
        <v>2</v>
      </c>
      <c r="AP252" s="9" t="s">
        <v>77</v>
      </c>
      <c r="AQ252" s="9">
        <f t="shared" si="22"/>
        <v>1</v>
      </c>
      <c r="AR252" s="9" t="s">
        <v>73</v>
      </c>
      <c r="AS252" s="9">
        <f t="shared" si="23"/>
        <v>2</v>
      </c>
      <c r="AT252" s="9" t="s">
        <v>133</v>
      </c>
      <c r="AU252" s="9">
        <f t="shared" si="24"/>
        <v>0</v>
      </c>
      <c r="AV252" s="9">
        <f t="shared" si="25"/>
        <v>1</v>
      </c>
      <c r="AW252" s="9">
        <f t="shared" si="26"/>
        <v>0</v>
      </c>
      <c r="AX252" s="9">
        <f t="shared" si="27"/>
        <v>0</v>
      </c>
      <c r="AY252" s="9">
        <f t="shared" si="28"/>
        <v>0</v>
      </c>
      <c r="AZ252" s="9">
        <f t="shared" si="29"/>
        <v>0</v>
      </c>
      <c r="BA252" s="9">
        <f t="shared" si="30"/>
        <v>0</v>
      </c>
      <c r="BB252" s="9" t="s">
        <v>88</v>
      </c>
      <c r="BC252" s="9">
        <f t="shared" si="31"/>
        <v>2</v>
      </c>
      <c r="BD252" s="12"/>
      <c r="BE252" s="9" t="str">
        <f t="shared" si="46"/>
        <v>N/A</v>
      </c>
      <c r="BF252" s="9" t="s">
        <v>107</v>
      </c>
      <c r="BG252" s="9">
        <f t="shared" si="33"/>
        <v>1</v>
      </c>
      <c r="BH252" s="9">
        <f t="shared" si="34"/>
        <v>0</v>
      </c>
      <c r="BI252" s="9">
        <f t="shared" si="35"/>
        <v>0</v>
      </c>
      <c r="BJ252" s="9">
        <f t="shared" si="36"/>
        <v>0</v>
      </c>
      <c r="BK252" s="9">
        <f t="shared" si="37"/>
        <v>0</v>
      </c>
      <c r="BL252" s="9">
        <f t="shared" si="38"/>
        <v>0</v>
      </c>
      <c r="BM252" s="9">
        <f t="shared" si="39"/>
        <v>0</v>
      </c>
      <c r="BN252" s="9" t="s">
        <v>88</v>
      </c>
      <c r="BO252" s="11">
        <f t="shared" si="40"/>
        <v>2</v>
      </c>
    </row>
    <row r="253" ht="22.5" customHeight="1">
      <c r="A253" s="9">
        <f t="shared" si="41"/>
        <v>252</v>
      </c>
      <c r="B253" s="10">
        <v>46051.92159006944</v>
      </c>
      <c r="C253" s="12"/>
      <c r="D253" s="9" t="str">
        <f t="shared" si="1"/>
        <v>N/A</v>
      </c>
      <c r="E253" s="9" t="s">
        <v>88</v>
      </c>
      <c r="F253" s="9">
        <f t="shared" si="2"/>
        <v>2</v>
      </c>
      <c r="G253" s="12"/>
      <c r="H253" s="9" t="str">
        <f t="shared" si="3"/>
        <v>N/A</v>
      </c>
      <c r="I253" s="9" t="str">
        <f t="shared" si="4"/>
        <v>N/A</v>
      </c>
      <c r="J253" s="12"/>
      <c r="K253" s="12" t="s">
        <v>316</v>
      </c>
      <c r="L253" s="9" t="str">
        <f t="shared" si="5"/>
        <v>N/A</v>
      </c>
      <c r="M253" s="12"/>
      <c r="N253" s="9" t="str">
        <f t="shared" si="6"/>
        <v>N/A</v>
      </c>
      <c r="O253" s="12"/>
      <c r="P253" s="9" t="str">
        <f t="shared" si="7"/>
        <v>N/A</v>
      </c>
      <c r="Q253" s="12"/>
      <c r="R253" s="9" t="str">
        <f t="shared" si="8"/>
        <v>N/A</v>
      </c>
      <c r="S253" s="12"/>
      <c r="T253" s="9" t="str">
        <f t="shared" si="9"/>
        <v>N/A</v>
      </c>
      <c r="U253" s="12"/>
      <c r="V253" s="9" t="str">
        <f t="shared" si="10"/>
        <v>N/A</v>
      </c>
      <c r="W253" s="12"/>
      <c r="X253" s="9">
        <f t="shared" si="11"/>
        <v>0</v>
      </c>
      <c r="Y253" s="9">
        <f t="shared" si="12"/>
        <v>0</v>
      </c>
      <c r="Z253" s="9">
        <f t="shared" si="13"/>
        <v>0</v>
      </c>
      <c r="AA253" s="9">
        <f t="shared" si="14"/>
        <v>0</v>
      </c>
      <c r="AB253" s="12"/>
      <c r="AC253" s="9" t="str">
        <f t="shared" si="15"/>
        <v>N/A</v>
      </c>
      <c r="AD253" s="12"/>
      <c r="AE253" s="9" t="str">
        <f t="shared" si="16"/>
        <v>N/A</v>
      </c>
      <c r="AF253" s="12"/>
      <c r="AG253" s="9" t="str">
        <f t="shared" si="17"/>
        <v>N/A</v>
      </c>
      <c r="AH253" s="12"/>
      <c r="AI253" s="9" t="str">
        <f t="shared" si="18"/>
        <v>N/A</v>
      </c>
      <c r="AJ253" s="12"/>
      <c r="AK253" s="9" t="str">
        <f t="shared" si="19"/>
        <v>N/A</v>
      </c>
      <c r="AL253" s="12"/>
      <c r="AM253" s="9" t="str">
        <f t="shared" si="20"/>
        <v>N/A</v>
      </c>
      <c r="AN253" s="12"/>
      <c r="AO253" s="9" t="str">
        <f t="shared" si="21"/>
        <v>N/A</v>
      </c>
      <c r="AP253" s="12"/>
      <c r="AQ253" s="9" t="str">
        <f t="shared" si="22"/>
        <v>N/A</v>
      </c>
      <c r="AR253" s="12"/>
      <c r="AS253" s="9" t="str">
        <f t="shared" si="23"/>
        <v>N/A</v>
      </c>
      <c r="AT253" s="12"/>
      <c r="AU253" s="12">
        <f t="shared" si="24"/>
        <v>0</v>
      </c>
      <c r="AV253" s="12">
        <f t="shared" si="25"/>
        <v>0</v>
      </c>
      <c r="AW253" s="9">
        <f t="shared" si="26"/>
        <v>0</v>
      </c>
      <c r="AX253" s="9">
        <f t="shared" si="27"/>
        <v>0</v>
      </c>
      <c r="AY253" s="9">
        <f t="shared" si="28"/>
        <v>0</v>
      </c>
      <c r="AZ253" s="9">
        <f t="shared" si="29"/>
        <v>0</v>
      </c>
      <c r="BA253" s="9">
        <f t="shared" si="30"/>
        <v>0</v>
      </c>
      <c r="BB253" s="12"/>
      <c r="BC253" s="9" t="str">
        <f t="shared" si="31"/>
        <v>N/A</v>
      </c>
      <c r="BD253" s="12"/>
      <c r="BE253" s="9" t="str">
        <f t="shared" si="46"/>
        <v>N/A</v>
      </c>
      <c r="BF253" s="12"/>
      <c r="BG253" s="9">
        <f t="shared" si="33"/>
        <v>0</v>
      </c>
      <c r="BH253" s="9">
        <f t="shared" si="34"/>
        <v>0</v>
      </c>
      <c r="BI253" s="9">
        <f t="shared" si="35"/>
        <v>0</v>
      </c>
      <c r="BJ253" s="9">
        <f t="shared" si="36"/>
        <v>0</v>
      </c>
      <c r="BK253" s="9">
        <f t="shared" si="37"/>
        <v>0</v>
      </c>
      <c r="BL253" s="9">
        <f t="shared" si="38"/>
        <v>0</v>
      </c>
      <c r="BM253" s="9">
        <f t="shared" si="39"/>
        <v>0</v>
      </c>
      <c r="BN253" s="12"/>
      <c r="BO253" s="11" t="str">
        <f t="shared" si="40"/>
        <v>N/A</v>
      </c>
    </row>
    <row r="254" ht="22.5" customHeight="1">
      <c r="A254" s="9">
        <f t="shared" si="41"/>
        <v>253</v>
      </c>
      <c r="B254" s="10">
        <v>46051.92241668982</v>
      </c>
      <c r="C254" s="12"/>
      <c r="D254" s="9" t="str">
        <f t="shared" si="1"/>
        <v>N/A</v>
      </c>
      <c r="E254" s="9" t="s">
        <v>88</v>
      </c>
      <c r="F254" s="9">
        <f t="shared" si="2"/>
        <v>2</v>
      </c>
      <c r="G254" s="12"/>
      <c r="H254" s="9" t="str">
        <f t="shared" si="3"/>
        <v>N/A</v>
      </c>
      <c r="I254" s="9" t="str">
        <f t="shared" si="4"/>
        <v>N/A</v>
      </c>
      <c r="J254" s="12"/>
      <c r="K254" s="12" t="s">
        <v>316</v>
      </c>
      <c r="L254" s="9" t="str">
        <f t="shared" si="5"/>
        <v>N/A</v>
      </c>
      <c r="M254" s="12"/>
      <c r="N254" s="9" t="str">
        <f t="shared" si="6"/>
        <v>N/A</v>
      </c>
      <c r="O254" s="12"/>
      <c r="P254" s="9" t="str">
        <f t="shared" si="7"/>
        <v>N/A</v>
      </c>
      <c r="Q254" s="12"/>
      <c r="R254" s="9" t="str">
        <f t="shared" si="8"/>
        <v>N/A</v>
      </c>
      <c r="S254" s="12"/>
      <c r="T254" s="9" t="str">
        <f t="shared" si="9"/>
        <v>N/A</v>
      </c>
      <c r="U254" s="12"/>
      <c r="V254" s="9" t="str">
        <f t="shared" si="10"/>
        <v>N/A</v>
      </c>
      <c r="W254" s="12"/>
      <c r="X254" s="9">
        <f t="shared" si="11"/>
        <v>0</v>
      </c>
      <c r="Y254" s="9">
        <f t="shared" si="12"/>
        <v>0</v>
      </c>
      <c r="Z254" s="9">
        <f t="shared" si="13"/>
        <v>0</v>
      </c>
      <c r="AA254" s="9">
        <f t="shared" si="14"/>
        <v>0</v>
      </c>
      <c r="AB254" s="12"/>
      <c r="AC254" s="9" t="str">
        <f t="shared" si="15"/>
        <v>N/A</v>
      </c>
      <c r="AD254" s="12"/>
      <c r="AE254" s="9" t="str">
        <f t="shared" si="16"/>
        <v>N/A</v>
      </c>
      <c r="AF254" s="12"/>
      <c r="AG254" s="9" t="str">
        <f t="shared" si="17"/>
        <v>N/A</v>
      </c>
      <c r="AH254" s="12"/>
      <c r="AI254" s="9" t="str">
        <f t="shared" si="18"/>
        <v>N/A</v>
      </c>
      <c r="AJ254" s="12"/>
      <c r="AK254" s="9" t="str">
        <f t="shared" si="19"/>
        <v>N/A</v>
      </c>
      <c r="AL254" s="12"/>
      <c r="AM254" s="9" t="str">
        <f t="shared" si="20"/>
        <v>N/A</v>
      </c>
      <c r="AN254" s="12"/>
      <c r="AO254" s="9" t="str">
        <f t="shared" si="21"/>
        <v>N/A</v>
      </c>
      <c r="AP254" s="12"/>
      <c r="AQ254" s="9" t="str">
        <f t="shared" si="22"/>
        <v>N/A</v>
      </c>
      <c r="AR254" s="12"/>
      <c r="AS254" s="9" t="str">
        <f t="shared" si="23"/>
        <v>N/A</v>
      </c>
      <c r="AT254" s="12"/>
      <c r="AU254" s="12">
        <f t="shared" si="24"/>
        <v>0</v>
      </c>
      <c r="AV254" s="12">
        <f t="shared" si="25"/>
        <v>0</v>
      </c>
      <c r="AW254" s="9">
        <f t="shared" si="26"/>
        <v>0</v>
      </c>
      <c r="AX254" s="9">
        <f t="shared" si="27"/>
        <v>0</v>
      </c>
      <c r="AY254" s="9">
        <f t="shared" si="28"/>
        <v>0</v>
      </c>
      <c r="AZ254" s="9">
        <f t="shared" si="29"/>
        <v>0</v>
      </c>
      <c r="BA254" s="9">
        <f t="shared" si="30"/>
        <v>0</v>
      </c>
      <c r="BB254" s="12"/>
      <c r="BC254" s="9" t="str">
        <f t="shared" si="31"/>
        <v>N/A</v>
      </c>
      <c r="BD254" s="12"/>
      <c r="BE254" s="9" t="str">
        <f t="shared" si="46"/>
        <v>N/A</v>
      </c>
      <c r="BF254" s="12"/>
      <c r="BG254" s="9">
        <f t="shared" si="33"/>
        <v>0</v>
      </c>
      <c r="BH254" s="9">
        <f t="shared" si="34"/>
        <v>0</v>
      </c>
      <c r="BI254" s="9">
        <f t="shared" si="35"/>
        <v>0</v>
      </c>
      <c r="BJ254" s="9">
        <f t="shared" si="36"/>
        <v>0</v>
      </c>
      <c r="BK254" s="9">
        <f t="shared" si="37"/>
        <v>0</v>
      </c>
      <c r="BL254" s="9">
        <f t="shared" si="38"/>
        <v>0</v>
      </c>
      <c r="BM254" s="9">
        <f t="shared" si="39"/>
        <v>0</v>
      </c>
      <c r="BN254" s="12"/>
      <c r="BO254" s="11" t="str">
        <f t="shared" si="40"/>
        <v>N/A</v>
      </c>
    </row>
    <row r="255" ht="22.5" customHeight="1">
      <c r="A255" s="9">
        <f t="shared" si="41"/>
        <v>254</v>
      </c>
      <c r="B255" s="10">
        <v>46051.92478605324</v>
      </c>
      <c r="C255" s="12"/>
      <c r="D255" s="9" t="str">
        <f t="shared" si="1"/>
        <v>N/A</v>
      </c>
      <c r="E255" s="9" t="s">
        <v>88</v>
      </c>
      <c r="F255" s="9">
        <f t="shared" si="2"/>
        <v>2</v>
      </c>
      <c r="G255" s="12"/>
      <c r="H255" s="9" t="str">
        <f t="shared" si="3"/>
        <v>N/A</v>
      </c>
      <c r="I255" s="9" t="str">
        <f t="shared" si="4"/>
        <v>N/A</v>
      </c>
      <c r="J255" s="12"/>
      <c r="K255" s="12" t="s">
        <v>316</v>
      </c>
      <c r="L255" s="9" t="str">
        <f t="shared" si="5"/>
        <v>N/A</v>
      </c>
      <c r="M255" s="12"/>
      <c r="N255" s="9" t="str">
        <f t="shared" si="6"/>
        <v>N/A</v>
      </c>
      <c r="O255" s="12"/>
      <c r="P255" s="9" t="str">
        <f t="shared" si="7"/>
        <v>N/A</v>
      </c>
      <c r="Q255" s="12"/>
      <c r="R255" s="9" t="str">
        <f t="shared" si="8"/>
        <v>N/A</v>
      </c>
      <c r="S255" s="12"/>
      <c r="T255" s="9" t="str">
        <f t="shared" si="9"/>
        <v>N/A</v>
      </c>
      <c r="U255" s="12"/>
      <c r="V255" s="9" t="str">
        <f t="shared" si="10"/>
        <v>N/A</v>
      </c>
      <c r="W255" s="12"/>
      <c r="X255" s="9">
        <f t="shared" si="11"/>
        <v>0</v>
      </c>
      <c r="Y255" s="9">
        <f t="shared" si="12"/>
        <v>0</v>
      </c>
      <c r="Z255" s="9">
        <f t="shared" si="13"/>
        <v>0</v>
      </c>
      <c r="AA255" s="9">
        <f t="shared" si="14"/>
        <v>0</v>
      </c>
      <c r="AB255" s="12"/>
      <c r="AC255" s="9" t="str">
        <f t="shared" si="15"/>
        <v>N/A</v>
      </c>
      <c r="AD255" s="12"/>
      <c r="AE255" s="9" t="str">
        <f t="shared" si="16"/>
        <v>N/A</v>
      </c>
      <c r="AF255" s="12"/>
      <c r="AG255" s="9" t="str">
        <f t="shared" si="17"/>
        <v>N/A</v>
      </c>
      <c r="AH255" s="12"/>
      <c r="AI255" s="9" t="str">
        <f t="shared" si="18"/>
        <v>N/A</v>
      </c>
      <c r="AJ255" s="12"/>
      <c r="AK255" s="9" t="str">
        <f t="shared" si="19"/>
        <v>N/A</v>
      </c>
      <c r="AL255" s="12"/>
      <c r="AM255" s="9" t="str">
        <f t="shared" si="20"/>
        <v>N/A</v>
      </c>
      <c r="AN255" s="12"/>
      <c r="AO255" s="9" t="str">
        <f t="shared" si="21"/>
        <v>N/A</v>
      </c>
      <c r="AP255" s="12"/>
      <c r="AQ255" s="9" t="str">
        <f t="shared" si="22"/>
        <v>N/A</v>
      </c>
      <c r="AR255" s="12"/>
      <c r="AS255" s="9" t="str">
        <f t="shared" si="23"/>
        <v>N/A</v>
      </c>
      <c r="AT255" s="12"/>
      <c r="AU255" s="12">
        <f t="shared" si="24"/>
        <v>0</v>
      </c>
      <c r="AV255" s="12">
        <f t="shared" si="25"/>
        <v>0</v>
      </c>
      <c r="AW255" s="9">
        <f t="shared" si="26"/>
        <v>0</v>
      </c>
      <c r="AX255" s="9">
        <f t="shared" si="27"/>
        <v>0</v>
      </c>
      <c r="AY255" s="9">
        <f t="shared" si="28"/>
        <v>0</v>
      </c>
      <c r="AZ255" s="9">
        <f t="shared" si="29"/>
        <v>0</v>
      </c>
      <c r="BA255" s="9">
        <f t="shared" si="30"/>
        <v>0</v>
      </c>
      <c r="BB255" s="12"/>
      <c r="BC255" s="9" t="str">
        <f t="shared" si="31"/>
        <v>N/A</v>
      </c>
      <c r="BD255" s="12"/>
      <c r="BE255" s="9" t="str">
        <f t="shared" si="46"/>
        <v>N/A</v>
      </c>
      <c r="BF255" s="12"/>
      <c r="BG255" s="9">
        <f t="shared" si="33"/>
        <v>0</v>
      </c>
      <c r="BH255" s="9">
        <f t="shared" si="34"/>
        <v>0</v>
      </c>
      <c r="BI255" s="9">
        <f t="shared" si="35"/>
        <v>0</v>
      </c>
      <c r="BJ255" s="9">
        <f t="shared" si="36"/>
        <v>0</v>
      </c>
      <c r="BK255" s="9">
        <f t="shared" si="37"/>
        <v>0</v>
      </c>
      <c r="BL255" s="9">
        <f t="shared" si="38"/>
        <v>0</v>
      </c>
      <c r="BM255" s="9">
        <f t="shared" si="39"/>
        <v>0</v>
      </c>
      <c r="BN255" s="12"/>
      <c r="BO255" s="11" t="str">
        <f t="shared" si="40"/>
        <v>N/A</v>
      </c>
    </row>
    <row r="256">
      <c r="A256" s="13">
        <f t="shared" si="41"/>
        <v>255</v>
      </c>
      <c r="B256" s="14">
        <v>46052.48807637731</v>
      </c>
      <c r="C256" s="13" t="s">
        <v>67</v>
      </c>
      <c r="D256" s="13">
        <f t="shared" si="1"/>
        <v>1</v>
      </c>
      <c r="E256" s="13" t="s">
        <v>68</v>
      </c>
      <c r="F256" s="13">
        <f t="shared" si="2"/>
        <v>1</v>
      </c>
      <c r="G256" s="13" t="s">
        <v>91</v>
      </c>
      <c r="H256" s="13" t="str">
        <f t="shared" si="3"/>
        <v>Urban</v>
      </c>
      <c r="I256" s="13">
        <f t="shared" si="4"/>
        <v>2</v>
      </c>
      <c r="J256" s="13" t="s">
        <v>70</v>
      </c>
      <c r="K256" s="13" t="s">
        <v>100</v>
      </c>
      <c r="L256" s="13">
        <f t="shared" si="5"/>
        <v>3</v>
      </c>
      <c r="M256" s="13" t="s">
        <v>71</v>
      </c>
      <c r="N256" s="13">
        <f t="shared" si="6"/>
        <v>7.7</v>
      </c>
      <c r="O256" s="13" t="s">
        <v>72</v>
      </c>
      <c r="P256" s="13">
        <f t="shared" si="7"/>
        <v>1</v>
      </c>
      <c r="Q256" s="13" t="s">
        <v>72</v>
      </c>
      <c r="R256" s="13">
        <f t="shared" si="8"/>
        <v>1</v>
      </c>
      <c r="S256" s="13" t="s">
        <v>72</v>
      </c>
      <c r="T256" s="13">
        <f t="shared" si="9"/>
        <v>1</v>
      </c>
      <c r="U256" s="13" t="s">
        <v>74</v>
      </c>
      <c r="V256" s="13">
        <f t="shared" si="10"/>
        <v>1.5</v>
      </c>
      <c r="W256" s="13" t="s">
        <v>143</v>
      </c>
      <c r="X256" s="13">
        <f t="shared" si="11"/>
        <v>1</v>
      </c>
      <c r="Y256" s="13">
        <f t="shared" si="12"/>
        <v>0</v>
      </c>
      <c r="Z256" s="13">
        <f t="shared" si="13"/>
        <v>0</v>
      </c>
      <c r="AA256" s="13">
        <f t="shared" si="14"/>
        <v>0</v>
      </c>
      <c r="AB256" s="13" t="s">
        <v>73</v>
      </c>
      <c r="AC256" s="13">
        <f t="shared" si="15"/>
        <v>2</v>
      </c>
      <c r="AD256" s="13" t="s">
        <v>73</v>
      </c>
      <c r="AE256" s="13">
        <f t="shared" si="16"/>
        <v>2</v>
      </c>
      <c r="AF256" s="13" t="s">
        <v>109</v>
      </c>
      <c r="AG256" s="13">
        <f t="shared" si="17"/>
        <v>9</v>
      </c>
      <c r="AH256" s="13" t="s">
        <v>103</v>
      </c>
      <c r="AI256" s="13">
        <f t="shared" si="18"/>
        <v>5</v>
      </c>
      <c r="AJ256" s="13" t="s">
        <v>77</v>
      </c>
      <c r="AK256" s="13">
        <f t="shared" si="19"/>
        <v>1</v>
      </c>
      <c r="AL256" s="13" t="s">
        <v>77</v>
      </c>
      <c r="AM256" s="13">
        <f t="shared" si="20"/>
        <v>1</v>
      </c>
      <c r="AN256" s="13" t="s">
        <v>77</v>
      </c>
      <c r="AO256" s="13">
        <f t="shared" si="21"/>
        <v>1</v>
      </c>
      <c r="AP256" s="13" t="s">
        <v>77</v>
      </c>
      <c r="AQ256" s="13">
        <f t="shared" si="22"/>
        <v>1</v>
      </c>
      <c r="AR256" s="13" t="s">
        <v>77</v>
      </c>
      <c r="AS256" s="13">
        <f t="shared" si="23"/>
        <v>1</v>
      </c>
      <c r="AT256" s="13" t="s">
        <v>104</v>
      </c>
      <c r="AU256" s="15">
        <f t="shared" si="24"/>
        <v>1</v>
      </c>
      <c r="AV256" s="15">
        <f t="shared" si="25"/>
        <v>1</v>
      </c>
      <c r="AW256" s="13">
        <f t="shared" si="26"/>
        <v>1</v>
      </c>
      <c r="AX256" s="13">
        <f t="shared" si="27"/>
        <v>1</v>
      </c>
      <c r="AY256" s="13">
        <f t="shared" si="28"/>
        <v>1</v>
      </c>
      <c r="AZ256" s="13">
        <f t="shared" si="29"/>
        <v>1</v>
      </c>
      <c r="BA256" s="13">
        <f t="shared" si="30"/>
        <v>1</v>
      </c>
      <c r="BB256" s="13" t="s">
        <v>88</v>
      </c>
      <c r="BC256" s="13">
        <f t="shared" si="31"/>
        <v>2</v>
      </c>
      <c r="BD256" s="15"/>
      <c r="BE256" s="13" t="str">
        <f t="shared" si="46"/>
        <v>N/A</v>
      </c>
      <c r="BF256" s="13" t="s">
        <v>124</v>
      </c>
      <c r="BG256" s="13">
        <f t="shared" si="33"/>
        <v>1</v>
      </c>
      <c r="BH256" s="13">
        <f t="shared" si="34"/>
        <v>0</v>
      </c>
      <c r="BI256" s="13">
        <f t="shared" si="35"/>
        <v>1</v>
      </c>
      <c r="BJ256" s="13">
        <f t="shared" si="36"/>
        <v>0</v>
      </c>
      <c r="BK256" s="13">
        <f t="shared" si="37"/>
        <v>0</v>
      </c>
      <c r="BL256" s="13">
        <f t="shared" si="38"/>
        <v>0</v>
      </c>
      <c r="BM256" s="13">
        <f t="shared" si="39"/>
        <v>0</v>
      </c>
      <c r="BN256" s="13" t="s">
        <v>68</v>
      </c>
      <c r="BO256" s="16">
        <f t="shared" si="40"/>
        <v>1</v>
      </c>
    </row>
    <row r="257">
      <c r="A257" s="13">
        <f t="shared" si="41"/>
        <v>256</v>
      </c>
      <c r="B257" s="14">
        <v>46052.49266178241</v>
      </c>
      <c r="C257" s="13" t="s">
        <v>67</v>
      </c>
      <c r="D257" s="13">
        <f t="shared" si="1"/>
        <v>1</v>
      </c>
      <c r="E257" s="13" t="s">
        <v>68</v>
      </c>
      <c r="F257" s="13">
        <f t="shared" si="2"/>
        <v>1</v>
      </c>
      <c r="G257" s="13" t="s">
        <v>91</v>
      </c>
      <c r="H257" s="13" t="str">
        <f t="shared" si="3"/>
        <v>Urban</v>
      </c>
      <c r="I257" s="13">
        <f t="shared" si="4"/>
        <v>2</v>
      </c>
      <c r="J257" s="13" t="s">
        <v>70</v>
      </c>
      <c r="K257" s="13" t="s">
        <v>100</v>
      </c>
      <c r="L257" s="13">
        <f t="shared" si="5"/>
        <v>3</v>
      </c>
      <c r="M257" s="13" t="s">
        <v>101</v>
      </c>
      <c r="N257" s="13">
        <f t="shared" si="6"/>
        <v>2</v>
      </c>
      <c r="O257" s="13" t="s">
        <v>73</v>
      </c>
      <c r="P257" s="13">
        <f t="shared" si="7"/>
        <v>2</v>
      </c>
      <c r="Q257" s="13" t="s">
        <v>85</v>
      </c>
      <c r="R257" s="13">
        <f t="shared" si="8"/>
        <v>4</v>
      </c>
      <c r="S257" s="13" t="s">
        <v>73</v>
      </c>
      <c r="T257" s="13">
        <f t="shared" si="9"/>
        <v>2</v>
      </c>
      <c r="U257" s="13" t="s">
        <v>74</v>
      </c>
      <c r="V257" s="13">
        <f t="shared" si="10"/>
        <v>1.5</v>
      </c>
      <c r="W257" s="13" t="s">
        <v>86</v>
      </c>
      <c r="X257" s="13">
        <f t="shared" si="11"/>
        <v>1</v>
      </c>
      <c r="Y257" s="13">
        <f t="shared" si="12"/>
        <v>1</v>
      </c>
      <c r="Z257" s="13">
        <f t="shared" si="13"/>
        <v>1</v>
      </c>
      <c r="AA257" s="13">
        <f t="shared" si="14"/>
        <v>0</v>
      </c>
      <c r="AB257" s="13" t="s">
        <v>73</v>
      </c>
      <c r="AC257" s="13">
        <f t="shared" si="15"/>
        <v>2</v>
      </c>
      <c r="AD257" s="13" t="s">
        <v>73</v>
      </c>
      <c r="AE257" s="13">
        <f t="shared" si="16"/>
        <v>2</v>
      </c>
      <c r="AF257" s="13" t="s">
        <v>71</v>
      </c>
      <c r="AG257" s="13">
        <f t="shared" si="17"/>
        <v>7.7</v>
      </c>
      <c r="AH257" s="13" t="s">
        <v>85</v>
      </c>
      <c r="AI257" s="13">
        <f t="shared" si="18"/>
        <v>4</v>
      </c>
      <c r="AJ257" s="13" t="s">
        <v>85</v>
      </c>
      <c r="AK257" s="13">
        <f t="shared" si="19"/>
        <v>4</v>
      </c>
      <c r="AL257" s="13" t="s">
        <v>73</v>
      </c>
      <c r="AM257" s="13">
        <f t="shared" si="20"/>
        <v>2</v>
      </c>
      <c r="AN257" s="13" t="s">
        <v>78</v>
      </c>
      <c r="AO257" s="13">
        <f t="shared" si="21"/>
        <v>3</v>
      </c>
      <c r="AP257" s="13" t="s">
        <v>78</v>
      </c>
      <c r="AQ257" s="13">
        <f t="shared" si="22"/>
        <v>3</v>
      </c>
      <c r="AR257" s="13" t="s">
        <v>78</v>
      </c>
      <c r="AS257" s="13">
        <f t="shared" si="23"/>
        <v>3</v>
      </c>
      <c r="AT257" s="13" t="s">
        <v>104</v>
      </c>
      <c r="AU257" s="15">
        <f t="shared" si="24"/>
        <v>1</v>
      </c>
      <c r="AV257" s="15">
        <f t="shared" si="25"/>
        <v>1</v>
      </c>
      <c r="AW257" s="13">
        <f t="shared" si="26"/>
        <v>1</v>
      </c>
      <c r="AX257" s="13">
        <f t="shared" si="27"/>
        <v>1</v>
      </c>
      <c r="AY257" s="13">
        <f t="shared" si="28"/>
        <v>1</v>
      </c>
      <c r="AZ257" s="13">
        <f t="shared" si="29"/>
        <v>1</v>
      </c>
      <c r="BA257" s="13">
        <f t="shared" si="30"/>
        <v>1</v>
      </c>
      <c r="BB257" s="13" t="s">
        <v>88</v>
      </c>
      <c r="BC257" s="13">
        <f t="shared" si="31"/>
        <v>2</v>
      </c>
      <c r="BD257" s="15"/>
      <c r="BE257" s="13" t="str">
        <f t="shared" si="46"/>
        <v>N/A</v>
      </c>
      <c r="BF257" s="13" t="s">
        <v>95</v>
      </c>
      <c r="BG257" s="13">
        <f t="shared" si="33"/>
        <v>1</v>
      </c>
      <c r="BH257" s="13">
        <f t="shared" si="34"/>
        <v>0</v>
      </c>
      <c r="BI257" s="13">
        <f t="shared" si="35"/>
        <v>1</v>
      </c>
      <c r="BJ257" s="13">
        <f t="shared" si="36"/>
        <v>1</v>
      </c>
      <c r="BK257" s="13">
        <f t="shared" si="37"/>
        <v>0</v>
      </c>
      <c r="BL257" s="13">
        <f t="shared" si="38"/>
        <v>0</v>
      </c>
      <c r="BM257" s="13">
        <f t="shared" si="39"/>
        <v>0</v>
      </c>
      <c r="BN257" s="13" t="s">
        <v>68</v>
      </c>
      <c r="BO257" s="16">
        <f t="shared" si="40"/>
        <v>1</v>
      </c>
    </row>
    <row r="258">
      <c r="A258" s="13">
        <f t="shared" si="41"/>
        <v>257</v>
      </c>
      <c r="B258" s="14">
        <v>46052.497195081014</v>
      </c>
      <c r="C258" s="13" t="s">
        <v>67</v>
      </c>
      <c r="D258" s="13">
        <f t="shared" si="1"/>
        <v>1</v>
      </c>
      <c r="E258" s="13" t="s">
        <v>68</v>
      </c>
      <c r="F258" s="13">
        <f t="shared" si="2"/>
        <v>1</v>
      </c>
      <c r="G258" s="13" t="s">
        <v>91</v>
      </c>
      <c r="H258" s="13" t="str">
        <f t="shared" si="3"/>
        <v>Urban</v>
      </c>
      <c r="I258" s="13">
        <f t="shared" si="4"/>
        <v>2</v>
      </c>
      <c r="J258" s="13" t="s">
        <v>83</v>
      </c>
      <c r="K258" s="13" t="s">
        <v>84</v>
      </c>
      <c r="L258" s="13">
        <f t="shared" si="5"/>
        <v>2</v>
      </c>
      <c r="M258" s="13" t="s">
        <v>101</v>
      </c>
      <c r="N258" s="13">
        <f t="shared" si="6"/>
        <v>2</v>
      </c>
      <c r="O258" s="13" t="s">
        <v>73</v>
      </c>
      <c r="P258" s="13">
        <f t="shared" si="7"/>
        <v>2</v>
      </c>
      <c r="Q258" s="13" t="s">
        <v>85</v>
      </c>
      <c r="R258" s="13">
        <f t="shared" si="8"/>
        <v>4</v>
      </c>
      <c r="S258" s="13" t="s">
        <v>73</v>
      </c>
      <c r="T258" s="13">
        <f t="shared" si="9"/>
        <v>2</v>
      </c>
      <c r="U258" s="13" t="s">
        <v>96</v>
      </c>
      <c r="V258" s="13">
        <f t="shared" si="10"/>
        <v>2.5</v>
      </c>
      <c r="W258" s="13" t="s">
        <v>174</v>
      </c>
      <c r="X258" s="13">
        <f t="shared" si="11"/>
        <v>1</v>
      </c>
      <c r="Y258" s="13">
        <f t="shared" si="12"/>
        <v>1</v>
      </c>
      <c r="Z258" s="13">
        <f t="shared" si="13"/>
        <v>1</v>
      </c>
      <c r="AA258" s="13">
        <f t="shared" si="14"/>
        <v>1</v>
      </c>
      <c r="AB258" s="13" t="s">
        <v>73</v>
      </c>
      <c r="AC258" s="13">
        <f t="shared" si="15"/>
        <v>2</v>
      </c>
      <c r="AD258" s="13" t="s">
        <v>73</v>
      </c>
      <c r="AE258" s="13">
        <f t="shared" si="16"/>
        <v>2</v>
      </c>
      <c r="AF258" s="13" t="s">
        <v>109</v>
      </c>
      <c r="AG258" s="13">
        <f t="shared" si="17"/>
        <v>9</v>
      </c>
      <c r="AH258" s="13" t="s">
        <v>78</v>
      </c>
      <c r="AI258" s="13">
        <f t="shared" si="18"/>
        <v>3</v>
      </c>
      <c r="AJ258" s="13" t="s">
        <v>73</v>
      </c>
      <c r="AK258" s="13">
        <f t="shared" si="19"/>
        <v>2</v>
      </c>
      <c r="AL258" s="13" t="s">
        <v>85</v>
      </c>
      <c r="AM258" s="13">
        <f t="shared" si="20"/>
        <v>4</v>
      </c>
      <c r="AN258" s="13" t="s">
        <v>78</v>
      </c>
      <c r="AO258" s="13">
        <f t="shared" si="21"/>
        <v>3</v>
      </c>
      <c r="AP258" s="13" t="s">
        <v>85</v>
      </c>
      <c r="AQ258" s="13">
        <f t="shared" si="22"/>
        <v>4</v>
      </c>
      <c r="AR258" s="13" t="s">
        <v>85</v>
      </c>
      <c r="AS258" s="13">
        <f t="shared" si="23"/>
        <v>4</v>
      </c>
      <c r="AT258" s="13" t="s">
        <v>125</v>
      </c>
      <c r="AU258" s="15">
        <f t="shared" si="24"/>
        <v>0</v>
      </c>
      <c r="AV258" s="15">
        <f t="shared" si="25"/>
        <v>0</v>
      </c>
      <c r="AW258" s="13">
        <f t="shared" si="26"/>
        <v>0</v>
      </c>
      <c r="AX258" s="13">
        <f t="shared" si="27"/>
        <v>1</v>
      </c>
      <c r="AY258" s="13">
        <f t="shared" si="28"/>
        <v>0</v>
      </c>
      <c r="AZ258" s="13">
        <f t="shared" si="29"/>
        <v>0</v>
      </c>
      <c r="BA258" s="13">
        <f t="shared" si="30"/>
        <v>0</v>
      </c>
      <c r="BB258" s="13" t="s">
        <v>88</v>
      </c>
      <c r="BC258" s="13">
        <f t="shared" si="31"/>
        <v>2</v>
      </c>
      <c r="BD258" s="15"/>
      <c r="BE258" s="13" t="str">
        <f t="shared" si="46"/>
        <v>N/A</v>
      </c>
      <c r="BF258" s="13" t="s">
        <v>260</v>
      </c>
      <c r="BG258" s="13">
        <f t="shared" si="33"/>
        <v>1</v>
      </c>
      <c r="BH258" s="13">
        <f t="shared" si="34"/>
        <v>1</v>
      </c>
      <c r="BI258" s="13">
        <f t="shared" si="35"/>
        <v>1</v>
      </c>
      <c r="BJ258" s="13">
        <f t="shared" si="36"/>
        <v>1</v>
      </c>
      <c r="BK258" s="13">
        <f t="shared" si="37"/>
        <v>1</v>
      </c>
      <c r="BL258" s="13">
        <f t="shared" si="38"/>
        <v>1</v>
      </c>
      <c r="BM258" s="13">
        <f t="shared" si="39"/>
        <v>1</v>
      </c>
      <c r="BN258" s="13" t="s">
        <v>108</v>
      </c>
      <c r="BO258" s="16">
        <f t="shared" si="40"/>
        <v>3</v>
      </c>
    </row>
    <row r="259">
      <c r="A259" s="13">
        <f t="shared" si="41"/>
        <v>258</v>
      </c>
      <c r="B259" s="14">
        <v>46052.51905728009</v>
      </c>
      <c r="C259" s="13" t="s">
        <v>90</v>
      </c>
      <c r="D259" s="13">
        <f t="shared" si="1"/>
        <v>2</v>
      </c>
      <c r="E259" s="13" t="s">
        <v>68</v>
      </c>
      <c r="F259" s="13">
        <f t="shared" si="2"/>
        <v>1</v>
      </c>
      <c r="G259" s="13" t="s">
        <v>82</v>
      </c>
      <c r="H259" s="13" t="str">
        <f t="shared" si="3"/>
        <v>Urban</v>
      </c>
      <c r="I259" s="13">
        <f t="shared" si="4"/>
        <v>2</v>
      </c>
      <c r="J259" s="13" t="s">
        <v>83</v>
      </c>
      <c r="K259" s="15" t="s">
        <v>84</v>
      </c>
      <c r="L259" s="13">
        <f t="shared" si="5"/>
        <v>2</v>
      </c>
      <c r="M259" s="13" t="s">
        <v>71</v>
      </c>
      <c r="N259" s="13">
        <f t="shared" si="6"/>
        <v>7.7</v>
      </c>
      <c r="O259" s="13" t="s">
        <v>78</v>
      </c>
      <c r="P259" s="13">
        <f t="shared" si="7"/>
        <v>3</v>
      </c>
      <c r="Q259" s="13" t="s">
        <v>78</v>
      </c>
      <c r="R259" s="13">
        <f t="shared" si="8"/>
        <v>3</v>
      </c>
      <c r="S259" s="13" t="s">
        <v>78</v>
      </c>
      <c r="T259" s="13">
        <f t="shared" si="9"/>
        <v>3</v>
      </c>
      <c r="U259" s="13" t="s">
        <v>74</v>
      </c>
      <c r="V259" s="13">
        <f t="shared" si="10"/>
        <v>1.5</v>
      </c>
      <c r="W259" s="13" t="s">
        <v>93</v>
      </c>
      <c r="X259" s="13">
        <f t="shared" si="11"/>
        <v>0</v>
      </c>
      <c r="Y259" s="13">
        <f t="shared" si="12"/>
        <v>1</v>
      </c>
      <c r="Z259" s="13">
        <f t="shared" si="13"/>
        <v>0</v>
      </c>
      <c r="AA259" s="13">
        <f t="shared" si="14"/>
        <v>0</v>
      </c>
      <c r="AB259" s="13" t="s">
        <v>78</v>
      </c>
      <c r="AC259" s="13">
        <f t="shared" si="15"/>
        <v>3</v>
      </c>
      <c r="AD259" s="13" t="s">
        <v>78</v>
      </c>
      <c r="AE259" s="13">
        <f t="shared" si="16"/>
        <v>3</v>
      </c>
      <c r="AF259" s="13" t="s">
        <v>71</v>
      </c>
      <c r="AG259" s="13">
        <f t="shared" si="17"/>
        <v>7.7</v>
      </c>
      <c r="AH259" s="13" t="s">
        <v>85</v>
      </c>
      <c r="AI259" s="13">
        <f t="shared" si="18"/>
        <v>4</v>
      </c>
      <c r="AJ259" s="13" t="s">
        <v>73</v>
      </c>
      <c r="AK259" s="13">
        <f t="shared" si="19"/>
        <v>2</v>
      </c>
      <c r="AL259" s="13" t="s">
        <v>78</v>
      </c>
      <c r="AM259" s="13">
        <f t="shared" si="20"/>
        <v>3</v>
      </c>
      <c r="AN259" s="13" t="s">
        <v>85</v>
      </c>
      <c r="AO259" s="13">
        <f t="shared" si="21"/>
        <v>4</v>
      </c>
      <c r="AP259" s="13" t="s">
        <v>85</v>
      </c>
      <c r="AQ259" s="13">
        <f t="shared" si="22"/>
        <v>4</v>
      </c>
      <c r="AR259" s="13" t="s">
        <v>85</v>
      </c>
      <c r="AS259" s="13">
        <f t="shared" si="23"/>
        <v>4</v>
      </c>
      <c r="AT259" s="13" t="s">
        <v>125</v>
      </c>
      <c r="AU259" s="15">
        <f t="shared" si="24"/>
        <v>0</v>
      </c>
      <c r="AV259" s="15">
        <f t="shared" si="25"/>
        <v>0</v>
      </c>
      <c r="AW259" s="13">
        <f t="shared" si="26"/>
        <v>0</v>
      </c>
      <c r="AX259" s="13">
        <f t="shared" si="27"/>
        <v>1</v>
      </c>
      <c r="AY259" s="13">
        <f t="shared" si="28"/>
        <v>0</v>
      </c>
      <c r="AZ259" s="13">
        <f t="shared" si="29"/>
        <v>0</v>
      </c>
      <c r="BA259" s="13">
        <f t="shared" si="30"/>
        <v>0</v>
      </c>
      <c r="BB259" s="13" t="s">
        <v>88</v>
      </c>
      <c r="BC259" s="13">
        <f t="shared" si="31"/>
        <v>2</v>
      </c>
      <c r="BD259" s="15"/>
      <c r="BE259" s="13" t="str">
        <f t="shared" si="46"/>
        <v>N/A</v>
      </c>
      <c r="BF259" s="13" t="s">
        <v>161</v>
      </c>
      <c r="BG259" s="13">
        <f t="shared" si="33"/>
        <v>0</v>
      </c>
      <c r="BH259" s="13">
        <f t="shared" si="34"/>
        <v>0</v>
      </c>
      <c r="BI259" s="13">
        <f t="shared" si="35"/>
        <v>0</v>
      </c>
      <c r="BJ259" s="13">
        <f t="shared" si="36"/>
        <v>1</v>
      </c>
      <c r="BK259" s="13">
        <f t="shared" si="37"/>
        <v>0</v>
      </c>
      <c r="BL259" s="13">
        <f t="shared" si="38"/>
        <v>0</v>
      </c>
      <c r="BM259" s="13">
        <f t="shared" si="39"/>
        <v>0</v>
      </c>
      <c r="BN259" s="13" t="s">
        <v>68</v>
      </c>
      <c r="BO259" s="16">
        <f t="shared" si="40"/>
        <v>1</v>
      </c>
    </row>
    <row r="260">
      <c r="A260" s="13">
        <f t="shared" si="41"/>
        <v>259</v>
      </c>
      <c r="B260" s="14">
        <v>46052.52502408565</v>
      </c>
      <c r="C260" s="13" t="s">
        <v>67</v>
      </c>
      <c r="D260" s="13">
        <f t="shared" si="1"/>
        <v>1</v>
      </c>
      <c r="E260" s="13" t="s">
        <v>68</v>
      </c>
      <c r="F260" s="13">
        <f t="shared" si="2"/>
        <v>1</v>
      </c>
      <c r="G260" s="13" t="s">
        <v>69</v>
      </c>
      <c r="H260" s="13" t="str">
        <f t="shared" si="3"/>
        <v>Rural</v>
      </c>
      <c r="I260" s="13">
        <f t="shared" si="4"/>
        <v>1</v>
      </c>
      <c r="J260" s="13" t="s">
        <v>70</v>
      </c>
      <c r="K260" s="15" t="s">
        <v>100</v>
      </c>
      <c r="L260" s="13">
        <f t="shared" si="5"/>
        <v>3</v>
      </c>
      <c r="M260" s="13" t="s">
        <v>109</v>
      </c>
      <c r="N260" s="13">
        <f t="shared" si="6"/>
        <v>9</v>
      </c>
      <c r="O260" s="13" t="s">
        <v>85</v>
      </c>
      <c r="P260" s="13">
        <f t="shared" si="7"/>
        <v>4</v>
      </c>
      <c r="Q260" s="13" t="s">
        <v>85</v>
      </c>
      <c r="R260" s="13">
        <f t="shared" si="8"/>
        <v>4</v>
      </c>
      <c r="S260" s="13" t="s">
        <v>78</v>
      </c>
      <c r="T260" s="13">
        <f t="shared" si="9"/>
        <v>3</v>
      </c>
      <c r="U260" s="13" t="s">
        <v>74</v>
      </c>
      <c r="V260" s="13">
        <f t="shared" si="10"/>
        <v>1.5</v>
      </c>
      <c r="W260" s="13" t="s">
        <v>143</v>
      </c>
      <c r="X260" s="13">
        <f t="shared" si="11"/>
        <v>1</v>
      </c>
      <c r="Y260" s="13">
        <f t="shared" si="12"/>
        <v>0</v>
      </c>
      <c r="Z260" s="13">
        <f t="shared" si="13"/>
        <v>0</v>
      </c>
      <c r="AA260" s="13">
        <f t="shared" si="14"/>
        <v>0</v>
      </c>
      <c r="AB260" s="13" t="s">
        <v>85</v>
      </c>
      <c r="AC260" s="13">
        <f t="shared" si="15"/>
        <v>4</v>
      </c>
      <c r="AD260" s="13" t="s">
        <v>85</v>
      </c>
      <c r="AE260" s="13">
        <f t="shared" si="16"/>
        <v>4</v>
      </c>
      <c r="AF260" s="13" t="s">
        <v>76</v>
      </c>
      <c r="AG260" s="13">
        <f t="shared" si="17"/>
        <v>5.5</v>
      </c>
      <c r="AH260" s="13" t="s">
        <v>73</v>
      </c>
      <c r="AI260" s="13">
        <f t="shared" si="18"/>
        <v>2</v>
      </c>
      <c r="AJ260" s="13" t="s">
        <v>85</v>
      </c>
      <c r="AK260" s="13">
        <f t="shared" si="19"/>
        <v>4</v>
      </c>
      <c r="AL260" s="13" t="s">
        <v>85</v>
      </c>
      <c r="AM260" s="13">
        <f t="shared" si="20"/>
        <v>4</v>
      </c>
      <c r="AN260" s="13" t="s">
        <v>78</v>
      </c>
      <c r="AO260" s="13">
        <f t="shared" si="21"/>
        <v>3</v>
      </c>
      <c r="AP260" s="13" t="s">
        <v>78</v>
      </c>
      <c r="AQ260" s="13">
        <f t="shared" si="22"/>
        <v>3</v>
      </c>
      <c r="AR260" s="13" t="s">
        <v>85</v>
      </c>
      <c r="AS260" s="13">
        <f t="shared" si="23"/>
        <v>4</v>
      </c>
      <c r="AT260" s="13" t="s">
        <v>147</v>
      </c>
      <c r="AU260" s="15">
        <f t="shared" si="24"/>
        <v>1</v>
      </c>
      <c r="AV260" s="15">
        <f t="shared" si="25"/>
        <v>0</v>
      </c>
      <c r="AW260" s="13">
        <f t="shared" si="26"/>
        <v>0</v>
      </c>
      <c r="AX260" s="13">
        <f t="shared" si="27"/>
        <v>0</v>
      </c>
      <c r="AY260" s="13">
        <f t="shared" si="28"/>
        <v>0</v>
      </c>
      <c r="AZ260" s="13">
        <f t="shared" si="29"/>
        <v>0</v>
      </c>
      <c r="BA260" s="13">
        <f t="shared" si="30"/>
        <v>0</v>
      </c>
      <c r="BB260" s="13" t="s">
        <v>68</v>
      </c>
      <c r="BC260" s="13">
        <f t="shared" si="31"/>
        <v>1</v>
      </c>
      <c r="BD260" s="13" t="s">
        <v>177</v>
      </c>
      <c r="BE260" s="13" t="str">
        <f t="shared" si="46"/>
        <v>Sleep tracker app</v>
      </c>
      <c r="BF260" s="13" t="s">
        <v>107</v>
      </c>
      <c r="BG260" s="13">
        <f t="shared" si="33"/>
        <v>1</v>
      </c>
      <c r="BH260" s="13">
        <f t="shared" si="34"/>
        <v>0</v>
      </c>
      <c r="BI260" s="13">
        <f t="shared" si="35"/>
        <v>0</v>
      </c>
      <c r="BJ260" s="13">
        <f t="shared" si="36"/>
        <v>0</v>
      </c>
      <c r="BK260" s="13">
        <f t="shared" si="37"/>
        <v>0</v>
      </c>
      <c r="BL260" s="13">
        <f t="shared" si="38"/>
        <v>0</v>
      </c>
      <c r="BM260" s="13">
        <f t="shared" si="39"/>
        <v>0</v>
      </c>
      <c r="BN260" s="13" t="s">
        <v>88</v>
      </c>
      <c r="BO260" s="16">
        <f t="shared" si="40"/>
        <v>2</v>
      </c>
    </row>
    <row r="261">
      <c r="A261" s="13">
        <f t="shared" si="41"/>
        <v>260</v>
      </c>
      <c r="B261" s="14">
        <v>46052.525798483795</v>
      </c>
      <c r="C261" s="13" t="s">
        <v>90</v>
      </c>
      <c r="D261" s="13">
        <f t="shared" si="1"/>
        <v>2</v>
      </c>
      <c r="E261" s="13" t="s">
        <v>68</v>
      </c>
      <c r="F261" s="13">
        <f t="shared" si="2"/>
        <v>1</v>
      </c>
      <c r="G261" s="13" t="s">
        <v>91</v>
      </c>
      <c r="H261" s="13" t="str">
        <f t="shared" si="3"/>
        <v>Urban</v>
      </c>
      <c r="I261" s="13">
        <f t="shared" si="4"/>
        <v>2</v>
      </c>
      <c r="J261" s="13" t="s">
        <v>70</v>
      </c>
      <c r="K261" s="15" t="s">
        <v>100</v>
      </c>
      <c r="L261" s="13">
        <f t="shared" si="5"/>
        <v>3</v>
      </c>
      <c r="M261" s="13" t="s">
        <v>76</v>
      </c>
      <c r="N261" s="13">
        <f t="shared" si="6"/>
        <v>5.5</v>
      </c>
      <c r="O261" s="13" t="s">
        <v>78</v>
      </c>
      <c r="P261" s="13">
        <f t="shared" si="7"/>
        <v>3</v>
      </c>
      <c r="Q261" s="13" t="s">
        <v>85</v>
      </c>
      <c r="R261" s="13">
        <f t="shared" si="8"/>
        <v>4</v>
      </c>
      <c r="S261" s="13" t="s">
        <v>78</v>
      </c>
      <c r="T261" s="13">
        <f t="shared" si="9"/>
        <v>3</v>
      </c>
      <c r="U261" s="13" t="s">
        <v>96</v>
      </c>
      <c r="V261" s="13">
        <f t="shared" si="10"/>
        <v>2.5</v>
      </c>
      <c r="W261" s="13" t="s">
        <v>122</v>
      </c>
      <c r="X261" s="13">
        <f t="shared" si="11"/>
        <v>0</v>
      </c>
      <c r="Y261" s="13">
        <f t="shared" si="12"/>
        <v>0</v>
      </c>
      <c r="Z261" s="13">
        <f t="shared" si="13"/>
        <v>1</v>
      </c>
      <c r="AA261" s="13">
        <f t="shared" si="14"/>
        <v>0</v>
      </c>
      <c r="AB261" s="13" t="s">
        <v>73</v>
      </c>
      <c r="AC261" s="13">
        <f t="shared" si="15"/>
        <v>2</v>
      </c>
      <c r="AD261" s="13" t="s">
        <v>73</v>
      </c>
      <c r="AE261" s="13">
        <f t="shared" si="16"/>
        <v>2</v>
      </c>
      <c r="AF261" s="13" t="s">
        <v>71</v>
      </c>
      <c r="AG261" s="13">
        <f t="shared" si="17"/>
        <v>7.7</v>
      </c>
      <c r="AH261" s="13" t="s">
        <v>103</v>
      </c>
      <c r="AI261" s="13">
        <f t="shared" si="18"/>
        <v>5</v>
      </c>
      <c r="AJ261" s="13" t="s">
        <v>73</v>
      </c>
      <c r="AK261" s="13">
        <f t="shared" si="19"/>
        <v>2</v>
      </c>
      <c r="AL261" s="13" t="s">
        <v>78</v>
      </c>
      <c r="AM261" s="13">
        <f t="shared" si="20"/>
        <v>3</v>
      </c>
      <c r="AN261" s="13" t="s">
        <v>78</v>
      </c>
      <c r="AO261" s="13">
        <f t="shared" si="21"/>
        <v>3</v>
      </c>
      <c r="AP261" s="13" t="s">
        <v>85</v>
      </c>
      <c r="AQ261" s="13">
        <f t="shared" si="22"/>
        <v>4</v>
      </c>
      <c r="AR261" s="13" t="s">
        <v>85</v>
      </c>
      <c r="AS261" s="13">
        <f t="shared" si="23"/>
        <v>4</v>
      </c>
      <c r="AT261" s="13" t="s">
        <v>188</v>
      </c>
      <c r="AU261" s="15">
        <f t="shared" si="24"/>
        <v>1</v>
      </c>
      <c r="AV261" s="15">
        <f t="shared" si="25"/>
        <v>1</v>
      </c>
      <c r="AW261" s="13">
        <f t="shared" si="26"/>
        <v>0</v>
      </c>
      <c r="AX261" s="13">
        <f t="shared" si="27"/>
        <v>1</v>
      </c>
      <c r="AY261" s="13">
        <f t="shared" si="28"/>
        <v>0</v>
      </c>
      <c r="AZ261" s="13">
        <f t="shared" si="29"/>
        <v>0</v>
      </c>
      <c r="BA261" s="13">
        <f t="shared" si="30"/>
        <v>0</v>
      </c>
      <c r="BB261" s="13" t="s">
        <v>88</v>
      </c>
      <c r="BC261" s="13">
        <f t="shared" si="31"/>
        <v>2</v>
      </c>
      <c r="BD261" s="15"/>
      <c r="BE261" s="13" t="str">
        <f t="shared" si="46"/>
        <v>N/A</v>
      </c>
      <c r="BF261" s="13" t="s">
        <v>252</v>
      </c>
      <c r="BG261" s="13">
        <f t="shared" si="33"/>
        <v>1</v>
      </c>
      <c r="BH261" s="13">
        <f t="shared" si="34"/>
        <v>1</v>
      </c>
      <c r="BI261" s="13">
        <f t="shared" si="35"/>
        <v>0</v>
      </c>
      <c r="BJ261" s="13">
        <f t="shared" si="36"/>
        <v>0</v>
      </c>
      <c r="BK261" s="13">
        <f t="shared" si="37"/>
        <v>0</v>
      </c>
      <c r="BL261" s="13">
        <f t="shared" si="38"/>
        <v>0</v>
      </c>
      <c r="BM261" s="13">
        <f t="shared" si="39"/>
        <v>0</v>
      </c>
      <c r="BN261" s="13" t="s">
        <v>108</v>
      </c>
      <c r="BO261" s="16">
        <f t="shared" si="40"/>
        <v>3</v>
      </c>
    </row>
    <row r="262">
      <c r="A262" s="13">
        <f t="shared" si="41"/>
        <v>261</v>
      </c>
      <c r="B262" s="14">
        <v>46052.529994895835</v>
      </c>
      <c r="C262" s="13" t="s">
        <v>90</v>
      </c>
      <c r="D262" s="13">
        <f t="shared" si="1"/>
        <v>2</v>
      </c>
      <c r="E262" s="13" t="s">
        <v>68</v>
      </c>
      <c r="F262" s="13">
        <f t="shared" si="2"/>
        <v>1</v>
      </c>
      <c r="G262" s="13" t="s">
        <v>82</v>
      </c>
      <c r="H262" s="13" t="str">
        <f t="shared" si="3"/>
        <v>Urban</v>
      </c>
      <c r="I262" s="13">
        <f t="shared" si="4"/>
        <v>2</v>
      </c>
      <c r="J262" s="13" t="s">
        <v>70</v>
      </c>
      <c r="K262" s="15" t="s">
        <v>100</v>
      </c>
      <c r="L262" s="13">
        <f t="shared" si="5"/>
        <v>3</v>
      </c>
      <c r="M262" s="13" t="s">
        <v>76</v>
      </c>
      <c r="N262" s="13">
        <f t="shared" si="6"/>
        <v>5.5</v>
      </c>
      <c r="O262" s="13" t="s">
        <v>78</v>
      </c>
      <c r="P262" s="13">
        <f t="shared" si="7"/>
        <v>3</v>
      </c>
      <c r="Q262" s="13" t="s">
        <v>78</v>
      </c>
      <c r="R262" s="13">
        <f t="shared" si="8"/>
        <v>3</v>
      </c>
      <c r="S262" s="13" t="s">
        <v>78</v>
      </c>
      <c r="T262" s="13">
        <f t="shared" si="9"/>
        <v>3</v>
      </c>
      <c r="U262" s="13" t="s">
        <v>74</v>
      </c>
      <c r="V262" s="13">
        <f t="shared" si="10"/>
        <v>1.5</v>
      </c>
      <c r="W262" s="13" t="s">
        <v>111</v>
      </c>
      <c r="X262" s="13">
        <f t="shared" si="11"/>
        <v>1</v>
      </c>
      <c r="Y262" s="13">
        <f t="shared" si="12"/>
        <v>1</v>
      </c>
      <c r="Z262" s="13">
        <f t="shared" si="13"/>
        <v>0</v>
      </c>
      <c r="AA262" s="13">
        <f t="shared" si="14"/>
        <v>1</v>
      </c>
      <c r="AB262" s="13" t="s">
        <v>73</v>
      </c>
      <c r="AC262" s="13">
        <f t="shared" si="15"/>
        <v>2</v>
      </c>
      <c r="AD262" s="13" t="s">
        <v>73</v>
      </c>
      <c r="AE262" s="13">
        <f t="shared" si="16"/>
        <v>2</v>
      </c>
      <c r="AF262" s="13" t="s">
        <v>76</v>
      </c>
      <c r="AG262" s="13">
        <f t="shared" si="17"/>
        <v>5.5</v>
      </c>
      <c r="AH262" s="13" t="s">
        <v>85</v>
      </c>
      <c r="AI262" s="13">
        <f t="shared" si="18"/>
        <v>4</v>
      </c>
      <c r="AJ262" s="13" t="s">
        <v>73</v>
      </c>
      <c r="AK262" s="13">
        <f t="shared" si="19"/>
        <v>2</v>
      </c>
      <c r="AL262" s="13" t="s">
        <v>78</v>
      </c>
      <c r="AM262" s="13">
        <f t="shared" si="20"/>
        <v>3</v>
      </c>
      <c r="AN262" s="13" t="s">
        <v>78</v>
      </c>
      <c r="AO262" s="13">
        <f t="shared" si="21"/>
        <v>3</v>
      </c>
      <c r="AP262" s="13" t="s">
        <v>78</v>
      </c>
      <c r="AQ262" s="13">
        <f t="shared" si="22"/>
        <v>3</v>
      </c>
      <c r="AR262" s="13" t="s">
        <v>85</v>
      </c>
      <c r="AS262" s="13">
        <f t="shared" si="23"/>
        <v>4</v>
      </c>
      <c r="AT262" s="13" t="s">
        <v>266</v>
      </c>
      <c r="AU262" s="15">
        <f t="shared" si="24"/>
        <v>1</v>
      </c>
      <c r="AV262" s="15">
        <f t="shared" si="25"/>
        <v>1</v>
      </c>
      <c r="AW262" s="13">
        <f t="shared" si="26"/>
        <v>0</v>
      </c>
      <c r="AX262" s="13">
        <f t="shared" si="27"/>
        <v>1</v>
      </c>
      <c r="AY262" s="13">
        <f t="shared" si="28"/>
        <v>0</v>
      </c>
      <c r="AZ262" s="13">
        <f t="shared" si="29"/>
        <v>1</v>
      </c>
      <c r="BA262" s="13">
        <f t="shared" si="30"/>
        <v>0</v>
      </c>
      <c r="BB262" s="13" t="s">
        <v>88</v>
      </c>
      <c r="BC262" s="13">
        <f t="shared" si="31"/>
        <v>2</v>
      </c>
      <c r="BD262" s="15"/>
      <c r="BE262" s="13" t="str">
        <f t="shared" si="46"/>
        <v>N/A</v>
      </c>
      <c r="BF262" s="13" t="s">
        <v>211</v>
      </c>
      <c r="BG262" s="13">
        <f t="shared" si="33"/>
        <v>1</v>
      </c>
      <c r="BH262" s="13">
        <f t="shared" si="34"/>
        <v>0</v>
      </c>
      <c r="BI262" s="13">
        <f t="shared" si="35"/>
        <v>1</v>
      </c>
      <c r="BJ262" s="13">
        <f t="shared" si="36"/>
        <v>1</v>
      </c>
      <c r="BK262" s="13">
        <f t="shared" si="37"/>
        <v>1</v>
      </c>
      <c r="BL262" s="13">
        <f t="shared" si="38"/>
        <v>0</v>
      </c>
      <c r="BM262" s="13">
        <f t="shared" si="39"/>
        <v>0</v>
      </c>
      <c r="BN262" s="13" t="s">
        <v>68</v>
      </c>
      <c r="BO262" s="16">
        <f t="shared" si="40"/>
        <v>1</v>
      </c>
    </row>
    <row r="263">
      <c r="A263" s="13">
        <f t="shared" si="41"/>
        <v>262</v>
      </c>
      <c r="B263" s="14">
        <v>46052.53097241899</v>
      </c>
      <c r="C263" s="13" t="s">
        <v>90</v>
      </c>
      <c r="D263" s="13">
        <f t="shared" si="1"/>
        <v>2</v>
      </c>
      <c r="E263" s="13" t="s">
        <v>68</v>
      </c>
      <c r="F263" s="13">
        <f t="shared" si="2"/>
        <v>1</v>
      </c>
      <c r="G263" s="13" t="s">
        <v>82</v>
      </c>
      <c r="H263" s="13" t="str">
        <f t="shared" si="3"/>
        <v>Urban</v>
      </c>
      <c r="I263" s="13">
        <f t="shared" si="4"/>
        <v>2</v>
      </c>
      <c r="J263" s="13" t="s">
        <v>70</v>
      </c>
      <c r="K263" s="15" t="s">
        <v>100</v>
      </c>
      <c r="L263" s="13">
        <f t="shared" si="5"/>
        <v>3</v>
      </c>
      <c r="M263" s="13" t="s">
        <v>71</v>
      </c>
      <c r="N263" s="13">
        <f t="shared" si="6"/>
        <v>7.7</v>
      </c>
      <c r="O263" s="13" t="s">
        <v>85</v>
      </c>
      <c r="P263" s="13">
        <f t="shared" si="7"/>
        <v>4</v>
      </c>
      <c r="Q263" s="13" t="s">
        <v>85</v>
      </c>
      <c r="R263" s="13">
        <f t="shared" si="8"/>
        <v>4</v>
      </c>
      <c r="S263" s="13" t="s">
        <v>85</v>
      </c>
      <c r="T263" s="13">
        <f t="shared" si="9"/>
        <v>4</v>
      </c>
      <c r="U263" s="13" t="s">
        <v>110</v>
      </c>
      <c r="V263" s="13">
        <f t="shared" si="10"/>
        <v>0.75</v>
      </c>
      <c r="W263" s="13" t="s">
        <v>105</v>
      </c>
      <c r="X263" s="13">
        <f t="shared" si="11"/>
        <v>1</v>
      </c>
      <c r="Y263" s="13">
        <f t="shared" si="12"/>
        <v>1</v>
      </c>
      <c r="Z263" s="13">
        <f t="shared" si="13"/>
        <v>0</v>
      </c>
      <c r="AA263" s="13">
        <f t="shared" si="14"/>
        <v>0</v>
      </c>
      <c r="AB263" s="13" t="s">
        <v>78</v>
      </c>
      <c r="AC263" s="13">
        <f t="shared" si="15"/>
        <v>3</v>
      </c>
      <c r="AD263" s="13" t="s">
        <v>78</v>
      </c>
      <c r="AE263" s="13">
        <f t="shared" si="16"/>
        <v>3</v>
      </c>
      <c r="AF263" s="13" t="s">
        <v>76</v>
      </c>
      <c r="AG263" s="13">
        <f t="shared" si="17"/>
        <v>5.5</v>
      </c>
      <c r="AH263" s="13" t="s">
        <v>78</v>
      </c>
      <c r="AI263" s="13">
        <f t="shared" si="18"/>
        <v>3</v>
      </c>
      <c r="AJ263" s="13" t="s">
        <v>73</v>
      </c>
      <c r="AK263" s="13">
        <f t="shared" si="19"/>
        <v>2</v>
      </c>
      <c r="AL263" s="13" t="s">
        <v>73</v>
      </c>
      <c r="AM263" s="13">
        <f t="shared" si="20"/>
        <v>2</v>
      </c>
      <c r="AN263" s="13" t="s">
        <v>85</v>
      </c>
      <c r="AO263" s="13">
        <f t="shared" si="21"/>
        <v>4</v>
      </c>
      <c r="AP263" s="13" t="s">
        <v>85</v>
      </c>
      <c r="AQ263" s="13">
        <f t="shared" si="22"/>
        <v>4</v>
      </c>
      <c r="AR263" s="13" t="s">
        <v>78</v>
      </c>
      <c r="AS263" s="13">
        <f t="shared" si="23"/>
        <v>3</v>
      </c>
      <c r="AT263" s="13" t="s">
        <v>242</v>
      </c>
      <c r="AU263" s="15">
        <f t="shared" si="24"/>
        <v>1</v>
      </c>
      <c r="AV263" s="15">
        <f t="shared" si="25"/>
        <v>0</v>
      </c>
      <c r="AW263" s="13">
        <f t="shared" si="26"/>
        <v>0</v>
      </c>
      <c r="AX263" s="13">
        <f t="shared" si="27"/>
        <v>0</v>
      </c>
      <c r="AY263" s="13">
        <f t="shared" si="28"/>
        <v>0</v>
      </c>
      <c r="AZ263" s="13">
        <f t="shared" si="29"/>
        <v>1</v>
      </c>
      <c r="BA263" s="13">
        <f t="shared" si="30"/>
        <v>0</v>
      </c>
      <c r="BB263" s="13" t="s">
        <v>88</v>
      </c>
      <c r="BC263" s="13">
        <f t="shared" si="31"/>
        <v>2</v>
      </c>
      <c r="BD263" s="15"/>
      <c r="BE263" s="13" t="str">
        <f t="shared" si="46"/>
        <v>N/A</v>
      </c>
      <c r="BF263" s="13" t="s">
        <v>233</v>
      </c>
      <c r="BG263" s="13">
        <f t="shared" si="33"/>
        <v>1</v>
      </c>
      <c r="BH263" s="13">
        <f t="shared" si="34"/>
        <v>0</v>
      </c>
      <c r="BI263" s="13">
        <f t="shared" si="35"/>
        <v>1</v>
      </c>
      <c r="BJ263" s="13">
        <f t="shared" si="36"/>
        <v>0</v>
      </c>
      <c r="BK263" s="13">
        <f t="shared" si="37"/>
        <v>0</v>
      </c>
      <c r="BL263" s="13">
        <f t="shared" si="38"/>
        <v>1</v>
      </c>
      <c r="BM263" s="13">
        <f t="shared" si="39"/>
        <v>0</v>
      </c>
      <c r="BN263" s="13" t="s">
        <v>68</v>
      </c>
      <c r="BO263" s="16">
        <f t="shared" si="40"/>
        <v>1</v>
      </c>
    </row>
    <row r="264">
      <c r="A264" s="13">
        <f t="shared" si="41"/>
        <v>263</v>
      </c>
      <c r="B264" s="14">
        <v>46052.53132159723</v>
      </c>
      <c r="C264" s="13" t="s">
        <v>90</v>
      </c>
      <c r="D264" s="13">
        <f t="shared" si="1"/>
        <v>2</v>
      </c>
      <c r="E264" s="13" t="s">
        <v>68</v>
      </c>
      <c r="F264" s="13">
        <f t="shared" si="2"/>
        <v>1</v>
      </c>
      <c r="G264" s="13" t="s">
        <v>69</v>
      </c>
      <c r="H264" s="13" t="str">
        <f t="shared" si="3"/>
        <v>Rural</v>
      </c>
      <c r="I264" s="13">
        <f t="shared" si="4"/>
        <v>1</v>
      </c>
      <c r="J264" s="13" t="s">
        <v>70</v>
      </c>
      <c r="K264" s="15" t="s">
        <v>100</v>
      </c>
      <c r="L264" s="13">
        <f t="shared" si="5"/>
        <v>3</v>
      </c>
      <c r="M264" s="13" t="s">
        <v>71</v>
      </c>
      <c r="N264" s="13">
        <f t="shared" si="6"/>
        <v>7.7</v>
      </c>
      <c r="O264" s="13" t="s">
        <v>72</v>
      </c>
      <c r="P264" s="13">
        <f t="shared" si="7"/>
        <v>1</v>
      </c>
      <c r="Q264" s="13" t="s">
        <v>85</v>
      </c>
      <c r="R264" s="13">
        <f t="shared" si="8"/>
        <v>4</v>
      </c>
      <c r="S264" s="13" t="s">
        <v>73</v>
      </c>
      <c r="T264" s="13">
        <f t="shared" si="9"/>
        <v>2</v>
      </c>
      <c r="U264" s="13" t="s">
        <v>110</v>
      </c>
      <c r="V264" s="13">
        <f t="shared" si="10"/>
        <v>0.75</v>
      </c>
      <c r="W264" s="13" t="s">
        <v>75</v>
      </c>
      <c r="X264" s="13">
        <f t="shared" si="11"/>
        <v>0</v>
      </c>
      <c r="Y264" s="13">
        <f t="shared" si="12"/>
        <v>1</v>
      </c>
      <c r="Z264" s="13">
        <f t="shared" si="13"/>
        <v>0</v>
      </c>
      <c r="AA264" s="13">
        <f t="shared" si="14"/>
        <v>1</v>
      </c>
      <c r="AB264" s="13" t="s">
        <v>78</v>
      </c>
      <c r="AC264" s="13">
        <f t="shared" si="15"/>
        <v>3</v>
      </c>
      <c r="AD264" s="13" t="s">
        <v>78</v>
      </c>
      <c r="AE264" s="13">
        <f t="shared" si="16"/>
        <v>3</v>
      </c>
      <c r="AF264" s="13" t="s">
        <v>71</v>
      </c>
      <c r="AG264" s="13">
        <f t="shared" si="17"/>
        <v>7.7</v>
      </c>
      <c r="AH264" s="13" t="s">
        <v>78</v>
      </c>
      <c r="AI264" s="13">
        <f t="shared" si="18"/>
        <v>3</v>
      </c>
      <c r="AJ264" s="13" t="s">
        <v>78</v>
      </c>
      <c r="AK264" s="13">
        <f t="shared" si="19"/>
        <v>3</v>
      </c>
      <c r="AL264" s="13" t="s">
        <v>78</v>
      </c>
      <c r="AM264" s="13">
        <f t="shared" si="20"/>
        <v>3</v>
      </c>
      <c r="AN264" s="13" t="s">
        <v>78</v>
      </c>
      <c r="AO264" s="13">
        <f t="shared" si="21"/>
        <v>3</v>
      </c>
      <c r="AP264" s="13" t="s">
        <v>78</v>
      </c>
      <c r="AQ264" s="13">
        <f t="shared" si="22"/>
        <v>3</v>
      </c>
      <c r="AR264" s="13" t="s">
        <v>78</v>
      </c>
      <c r="AS264" s="13">
        <f t="shared" si="23"/>
        <v>3</v>
      </c>
      <c r="AT264" s="13" t="s">
        <v>133</v>
      </c>
      <c r="AU264" s="15">
        <f t="shared" si="24"/>
        <v>0</v>
      </c>
      <c r="AV264" s="15">
        <f t="shared" si="25"/>
        <v>1</v>
      </c>
      <c r="AW264" s="13">
        <f t="shared" si="26"/>
        <v>0</v>
      </c>
      <c r="AX264" s="13">
        <f t="shared" si="27"/>
        <v>0</v>
      </c>
      <c r="AY264" s="13">
        <f t="shared" si="28"/>
        <v>0</v>
      </c>
      <c r="AZ264" s="13">
        <f t="shared" si="29"/>
        <v>0</v>
      </c>
      <c r="BA264" s="13">
        <f t="shared" si="30"/>
        <v>0</v>
      </c>
      <c r="BB264" s="13" t="s">
        <v>88</v>
      </c>
      <c r="BC264" s="13">
        <f t="shared" si="31"/>
        <v>2</v>
      </c>
      <c r="BD264" s="15"/>
      <c r="BE264" s="13" t="str">
        <f t="shared" si="46"/>
        <v>N/A</v>
      </c>
      <c r="BF264" s="13" t="s">
        <v>129</v>
      </c>
      <c r="BG264" s="13">
        <f t="shared" si="33"/>
        <v>0</v>
      </c>
      <c r="BH264" s="13">
        <f t="shared" si="34"/>
        <v>0</v>
      </c>
      <c r="BI264" s="13">
        <f t="shared" si="35"/>
        <v>0</v>
      </c>
      <c r="BJ264" s="13">
        <f t="shared" si="36"/>
        <v>0</v>
      </c>
      <c r="BK264" s="13">
        <f t="shared" si="37"/>
        <v>0</v>
      </c>
      <c r="BL264" s="13">
        <f t="shared" si="38"/>
        <v>1</v>
      </c>
      <c r="BM264" s="13">
        <f t="shared" si="39"/>
        <v>0</v>
      </c>
      <c r="BN264" s="13" t="s">
        <v>88</v>
      </c>
      <c r="BO264" s="16">
        <f t="shared" si="40"/>
        <v>2</v>
      </c>
    </row>
    <row r="265">
      <c r="A265" s="13">
        <f t="shared" si="41"/>
        <v>264</v>
      </c>
      <c r="B265" s="14">
        <v>46052.5313437963</v>
      </c>
      <c r="C265" s="13" t="s">
        <v>67</v>
      </c>
      <c r="D265" s="13">
        <f t="shared" si="1"/>
        <v>1</v>
      </c>
      <c r="E265" s="13" t="s">
        <v>68</v>
      </c>
      <c r="F265" s="13">
        <f t="shared" si="2"/>
        <v>1</v>
      </c>
      <c r="G265" s="13" t="s">
        <v>82</v>
      </c>
      <c r="H265" s="13" t="str">
        <f t="shared" si="3"/>
        <v>Urban</v>
      </c>
      <c r="I265" s="13">
        <f t="shared" si="4"/>
        <v>2</v>
      </c>
      <c r="J265" s="13" t="s">
        <v>70</v>
      </c>
      <c r="K265" s="15" t="s">
        <v>100</v>
      </c>
      <c r="L265" s="13">
        <f t="shared" si="5"/>
        <v>3</v>
      </c>
      <c r="M265" s="13" t="s">
        <v>109</v>
      </c>
      <c r="N265" s="13">
        <f t="shared" si="6"/>
        <v>9</v>
      </c>
      <c r="O265" s="13" t="s">
        <v>103</v>
      </c>
      <c r="P265" s="13">
        <f t="shared" si="7"/>
        <v>5</v>
      </c>
      <c r="Q265" s="13" t="s">
        <v>78</v>
      </c>
      <c r="R265" s="13">
        <f t="shared" si="8"/>
        <v>3</v>
      </c>
      <c r="S265" s="13" t="s">
        <v>78</v>
      </c>
      <c r="T265" s="13">
        <f t="shared" si="9"/>
        <v>3</v>
      </c>
      <c r="U265" s="13" t="s">
        <v>74</v>
      </c>
      <c r="V265" s="13">
        <f t="shared" si="10"/>
        <v>1.5</v>
      </c>
      <c r="W265" s="13" t="s">
        <v>180</v>
      </c>
      <c r="X265" s="13">
        <f t="shared" si="11"/>
        <v>0</v>
      </c>
      <c r="Y265" s="13">
        <f t="shared" si="12"/>
        <v>1</v>
      </c>
      <c r="Z265" s="13">
        <f t="shared" si="13"/>
        <v>1</v>
      </c>
      <c r="AA265" s="13">
        <f t="shared" si="14"/>
        <v>0</v>
      </c>
      <c r="AB265" s="13" t="s">
        <v>103</v>
      </c>
      <c r="AC265" s="13">
        <f t="shared" si="15"/>
        <v>5</v>
      </c>
      <c r="AD265" s="13" t="s">
        <v>103</v>
      </c>
      <c r="AE265" s="13">
        <f t="shared" si="16"/>
        <v>5</v>
      </c>
      <c r="AF265" s="13" t="s">
        <v>71</v>
      </c>
      <c r="AG265" s="13">
        <f t="shared" si="17"/>
        <v>7.7</v>
      </c>
      <c r="AH265" s="13" t="s">
        <v>78</v>
      </c>
      <c r="AI265" s="13">
        <f t="shared" si="18"/>
        <v>3</v>
      </c>
      <c r="AJ265" s="13" t="s">
        <v>77</v>
      </c>
      <c r="AK265" s="13">
        <f t="shared" si="19"/>
        <v>1</v>
      </c>
      <c r="AL265" s="13" t="s">
        <v>73</v>
      </c>
      <c r="AM265" s="13">
        <f t="shared" si="20"/>
        <v>2</v>
      </c>
      <c r="AN265" s="13" t="s">
        <v>85</v>
      </c>
      <c r="AO265" s="13">
        <f t="shared" si="21"/>
        <v>4</v>
      </c>
      <c r="AP265" s="13" t="s">
        <v>85</v>
      </c>
      <c r="AQ265" s="13">
        <f t="shared" si="22"/>
        <v>4</v>
      </c>
      <c r="AR265" s="13" t="s">
        <v>85</v>
      </c>
      <c r="AS265" s="13">
        <f t="shared" si="23"/>
        <v>4</v>
      </c>
      <c r="AT265" s="13" t="s">
        <v>317</v>
      </c>
      <c r="AU265" s="15">
        <f t="shared" si="24"/>
        <v>1</v>
      </c>
      <c r="AV265" s="15">
        <f t="shared" si="25"/>
        <v>1</v>
      </c>
      <c r="AW265" s="13">
        <f t="shared" si="26"/>
        <v>0</v>
      </c>
      <c r="AX265" s="13">
        <f t="shared" si="27"/>
        <v>0</v>
      </c>
      <c r="AY265" s="13">
        <f t="shared" si="28"/>
        <v>1</v>
      </c>
      <c r="AZ265" s="13">
        <f t="shared" si="29"/>
        <v>1</v>
      </c>
      <c r="BA265" s="13">
        <f t="shared" si="30"/>
        <v>0</v>
      </c>
      <c r="BB265" s="13" t="s">
        <v>88</v>
      </c>
      <c r="BC265" s="13">
        <f t="shared" si="31"/>
        <v>2</v>
      </c>
      <c r="BD265" s="15"/>
      <c r="BE265" s="13" t="str">
        <f t="shared" si="46"/>
        <v>N/A</v>
      </c>
      <c r="BF265" s="13" t="s">
        <v>89</v>
      </c>
      <c r="BG265" s="13">
        <f t="shared" si="33"/>
        <v>1</v>
      </c>
      <c r="BH265" s="13">
        <f t="shared" si="34"/>
        <v>1</v>
      </c>
      <c r="BI265" s="13">
        <f t="shared" si="35"/>
        <v>1</v>
      </c>
      <c r="BJ265" s="13">
        <f t="shared" si="36"/>
        <v>1</v>
      </c>
      <c r="BK265" s="13">
        <f t="shared" si="37"/>
        <v>1</v>
      </c>
      <c r="BL265" s="13">
        <f t="shared" si="38"/>
        <v>1</v>
      </c>
      <c r="BM265" s="13">
        <f t="shared" si="39"/>
        <v>1</v>
      </c>
      <c r="BN265" s="13" t="s">
        <v>68</v>
      </c>
      <c r="BO265" s="16">
        <f t="shared" si="40"/>
        <v>1</v>
      </c>
    </row>
    <row r="266">
      <c r="A266" s="13">
        <f t="shared" si="41"/>
        <v>265</v>
      </c>
      <c r="B266" s="14">
        <v>46052.53222461806</v>
      </c>
      <c r="C266" s="13" t="s">
        <v>90</v>
      </c>
      <c r="D266" s="13">
        <f t="shared" si="1"/>
        <v>2</v>
      </c>
      <c r="E266" s="13" t="s">
        <v>68</v>
      </c>
      <c r="F266" s="13">
        <f t="shared" si="2"/>
        <v>1</v>
      </c>
      <c r="G266" s="13" t="s">
        <v>82</v>
      </c>
      <c r="H266" s="13" t="str">
        <f t="shared" si="3"/>
        <v>Urban</v>
      </c>
      <c r="I266" s="13">
        <f t="shared" si="4"/>
        <v>2</v>
      </c>
      <c r="J266" s="13" t="s">
        <v>83</v>
      </c>
      <c r="K266" s="15" t="s">
        <v>84</v>
      </c>
      <c r="L266" s="13">
        <f t="shared" si="5"/>
        <v>2</v>
      </c>
      <c r="M266" s="13" t="s">
        <v>76</v>
      </c>
      <c r="N266" s="13">
        <f t="shared" si="6"/>
        <v>5.5</v>
      </c>
      <c r="O266" s="13" t="s">
        <v>73</v>
      </c>
      <c r="P266" s="13">
        <f t="shared" si="7"/>
        <v>2</v>
      </c>
      <c r="Q266" s="13" t="s">
        <v>103</v>
      </c>
      <c r="R266" s="13">
        <f t="shared" si="8"/>
        <v>5</v>
      </c>
      <c r="S266" s="13" t="s">
        <v>73</v>
      </c>
      <c r="T266" s="13">
        <f t="shared" si="9"/>
        <v>2</v>
      </c>
      <c r="U266" s="13" t="s">
        <v>74</v>
      </c>
      <c r="V266" s="13">
        <f t="shared" si="10"/>
        <v>1.5</v>
      </c>
      <c r="W266" s="13" t="s">
        <v>93</v>
      </c>
      <c r="X266" s="13">
        <f t="shared" si="11"/>
        <v>0</v>
      </c>
      <c r="Y266" s="13">
        <f t="shared" si="12"/>
        <v>1</v>
      </c>
      <c r="Z266" s="13">
        <f t="shared" si="13"/>
        <v>0</v>
      </c>
      <c r="AA266" s="13">
        <f t="shared" si="14"/>
        <v>0</v>
      </c>
      <c r="AB266" s="13" t="s">
        <v>85</v>
      </c>
      <c r="AC266" s="13">
        <f t="shared" si="15"/>
        <v>4</v>
      </c>
      <c r="AD266" s="13" t="s">
        <v>85</v>
      </c>
      <c r="AE266" s="13">
        <f t="shared" si="16"/>
        <v>4</v>
      </c>
      <c r="AF266" s="13" t="s">
        <v>71</v>
      </c>
      <c r="AG266" s="13">
        <f t="shared" si="17"/>
        <v>7.7</v>
      </c>
      <c r="AH266" s="13" t="s">
        <v>103</v>
      </c>
      <c r="AI266" s="13">
        <f t="shared" si="18"/>
        <v>5</v>
      </c>
      <c r="AJ266" s="13" t="s">
        <v>120</v>
      </c>
      <c r="AK266" s="13">
        <f t="shared" si="19"/>
        <v>5</v>
      </c>
      <c r="AL266" s="13" t="s">
        <v>78</v>
      </c>
      <c r="AM266" s="13">
        <f t="shared" si="20"/>
        <v>3</v>
      </c>
      <c r="AN266" s="13" t="s">
        <v>120</v>
      </c>
      <c r="AO266" s="13">
        <f t="shared" si="21"/>
        <v>5</v>
      </c>
      <c r="AP266" s="13" t="s">
        <v>120</v>
      </c>
      <c r="AQ266" s="13">
        <f t="shared" si="22"/>
        <v>5</v>
      </c>
      <c r="AR266" s="13" t="s">
        <v>120</v>
      </c>
      <c r="AS266" s="13">
        <f t="shared" si="23"/>
        <v>5</v>
      </c>
      <c r="AT266" s="13" t="s">
        <v>147</v>
      </c>
      <c r="AU266" s="15">
        <f t="shared" si="24"/>
        <v>1</v>
      </c>
      <c r="AV266" s="15">
        <f t="shared" si="25"/>
        <v>0</v>
      </c>
      <c r="AW266" s="13">
        <f t="shared" si="26"/>
        <v>0</v>
      </c>
      <c r="AX266" s="13">
        <f t="shared" si="27"/>
        <v>0</v>
      </c>
      <c r="AY266" s="13">
        <f t="shared" si="28"/>
        <v>0</v>
      </c>
      <c r="AZ266" s="13">
        <f t="shared" si="29"/>
        <v>0</v>
      </c>
      <c r="BA266" s="13">
        <f t="shared" si="30"/>
        <v>0</v>
      </c>
      <c r="BB266" s="13" t="s">
        <v>88</v>
      </c>
      <c r="BC266" s="13">
        <f t="shared" si="31"/>
        <v>2</v>
      </c>
      <c r="BD266" s="15"/>
      <c r="BE266" s="13" t="str">
        <f t="shared" si="46"/>
        <v>N/A</v>
      </c>
      <c r="BF266" s="13" t="s">
        <v>117</v>
      </c>
      <c r="BG266" s="13">
        <f t="shared" si="33"/>
        <v>0</v>
      </c>
      <c r="BH266" s="13">
        <f t="shared" si="34"/>
        <v>0</v>
      </c>
      <c r="BI266" s="13">
        <f t="shared" si="35"/>
        <v>1</v>
      </c>
      <c r="BJ266" s="13">
        <f t="shared" si="36"/>
        <v>1</v>
      </c>
      <c r="BK266" s="13">
        <f t="shared" si="37"/>
        <v>0</v>
      </c>
      <c r="BL266" s="13">
        <f t="shared" si="38"/>
        <v>0</v>
      </c>
      <c r="BM266" s="13">
        <f t="shared" si="39"/>
        <v>0</v>
      </c>
      <c r="BN266" s="13" t="s">
        <v>68</v>
      </c>
      <c r="BO266" s="16">
        <f t="shared" si="40"/>
        <v>1</v>
      </c>
    </row>
    <row r="267">
      <c r="A267" s="13">
        <f t="shared" si="41"/>
        <v>266</v>
      </c>
      <c r="B267" s="14">
        <v>46052.53335725694</v>
      </c>
      <c r="C267" s="13" t="s">
        <v>90</v>
      </c>
      <c r="D267" s="13">
        <f t="shared" si="1"/>
        <v>2</v>
      </c>
      <c r="E267" s="13" t="s">
        <v>68</v>
      </c>
      <c r="F267" s="13">
        <f t="shared" si="2"/>
        <v>1</v>
      </c>
      <c r="G267" s="13" t="s">
        <v>69</v>
      </c>
      <c r="H267" s="13" t="str">
        <f t="shared" si="3"/>
        <v>Rural</v>
      </c>
      <c r="I267" s="13">
        <f t="shared" si="4"/>
        <v>1</v>
      </c>
      <c r="J267" s="13" t="s">
        <v>70</v>
      </c>
      <c r="K267" s="15" t="s">
        <v>100</v>
      </c>
      <c r="L267" s="13">
        <f t="shared" si="5"/>
        <v>3</v>
      </c>
      <c r="M267" s="13" t="s">
        <v>71</v>
      </c>
      <c r="N267" s="13">
        <f t="shared" si="6"/>
        <v>7.7</v>
      </c>
      <c r="O267" s="13" t="s">
        <v>78</v>
      </c>
      <c r="P267" s="13">
        <f t="shared" si="7"/>
        <v>3</v>
      </c>
      <c r="Q267" s="13" t="s">
        <v>85</v>
      </c>
      <c r="R267" s="13">
        <f t="shared" si="8"/>
        <v>4</v>
      </c>
      <c r="S267" s="13" t="s">
        <v>73</v>
      </c>
      <c r="T267" s="13">
        <f t="shared" si="9"/>
        <v>2</v>
      </c>
      <c r="U267" s="13" t="s">
        <v>74</v>
      </c>
      <c r="V267" s="13">
        <f t="shared" si="10"/>
        <v>1.5</v>
      </c>
      <c r="W267" s="13" t="s">
        <v>75</v>
      </c>
      <c r="X267" s="13">
        <f t="shared" si="11"/>
        <v>0</v>
      </c>
      <c r="Y267" s="13">
        <f t="shared" si="12"/>
        <v>1</v>
      </c>
      <c r="Z267" s="13">
        <f t="shared" si="13"/>
        <v>0</v>
      </c>
      <c r="AA267" s="13">
        <f t="shared" si="14"/>
        <v>1</v>
      </c>
      <c r="AB267" s="13" t="s">
        <v>73</v>
      </c>
      <c r="AC267" s="13">
        <f t="shared" si="15"/>
        <v>2</v>
      </c>
      <c r="AD267" s="13" t="s">
        <v>78</v>
      </c>
      <c r="AE267" s="13">
        <f t="shared" si="16"/>
        <v>3</v>
      </c>
      <c r="AF267" s="13" t="s">
        <v>71</v>
      </c>
      <c r="AG267" s="13">
        <f t="shared" si="17"/>
        <v>7.7</v>
      </c>
      <c r="AH267" s="13" t="s">
        <v>103</v>
      </c>
      <c r="AI267" s="13">
        <f t="shared" si="18"/>
        <v>5</v>
      </c>
      <c r="AJ267" s="13" t="s">
        <v>78</v>
      </c>
      <c r="AK267" s="13">
        <f t="shared" si="19"/>
        <v>3</v>
      </c>
      <c r="AL267" s="13" t="s">
        <v>85</v>
      </c>
      <c r="AM267" s="13">
        <f t="shared" si="20"/>
        <v>4</v>
      </c>
      <c r="AN267" s="13" t="s">
        <v>85</v>
      </c>
      <c r="AO267" s="13">
        <f t="shared" si="21"/>
        <v>4</v>
      </c>
      <c r="AP267" s="13" t="s">
        <v>78</v>
      </c>
      <c r="AQ267" s="13">
        <f t="shared" si="22"/>
        <v>3</v>
      </c>
      <c r="AR267" s="13" t="s">
        <v>78</v>
      </c>
      <c r="AS267" s="13">
        <f t="shared" si="23"/>
        <v>3</v>
      </c>
      <c r="AT267" s="13" t="s">
        <v>162</v>
      </c>
      <c r="AU267" s="15">
        <f t="shared" si="24"/>
        <v>0</v>
      </c>
      <c r="AV267" s="15">
        <f t="shared" si="25"/>
        <v>0</v>
      </c>
      <c r="AW267" s="13">
        <f t="shared" si="26"/>
        <v>0</v>
      </c>
      <c r="AX267" s="13">
        <f t="shared" si="27"/>
        <v>0</v>
      </c>
      <c r="AY267" s="13">
        <f t="shared" si="28"/>
        <v>0</v>
      </c>
      <c r="AZ267" s="13">
        <f t="shared" si="29"/>
        <v>1</v>
      </c>
      <c r="BA267" s="13">
        <f t="shared" si="30"/>
        <v>0</v>
      </c>
      <c r="BB267" s="13" t="s">
        <v>88</v>
      </c>
      <c r="BC267" s="13">
        <f t="shared" si="31"/>
        <v>2</v>
      </c>
      <c r="BD267" s="15"/>
      <c r="BE267" s="13" t="str">
        <f t="shared" si="46"/>
        <v>N/A</v>
      </c>
      <c r="BF267" s="13" t="s">
        <v>107</v>
      </c>
      <c r="BG267" s="13">
        <f t="shared" si="33"/>
        <v>1</v>
      </c>
      <c r="BH267" s="13">
        <f t="shared" si="34"/>
        <v>0</v>
      </c>
      <c r="BI267" s="13">
        <f t="shared" si="35"/>
        <v>0</v>
      </c>
      <c r="BJ267" s="13">
        <f t="shared" si="36"/>
        <v>0</v>
      </c>
      <c r="BK267" s="13">
        <f t="shared" si="37"/>
        <v>0</v>
      </c>
      <c r="BL267" s="13">
        <f t="shared" si="38"/>
        <v>0</v>
      </c>
      <c r="BM267" s="13">
        <f t="shared" si="39"/>
        <v>0</v>
      </c>
      <c r="BN267" s="13" t="s">
        <v>68</v>
      </c>
      <c r="BO267" s="16">
        <f t="shared" si="40"/>
        <v>1</v>
      </c>
    </row>
    <row r="268">
      <c r="A268" s="13">
        <f t="shared" si="41"/>
        <v>267</v>
      </c>
      <c r="B268" s="14">
        <v>46052.540608020834</v>
      </c>
      <c r="C268" s="13" t="s">
        <v>90</v>
      </c>
      <c r="D268" s="13">
        <f t="shared" si="1"/>
        <v>2</v>
      </c>
      <c r="E268" s="13" t="s">
        <v>68</v>
      </c>
      <c r="F268" s="13">
        <f t="shared" si="2"/>
        <v>1</v>
      </c>
      <c r="G268" s="13" t="s">
        <v>82</v>
      </c>
      <c r="H268" s="13" t="str">
        <f t="shared" si="3"/>
        <v>Urban</v>
      </c>
      <c r="I268" s="13">
        <f t="shared" si="4"/>
        <v>2</v>
      </c>
      <c r="J268" s="13" t="s">
        <v>70</v>
      </c>
      <c r="K268" s="15" t="s">
        <v>100</v>
      </c>
      <c r="L268" s="13">
        <f t="shared" si="5"/>
        <v>3</v>
      </c>
      <c r="M268" s="13" t="s">
        <v>71</v>
      </c>
      <c r="N268" s="13">
        <f t="shared" si="6"/>
        <v>7.7</v>
      </c>
      <c r="O268" s="13" t="s">
        <v>85</v>
      </c>
      <c r="P268" s="13">
        <f t="shared" si="7"/>
        <v>4</v>
      </c>
      <c r="Q268" s="13" t="s">
        <v>78</v>
      </c>
      <c r="R268" s="13">
        <f t="shared" si="8"/>
        <v>3</v>
      </c>
      <c r="S268" s="13" t="s">
        <v>78</v>
      </c>
      <c r="T268" s="13">
        <f t="shared" si="9"/>
        <v>3</v>
      </c>
      <c r="U268" s="13" t="s">
        <v>110</v>
      </c>
      <c r="V268" s="13">
        <f t="shared" si="10"/>
        <v>0.75</v>
      </c>
      <c r="W268" s="13" t="s">
        <v>93</v>
      </c>
      <c r="X268" s="13">
        <f t="shared" si="11"/>
        <v>0</v>
      </c>
      <c r="Y268" s="13">
        <f t="shared" si="12"/>
        <v>1</v>
      </c>
      <c r="Z268" s="13">
        <f t="shared" si="13"/>
        <v>0</v>
      </c>
      <c r="AA268" s="13">
        <f t="shared" si="14"/>
        <v>0</v>
      </c>
      <c r="AB268" s="13" t="s">
        <v>78</v>
      </c>
      <c r="AC268" s="13">
        <f t="shared" si="15"/>
        <v>3</v>
      </c>
      <c r="AD268" s="13" t="s">
        <v>73</v>
      </c>
      <c r="AE268" s="13">
        <f t="shared" si="16"/>
        <v>2</v>
      </c>
      <c r="AF268" s="13" t="s">
        <v>76</v>
      </c>
      <c r="AG268" s="13">
        <f t="shared" si="17"/>
        <v>5.5</v>
      </c>
      <c r="AH268" s="13" t="s">
        <v>73</v>
      </c>
      <c r="AI268" s="13">
        <f t="shared" si="18"/>
        <v>2</v>
      </c>
      <c r="AJ268" s="13" t="s">
        <v>73</v>
      </c>
      <c r="AK268" s="13">
        <f t="shared" si="19"/>
        <v>2</v>
      </c>
      <c r="AL268" s="13" t="s">
        <v>73</v>
      </c>
      <c r="AM268" s="13">
        <f t="shared" si="20"/>
        <v>2</v>
      </c>
      <c r="AN268" s="13" t="s">
        <v>73</v>
      </c>
      <c r="AO268" s="13">
        <f t="shared" si="21"/>
        <v>2</v>
      </c>
      <c r="AP268" s="13" t="s">
        <v>73</v>
      </c>
      <c r="AQ268" s="13">
        <f t="shared" si="22"/>
        <v>2</v>
      </c>
      <c r="AR268" s="13" t="s">
        <v>73</v>
      </c>
      <c r="AS268" s="13">
        <f t="shared" si="23"/>
        <v>2</v>
      </c>
      <c r="AT268" s="13" t="s">
        <v>318</v>
      </c>
      <c r="AU268" s="15">
        <f t="shared" si="24"/>
        <v>0</v>
      </c>
      <c r="AV268" s="15">
        <f t="shared" si="25"/>
        <v>0</v>
      </c>
      <c r="AW268" s="13">
        <f t="shared" si="26"/>
        <v>0</v>
      </c>
      <c r="AX268" s="13">
        <f t="shared" si="27"/>
        <v>0</v>
      </c>
      <c r="AY268" s="13">
        <f t="shared" si="28"/>
        <v>1</v>
      </c>
      <c r="AZ268" s="13">
        <f t="shared" si="29"/>
        <v>1</v>
      </c>
      <c r="BA268" s="13">
        <f t="shared" si="30"/>
        <v>0</v>
      </c>
      <c r="BB268" s="13" t="s">
        <v>88</v>
      </c>
      <c r="BC268" s="13">
        <f t="shared" si="31"/>
        <v>2</v>
      </c>
      <c r="BD268" s="15"/>
      <c r="BE268" s="13" t="str">
        <f t="shared" si="46"/>
        <v>N/A</v>
      </c>
      <c r="BF268" s="13" t="s">
        <v>95</v>
      </c>
      <c r="BG268" s="13">
        <f t="shared" si="33"/>
        <v>1</v>
      </c>
      <c r="BH268" s="13">
        <f t="shared" si="34"/>
        <v>0</v>
      </c>
      <c r="BI268" s="13">
        <f t="shared" si="35"/>
        <v>1</v>
      </c>
      <c r="BJ268" s="13">
        <f t="shared" si="36"/>
        <v>1</v>
      </c>
      <c r="BK268" s="13">
        <f t="shared" si="37"/>
        <v>0</v>
      </c>
      <c r="BL268" s="13">
        <f t="shared" si="38"/>
        <v>0</v>
      </c>
      <c r="BM268" s="13">
        <f t="shared" si="39"/>
        <v>0</v>
      </c>
      <c r="BN268" s="13" t="s">
        <v>68</v>
      </c>
      <c r="BO268" s="16">
        <f t="shared" si="40"/>
        <v>1</v>
      </c>
    </row>
    <row r="269">
      <c r="A269" s="13">
        <f t="shared" si="41"/>
        <v>268</v>
      </c>
      <c r="B269" s="14">
        <v>46052.542618437496</v>
      </c>
      <c r="C269" s="13" t="s">
        <v>90</v>
      </c>
      <c r="D269" s="13">
        <f t="shared" si="1"/>
        <v>2</v>
      </c>
      <c r="E269" s="13" t="s">
        <v>68</v>
      </c>
      <c r="F269" s="13">
        <f t="shared" si="2"/>
        <v>1</v>
      </c>
      <c r="G269" s="13" t="s">
        <v>82</v>
      </c>
      <c r="H269" s="13" t="str">
        <f t="shared" si="3"/>
        <v>Urban</v>
      </c>
      <c r="I269" s="13">
        <f t="shared" si="4"/>
        <v>2</v>
      </c>
      <c r="J269" s="13" t="s">
        <v>83</v>
      </c>
      <c r="K269" s="15" t="s">
        <v>84</v>
      </c>
      <c r="L269" s="13">
        <f t="shared" si="5"/>
        <v>2</v>
      </c>
      <c r="M269" s="13" t="s">
        <v>71</v>
      </c>
      <c r="N269" s="13">
        <f t="shared" si="6"/>
        <v>7.7</v>
      </c>
      <c r="O269" s="13" t="s">
        <v>85</v>
      </c>
      <c r="P269" s="13">
        <f t="shared" si="7"/>
        <v>4</v>
      </c>
      <c r="Q269" s="13" t="s">
        <v>78</v>
      </c>
      <c r="R269" s="13">
        <f t="shared" si="8"/>
        <v>3</v>
      </c>
      <c r="S269" s="13" t="s">
        <v>103</v>
      </c>
      <c r="T269" s="13">
        <f t="shared" si="9"/>
        <v>5</v>
      </c>
      <c r="U269" s="13" t="s">
        <v>74</v>
      </c>
      <c r="V269" s="13">
        <f t="shared" si="10"/>
        <v>1.5</v>
      </c>
      <c r="W269" s="13" t="s">
        <v>319</v>
      </c>
      <c r="X269" s="13">
        <f t="shared" si="11"/>
        <v>1</v>
      </c>
      <c r="Y269" s="13">
        <f t="shared" si="12"/>
        <v>1</v>
      </c>
      <c r="Z269" s="13">
        <f t="shared" si="13"/>
        <v>0</v>
      </c>
      <c r="AA269" s="13">
        <f t="shared" si="14"/>
        <v>1</v>
      </c>
      <c r="AB269" s="13" t="s">
        <v>85</v>
      </c>
      <c r="AC269" s="13">
        <f t="shared" si="15"/>
        <v>4</v>
      </c>
      <c r="AD269" s="13" t="s">
        <v>78</v>
      </c>
      <c r="AE269" s="13">
        <f t="shared" si="16"/>
        <v>3</v>
      </c>
      <c r="AF269" s="13" t="s">
        <v>76</v>
      </c>
      <c r="AG269" s="13">
        <f t="shared" si="17"/>
        <v>5.5</v>
      </c>
      <c r="AH269" s="13" t="s">
        <v>78</v>
      </c>
      <c r="AI269" s="13">
        <f t="shared" si="18"/>
        <v>3</v>
      </c>
      <c r="AJ269" s="13" t="s">
        <v>77</v>
      </c>
      <c r="AK269" s="13">
        <f t="shared" si="19"/>
        <v>1</v>
      </c>
      <c r="AL269" s="13" t="s">
        <v>85</v>
      </c>
      <c r="AM269" s="13">
        <f t="shared" si="20"/>
        <v>4</v>
      </c>
      <c r="AN269" s="13" t="s">
        <v>78</v>
      </c>
      <c r="AO269" s="13">
        <f t="shared" si="21"/>
        <v>3</v>
      </c>
      <c r="AP269" s="13" t="s">
        <v>78</v>
      </c>
      <c r="AQ269" s="13">
        <f t="shared" si="22"/>
        <v>3</v>
      </c>
      <c r="AR269" s="13" t="s">
        <v>78</v>
      </c>
      <c r="AS269" s="13">
        <f t="shared" si="23"/>
        <v>3</v>
      </c>
      <c r="AT269" s="13" t="s">
        <v>165</v>
      </c>
      <c r="AU269" s="15">
        <f t="shared" si="24"/>
        <v>1</v>
      </c>
      <c r="AV269" s="15">
        <f t="shared" si="25"/>
        <v>1</v>
      </c>
      <c r="AW269" s="13">
        <f t="shared" si="26"/>
        <v>0</v>
      </c>
      <c r="AX269" s="13">
        <f t="shared" si="27"/>
        <v>1</v>
      </c>
      <c r="AY269" s="13">
        <f t="shared" si="28"/>
        <v>1</v>
      </c>
      <c r="AZ269" s="13">
        <f t="shared" si="29"/>
        <v>1</v>
      </c>
      <c r="BA269" s="13">
        <f t="shared" si="30"/>
        <v>1</v>
      </c>
      <c r="BB269" s="13" t="s">
        <v>88</v>
      </c>
      <c r="BC269" s="13">
        <f t="shared" si="31"/>
        <v>2</v>
      </c>
      <c r="BD269" s="15"/>
      <c r="BE269" s="13" t="str">
        <f t="shared" si="46"/>
        <v>N/A</v>
      </c>
      <c r="BF269" s="13" t="s">
        <v>320</v>
      </c>
      <c r="BG269" s="13">
        <f t="shared" si="33"/>
        <v>0</v>
      </c>
      <c r="BH269" s="13">
        <f t="shared" si="34"/>
        <v>1</v>
      </c>
      <c r="BI269" s="13">
        <f t="shared" si="35"/>
        <v>0</v>
      </c>
      <c r="BJ269" s="13">
        <f t="shared" si="36"/>
        <v>0</v>
      </c>
      <c r="BK269" s="13">
        <f t="shared" si="37"/>
        <v>1</v>
      </c>
      <c r="BL269" s="13">
        <f t="shared" si="38"/>
        <v>0</v>
      </c>
      <c r="BM269" s="13">
        <f t="shared" si="39"/>
        <v>0</v>
      </c>
      <c r="BN269" s="13" t="s">
        <v>68</v>
      </c>
      <c r="BO269" s="16">
        <f t="shared" si="40"/>
        <v>1</v>
      </c>
    </row>
    <row r="270">
      <c r="A270" s="13">
        <f t="shared" si="41"/>
        <v>269</v>
      </c>
      <c r="B270" s="14">
        <v>46052.5480771875</v>
      </c>
      <c r="C270" s="13" t="s">
        <v>90</v>
      </c>
      <c r="D270" s="13">
        <f t="shared" si="1"/>
        <v>2</v>
      </c>
      <c r="E270" s="13" t="s">
        <v>68</v>
      </c>
      <c r="F270" s="13">
        <f t="shared" si="2"/>
        <v>1</v>
      </c>
      <c r="G270" s="13" t="s">
        <v>82</v>
      </c>
      <c r="H270" s="13" t="str">
        <f t="shared" si="3"/>
        <v>Urban</v>
      </c>
      <c r="I270" s="13">
        <f t="shared" si="4"/>
        <v>2</v>
      </c>
      <c r="J270" s="13" t="s">
        <v>70</v>
      </c>
      <c r="K270" s="15" t="s">
        <v>100</v>
      </c>
      <c r="L270" s="13">
        <f t="shared" si="5"/>
        <v>3</v>
      </c>
      <c r="M270" s="13" t="s">
        <v>109</v>
      </c>
      <c r="N270" s="13">
        <f t="shared" si="6"/>
        <v>9</v>
      </c>
      <c r="O270" s="13" t="s">
        <v>103</v>
      </c>
      <c r="P270" s="13">
        <f t="shared" si="7"/>
        <v>5</v>
      </c>
      <c r="Q270" s="13" t="s">
        <v>73</v>
      </c>
      <c r="R270" s="13">
        <f t="shared" si="8"/>
        <v>2</v>
      </c>
      <c r="S270" s="13" t="s">
        <v>103</v>
      </c>
      <c r="T270" s="13">
        <f t="shared" si="9"/>
        <v>5</v>
      </c>
      <c r="U270" s="13" t="s">
        <v>110</v>
      </c>
      <c r="V270" s="13">
        <f t="shared" si="10"/>
        <v>0.75</v>
      </c>
      <c r="W270" s="13" t="s">
        <v>311</v>
      </c>
      <c r="X270" s="13">
        <f t="shared" si="11"/>
        <v>1</v>
      </c>
      <c r="Y270" s="13">
        <f t="shared" si="12"/>
        <v>0</v>
      </c>
      <c r="Z270" s="13">
        <f t="shared" si="13"/>
        <v>0</v>
      </c>
      <c r="AA270" s="13">
        <f t="shared" si="14"/>
        <v>1</v>
      </c>
      <c r="AB270" s="13" t="s">
        <v>73</v>
      </c>
      <c r="AC270" s="13">
        <f t="shared" si="15"/>
        <v>2</v>
      </c>
      <c r="AD270" s="13" t="s">
        <v>73</v>
      </c>
      <c r="AE270" s="13">
        <f t="shared" si="16"/>
        <v>2</v>
      </c>
      <c r="AF270" s="13" t="s">
        <v>71</v>
      </c>
      <c r="AG270" s="13">
        <f t="shared" si="17"/>
        <v>7.7</v>
      </c>
      <c r="AH270" s="13" t="s">
        <v>103</v>
      </c>
      <c r="AI270" s="13">
        <f t="shared" si="18"/>
        <v>5</v>
      </c>
      <c r="AJ270" s="13" t="s">
        <v>77</v>
      </c>
      <c r="AK270" s="13">
        <f t="shared" si="19"/>
        <v>1</v>
      </c>
      <c r="AL270" s="13" t="s">
        <v>73</v>
      </c>
      <c r="AM270" s="13">
        <f t="shared" si="20"/>
        <v>2</v>
      </c>
      <c r="AN270" s="13" t="s">
        <v>85</v>
      </c>
      <c r="AO270" s="13">
        <f t="shared" si="21"/>
        <v>4</v>
      </c>
      <c r="AP270" s="13" t="s">
        <v>85</v>
      </c>
      <c r="AQ270" s="13">
        <f t="shared" si="22"/>
        <v>4</v>
      </c>
      <c r="AR270" s="13" t="s">
        <v>85</v>
      </c>
      <c r="AS270" s="13">
        <f t="shared" si="23"/>
        <v>4</v>
      </c>
      <c r="AT270" s="13" t="s">
        <v>321</v>
      </c>
      <c r="AU270" s="15">
        <f t="shared" si="24"/>
        <v>0</v>
      </c>
      <c r="AV270" s="15">
        <f t="shared" si="25"/>
        <v>0</v>
      </c>
      <c r="AW270" s="13">
        <f t="shared" si="26"/>
        <v>0</v>
      </c>
      <c r="AX270" s="13">
        <f t="shared" si="27"/>
        <v>1</v>
      </c>
      <c r="AY270" s="13">
        <f t="shared" si="28"/>
        <v>0</v>
      </c>
      <c r="AZ270" s="13">
        <f t="shared" si="29"/>
        <v>1</v>
      </c>
      <c r="BA270" s="13">
        <f t="shared" si="30"/>
        <v>0</v>
      </c>
      <c r="BB270" s="13" t="s">
        <v>88</v>
      </c>
      <c r="BC270" s="13">
        <f t="shared" si="31"/>
        <v>2</v>
      </c>
      <c r="BD270" s="15"/>
      <c r="BE270" s="13" t="str">
        <f t="shared" si="46"/>
        <v>N/A</v>
      </c>
      <c r="BF270" s="13" t="s">
        <v>250</v>
      </c>
      <c r="BG270" s="13">
        <f t="shared" si="33"/>
        <v>1</v>
      </c>
      <c r="BH270" s="13">
        <f t="shared" si="34"/>
        <v>0</v>
      </c>
      <c r="BI270" s="13">
        <f t="shared" si="35"/>
        <v>1</v>
      </c>
      <c r="BJ270" s="13">
        <f t="shared" si="36"/>
        <v>1</v>
      </c>
      <c r="BK270" s="13">
        <f t="shared" si="37"/>
        <v>0</v>
      </c>
      <c r="BL270" s="13">
        <f t="shared" si="38"/>
        <v>1</v>
      </c>
      <c r="BM270" s="13">
        <f t="shared" si="39"/>
        <v>1</v>
      </c>
      <c r="BN270" s="13" t="s">
        <v>68</v>
      </c>
      <c r="BO270" s="16">
        <f t="shared" si="40"/>
        <v>1</v>
      </c>
    </row>
    <row r="271">
      <c r="A271" s="13">
        <f t="shared" si="41"/>
        <v>270</v>
      </c>
      <c r="B271" s="14">
        <v>46052.548654224534</v>
      </c>
      <c r="C271" s="13" t="s">
        <v>90</v>
      </c>
      <c r="D271" s="13">
        <f t="shared" si="1"/>
        <v>2</v>
      </c>
      <c r="E271" s="15"/>
      <c r="F271" s="13" t="str">
        <f t="shared" si="2"/>
        <v>N/A</v>
      </c>
      <c r="G271" s="13" t="s">
        <v>82</v>
      </c>
      <c r="H271" s="13" t="str">
        <f t="shared" si="3"/>
        <v>Urban</v>
      </c>
      <c r="I271" s="13">
        <f t="shared" si="4"/>
        <v>2</v>
      </c>
      <c r="J271" s="13" t="s">
        <v>70</v>
      </c>
      <c r="K271" s="15" t="s">
        <v>100</v>
      </c>
      <c r="L271" s="13">
        <f t="shared" si="5"/>
        <v>3</v>
      </c>
      <c r="M271" s="13" t="s">
        <v>109</v>
      </c>
      <c r="N271" s="13">
        <f t="shared" si="6"/>
        <v>9</v>
      </c>
      <c r="O271" s="13" t="s">
        <v>103</v>
      </c>
      <c r="P271" s="13">
        <f t="shared" si="7"/>
        <v>5</v>
      </c>
      <c r="Q271" s="13" t="s">
        <v>78</v>
      </c>
      <c r="R271" s="13">
        <f t="shared" si="8"/>
        <v>3</v>
      </c>
      <c r="S271" s="13" t="s">
        <v>73</v>
      </c>
      <c r="T271" s="13">
        <f t="shared" si="9"/>
        <v>2</v>
      </c>
      <c r="U271" s="13" t="s">
        <v>96</v>
      </c>
      <c r="V271" s="13">
        <f t="shared" si="10"/>
        <v>2.5</v>
      </c>
      <c r="W271" s="13" t="s">
        <v>180</v>
      </c>
      <c r="X271" s="13">
        <f t="shared" si="11"/>
        <v>0</v>
      </c>
      <c r="Y271" s="13">
        <f t="shared" si="12"/>
        <v>1</v>
      </c>
      <c r="Z271" s="13">
        <f t="shared" si="13"/>
        <v>1</v>
      </c>
      <c r="AA271" s="13">
        <f t="shared" si="14"/>
        <v>0</v>
      </c>
      <c r="AB271" s="13" t="s">
        <v>78</v>
      </c>
      <c r="AC271" s="13">
        <f t="shared" si="15"/>
        <v>3</v>
      </c>
      <c r="AD271" s="13" t="s">
        <v>73</v>
      </c>
      <c r="AE271" s="13">
        <f t="shared" si="16"/>
        <v>2</v>
      </c>
      <c r="AF271" s="13" t="s">
        <v>76</v>
      </c>
      <c r="AG271" s="13">
        <f t="shared" si="17"/>
        <v>5.5</v>
      </c>
      <c r="AH271" s="13" t="s">
        <v>78</v>
      </c>
      <c r="AI271" s="13">
        <f t="shared" si="18"/>
        <v>3</v>
      </c>
      <c r="AJ271" s="13" t="s">
        <v>77</v>
      </c>
      <c r="AK271" s="13">
        <f t="shared" si="19"/>
        <v>1</v>
      </c>
      <c r="AL271" s="13" t="s">
        <v>73</v>
      </c>
      <c r="AM271" s="13">
        <f t="shared" si="20"/>
        <v>2</v>
      </c>
      <c r="AN271" s="13" t="s">
        <v>78</v>
      </c>
      <c r="AO271" s="13">
        <f t="shared" si="21"/>
        <v>3</v>
      </c>
      <c r="AP271" s="13" t="s">
        <v>85</v>
      </c>
      <c r="AQ271" s="13">
        <f t="shared" si="22"/>
        <v>4</v>
      </c>
      <c r="AR271" s="13" t="s">
        <v>85</v>
      </c>
      <c r="AS271" s="13">
        <f t="shared" si="23"/>
        <v>4</v>
      </c>
      <c r="AT271" s="13" t="s">
        <v>322</v>
      </c>
      <c r="AU271" s="15">
        <f t="shared" si="24"/>
        <v>1</v>
      </c>
      <c r="AV271" s="15">
        <f t="shared" si="25"/>
        <v>1</v>
      </c>
      <c r="AW271" s="13">
        <f t="shared" si="26"/>
        <v>1</v>
      </c>
      <c r="AX271" s="13">
        <f t="shared" si="27"/>
        <v>1</v>
      </c>
      <c r="AY271" s="13">
        <f t="shared" si="28"/>
        <v>0</v>
      </c>
      <c r="AZ271" s="13">
        <f t="shared" si="29"/>
        <v>0</v>
      </c>
      <c r="BA271" s="13">
        <f t="shared" si="30"/>
        <v>1</v>
      </c>
      <c r="BB271" s="13" t="s">
        <v>88</v>
      </c>
      <c r="BC271" s="13">
        <f t="shared" si="31"/>
        <v>2</v>
      </c>
      <c r="BD271" s="15"/>
      <c r="BE271" s="13" t="str">
        <f t="shared" si="46"/>
        <v>N/A</v>
      </c>
      <c r="BF271" s="13" t="s">
        <v>249</v>
      </c>
      <c r="BG271" s="13">
        <f t="shared" si="33"/>
        <v>1</v>
      </c>
      <c r="BH271" s="13">
        <f t="shared" si="34"/>
        <v>0</v>
      </c>
      <c r="BI271" s="13">
        <f t="shared" si="35"/>
        <v>1</v>
      </c>
      <c r="BJ271" s="13">
        <f t="shared" si="36"/>
        <v>0</v>
      </c>
      <c r="BK271" s="13">
        <f t="shared" si="37"/>
        <v>0</v>
      </c>
      <c r="BL271" s="13">
        <f t="shared" si="38"/>
        <v>0</v>
      </c>
      <c r="BM271" s="13">
        <f t="shared" si="39"/>
        <v>1</v>
      </c>
      <c r="BN271" s="13" t="s">
        <v>68</v>
      </c>
      <c r="BO271" s="16">
        <f t="shared" si="40"/>
        <v>1</v>
      </c>
    </row>
    <row r="272">
      <c r="A272" s="13">
        <f t="shared" si="41"/>
        <v>271</v>
      </c>
      <c r="B272" s="14">
        <v>46052.56132219908</v>
      </c>
      <c r="C272" s="13" t="s">
        <v>90</v>
      </c>
      <c r="D272" s="13">
        <f t="shared" si="1"/>
        <v>2</v>
      </c>
      <c r="E272" s="13" t="s">
        <v>68</v>
      </c>
      <c r="F272" s="13">
        <f t="shared" si="2"/>
        <v>1</v>
      </c>
      <c r="G272" s="13" t="s">
        <v>82</v>
      </c>
      <c r="H272" s="13" t="str">
        <f t="shared" si="3"/>
        <v>Urban</v>
      </c>
      <c r="I272" s="13">
        <f t="shared" si="4"/>
        <v>2</v>
      </c>
      <c r="J272" s="13" t="s">
        <v>70</v>
      </c>
      <c r="K272" s="15" t="s">
        <v>100</v>
      </c>
      <c r="L272" s="13">
        <f t="shared" si="5"/>
        <v>3</v>
      </c>
      <c r="M272" s="13" t="s">
        <v>76</v>
      </c>
      <c r="N272" s="13">
        <f t="shared" si="6"/>
        <v>5.5</v>
      </c>
      <c r="O272" s="13" t="s">
        <v>72</v>
      </c>
      <c r="P272" s="13">
        <f t="shared" si="7"/>
        <v>1</v>
      </c>
      <c r="Q272" s="13" t="s">
        <v>85</v>
      </c>
      <c r="R272" s="13">
        <f t="shared" si="8"/>
        <v>4</v>
      </c>
      <c r="S272" s="13" t="s">
        <v>72</v>
      </c>
      <c r="T272" s="13">
        <f t="shared" si="9"/>
        <v>1</v>
      </c>
      <c r="U272" s="13" t="s">
        <v>74</v>
      </c>
      <c r="V272" s="13">
        <f t="shared" si="10"/>
        <v>1.5</v>
      </c>
      <c r="W272" s="13" t="s">
        <v>93</v>
      </c>
      <c r="X272" s="13">
        <f t="shared" si="11"/>
        <v>0</v>
      </c>
      <c r="Y272" s="13">
        <f t="shared" si="12"/>
        <v>1</v>
      </c>
      <c r="Z272" s="13">
        <f t="shared" si="13"/>
        <v>0</v>
      </c>
      <c r="AA272" s="13">
        <f t="shared" si="14"/>
        <v>0</v>
      </c>
      <c r="AB272" s="13" t="s">
        <v>78</v>
      </c>
      <c r="AC272" s="13">
        <f t="shared" si="15"/>
        <v>3</v>
      </c>
      <c r="AD272" s="13" t="s">
        <v>78</v>
      </c>
      <c r="AE272" s="13">
        <f t="shared" si="16"/>
        <v>3</v>
      </c>
      <c r="AF272" s="13" t="s">
        <v>71</v>
      </c>
      <c r="AG272" s="13">
        <f t="shared" si="17"/>
        <v>7.7</v>
      </c>
      <c r="AH272" s="13" t="s">
        <v>103</v>
      </c>
      <c r="AI272" s="13">
        <f t="shared" si="18"/>
        <v>5</v>
      </c>
      <c r="AJ272" s="13" t="s">
        <v>73</v>
      </c>
      <c r="AK272" s="13">
        <f t="shared" si="19"/>
        <v>2</v>
      </c>
      <c r="AL272" s="13" t="s">
        <v>78</v>
      </c>
      <c r="AM272" s="13">
        <f t="shared" si="20"/>
        <v>3</v>
      </c>
      <c r="AN272" s="13" t="s">
        <v>78</v>
      </c>
      <c r="AO272" s="13">
        <f t="shared" si="21"/>
        <v>3</v>
      </c>
      <c r="AP272" s="13" t="s">
        <v>78</v>
      </c>
      <c r="AQ272" s="13">
        <f t="shared" si="22"/>
        <v>3</v>
      </c>
      <c r="AR272" s="13" t="s">
        <v>85</v>
      </c>
      <c r="AS272" s="13">
        <f t="shared" si="23"/>
        <v>4</v>
      </c>
      <c r="AT272" s="13" t="s">
        <v>323</v>
      </c>
      <c r="AU272" s="15">
        <f t="shared" si="24"/>
        <v>0</v>
      </c>
      <c r="AV272" s="15">
        <f t="shared" si="25"/>
        <v>0</v>
      </c>
      <c r="AW272" s="13">
        <f t="shared" si="26"/>
        <v>0</v>
      </c>
      <c r="AX272" s="13">
        <f t="shared" si="27"/>
        <v>1</v>
      </c>
      <c r="AY272" s="13">
        <f t="shared" si="28"/>
        <v>0</v>
      </c>
      <c r="AZ272" s="13">
        <f t="shared" si="29"/>
        <v>0</v>
      </c>
      <c r="BA272" s="13">
        <f t="shared" si="30"/>
        <v>0</v>
      </c>
      <c r="BB272" s="13" t="s">
        <v>88</v>
      </c>
      <c r="BC272" s="13">
        <f t="shared" si="31"/>
        <v>2</v>
      </c>
      <c r="BD272" s="15"/>
      <c r="BE272" s="13" t="str">
        <f t="shared" si="46"/>
        <v>N/A</v>
      </c>
      <c r="BF272" s="13" t="s">
        <v>233</v>
      </c>
      <c r="BG272" s="13">
        <f t="shared" si="33"/>
        <v>1</v>
      </c>
      <c r="BH272" s="13">
        <f t="shared" si="34"/>
        <v>0</v>
      </c>
      <c r="BI272" s="13">
        <f t="shared" si="35"/>
        <v>1</v>
      </c>
      <c r="BJ272" s="13">
        <f t="shared" si="36"/>
        <v>0</v>
      </c>
      <c r="BK272" s="13">
        <f t="shared" si="37"/>
        <v>0</v>
      </c>
      <c r="BL272" s="13">
        <f t="shared" si="38"/>
        <v>1</v>
      </c>
      <c r="BM272" s="13">
        <f t="shared" si="39"/>
        <v>0</v>
      </c>
      <c r="BN272" s="13" t="s">
        <v>68</v>
      </c>
      <c r="BO272" s="16">
        <f t="shared" si="40"/>
        <v>1</v>
      </c>
    </row>
    <row r="273">
      <c r="A273" s="13">
        <f t="shared" si="41"/>
        <v>272</v>
      </c>
      <c r="B273" s="14">
        <v>46052.57285358796</v>
      </c>
      <c r="C273" s="13" t="s">
        <v>67</v>
      </c>
      <c r="D273" s="13">
        <f t="shared" si="1"/>
        <v>1</v>
      </c>
      <c r="E273" s="13" t="s">
        <v>68</v>
      </c>
      <c r="F273" s="13">
        <f t="shared" si="2"/>
        <v>1</v>
      </c>
      <c r="G273" s="13" t="s">
        <v>91</v>
      </c>
      <c r="H273" s="13" t="str">
        <f t="shared" si="3"/>
        <v>Urban</v>
      </c>
      <c r="I273" s="13">
        <f t="shared" si="4"/>
        <v>2</v>
      </c>
      <c r="J273" s="13" t="s">
        <v>70</v>
      </c>
      <c r="K273" s="15" t="s">
        <v>100</v>
      </c>
      <c r="L273" s="13">
        <f t="shared" si="5"/>
        <v>3</v>
      </c>
      <c r="M273" s="13" t="s">
        <v>109</v>
      </c>
      <c r="N273" s="13">
        <f t="shared" si="6"/>
        <v>9</v>
      </c>
      <c r="O273" s="13" t="s">
        <v>78</v>
      </c>
      <c r="P273" s="13">
        <f t="shared" si="7"/>
        <v>3</v>
      </c>
      <c r="Q273" s="13" t="s">
        <v>78</v>
      </c>
      <c r="R273" s="13">
        <f t="shared" si="8"/>
        <v>3</v>
      </c>
      <c r="S273" s="13" t="s">
        <v>78</v>
      </c>
      <c r="T273" s="13">
        <f t="shared" si="9"/>
        <v>3</v>
      </c>
      <c r="U273" s="13" t="s">
        <v>74</v>
      </c>
      <c r="V273" s="13">
        <f t="shared" si="10"/>
        <v>1.5</v>
      </c>
      <c r="W273" s="13" t="s">
        <v>311</v>
      </c>
      <c r="X273" s="13">
        <f t="shared" si="11"/>
        <v>1</v>
      </c>
      <c r="Y273" s="13">
        <f t="shared" si="12"/>
        <v>0</v>
      </c>
      <c r="Z273" s="13">
        <f t="shared" si="13"/>
        <v>0</v>
      </c>
      <c r="AA273" s="13">
        <f t="shared" si="14"/>
        <v>1</v>
      </c>
      <c r="AB273" s="13" t="s">
        <v>73</v>
      </c>
      <c r="AC273" s="13">
        <f t="shared" si="15"/>
        <v>2</v>
      </c>
      <c r="AD273" s="13" t="s">
        <v>78</v>
      </c>
      <c r="AE273" s="13">
        <f t="shared" si="16"/>
        <v>3</v>
      </c>
      <c r="AF273" s="13" t="s">
        <v>76</v>
      </c>
      <c r="AG273" s="13">
        <f t="shared" si="17"/>
        <v>5.5</v>
      </c>
      <c r="AH273" s="13" t="s">
        <v>78</v>
      </c>
      <c r="AI273" s="13">
        <f t="shared" si="18"/>
        <v>3</v>
      </c>
      <c r="AJ273" s="13" t="s">
        <v>73</v>
      </c>
      <c r="AK273" s="13">
        <f t="shared" si="19"/>
        <v>2</v>
      </c>
      <c r="AL273" s="13" t="s">
        <v>73</v>
      </c>
      <c r="AM273" s="13">
        <f t="shared" si="20"/>
        <v>2</v>
      </c>
      <c r="AN273" s="13" t="s">
        <v>73</v>
      </c>
      <c r="AO273" s="13">
        <f t="shared" si="21"/>
        <v>2</v>
      </c>
      <c r="AP273" s="13" t="s">
        <v>78</v>
      </c>
      <c r="AQ273" s="13">
        <f t="shared" si="22"/>
        <v>3</v>
      </c>
      <c r="AR273" s="13" t="s">
        <v>78</v>
      </c>
      <c r="AS273" s="13">
        <f t="shared" si="23"/>
        <v>3</v>
      </c>
      <c r="AT273" s="13" t="s">
        <v>324</v>
      </c>
      <c r="AU273" s="15">
        <f t="shared" si="24"/>
        <v>0</v>
      </c>
      <c r="AV273" s="15">
        <f t="shared" si="25"/>
        <v>0</v>
      </c>
      <c r="AW273" s="13">
        <f t="shared" si="26"/>
        <v>1</v>
      </c>
      <c r="AX273" s="13">
        <f t="shared" si="27"/>
        <v>0</v>
      </c>
      <c r="AY273" s="13">
        <f t="shared" si="28"/>
        <v>0</v>
      </c>
      <c r="AZ273" s="13">
        <f t="shared" si="29"/>
        <v>0</v>
      </c>
      <c r="BA273" s="13">
        <f t="shared" si="30"/>
        <v>1</v>
      </c>
      <c r="BB273" s="13" t="s">
        <v>68</v>
      </c>
      <c r="BC273" s="13">
        <f t="shared" si="31"/>
        <v>1</v>
      </c>
      <c r="BD273" s="13" t="s">
        <v>325</v>
      </c>
      <c r="BE273" s="13" t="s">
        <v>326</v>
      </c>
      <c r="BF273" s="13" t="s">
        <v>327</v>
      </c>
      <c r="BG273" s="13">
        <f t="shared" si="33"/>
        <v>1</v>
      </c>
      <c r="BH273" s="13">
        <f t="shared" si="34"/>
        <v>1</v>
      </c>
      <c r="BI273" s="13">
        <f t="shared" si="35"/>
        <v>0</v>
      </c>
      <c r="BJ273" s="13">
        <f t="shared" si="36"/>
        <v>1</v>
      </c>
      <c r="BK273" s="13">
        <f t="shared" si="37"/>
        <v>0</v>
      </c>
      <c r="BL273" s="13">
        <f t="shared" si="38"/>
        <v>0</v>
      </c>
      <c r="BM273" s="13">
        <f t="shared" si="39"/>
        <v>1</v>
      </c>
      <c r="BN273" s="13" t="s">
        <v>68</v>
      </c>
      <c r="BO273" s="16">
        <f t="shared" si="40"/>
        <v>1</v>
      </c>
    </row>
    <row r="274">
      <c r="A274" s="13">
        <f t="shared" si="41"/>
        <v>273</v>
      </c>
      <c r="B274" s="14">
        <v>46052.58426688657</v>
      </c>
      <c r="C274" s="13" t="s">
        <v>67</v>
      </c>
      <c r="D274" s="13">
        <f t="shared" si="1"/>
        <v>1</v>
      </c>
      <c r="E274" s="13" t="s">
        <v>68</v>
      </c>
      <c r="F274" s="13">
        <f t="shared" si="2"/>
        <v>1</v>
      </c>
      <c r="G274" s="13" t="s">
        <v>82</v>
      </c>
      <c r="H274" s="13" t="str">
        <f t="shared" si="3"/>
        <v>Urban</v>
      </c>
      <c r="I274" s="13">
        <f t="shared" si="4"/>
        <v>2</v>
      </c>
      <c r="J274" s="13" t="s">
        <v>83</v>
      </c>
      <c r="K274" s="15" t="s">
        <v>84</v>
      </c>
      <c r="L274" s="13">
        <f t="shared" si="5"/>
        <v>2</v>
      </c>
      <c r="M274" s="13" t="s">
        <v>109</v>
      </c>
      <c r="N274" s="13">
        <f t="shared" si="6"/>
        <v>9</v>
      </c>
      <c r="O274" s="13" t="s">
        <v>85</v>
      </c>
      <c r="P274" s="13">
        <f t="shared" si="7"/>
        <v>4</v>
      </c>
      <c r="Q274" s="13" t="s">
        <v>73</v>
      </c>
      <c r="R274" s="13">
        <f t="shared" si="8"/>
        <v>2</v>
      </c>
      <c r="S274" s="13" t="s">
        <v>85</v>
      </c>
      <c r="T274" s="13">
        <f t="shared" si="9"/>
        <v>4</v>
      </c>
      <c r="U274" s="13" t="s">
        <v>96</v>
      </c>
      <c r="V274" s="13">
        <f t="shared" si="10"/>
        <v>2.5</v>
      </c>
      <c r="W274" s="13" t="s">
        <v>93</v>
      </c>
      <c r="X274" s="13">
        <f t="shared" si="11"/>
        <v>0</v>
      </c>
      <c r="Y274" s="13">
        <f t="shared" si="12"/>
        <v>1</v>
      </c>
      <c r="Z274" s="13">
        <f t="shared" si="13"/>
        <v>0</v>
      </c>
      <c r="AA274" s="13">
        <f t="shared" si="14"/>
        <v>0</v>
      </c>
      <c r="AB274" s="13" t="s">
        <v>78</v>
      </c>
      <c r="AC274" s="13">
        <f t="shared" si="15"/>
        <v>3</v>
      </c>
      <c r="AD274" s="13" t="s">
        <v>85</v>
      </c>
      <c r="AE274" s="13">
        <f t="shared" si="16"/>
        <v>4</v>
      </c>
      <c r="AF274" s="13" t="s">
        <v>71</v>
      </c>
      <c r="AG274" s="13">
        <f t="shared" si="17"/>
        <v>7.7</v>
      </c>
      <c r="AH274" s="13" t="s">
        <v>78</v>
      </c>
      <c r="AI274" s="13">
        <f t="shared" si="18"/>
        <v>3</v>
      </c>
      <c r="AJ274" s="13" t="s">
        <v>78</v>
      </c>
      <c r="AK274" s="13">
        <f t="shared" si="19"/>
        <v>3</v>
      </c>
      <c r="AL274" s="13" t="s">
        <v>73</v>
      </c>
      <c r="AM274" s="13">
        <f t="shared" si="20"/>
        <v>2</v>
      </c>
      <c r="AN274" s="13" t="s">
        <v>78</v>
      </c>
      <c r="AO274" s="13">
        <f t="shared" si="21"/>
        <v>3</v>
      </c>
      <c r="AP274" s="13" t="s">
        <v>85</v>
      </c>
      <c r="AQ274" s="13">
        <f t="shared" si="22"/>
        <v>4</v>
      </c>
      <c r="AR274" s="13" t="s">
        <v>73</v>
      </c>
      <c r="AS274" s="13">
        <f t="shared" si="23"/>
        <v>2</v>
      </c>
      <c r="AT274" s="13" t="s">
        <v>182</v>
      </c>
      <c r="AU274" s="15">
        <f t="shared" si="24"/>
        <v>0</v>
      </c>
      <c r="AV274" s="15">
        <f t="shared" si="25"/>
        <v>0</v>
      </c>
      <c r="AW274" s="13">
        <f t="shared" si="26"/>
        <v>0</v>
      </c>
      <c r="AX274" s="13">
        <f t="shared" si="27"/>
        <v>0</v>
      </c>
      <c r="AY274" s="13">
        <f t="shared" si="28"/>
        <v>1</v>
      </c>
      <c r="AZ274" s="13">
        <f t="shared" si="29"/>
        <v>0</v>
      </c>
      <c r="BA274" s="13">
        <f t="shared" si="30"/>
        <v>0</v>
      </c>
      <c r="BB274" s="13" t="s">
        <v>88</v>
      </c>
      <c r="BC274" s="13">
        <f t="shared" si="31"/>
        <v>2</v>
      </c>
      <c r="BD274" s="15"/>
      <c r="BE274" s="13" t="str">
        <f t="shared" ref="BE274:BE332" si="47">IFS(OR(BD274="Sleeping tracking",BD274="Sleep tracker"),"Sleep tracker app",BD274="Health","Health app",OR(BD274="Samsung Health ",BD274="samsung health"),"Samsung Health app",OR(BD274="Alarm clock ",BD274="Alarm "),"Alarm app",BD274="My health app","My health app",BD274="Smartwatch /wearable apps ","Wearable app",BD274="HryFine","HryFine app",TRUE,"N/A")
</f>
        <v>N/A</v>
      </c>
      <c r="BF274" s="13" t="s">
        <v>224</v>
      </c>
      <c r="BG274" s="13">
        <f t="shared" si="33"/>
        <v>0</v>
      </c>
      <c r="BH274" s="13">
        <f t="shared" si="34"/>
        <v>0</v>
      </c>
      <c r="BI274" s="13">
        <f t="shared" si="35"/>
        <v>1</v>
      </c>
      <c r="BJ274" s="13">
        <f t="shared" si="36"/>
        <v>0</v>
      </c>
      <c r="BK274" s="13">
        <f t="shared" si="37"/>
        <v>0</v>
      </c>
      <c r="BL274" s="13">
        <f t="shared" si="38"/>
        <v>0</v>
      </c>
      <c r="BM274" s="13">
        <f t="shared" si="39"/>
        <v>0</v>
      </c>
      <c r="BN274" s="13" t="s">
        <v>68</v>
      </c>
      <c r="BO274" s="16">
        <f t="shared" si="40"/>
        <v>1</v>
      </c>
    </row>
    <row r="275">
      <c r="A275" s="13">
        <f t="shared" si="41"/>
        <v>274</v>
      </c>
      <c r="B275" s="14">
        <v>46052.58569634259</v>
      </c>
      <c r="C275" s="13" t="s">
        <v>90</v>
      </c>
      <c r="D275" s="13">
        <f t="shared" si="1"/>
        <v>2</v>
      </c>
      <c r="E275" s="13" t="s">
        <v>68</v>
      </c>
      <c r="F275" s="13">
        <f t="shared" si="2"/>
        <v>1</v>
      </c>
      <c r="G275" s="13" t="s">
        <v>69</v>
      </c>
      <c r="H275" s="13" t="str">
        <f t="shared" si="3"/>
        <v>Rural</v>
      </c>
      <c r="I275" s="13">
        <f t="shared" si="4"/>
        <v>1</v>
      </c>
      <c r="J275" s="13" t="s">
        <v>70</v>
      </c>
      <c r="K275" s="15" t="s">
        <v>100</v>
      </c>
      <c r="L275" s="13">
        <f t="shared" si="5"/>
        <v>3</v>
      </c>
      <c r="M275" s="13" t="s">
        <v>76</v>
      </c>
      <c r="N275" s="13">
        <f t="shared" si="6"/>
        <v>5.5</v>
      </c>
      <c r="O275" s="13" t="s">
        <v>78</v>
      </c>
      <c r="P275" s="13">
        <f t="shared" si="7"/>
        <v>3</v>
      </c>
      <c r="Q275" s="13" t="s">
        <v>72</v>
      </c>
      <c r="R275" s="13">
        <f t="shared" si="8"/>
        <v>1</v>
      </c>
      <c r="S275" s="13" t="s">
        <v>78</v>
      </c>
      <c r="T275" s="13">
        <f t="shared" si="9"/>
        <v>3</v>
      </c>
      <c r="U275" s="13" t="s">
        <v>74</v>
      </c>
      <c r="V275" s="13">
        <f t="shared" si="10"/>
        <v>1.5</v>
      </c>
      <c r="W275" s="13" t="s">
        <v>86</v>
      </c>
      <c r="X275" s="13">
        <f t="shared" si="11"/>
        <v>1</v>
      </c>
      <c r="Y275" s="13">
        <f t="shared" si="12"/>
        <v>1</v>
      </c>
      <c r="Z275" s="13">
        <f t="shared" si="13"/>
        <v>1</v>
      </c>
      <c r="AA275" s="13">
        <f t="shared" si="14"/>
        <v>0</v>
      </c>
      <c r="AB275" s="13" t="s">
        <v>72</v>
      </c>
      <c r="AC275" s="13">
        <f t="shared" si="15"/>
        <v>1</v>
      </c>
      <c r="AD275" s="13" t="s">
        <v>72</v>
      </c>
      <c r="AE275" s="13">
        <f t="shared" si="16"/>
        <v>1</v>
      </c>
      <c r="AF275" s="13" t="s">
        <v>71</v>
      </c>
      <c r="AG275" s="13">
        <f t="shared" si="17"/>
        <v>7.7</v>
      </c>
      <c r="AH275" s="13" t="s">
        <v>103</v>
      </c>
      <c r="AI275" s="13">
        <f t="shared" si="18"/>
        <v>5</v>
      </c>
      <c r="AJ275" s="13" t="s">
        <v>85</v>
      </c>
      <c r="AK275" s="13">
        <f t="shared" si="19"/>
        <v>4</v>
      </c>
      <c r="AL275" s="13" t="s">
        <v>85</v>
      </c>
      <c r="AM275" s="13">
        <f t="shared" si="20"/>
        <v>4</v>
      </c>
      <c r="AN275" s="13" t="s">
        <v>85</v>
      </c>
      <c r="AO275" s="13">
        <f t="shared" si="21"/>
        <v>4</v>
      </c>
      <c r="AP275" s="13" t="s">
        <v>78</v>
      </c>
      <c r="AQ275" s="13">
        <f t="shared" si="22"/>
        <v>3</v>
      </c>
      <c r="AR275" s="13" t="s">
        <v>85</v>
      </c>
      <c r="AS275" s="13">
        <f t="shared" si="23"/>
        <v>4</v>
      </c>
      <c r="AT275" s="13" t="s">
        <v>133</v>
      </c>
      <c r="AU275" s="15">
        <f t="shared" si="24"/>
        <v>0</v>
      </c>
      <c r="AV275" s="15">
        <f t="shared" si="25"/>
        <v>1</v>
      </c>
      <c r="AW275" s="13">
        <f t="shared" si="26"/>
        <v>0</v>
      </c>
      <c r="AX275" s="13">
        <f t="shared" si="27"/>
        <v>0</v>
      </c>
      <c r="AY275" s="13">
        <f t="shared" si="28"/>
        <v>0</v>
      </c>
      <c r="AZ275" s="13">
        <f t="shared" si="29"/>
        <v>0</v>
      </c>
      <c r="BA275" s="13">
        <f t="shared" si="30"/>
        <v>0</v>
      </c>
      <c r="BB275" s="13" t="s">
        <v>88</v>
      </c>
      <c r="BC275" s="13">
        <f t="shared" si="31"/>
        <v>2</v>
      </c>
      <c r="BD275" s="15"/>
      <c r="BE275" s="13" t="str">
        <f t="shared" si="47"/>
        <v>N/A</v>
      </c>
      <c r="BF275" s="13" t="s">
        <v>129</v>
      </c>
      <c r="BG275" s="13">
        <f t="shared" si="33"/>
        <v>0</v>
      </c>
      <c r="BH275" s="13">
        <f t="shared" si="34"/>
        <v>0</v>
      </c>
      <c r="BI275" s="13">
        <f t="shared" si="35"/>
        <v>0</v>
      </c>
      <c r="BJ275" s="13">
        <f t="shared" si="36"/>
        <v>0</v>
      </c>
      <c r="BK275" s="13">
        <f t="shared" si="37"/>
        <v>0</v>
      </c>
      <c r="BL275" s="13">
        <f t="shared" si="38"/>
        <v>1</v>
      </c>
      <c r="BM275" s="13">
        <f t="shared" si="39"/>
        <v>0</v>
      </c>
      <c r="BN275" s="13" t="s">
        <v>108</v>
      </c>
      <c r="BO275" s="16">
        <f t="shared" si="40"/>
        <v>3</v>
      </c>
    </row>
    <row r="276">
      <c r="A276" s="13">
        <f t="shared" si="41"/>
        <v>275</v>
      </c>
      <c r="B276" s="14">
        <v>46052.59268538194</v>
      </c>
      <c r="C276" s="13" t="s">
        <v>90</v>
      </c>
      <c r="D276" s="13">
        <f t="shared" si="1"/>
        <v>2</v>
      </c>
      <c r="E276" s="13" t="s">
        <v>68</v>
      </c>
      <c r="F276" s="13">
        <f t="shared" si="2"/>
        <v>1</v>
      </c>
      <c r="G276" s="13" t="s">
        <v>69</v>
      </c>
      <c r="H276" s="13" t="str">
        <f t="shared" si="3"/>
        <v>Rural</v>
      </c>
      <c r="I276" s="13">
        <f t="shared" si="4"/>
        <v>1</v>
      </c>
      <c r="J276" s="13" t="s">
        <v>83</v>
      </c>
      <c r="K276" s="15" t="s">
        <v>84</v>
      </c>
      <c r="L276" s="13">
        <f t="shared" si="5"/>
        <v>2</v>
      </c>
      <c r="M276" s="13" t="s">
        <v>76</v>
      </c>
      <c r="N276" s="13">
        <f t="shared" si="6"/>
        <v>5.5</v>
      </c>
      <c r="O276" s="13" t="s">
        <v>73</v>
      </c>
      <c r="P276" s="13">
        <f t="shared" si="7"/>
        <v>2</v>
      </c>
      <c r="Q276" s="13" t="s">
        <v>72</v>
      </c>
      <c r="R276" s="13">
        <f t="shared" si="8"/>
        <v>1</v>
      </c>
      <c r="S276" s="13" t="s">
        <v>73</v>
      </c>
      <c r="T276" s="13">
        <f t="shared" si="9"/>
        <v>2</v>
      </c>
      <c r="U276" s="13" t="s">
        <v>96</v>
      </c>
      <c r="V276" s="13">
        <f t="shared" si="10"/>
        <v>2.5</v>
      </c>
      <c r="W276" s="13" t="s">
        <v>105</v>
      </c>
      <c r="X276" s="13">
        <f t="shared" si="11"/>
        <v>1</v>
      </c>
      <c r="Y276" s="13">
        <f t="shared" si="12"/>
        <v>1</v>
      </c>
      <c r="Z276" s="13">
        <f t="shared" si="13"/>
        <v>0</v>
      </c>
      <c r="AA276" s="13">
        <f t="shared" si="14"/>
        <v>0</v>
      </c>
      <c r="AB276" s="13" t="s">
        <v>78</v>
      </c>
      <c r="AC276" s="13">
        <f t="shared" si="15"/>
        <v>3</v>
      </c>
      <c r="AD276" s="13" t="s">
        <v>78</v>
      </c>
      <c r="AE276" s="13">
        <f t="shared" si="16"/>
        <v>3</v>
      </c>
      <c r="AF276" s="13" t="s">
        <v>71</v>
      </c>
      <c r="AG276" s="13">
        <f t="shared" si="17"/>
        <v>7.7</v>
      </c>
      <c r="AH276" s="13" t="s">
        <v>85</v>
      </c>
      <c r="AI276" s="13">
        <f t="shared" si="18"/>
        <v>4</v>
      </c>
      <c r="AJ276" s="13" t="s">
        <v>78</v>
      </c>
      <c r="AK276" s="13">
        <f t="shared" si="19"/>
        <v>3</v>
      </c>
      <c r="AL276" s="13" t="s">
        <v>78</v>
      </c>
      <c r="AM276" s="13">
        <f t="shared" si="20"/>
        <v>3</v>
      </c>
      <c r="AN276" s="13" t="s">
        <v>78</v>
      </c>
      <c r="AO276" s="13">
        <f t="shared" si="21"/>
        <v>3</v>
      </c>
      <c r="AP276" s="13" t="s">
        <v>78</v>
      </c>
      <c r="AQ276" s="13">
        <f t="shared" si="22"/>
        <v>3</v>
      </c>
      <c r="AR276" s="15"/>
      <c r="AS276" s="13" t="str">
        <f t="shared" si="23"/>
        <v>N/A</v>
      </c>
      <c r="AT276" s="13" t="s">
        <v>328</v>
      </c>
      <c r="AU276" s="15">
        <f t="shared" si="24"/>
        <v>1</v>
      </c>
      <c r="AV276" s="15">
        <f t="shared" si="25"/>
        <v>1</v>
      </c>
      <c r="AW276" s="13">
        <f t="shared" si="26"/>
        <v>1</v>
      </c>
      <c r="AX276" s="13">
        <f t="shared" si="27"/>
        <v>1</v>
      </c>
      <c r="AY276" s="13">
        <f t="shared" si="28"/>
        <v>0</v>
      </c>
      <c r="AZ276" s="13">
        <f t="shared" si="29"/>
        <v>0</v>
      </c>
      <c r="BA276" s="13">
        <f t="shared" si="30"/>
        <v>0</v>
      </c>
      <c r="BB276" s="13" t="s">
        <v>88</v>
      </c>
      <c r="BC276" s="13">
        <f t="shared" si="31"/>
        <v>2</v>
      </c>
      <c r="BD276" s="15"/>
      <c r="BE276" s="13" t="str">
        <f t="shared" si="47"/>
        <v>N/A</v>
      </c>
      <c r="BF276" s="13" t="s">
        <v>115</v>
      </c>
      <c r="BG276" s="13">
        <f t="shared" si="33"/>
        <v>1</v>
      </c>
      <c r="BH276" s="13">
        <f t="shared" si="34"/>
        <v>0</v>
      </c>
      <c r="BI276" s="13">
        <f t="shared" si="35"/>
        <v>1</v>
      </c>
      <c r="BJ276" s="13">
        <f t="shared" si="36"/>
        <v>1</v>
      </c>
      <c r="BK276" s="13">
        <f t="shared" si="37"/>
        <v>0</v>
      </c>
      <c r="BL276" s="13">
        <f t="shared" si="38"/>
        <v>1</v>
      </c>
      <c r="BM276" s="13">
        <f t="shared" si="39"/>
        <v>0</v>
      </c>
      <c r="BN276" s="13" t="s">
        <v>68</v>
      </c>
      <c r="BO276" s="16">
        <f t="shared" si="40"/>
        <v>1</v>
      </c>
    </row>
    <row r="277">
      <c r="A277" s="13">
        <f t="shared" si="41"/>
        <v>276</v>
      </c>
      <c r="B277" s="14">
        <v>46052.595839814814</v>
      </c>
      <c r="C277" s="13" t="s">
        <v>67</v>
      </c>
      <c r="D277" s="13">
        <f t="shared" si="1"/>
        <v>1</v>
      </c>
      <c r="E277" s="13" t="s">
        <v>68</v>
      </c>
      <c r="F277" s="13">
        <f t="shared" si="2"/>
        <v>1</v>
      </c>
      <c r="G277" s="13" t="s">
        <v>69</v>
      </c>
      <c r="H277" s="13" t="str">
        <f t="shared" si="3"/>
        <v>Rural</v>
      </c>
      <c r="I277" s="13">
        <f t="shared" si="4"/>
        <v>1</v>
      </c>
      <c r="J277" s="13" t="s">
        <v>70</v>
      </c>
      <c r="K277" s="15" t="s">
        <v>100</v>
      </c>
      <c r="L277" s="13">
        <f t="shared" si="5"/>
        <v>3</v>
      </c>
      <c r="M277" s="13" t="s">
        <v>71</v>
      </c>
      <c r="N277" s="13">
        <f t="shared" si="6"/>
        <v>7.7</v>
      </c>
      <c r="O277" s="13" t="s">
        <v>78</v>
      </c>
      <c r="P277" s="13">
        <f t="shared" si="7"/>
        <v>3</v>
      </c>
      <c r="Q277" s="13" t="s">
        <v>73</v>
      </c>
      <c r="R277" s="13">
        <f t="shared" si="8"/>
        <v>2</v>
      </c>
      <c r="S277" s="13" t="s">
        <v>73</v>
      </c>
      <c r="T277" s="13">
        <f t="shared" si="9"/>
        <v>2</v>
      </c>
      <c r="U277" s="13" t="s">
        <v>74</v>
      </c>
      <c r="V277" s="13">
        <f t="shared" si="10"/>
        <v>1.5</v>
      </c>
      <c r="W277" s="13" t="s">
        <v>105</v>
      </c>
      <c r="X277" s="13">
        <f t="shared" si="11"/>
        <v>1</v>
      </c>
      <c r="Y277" s="13">
        <f t="shared" si="12"/>
        <v>1</v>
      </c>
      <c r="Z277" s="13">
        <f t="shared" si="13"/>
        <v>0</v>
      </c>
      <c r="AA277" s="13">
        <f t="shared" si="14"/>
        <v>0</v>
      </c>
      <c r="AB277" s="13" t="s">
        <v>85</v>
      </c>
      <c r="AC277" s="13">
        <f t="shared" si="15"/>
        <v>4</v>
      </c>
      <c r="AD277" s="13" t="s">
        <v>85</v>
      </c>
      <c r="AE277" s="13">
        <f t="shared" si="16"/>
        <v>4</v>
      </c>
      <c r="AF277" s="13" t="s">
        <v>71</v>
      </c>
      <c r="AG277" s="13">
        <f t="shared" si="17"/>
        <v>7.7</v>
      </c>
      <c r="AH277" s="13" t="s">
        <v>85</v>
      </c>
      <c r="AI277" s="13">
        <f t="shared" si="18"/>
        <v>4</v>
      </c>
      <c r="AJ277" s="13" t="s">
        <v>73</v>
      </c>
      <c r="AK277" s="13">
        <f t="shared" si="19"/>
        <v>2</v>
      </c>
      <c r="AL277" s="13" t="s">
        <v>73</v>
      </c>
      <c r="AM277" s="13">
        <f t="shared" si="20"/>
        <v>2</v>
      </c>
      <c r="AN277" s="13" t="s">
        <v>85</v>
      </c>
      <c r="AO277" s="13">
        <f t="shared" si="21"/>
        <v>4</v>
      </c>
      <c r="AP277" s="13" t="s">
        <v>85</v>
      </c>
      <c r="AQ277" s="13">
        <f t="shared" si="22"/>
        <v>4</v>
      </c>
      <c r="AR277" s="13" t="s">
        <v>85</v>
      </c>
      <c r="AS277" s="13">
        <f t="shared" si="23"/>
        <v>4</v>
      </c>
      <c r="AT277" s="13" t="s">
        <v>155</v>
      </c>
      <c r="AU277" s="15">
        <f t="shared" si="24"/>
        <v>1</v>
      </c>
      <c r="AV277" s="15">
        <f t="shared" si="25"/>
        <v>0</v>
      </c>
      <c r="AW277" s="13">
        <f t="shared" si="26"/>
        <v>0</v>
      </c>
      <c r="AX277" s="13">
        <f t="shared" si="27"/>
        <v>1</v>
      </c>
      <c r="AY277" s="13">
        <f t="shared" si="28"/>
        <v>0</v>
      </c>
      <c r="AZ277" s="13">
        <f t="shared" si="29"/>
        <v>1</v>
      </c>
      <c r="BA277" s="13">
        <f t="shared" si="30"/>
        <v>0</v>
      </c>
      <c r="BB277" s="13" t="s">
        <v>88</v>
      </c>
      <c r="BC277" s="13">
        <f t="shared" si="31"/>
        <v>2</v>
      </c>
      <c r="BD277" s="15"/>
      <c r="BE277" s="13" t="str">
        <f t="shared" si="47"/>
        <v>N/A</v>
      </c>
      <c r="BF277" s="13" t="s">
        <v>115</v>
      </c>
      <c r="BG277" s="13">
        <f t="shared" si="33"/>
        <v>1</v>
      </c>
      <c r="BH277" s="13">
        <f t="shared" si="34"/>
        <v>0</v>
      </c>
      <c r="BI277" s="13">
        <f t="shared" si="35"/>
        <v>1</v>
      </c>
      <c r="BJ277" s="13">
        <f t="shared" si="36"/>
        <v>1</v>
      </c>
      <c r="BK277" s="13">
        <f t="shared" si="37"/>
        <v>0</v>
      </c>
      <c r="BL277" s="13">
        <f t="shared" si="38"/>
        <v>1</v>
      </c>
      <c r="BM277" s="13">
        <f t="shared" si="39"/>
        <v>0</v>
      </c>
      <c r="BN277" s="13" t="s">
        <v>108</v>
      </c>
      <c r="BO277" s="16">
        <f t="shared" si="40"/>
        <v>3</v>
      </c>
    </row>
    <row r="278">
      <c r="A278" s="13">
        <f t="shared" si="41"/>
        <v>277</v>
      </c>
      <c r="B278" s="14">
        <v>46052.61949614584</v>
      </c>
      <c r="C278" s="13" t="s">
        <v>67</v>
      </c>
      <c r="D278" s="13">
        <f t="shared" si="1"/>
        <v>1</v>
      </c>
      <c r="E278" s="13" t="s">
        <v>68</v>
      </c>
      <c r="F278" s="13">
        <f t="shared" si="2"/>
        <v>1</v>
      </c>
      <c r="G278" s="13" t="s">
        <v>91</v>
      </c>
      <c r="H278" s="13" t="str">
        <f t="shared" si="3"/>
        <v>Urban</v>
      </c>
      <c r="I278" s="13">
        <f t="shared" si="4"/>
        <v>2</v>
      </c>
      <c r="J278" s="13" t="s">
        <v>83</v>
      </c>
      <c r="K278" s="15" t="s">
        <v>84</v>
      </c>
      <c r="L278" s="13">
        <f t="shared" si="5"/>
        <v>2</v>
      </c>
      <c r="M278" s="13" t="s">
        <v>71</v>
      </c>
      <c r="N278" s="13">
        <f t="shared" si="6"/>
        <v>7.7</v>
      </c>
      <c r="O278" s="13" t="s">
        <v>73</v>
      </c>
      <c r="P278" s="13">
        <f t="shared" si="7"/>
        <v>2</v>
      </c>
      <c r="Q278" s="13" t="s">
        <v>72</v>
      </c>
      <c r="R278" s="13">
        <f t="shared" si="8"/>
        <v>1</v>
      </c>
      <c r="S278" s="13" t="s">
        <v>72</v>
      </c>
      <c r="T278" s="13">
        <f t="shared" si="9"/>
        <v>1</v>
      </c>
      <c r="U278" s="13" t="s">
        <v>74</v>
      </c>
      <c r="V278" s="13">
        <f t="shared" si="10"/>
        <v>1.5</v>
      </c>
      <c r="W278" s="15"/>
      <c r="X278" s="13">
        <f t="shared" si="11"/>
        <v>0</v>
      </c>
      <c r="Y278" s="13">
        <f t="shared" si="12"/>
        <v>0</v>
      </c>
      <c r="Z278" s="13">
        <f t="shared" si="13"/>
        <v>0</v>
      </c>
      <c r="AA278" s="13">
        <f t="shared" si="14"/>
        <v>0</v>
      </c>
      <c r="AB278" s="13" t="s">
        <v>72</v>
      </c>
      <c r="AC278" s="13">
        <f t="shared" si="15"/>
        <v>1</v>
      </c>
      <c r="AD278" s="13" t="s">
        <v>72</v>
      </c>
      <c r="AE278" s="13">
        <f t="shared" si="16"/>
        <v>1</v>
      </c>
      <c r="AF278" s="13" t="s">
        <v>71</v>
      </c>
      <c r="AG278" s="13">
        <f t="shared" si="17"/>
        <v>7.7</v>
      </c>
      <c r="AH278" s="13" t="s">
        <v>103</v>
      </c>
      <c r="AI278" s="13">
        <f t="shared" si="18"/>
        <v>5</v>
      </c>
      <c r="AJ278" s="13" t="s">
        <v>85</v>
      </c>
      <c r="AK278" s="13">
        <f t="shared" si="19"/>
        <v>4</v>
      </c>
      <c r="AL278" s="13" t="s">
        <v>85</v>
      </c>
      <c r="AM278" s="13">
        <f t="shared" si="20"/>
        <v>4</v>
      </c>
      <c r="AN278" s="13" t="s">
        <v>120</v>
      </c>
      <c r="AO278" s="13">
        <f t="shared" si="21"/>
        <v>5</v>
      </c>
      <c r="AP278" s="13" t="s">
        <v>120</v>
      </c>
      <c r="AQ278" s="13">
        <f t="shared" si="22"/>
        <v>5</v>
      </c>
      <c r="AR278" s="13" t="s">
        <v>120</v>
      </c>
      <c r="AS278" s="13">
        <f t="shared" si="23"/>
        <v>5</v>
      </c>
      <c r="AT278" s="13" t="s">
        <v>182</v>
      </c>
      <c r="AU278" s="15">
        <f t="shared" si="24"/>
        <v>0</v>
      </c>
      <c r="AV278" s="15">
        <f t="shared" si="25"/>
        <v>0</v>
      </c>
      <c r="AW278" s="13">
        <f t="shared" si="26"/>
        <v>0</v>
      </c>
      <c r="AX278" s="13">
        <f t="shared" si="27"/>
        <v>0</v>
      </c>
      <c r="AY278" s="13">
        <f t="shared" si="28"/>
        <v>1</v>
      </c>
      <c r="AZ278" s="13">
        <f t="shared" si="29"/>
        <v>0</v>
      </c>
      <c r="BA278" s="13">
        <f t="shared" si="30"/>
        <v>0</v>
      </c>
      <c r="BB278" s="13" t="s">
        <v>88</v>
      </c>
      <c r="BC278" s="13">
        <f t="shared" si="31"/>
        <v>2</v>
      </c>
      <c r="BD278" s="15"/>
      <c r="BE278" s="13" t="str">
        <f t="shared" si="47"/>
        <v>N/A</v>
      </c>
      <c r="BF278" s="13" t="s">
        <v>107</v>
      </c>
      <c r="BG278" s="13">
        <f t="shared" si="33"/>
        <v>1</v>
      </c>
      <c r="BH278" s="13">
        <f t="shared" si="34"/>
        <v>0</v>
      </c>
      <c r="BI278" s="13">
        <f t="shared" si="35"/>
        <v>0</v>
      </c>
      <c r="BJ278" s="13">
        <f t="shared" si="36"/>
        <v>0</v>
      </c>
      <c r="BK278" s="13">
        <f t="shared" si="37"/>
        <v>0</v>
      </c>
      <c r="BL278" s="13">
        <f t="shared" si="38"/>
        <v>0</v>
      </c>
      <c r="BM278" s="13">
        <f t="shared" si="39"/>
        <v>0</v>
      </c>
      <c r="BN278" s="13" t="s">
        <v>108</v>
      </c>
      <c r="BO278" s="16">
        <f t="shared" si="40"/>
        <v>3</v>
      </c>
    </row>
    <row r="279">
      <c r="A279" s="13">
        <f t="shared" si="41"/>
        <v>278</v>
      </c>
      <c r="B279" s="14">
        <v>46052.62407770833</v>
      </c>
      <c r="C279" s="13" t="s">
        <v>90</v>
      </c>
      <c r="D279" s="13">
        <f t="shared" si="1"/>
        <v>2</v>
      </c>
      <c r="E279" s="13" t="s">
        <v>68</v>
      </c>
      <c r="F279" s="13">
        <f t="shared" si="2"/>
        <v>1</v>
      </c>
      <c r="G279" s="13" t="s">
        <v>82</v>
      </c>
      <c r="H279" s="13" t="str">
        <f t="shared" si="3"/>
        <v>Urban</v>
      </c>
      <c r="I279" s="13">
        <f t="shared" si="4"/>
        <v>2</v>
      </c>
      <c r="J279" s="13" t="s">
        <v>145</v>
      </c>
      <c r="K279" s="15" t="s">
        <v>146</v>
      </c>
      <c r="L279" s="13">
        <f t="shared" si="5"/>
        <v>1</v>
      </c>
      <c r="M279" s="13" t="s">
        <v>109</v>
      </c>
      <c r="N279" s="13">
        <f t="shared" si="6"/>
        <v>9</v>
      </c>
      <c r="O279" s="13" t="s">
        <v>85</v>
      </c>
      <c r="P279" s="13">
        <f t="shared" si="7"/>
        <v>4</v>
      </c>
      <c r="Q279" s="13" t="s">
        <v>73</v>
      </c>
      <c r="R279" s="13">
        <f t="shared" si="8"/>
        <v>2</v>
      </c>
      <c r="S279" s="13" t="s">
        <v>78</v>
      </c>
      <c r="T279" s="13">
        <f t="shared" si="9"/>
        <v>3</v>
      </c>
      <c r="U279" s="13" t="s">
        <v>110</v>
      </c>
      <c r="V279" s="13">
        <f t="shared" si="10"/>
        <v>0.75</v>
      </c>
      <c r="W279" s="13" t="s">
        <v>329</v>
      </c>
      <c r="X279" s="13">
        <f t="shared" si="11"/>
        <v>1</v>
      </c>
      <c r="Y279" s="13">
        <f t="shared" si="12"/>
        <v>0</v>
      </c>
      <c r="Z279" s="13">
        <f t="shared" si="13"/>
        <v>1</v>
      </c>
      <c r="AA279" s="13">
        <f t="shared" si="14"/>
        <v>1</v>
      </c>
      <c r="AB279" s="13" t="s">
        <v>78</v>
      </c>
      <c r="AC279" s="13">
        <f t="shared" si="15"/>
        <v>3</v>
      </c>
      <c r="AD279" s="13" t="s">
        <v>78</v>
      </c>
      <c r="AE279" s="13">
        <f t="shared" si="16"/>
        <v>3</v>
      </c>
      <c r="AF279" s="13" t="s">
        <v>76</v>
      </c>
      <c r="AG279" s="13">
        <f t="shared" si="17"/>
        <v>5.5</v>
      </c>
      <c r="AH279" s="13" t="s">
        <v>73</v>
      </c>
      <c r="AI279" s="13">
        <f t="shared" si="18"/>
        <v>2</v>
      </c>
      <c r="AJ279" s="13" t="s">
        <v>78</v>
      </c>
      <c r="AK279" s="13">
        <f t="shared" si="19"/>
        <v>3</v>
      </c>
      <c r="AL279" s="13" t="s">
        <v>85</v>
      </c>
      <c r="AM279" s="13">
        <f t="shared" si="20"/>
        <v>4</v>
      </c>
      <c r="AN279" s="13" t="s">
        <v>78</v>
      </c>
      <c r="AO279" s="13">
        <f t="shared" si="21"/>
        <v>3</v>
      </c>
      <c r="AP279" s="13" t="s">
        <v>73</v>
      </c>
      <c r="AQ279" s="13">
        <f t="shared" si="22"/>
        <v>2</v>
      </c>
      <c r="AR279" s="13" t="s">
        <v>73</v>
      </c>
      <c r="AS279" s="13">
        <f t="shared" si="23"/>
        <v>2</v>
      </c>
      <c r="AT279" s="13" t="s">
        <v>227</v>
      </c>
      <c r="AU279" s="15">
        <f t="shared" si="24"/>
        <v>1</v>
      </c>
      <c r="AV279" s="15">
        <f t="shared" si="25"/>
        <v>0</v>
      </c>
      <c r="AW279" s="13">
        <f t="shared" si="26"/>
        <v>0</v>
      </c>
      <c r="AX279" s="13">
        <f t="shared" si="27"/>
        <v>1</v>
      </c>
      <c r="AY279" s="13">
        <f t="shared" si="28"/>
        <v>1</v>
      </c>
      <c r="AZ279" s="13">
        <f t="shared" si="29"/>
        <v>1</v>
      </c>
      <c r="BA279" s="13">
        <f t="shared" si="30"/>
        <v>0</v>
      </c>
      <c r="BB279" s="13" t="s">
        <v>88</v>
      </c>
      <c r="BC279" s="13">
        <f t="shared" si="31"/>
        <v>2</v>
      </c>
      <c r="BD279" s="15"/>
      <c r="BE279" s="13" t="str">
        <f t="shared" si="47"/>
        <v>N/A</v>
      </c>
      <c r="BF279" s="13" t="s">
        <v>216</v>
      </c>
      <c r="BG279" s="13">
        <f t="shared" si="33"/>
        <v>1</v>
      </c>
      <c r="BH279" s="13">
        <f t="shared" si="34"/>
        <v>0</v>
      </c>
      <c r="BI279" s="13">
        <f t="shared" si="35"/>
        <v>0</v>
      </c>
      <c r="BJ279" s="13">
        <f t="shared" si="36"/>
        <v>1</v>
      </c>
      <c r="BK279" s="13">
        <f t="shared" si="37"/>
        <v>1</v>
      </c>
      <c r="BL279" s="13">
        <f t="shared" si="38"/>
        <v>1</v>
      </c>
      <c r="BM279" s="13">
        <f t="shared" si="39"/>
        <v>1</v>
      </c>
      <c r="BN279" s="13" t="s">
        <v>108</v>
      </c>
      <c r="BO279" s="16">
        <f t="shared" si="40"/>
        <v>3</v>
      </c>
    </row>
    <row r="280">
      <c r="A280" s="13">
        <f t="shared" si="41"/>
        <v>279</v>
      </c>
      <c r="B280" s="14">
        <v>46052.63688740741</v>
      </c>
      <c r="C280" s="13" t="s">
        <v>90</v>
      </c>
      <c r="D280" s="13">
        <f t="shared" si="1"/>
        <v>2</v>
      </c>
      <c r="E280" s="13" t="s">
        <v>68</v>
      </c>
      <c r="F280" s="13">
        <f t="shared" si="2"/>
        <v>1</v>
      </c>
      <c r="G280" s="13" t="s">
        <v>82</v>
      </c>
      <c r="H280" s="13" t="str">
        <f t="shared" si="3"/>
        <v>Urban</v>
      </c>
      <c r="I280" s="13">
        <f t="shared" si="4"/>
        <v>2</v>
      </c>
      <c r="J280" s="13" t="s">
        <v>70</v>
      </c>
      <c r="K280" s="15" t="s">
        <v>100</v>
      </c>
      <c r="L280" s="13">
        <f t="shared" si="5"/>
        <v>3</v>
      </c>
      <c r="M280" s="13" t="s">
        <v>71</v>
      </c>
      <c r="N280" s="13">
        <f t="shared" si="6"/>
        <v>7.7</v>
      </c>
      <c r="O280" s="13" t="s">
        <v>85</v>
      </c>
      <c r="P280" s="13">
        <f t="shared" si="7"/>
        <v>4</v>
      </c>
      <c r="Q280" s="13" t="s">
        <v>78</v>
      </c>
      <c r="R280" s="13">
        <f t="shared" si="8"/>
        <v>3</v>
      </c>
      <c r="S280" s="13" t="s">
        <v>85</v>
      </c>
      <c r="T280" s="13">
        <f t="shared" si="9"/>
        <v>4</v>
      </c>
      <c r="U280" s="13" t="s">
        <v>110</v>
      </c>
      <c r="V280" s="13">
        <f t="shared" si="10"/>
        <v>0.75</v>
      </c>
      <c r="W280" s="13" t="s">
        <v>330</v>
      </c>
      <c r="X280" s="13">
        <f t="shared" si="11"/>
        <v>1</v>
      </c>
      <c r="Y280" s="13">
        <f t="shared" si="12"/>
        <v>1</v>
      </c>
      <c r="Z280" s="13">
        <f t="shared" si="13"/>
        <v>0</v>
      </c>
      <c r="AA280" s="13">
        <f t="shared" si="14"/>
        <v>1</v>
      </c>
      <c r="AB280" s="13" t="s">
        <v>72</v>
      </c>
      <c r="AC280" s="13">
        <f t="shared" si="15"/>
        <v>1</v>
      </c>
      <c r="AD280" s="13" t="s">
        <v>72</v>
      </c>
      <c r="AE280" s="13">
        <f t="shared" si="16"/>
        <v>1</v>
      </c>
      <c r="AF280" s="13" t="s">
        <v>76</v>
      </c>
      <c r="AG280" s="13">
        <f t="shared" si="17"/>
        <v>5.5</v>
      </c>
      <c r="AH280" s="13" t="s">
        <v>85</v>
      </c>
      <c r="AI280" s="13">
        <f t="shared" si="18"/>
        <v>4</v>
      </c>
      <c r="AJ280" s="13" t="s">
        <v>78</v>
      </c>
      <c r="AK280" s="13">
        <f t="shared" si="19"/>
        <v>3</v>
      </c>
      <c r="AL280" s="13" t="s">
        <v>78</v>
      </c>
      <c r="AM280" s="13">
        <f t="shared" si="20"/>
        <v>3</v>
      </c>
      <c r="AN280" s="13" t="s">
        <v>78</v>
      </c>
      <c r="AO280" s="13">
        <f t="shared" si="21"/>
        <v>3</v>
      </c>
      <c r="AP280" s="13" t="s">
        <v>78</v>
      </c>
      <c r="AQ280" s="13">
        <f t="shared" si="22"/>
        <v>3</v>
      </c>
      <c r="AR280" s="13" t="s">
        <v>78</v>
      </c>
      <c r="AS280" s="13">
        <f t="shared" si="23"/>
        <v>3</v>
      </c>
      <c r="AT280" s="13" t="s">
        <v>162</v>
      </c>
      <c r="AU280" s="15">
        <f t="shared" si="24"/>
        <v>0</v>
      </c>
      <c r="AV280" s="15">
        <f t="shared" si="25"/>
        <v>0</v>
      </c>
      <c r="AW280" s="13">
        <f t="shared" si="26"/>
        <v>0</v>
      </c>
      <c r="AX280" s="13">
        <f t="shared" si="27"/>
        <v>0</v>
      </c>
      <c r="AY280" s="13">
        <f t="shared" si="28"/>
        <v>0</v>
      </c>
      <c r="AZ280" s="13">
        <f t="shared" si="29"/>
        <v>1</v>
      </c>
      <c r="BA280" s="13">
        <f t="shared" si="30"/>
        <v>0</v>
      </c>
      <c r="BB280" s="13" t="s">
        <v>88</v>
      </c>
      <c r="BC280" s="13">
        <f t="shared" si="31"/>
        <v>2</v>
      </c>
      <c r="BD280" s="15"/>
      <c r="BE280" s="13" t="str">
        <f t="shared" si="47"/>
        <v>N/A</v>
      </c>
      <c r="BF280" s="13" t="s">
        <v>113</v>
      </c>
      <c r="BG280" s="13">
        <f t="shared" si="33"/>
        <v>0</v>
      </c>
      <c r="BH280" s="13">
        <f t="shared" si="34"/>
        <v>0</v>
      </c>
      <c r="BI280" s="13">
        <f t="shared" si="35"/>
        <v>0</v>
      </c>
      <c r="BJ280" s="13">
        <f t="shared" si="36"/>
        <v>0</v>
      </c>
      <c r="BK280" s="13">
        <f t="shared" si="37"/>
        <v>0</v>
      </c>
      <c r="BL280" s="13">
        <f t="shared" si="38"/>
        <v>0</v>
      </c>
      <c r="BM280" s="13">
        <f t="shared" si="39"/>
        <v>1</v>
      </c>
      <c r="BN280" s="13" t="s">
        <v>68</v>
      </c>
      <c r="BO280" s="16">
        <f t="shared" si="40"/>
        <v>1</v>
      </c>
    </row>
    <row r="281">
      <c r="A281" s="13">
        <f t="shared" si="41"/>
        <v>280</v>
      </c>
      <c r="B281" s="14">
        <v>46052.69877554398</v>
      </c>
      <c r="C281" s="13" t="s">
        <v>67</v>
      </c>
      <c r="D281" s="13">
        <f t="shared" si="1"/>
        <v>1</v>
      </c>
      <c r="E281" s="13" t="s">
        <v>68</v>
      </c>
      <c r="F281" s="13">
        <f t="shared" si="2"/>
        <v>1</v>
      </c>
      <c r="G281" s="13" t="s">
        <v>69</v>
      </c>
      <c r="H281" s="13" t="str">
        <f t="shared" si="3"/>
        <v>Rural</v>
      </c>
      <c r="I281" s="13">
        <f t="shared" si="4"/>
        <v>1</v>
      </c>
      <c r="J281" s="13" t="s">
        <v>145</v>
      </c>
      <c r="K281" s="15" t="s">
        <v>146</v>
      </c>
      <c r="L281" s="13">
        <f t="shared" si="5"/>
        <v>1</v>
      </c>
      <c r="M281" s="13" t="s">
        <v>71</v>
      </c>
      <c r="N281" s="13">
        <f t="shared" si="6"/>
        <v>7.7</v>
      </c>
      <c r="O281" s="13" t="s">
        <v>73</v>
      </c>
      <c r="P281" s="13">
        <f t="shared" si="7"/>
        <v>2</v>
      </c>
      <c r="Q281" s="13" t="s">
        <v>78</v>
      </c>
      <c r="R281" s="13">
        <f t="shared" si="8"/>
        <v>3</v>
      </c>
      <c r="S281" s="13" t="s">
        <v>73</v>
      </c>
      <c r="T281" s="13">
        <f t="shared" si="9"/>
        <v>2</v>
      </c>
      <c r="U281" s="13" t="s">
        <v>96</v>
      </c>
      <c r="V281" s="13">
        <f t="shared" si="10"/>
        <v>2.5</v>
      </c>
      <c r="W281" s="13" t="s">
        <v>122</v>
      </c>
      <c r="X281" s="13">
        <f t="shared" si="11"/>
        <v>0</v>
      </c>
      <c r="Y281" s="13">
        <f t="shared" si="12"/>
        <v>0</v>
      </c>
      <c r="Z281" s="13">
        <f t="shared" si="13"/>
        <v>1</v>
      </c>
      <c r="AA281" s="13">
        <f t="shared" si="14"/>
        <v>0</v>
      </c>
      <c r="AB281" s="13" t="s">
        <v>78</v>
      </c>
      <c r="AC281" s="13">
        <f t="shared" si="15"/>
        <v>3</v>
      </c>
      <c r="AD281" s="13" t="s">
        <v>78</v>
      </c>
      <c r="AE281" s="13">
        <f t="shared" si="16"/>
        <v>3</v>
      </c>
      <c r="AF281" s="13" t="s">
        <v>76</v>
      </c>
      <c r="AG281" s="13">
        <f t="shared" si="17"/>
        <v>5.5</v>
      </c>
      <c r="AH281" s="13" t="s">
        <v>85</v>
      </c>
      <c r="AI281" s="13">
        <f t="shared" si="18"/>
        <v>4</v>
      </c>
      <c r="AJ281" s="13" t="s">
        <v>73</v>
      </c>
      <c r="AK281" s="13">
        <f t="shared" si="19"/>
        <v>2</v>
      </c>
      <c r="AL281" s="13" t="s">
        <v>78</v>
      </c>
      <c r="AM281" s="13">
        <f t="shared" si="20"/>
        <v>3</v>
      </c>
      <c r="AN281" s="13" t="s">
        <v>85</v>
      </c>
      <c r="AO281" s="13">
        <f t="shared" si="21"/>
        <v>4</v>
      </c>
      <c r="AP281" s="13" t="s">
        <v>85</v>
      </c>
      <c r="AQ281" s="13">
        <f t="shared" si="22"/>
        <v>4</v>
      </c>
      <c r="AR281" s="13" t="s">
        <v>85</v>
      </c>
      <c r="AS281" s="13">
        <f t="shared" si="23"/>
        <v>4</v>
      </c>
      <c r="AT281" s="13" t="s">
        <v>331</v>
      </c>
      <c r="AU281" s="15">
        <f t="shared" si="24"/>
        <v>1</v>
      </c>
      <c r="AV281" s="15">
        <f t="shared" si="25"/>
        <v>1</v>
      </c>
      <c r="AW281" s="13">
        <f t="shared" si="26"/>
        <v>1</v>
      </c>
      <c r="AX281" s="13">
        <f t="shared" si="27"/>
        <v>0</v>
      </c>
      <c r="AY281" s="13">
        <f t="shared" si="28"/>
        <v>1</v>
      </c>
      <c r="AZ281" s="13">
        <f t="shared" si="29"/>
        <v>1</v>
      </c>
      <c r="BA281" s="13">
        <f t="shared" si="30"/>
        <v>1</v>
      </c>
      <c r="BB281" s="13" t="s">
        <v>88</v>
      </c>
      <c r="BC281" s="13">
        <f t="shared" si="31"/>
        <v>2</v>
      </c>
      <c r="BD281" s="15"/>
      <c r="BE281" s="13" t="str">
        <f t="shared" si="47"/>
        <v>N/A</v>
      </c>
      <c r="BF281" s="13" t="s">
        <v>195</v>
      </c>
      <c r="BG281" s="13">
        <f t="shared" si="33"/>
        <v>0</v>
      </c>
      <c r="BH281" s="13">
        <f t="shared" si="34"/>
        <v>0</v>
      </c>
      <c r="BI281" s="13">
        <f t="shared" si="35"/>
        <v>0</v>
      </c>
      <c r="BJ281" s="13">
        <f t="shared" si="36"/>
        <v>0</v>
      </c>
      <c r="BK281" s="13">
        <f t="shared" si="37"/>
        <v>0</v>
      </c>
      <c r="BL281" s="13">
        <f t="shared" si="38"/>
        <v>1</v>
      </c>
      <c r="BM281" s="13">
        <f t="shared" si="39"/>
        <v>1</v>
      </c>
      <c r="BN281" s="13" t="s">
        <v>68</v>
      </c>
      <c r="BO281" s="16">
        <f t="shared" si="40"/>
        <v>1</v>
      </c>
    </row>
    <row r="282">
      <c r="A282" s="13">
        <f t="shared" si="41"/>
        <v>281</v>
      </c>
      <c r="B282" s="14">
        <v>46052.705733888884</v>
      </c>
      <c r="C282" s="13" t="s">
        <v>90</v>
      </c>
      <c r="D282" s="13">
        <f t="shared" si="1"/>
        <v>2</v>
      </c>
      <c r="E282" s="13" t="s">
        <v>68</v>
      </c>
      <c r="F282" s="13">
        <f t="shared" si="2"/>
        <v>1</v>
      </c>
      <c r="G282" s="13" t="s">
        <v>91</v>
      </c>
      <c r="H282" s="13" t="str">
        <f t="shared" si="3"/>
        <v>Urban</v>
      </c>
      <c r="I282" s="13">
        <f t="shared" si="4"/>
        <v>2</v>
      </c>
      <c r="J282" s="13" t="s">
        <v>70</v>
      </c>
      <c r="K282" s="15" t="s">
        <v>100</v>
      </c>
      <c r="L282" s="13">
        <f t="shared" si="5"/>
        <v>3</v>
      </c>
      <c r="M282" s="13" t="s">
        <v>76</v>
      </c>
      <c r="N282" s="13">
        <f t="shared" si="6"/>
        <v>5.5</v>
      </c>
      <c r="O282" s="13" t="s">
        <v>78</v>
      </c>
      <c r="P282" s="13">
        <f t="shared" si="7"/>
        <v>3</v>
      </c>
      <c r="Q282" s="13" t="s">
        <v>85</v>
      </c>
      <c r="R282" s="13">
        <f t="shared" si="8"/>
        <v>4</v>
      </c>
      <c r="S282" s="13" t="s">
        <v>73</v>
      </c>
      <c r="T282" s="13">
        <f t="shared" si="9"/>
        <v>2</v>
      </c>
      <c r="U282" s="13" t="s">
        <v>270</v>
      </c>
      <c r="V282" s="13">
        <f t="shared" si="10"/>
        <v>0.25</v>
      </c>
      <c r="W282" s="13" t="s">
        <v>93</v>
      </c>
      <c r="X282" s="13">
        <f t="shared" si="11"/>
        <v>0</v>
      </c>
      <c r="Y282" s="13">
        <f t="shared" si="12"/>
        <v>1</v>
      </c>
      <c r="Z282" s="13">
        <f t="shared" si="13"/>
        <v>0</v>
      </c>
      <c r="AA282" s="13">
        <f t="shared" si="14"/>
        <v>0</v>
      </c>
      <c r="AB282" s="13" t="s">
        <v>78</v>
      </c>
      <c r="AC282" s="13">
        <f t="shared" si="15"/>
        <v>3</v>
      </c>
      <c r="AD282" s="13" t="s">
        <v>78</v>
      </c>
      <c r="AE282" s="13">
        <f t="shared" si="16"/>
        <v>3</v>
      </c>
      <c r="AF282" s="13" t="s">
        <v>71</v>
      </c>
      <c r="AG282" s="13">
        <f t="shared" si="17"/>
        <v>7.7</v>
      </c>
      <c r="AH282" s="13" t="s">
        <v>72</v>
      </c>
      <c r="AI282" s="13">
        <f t="shared" si="18"/>
        <v>1</v>
      </c>
      <c r="AJ282" s="13" t="s">
        <v>78</v>
      </c>
      <c r="AK282" s="13">
        <f t="shared" si="19"/>
        <v>3</v>
      </c>
      <c r="AL282" s="13" t="s">
        <v>78</v>
      </c>
      <c r="AM282" s="13">
        <f t="shared" si="20"/>
        <v>3</v>
      </c>
      <c r="AN282" s="13" t="s">
        <v>78</v>
      </c>
      <c r="AO282" s="13">
        <f t="shared" si="21"/>
        <v>3</v>
      </c>
      <c r="AP282" s="13" t="s">
        <v>78</v>
      </c>
      <c r="AQ282" s="13">
        <f t="shared" si="22"/>
        <v>3</v>
      </c>
      <c r="AR282" s="13" t="s">
        <v>78</v>
      </c>
      <c r="AS282" s="13">
        <f t="shared" si="23"/>
        <v>3</v>
      </c>
      <c r="AT282" s="13" t="s">
        <v>133</v>
      </c>
      <c r="AU282" s="15">
        <f t="shared" si="24"/>
        <v>0</v>
      </c>
      <c r="AV282" s="15">
        <f t="shared" si="25"/>
        <v>1</v>
      </c>
      <c r="AW282" s="13">
        <f t="shared" si="26"/>
        <v>0</v>
      </c>
      <c r="AX282" s="13">
        <f t="shared" si="27"/>
        <v>0</v>
      </c>
      <c r="AY282" s="13">
        <f t="shared" si="28"/>
        <v>0</v>
      </c>
      <c r="AZ282" s="13">
        <f t="shared" si="29"/>
        <v>0</v>
      </c>
      <c r="BA282" s="13">
        <f t="shared" si="30"/>
        <v>0</v>
      </c>
      <c r="BB282" s="13" t="s">
        <v>88</v>
      </c>
      <c r="BC282" s="13">
        <f t="shared" si="31"/>
        <v>2</v>
      </c>
      <c r="BD282" s="15"/>
      <c r="BE282" s="13" t="str">
        <f t="shared" si="47"/>
        <v>N/A</v>
      </c>
      <c r="BF282" s="13" t="s">
        <v>161</v>
      </c>
      <c r="BG282" s="13">
        <f t="shared" si="33"/>
        <v>0</v>
      </c>
      <c r="BH282" s="13">
        <f t="shared" si="34"/>
        <v>0</v>
      </c>
      <c r="BI282" s="13">
        <f t="shared" si="35"/>
        <v>0</v>
      </c>
      <c r="BJ282" s="13">
        <f t="shared" si="36"/>
        <v>1</v>
      </c>
      <c r="BK282" s="13">
        <f t="shared" si="37"/>
        <v>0</v>
      </c>
      <c r="BL282" s="13">
        <f t="shared" si="38"/>
        <v>0</v>
      </c>
      <c r="BM282" s="13">
        <f t="shared" si="39"/>
        <v>0</v>
      </c>
      <c r="BN282" s="13" t="s">
        <v>108</v>
      </c>
      <c r="BO282" s="16">
        <f t="shared" si="40"/>
        <v>3</v>
      </c>
    </row>
    <row r="283">
      <c r="A283" s="13">
        <f t="shared" si="41"/>
        <v>282</v>
      </c>
      <c r="B283" s="14">
        <v>46052.7419099074</v>
      </c>
      <c r="C283" s="13" t="s">
        <v>67</v>
      </c>
      <c r="D283" s="13">
        <f t="shared" si="1"/>
        <v>1</v>
      </c>
      <c r="E283" s="13" t="s">
        <v>68</v>
      </c>
      <c r="F283" s="13">
        <f t="shared" si="2"/>
        <v>1</v>
      </c>
      <c r="G283" s="13" t="s">
        <v>91</v>
      </c>
      <c r="H283" s="13" t="str">
        <f t="shared" si="3"/>
        <v>Urban</v>
      </c>
      <c r="I283" s="13">
        <f t="shared" si="4"/>
        <v>2</v>
      </c>
      <c r="J283" s="13" t="s">
        <v>83</v>
      </c>
      <c r="K283" s="15" t="s">
        <v>84</v>
      </c>
      <c r="L283" s="13">
        <f t="shared" si="5"/>
        <v>2</v>
      </c>
      <c r="M283" s="13" t="s">
        <v>71</v>
      </c>
      <c r="N283" s="13">
        <f t="shared" si="6"/>
        <v>7.7</v>
      </c>
      <c r="O283" s="13" t="s">
        <v>85</v>
      </c>
      <c r="P283" s="13">
        <f t="shared" si="7"/>
        <v>4</v>
      </c>
      <c r="Q283" s="13" t="s">
        <v>85</v>
      </c>
      <c r="R283" s="13">
        <f t="shared" si="8"/>
        <v>4</v>
      </c>
      <c r="S283" s="13" t="s">
        <v>85</v>
      </c>
      <c r="T283" s="13">
        <f t="shared" si="9"/>
        <v>4</v>
      </c>
      <c r="U283" s="13" t="s">
        <v>74</v>
      </c>
      <c r="V283" s="13">
        <f t="shared" si="10"/>
        <v>1.5</v>
      </c>
      <c r="W283" s="13" t="s">
        <v>105</v>
      </c>
      <c r="X283" s="13">
        <f t="shared" si="11"/>
        <v>1</v>
      </c>
      <c r="Y283" s="13">
        <f t="shared" si="12"/>
        <v>1</v>
      </c>
      <c r="Z283" s="13">
        <f t="shared" si="13"/>
        <v>0</v>
      </c>
      <c r="AA283" s="13">
        <f t="shared" si="14"/>
        <v>0</v>
      </c>
      <c r="AB283" s="13" t="s">
        <v>85</v>
      </c>
      <c r="AC283" s="13">
        <f t="shared" si="15"/>
        <v>4</v>
      </c>
      <c r="AD283" s="13" t="s">
        <v>73</v>
      </c>
      <c r="AE283" s="13">
        <f t="shared" si="16"/>
        <v>2</v>
      </c>
      <c r="AF283" s="13" t="s">
        <v>76</v>
      </c>
      <c r="AG283" s="13">
        <f t="shared" si="17"/>
        <v>5.5</v>
      </c>
      <c r="AH283" s="13" t="s">
        <v>85</v>
      </c>
      <c r="AI283" s="13">
        <f t="shared" si="18"/>
        <v>4</v>
      </c>
      <c r="AJ283" s="13" t="s">
        <v>73</v>
      </c>
      <c r="AK283" s="13">
        <f t="shared" si="19"/>
        <v>2</v>
      </c>
      <c r="AL283" s="13" t="s">
        <v>85</v>
      </c>
      <c r="AM283" s="13">
        <f t="shared" si="20"/>
        <v>4</v>
      </c>
      <c r="AN283" s="13" t="s">
        <v>85</v>
      </c>
      <c r="AO283" s="13">
        <f t="shared" si="21"/>
        <v>4</v>
      </c>
      <c r="AP283" s="13" t="s">
        <v>85</v>
      </c>
      <c r="AQ283" s="13">
        <f t="shared" si="22"/>
        <v>4</v>
      </c>
      <c r="AR283" s="13" t="s">
        <v>85</v>
      </c>
      <c r="AS283" s="13">
        <f t="shared" si="23"/>
        <v>4</v>
      </c>
      <c r="AT283" s="13" t="s">
        <v>332</v>
      </c>
      <c r="AU283" s="15">
        <f t="shared" si="24"/>
        <v>1</v>
      </c>
      <c r="AV283" s="15">
        <f t="shared" si="25"/>
        <v>1</v>
      </c>
      <c r="AW283" s="13">
        <f t="shared" si="26"/>
        <v>0</v>
      </c>
      <c r="AX283" s="13">
        <f t="shared" si="27"/>
        <v>0</v>
      </c>
      <c r="AY283" s="13">
        <f t="shared" si="28"/>
        <v>1</v>
      </c>
      <c r="AZ283" s="13">
        <f t="shared" si="29"/>
        <v>1</v>
      </c>
      <c r="BA283" s="13">
        <f t="shared" si="30"/>
        <v>0</v>
      </c>
      <c r="BB283" s="13" t="s">
        <v>88</v>
      </c>
      <c r="BC283" s="13">
        <f t="shared" si="31"/>
        <v>2</v>
      </c>
      <c r="BD283" s="15"/>
      <c r="BE283" s="13" t="str">
        <f t="shared" si="47"/>
        <v>N/A</v>
      </c>
      <c r="BF283" s="13" t="s">
        <v>172</v>
      </c>
      <c r="BG283" s="13">
        <f t="shared" si="33"/>
        <v>1</v>
      </c>
      <c r="BH283" s="13">
        <f t="shared" si="34"/>
        <v>0</v>
      </c>
      <c r="BI283" s="13">
        <f t="shared" si="35"/>
        <v>0</v>
      </c>
      <c r="BJ283" s="13">
        <f t="shared" si="36"/>
        <v>1</v>
      </c>
      <c r="BK283" s="13">
        <f t="shared" si="37"/>
        <v>0</v>
      </c>
      <c r="BL283" s="13">
        <f t="shared" si="38"/>
        <v>0</v>
      </c>
      <c r="BM283" s="13">
        <f t="shared" si="39"/>
        <v>1</v>
      </c>
      <c r="BN283" s="13" t="s">
        <v>68</v>
      </c>
      <c r="BO283" s="16">
        <f t="shared" si="40"/>
        <v>1</v>
      </c>
    </row>
    <row r="284">
      <c r="A284" s="13">
        <f t="shared" si="41"/>
        <v>283</v>
      </c>
      <c r="B284" s="14">
        <v>46052.743847025464</v>
      </c>
      <c r="C284" s="13" t="s">
        <v>67</v>
      </c>
      <c r="D284" s="13">
        <f t="shared" si="1"/>
        <v>1</v>
      </c>
      <c r="E284" s="13" t="s">
        <v>68</v>
      </c>
      <c r="F284" s="13">
        <f t="shared" si="2"/>
        <v>1</v>
      </c>
      <c r="G284" s="13" t="s">
        <v>82</v>
      </c>
      <c r="H284" s="13" t="str">
        <f t="shared" si="3"/>
        <v>Urban</v>
      </c>
      <c r="I284" s="13">
        <f t="shared" si="4"/>
        <v>2</v>
      </c>
      <c r="J284" s="13" t="s">
        <v>145</v>
      </c>
      <c r="K284" s="15" t="s">
        <v>146</v>
      </c>
      <c r="L284" s="13">
        <f t="shared" si="5"/>
        <v>1</v>
      </c>
      <c r="M284" s="13" t="s">
        <v>71</v>
      </c>
      <c r="N284" s="13">
        <f t="shared" si="6"/>
        <v>7.7</v>
      </c>
      <c r="O284" s="13" t="s">
        <v>78</v>
      </c>
      <c r="P284" s="13">
        <f t="shared" si="7"/>
        <v>3</v>
      </c>
      <c r="Q284" s="13" t="s">
        <v>78</v>
      </c>
      <c r="R284" s="13">
        <f t="shared" si="8"/>
        <v>3</v>
      </c>
      <c r="S284" s="13" t="s">
        <v>78</v>
      </c>
      <c r="T284" s="13">
        <f t="shared" si="9"/>
        <v>3</v>
      </c>
      <c r="U284" s="13" t="s">
        <v>110</v>
      </c>
      <c r="V284" s="13">
        <f t="shared" si="10"/>
        <v>0.75</v>
      </c>
      <c r="W284" s="13" t="s">
        <v>122</v>
      </c>
      <c r="X284" s="13">
        <f t="shared" si="11"/>
        <v>0</v>
      </c>
      <c r="Y284" s="13">
        <f t="shared" si="12"/>
        <v>0</v>
      </c>
      <c r="Z284" s="13">
        <f t="shared" si="13"/>
        <v>1</v>
      </c>
      <c r="AA284" s="13">
        <f t="shared" si="14"/>
        <v>0</v>
      </c>
      <c r="AB284" s="13" t="s">
        <v>78</v>
      </c>
      <c r="AC284" s="13">
        <f t="shared" si="15"/>
        <v>3</v>
      </c>
      <c r="AD284" s="13" t="s">
        <v>78</v>
      </c>
      <c r="AE284" s="13">
        <f t="shared" si="16"/>
        <v>3</v>
      </c>
      <c r="AF284" s="13" t="s">
        <v>76</v>
      </c>
      <c r="AG284" s="13">
        <f t="shared" si="17"/>
        <v>5.5</v>
      </c>
      <c r="AH284" s="13" t="s">
        <v>85</v>
      </c>
      <c r="AI284" s="13">
        <f t="shared" si="18"/>
        <v>4</v>
      </c>
      <c r="AJ284" s="13" t="s">
        <v>73</v>
      </c>
      <c r="AK284" s="13">
        <f t="shared" si="19"/>
        <v>2</v>
      </c>
      <c r="AL284" s="13" t="s">
        <v>73</v>
      </c>
      <c r="AM284" s="13">
        <f t="shared" si="20"/>
        <v>2</v>
      </c>
      <c r="AN284" s="13" t="s">
        <v>73</v>
      </c>
      <c r="AO284" s="13">
        <f t="shared" si="21"/>
        <v>2</v>
      </c>
      <c r="AP284" s="13" t="s">
        <v>78</v>
      </c>
      <c r="AQ284" s="13">
        <f t="shared" si="22"/>
        <v>3</v>
      </c>
      <c r="AR284" s="13" t="s">
        <v>78</v>
      </c>
      <c r="AS284" s="13">
        <f t="shared" si="23"/>
        <v>3</v>
      </c>
      <c r="AT284" s="13" t="s">
        <v>104</v>
      </c>
      <c r="AU284" s="15">
        <f t="shared" si="24"/>
        <v>1</v>
      </c>
      <c r="AV284" s="15">
        <f t="shared" si="25"/>
        <v>1</v>
      </c>
      <c r="AW284" s="13">
        <f t="shared" si="26"/>
        <v>1</v>
      </c>
      <c r="AX284" s="13">
        <f t="shared" si="27"/>
        <v>1</v>
      </c>
      <c r="AY284" s="13">
        <f t="shared" si="28"/>
        <v>1</v>
      </c>
      <c r="AZ284" s="13">
        <f t="shared" si="29"/>
        <v>1</v>
      </c>
      <c r="BA284" s="13">
        <f t="shared" si="30"/>
        <v>1</v>
      </c>
      <c r="BB284" s="13" t="s">
        <v>88</v>
      </c>
      <c r="BC284" s="13">
        <f t="shared" si="31"/>
        <v>2</v>
      </c>
      <c r="BD284" s="15"/>
      <c r="BE284" s="13" t="str">
        <f t="shared" si="47"/>
        <v>N/A</v>
      </c>
      <c r="BF284" s="13" t="s">
        <v>89</v>
      </c>
      <c r="BG284" s="13">
        <f t="shared" si="33"/>
        <v>1</v>
      </c>
      <c r="BH284" s="13">
        <f t="shared" si="34"/>
        <v>1</v>
      </c>
      <c r="BI284" s="13">
        <f t="shared" si="35"/>
        <v>1</v>
      </c>
      <c r="BJ284" s="13">
        <f t="shared" si="36"/>
        <v>1</v>
      </c>
      <c r="BK284" s="13">
        <f t="shared" si="37"/>
        <v>1</v>
      </c>
      <c r="BL284" s="13">
        <f t="shared" si="38"/>
        <v>1</v>
      </c>
      <c r="BM284" s="13">
        <f t="shared" si="39"/>
        <v>1</v>
      </c>
      <c r="BN284" s="13" t="s">
        <v>68</v>
      </c>
      <c r="BO284" s="16">
        <f t="shared" si="40"/>
        <v>1</v>
      </c>
    </row>
    <row r="285">
      <c r="A285" s="13">
        <f t="shared" si="41"/>
        <v>284</v>
      </c>
      <c r="B285" s="14">
        <v>46052.812140671296</v>
      </c>
      <c r="C285" s="13" t="s">
        <v>67</v>
      </c>
      <c r="D285" s="13">
        <f t="shared" si="1"/>
        <v>1</v>
      </c>
      <c r="E285" s="13" t="s">
        <v>68</v>
      </c>
      <c r="F285" s="13">
        <f t="shared" si="2"/>
        <v>1</v>
      </c>
      <c r="G285" s="13" t="s">
        <v>82</v>
      </c>
      <c r="H285" s="13" t="str">
        <f t="shared" si="3"/>
        <v>Urban</v>
      </c>
      <c r="I285" s="13">
        <f t="shared" si="4"/>
        <v>2</v>
      </c>
      <c r="J285" s="13" t="s">
        <v>70</v>
      </c>
      <c r="K285" s="15" t="s">
        <v>100</v>
      </c>
      <c r="L285" s="13">
        <f t="shared" si="5"/>
        <v>3</v>
      </c>
      <c r="M285" s="13" t="s">
        <v>71</v>
      </c>
      <c r="N285" s="13">
        <f t="shared" si="6"/>
        <v>7.7</v>
      </c>
      <c r="O285" s="13" t="s">
        <v>73</v>
      </c>
      <c r="P285" s="13">
        <f t="shared" si="7"/>
        <v>2</v>
      </c>
      <c r="Q285" s="13" t="s">
        <v>85</v>
      </c>
      <c r="R285" s="13">
        <f t="shared" si="8"/>
        <v>4</v>
      </c>
      <c r="S285" s="13" t="s">
        <v>78</v>
      </c>
      <c r="T285" s="13">
        <f t="shared" si="9"/>
        <v>3</v>
      </c>
      <c r="U285" s="13" t="s">
        <v>74</v>
      </c>
      <c r="V285" s="13">
        <f t="shared" si="10"/>
        <v>1.5</v>
      </c>
      <c r="W285" s="13" t="s">
        <v>105</v>
      </c>
      <c r="X285" s="13">
        <f t="shared" si="11"/>
        <v>1</v>
      </c>
      <c r="Y285" s="13">
        <f t="shared" si="12"/>
        <v>1</v>
      </c>
      <c r="Z285" s="13">
        <f t="shared" si="13"/>
        <v>0</v>
      </c>
      <c r="AA285" s="13">
        <f t="shared" si="14"/>
        <v>0</v>
      </c>
      <c r="AB285" s="13" t="s">
        <v>78</v>
      </c>
      <c r="AC285" s="13">
        <f t="shared" si="15"/>
        <v>3</v>
      </c>
      <c r="AD285" s="13" t="s">
        <v>85</v>
      </c>
      <c r="AE285" s="13">
        <f t="shared" si="16"/>
        <v>4</v>
      </c>
      <c r="AF285" s="13" t="s">
        <v>109</v>
      </c>
      <c r="AG285" s="13">
        <f t="shared" si="17"/>
        <v>9</v>
      </c>
      <c r="AH285" s="13" t="s">
        <v>103</v>
      </c>
      <c r="AI285" s="13">
        <f t="shared" si="18"/>
        <v>5</v>
      </c>
      <c r="AJ285" s="13" t="s">
        <v>78</v>
      </c>
      <c r="AK285" s="13">
        <f t="shared" si="19"/>
        <v>3</v>
      </c>
      <c r="AL285" s="13" t="s">
        <v>85</v>
      </c>
      <c r="AM285" s="13">
        <f t="shared" si="20"/>
        <v>4</v>
      </c>
      <c r="AN285" s="13" t="s">
        <v>120</v>
      </c>
      <c r="AO285" s="13">
        <f t="shared" si="21"/>
        <v>5</v>
      </c>
      <c r="AP285" s="13" t="s">
        <v>85</v>
      </c>
      <c r="AQ285" s="13">
        <f t="shared" si="22"/>
        <v>4</v>
      </c>
      <c r="AR285" s="13" t="s">
        <v>78</v>
      </c>
      <c r="AS285" s="13">
        <f t="shared" si="23"/>
        <v>3</v>
      </c>
      <c r="AT285" s="13" t="s">
        <v>274</v>
      </c>
      <c r="AU285" s="15">
        <f t="shared" si="24"/>
        <v>1</v>
      </c>
      <c r="AV285" s="15">
        <f t="shared" si="25"/>
        <v>0</v>
      </c>
      <c r="AW285" s="13">
        <f t="shared" si="26"/>
        <v>0</v>
      </c>
      <c r="AX285" s="13">
        <f t="shared" si="27"/>
        <v>1</v>
      </c>
      <c r="AY285" s="13">
        <f t="shared" si="28"/>
        <v>1</v>
      </c>
      <c r="AZ285" s="13">
        <f t="shared" si="29"/>
        <v>1</v>
      </c>
      <c r="BA285" s="13">
        <f t="shared" si="30"/>
        <v>0</v>
      </c>
      <c r="BB285" s="13" t="s">
        <v>88</v>
      </c>
      <c r="BC285" s="13">
        <f t="shared" si="31"/>
        <v>2</v>
      </c>
      <c r="BD285" s="15"/>
      <c r="BE285" s="13" t="str">
        <f t="shared" si="47"/>
        <v>N/A</v>
      </c>
      <c r="BF285" s="13" t="s">
        <v>212</v>
      </c>
      <c r="BG285" s="13">
        <f t="shared" si="33"/>
        <v>0</v>
      </c>
      <c r="BH285" s="13">
        <f t="shared" si="34"/>
        <v>1</v>
      </c>
      <c r="BI285" s="13">
        <f t="shared" si="35"/>
        <v>0</v>
      </c>
      <c r="BJ285" s="13">
        <f t="shared" si="36"/>
        <v>0</v>
      </c>
      <c r="BK285" s="13">
        <f t="shared" si="37"/>
        <v>1</v>
      </c>
      <c r="BL285" s="13">
        <f t="shared" si="38"/>
        <v>1</v>
      </c>
      <c r="BM285" s="13">
        <f t="shared" si="39"/>
        <v>1</v>
      </c>
      <c r="BN285" s="13" t="s">
        <v>68</v>
      </c>
      <c r="BO285" s="16">
        <f t="shared" si="40"/>
        <v>1</v>
      </c>
    </row>
    <row r="286">
      <c r="A286" s="13">
        <f t="shared" si="41"/>
        <v>285</v>
      </c>
      <c r="B286" s="14">
        <v>46052.826873750004</v>
      </c>
      <c r="C286" s="13" t="s">
        <v>67</v>
      </c>
      <c r="D286" s="13">
        <f t="shared" si="1"/>
        <v>1</v>
      </c>
      <c r="E286" s="13" t="s">
        <v>68</v>
      </c>
      <c r="F286" s="13">
        <f t="shared" si="2"/>
        <v>1</v>
      </c>
      <c r="G286" s="13" t="s">
        <v>69</v>
      </c>
      <c r="H286" s="13" t="str">
        <f t="shared" si="3"/>
        <v>Rural</v>
      </c>
      <c r="I286" s="13">
        <f t="shared" si="4"/>
        <v>1</v>
      </c>
      <c r="J286" s="13" t="s">
        <v>70</v>
      </c>
      <c r="K286" s="15" t="s">
        <v>100</v>
      </c>
      <c r="L286" s="13">
        <f t="shared" si="5"/>
        <v>3</v>
      </c>
      <c r="M286" s="13" t="s">
        <v>76</v>
      </c>
      <c r="N286" s="13">
        <f t="shared" si="6"/>
        <v>5.5</v>
      </c>
      <c r="O286" s="13" t="s">
        <v>78</v>
      </c>
      <c r="P286" s="13">
        <f t="shared" si="7"/>
        <v>3</v>
      </c>
      <c r="Q286" s="13" t="s">
        <v>78</v>
      </c>
      <c r="R286" s="13">
        <f t="shared" si="8"/>
        <v>3</v>
      </c>
      <c r="S286" s="13" t="s">
        <v>78</v>
      </c>
      <c r="T286" s="13">
        <f t="shared" si="9"/>
        <v>3</v>
      </c>
      <c r="U286" s="13" t="s">
        <v>92</v>
      </c>
      <c r="V286" s="13">
        <f t="shared" si="10"/>
        <v>3.5</v>
      </c>
      <c r="W286" s="13" t="s">
        <v>122</v>
      </c>
      <c r="X286" s="13">
        <f t="shared" si="11"/>
        <v>0</v>
      </c>
      <c r="Y286" s="13">
        <f t="shared" si="12"/>
        <v>0</v>
      </c>
      <c r="Z286" s="13">
        <f t="shared" si="13"/>
        <v>1</v>
      </c>
      <c r="AA286" s="13">
        <f t="shared" si="14"/>
        <v>0</v>
      </c>
      <c r="AB286" s="13" t="s">
        <v>78</v>
      </c>
      <c r="AC286" s="13">
        <f t="shared" si="15"/>
        <v>3</v>
      </c>
      <c r="AD286" s="13" t="s">
        <v>78</v>
      </c>
      <c r="AE286" s="13">
        <f t="shared" si="16"/>
        <v>3</v>
      </c>
      <c r="AF286" s="13" t="s">
        <v>76</v>
      </c>
      <c r="AG286" s="13">
        <f t="shared" si="17"/>
        <v>5.5</v>
      </c>
      <c r="AH286" s="13" t="s">
        <v>78</v>
      </c>
      <c r="AI286" s="13">
        <f t="shared" si="18"/>
        <v>3</v>
      </c>
      <c r="AJ286" s="13" t="s">
        <v>78</v>
      </c>
      <c r="AK286" s="13">
        <f t="shared" si="19"/>
        <v>3</v>
      </c>
      <c r="AL286" s="13" t="s">
        <v>78</v>
      </c>
      <c r="AM286" s="13">
        <f t="shared" si="20"/>
        <v>3</v>
      </c>
      <c r="AN286" s="13" t="s">
        <v>78</v>
      </c>
      <c r="AO286" s="13">
        <f t="shared" si="21"/>
        <v>3</v>
      </c>
      <c r="AP286" s="13" t="s">
        <v>78</v>
      </c>
      <c r="AQ286" s="13">
        <f t="shared" si="22"/>
        <v>3</v>
      </c>
      <c r="AR286" s="13" t="s">
        <v>78</v>
      </c>
      <c r="AS286" s="13">
        <f t="shared" si="23"/>
        <v>3</v>
      </c>
      <c r="AT286" s="13" t="s">
        <v>147</v>
      </c>
      <c r="AU286" s="15">
        <f t="shared" si="24"/>
        <v>1</v>
      </c>
      <c r="AV286" s="15">
        <f t="shared" si="25"/>
        <v>0</v>
      </c>
      <c r="AW286" s="13">
        <f t="shared" si="26"/>
        <v>0</v>
      </c>
      <c r="AX286" s="13">
        <f t="shared" si="27"/>
        <v>0</v>
      </c>
      <c r="AY286" s="13">
        <f t="shared" si="28"/>
        <v>0</v>
      </c>
      <c r="AZ286" s="13">
        <f t="shared" si="29"/>
        <v>0</v>
      </c>
      <c r="BA286" s="13">
        <f t="shared" si="30"/>
        <v>0</v>
      </c>
      <c r="BB286" s="13" t="s">
        <v>68</v>
      </c>
      <c r="BC286" s="13">
        <f t="shared" si="31"/>
        <v>1</v>
      </c>
      <c r="BD286" s="13" t="s">
        <v>333</v>
      </c>
      <c r="BE286" s="13" t="str">
        <f t="shared" si="47"/>
        <v>N/A</v>
      </c>
      <c r="BF286" s="13" t="s">
        <v>107</v>
      </c>
      <c r="BG286" s="13">
        <f t="shared" si="33"/>
        <v>1</v>
      </c>
      <c r="BH286" s="13">
        <f t="shared" si="34"/>
        <v>0</v>
      </c>
      <c r="BI286" s="13">
        <f t="shared" si="35"/>
        <v>0</v>
      </c>
      <c r="BJ286" s="13">
        <f t="shared" si="36"/>
        <v>0</v>
      </c>
      <c r="BK286" s="13">
        <f t="shared" si="37"/>
        <v>0</v>
      </c>
      <c r="BL286" s="13">
        <f t="shared" si="38"/>
        <v>0</v>
      </c>
      <c r="BM286" s="13">
        <f t="shared" si="39"/>
        <v>0</v>
      </c>
      <c r="BN286" s="13" t="s">
        <v>68</v>
      </c>
      <c r="BO286" s="16">
        <f t="shared" si="40"/>
        <v>1</v>
      </c>
    </row>
    <row r="287">
      <c r="A287" s="13">
        <f t="shared" si="41"/>
        <v>286</v>
      </c>
      <c r="B287" s="14">
        <v>46052.83160641204</v>
      </c>
      <c r="C287" s="13" t="s">
        <v>67</v>
      </c>
      <c r="D287" s="13">
        <f t="shared" si="1"/>
        <v>1</v>
      </c>
      <c r="E287" s="13" t="s">
        <v>68</v>
      </c>
      <c r="F287" s="13">
        <f t="shared" si="2"/>
        <v>1</v>
      </c>
      <c r="G287" s="13" t="s">
        <v>91</v>
      </c>
      <c r="H287" s="13" t="str">
        <f t="shared" si="3"/>
        <v>Urban</v>
      </c>
      <c r="I287" s="13">
        <f t="shared" si="4"/>
        <v>2</v>
      </c>
      <c r="J287" s="13" t="s">
        <v>145</v>
      </c>
      <c r="K287" s="15" t="s">
        <v>146</v>
      </c>
      <c r="L287" s="13">
        <f t="shared" si="5"/>
        <v>1</v>
      </c>
      <c r="M287" s="13" t="s">
        <v>109</v>
      </c>
      <c r="N287" s="13">
        <f t="shared" si="6"/>
        <v>9</v>
      </c>
      <c r="O287" s="13" t="s">
        <v>72</v>
      </c>
      <c r="P287" s="13">
        <f t="shared" si="7"/>
        <v>1</v>
      </c>
      <c r="Q287" s="13" t="s">
        <v>78</v>
      </c>
      <c r="R287" s="13">
        <f t="shared" si="8"/>
        <v>3</v>
      </c>
      <c r="S287" s="13" t="s">
        <v>85</v>
      </c>
      <c r="T287" s="13">
        <f t="shared" si="9"/>
        <v>4</v>
      </c>
      <c r="U287" s="13" t="s">
        <v>96</v>
      </c>
      <c r="V287" s="13">
        <f t="shared" si="10"/>
        <v>2.5</v>
      </c>
      <c r="W287" s="13" t="s">
        <v>174</v>
      </c>
      <c r="X287" s="13">
        <f t="shared" si="11"/>
        <v>1</v>
      </c>
      <c r="Y287" s="13">
        <f t="shared" si="12"/>
        <v>1</v>
      </c>
      <c r="Z287" s="13">
        <f t="shared" si="13"/>
        <v>1</v>
      </c>
      <c r="AA287" s="13">
        <f t="shared" si="14"/>
        <v>1</v>
      </c>
      <c r="AB287" s="13" t="s">
        <v>78</v>
      </c>
      <c r="AC287" s="13">
        <f t="shared" si="15"/>
        <v>3</v>
      </c>
      <c r="AD287" s="13" t="s">
        <v>73</v>
      </c>
      <c r="AE287" s="13">
        <f t="shared" si="16"/>
        <v>2</v>
      </c>
      <c r="AF287" s="13" t="s">
        <v>71</v>
      </c>
      <c r="AG287" s="13">
        <f t="shared" si="17"/>
        <v>7.7</v>
      </c>
      <c r="AH287" s="13" t="s">
        <v>103</v>
      </c>
      <c r="AI287" s="13">
        <f t="shared" si="18"/>
        <v>5</v>
      </c>
      <c r="AJ287" s="13" t="s">
        <v>85</v>
      </c>
      <c r="AK287" s="13">
        <f t="shared" si="19"/>
        <v>4</v>
      </c>
      <c r="AL287" s="13" t="s">
        <v>85</v>
      </c>
      <c r="AM287" s="13">
        <f t="shared" si="20"/>
        <v>4</v>
      </c>
      <c r="AN287" s="13" t="s">
        <v>85</v>
      </c>
      <c r="AO287" s="13">
        <f t="shared" si="21"/>
        <v>4</v>
      </c>
      <c r="AP287" s="13" t="s">
        <v>73</v>
      </c>
      <c r="AQ287" s="13">
        <f t="shared" si="22"/>
        <v>2</v>
      </c>
      <c r="AR287" s="13" t="s">
        <v>85</v>
      </c>
      <c r="AS287" s="13">
        <f t="shared" si="23"/>
        <v>4</v>
      </c>
      <c r="AT287" s="13" t="s">
        <v>162</v>
      </c>
      <c r="AU287" s="15">
        <f t="shared" si="24"/>
        <v>0</v>
      </c>
      <c r="AV287" s="15">
        <f t="shared" si="25"/>
        <v>0</v>
      </c>
      <c r="AW287" s="13">
        <f t="shared" si="26"/>
        <v>0</v>
      </c>
      <c r="AX287" s="13">
        <f t="shared" si="27"/>
        <v>0</v>
      </c>
      <c r="AY287" s="13">
        <f t="shared" si="28"/>
        <v>0</v>
      </c>
      <c r="AZ287" s="13">
        <f t="shared" si="29"/>
        <v>1</v>
      </c>
      <c r="BA287" s="13">
        <f t="shared" si="30"/>
        <v>0</v>
      </c>
      <c r="BB287" s="13" t="s">
        <v>68</v>
      </c>
      <c r="BC287" s="13">
        <f t="shared" si="31"/>
        <v>1</v>
      </c>
      <c r="BD287" s="15"/>
      <c r="BE287" s="13" t="str">
        <f t="shared" si="47"/>
        <v>N/A</v>
      </c>
      <c r="BF287" s="13" t="s">
        <v>129</v>
      </c>
      <c r="BG287" s="13">
        <f t="shared" si="33"/>
        <v>0</v>
      </c>
      <c r="BH287" s="13">
        <f t="shared" si="34"/>
        <v>0</v>
      </c>
      <c r="BI287" s="13">
        <f t="shared" si="35"/>
        <v>0</v>
      </c>
      <c r="BJ287" s="13">
        <f t="shared" si="36"/>
        <v>0</v>
      </c>
      <c r="BK287" s="13">
        <f t="shared" si="37"/>
        <v>0</v>
      </c>
      <c r="BL287" s="13">
        <f t="shared" si="38"/>
        <v>1</v>
      </c>
      <c r="BM287" s="13">
        <f t="shared" si="39"/>
        <v>0</v>
      </c>
      <c r="BN287" s="13" t="s">
        <v>68</v>
      </c>
      <c r="BO287" s="16">
        <f t="shared" si="40"/>
        <v>1</v>
      </c>
    </row>
    <row r="288">
      <c r="A288" s="13">
        <f t="shared" si="41"/>
        <v>287</v>
      </c>
      <c r="B288" s="14">
        <v>46052.83996890046</v>
      </c>
      <c r="C288" s="13" t="s">
        <v>67</v>
      </c>
      <c r="D288" s="13">
        <f t="shared" si="1"/>
        <v>1</v>
      </c>
      <c r="E288" s="13" t="s">
        <v>68</v>
      </c>
      <c r="F288" s="13">
        <f t="shared" si="2"/>
        <v>1</v>
      </c>
      <c r="G288" s="13" t="s">
        <v>91</v>
      </c>
      <c r="H288" s="13" t="str">
        <f t="shared" si="3"/>
        <v>Urban</v>
      </c>
      <c r="I288" s="13">
        <f t="shared" si="4"/>
        <v>2</v>
      </c>
      <c r="J288" s="13" t="s">
        <v>83</v>
      </c>
      <c r="K288" s="15" t="s">
        <v>84</v>
      </c>
      <c r="L288" s="13">
        <f t="shared" si="5"/>
        <v>2</v>
      </c>
      <c r="M288" s="13" t="s">
        <v>109</v>
      </c>
      <c r="N288" s="13">
        <f t="shared" si="6"/>
        <v>9</v>
      </c>
      <c r="O288" s="13" t="s">
        <v>85</v>
      </c>
      <c r="P288" s="13">
        <f t="shared" si="7"/>
        <v>4</v>
      </c>
      <c r="Q288" s="13" t="s">
        <v>73</v>
      </c>
      <c r="R288" s="13">
        <f t="shared" si="8"/>
        <v>2</v>
      </c>
      <c r="S288" s="13" t="s">
        <v>73</v>
      </c>
      <c r="T288" s="13">
        <f t="shared" si="9"/>
        <v>2</v>
      </c>
      <c r="U288" s="13" t="s">
        <v>110</v>
      </c>
      <c r="V288" s="13">
        <f t="shared" si="10"/>
        <v>0.75</v>
      </c>
      <c r="W288" s="13" t="s">
        <v>334</v>
      </c>
      <c r="X288" s="13">
        <f t="shared" si="11"/>
        <v>0</v>
      </c>
      <c r="Y288" s="13">
        <f t="shared" si="12"/>
        <v>0</v>
      </c>
      <c r="Z288" s="13">
        <f t="shared" si="13"/>
        <v>0</v>
      </c>
      <c r="AA288" s="13">
        <f t="shared" si="14"/>
        <v>1</v>
      </c>
      <c r="AB288" s="13" t="s">
        <v>78</v>
      </c>
      <c r="AC288" s="13">
        <f t="shared" si="15"/>
        <v>3</v>
      </c>
      <c r="AD288" s="13" t="s">
        <v>78</v>
      </c>
      <c r="AE288" s="13">
        <f t="shared" si="16"/>
        <v>3</v>
      </c>
      <c r="AF288" s="13" t="s">
        <v>76</v>
      </c>
      <c r="AG288" s="13">
        <f t="shared" si="17"/>
        <v>5.5</v>
      </c>
      <c r="AH288" s="13" t="s">
        <v>73</v>
      </c>
      <c r="AI288" s="13">
        <f t="shared" si="18"/>
        <v>2</v>
      </c>
      <c r="AJ288" s="13" t="s">
        <v>85</v>
      </c>
      <c r="AK288" s="13">
        <f t="shared" si="19"/>
        <v>4</v>
      </c>
      <c r="AL288" s="13" t="s">
        <v>85</v>
      </c>
      <c r="AM288" s="13">
        <f t="shared" si="20"/>
        <v>4</v>
      </c>
      <c r="AN288" s="13" t="s">
        <v>73</v>
      </c>
      <c r="AO288" s="13">
        <f t="shared" si="21"/>
        <v>2</v>
      </c>
      <c r="AP288" s="13" t="s">
        <v>73</v>
      </c>
      <c r="AQ288" s="13">
        <f t="shared" si="22"/>
        <v>2</v>
      </c>
      <c r="AR288" s="13" t="s">
        <v>85</v>
      </c>
      <c r="AS288" s="13">
        <f t="shared" si="23"/>
        <v>4</v>
      </c>
      <c r="AT288" s="13" t="s">
        <v>133</v>
      </c>
      <c r="AU288" s="15">
        <f t="shared" si="24"/>
        <v>0</v>
      </c>
      <c r="AV288" s="15">
        <f t="shared" si="25"/>
        <v>1</v>
      </c>
      <c r="AW288" s="13">
        <f t="shared" si="26"/>
        <v>0</v>
      </c>
      <c r="AX288" s="13">
        <f t="shared" si="27"/>
        <v>0</v>
      </c>
      <c r="AY288" s="13">
        <f t="shared" si="28"/>
        <v>0</v>
      </c>
      <c r="AZ288" s="13">
        <f t="shared" si="29"/>
        <v>0</v>
      </c>
      <c r="BA288" s="13">
        <f t="shared" si="30"/>
        <v>0</v>
      </c>
      <c r="BB288" s="13" t="s">
        <v>88</v>
      </c>
      <c r="BC288" s="13">
        <f t="shared" si="31"/>
        <v>2</v>
      </c>
      <c r="BD288" s="15"/>
      <c r="BE288" s="13" t="str">
        <f t="shared" si="47"/>
        <v>N/A</v>
      </c>
      <c r="BF288" s="13" t="s">
        <v>113</v>
      </c>
      <c r="BG288" s="13">
        <f t="shared" si="33"/>
        <v>0</v>
      </c>
      <c r="BH288" s="13">
        <f t="shared" si="34"/>
        <v>0</v>
      </c>
      <c r="BI288" s="13">
        <f t="shared" si="35"/>
        <v>0</v>
      </c>
      <c r="BJ288" s="13">
        <f t="shared" si="36"/>
        <v>0</v>
      </c>
      <c r="BK288" s="13">
        <f t="shared" si="37"/>
        <v>0</v>
      </c>
      <c r="BL288" s="13">
        <f t="shared" si="38"/>
        <v>0</v>
      </c>
      <c r="BM288" s="13">
        <f t="shared" si="39"/>
        <v>1</v>
      </c>
      <c r="BN288" s="13" t="s">
        <v>108</v>
      </c>
      <c r="BO288" s="16">
        <f t="shared" si="40"/>
        <v>3</v>
      </c>
    </row>
    <row r="289">
      <c r="A289" s="13">
        <f t="shared" si="41"/>
        <v>288</v>
      </c>
      <c r="B289" s="14">
        <v>46052.84255884259</v>
      </c>
      <c r="C289" s="13" t="s">
        <v>90</v>
      </c>
      <c r="D289" s="13">
        <f t="shared" si="1"/>
        <v>2</v>
      </c>
      <c r="E289" s="13" t="s">
        <v>68</v>
      </c>
      <c r="F289" s="13">
        <f t="shared" si="2"/>
        <v>1</v>
      </c>
      <c r="G289" s="15"/>
      <c r="H289" s="13" t="str">
        <f t="shared" si="3"/>
        <v>N/A</v>
      </c>
      <c r="I289" s="13" t="str">
        <f t="shared" si="4"/>
        <v>N/A</v>
      </c>
      <c r="J289" s="13" t="s">
        <v>83</v>
      </c>
      <c r="K289" s="15" t="s">
        <v>84</v>
      </c>
      <c r="L289" s="13">
        <f t="shared" si="5"/>
        <v>2</v>
      </c>
      <c r="M289" s="13" t="s">
        <v>109</v>
      </c>
      <c r="N289" s="13">
        <f t="shared" si="6"/>
        <v>9</v>
      </c>
      <c r="O289" s="13" t="s">
        <v>103</v>
      </c>
      <c r="P289" s="13">
        <f t="shared" si="7"/>
        <v>5</v>
      </c>
      <c r="Q289" s="13" t="s">
        <v>103</v>
      </c>
      <c r="R289" s="13">
        <f t="shared" si="8"/>
        <v>5</v>
      </c>
      <c r="S289" s="13" t="s">
        <v>103</v>
      </c>
      <c r="T289" s="13">
        <f t="shared" si="9"/>
        <v>5</v>
      </c>
      <c r="U289" s="13" t="s">
        <v>92</v>
      </c>
      <c r="V289" s="13">
        <f t="shared" si="10"/>
        <v>3.5</v>
      </c>
      <c r="W289" s="13" t="s">
        <v>93</v>
      </c>
      <c r="X289" s="13">
        <f t="shared" si="11"/>
        <v>0</v>
      </c>
      <c r="Y289" s="13">
        <f t="shared" si="12"/>
        <v>1</v>
      </c>
      <c r="Z289" s="13">
        <f t="shared" si="13"/>
        <v>0</v>
      </c>
      <c r="AA289" s="13">
        <f t="shared" si="14"/>
        <v>0</v>
      </c>
      <c r="AB289" s="13" t="s">
        <v>78</v>
      </c>
      <c r="AC289" s="13">
        <f t="shared" si="15"/>
        <v>3</v>
      </c>
      <c r="AD289" s="13" t="s">
        <v>73</v>
      </c>
      <c r="AE289" s="13">
        <f t="shared" si="16"/>
        <v>2</v>
      </c>
      <c r="AF289" s="13" t="s">
        <v>71</v>
      </c>
      <c r="AG289" s="13">
        <f t="shared" si="17"/>
        <v>7.7</v>
      </c>
      <c r="AH289" s="13" t="s">
        <v>103</v>
      </c>
      <c r="AI289" s="13">
        <f t="shared" si="18"/>
        <v>5</v>
      </c>
      <c r="AJ289" s="13" t="s">
        <v>120</v>
      </c>
      <c r="AK289" s="13">
        <f t="shared" si="19"/>
        <v>5</v>
      </c>
      <c r="AL289" s="13" t="s">
        <v>85</v>
      </c>
      <c r="AM289" s="13">
        <f t="shared" si="20"/>
        <v>4</v>
      </c>
      <c r="AN289" s="13" t="s">
        <v>85</v>
      </c>
      <c r="AO289" s="13">
        <f t="shared" si="21"/>
        <v>4</v>
      </c>
      <c r="AP289" s="13" t="s">
        <v>120</v>
      </c>
      <c r="AQ289" s="13">
        <f t="shared" si="22"/>
        <v>5</v>
      </c>
      <c r="AR289" s="13" t="s">
        <v>120</v>
      </c>
      <c r="AS289" s="13">
        <f t="shared" si="23"/>
        <v>5</v>
      </c>
      <c r="AT289" s="13" t="s">
        <v>133</v>
      </c>
      <c r="AU289" s="15">
        <f t="shared" si="24"/>
        <v>0</v>
      </c>
      <c r="AV289" s="15">
        <f t="shared" si="25"/>
        <v>1</v>
      </c>
      <c r="AW289" s="13">
        <f t="shared" si="26"/>
        <v>0</v>
      </c>
      <c r="AX289" s="13">
        <f t="shared" si="27"/>
        <v>0</v>
      </c>
      <c r="AY289" s="13">
        <f t="shared" si="28"/>
        <v>0</v>
      </c>
      <c r="AZ289" s="13">
        <f t="shared" si="29"/>
        <v>0</v>
      </c>
      <c r="BA289" s="13">
        <f t="shared" si="30"/>
        <v>0</v>
      </c>
      <c r="BB289" s="13" t="s">
        <v>88</v>
      </c>
      <c r="BC289" s="13">
        <f t="shared" si="31"/>
        <v>2</v>
      </c>
      <c r="BD289" s="15"/>
      <c r="BE289" s="13" t="str">
        <f t="shared" si="47"/>
        <v>N/A</v>
      </c>
      <c r="BF289" s="13" t="s">
        <v>113</v>
      </c>
      <c r="BG289" s="13">
        <f t="shared" si="33"/>
        <v>0</v>
      </c>
      <c r="BH289" s="13">
        <f t="shared" si="34"/>
        <v>0</v>
      </c>
      <c r="BI289" s="13">
        <f t="shared" si="35"/>
        <v>0</v>
      </c>
      <c r="BJ289" s="13">
        <f t="shared" si="36"/>
        <v>0</v>
      </c>
      <c r="BK289" s="13">
        <f t="shared" si="37"/>
        <v>0</v>
      </c>
      <c r="BL289" s="13">
        <f t="shared" si="38"/>
        <v>0</v>
      </c>
      <c r="BM289" s="13">
        <f t="shared" si="39"/>
        <v>1</v>
      </c>
      <c r="BN289" s="13" t="s">
        <v>68</v>
      </c>
      <c r="BO289" s="16">
        <f t="shared" si="40"/>
        <v>1</v>
      </c>
    </row>
    <row r="290">
      <c r="A290" s="13">
        <f t="shared" si="41"/>
        <v>289</v>
      </c>
      <c r="B290" s="14">
        <v>46052.843569351855</v>
      </c>
      <c r="C290" s="13" t="s">
        <v>67</v>
      </c>
      <c r="D290" s="13">
        <f t="shared" si="1"/>
        <v>1</v>
      </c>
      <c r="E290" s="13" t="s">
        <v>68</v>
      </c>
      <c r="F290" s="13">
        <f t="shared" si="2"/>
        <v>1</v>
      </c>
      <c r="G290" s="13" t="s">
        <v>82</v>
      </c>
      <c r="H290" s="13" t="str">
        <f t="shared" si="3"/>
        <v>Urban</v>
      </c>
      <c r="I290" s="13">
        <f t="shared" si="4"/>
        <v>2</v>
      </c>
      <c r="J290" s="13" t="s">
        <v>70</v>
      </c>
      <c r="K290" s="15" t="s">
        <v>100</v>
      </c>
      <c r="L290" s="13">
        <f t="shared" si="5"/>
        <v>3</v>
      </c>
      <c r="M290" s="13" t="s">
        <v>109</v>
      </c>
      <c r="N290" s="13">
        <f t="shared" si="6"/>
        <v>9</v>
      </c>
      <c r="O290" s="13" t="s">
        <v>85</v>
      </c>
      <c r="P290" s="13">
        <f t="shared" si="7"/>
        <v>4</v>
      </c>
      <c r="Q290" s="13" t="s">
        <v>73</v>
      </c>
      <c r="R290" s="13">
        <f t="shared" si="8"/>
        <v>2</v>
      </c>
      <c r="S290" s="13" t="s">
        <v>85</v>
      </c>
      <c r="T290" s="13">
        <f t="shared" si="9"/>
        <v>4</v>
      </c>
      <c r="U290" s="13" t="s">
        <v>110</v>
      </c>
      <c r="V290" s="13">
        <f t="shared" si="10"/>
        <v>0.75</v>
      </c>
      <c r="W290" s="13" t="s">
        <v>335</v>
      </c>
      <c r="X290" s="13">
        <f t="shared" si="11"/>
        <v>1</v>
      </c>
      <c r="Y290" s="13">
        <f t="shared" si="12"/>
        <v>0</v>
      </c>
      <c r="Z290" s="13">
        <f t="shared" si="13"/>
        <v>0</v>
      </c>
      <c r="AA290" s="13">
        <f t="shared" si="14"/>
        <v>0</v>
      </c>
      <c r="AB290" s="13" t="s">
        <v>78</v>
      </c>
      <c r="AC290" s="13">
        <f t="shared" si="15"/>
        <v>3</v>
      </c>
      <c r="AD290" s="13" t="s">
        <v>78</v>
      </c>
      <c r="AE290" s="13">
        <f t="shared" si="16"/>
        <v>3</v>
      </c>
      <c r="AF290" s="13" t="s">
        <v>76</v>
      </c>
      <c r="AG290" s="13">
        <f t="shared" si="17"/>
        <v>5.5</v>
      </c>
      <c r="AH290" s="13" t="s">
        <v>103</v>
      </c>
      <c r="AI290" s="13">
        <f t="shared" si="18"/>
        <v>5</v>
      </c>
      <c r="AJ290" s="13" t="s">
        <v>73</v>
      </c>
      <c r="AK290" s="13">
        <f t="shared" si="19"/>
        <v>2</v>
      </c>
      <c r="AL290" s="13" t="s">
        <v>85</v>
      </c>
      <c r="AM290" s="13">
        <f t="shared" si="20"/>
        <v>4</v>
      </c>
      <c r="AN290" s="13" t="s">
        <v>85</v>
      </c>
      <c r="AO290" s="13">
        <f t="shared" si="21"/>
        <v>4</v>
      </c>
      <c r="AP290" s="13" t="s">
        <v>78</v>
      </c>
      <c r="AQ290" s="13">
        <f t="shared" si="22"/>
        <v>3</v>
      </c>
      <c r="AR290" s="13" t="s">
        <v>85</v>
      </c>
      <c r="AS290" s="13">
        <f t="shared" si="23"/>
        <v>4</v>
      </c>
      <c r="AT290" s="13" t="s">
        <v>162</v>
      </c>
      <c r="AU290" s="15">
        <f t="shared" si="24"/>
        <v>0</v>
      </c>
      <c r="AV290" s="15">
        <f t="shared" si="25"/>
        <v>0</v>
      </c>
      <c r="AW290" s="13">
        <f t="shared" si="26"/>
        <v>0</v>
      </c>
      <c r="AX290" s="13">
        <f t="shared" si="27"/>
        <v>0</v>
      </c>
      <c r="AY290" s="13">
        <f t="shared" si="28"/>
        <v>0</v>
      </c>
      <c r="AZ290" s="13">
        <f t="shared" si="29"/>
        <v>1</v>
      </c>
      <c r="BA290" s="13">
        <f t="shared" si="30"/>
        <v>0</v>
      </c>
      <c r="BB290" s="13" t="s">
        <v>88</v>
      </c>
      <c r="BC290" s="13">
        <f t="shared" si="31"/>
        <v>2</v>
      </c>
      <c r="BD290" s="15"/>
      <c r="BE290" s="13" t="str">
        <f t="shared" si="47"/>
        <v>N/A</v>
      </c>
      <c r="BF290" s="13" t="s">
        <v>107</v>
      </c>
      <c r="BG290" s="13">
        <f t="shared" si="33"/>
        <v>1</v>
      </c>
      <c r="BH290" s="13">
        <f t="shared" si="34"/>
        <v>0</v>
      </c>
      <c r="BI290" s="13">
        <f t="shared" si="35"/>
        <v>0</v>
      </c>
      <c r="BJ290" s="13">
        <f t="shared" si="36"/>
        <v>0</v>
      </c>
      <c r="BK290" s="13">
        <f t="shared" si="37"/>
        <v>0</v>
      </c>
      <c r="BL290" s="13">
        <f t="shared" si="38"/>
        <v>0</v>
      </c>
      <c r="BM290" s="13">
        <f t="shared" si="39"/>
        <v>0</v>
      </c>
      <c r="BN290" s="13" t="s">
        <v>108</v>
      </c>
      <c r="BO290" s="16">
        <f t="shared" si="40"/>
        <v>3</v>
      </c>
    </row>
    <row r="291">
      <c r="A291" s="13">
        <f t="shared" si="41"/>
        <v>290</v>
      </c>
      <c r="B291" s="14">
        <v>46052.84561118056</v>
      </c>
      <c r="C291" s="13" t="s">
        <v>90</v>
      </c>
      <c r="D291" s="13">
        <f t="shared" si="1"/>
        <v>2</v>
      </c>
      <c r="E291" s="13" t="s">
        <v>68</v>
      </c>
      <c r="F291" s="13">
        <f t="shared" si="2"/>
        <v>1</v>
      </c>
      <c r="G291" s="13" t="s">
        <v>82</v>
      </c>
      <c r="H291" s="13" t="str">
        <f t="shared" si="3"/>
        <v>Urban</v>
      </c>
      <c r="I291" s="13">
        <f t="shared" si="4"/>
        <v>2</v>
      </c>
      <c r="J291" s="13" t="s">
        <v>83</v>
      </c>
      <c r="K291" s="15" t="s">
        <v>84</v>
      </c>
      <c r="L291" s="13">
        <f t="shared" si="5"/>
        <v>2</v>
      </c>
      <c r="M291" s="13" t="s">
        <v>71</v>
      </c>
      <c r="N291" s="13">
        <f t="shared" si="6"/>
        <v>7.7</v>
      </c>
      <c r="O291" s="13" t="s">
        <v>78</v>
      </c>
      <c r="P291" s="13">
        <f t="shared" si="7"/>
        <v>3</v>
      </c>
      <c r="Q291" s="13" t="s">
        <v>103</v>
      </c>
      <c r="R291" s="13">
        <f t="shared" si="8"/>
        <v>5</v>
      </c>
      <c r="S291" s="13" t="s">
        <v>73</v>
      </c>
      <c r="T291" s="13">
        <f t="shared" si="9"/>
        <v>2</v>
      </c>
      <c r="U291" s="13" t="s">
        <v>92</v>
      </c>
      <c r="V291" s="13">
        <f t="shared" si="10"/>
        <v>3.5</v>
      </c>
      <c r="W291" s="13" t="s">
        <v>102</v>
      </c>
      <c r="X291" s="13">
        <f t="shared" si="11"/>
        <v>1</v>
      </c>
      <c r="Y291" s="13">
        <f t="shared" si="12"/>
        <v>1</v>
      </c>
      <c r="Z291" s="13">
        <f t="shared" si="13"/>
        <v>1</v>
      </c>
      <c r="AA291" s="13">
        <f t="shared" si="14"/>
        <v>1</v>
      </c>
      <c r="AB291" s="13" t="s">
        <v>78</v>
      </c>
      <c r="AC291" s="13">
        <f t="shared" si="15"/>
        <v>3</v>
      </c>
      <c r="AD291" s="13" t="s">
        <v>85</v>
      </c>
      <c r="AE291" s="13">
        <f t="shared" si="16"/>
        <v>4</v>
      </c>
      <c r="AF291" s="13" t="s">
        <v>76</v>
      </c>
      <c r="AG291" s="13">
        <f t="shared" si="17"/>
        <v>5.5</v>
      </c>
      <c r="AH291" s="13" t="s">
        <v>85</v>
      </c>
      <c r="AI291" s="13">
        <f t="shared" si="18"/>
        <v>4</v>
      </c>
      <c r="AJ291" s="13" t="s">
        <v>73</v>
      </c>
      <c r="AK291" s="13">
        <f t="shared" si="19"/>
        <v>2</v>
      </c>
      <c r="AL291" s="13" t="s">
        <v>73</v>
      </c>
      <c r="AM291" s="13">
        <f t="shared" si="20"/>
        <v>2</v>
      </c>
      <c r="AN291" s="13" t="s">
        <v>85</v>
      </c>
      <c r="AO291" s="13">
        <f t="shared" si="21"/>
        <v>4</v>
      </c>
      <c r="AP291" s="13" t="s">
        <v>78</v>
      </c>
      <c r="AQ291" s="13">
        <f t="shared" si="22"/>
        <v>3</v>
      </c>
      <c r="AR291" s="13" t="s">
        <v>78</v>
      </c>
      <c r="AS291" s="13">
        <f t="shared" si="23"/>
        <v>3</v>
      </c>
      <c r="AT291" s="13" t="s">
        <v>165</v>
      </c>
      <c r="AU291" s="15">
        <f t="shared" si="24"/>
        <v>1</v>
      </c>
      <c r="AV291" s="15">
        <f t="shared" si="25"/>
        <v>1</v>
      </c>
      <c r="AW291" s="13">
        <f t="shared" si="26"/>
        <v>0</v>
      </c>
      <c r="AX291" s="13">
        <f t="shared" si="27"/>
        <v>1</v>
      </c>
      <c r="AY291" s="13">
        <f t="shared" si="28"/>
        <v>1</v>
      </c>
      <c r="AZ291" s="13">
        <f t="shared" si="29"/>
        <v>1</v>
      </c>
      <c r="BA291" s="13">
        <f t="shared" si="30"/>
        <v>1</v>
      </c>
      <c r="BB291" s="13" t="s">
        <v>88</v>
      </c>
      <c r="BC291" s="13">
        <f t="shared" si="31"/>
        <v>2</v>
      </c>
      <c r="BD291" s="15"/>
      <c r="BE291" s="13" t="str">
        <f t="shared" si="47"/>
        <v>N/A</v>
      </c>
      <c r="BF291" s="13" t="s">
        <v>193</v>
      </c>
      <c r="BG291" s="13">
        <f t="shared" si="33"/>
        <v>0</v>
      </c>
      <c r="BH291" s="13">
        <f t="shared" si="34"/>
        <v>0</v>
      </c>
      <c r="BI291" s="13">
        <f t="shared" si="35"/>
        <v>1</v>
      </c>
      <c r="BJ291" s="13">
        <f t="shared" si="36"/>
        <v>0</v>
      </c>
      <c r="BK291" s="13">
        <f t="shared" si="37"/>
        <v>1</v>
      </c>
      <c r="BL291" s="13">
        <f t="shared" si="38"/>
        <v>1</v>
      </c>
      <c r="BM291" s="13">
        <f t="shared" si="39"/>
        <v>1</v>
      </c>
      <c r="BN291" s="13" t="s">
        <v>68</v>
      </c>
      <c r="BO291" s="16">
        <f t="shared" si="40"/>
        <v>1</v>
      </c>
    </row>
    <row r="292">
      <c r="A292" s="13">
        <f t="shared" si="41"/>
        <v>291</v>
      </c>
      <c r="B292" s="14">
        <v>46052.846143622686</v>
      </c>
      <c r="C292" s="13" t="s">
        <v>90</v>
      </c>
      <c r="D292" s="13">
        <f t="shared" si="1"/>
        <v>2</v>
      </c>
      <c r="E292" s="13" t="s">
        <v>68</v>
      </c>
      <c r="F292" s="13">
        <f t="shared" si="2"/>
        <v>1</v>
      </c>
      <c r="G292" s="13" t="s">
        <v>82</v>
      </c>
      <c r="H292" s="13" t="str">
        <f t="shared" si="3"/>
        <v>Urban</v>
      </c>
      <c r="I292" s="13">
        <f t="shared" si="4"/>
        <v>2</v>
      </c>
      <c r="J292" s="13" t="s">
        <v>70</v>
      </c>
      <c r="K292" s="15" t="s">
        <v>100</v>
      </c>
      <c r="L292" s="13">
        <f t="shared" si="5"/>
        <v>3</v>
      </c>
      <c r="M292" s="13" t="s">
        <v>71</v>
      </c>
      <c r="N292" s="13">
        <f t="shared" si="6"/>
        <v>7.7</v>
      </c>
      <c r="O292" s="13" t="s">
        <v>85</v>
      </c>
      <c r="P292" s="13">
        <f t="shared" si="7"/>
        <v>4</v>
      </c>
      <c r="Q292" s="13" t="s">
        <v>85</v>
      </c>
      <c r="R292" s="13">
        <f t="shared" si="8"/>
        <v>4</v>
      </c>
      <c r="S292" s="13" t="s">
        <v>78</v>
      </c>
      <c r="T292" s="13">
        <f t="shared" si="9"/>
        <v>3</v>
      </c>
      <c r="U292" s="13" t="s">
        <v>96</v>
      </c>
      <c r="V292" s="13">
        <f t="shared" si="10"/>
        <v>2.5</v>
      </c>
      <c r="W292" s="13" t="s">
        <v>336</v>
      </c>
      <c r="X292" s="13">
        <f t="shared" si="11"/>
        <v>0</v>
      </c>
      <c r="Y292" s="13">
        <f t="shared" si="12"/>
        <v>1</v>
      </c>
      <c r="Z292" s="13">
        <f t="shared" si="13"/>
        <v>1</v>
      </c>
      <c r="AA292" s="13">
        <f t="shared" si="14"/>
        <v>1</v>
      </c>
      <c r="AB292" s="13" t="s">
        <v>85</v>
      </c>
      <c r="AC292" s="13">
        <f t="shared" si="15"/>
        <v>4</v>
      </c>
      <c r="AD292" s="13" t="s">
        <v>85</v>
      </c>
      <c r="AE292" s="13">
        <f t="shared" si="16"/>
        <v>4</v>
      </c>
      <c r="AF292" s="13" t="s">
        <v>71</v>
      </c>
      <c r="AG292" s="13">
        <f t="shared" si="17"/>
        <v>7.7</v>
      </c>
      <c r="AH292" s="13" t="s">
        <v>85</v>
      </c>
      <c r="AI292" s="13">
        <f t="shared" si="18"/>
        <v>4</v>
      </c>
      <c r="AJ292" s="13" t="s">
        <v>85</v>
      </c>
      <c r="AK292" s="13">
        <f t="shared" si="19"/>
        <v>4</v>
      </c>
      <c r="AL292" s="13" t="s">
        <v>73</v>
      </c>
      <c r="AM292" s="13">
        <f t="shared" si="20"/>
        <v>2</v>
      </c>
      <c r="AN292" s="13" t="s">
        <v>85</v>
      </c>
      <c r="AO292" s="13">
        <f t="shared" si="21"/>
        <v>4</v>
      </c>
      <c r="AP292" s="13" t="s">
        <v>73</v>
      </c>
      <c r="AQ292" s="13">
        <f t="shared" si="22"/>
        <v>2</v>
      </c>
      <c r="AR292" s="13" t="s">
        <v>85</v>
      </c>
      <c r="AS292" s="13">
        <f t="shared" si="23"/>
        <v>4</v>
      </c>
      <c r="AT292" s="13" t="s">
        <v>337</v>
      </c>
      <c r="AU292" s="15">
        <f t="shared" si="24"/>
        <v>1</v>
      </c>
      <c r="AV292" s="15">
        <f t="shared" si="25"/>
        <v>1</v>
      </c>
      <c r="AW292" s="13">
        <f t="shared" si="26"/>
        <v>0</v>
      </c>
      <c r="AX292" s="13">
        <f t="shared" si="27"/>
        <v>0</v>
      </c>
      <c r="AY292" s="13">
        <f t="shared" si="28"/>
        <v>0</v>
      </c>
      <c r="AZ292" s="13">
        <f t="shared" si="29"/>
        <v>0</v>
      </c>
      <c r="BA292" s="13">
        <f t="shared" si="30"/>
        <v>1</v>
      </c>
      <c r="BB292" s="13" t="s">
        <v>88</v>
      </c>
      <c r="BC292" s="13">
        <f t="shared" si="31"/>
        <v>2</v>
      </c>
      <c r="BD292" s="15"/>
      <c r="BE292" s="13" t="str">
        <f t="shared" si="47"/>
        <v>N/A</v>
      </c>
      <c r="BF292" s="13" t="s">
        <v>298</v>
      </c>
      <c r="BG292" s="13">
        <f t="shared" si="33"/>
        <v>1</v>
      </c>
      <c r="BH292" s="13">
        <f t="shared" si="34"/>
        <v>0</v>
      </c>
      <c r="BI292" s="13">
        <f t="shared" si="35"/>
        <v>1</v>
      </c>
      <c r="BJ292" s="13">
        <f t="shared" si="36"/>
        <v>1</v>
      </c>
      <c r="BK292" s="13">
        <f t="shared" si="37"/>
        <v>0</v>
      </c>
      <c r="BL292" s="13">
        <f t="shared" si="38"/>
        <v>0</v>
      </c>
      <c r="BM292" s="13">
        <f t="shared" si="39"/>
        <v>1</v>
      </c>
      <c r="BN292" s="13" t="s">
        <v>68</v>
      </c>
      <c r="BO292" s="16">
        <f t="shared" si="40"/>
        <v>1</v>
      </c>
    </row>
    <row r="293">
      <c r="A293" s="13">
        <f t="shared" si="41"/>
        <v>292</v>
      </c>
      <c r="B293" s="14">
        <v>46052.8465659838</v>
      </c>
      <c r="C293" s="13" t="s">
        <v>67</v>
      </c>
      <c r="D293" s="13">
        <f t="shared" si="1"/>
        <v>1</v>
      </c>
      <c r="E293" s="13" t="s">
        <v>68</v>
      </c>
      <c r="F293" s="13">
        <f t="shared" si="2"/>
        <v>1</v>
      </c>
      <c r="G293" s="13" t="s">
        <v>91</v>
      </c>
      <c r="H293" s="13" t="str">
        <f t="shared" si="3"/>
        <v>Urban</v>
      </c>
      <c r="I293" s="13">
        <f t="shared" si="4"/>
        <v>2</v>
      </c>
      <c r="J293" s="13" t="s">
        <v>83</v>
      </c>
      <c r="K293" s="15" t="s">
        <v>84</v>
      </c>
      <c r="L293" s="13">
        <f t="shared" si="5"/>
        <v>2</v>
      </c>
      <c r="M293" s="13" t="s">
        <v>76</v>
      </c>
      <c r="N293" s="13">
        <f t="shared" si="6"/>
        <v>5.5</v>
      </c>
      <c r="O293" s="13" t="s">
        <v>85</v>
      </c>
      <c r="P293" s="13">
        <f t="shared" si="7"/>
        <v>4</v>
      </c>
      <c r="Q293" s="13" t="s">
        <v>85</v>
      </c>
      <c r="R293" s="13">
        <f t="shared" si="8"/>
        <v>4</v>
      </c>
      <c r="S293" s="13" t="s">
        <v>85</v>
      </c>
      <c r="T293" s="13">
        <f t="shared" si="9"/>
        <v>4</v>
      </c>
      <c r="U293" s="13" t="s">
        <v>136</v>
      </c>
      <c r="V293" s="13">
        <f t="shared" si="10"/>
        <v>0</v>
      </c>
      <c r="W293" s="15"/>
      <c r="X293" s="13">
        <f t="shared" si="11"/>
        <v>0</v>
      </c>
      <c r="Y293" s="13">
        <f t="shared" si="12"/>
        <v>0</v>
      </c>
      <c r="Z293" s="13">
        <f t="shared" si="13"/>
        <v>0</v>
      </c>
      <c r="AA293" s="13">
        <f t="shared" si="14"/>
        <v>0</v>
      </c>
      <c r="AB293" s="15"/>
      <c r="AC293" s="13" t="str">
        <f t="shared" si="15"/>
        <v>N/A</v>
      </c>
      <c r="AD293" s="15"/>
      <c r="AE293" s="13" t="str">
        <f t="shared" si="16"/>
        <v>N/A</v>
      </c>
      <c r="AF293" s="13" t="s">
        <v>76</v>
      </c>
      <c r="AG293" s="13">
        <f t="shared" si="17"/>
        <v>5.5</v>
      </c>
      <c r="AH293" s="13" t="s">
        <v>72</v>
      </c>
      <c r="AI293" s="13">
        <f t="shared" si="18"/>
        <v>1</v>
      </c>
      <c r="AJ293" s="13" t="s">
        <v>85</v>
      </c>
      <c r="AK293" s="13">
        <f t="shared" si="19"/>
        <v>4</v>
      </c>
      <c r="AL293" s="13" t="s">
        <v>85</v>
      </c>
      <c r="AM293" s="13">
        <f t="shared" si="20"/>
        <v>4</v>
      </c>
      <c r="AN293" s="13" t="s">
        <v>85</v>
      </c>
      <c r="AO293" s="13">
        <f t="shared" si="21"/>
        <v>4</v>
      </c>
      <c r="AP293" s="13" t="s">
        <v>85</v>
      </c>
      <c r="AQ293" s="13">
        <f t="shared" si="22"/>
        <v>4</v>
      </c>
      <c r="AR293" s="13" t="s">
        <v>120</v>
      </c>
      <c r="AS293" s="13">
        <f t="shared" si="23"/>
        <v>5</v>
      </c>
      <c r="AT293" s="13" t="s">
        <v>123</v>
      </c>
      <c r="AU293" s="15">
        <f t="shared" si="24"/>
        <v>1</v>
      </c>
      <c r="AV293" s="15">
        <f t="shared" si="25"/>
        <v>1</v>
      </c>
      <c r="AW293" s="13">
        <f t="shared" si="26"/>
        <v>1</v>
      </c>
      <c r="AX293" s="13">
        <f t="shared" si="27"/>
        <v>0</v>
      </c>
      <c r="AY293" s="13">
        <f t="shared" si="28"/>
        <v>0</v>
      </c>
      <c r="AZ293" s="13">
        <f t="shared" si="29"/>
        <v>0</v>
      </c>
      <c r="BA293" s="13">
        <f t="shared" si="30"/>
        <v>0</v>
      </c>
      <c r="BB293" s="13" t="s">
        <v>68</v>
      </c>
      <c r="BC293" s="13">
        <f t="shared" si="31"/>
        <v>1</v>
      </c>
      <c r="BD293" s="13" t="s">
        <v>338</v>
      </c>
      <c r="BE293" s="13" t="str">
        <f t="shared" si="47"/>
        <v>N/A</v>
      </c>
      <c r="BF293" s="13" t="s">
        <v>254</v>
      </c>
      <c r="BG293" s="13">
        <f t="shared" si="33"/>
        <v>1</v>
      </c>
      <c r="BH293" s="13">
        <f t="shared" si="34"/>
        <v>1</v>
      </c>
      <c r="BI293" s="13">
        <f t="shared" si="35"/>
        <v>1</v>
      </c>
      <c r="BJ293" s="13">
        <f t="shared" si="36"/>
        <v>1</v>
      </c>
      <c r="BK293" s="13">
        <f t="shared" si="37"/>
        <v>0</v>
      </c>
      <c r="BL293" s="13">
        <f t="shared" si="38"/>
        <v>0</v>
      </c>
      <c r="BM293" s="13">
        <f t="shared" si="39"/>
        <v>0</v>
      </c>
      <c r="BN293" s="13" t="s">
        <v>68</v>
      </c>
      <c r="BO293" s="16">
        <f t="shared" si="40"/>
        <v>1</v>
      </c>
    </row>
    <row r="294">
      <c r="A294" s="13">
        <f t="shared" si="41"/>
        <v>293</v>
      </c>
      <c r="B294" s="14">
        <v>46052.850256087964</v>
      </c>
      <c r="C294" s="13" t="s">
        <v>67</v>
      </c>
      <c r="D294" s="13">
        <f t="shared" si="1"/>
        <v>1</v>
      </c>
      <c r="E294" s="13" t="s">
        <v>68</v>
      </c>
      <c r="F294" s="13">
        <f t="shared" si="2"/>
        <v>1</v>
      </c>
      <c r="G294" s="13" t="s">
        <v>91</v>
      </c>
      <c r="H294" s="13" t="str">
        <f t="shared" si="3"/>
        <v>Urban</v>
      </c>
      <c r="I294" s="13">
        <f t="shared" si="4"/>
        <v>2</v>
      </c>
      <c r="J294" s="13" t="s">
        <v>83</v>
      </c>
      <c r="K294" s="15" t="s">
        <v>84</v>
      </c>
      <c r="L294" s="13">
        <f t="shared" si="5"/>
        <v>2</v>
      </c>
      <c r="M294" s="13" t="s">
        <v>76</v>
      </c>
      <c r="N294" s="13">
        <f t="shared" si="6"/>
        <v>5.5</v>
      </c>
      <c r="O294" s="13" t="s">
        <v>78</v>
      </c>
      <c r="P294" s="13">
        <f t="shared" si="7"/>
        <v>3</v>
      </c>
      <c r="Q294" s="13" t="s">
        <v>85</v>
      </c>
      <c r="R294" s="13">
        <f t="shared" si="8"/>
        <v>4</v>
      </c>
      <c r="S294" s="13" t="s">
        <v>78</v>
      </c>
      <c r="T294" s="13">
        <f t="shared" si="9"/>
        <v>3</v>
      </c>
      <c r="U294" s="13" t="s">
        <v>74</v>
      </c>
      <c r="V294" s="13">
        <f t="shared" si="10"/>
        <v>1.5</v>
      </c>
      <c r="W294" s="13" t="s">
        <v>102</v>
      </c>
      <c r="X294" s="13">
        <f t="shared" si="11"/>
        <v>1</v>
      </c>
      <c r="Y294" s="13">
        <f t="shared" si="12"/>
        <v>1</v>
      </c>
      <c r="Z294" s="13">
        <f t="shared" si="13"/>
        <v>1</v>
      </c>
      <c r="AA294" s="13">
        <f t="shared" si="14"/>
        <v>1</v>
      </c>
      <c r="AB294" s="13" t="s">
        <v>78</v>
      </c>
      <c r="AC294" s="13">
        <f t="shared" si="15"/>
        <v>3</v>
      </c>
      <c r="AD294" s="13" t="s">
        <v>85</v>
      </c>
      <c r="AE294" s="13">
        <f t="shared" si="16"/>
        <v>4</v>
      </c>
      <c r="AF294" s="13" t="s">
        <v>71</v>
      </c>
      <c r="AG294" s="13">
        <f t="shared" si="17"/>
        <v>7.7</v>
      </c>
      <c r="AH294" s="13" t="s">
        <v>73</v>
      </c>
      <c r="AI294" s="13">
        <f t="shared" si="18"/>
        <v>2</v>
      </c>
      <c r="AJ294" s="13" t="s">
        <v>85</v>
      </c>
      <c r="AK294" s="13">
        <f t="shared" si="19"/>
        <v>4</v>
      </c>
      <c r="AL294" s="13" t="s">
        <v>73</v>
      </c>
      <c r="AM294" s="13">
        <f t="shared" si="20"/>
        <v>2</v>
      </c>
      <c r="AN294" s="13" t="s">
        <v>78</v>
      </c>
      <c r="AO294" s="13">
        <f t="shared" si="21"/>
        <v>3</v>
      </c>
      <c r="AP294" s="13" t="s">
        <v>78</v>
      </c>
      <c r="AQ294" s="13">
        <f t="shared" si="22"/>
        <v>3</v>
      </c>
      <c r="AR294" s="13" t="s">
        <v>78</v>
      </c>
      <c r="AS294" s="13">
        <f t="shared" si="23"/>
        <v>3</v>
      </c>
      <c r="AT294" s="13" t="s">
        <v>339</v>
      </c>
      <c r="AU294" s="15">
        <f t="shared" si="24"/>
        <v>1</v>
      </c>
      <c r="AV294" s="15">
        <f t="shared" si="25"/>
        <v>1</v>
      </c>
      <c r="AW294" s="13">
        <f t="shared" si="26"/>
        <v>0</v>
      </c>
      <c r="AX294" s="13">
        <f t="shared" si="27"/>
        <v>1</v>
      </c>
      <c r="AY294" s="13">
        <f t="shared" si="28"/>
        <v>0</v>
      </c>
      <c r="AZ294" s="13">
        <f t="shared" si="29"/>
        <v>1</v>
      </c>
      <c r="BA294" s="13">
        <f t="shared" si="30"/>
        <v>1</v>
      </c>
      <c r="BB294" s="13" t="s">
        <v>88</v>
      </c>
      <c r="BC294" s="13">
        <f t="shared" si="31"/>
        <v>2</v>
      </c>
      <c r="BD294" s="15"/>
      <c r="BE294" s="13" t="str">
        <f t="shared" si="47"/>
        <v>N/A</v>
      </c>
      <c r="BF294" s="13" t="s">
        <v>202</v>
      </c>
      <c r="BG294" s="13">
        <f t="shared" si="33"/>
        <v>1</v>
      </c>
      <c r="BH294" s="13">
        <f t="shared" si="34"/>
        <v>0</v>
      </c>
      <c r="BI294" s="13">
        <f t="shared" si="35"/>
        <v>1</v>
      </c>
      <c r="BJ294" s="13">
        <f t="shared" si="36"/>
        <v>1</v>
      </c>
      <c r="BK294" s="13">
        <f t="shared" si="37"/>
        <v>1</v>
      </c>
      <c r="BL294" s="13">
        <f t="shared" si="38"/>
        <v>0</v>
      </c>
      <c r="BM294" s="13">
        <f t="shared" si="39"/>
        <v>1</v>
      </c>
      <c r="BN294" s="13" t="s">
        <v>108</v>
      </c>
      <c r="BO294" s="16">
        <f t="shared" si="40"/>
        <v>3</v>
      </c>
    </row>
    <row r="295">
      <c r="A295" s="13">
        <f t="shared" si="41"/>
        <v>294</v>
      </c>
      <c r="B295" s="14">
        <v>46052.85078165509</v>
      </c>
      <c r="C295" s="13" t="s">
        <v>67</v>
      </c>
      <c r="D295" s="13">
        <f t="shared" si="1"/>
        <v>1</v>
      </c>
      <c r="E295" s="13" t="s">
        <v>68</v>
      </c>
      <c r="F295" s="13">
        <f t="shared" si="2"/>
        <v>1</v>
      </c>
      <c r="G295" s="13" t="s">
        <v>91</v>
      </c>
      <c r="H295" s="13" t="str">
        <f t="shared" si="3"/>
        <v>Urban</v>
      </c>
      <c r="I295" s="13">
        <f t="shared" si="4"/>
        <v>2</v>
      </c>
      <c r="J295" s="13" t="s">
        <v>83</v>
      </c>
      <c r="K295" s="15" t="s">
        <v>84</v>
      </c>
      <c r="L295" s="13">
        <f t="shared" si="5"/>
        <v>2</v>
      </c>
      <c r="M295" s="13" t="s">
        <v>71</v>
      </c>
      <c r="N295" s="13">
        <f t="shared" si="6"/>
        <v>7.7</v>
      </c>
      <c r="O295" s="13" t="s">
        <v>72</v>
      </c>
      <c r="P295" s="13">
        <f t="shared" si="7"/>
        <v>1</v>
      </c>
      <c r="Q295" s="13" t="s">
        <v>85</v>
      </c>
      <c r="R295" s="13">
        <f t="shared" si="8"/>
        <v>4</v>
      </c>
      <c r="S295" s="13" t="s">
        <v>85</v>
      </c>
      <c r="T295" s="13">
        <f t="shared" si="9"/>
        <v>4</v>
      </c>
      <c r="U295" s="13" t="s">
        <v>110</v>
      </c>
      <c r="V295" s="13">
        <f t="shared" si="10"/>
        <v>0.75</v>
      </c>
      <c r="W295" s="13" t="s">
        <v>180</v>
      </c>
      <c r="X295" s="13">
        <f t="shared" si="11"/>
        <v>0</v>
      </c>
      <c r="Y295" s="13">
        <f t="shared" si="12"/>
        <v>1</v>
      </c>
      <c r="Z295" s="13">
        <f t="shared" si="13"/>
        <v>1</v>
      </c>
      <c r="AA295" s="13">
        <f t="shared" si="14"/>
        <v>0</v>
      </c>
      <c r="AB295" s="13" t="s">
        <v>72</v>
      </c>
      <c r="AC295" s="13">
        <f t="shared" si="15"/>
        <v>1</v>
      </c>
      <c r="AD295" s="13" t="s">
        <v>72</v>
      </c>
      <c r="AE295" s="13">
        <f t="shared" si="16"/>
        <v>1</v>
      </c>
      <c r="AF295" s="13" t="s">
        <v>109</v>
      </c>
      <c r="AG295" s="13">
        <f t="shared" si="17"/>
        <v>9</v>
      </c>
      <c r="AH295" s="13" t="s">
        <v>103</v>
      </c>
      <c r="AI295" s="13">
        <f t="shared" si="18"/>
        <v>5</v>
      </c>
      <c r="AJ295" s="13" t="s">
        <v>120</v>
      </c>
      <c r="AK295" s="13">
        <f t="shared" si="19"/>
        <v>5</v>
      </c>
      <c r="AL295" s="13" t="s">
        <v>120</v>
      </c>
      <c r="AM295" s="13">
        <f t="shared" si="20"/>
        <v>5</v>
      </c>
      <c r="AN295" s="13" t="s">
        <v>120</v>
      </c>
      <c r="AO295" s="13">
        <f t="shared" si="21"/>
        <v>5</v>
      </c>
      <c r="AP295" s="13" t="s">
        <v>120</v>
      </c>
      <c r="AQ295" s="13">
        <f t="shared" si="22"/>
        <v>5</v>
      </c>
      <c r="AR295" s="13" t="s">
        <v>120</v>
      </c>
      <c r="AS295" s="13">
        <f t="shared" si="23"/>
        <v>5</v>
      </c>
      <c r="AT295" s="13" t="s">
        <v>273</v>
      </c>
      <c r="AU295" s="15">
        <f t="shared" si="24"/>
        <v>0</v>
      </c>
      <c r="AV295" s="15">
        <f t="shared" si="25"/>
        <v>1</v>
      </c>
      <c r="AW295" s="13">
        <f t="shared" si="26"/>
        <v>0</v>
      </c>
      <c r="AX295" s="13">
        <f t="shared" si="27"/>
        <v>0</v>
      </c>
      <c r="AY295" s="13">
        <f t="shared" si="28"/>
        <v>1</v>
      </c>
      <c r="AZ295" s="13">
        <f t="shared" si="29"/>
        <v>0</v>
      </c>
      <c r="BA295" s="13">
        <f t="shared" si="30"/>
        <v>0</v>
      </c>
      <c r="BB295" s="13" t="s">
        <v>88</v>
      </c>
      <c r="BC295" s="13">
        <f t="shared" si="31"/>
        <v>2</v>
      </c>
      <c r="BD295" s="15"/>
      <c r="BE295" s="13" t="str">
        <f t="shared" si="47"/>
        <v>N/A</v>
      </c>
      <c r="BF295" s="13" t="s">
        <v>124</v>
      </c>
      <c r="BG295" s="13">
        <f t="shared" si="33"/>
        <v>1</v>
      </c>
      <c r="BH295" s="13">
        <f t="shared" si="34"/>
        <v>0</v>
      </c>
      <c r="BI295" s="13">
        <f t="shared" si="35"/>
        <v>1</v>
      </c>
      <c r="BJ295" s="13">
        <f t="shared" si="36"/>
        <v>0</v>
      </c>
      <c r="BK295" s="13">
        <f t="shared" si="37"/>
        <v>0</v>
      </c>
      <c r="BL295" s="13">
        <f t="shared" si="38"/>
        <v>0</v>
      </c>
      <c r="BM295" s="13">
        <f t="shared" si="39"/>
        <v>0</v>
      </c>
      <c r="BN295" s="13" t="s">
        <v>68</v>
      </c>
      <c r="BO295" s="16">
        <f t="shared" si="40"/>
        <v>1</v>
      </c>
    </row>
    <row r="296">
      <c r="A296" s="13">
        <f t="shared" si="41"/>
        <v>295</v>
      </c>
      <c r="B296" s="14">
        <v>46052.857540173616</v>
      </c>
      <c r="C296" s="13" t="s">
        <v>67</v>
      </c>
      <c r="D296" s="13">
        <f t="shared" si="1"/>
        <v>1</v>
      </c>
      <c r="E296" s="13" t="s">
        <v>68</v>
      </c>
      <c r="F296" s="13">
        <f t="shared" si="2"/>
        <v>1</v>
      </c>
      <c r="G296" s="13" t="s">
        <v>82</v>
      </c>
      <c r="H296" s="13" t="str">
        <f t="shared" si="3"/>
        <v>Urban</v>
      </c>
      <c r="I296" s="13">
        <f t="shared" si="4"/>
        <v>2</v>
      </c>
      <c r="J296" s="13" t="s">
        <v>70</v>
      </c>
      <c r="K296" s="15" t="s">
        <v>100</v>
      </c>
      <c r="L296" s="13">
        <f t="shared" si="5"/>
        <v>3</v>
      </c>
      <c r="M296" s="13" t="s">
        <v>71</v>
      </c>
      <c r="N296" s="13">
        <f t="shared" si="6"/>
        <v>7.7</v>
      </c>
      <c r="O296" s="13" t="s">
        <v>85</v>
      </c>
      <c r="P296" s="13">
        <f t="shared" si="7"/>
        <v>4</v>
      </c>
      <c r="Q296" s="13" t="s">
        <v>78</v>
      </c>
      <c r="R296" s="13">
        <f t="shared" si="8"/>
        <v>3</v>
      </c>
      <c r="S296" s="13" t="s">
        <v>103</v>
      </c>
      <c r="T296" s="13">
        <f t="shared" si="9"/>
        <v>5</v>
      </c>
      <c r="U296" s="13" t="s">
        <v>74</v>
      </c>
      <c r="V296" s="13">
        <f t="shared" si="10"/>
        <v>1.5</v>
      </c>
      <c r="W296" s="13" t="s">
        <v>143</v>
      </c>
      <c r="X296" s="13">
        <f t="shared" si="11"/>
        <v>1</v>
      </c>
      <c r="Y296" s="13">
        <f t="shared" si="12"/>
        <v>0</v>
      </c>
      <c r="Z296" s="13">
        <f t="shared" si="13"/>
        <v>0</v>
      </c>
      <c r="AA296" s="13">
        <f t="shared" si="14"/>
        <v>0</v>
      </c>
      <c r="AB296" s="13" t="s">
        <v>85</v>
      </c>
      <c r="AC296" s="13">
        <f t="shared" si="15"/>
        <v>4</v>
      </c>
      <c r="AD296" s="13" t="s">
        <v>85</v>
      </c>
      <c r="AE296" s="13">
        <f t="shared" si="16"/>
        <v>4</v>
      </c>
      <c r="AF296" s="13" t="s">
        <v>76</v>
      </c>
      <c r="AG296" s="13">
        <f t="shared" si="17"/>
        <v>5.5</v>
      </c>
      <c r="AH296" s="13" t="s">
        <v>85</v>
      </c>
      <c r="AI296" s="13">
        <f t="shared" si="18"/>
        <v>4</v>
      </c>
      <c r="AJ296" s="13" t="s">
        <v>78</v>
      </c>
      <c r="AK296" s="13">
        <f t="shared" si="19"/>
        <v>3</v>
      </c>
      <c r="AL296" s="13" t="s">
        <v>85</v>
      </c>
      <c r="AM296" s="13">
        <f t="shared" si="20"/>
        <v>4</v>
      </c>
      <c r="AN296" s="13" t="s">
        <v>85</v>
      </c>
      <c r="AO296" s="13">
        <f t="shared" si="21"/>
        <v>4</v>
      </c>
      <c r="AP296" s="13" t="s">
        <v>85</v>
      </c>
      <c r="AQ296" s="13">
        <f t="shared" si="22"/>
        <v>4</v>
      </c>
      <c r="AR296" s="13" t="s">
        <v>78</v>
      </c>
      <c r="AS296" s="13">
        <f t="shared" si="23"/>
        <v>3</v>
      </c>
      <c r="AT296" s="13" t="s">
        <v>134</v>
      </c>
      <c r="AU296" s="15">
        <f t="shared" si="24"/>
        <v>1</v>
      </c>
      <c r="AV296" s="15">
        <f t="shared" si="25"/>
        <v>1</v>
      </c>
      <c r="AW296" s="13">
        <f t="shared" si="26"/>
        <v>0</v>
      </c>
      <c r="AX296" s="13">
        <f t="shared" si="27"/>
        <v>0</v>
      </c>
      <c r="AY296" s="13">
        <f t="shared" si="28"/>
        <v>0</v>
      </c>
      <c r="AZ296" s="13">
        <f t="shared" si="29"/>
        <v>1</v>
      </c>
      <c r="BA296" s="13">
        <f t="shared" si="30"/>
        <v>0</v>
      </c>
      <c r="BB296" s="13" t="s">
        <v>88</v>
      </c>
      <c r="BC296" s="13">
        <f t="shared" si="31"/>
        <v>2</v>
      </c>
      <c r="BD296" s="15"/>
      <c r="BE296" s="13" t="str">
        <f t="shared" si="47"/>
        <v>N/A</v>
      </c>
      <c r="BF296" s="13" t="s">
        <v>172</v>
      </c>
      <c r="BG296" s="13">
        <f t="shared" si="33"/>
        <v>1</v>
      </c>
      <c r="BH296" s="13">
        <f t="shared" si="34"/>
        <v>0</v>
      </c>
      <c r="BI296" s="13">
        <f t="shared" si="35"/>
        <v>0</v>
      </c>
      <c r="BJ296" s="13">
        <f t="shared" si="36"/>
        <v>1</v>
      </c>
      <c r="BK296" s="13">
        <f t="shared" si="37"/>
        <v>0</v>
      </c>
      <c r="BL296" s="13">
        <f t="shared" si="38"/>
        <v>0</v>
      </c>
      <c r="BM296" s="13">
        <f t="shared" si="39"/>
        <v>1</v>
      </c>
      <c r="BN296" s="13" t="s">
        <v>68</v>
      </c>
      <c r="BO296" s="16">
        <f t="shared" si="40"/>
        <v>1</v>
      </c>
    </row>
    <row r="297">
      <c r="A297" s="13">
        <f t="shared" si="41"/>
        <v>296</v>
      </c>
      <c r="B297" s="14">
        <v>46052.86506114583</v>
      </c>
      <c r="C297" s="13" t="s">
        <v>90</v>
      </c>
      <c r="D297" s="13">
        <f t="shared" si="1"/>
        <v>2</v>
      </c>
      <c r="E297" s="13" t="s">
        <v>68</v>
      </c>
      <c r="F297" s="13">
        <f t="shared" si="2"/>
        <v>1</v>
      </c>
      <c r="G297" s="13" t="s">
        <v>91</v>
      </c>
      <c r="H297" s="13" t="str">
        <f t="shared" si="3"/>
        <v>Urban</v>
      </c>
      <c r="I297" s="13">
        <f t="shared" si="4"/>
        <v>2</v>
      </c>
      <c r="J297" s="13" t="s">
        <v>70</v>
      </c>
      <c r="K297" s="15" t="s">
        <v>100</v>
      </c>
      <c r="L297" s="13">
        <f t="shared" si="5"/>
        <v>3</v>
      </c>
      <c r="M297" s="13" t="s">
        <v>76</v>
      </c>
      <c r="N297" s="13">
        <f t="shared" si="6"/>
        <v>5.5</v>
      </c>
      <c r="O297" s="13" t="s">
        <v>73</v>
      </c>
      <c r="P297" s="13">
        <f t="shared" si="7"/>
        <v>2</v>
      </c>
      <c r="Q297" s="13" t="s">
        <v>85</v>
      </c>
      <c r="R297" s="13">
        <f t="shared" si="8"/>
        <v>4</v>
      </c>
      <c r="S297" s="13" t="s">
        <v>73</v>
      </c>
      <c r="T297" s="13">
        <f t="shared" si="9"/>
        <v>2</v>
      </c>
      <c r="U297" s="13" t="s">
        <v>110</v>
      </c>
      <c r="V297" s="13">
        <f t="shared" si="10"/>
        <v>0.75</v>
      </c>
      <c r="W297" s="13" t="s">
        <v>93</v>
      </c>
      <c r="X297" s="13">
        <f t="shared" si="11"/>
        <v>0</v>
      </c>
      <c r="Y297" s="13">
        <f t="shared" si="12"/>
        <v>1</v>
      </c>
      <c r="Z297" s="13">
        <f t="shared" si="13"/>
        <v>0</v>
      </c>
      <c r="AA297" s="13">
        <f t="shared" si="14"/>
        <v>0</v>
      </c>
      <c r="AB297" s="13" t="s">
        <v>73</v>
      </c>
      <c r="AC297" s="13">
        <f t="shared" si="15"/>
        <v>2</v>
      </c>
      <c r="AD297" s="13" t="s">
        <v>73</v>
      </c>
      <c r="AE297" s="13">
        <f t="shared" si="16"/>
        <v>2</v>
      </c>
      <c r="AF297" s="13" t="s">
        <v>71</v>
      </c>
      <c r="AG297" s="13">
        <f t="shared" si="17"/>
        <v>7.7</v>
      </c>
      <c r="AH297" s="13" t="s">
        <v>85</v>
      </c>
      <c r="AI297" s="13">
        <f t="shared" si="18"/>
        <v>4</v>
      </c>
      <c r="AJ297" s="13" t="s">
        <v>85</v>
      </c>
      <c r="AK297" s="13">
        <f t="shared" si="19"/>
        <v>4</v>
      </c>
      <c r="AL297" s="13" t="s">
        <v>85</v>
      </c>
      <c r="AM297" s="13">
        <f t="shared" si="20"/>
        <v>4</v>
      </c>
      <c r="AN297" s="13" t="s">
        <v>85</v>
      </c>
      <c r="AO297" s="13">
        <f t="shared" si="21"/>
        <v>4</v>
      </c>
      <c r="AP297" s="13" t="s">
        <v>78</v>
      </c>
      <c r="AQ297" s="13">
        <f t="shared" si="22"/>
        <v>3</v>
      </c>
      <c r="AR297" s="13" t="s">
        <v>85</v>
      </c>
      <c r="AS297" s="13">
        <f t="shared" si="23"/>
        <v>4</v>
      </c>
      <c r="AT297" s="13" t="s">
        <v>266</v>
      </c>
      <c r="AU297" s="15">
        <f t="shared" si="24"/>
        <v>1</v>
      </c>
      <c r="AV297" s="15">
        <f t="shared" si="25"/>
        <v>1</v>
      </c>
      <c r="AW297" s="13">
        <f t="shared" si="26"/>
        <v>0</v>
      </c>
      <c r="AX297" s="13">
        <f t="shared" si="27"/>
        <v>1</v>
      </c>
      <c r="AY297" s="13">
        <f t="shared" si="28"/>
        <v>0</v>
      </c>
      <c r="AZ297" s="13">
        <f t="shared" si="29"/>
        <v>1</v>
      </c>
      <c r="BA297" s="13">
        <f t="shared" si="30"/>
        <v>0</v>
      </c>
      <c r="BB297" s="13" t="s">
        <v>88</v>
      </c>
      <c r="BC297" s="13">
        <f t="shared" si="31"/>
        <v>2</v>
      </c>
      <c r="BD297" s="15"/>
      <c r="BE297" s="13" t="str">
        <f t="shared" si="47"/>
        <v>N/A</v>
      </c>
      <c r="BF297" s="13" t="s">
        <v>211</v>
      </c>
      <c r="BG297" s="13">
        <f t="shared" si="33"/>
        <v>1</v>
      </c>
      <c r="BH297" s="13">
        <f t="shared" si="34"/>
        <v>0</v>
      </c>
      <c r="BI297" s="13">
        <f t="shared" si="35"/>
        <v>1</v>
      </c>
      <c r="BJ297" s="13">
        <f t="shared" si="36"/>
        <v>1</v>
      </c>
      <c r="BK297" s="13">
        <f t="shared" si="37"/>
        <v>1</v>
      </c>
      <c r="BL297" s="13">
        <f t="shared" si="38"/>
        <v>0</v>
      </c>
      <c r="BM297" s="13">
        <f t="shared" si="39"/>
        <v>0</v>
      </c>
      <c r="BN297" s="13" t="s">
        <v>108</v>
      </c>
      <c r="BO297" s="16">
        <f t="shared" si="40"/>
        <v>3</v>
      </c>
    </row>
    <row r="298">
      <c r="A298" s="13">
        <f t="shared" si="41"/>
        <v>297</v>
      </c>
      <c r="B298" s="14">
        <v>46052.87085303241</v>
      </c>
      <c r="C298" s="13" t="s">
        <v>67</v>
      </c>
      <c r="D298" s="13">
        <f t="shared" si="1"/>
        <v>1</v>
      </c>
      <c r="E298" s="13" t="s">
        <v>68</v>
      </c>
      <c r="F298" s="13">
        <f t="shared" si="2"/>
        <v>1</v>
      </c>
      <c r="G298" s="13" t="s">
        <v>91</v>
      </c>
      <c r="H298" s="13" t="str">
        <f t="shared" si="3"/>
        <v>Urban</v>
      </c>
      <c r="I298" s="13">
        <f t="shared" si="4"/>
        <v>2</v>
      </c>
      <c r="J298" s="13" t="s">
        <v>145</v>
      </c>
      <c r="K298" s="15" t="s">
        <v>146</v>
      </c>
      <c r="L298" s="13">
        <f t="shared" si="5"/>
        <v>1</v>
      </c>
      <c r="M298" s="13" t="s">
        <v>71</v>
      </c>
      <c r="N298" s="13">
        <f t="shared" si="6"/>
        <v>7.7</v>
      </c>
      <c r="O298" s="13" t="s">
        <v>72</v>
      </c>
      <c r="P298" s="13">
        <f t="shared" si="7"/>
        <v>1</v>
      </c>
      <c r="Q298" s="13" t="s">
        <v>72</v>
      </c>
      <c r="R298" s="13">
        <f t="shared" si="8"/>
        <v>1</v>
      </c>
      <c r="S298" s="13" t="s">
        <v>72</v>
      </c>
      <c r="T298" s="13">
        <f t="shared" si="9"/>
        <v>1</v>
      </c>
      <c r="U298" s="13" t="s">
        <v>96</v>
      </c>
      <c r="V298" s="13">
        <f t="shared" si="10"/>
        <v>2.5</v>
      </c>
      <c r="W298" s="13" t="s">
        <v>111</v>
      </c>
      <c r="X298" s="13">
        <f t="shared" si="11"/>
        <v>1</v>
      </c>
      <c r="Y298" s="13">
        <f t="shared" si="12"/>
        <v>1</v>
      </c>
      <c r="Z298" s="13">
        <f t="shared" si="13"/>
        <v>0</v>
      </c>
      <c r="AA298" s="13">
        <f t="shared" si="14"/>
        <v>1</v>
      </c>
      <c r="AB298" s="13" t="s">
        <v>72</v>
      </c>
      <c r="AC298" s="13">
        <f t="shared" si="15"/>
        <v>1</v>
      </c>
      <c r="AD298" s="13" t="s">
        <v>78</v>
      </c>
      <c r="AE298" s="13">
        <f t="shared" si="16"/>
        <v>3</v>
      </c>
      <c r="AF298" s="13" t="s">
        <v>76</v>
      </c>
      <c r="AG298" s="13">
        <f t="shared" si="17"/>
        <v>5.5</v>
      </c>
      <c r="AH298" s="13" t="s">
        <v>78</v>
      </c>
      <c r="AI298" s="13">
        <f t="shared" si="18"/>
        <v>3</v>
      </c>
      <c r="AJ298" s="13" t="s">
        <v>73</v>
      </c>
      <c r="AK298" s="13">
        <f t="shared" si="19"/>
        <v>2</v>
      </c>
      <c r="AL298" s="13" t="s">
        <v>78</v>
      </c>
      <c r="AM298" s="13">
        <f t="shared" si="20"/>
        <v>3</v>
      </c>
      <c r="AN298" s="13" t="s">
        <v>85</v>
      </c>
      <c r="AO298" s="13">
        <f t="shared" si="21"/>
        <v>4</v>
      </c>
      <c r="AP298" s="13" t="s">
        <v>85</v>
      </c>
      <c r="AQ298" s="13">
        <f t="shared" si="22"/>
        <v>4</v>
      </c>
      <c r="AR298" s="13" t="s">
        <v>85</v>
      </c>
      <c r="AS298" s="13">
        <f t="shared" si="23"/>
        <v>4</v>
      </c>
      <c r="AT298" s="13" t="s">
        <v>190</v>
      </c>
      <c r="AU298" s="15">
        <f t="shared" si="24"/>
        <v>1</v>
      </c>
      <c r="AV298" s="15">
        <f t="shared" si="25"/>
        <v>1</v>
      </c>
      <c r="AW298" s="13">
        <f t="shared" si="26"/>
        <v>0</v>
      </c>
      <c r="AX298" s="13">
        <f t="shared" si="27"/>
        <v>0</v>
      </c>
      <c r="AY298" s="13">
        <f t="shared" si="28"/>
        <v>0</v>
      </c>
      <c r="AZ298" s="13">
        <f t="shared" si="29"/>
        <v>0</v>
      </c>
      <c r="BA298" s="13">
        <f t="shared" si="30"/>
        <v>1</v>
      </c>
      <c r="BB298" s="13" t="s">
        <v>88</v>
      </c>
      <c r="BC298" s="13">
        <f t="shared" si="31"/>
        <v>2</v>
      </c>
      <c r="BD298" s="15"/>
      <c r="BE298" s="13" t="str">
        <f t="shared" si="47"/>
        <v>N/A</v>
      </c>
      <c r="BF298" s="13" t="s">
        <v>235</v>
      </c>
      <c r="BG298" s="13">
        <f t="shared" si="33"/>
        <v>1</v>
      </c>
      <c r="BH298" s="13">
        <f t="shared" si="34"/>
        <v>0</v>
      </c>
      <c r="BI298" s="13">
        <f t="shared" si="35"/>
        <v>1</v>
      </c>
      <c r="BJ298" s="13">
        <f t="shared" si="36"/>
        <v>0</v>
      </c>
      <c r="BK298" s="13">
        <f t="shared" si="37"/>
        <v>1</v>
      </c>
      <c r="BL298" s="13">
        <f t="shared" si="38"/>
        <v>0</v>
      </c>
      <c r="BM298" s="13">
        <f t="shared" si="39"/>
        <v>0</v>
      </c>
      <c r="BN298" s="13" t="s">
        <v>68</v>
      </c>
      <c r="BO298" s="16">
        <f t="shared" si="40"/>
        <v>1</v>
      </c>
    </row>
    <row r="299">
      <c r="A299" s="13">
        <f t="shared" si="41"/>
        <v>298</v>
      </c>
      <c r="B299" s="14">
        <v>46052.87217256945</v>
      </c>
      <c r="C299" s="13" t="s">
        <v>67</v>
      </c>
      <c r="D299" s="13">
        <f t="shared" si="1"/>
        <v>1</v>
      </c>
      <c r="E299" s="13" t="s">
        <v>68</v>
      </c>
      <c r="F299" s="13">
        <f t="shared" si="2"/>
        <v>1</v>
      </c>
      <c r="G299" s="13" t="s">
        <v>82</v>
      </c>
      <c r="H299" s="13" t="str">
        <f t="shared" si="3"/>
        <v>Urban</v>
      </c>
      <c r="I299" s="13">
        <f t="shared" si="4"/>
        <v>2</v>
      </c>
      <c r="J299" s="13" t="s">
        <v>83</v>
      </c>
      <c r="K299" s="15" t="s">
        <v>84</v>
      </c>
      <c r="L299" s="13">
        <f t="shared" si="5"/>
        <v>2</v>
      </c>
      <c r="M299" s="13" t="s">
        <v>76</v>
      </c>
      <c r="N299" s="13">
        <f t="shared" si="6"/>
        <v>5.5</v>
      </c>
      <c r="O299" s="13" t="s">
        <v>78</v>
      </c>
      <c r="P299" s="13">
        <f t="shared" si="7"/>
        <v>3</v>
      </c>
      <c r="Q299" s="13" t="s">
        <v>78</v>
      </c>
      <c r="R299" s="13">
        <f t="shared" si="8"/>
        <v>3</v>
      </c>
      <c r="S299" s="13" t="s">
        <v>78</v>
      </c>
      <c r="T299" s="13">
        <f t="shared" si="9"/>
        <v>3</v>
      </c>
      <c r="U299" s="13" t="s">
        <v>96</v>
      </c>
      <c r="V299" s="13">
        <f t="shared" si="10"/>
        <v>2.5</v>
      </c>
      <c r="W299" s="13" t="s">
        <v>105</v>
      </c>
      <c r="X299" s="13">
        <f t="shared" si="11"/>
        <v>1</v>
      </c>
      <c r="Y299" s="13">
        <f t="shared" si="12"/>
        <v>1</v>
      </c>
      <c r="Z299" s="13">
        <f t="shared" si="13"/>
        <v>0</v>
      </c>
      <c r="AA299" s="13">
        <f t="shared" si="14"/>
        <v>0</v>
      </c>
      <c r="AB299" s="13" t="s">
        <v>73</v>
      </c>
      <c r="AC299" s="13">
        <f t="shared" si="15"/>
        <v>2</v>
      </c>
      <c r="AD299" s="13" t="s">
        <v>78</v>
      </c>
      <c r="AE299" s="13">
        <f t="shared" si="16"/>
        <v>3</v>
      </c>
      <c r="AF299" s="13" t="s">
        <v>71</v>
      </c>
      <c r="AG299" s="13">
        <f t="shared" si="17"/>
        <v>7.7</v>
      </c>
      <c r="AH299" s="13" t="s">
        <v>85</v>
      </c>
      <c r="AI299" s="13">
        <f t="shared" si="18"/>
        <v>4</v>
      </c>
      <c r="AJ299" s="13" t="s">
        <v>78</v>
      </c>
      <c r="AK299" s="13">
        <f t="shared" si="19"/>
        <v>3</v>
      </c>
      <c r="AL299" s="13" t="s">
        <v>78</v>
      </c>
      <c r="AM299" s="13">
        <f t="shared" si="20"/>
        <v>3</v>
      </c>
      <c r="AN299" s="13" t="s">
        <v>85</v>
      </c>
      <c r="AO299" s="13">
        <f t="shared" si="21"/>
        <v>4</v>
      </c>
      <c r="AP299" s="13" t="s">
        <v>85</v>
      </c>
      <c r="AQ299" s="13">
        <f t="shared" si="22"/>
        <v>4</v>
      </c>
      <c r="AR299" s="13" t="s">
        <v>85</v>
      </c>
      <c r="AS299" s="13">
        <f t="shared" si="23"/>
        <v>4</v>
      </c>
      <c r="AT299" s="13" t="s">
        <v>104</v>
      </c>
      <c r="AU299" s="15">
        <f t="shared" si="24"/>
        <v>1</v>
      </c>
      <c r="AV299" s="15">
        <f t="shared" si="25"/>
        <v>1</v>
      </c>
      <c r="AW299" s="13">
        <f t="shared" si="26"/>
        <v>1</v>
      </c>
      <c r="AX299" s="13">
        <f t="shared" si="27"/>
        <v>1</v>
      </c>
      <c r="AY299" s="13">
        <f t="shared" si="28"/>
        <v>1</v>
      </c>
      <c r="AZ299" s="13">
        <f t="shared" si="29"/>
        <v>1</v>
      </c>
      <c r="BA299" s="13">
        <f t="shared" si="30"/>
        <v>1</v>
      </c>
      <c r="BB299" s="13" t="s">
        <v>88</v>
      </c>
      <c r="BC299" s="13">
        <f t="shared" si="31"/>
        <v>2</v>
      </c>
      <c r="BD299" s="15"/>
      <c r="BE299" s="13" t="str">
        <f t="shared" si="47"/>
        <v>N/A</v>
      </c>
      <c r="BF299" s="13" t="s">
        <v>250</v>
      </c>
      <c r="BG299" s="13">
        <f t="shared" si="33"/>
        <v>1</v>
      </c>
      <c r="BH299" s="13">
        <f t="shared" si="34"/>
        <v>0</v>
      </c>
      <c r="BI299" s="13">
        <f t="shared" si="35"/>
        <v>1</v>
      </c>
      <c r="BJ299" s="13">
        <f t="shared" si="36"/>
        <v>1</v>
      </c>
      <c r="BK299" s="13">
        <f t="shared" si="37"/>
        <v>0</v>
      </c>
      <c r="BL299" s="13">
        <f t="shared" si="38"/>
        <v>1</v>
      </c>
      <c r="BM299" s="13">
        <f t="shared" si="39"/>
        <v>1</v>
      </c>
      <c r="BN299" s="13" t="s">
        <v>108</v>
      </c>
      <c r="BO299" s="16">
        <f t="shared" si="40"/>
        <v>3</v>
      </c>
    </row>
    <row r="300">
      <c r="A300" s="13">
        <f t="shared" si="41"/>
        <v>299</v>
      </c>
      <c r="B300" s="14">
        <v>46052.874921215276</v>
      </c>
      <c r="C300" s="13" t="s">
        <v>67</v>
      </c>
      <c r="D300" s="13">
        <f t="shared" si="1"/>
        <v>1</v>
      </c>
      <c r="E300" s="13" t="s">
        <v>68</v>
      </c>
      <c r="F300" s="13">
        <f t="shared" si="2"/>
        <v>1</v>
      </c>
      <c r="G300" s="13" t="s">
        <v>69</v>
      </c>
      <c r="H300" s="13" t="str">
        <f t="shared" si="3"/>
        <v>Rural</v>
      </c>
      <c r="I300" s="13">
        <f t="shared" si="4"/>
        <v>1</v>
      </c>
      <c r="J300" s="13" t="s">
        <v>70</v>
      </c>
      <c r="K300" s="15" t="s">
        <v>100</v>
      </c>
      <c r="L300" s="13">
        <f t="shared" si="5"/>
        <v>3</v>
      </c>
      <c r="M300" s="13" t="s">
        <v>71</v>
      </c>
      <c r="N300" s="13">
        <f t="shared" si="6"/>
        <v>7.7</v>
      </c>
      <c r="O300" s="13" t="s">
        <v>73</v>
      </c>
      <c r="P300" s="13">
        <f t="shared" si="7"/>
        <v>2</v>
      </c>
      <c r="Q300" s="13" t="s">
        <v>72</v>
      </c>
      <c r="R300" s="13">
        <f t="shared" si="8"/>
        <v>1</v>
      </c>
      <c r="S300" s="13" t="s">
        <v>78</v>
      </c>
      <c r="T300" s="13">
        <f t="shared" si="9"/>
        <v>3</v>
      </c>
      <c r="U300" s="13" t="s">
        <v>74</v>
      </c>
      <c r="V300" s="13">
        <f t="shared" si="10"/>
        <v>1.5</v>
      </c>
      <c r="W300" s="13">
        <v>7.0</v>
      </c>
      <c r="X300" s="13">
        <f t="shared" si="11"/>
        <v>0</v>
      </c>
      <c r="Y300" s="13">
        <f t="shared" si="12"/>
        <v>0</v>
      </c>
      <c r="Z300" s="13">
        <f t="shared" si="13"/>
        <v>0</v>
      </c>
      <c r="AA300" s="13">
        <f t="shared" si="14"/>
        <v>0</v>
      </c>
      <c r="AB300" s="13" t="s">
        <v>85</v>
      </c>
      <c r="AC300" s="13">
        <f t="shared" si="15"/>
        <v>4</v>
      </c>
      <c r="AD300" s="13" t="s">
        <v>103</v>
      </c>
      <c r="AE300" s="13">
        <f t="shared" si="16"/>
        <v>5</v>
      </c>
      <c r="AF300" s="13" t="s">
        <v>71</v>
      </c>
      <c r="AG300" s="13">
        <f t="shared" si="17"/>
        <v>7.7</v>
      </c>
      <c r="AH300" s="13" t="s">
        <v>103</v>
      </c>
      <c r="AI300" s="13">
        <f t="shared" si="18"/>
        <v>5</v>
      </c>
      <c r="AJ300" s="13" t="s">
        <v>73</v>
      </c>
      <c r="AK300" s="13">
        <f t="shared" si="19"/>
        <v>2</v>
      </c>
      <c r="AL300" s="13" t="s">
        <v>85</v>
      </c>
      <c r="AM300" s="13">
        <f t="shared" si="20"/>
        <v>4</v>
      </c>
      <c r="AN300" s="13" t="s">
        <v>85</v>
      </c>
      <c r="AO300" s="13">
        <f t="shared" si="21"/>
        <v>4</v>
      </c>
      <c r="AP300" s="13" t="s">
        <v>85</v>
      </c>
      <c r="AQ300" s="13">
        <f t="shared" si="22"/>
        <v>4</v>
      </c>
      <c r="AR300" s="13" t="s">
        <v>85</v>
      </c>
      <c r="AS300" s="13">
        <f t="shared" si="23"/>
        <v>4</v>
      </c>
      <c r="AT300" s="15"/>
      <c r="AU300" s="15">
        <f t="shared" si="24"/>
        <v>0</v>
      </c>
      <c r="AV300" s="15">
        <f t="shared" si="25"/>
        <v>0</v>
      </c>
      <c r="AW300" s="13">
        <f t="shared" si="26"/>
        <v>0</v>
      </c>
      <c r="AX300" s="13">
        <f t="shared" si="27"/>
        <v>0</v>
      </c>
      <c r="AY300" s="13">
        <f t="shared" si="28"/>
        <v>0</v>
      </c>
      <c r="AZ300" s="13">
        <f t="shared" si="29"/>
        <v>0</v>
      </c>
      <c r="BA300" s="13">
        <f t="shared" si="30"/>
        <v>0</v>
      </c>
      <c r="BB300" s="13" t="s">
        <v>88</v>
      </c>
      <c r="BC300" s="13">
        <f t="shared" si="31"/>
        <v>2</v>
      </c>
      <c r="BD300" s="15"/>
      <c r="BE300" s="13" t="str">
        <f t="shared" si="47"/>
        <v>N/A</v>
      </c>
      <c r="BF300" s="13" t="s">
        <v>150</v>
      </c>
      <c r="BG300" s="13">
        <f t="shared" si="33"/>
        <v>0</v>
      </c>
      <c r="BH300" s="13">
        <f t="shared" si="34"/>
        <v>0</v>
      </c>
      <c r="BI300" s="13">
        <f t="shared" si="35"/>
        <v>0</v>
      </c>
      <c r="BJ300" s="13">
        <f t="shared" si="36"/>
        <v>0</v>
      </c>
      <c r="BK300" s="13">
        <f t="shared" si="37"/>
        <v>1</v>
      </c>
      <c r="BL300" s="13">
        <f t="shared" si="38"/>
        <v>0</v>
      </c>
      <c r="BM300" s="13">
        <f t="shared" si="39"/>
        <v>0</v>
      </c>
      <c r="BN300" s="13" t="s">
        <v>68</v>
      </c>
      <c r="BO300" s="16">
        <f t="shared" si="40"/>
        <v>1</v>
      </c>
    </row>
    <row r="301">
      <c r="A301" s="13">
        <f t="shared" si="41"/>
        <v>300</v>
      </c>
      <c r="B301" s="14">
        <v>46052.89141633102</v>
      </c>
      <c r="C301" s="13" t="s">
        <v>67</v>
      </c>
      <c r="D301" s="13">
        <f t="shared" si="1"/>
        <v>1</v>
      </c>
      <c r="E301" s="13" t="s">
        <v>68</v>
      </c>
      <c r="F301" s="13">
        <f t="shared" si="2"/>
        <v>1</v>
      </c>
      <c r="G301" s="13" t="s">
        <v>91</v>
      </c>
      <c r="H301" s="13" t="str">
        <f t="shared" si="3"/>
        <v>Urban</v>
      </c>
      <c r="I301" s="13">
        <f t="shared" si="4"/>
        <v>2</v>
      </c>
      <c r="J301" s="13" t="s">
        <v>70</v>
      </c>
      <c r="K301" s="15" t="s">
        <v>100</v>
      </c>
      <c r="L301" s="13">
        <f t="shared" si="5"/>
        <v>3</v>
      </c>
      <c r="M301" s="13" t="s">
        <v>71</v>
      </c>
      <c r="N301" s="13">
        <f t="shared" si="6"/>
        <v>7.7</v>
      </c>
      <c r="O301" s="13" t="s">
        <v>73</v>
      </c>
      <c r="P301" s="13">
        <f t="shared" si="7"/>
        <v>2</v>
      </c>
      <c r="Q301" s="13" t="s">
        <v>73</v>
      </c>
      <c r="R301" s="13">
        <f t="shared" si="8"/>
        <v>2</v>
      </c>
      <c r="S301" s="13" t="s">
        <v>73</v>
      </c>
      <c r="T301" s="13">
        <f t="shared" si="9"/>
        <v>2</v>
      </c>
      <c r="U301" s="13" t="s">
        <v>74</v>
      </c>
      <c r="V301" s="13">
        <f t="shared" si="10"/>
        <v>1.5</v>
      </c>
      <c r="W301" s="13" t="s">
        <v>86</v>
      </c>
      <c r="X301" s="13">
        <f t="shared" si="11"/>
        <v>1</v>
      </c>
      <c r="Y301" s="13">
        <f t="shared" si="12"/>
        <v>1</v>
      </c>
      <c r="Z301" s="13">
        <f t="shared" si="13"/>
        <v>1</v>
      </c>
      <c r="AA301" s="13">
        <f t="shared" si="14"/>
        <v>0</v>
      </c>
      <c r="AB301" s="13" t="s">
        <v>73</v>
      </c>
      <c r="AC301" s="13">
        <f t="shared" si="15"/>
        <v>2</v>
      </c>
      <c r="AD301" s="13" t="s">
        <v>85</v>
      </c>
      <c r="AE301" s="13">
        <f t="shared" si="16"/>
        <v>4</v>
      </c>
      <c r="AF301" s="13" t="s">
        <v>71</v>
      </c>
      <c r="AG301" s="13">
        <f t="shared" si="17"/>
        <v>7.7</v>
      </c>
      <c r="AH301" s="13" t="s">
        <v>85</v>
      </c>
      <c r="AI301" s="13">
        <f t="shared" si="18"/>
        <v>4</v>
      </c>
      <c r="AJ301" s="13" t="s">
        <v>73</v>
      </c>
      <c r="AK301" s="13">
        <f t="shared" si="19"/>
        <v>2</v>
      </c>
      <c r="AL301" s="13" t="s">
        <v>73</v>
      </c>
      <c r="AM301" s="13">
        <f t="shared" si="20"/>
        <v>2</v>
      </c>
      <c r="AN301" s="13" t="s">
        <v>73</v>
      </c>
      <c r="AO301" s="13">
        <f t="shared" si="21"/>
        <v>2</v>
      </c>
      <c r="AP301" s="13" t="s">
        <v>73</v>
      </c>
      <c r="AQ301" s="13">
        <f t="shared" si="22"/>
        <v>2</v>
      </c>
      <c r="AR301" s="13" t="s">
        <v>85</v>
      </c>
      <c r="AS301" s="13">
        <f t="shared" si="23"/>
        <v>4</v>
      </c>
      <c r="AT301" s="13" t="s">
        <v>340</v>
      </c>
      <c r="AU301" s="15">
        <f t="shared" si="24"/>
        <v>0</v>
      </c>
      <c r="AV301" s="15">
        <f t="shared" si="25"/>
        <v>1</v>
      </c>
      <c r="AW301" s="13">
        <f t="shared" si="26"/>
        <v>0</v>
      </c>
      <c r="AX301" s="13">
        <f t="shared" si="27"/>
        <v>0</v>
      </c>
      <c r="AY301" s="13">
        <f t="shared" si="28"/>
        <v>0</v>
      </c>
      <c r="AZ301" s="13">
        <f t="shared" si="29"/>
        <v>0</v>
      </c>
      <c r="BA301" s="13">
        <f t="shared" si="30"/>
        <v>0</v>
      </c>
      <c r="BB301" s="13" t="s">
        <v>88</v>
      </c>
      <c r="BC301" s="13">
        <f t="shared" si="31"/>
        <v>2</v>
      </c>
      <c r="BD301" s="15"/>
      <c r="BE301" s="13" t="str">
        <f t="shared" si="47"/>
        <v>N/A</v>
      </c>
      <c r="BF301" s="13" t="s">
        <v>224</v>
      </c>
      <c r="BG301" s="13">
        <f t="shared" si="33"/>
        <v>0</v>
      </c>
      <c r="BH301" s="13">
        <f t="shared" si="34"/>
        <v>0</v>
      </c>
      <c r="BI301" s="13">
        <f t="shared" si="35"/>
        <v>1</v>
      </c>
      <c r="BJ301" s="13">
        <f t="shared" si="36"/>
        <v>0</v>
      </c>
      <c r="BK301" s="13">
        <f t="shared" si="37"/>
        <v>0</v>
      </c>
      <c r="BL301" s="13">
        <f t="shared" si="38"/>
        <v>0</v>
      </c>
      <c r="BM301" s="13">
        <f t="shared" si="39"/>
        <v>0</v>
      </c>
      <c r="BN301" s="13" t="s">
        <v>108</v>
      </c>
      <c r="BO301" s="16">
        <f t="shared" si="40"/>
        <v>3</v>
      </c>
    </row>
    <row r="302">
      <c r="A302" s="13">
        <f t="shared" si="41"/>
        <v>301</v>
      </c>
      <c r="B302" s="14">
        <v>46052.892397557865</v>
      </c>
      <c r="C302" s="13" t="s">
        <v>67</v>
      </c>
      <c r="D302" s="13">
        <f t="shared" si="1"/>
        <v>1</v>
      </c>
      <c r="E302" s="13" t="s">
        <v>68</v>
      </c>
      <c r="F302" s="13">
        <f t="shared" si="2"/>
        <v>1</v>
      </c>
      <c r="G302" s="13" t="s">
        <v>82</v>
      </c>
      <c r="H302" s="13" t="str">
        <f t="shared" si="3"/>
        <v>Urban</v>
      </c>
      <c r="I302" s="13">
        <f t="shared" si="4"/>
        <v>2</v>
      </c>
      <c r="J302" s="13" t="s">
        <v>83</v>
      </c>
      <c r="K302" s="15" t="s">
        <v>84</v>
      </c>
      <c r="L302" s="13">
        <f t="shared" si="5"/>
        <v>2</v>
      </c>
      <c r="M302" s="13" t="s">
        <v>71</v>
      </c>
      <c r="N302" s="13">
        <f t="shared" si="6"/>
        <v>7.7</v>
      </c>
      <c r="O302" s="13" t="s">
        <v>85</v>
      </c>
      <c r="P302" s="13">
        <f t="shared" si="7"/>
        <v>4</v>
      </c>
      <c r="Q302" s="13" t="s">
        <v>78</v>
      </c>
      <c r="R302" s="13">
        <f t="shared" si="8"/>
        <v>3</v>
      </c>
      <c r="S302" s="13" t="s">
        <v>85</v>
      </c>
      <c r="T302" s="13">
        <f t="shared" si="9"/>
        <v>4</v>
      </c>
      <c r="U302" s="13" t="s">
        <v>96</v>
      </c>
      <c r="V302" s="13">
        <f t="shared" si="10"/>
        <v>2.5</v>
      </c>
      <c r="W302" s="13" t="s">
        <v>111</v>
      </c>
      <c r="X302" s="13">
        <f t="shared" si="11"/>
        <v>1</v>
      </c>
      <c r="Y302" s="13">
        <f t="shared" si="12"/>
        <v>1</v>
      </c>
      <c r="Z302" s="13">
        <f t="shared" si="13"/>
        <v>0</v>
      </c>
      <c r="AA302" s="13">
        <f t="shared" si="14"/>
        <v>1</v>
      </c>
      <c r="AB302" s="13" t="s">
        <v>72</v>
      </c>
      <c r="AC302" s="13">
        <f t="shared" si="15"/>
        <v>1</v>
      </c>
      <c r="AD302" s="13" t="s">
        <v>72</v>
      </c>
      <c r="AE302" s="13">
        <f t="shared" si="16"/>
        <v>1</v>
      </c>
      <c r="AF302" s="13" t="s">
        <v>71</v>
      </c>
      <c r="AG302" s="13">
        <f t="shared" si="17"/>
        <v>7.7</v>
      </c>
      <c r="AH302" s="13" t="s">
        <v>103</v>
      </c>
      <c r="AI302" s="13">
        <f t="shared" si="18"/>
        <v>5</v>
      </c>
      <c r="AJ302" s="13" t="s">
        <v>73</v>
      </c>
      <c r="AK302" s="13">
        <f t="shared" si="19"/>
        <v>2</v>
      </c>
      <c r="AL302" s="13" t="s">
        <v>73</v>
      </c>
      <c r="AM302" s="13">
        <f t="shared" si="20"/>
        <v>2</v>
      </c>
      <c r="AN302" s="13" t="s">
        <v>78</v>
      </c>
      <c r="AO302" s="13">
        <f t="shared" si="21"/>
        <v>3</v>
      </c>
      <c r="AP302" s="13" t="s">
        <v>78</v>
      </c>
      <c r="AQ302" s="13">
        <f t="shared" si="22"/>
        <v>3</v>
      </c>
      <c r="AR302" s="13" t="s">
        <v>85</v>
      </c>
      <c r="AS302" s="13">
        <f t="shared" si="23"/>
        <v>4</v>
      </c>
      <c r="AT302" s="13" t="s">
        <v>118</v>
      </c>
      <c r="AU302" s="15">
        <f t="shared" si="24"/>
        <v>0</v>
      </c>
      <c r="AV302" s="15">
        <f t="shared" si="25"/>
        <v>1</v>
      </c>
      <c r="AW302" s="13">
        <f t="shared" si="26"/>
        <v>0</v>
      </c>
      <c r="AX302" s="13">
        <f t="shared" si="27"/>
        <v>0</v>
      </c>
      <c r="AY302" s="13">
        <f t="shared" si="28"/>
        <v>0</v>
      </c>
      <c r="AZ302" s="13">
        <f t="shared" si="29"/>
        <v>1</v>
      </c>
      <c r="BA302" s="13">
        <f t="shared" si="30"/>
        <v>0</v>
      </c>
      <c r="BB302" s="13" t="s">
        <v>88</v>
      </c>
      <c r="BC302" s="13">
        <f t="shared" si="31"/>
        <v>2</v>
      </c>
      <c r="BD302" s="15"/>
      <c r="BE302" s="13" t="str">
        <f t="shared" si="47"/>
        <v>N/A</v>
      </c>
      <c r="BF302" s="13" t="s">
        <v>341</v>
      </c>
      <c r="BG302" s="13">
        <f t="shared" si="33"/>
        <v>0</v>
      </c>
      <c r="BH302" s="13">
        <f t="shared" si="34"/>
        <v>0</v>
      </c>
      <c r="BI302" s="13">
        <f t="shared" si="35"/>
        <v>1</v>
      </c>
      <c r="BJ302" s="13">
        <f t="shared" si="36"/>
        <v>0</v>
      </c>
      <c r="BK302" s="13">
        <f t="shared" si="37"/>
        <v>0</v>
      </c>
      <c r="BL302" s="13">
        <f t="shared" si="38"/>
        <v>1</v>
      </c>
      <c r="BM302" s="13">
        <f t="shared" si="39"/>
        <v>0</v>
      </c>
      <c r="BN302" s="13" t="s">
        <v>68</v>
      </c>
      <c r="BO302" s="16">
        <f t="shared" si="40"/>
        <v>1</v>
      </c>
    </row>
    <row r="303">
      <c r="A303" s="13">
        <f t="shared" si="41"/>
        <v>302</v>
      </c>
      <c r="B303" s="14">
        <v>46052.90963873843</v>
      </c>
      <c r="C303" s="13" t="s">
        <v>67</v>
      </c>
      <c r="D303" s="13">
        <f t="shared" si="1"/>
        <v>1</v>
      </c>
      <c r="E303" s="13" t="s">
        <v>68</v>
      </c>
      <c r="F303" s="13">
        <f t="shared" si="2"/>
        <v>1</v>
      </c>
      <c r="G303" s="13" t="s">
        <v>91</v>
      </c>
      <c r="H303" s="13" t="str">
        <f t="shared" si="3"/>
        <v>Urban</v>
      </c>
      <c r="I303" s="13">
        <f t="shared" si="4"/>
        <v>2</v>
      </c>
      <c r="J303" s="13" t="s">
        <v>145</v>
      </c>
      <c r="K303" s="15" t="s">
        <v>146</v>
      </c>
      <c r="L303" s="13">
        <f t="shared" si="5"/>
        <v>1</v>
      </c>
      <c r="M303" s="13" t="s">
        <v>109</v>
      </c>
      <c r="N303" s="13">
        <f t="shared" si="6"/>
        <v>9</v>
      </c>
      <c r="O303" s="13" t="s">
        <v>78</v>
      </c>
      <c r="P303" s="13">
        <f t="shared" si="7"/>
        <v>3</v>
      </c>
      <c r="Q303" s="13" t="s">
        <v>73</v>
      </c>
      <c r="R303" s="13">
        <f t="shared" si="8"/>
        <v>2</v>
      </c>
      <c r="S303" s="13" t="s">
        <v>78</v>
      </c>
      <c r="T303" s="13">
        <f t="shared" si="9"/>
        <v>3</v>
      </c>
      <c r="U303" s="13" t="s">
        <v>96</v>
      </c>
      <c r="V303" s="13">
        <f t="shared" si="10"/>
        <v>2.5</v>
      </c>
      <c r="W303" s="13" t="s">
        <v>143</v>
      </c>
      <c r="X303" s="13">
        <f t="shared" si="11"/>
        <v>1</v>
      </c>
      <c r="Y303" s="13">
        <f t="shared" si="12"/>
        <v>0</v>
      </c>
      <c r="Z303" s="13">
        <f t="shared" si="13"/>
        <v>0</v>
      </c>
      <c r="AA303" s="13">
        <f t="shared" si="14"/>
        <v>0</v>
      </c>
      <c r="AB303" s="13" t="s">
        <v>78</v>
      </c>
      <c r="AC303" s="13">
        <f t="shared" si="15"/>
        <v>3</v>
      </c>
      <c r="AD303" s="13" t="s">
        <v>73</v>
      </c>
      <c r="AE303" s="13">
        <f t="shared" si="16"/>
        <v>2</v>
      </c>
      <c r="AF303" s="13" t="s">
        <v>71</v>
      </c>
      <c r="AG303" s="13">
        <f t="shared" si="17"/>
        <v>7.7</v>
      </c>
      <c r="AH303" s="13" t="s">
        <v>78</v>
      </c>
      <c r="AI303" s="13">
        <f t="shared" si="18"/>
        <v>3</v>
      </c>
      <c r="AJ303" s="13" t="s">
        <v>73</v>
      </c>
      <c r="AK303" s="13">
        <f t="shared" si="19"/>
        <v>2</v>
      </c>
      <c r="AL303" s="13" t="s">
        <v>78</v>
      </c>
      <c r="AM303" s="13">
        <f t="shared" si="20"/>
        <v>3</v>
      </c>
      <c r="AN303" s="13" t="s">
        <v>73</v>
      </c>
      <c r="AO303" s="13">
        <f t="shared" si="21"/>
        <v>2</v>
      </c>
      <c r="AP303" s="13" t="s">
        <v>78</v>
      </c>
      <c r="AQ303" s="13">
        <f t="shared" si="22"/>
        <v>3</v>
      </c>
      <c r="AR303" s="13" t="s">
        <v>78</v>
      </c>
      <c r="AS303" s="13">
        <f t="shared" si="23"/>
        <v>3</v>
      </c>
      <c r="AT303" s="13" t="s">
        <v>342</v>
      </c>
      <c r="AU303" s="15">
        <f t="shared" si="24"/>
        <v>0</v>
      </c>
      <c r="AV303" s="15">
        <f t="shared" si="25"/>
        <v>0</v>
      </c>
      <c r="AW303" s="13">
        <f t="shared" si="26"/>
        <v>0</v>
      </c>
      <c r="AX303" s="13">
        <f t="shared" si="27"/>
        <v>0</v>
      </c>
      <c r="AY303" s="13">
        <f t="shared" si="28"/>
        <v>0</v>
      </c>
      <c r="AZ303" s="13">
        <f t="shared" si="29"/>
        <v>0</v>
      </c>
      <c r="BA303" s="13">
        <f t="shared" si="30"/>
        <v>0</v>
      </c>
      <c r="BB303" s="13" t="s">
        <v>88</v>
      </c>
      <c r="BC303" s="13">
        <f t="shared" si="31"/>
        <v>2</v>
      </c>
      <c r="BD303" s="15"/>
      <c r="BE303" s="13" t="str">
        <f t="shared" si="47"/>
        <v>N/A</v>
      </c>
      <c r="BF303" s="13" t="s">
        <v>107</v>
      </c>
      <c r="BG303" s="13">
        <f t="shared" si="33"/>
        <v>1</v>
      </c>
      <c r="BH303" s="13">
        <f t="shared" si="34"/>
        <v>0</v>
      </c>
      <c r="BI303" s="13">
        <f t="shared" si="35"/>
        <v>0</v>
      </c>
      <c r="BJ303" s="13">
        <f t="shared" si="36"/>
        <v>0</v>
      </c>
      <c r="BK303" s="13">
        <f t="shared" si="37"/>
        <v>0</v>
      </c>
      <c r="BL303" s="13">
        <f t="shared" si="38"/>
        <v>0</v>
      </c>
      <c r="BM303" s="13">
        <f t="shared" si="39"/>
        <v>0</v>
      </c>
      <c r="BN303" s="13" t="s">
        <v>88</v>
      </c>
      <c r="BO303" s="16">
        <f t="shared" si="40"/>
        <v>2</v>
      </c>
    </row>
    <row r="304">
      <c r="A304" s="13">
        <f t="shared" si="41"/>
        <v>303</v>
      </c>
      <c r="B304" s="14">
        <v>46052.91490849537</v>
      </c>
      <c r="C304" s="13" t="s">
        <v>67</v>
      </c>
      <c r="D304" s="13">
        <f t="shared" si="1"/>
        <v>1</v>
      </c>
      <c r="E304" s="13" t="s">
        <v>68</v>
      </c>
      <c r="F304" s="13">
        <f t="shared" si="2"/>
        <v>1</v>
      </c>
      <c r="G304" s="13" t="s">
        <v>82</v>
      </c>
      <c r="H304" s="13" t="str">
        <f t="shared" si="3"/>
        <v>Urban</v>
      </c>
      <c r="I304" s="13">
        <f t="shared" si="4"/>
        <v>2</v>
      </c>
      <c r="J304" s="13" t="s">
        <v>70</v>
      </c>
      <c r="K304" s="15" t="s">
        <v>100</v>
      </c>
      <c r="L304" s="13">
        <f t="shared" si="5"/>
        <v>3</v>
      </c>
      <c r="M304" s="13" t="s">
        <v>109</v>
      </c>
      <c r="N304" s="13">
        <f t="shared" si="6"/>
        <v>9</v>
      </c>
      <c r="O304" s="13" t="s">
        <v>78</v>
      </c>
      <c r="P304" s="13">
        <f t="shared" si="7"/>
        <v>3</v>
      </c>
      <c r="Q304" s="13" t="s">
        <v>73</v>
      </c>
      <c r="R304" s="13">
        <f t="shared" si="8"/>
        <v>2</v>
      </c>
      <c r="S304" s="13" t="s">
        <v>103</v>
      </c>
      <c r="T304" s="13">
        <f t="shared" si="9"/>
        <v>5</v>
      </c>
      <c r="U304" s="13" t="s">
        <v>74</v>
      </c>
      <c r="V304" s="13">
        <f t="shared" si="10"/>
        <v>1.5</v>
      </c>
      <c r="W304" s="13" t="s">
        <v>97</v>
      </c>
      <c r="X304" s="13">
        <f t="shared" si="11"/>
        <v>1</v>
      </c>
      <c r="Y304" s="13">
        <f t="shared" si="12"/>
        <v>0</v>
      </c>
      <c r="Z304" s="13">
        <f t="shared" si="13"/>
        <v>1</v>
      </c>
      <c r="AA304" s="13">
        <f t="shared" si="14"/>
        <v>0</v>
      </c>
      <c r="AB304" s="13" t="s">
        <v>78</v>
      </c>
      <c r="AC304" s="13">
        <f t="shared" si="15"/>
        <v>3</v>
      </c>
      <c r="AD304" s="13" t="s">
        <v>78</v>
      </c>
      <c r="AE304" s="13">
        <f t="shared" si="16"/>
        <v>3</v>
      </c>
      <c r="AF304" s="13" t="s">
        <v>71</v>
      </c>
      <c r="AG304" s="13">
        <f t="shared" si="17"/>
        <v>7.7</v>
      </c>
      <c r="AH304" s="13" t="s">
        <v>78</v>
      </c>
      <c r="AI304" s="13">
        <f t="shared" si="18"/>
        <v>3</v>
      </c>
      <c r="AJ304" s="13" t="s">
        <v>73</v>
      </c>
      <c r="AK304" s="13">
        <f t="shared" si="19"/>
        <v>2</v>
      </c>
      <c r="AL304" s="13" t="s">
        <v>73</v>
      </c>
      <c r="AM304" s="13">
        <f t="shared" si="20"/>
        <v>2</v>
      </c>
      <c r="AN304" s="13" t="s">
        <v>73</v>
      </c>
      <c r="AO304" s="13">
        <f t="shared" si="21"/>
        <v>2</v>
      </c>
      <c r="AP304" s="13" t="s">
        <v>73</v>
      </c>
      <c r="AQ304" s="13">
        <f t="shared" si="22"/>
        <v>2</v>
      </c>
      <c r="AR304" s="13" t="s">
        <v>73</v>
      </c>
      <c r="AS304" s="13">
        <f t="shared" si="23"/>
        <v>2</v>
      </c>
      <c r="AT304" s="13" t="s">
        <v>147</v>
      </c>
      <c r="AU304" s="15">
        <f t="shared" si="24"/>
        <v>1</v>
      </c>
      <c r="AV304" s="15">
        <f t="shared" si="25"/>
        <v>0</v>
      </c>
      <c r="AW304" s="13">
        <f t="shared" si="26"/>
        <v>0</v>
      </c>
      <c r="AX304" s="13">
        <f t="shared" si="27"/>
        <v>0</v>
      </c>
      <c r="AY304" s="13">
        <f t="shared" si="28"/>
        <v>0</v>
      </c>
      <c r="AZ304" s="13">
        <f t="shared" si="29"/>
        <v>0</v>
      </c>
      <c r="BA304" s="13">
        <f t="shared" si="30"/>
        <v>0</v>
      </c>
      <c r="BB304" s="13" t="s">
        <v>88</v>
      </c>
      <c r="BC304" s="13">
        <f t="shared" si="31"/>
        <v>2</v>
      </c>
      <c r="BD304" s="15"/>
      <c r="BE304" s="13" t="str">
        <f t="shared" si="47"/>
        <v>N/A</v>
      </c>
      <c r="BF304" s="13" t="s">
        <v>107</v>
      </c>
      <c r="BG304" s="13">
        <f t="shared" si="33"/>
        <v>1</v>
      </c>
      <c r="BH304" s="13">
        <f t="shared" si="34"/>
        <v>0</v>
      </c>
      <c r="BI304" s="13">
        <f t="shared" si="35"/>
        <v>0</v>
      </c>
      <c r="BJ304" s="13">
        <f t="shared" si="36"/>
        <v>0</v>
      </c>
      <c r="BK304" s="13">
        <f t="shared" si="37"/>
        <v>0</v>
      </c>
      <c r="BL304" s="13">
        <f t="shared" si="38"/>
        <v>0</v>
      </c>
      <c r="BM304" s="13">
        <f t="shared" si="39"/>
        <v>0</v>
      </c>
      <c r="BN304" s="13" t="s">
        <v>108</v>
      </c>
      <c r="BO304" s="16">
        <f t="shared" si="40"/>
        <v>3</v>
      </c>
    </row>
    <row r="305">
      <c r="A305" s="13">
        <f t="shared" si="41"/>
        <v>304</v>
      </c>
      <c r="B305" s="14">
        <v>46052.930614745375</v>
      </c>
      <c r="C305" s="13" t="s">
        <v>67</v>
      </c>
      <c r="D305" s="13">
        <f t="shared" si="1"/>
        <v>1</v>
      </c>
      <c r="E305" s="13" t="s">
        <v>68</v>
      </c>
      <c r="F305" s="13">
        <f t="shared" si="2"/>
        <v>1</v>
      </c>
      <c r="G305" s="13" t="s">
        <v>82</v>
      </c>
      <c r="H305" s="13" t="str">
        <f t="shared" si="3"/>
        <v>Urban</v>
      </c>
      <c r="I305" s="13">
        <f t="shared" si="4"/>
        <v>2</v>
      </c>
      <c r="J305" s="13" t="s">
        <v>70</v>
      </c>
      <c r="K305" s="15" t="s">
        <v>100</v>
      </c>
      <c r="L305" s="13">
        <f t="shared" si="5"/>
        <v>3</v>
      </c>
      <c r="M305" s="13" t="s">
        <v>71</v>
      </c>
      <c r="N305" s="13">
        <f t="shared" si="6"/>
        <v>7.7</v>
      </c>
      <c r="O305" s="13" t="s">
        <v>85</v>
      </c>
      <c r="P305" s="13">
        <f t="shared" si="7"/>
        <v>4</v>
      </c>
      <c r="Q305" s="13" t="s">
        <v>103</v>
      </c>
      <c r="R305" s="13">
        <f t="shared" si="8"/>
        <v>5</v>
      </c>
      <c r="S305" s="13" t="s">
        <v>78</v>
      </c>
      <c r="T305" s="13">
        <f t="shared" si="9"/>
        <v>3</v>
      </c>
      <c r="U305" s="13" t="s">
        <v>270</v>
      </c>
      <c r="V305" s="13">
        <f t="shared" si="10"/>
        <v>0.25</v>
      </c>
      <c r="W305" s="13" t="s">
        <v>86</v>
      </c>
      <c r="X305" s="13">
        <f t="shared" si="11"/>
        <v>1</v>
      </c>
      <c r="Y305" s="13">
        <f t="shared" si="12"/>
        <v>1</v>
      </c>
      <c r="Z305" s="13">
        <f t="shared" si="13"/>
        <v>1</v>
      </c>
      <c r="AA305" s="13">
        <f t="shared" si="14"/>
        <v>0</v>
      </c>
      <c r="AB305" s="13" t="s">
        <v>73</v>
      </c>
      <c r="AC305" s="13">
        <f t="shared" si="15"/>
        <v>2</v>
      </c>
      <c r="AD305" s="13" t="s">
        <v>73</v>
      </c>
      <c r="AE305" s="13">
        <f t="shared" si="16"/>
        <v>2</v>
      </c>
      <c r="AF305" s="13" t="s">
        <v>71</v>
      </c>
      <c r="AG305" s="13">
        <f t="shared" si="17"/>
        <v>7.7</v>
      </c>
      <c r="AH305" s="13" t="s">
        <v>103</v>
      </c>
      <c r="AI305" s="13">
        <f t="shared" si="18"/>
        <v>5</v>
      </c>
      <c r="AJ305" s="13" t="s">
        <v>85</v>
      </c>
      <c r="AK305" s="13">
        <f t="shared" si="19"/>
        <v>4</v>
      </c>
      <c r="AL305" s="13" t="s">
        <v>85</v>
      </c>
      <c r="AM305" s="13">
        <f t="shared" si="20"/>
        <v>4</v>
      </c>
      <c r="AN305" s="13" t="s">
        <v>85</v>
      </c>
      <c r="AO305" s="13">
        <f t="shared" si="21"/>
        <v>4</v>
      </c>
      <c r="AP305" s="13" t="s">
        <v>85</v>
      </c>
      <c r="AQ305" s="13">
        <f t="shared" si="22"/>
        <v>4</v>
      </c>
      <c r="AR305" s="13" t="s">
        <v>85</v>
      </c>
      <c r="AS305" s="13">
        <f t="shared" si="23"/>
        <v>4</v>
      </c>
      <c r="AT305" s="13" t="s">
        <v>343</v>
      </c>
      <c r="AU305" s="15">
        <f t="shared" si="24"/>
        <v>0</v>
      </c>
      <c r="AV305" s="15">
        <f t="shared" si="25"/>
        <v>1</v>
      </c>
      <c r="AW305" s="13">
        <f t="shared" si="26"/>
        <v>1</v>
      </c>
      <c r="AX305" s="13">
        <f t="shared" si="27"/>
        <v>1</v>
      </c>
      <c r="AY305" s="13">
        <f t="shared" si="28"/>
        <v>0</v>
      </c>
      <c r="AZ305" s="13">
        <f t="shared" si="29"/>
        <v>1</v>
      </c>
      <c r="BA305" s="13">
        <f t="shared" si="30"/>
        <v>1</v>
      </c>
      <c r="BB305" s="13" t="s">
        <v>88</v>
      </c>
      <c r="BC305" s="13">
        <f t="shared" si="31"/>
        <v>2</v>
      </c>
      <c r="BD305" s="15"/>
      <c r="BE305" s="13" t="str">
        <f t="shared" si="47"/>
        <v>N/A</v>
      </c>
      <c r="BF305" s="13" t="s">
        <v>275</v>
      </c>
      <c r="BG305" s="13">
        <f t="shared" si="33"/>
        <v>1</v>
      </c>
      <c r="BH305" s="13">
        <f t="shared" si="34"/>
        <v>0</v>
      </c>
      <c r="BI305" s="13">
        <f t="shared" si="35"/>
        <v>1</v>
      </c>
      <c r="BJ305" s="13">
        <f t="shared" si="36"/>
        <v>0</v>
      </c>
      <c r="BK305" s="13">
        <f t="shared" si="37"/>
        <v>0</v>
      </c>
      <c r="BL305" s="13">
        <f t="shared" si="38"/>
        <v>1</v>
      </c>
      <c r="BM305" s="13">
        <f t="shared" si="39"/>
        <v>1</v>
      </c>
      <c r="BN305" s="13" t="s">
        <v>108</v>
      </c>
      <c r="BO305" s="16">
        <f t="shared" si="40"/>
        <v>3</v>
      </c>
    </row>
    <row r="306">
      <c r="A306" s="13">
        <f t="shared" si="41"/>
        <v>305</v>
      </c>
      <c r="B306" s="14">
        <v>46052.964559444445</v>
      </c>
      <c r="C306" s="13" t="s">
        <v>67</v>
      </c>
      <c r="D306" s="13">
        <f t="shared" si="1"/>
        <v>1</v>
      </c>
      <c r="E306" s="13" t="s">
        <v>68</v>
      </c>
      <c r="F306" s="13">
        <f t="shared" si="2"/>
        <v>1</v>
      </c>
      <c r="G306" s="13" t="s">
        <v>91</v>
      </c>
      <c r="H306" s="13" t="str">
        <f t="shared" si="3"/>
        <v>Urban</v>
      </c>
      <c r="I306" s="13">
        <f t="shared" si="4"/>
        <v>2</v>
      </c>
      <c r="J306" s="13" t="s">
        <v>145</v>
      </c>
      <c r="K306" s="15" t="s">
        <v>146</v>
      </c>
      <c r="L306" s="13">
        <f t="shared" si="5"/>
        <v>1</v>
      </c>
      <c r="M306" s="13" t="s">
        <v>76</v>
      </c>
      <c r="N306" s="13">
        <f t="shared" si="6"/>
        <v>5.5</v>
      </c>
      <c r="O306" s="13" t="s">
        <v>78</v>
      </c>
      <c r="P306" s="13">
        <f t="shared" si="7"/>
        <v>3</v>
      </c>
      <c r="Q306" s="13" t="s">
        <v>78</v>
      </c>
      <c r="R306" s="13">
        <f t="shared" si="8"/>
        <v>3</v>
      </c>
      <c r="S306" s="13" t="s">
        <v>78</v>
      </c>
      <c r="T306" s="13">
        <f t="shared" si="9"/>
        <v>3</v>
      </c>
      <c r="U306" s="13" t="s">
        <v>110</v>
      </c>
      <c r="V306" s="13">
        <f t="shared" si="10"/>
        <v>0.75</v>
      </c>
      <c r="W306" s="13" t="s">
        <v>111</v>
      </c>
      <c r="X306" s="13">
        <f t="shared" si="11"/>
        <v>1</v>
      </c>
      <c r="Y306" s="13">
        <f t="shared" si="12"/>
        <v>1</v>
      </c>
      <c r="Z306" s="13">
        <f t="shared" si="13"/>
        <v>0</v>
      </c>
      <c r="AA306" s="13">
        <f t="shared" si="14"/>
        <v>1</v>
      </c>
      <c r="AB306" s="13" t="s">
        <v>72</v>
      </c>
      <c r="AC306" s="13">
        <f t="shared" si="15"/>
        <v>1</v>
      </c>
      <c r="AD306" s="13" t="s">
        <v>72</v>
      </c>
      <c r="AE306" s="13">
        <f t="shared" si="16"/>
        <v>1</v>
      </c>
      <c r="AF306" s="13" t="s">
        <v>109</v>
      </c>
      <c r="AG306" s="13">
        <f t="shared" si="17"/>
        <v>9</v>
      </c>
      <c r="AH306" s="13" t="s">
        <v>85</v>
      </c>
      <c r="AI306" s="13">
        <f t="shared" si="18"/>
        <v>4</v>
      </c>
      <c r="AJ306" s="13" t="s">
        <v>78</v>
      </c>
      <c r="AK306" s="13">
        <f t="shared" si="19"/>
        <v>3</v>
      </c>
      <c r="AL306" s="13" t="s">
        <v>78</v>
      </c>
      <c r="AM306" s="13">
        <f t="shared" si="20"/>
        <v>3</v>
      </c>
      <c r="AN306" s="13" t="s">
        <v>78</v>
      </c>
      <c r="AO306" s="13">
        <f t="shared" si="21"/>
        <v>3</v>
      </c>
      <c r="AP306" s="13" t="s">
        <v>78</v>
      </c>
      <c r="AQ306" s="13">
        <f t="shared" si="22"/>
        <v>3</v>
      </c>
      <c r="AR306" s="13" t="s">
        <v>78</v>
      </c>
      <c r="AS306" s="13">
        <f t="shared" si="23"/>
        <v>3</v>
      </c>
      <c r="AT306" s="13" t="s">
        <v>213</v>
      </c>
      <c r="AU306" s="15">
        <f t="shared" si="24"/>
        <v>0</v>
      </c>
      <c r="AV306" s="15">
        <f t="shared" si="25"/>
        <v>0</v>
      </c>
      <c r="AW306" s="13">
        <f t="shared" si="26"/>
        <v>0</v>
      </c>
      <c r="AX306" s="13">
        <f t="shared" si="27"/>
        <v>1</v>
      </c>
      <c r="AY306" s="13">
        <f t="shared" si="28"/>
        <v>0</v>
      </c>
      <c r="AZ306" s="13">
        <f t="shared" si="29"/>
        <v>0</v>
      </c>
      <c r="BA306" s="13">
        <f t="shared" si="30"/>
        <v>1</v>
      </c>
      <c r="BB306" s="13" t="s">
        <v>88</v>
      </c>
      <c r="BC306" s="13">
        <f t="shared" si="31"/>
        <v>2</v>
      </c>
      <c r="BD306" s="15"/>
      <c r="BE306" s="13" t="str">
        <f t="shared" si="47"/>
        <v>N/A</v>
      </c>
      <c r="BF306" s="13" t="s">
        <v>344</v>
      </c>
      <c r="BG306" s="13">
        <f t="shared" si="33"/>
        <v>1</v>
      </c>
      <c r="BH306" s="13">
        <f t="shared" si="34"/>
        <v>1</v>
      </c>
      <c r="BI306" s="13">
        <f t="shared" si="35"/>
        <v>1</v>
      </c>
      <c r="BJ306" s="13">
        <f t="shared" si="36"/>
        <v>0</v>
      </c>
      <c r="BK306" s="13">
        <f t="shared" si="37"/>
        <v>1</v>
      </c>
      <c r="BL306" s="13">
        <f t="shared" si="38"/>
        <v>0</v>
      </c>
      <c r="BM306" s="13">
        <f t="shared" si="39"/>
        <v>0</v>
      </c>
      <c r="BN306" s="13" t="s">
        <v>108</v>
      </c>
      <c r="BO306" s="16">
        <f t="shared" si="40"/>
        <v>3</v>
      </c>
    </row>
    <row r="307">
      <c r="A307" s="13">
        <f t="shared" si="41"/>
        <v>306</v>
      </c>
      <c r="B307" s="14">
        <v>46052.96697017361</v>
      </c>
      <c r="C307" s="13" t="s">
        <v>67</v>
      </c>
      <c r="D307" s="13">
        <f t="shared" si="1"/>
        <v>1</v>
      </c>
      <c r="E307" s="13" t="s">
        <v>68</v>
      </c>
      <c r="F307" s="13">
        <f t="shared" si="2"/>
        <v>1</v>
      </c>
      <c r="G307" s="13" t="s">
        <v>345</v>
      </c>
      <c r="H307" s="13" t="str">
        <f t="shared" si="3"/>
        <v>N/A</v>
      </c>
      <c r="I307" s="13" t="str">
        <f t="shared" si="4"/>
        <v>N/A</v>
      </c>
      <c r="J307" s="13" t="s">
        <v>70</v>
      </c>
      <c r="K307" s="15" t="s">
        <v>100</v>
      </c>
      <c r="L307" s="13">
        <f t="shared" si="5"/>
        <v>3</v>
      </c>
      <c r="M307" s="13" t="s">
        <v>109</v>
      </c>
      <c r="N307" s="13">
        <f t="shared" si="6"/>
        <v>9</v>
      </c>
      <c r="O307" s="13" t="s">
        <v>78</v>
      </c>
      <c r="P307" s="13">
        <f t="shared" si="7"/>
        <v>3</v>
      </c>
      <c r="Q307" s="13" t="s">
        <v>78</v>
      </c>
      <c r="R307" s="13">
        <f t="shared" si="8"/>
        <v>3</v>
      </c>
      <c r="S307" s="13" t="s">
        <v>78</v>
      </c>
      <c r="T307" s="13">
        <f t="shared" si="9"/>
        <v>3</v>
      </c>
      <c r="U307" s="13" t="s">
        <v>92</v>
      </c>
      <c r="V307" s="13">
        <f t="shared" si="10"/>
        <v>3.5</v>
      </c>
      <c r="W307" s="13" t="s">
        <v>86</v>
      </c>
      <c r="X307" s="13">
        <f t="shared" si="11"/>
        <v>1</v>
      </c>
      <c r="Y307" s="13">
        <f t="shared" si="12"/>
        <v>1</v>
      </c>
      <c r="Z307" s="13">
        <f t="shared" si="13"/>
        <v>1</v>
      </c>
      <c r="AA307" s="13">
        <f t="shared" si="14"/>
        <v>0</v>
      </c>
      <c r="AB307" s="13" t="s">
        <v>73</v>
      </c>
      <c r="AC307" s="13">
        <f t="shared" si="15"/>
        <v>2</v>
      </c>
      <c r="AD307" s="13" t="s">
        <v>85</v>
      </c>
      <c r="AE307" s="13">
        <f t="shared" si="16"/>
        <v>4</v>
      </c>
      <c r="AF307" s="13" t="s">
        <v>76</v>
      </c>
      <c r="AG307" s="13">
        <f t="shared" si="17"/>
        <v>5.5</v>
      </c>
      <c r="AH307" s="13" t="s">
        <v>85</v>
      </c>
      <c r="AI307" s="13">
        <f t="shared" si="18"/>
        <v>4</v>
      </c>
      <c r="AJ307" s="13" t="s">
        <v>73</v>
      </c>
      <c r="AK307" s="13">
        <f t="shared" si="19"/>
        <v>2</v>
      </c>
      <c r="AL307" s="13" t="s">
        <v>85</v>
      </c>
      <c r="AM307" s="13">
        <f t="shared" si="20"/>
        <v>4</v>
      </c>
      <c r="AN307" s="13" t="s">
        <v>85</v>
      </c>
      <c r="AO307" s="13">
        <f t="shared" si="21"/>
        <v>4</v>
      </c>
      <c r="AP307" s="13" t="s">
        <v>85</v>
      </c>
      <c r="AQ307" s="13">
        <f t="shared" si="22"/>
        <v>4</v>
      </c>
      <c r="AR307" s="13" t="s">
        <v>85</v>
      </c>
      <c r="AS307" s="13">
        <f t="shared" si="23"/>
        <v>4</v>
      </c>
      <c r="AT307" s="13" t="s">
        <v>346</v>
      </c>
      <c r="AU307" s="15">
        <f t="shared" si="24"/>
        <v>1</v>
      </c>
      <c r="AV307" s="15">
        <f t="shared" si="25"/>
        <v>1</v>
      </c>
      <c r="AW307" s="13">
        <f t="shared" si="26"/>
        <v>1</v>
      </c>
      <c r="AX307" s="13">
        <f t="shared" si="27"/>
        <v>1</v>
      </c>
      <c r="AY307" s="13">
        <f t="shared" si="28"/>
        <v>1</v>
      </c>
      <c r="AZ307" s="13">
        <f t="shared" si="29"/>
        <v>0</v>
      </c>
      <c r="BA307" s="13">
        <f t="shared" si="30"/>
        <v>0</v>
      </c>
      <c r="BB307" s="13" t="s">
        <v>88</v>
      </c>
      <c r="BC307" s="13">
        <f t="shared" si="31"/>
        <v>2</v>
      </c>
      <c r="BD307" s="15"/>
      <c r="BE307" s="13" t="str">
        <f t="shared" si="47"/>
        <v>N/A</v>
      </c>
      <c r="BF307" s="13" t="s">
        <v>142</v>
      </c>
      <c r="BG307" s="13">
        <f t="shared" si="33"/>
        <v>0</v>
      </c>
      <c r="BH307" s="13">
        <f t="shared" si="34"/>
        <v>0</v>
      </c>
      <c r="BI307" s="13">
        <f t="shared" si="35"/>
        <v>0</v>
      </c>
      <c r="BJ307" s="13">
        <f t="shared" si="36"/>
        <v>0</v>
      </c>
      <c r="BK307" s="13">
        <f t="shared" si="37"/>
        <v>1</v>
      </c>
      <c r="BL307" s="13">
        <f t="shared" si="38"/>
        <v>1</v>
      </c>
      <c r="BM307" s="13">
        <f t="shared" si="39"/>
        <v>0</v>
      </c>
      <c r="BN307" s="13" t="s">
        <v>108</v>
      </c>
      <c r="BO307" s="16">
        <f t="shared" si="40"/>
        <v>3</v>
      </c>
    </row>
    <row r="308">
      <c r="A308" s="13">
        <f t="shared" si="41"/>
        <v>307</v>
      </c>
      <c r="B308" s="14">
        <v>46052.994824016205</v>
      </c>
      <c r="C308" s="13" t="s">
        <v>67</v>
      </c>
      <c r="D308" s="13">
        <f t="shared" si="1"/>
        <v>1</v>
      </c>
      <c r="E308" s="13" t="s">
        <v>68</v>
      </c>
      <c r="F308" s="13">
        <f t="shared" si="2"/>
        <v>1</v>
      </c>
      <c r="G308" s="13" t="s">
        <v>69</v>
      </c>
      <c r="H308" s="13" t="str">
        <f t="shared" si="3"/>
        <v>Rural</v>
      </c>
      <c r="I308" s="13">
        <f t="shared" si="4"/>
        <v>1</v>
      </c>
      <c r="J308" s="13" t="s">
        <v>70</v>
      </c>
      <c r="K308" s="15" t="s">
        <v>100</v>
      </c>
      <c r="L308" s="13">
        <f t="shared" si="5"/>
        <v>3</v>
      </c>
      <c r="M308" s="13" t="s">
        <v>76</v>
      </c>
      <c r="N308" s="13">
        <f t="shared" si="6"/>
        <v>5.5</v>
      </c>
      <c r="O308" s="13" t="s">
        <v>72</v>
      </c>
      <c r="P308" s="13">
        <f t="shared" si="7"/>
        <v>1</v>
      </c>
      <c r="Q308" s="13" t="s">
        <v>103</v>
      </c>
      <c r="R308" s="13">
        <f t="shared" si="8"/>
        <v>5</v>
      </c>
      <c r="S308" s="13" t="s">
        <v>72</v>
      </c>
      <c r="T308" s="13">
        <f t="shared" si="9"/>
        <v>1</v>
      </c>
      <c r="U308" s="13" t="s">
        <v>96</v>
      </c>
      <c r="V308" s="13">
        <f t="shared" si="10"/>
        <v>2.5</v>
      </c>
      <c r="W308" s="13" t="s">
        <v>86</v>
      </c>
      <c r="X308" s="13">
        <f t="shared" si="11"/>
        <v>1</v>
      </c>
      <c r="Y308" s="13">
        <f t="shared" si="12"/>
        <v>1</v>
      </c>
      <c r="Z308" s="13">
        <f t="shared" si="13"/>
        <v>1</v>
      </c>
      <c r="AA308" s="13">
        <f t="shared" si="14"/>
        <v>0</v>
      </c>
      <c r="AB308" s="13" t="s">
        <v>73</v>
      </c>
      <c r="AC308" s="13">
        <f t="shared" si="15"/>
        <v>2</v>
      </c>
      <c r="AD308" s="13" t="s">
        <v>73</v>
      </c>
      <c r="AE308" s="13">
        <f t="shared" si="16"/>
        <v>2</v>
      </c>
      <c r="AF308" s="13" t="s">
        <v>71</v>
      </c>
      <c r="AG308" s="13">
        <f t="shared" si="17"/>
        <v>7.7</v>
      </c>
      <c r="AH308" s="13" t="s">
        <v>103</v>
      </c>
      <c r="AI308" s="13">
        <f t="shared" si="18"/>
        <v>5</v>
      </c>
      <c r="AJ308" s="13" t="s">
        <v>78</v>
      </c>
      <c r="AK308" s="13">
        <f t="shared" si="19"/>
        <v>3</v>
      </c>
      <c r="AL308" s="13" t="s">
        <v>120</v>
      </c>
      <c r="AM308" s="13">
        <f t="shared" si="20"/>
        <v>5</v>
      </c>
      <c r="AN308" s="13" t="s">
        <v>85</v>
      </c>
      <c r="AO308" s="13">
        <f t="shared" si="21"/>
        <v>4</v>
      </c>
      <c r="AP308" s="13" t="s">
        <v>85</v>
      </c>
      <c r="AQ308" s="13">
        <f t="shared" si="22"/>
        <v>4</v>
      </c>
      <c r="AR308" s="13" t="s">
        <v>85</v>
      </c>
      <c r="AS308" s="13">
        <f t="shared" si="23"/>
        <v>4</v>
      </c>
      <c r="AT308" s="13" t="s">
        <v>131</v>
      </c>
      <c r="AU308" s="15">
        <f t="shared" si="24"/>
        <v>1</v>
      </c>
      <c r="AV308" s="15">
        <f t="shared" si="25"/>
        <v>1</v>
      </c>
      <c r="AW308" s="13">
        <f t="shared" si="26"/>
        <v>0</v>
      </c>
      <c r="AX308" s="13">
        <f t="shared" si="27"/>
        <v>0</v>
      </c>
      <c r="AY308" s="13">
        <f t="shared" si="28"/>
        <v>0</v>
      </c>
      <c r="AZ308" s="13">
        <f t="shared" si="29"/>
        <v>1</v>
      </c>
      <c r="BA308" s="13">
        <f t="shared" si="30"/>
        <v>0</v>
      </c>
      <c r="BB308" s="13" t="s">
        <v>88</v>
      </c>
      <c r="BC308" s="13">
        <f t="shared" si="31"/>
        <v>2</v>
      </c>
      <c r="BD308" s="15"/>
      <c r="BE308" s="13" t="str">
        <f t="shared" si="47"/>
        <v>N/A</v>
      </c>
      <c r="BF308" s="13" t="s">
        <v>347</v>
      </c>
      <c r="BG308" s="13">
        <f t="shared" si="33"/>
        <v>1</v>
      </c>
      <c r="BH308" s="13">
        <f t="shared" si="34"/>
        <v>0</v>
      </c>
      <c r="BI308" s="13">
        <f t="shared" si="35"/>
        <v>0</v>
      </c>
      <c r="BJ308" s="13">
        <f t="shared" si="36"/>
        <v>1</v>
      </c>
      <c r="BK308" s="13">
        <f t="shared" si="37"/>
        <v>0</v>
      </c>
      <c r="BL308" s="13">
        <f t="shared" si="38"/>
        <v>1</v>
      </c>
      <c r="BM308" s="13">
        <f t="shared" si="39"/>
        <v>1</v>
      </c>
      <c r="BN308" s="13" t="s">
        <v>68</v>
      </c>
      <c r="BO308" s="16">
        <f t="shared" si="40"/>
        <v>1</v>
      </c>
    </row>
    <row r="309">
      <c r="A309" s="13">
        <f t="shared" si="41"/>
        <v>308</v>
      </c>
      <c r="B309" s="14">
        <v>46053.301064687505</v>
      </c>
      <c r="C309" s="13" t="s">
        <v>90</v>
      </c>
      <c r="D309" s="13">
        <f t="shared" si="1"/>
        <v>2</v>
      </c>
      <c r="E309" s="13" t="s">
        <v>68</v>
      </c>
      <c r="F309" s="13">
        <f t="shared" si="2"/>
        <v>1</v>
      </c>
      <c r="G309" s="13" t="s">
        <v>82</v>
      </c>
      <c r="H309" s="13" t="str">
        <f t="shared" si="3"/>
        <v>Urban</v>
      </c>
      <c r="I309" s="13">
        <f t="shared" si="4"/>
        <v>2</v>
      </c>
      <c r="J309" s="13" t="s">
        <v>70</v>
      </c>
      <c r="K309" s="15" t="s">
        <v>100</v>
      </c>
      <c r="L309" s="13">
        <f t="shared" si="5"/>
        <v>3</v>
      </c>
      <c r="M309" s="13" t="s">
        <v>76</v>
      </c>
      <c r="N309" s="13">
        <f t="shared" si="6"/>
        <v>5.5</v>
      </c>
      <c r="O309" s="13" t="s">
        <v>103</v>
      </c>
      <c r="P309" s="13">
        <f t="shared" si="7"/>
        <v>5</v>
      </c>
      <c r="Q309" s="13" t="s">
        <v>85</v>
      </c>
      <c r="R309" s="13">
        <f t="shared" si="8"/>
        <v>4</v>
      </c>
      <c r="S309" s="13" t="s">
        <v>103</v>
      </c>
      <c r="T309" s="13">
        <f t="shared" si="9"/>
        <v>5</v>
      </c>
      <c r="U309" s="13" t="s">
        <v>110</v>
      </c>
      <c r="V309" s="13">
        <f t="shared" si="10"/>
        <v>0.75</v>
      </c>
      <c r="W309" s="13" t="s">
        <v>111</v>
      </c>
      <c r="X309" s="13">
        <f t="shared" si="11"/>
        <v>1</v>
      </c>
      <c r="Y309" s="13">
        <f t="shared" si="12"/>
        <v>1</v>
      </c>
      <c r="Z309" s="13">
        <f t="shared" si="13"/>
        <v>0</v>
      </c>
      <c r="AA309" s="13">
        <f t="shared" si="14"/>
        <v>1</v>
      </c>
      <c r="AB309" s="13" t="s">
        <v>73</v>
      </c>
      <c r="AC309" s="13">
        <f t="shared" si="15"/>
        <v>2</v>
      </c>
      <c r="AD309" s="13" t="s">
        <v>78</v>
      </c>
      <c r="AE309" s="13">
        <f t="shared" si="16"/>
        <v>3</v>
      </c>
      <c r="AF309" s="13" t="s">
        <v>71</v>
      </c>
      <c r="AG309" s="13">
        <f t="shared" si="17"/>
        <v>7.7</v>
      </c>
      <c r="AH309" s="13" t="s">
        <v>85</v>
      </c>
      <c r="AI309" s="13">
        <f t="shared" si="18"/>
        <v>4</v>
      </c>
      <c r="AJ309" s="13" t="s">
        <v>78</v>
      </c>
      <c r="AK309" s="13">
        <f t="shared" si="19"/>
        <v>3</v>
      </c>
      <c r="AL309" s="13" t="s">
        <v>120</v>
      </c>
      <c r="AM309" s="13">
        <f t="shared" si="20"/>
        <v>5</v>
      </c>
      <c r="AN309" s="13" t="s">
        <v>85</v>
      </c>
      <c r="AO309" s="13">
        <f t="shared" si="21"/>
        <v>4</v>
      </c>
      <c r="AP309" s="13" t="s">
        <v>85</v>
      </c>
      <c r="AQ309" s="13">
        <f t="shared" si="22"/>
        <v>4</v>
      </c>
      <c r="AR309" s="13" t="s">
        <v>85</v>
      </c>
      <c r="AS309" s="13">
        <f t="shared" si="23"/>
        <v>4</v>
      </c>
      <c r="AT309" s="13" t="s">
        <v>348</v>
      </c>
      <c r="AU309" s="15">
        <f t="shared" si="24"/>
        <v>1</v>
      </c>
      <c r="AV309" s="15">
        <f t="shared" si="25"/>
        <v>1</v>
      </c>
      <c r="AW309" s="13">
        <f t="shared" si="26"/>
        <v>0</v>
      </c>
      <c r="AX309" s="13">
        <f t="shared" si="27"/>
        <v>1</v>
      </c>
      <c r="AY309" s="13">
        <f t="shared" si="28"/>
        <v>0</v>
      </c>
      <c r="AZ309" s="13">
        <f t="shared" si="29"/>
        <v>1</v>
      </c>
      <c r="BA309" s="13">
        <f t="shared" si="30"/>
        <v>1</v>
      </c>
      <c r="BB309" s="13" t="s">
        <v>88</v>
      </c>
      <c r="BC309" s="13">
        <f t="shared" si="31"/>
        <v>2</v>
      </c>
      <c r="BD309" s="15"/>
      <c r="BE309" s="13" t="str">
        <f t="shared" si="47"/>
        <v>N/A</v>
      </c>
      <c r="BF309" s="13" t="s">
        <v>161</v>
      </c>
      <c r="BG309" s="13">
        <f t="shared" si="33"/>
        <v>0</v>
      </c>
      <c r="BH309" s="13">
        <f t="shared" si="34"/>
        <v>0</v>
      </c>
      <c r="BI309" s="13">
        <f t="shared" si="35"/>
        <v>0</v>
      </c>
      <c r="BJ309" s="13">
        <f t="shared" si="36"/>
        <v>1</v>
      </c>
      <c r="BK309" s="13">
        <f t="shared" si="37"/>
        <v>0</v>
      </c>
      <c r="BL309" s="13">
        <f t="shared" si="38"/>
        <v>0</v>
      </c>
      <c r="BM309" s="13">
        <f t="shared" si="39"/>
        <v>0</v>
      </c>
      <c r="BN309" s="13" t="s">
        <v>68</v>
      </c>
      <c r="BO309" s="16">
        <f t="shared" si="40"/>
        <v>1</v>
      </c>
    </row>
    <row r="310">
      <c r="A310" s="13">
        <f t="shared" si="41"/>
        <v>309</v>
      </c>
      <c r="B310" s="14">
        <v>46053.30224929398</v>
      </c>
      <c r="C310" s="13" t="s">
        <v>90</v>
      </c>
      <c r="D310" s="13">
        <f t="shared" si="1"/>
        <v>2</v>
      </c>
      <c r="E310" s="13" t="s">
        <v>68</v>
      </c>
      <c r="F310" s="13">
        <f t="shared" si="2"/>
        <v>1</v>
      </c>
      <c r="G310" s="13" t="s">
        <v>91</v>
      </c>
      <c r="H310" s="13" t="str">
        <f t="shared" si="3"/>
        <v>Urban</v>
      </c>
      <c r="I310" s="13">
        <f t="shared" si="4"/>
        <v>2</v>
      </c>
      <c r="J310" s="13" t="s">
        <v>70</v>
      </c>
      <c r="K310" s="15" t="s">
        <v>100</v>
      </c>
      <c r="L310" s="13">
        <f t="shared" si="5"/>
        <v>3</v>
      </c>
      <c r="M310" s="13" t="s">
        <v>76</v>
      </c>
      <c r="N310" s="13">
        <f t="shared" si="6"/>
        <v>5.5</v>
      </c>
      <c r="O310" s="13" t="s">
        <v>78</v>
      </c>
      <c r="P310" s="13">
        <f t="shared" si="7"/>
        <v>3</v>
      </c>
      <c r="Q310" s="13" t="s">
        <v>78</v>
      </c>
      <c r="R310" s="13">
        <f t="shared" si="8"/>
        <v>3</v>
      </c>
      <c r="S310" s="13" t="s">
        <v>78</v>
      </c>
      <c r="T310" s="13">
        <f t="shared" si="9"/>
        <v>3</v>
      </c>
      <c r="U310" s="13" t="s">
        <v>96</v>
      </c>
      <c r="V310" s="13">
        <f t="shared" si="10"/>
        <v>2.5</v>
      </c>
      <c r="W310" s="13" t="s">
        <v>143</v>
      </c>
      <c r="X310" s="13">
        <f t="shared" si="11"/>
        <v>1</v>
      </c>
      <c r="Y310" s="13">
        <f t="shared" si="12"/>
        <v>0</v>
      </c>
      <c r="Z310" s="13">
        <f t="shared" si="13"/>
        <v>0</v>
      </c>
      <c r="AA310" s="13">
        <f t="shared" si="14"/>
        <v>0</v>
      </c>
      <c r="AB310" s="13" t="s">
        <v>73</v>
      </c>
      <c r="AC310" s="13">
        <f t="shared" si="15"/>
        <v>2</v>
      </c>
      <c r="AD310" s="13" t="s">
        <v>85</v>
      </c>
      <c r="AE310" s="13">
        <f t="shared" si="16"/>
        <v>4</v>
      </c>
      <c r="AF310" s="13" t="s">
        <v>71</v>
      </c>
      <c r="AG310" s="13">
        <f t="shared" si="17"/>
        <v>7.7</v>
      </c>
      <c r="AH310" s="13" t="s">
        <v>85</v>
      </c>
      <c r="AI310" s="13">
        <f t="shared" si="18"/>
        <v>4</v>
      </c>
      <c r="AJ310" s="13" t="s">
        <v>73</v>
      </c>
      <c r="AK310" s="13">
        <f t="shared" si="19"/>
        <v>2</v>
      </c>
      <c r="AL310" s="13" t="s">
        <v>73</v>
      </c>
      <c r="AM310" s="13">
        <f t="shared" si="20"/>
        <v>2</v>
      </c>
      <c r="AN310" s="13" t="s">
        <v>85</v>
      </c>
      <c r="AO310" s="13">
        <f t="shared" si="21"/>
        <v>4</v>
      </c>
      <c r="AP310" s="13" t="s">
        <v>85</v>
      </c>
      <c r="AQ310" s="13">
        <f t="shared" si="22"/>
        <v>4</v>
      </c>
      <c r="AR310" s="13" t="s">
        <v>78</v>
      </c>
      <c r="AS310" s="13">
        <f t="shared" si="23"/>
        <v>3</v>
      </c>
      <c r="AT310" s="13" t="s">
        <v>104</v>
      </c>
      <c r="AU310" s="15">
        <f t="shared" si="24"/>
        <v>1</v>
      </c>
      <c r="AV310" s="15">
        <f t="shared" si="25"/>
        <v>1</v>
      </c>
      <c r="AW310" s="13">
        <f t="shared" si="26"/>
        <v>1</v>
      </c>
      <c r="AX310" s="13">
        <f t="shared" si="27"/>
        <v>1</v>
      </c>
      <c r="AY310" s="13">
        <f t="shared" si="28"/>
        <v>1</v>
      </c>
      <c r="AZ310" s="13">
        <f t="shared" si="29"/>
        <v>1</v>
      </c>
      <c r="BA310" s="13">
        <f t="shared" si="30"/>
        <v>1</v>
      </c>
      <c r="BB310" s="13" t="s">
        <v>88</v>
      </c>
      <c r="BC310" s="13">
        <f t="shared" si="31"/>
        <v>2</v>
      </c>
      <c r="BD310" s="15"/>
      <c r="BE310" s="13" t="str">
        <f t="shared" si="47"/>
        <v>N/A</v>
      </c>
      <c r="BF310" s="13" t="s">
        <v>235</v>
      </c>
      <c r="BG310" s="13">
        <f t="shared" si="33"/>
        <v>1</v>
      </c>
      <c r="BH310" s="13">
        <f t="shared" si="34"/>
        <v>0</v>
      </c>
      <c r="BI310" s="13">
        <f t="shared" si="35"/>
        <v>1</v>
      </c>
      <c r="BJ310" s="13">
        <f t="shared" si="36"/>
        <v>0</v>
      </c>
      <c r="BK310" s="13">
        <f t="shared" si="37"/>
        <v>1</v>
      </c>
      <c r="BL310" s="13">
        <f t="shared" si="38"/>
        <v>0</v>
      </c>
      <c r="BM310" s="13">
        <f t="shared" si="39"/>
        <v>0</v>
      </c>
      <c r="BN310" s="13" t="s">
        <v>108</v>
      </c>
      <c r="BO310" s="16">
        <f t="shared" si="40"/>
        <v>3</v>
      </c>
    </row>
    <row r="311">
      <c r="A311" s="13">
        <f t="shared" si="41"/>
        <v>310</v>
      </c>
      <c r="B311" s="14">
        <v>46053.38173258102</v>
      </c>
      <c r="C311" s="13" t="s">
        <v>67</v>
      </c>
      <c r="D311" s="13">
        <f t="shared" si="1"/>
        <v>1</v>
      </c>
      <c r="E311" s="13" t="s">
        <v>68</v>
      </c>
      <c r="F311" s="13">
        <f t="shared" si="2"/>
        <v>1</v>
      </c>
      <c r="G311" s="13" t="s">
        <v>69</v>
      </c>
      <c r="H311" s="13" t="str">
        <f t="shared" si="3"/>
        <v>Rural</v>
      </c>
      <c r="I311" s="13">
        <f t="shared" si="4"/>
        <v>1</v>
      </c>
      <c r="J311" s="13" t="s">
        <v>145</v>
      </c>
      <c r="K311" s="15" t="s">
        <v>146</v>
      </c>
      <c r="L311" s="13">
        <f t="shared" si="5"/>
        <v>1</v>
      </c>
      <c r="M311" s="13" t="s">
        <v>71</v>
      </c>
      <c r="N311" s="13">
        <f t="shared" si="6"/>
        <v>7.7</v>
      </c>
      <c r="O311" s="13" t="s">
        <v>78</v>
      </c>
      <c r="P311" s="13">
        <f t="shared" si="7"/>
        <v>3</v>
      </c>
      <c r="Q311" s="13" t="s">
        <v>85</v>
      </c>
      <c r="R311" s="13">
        <f t="shared" si="8"/>
        <v>4</v>
      </c>
      <c r="S311" s="13" t="s">
        <v>85</v>
      </c>
      <c r="T311" s="13">
        <f t="shared" si="9"/>
        <v>4</v>
      </c>
      <c r="U311" s="13" t="s">
        <v>92</v>
      </c>
      <c r="V311" s="13">
        <f t="shared" si="10"/>
        <v>3.5</v>
      </c>
      <c r="W311" s="13" t="s">
        <v>102</v>
      </c>
      <c r="X311" s="13">
        <f t="shared" si="11"/>
        <v>1</v>
      </c>
      <c r="Y311" s="13">
        <f t="shared" si="12"/>
        <v>1</v>
      </c>
      <c r="Z311" s="13">
        <f t="shared" si="13"/>
        <v>1</v>
      </c>
      <c r="AA311" s="13">
        <f t="shared" si="14"/>
        <v>1</v>
      </c>
      <c r="AB311" s="13" t="s">
        <v>85</v>
      </c>
      <c r="AC311" s="13">
        <f t="shared" si="15"/>
        <v>4</v>
      </c>
      <c r="AD311" s="13" t="s">
        <v>78</v>
      </c>
      <c r="AE311" s="13">
        <f t="shared" si="16"/>
        <v>3</v>
      </c>
      <c r="AF311" s="13" t="s">
        <v>71</v>
      </c>
      <c r="AG311" s="13">
        <f t="shared" si="17"/>
        <v>7.7</v>
      </c>
      <c r="AH311" s="13" t="s">
        <v>103</v>
      </c>
      <c r="AI311" s="13">
        <f t="shared" si="18"/>
        <v>5</v>
      </c>
      <c r="AJ311" s="13" t="s">
        <v>78</v>
      </c>
      <c r="AK311" s="13">
        <f t="shared" si="19"/>
        <v>3</v>
      </c>
      <c r="AL311" s="13" t="s">
        <v>73</v>
      </c>
      <c r="AM311" s="13">
        <f t="shared" si="20"/>
        <v>2</v>
      </c>
      <c r="AN311" s="13" t="s">
        <v>85</v>
      </c>
      <c r="AO311" s="13">
        <f t="shared" si="21"/>
        <v>4</v>
      </c>
      <c r="AP311" s="13" t="s">
        <v>73</v>
      </c>
      <c r="AQ311" s="13">
        <f t="shared" si="22"/>
        <v>2</v>
      </c>
      <c r="AR311" s="13" t="s">
        <v>78</v>
      </c>
      <c r="AS311" s="13">
        <f t="shared" si="23"/>
        <v>3</v>
      </c>
      <c r="AT311" s="13" t="s">
        <v>104</v>
      </c>
      <c r="AU311" s="15">
        <f t="shared" si="24"/>
        <v>1</v>
      </c>
      <c r="AV311" s="15">
        <f t="shared" si="25"/>
        <v>1</v>
      </c>
      <c r="AW311" s="13">
        <f t="shared" si="26"/>
        <v>1</v>
      </c>
      <c r="AX311" s="13">
        <f t="shared" si="27"/>
        <v>1</v>
      </c>
      <c r="AY311" s="13">
        <f t="shared" si="28"/>
        <v>1</v>
      </c>
      <c r="AZ311" s="13">
        <f t="shared" si="29"/>
        <v>1</v>
      </c>
      <c r="BA311" s="13">
        <f t="shared" si="30"/>
        <v>1</v>
      </c>
      <c r="BB311" s="13" t="s">
        <v>88</v>
      </c>
      <c r="BC311" s="13">
        <f t="shared" si="31"/>
        <v>2</v>
      </c>
      <c r="BD311" s="15"/>
      <c r="BE311" s="13" t="str">
        <f t="shared" si="47"/>
        <v>N/A</v>
      </c>
      <c r="BF311" s="13" t="s">
        <v>89</v>
      </c>
      <c r="BG311" s="13">
        <f t="shared" si="33"/>
        <v>1</v>
      </c>
      <c r="BH311" s="13">
        <f t="shared" si="34"/>
        <v>1</v>
      </c>
      <c r="BI311" s="13">
        <f t="shared" si="35"/>
        <v>1</v>
      </c>
      <c r="BJ311" s="13">
        <f t="shared" si="36"/>
        <v>1</v>
      </c>
      <c r="BK311" s="13">
        <f t="shared" si="37"/>
        <v>1</v>
      </c>
      <c r="BL311" s="13">
        <f t="shared" si="38"/>
        <v>1</v>
      </c>
      <c r="BM311" s="13">
        <f t="shared" si="39"/>
        <v>1</v>
      </c>
      <c r="BN311" s="13" t="s">
        <v>108</v>
      </c>
      <c r="BO311" s="16">
        <f t="shared" si="40"/>
        <v>3</v>
      </c>
    </row>
    <row r="312">
      <c r="A312" s="13">
        <f t="shared" si="41"/>
        <v>311</v>
      </c>
      <c r="B312" s="14">
        <v>46053.387521620374</v>
      </c>
      <c r="C312" s="13" t="s">
        <v>67</v>
      </c>
      <c r="D312" s="13">
        <f t="shared" si="1"/>
        <v>1</v>
      </c>
      <c r="E312" s="13" t="s">
        <v>68</v>
      </c>
      <c r="F312" s="13">
        <f t="shared" si="2"/>
        <v>1</v>
      </c>
      <c r="G312" s="13" t="s">
        <v>91</v>
      </c>
      <c r="H312" s="13" t="str">
        <f t="shared" si="3"/>
        <v>Urban</v>
      </c>
      <c r="I312" s="13">
        <f t="shared" si="4"/>
        <v>2</v>
      </c>
      <c r="J312" s="13" t="s">
        <v>70</v>
      </c>
      <c r="K312" s="15" t="s">
        <v>100</v>
      </c>
      <c r="L312" s="13">
        <f t="shared" si="5"/>
        <v>3</v>
      </c>
      <c r="M312" s="13" t="s">
        <v>76</v>
      </c>
      <c r="N312" s="13">
        <f t="shared" si="6"/>
        <v>5.5</v>
      </c>
      <c r="O312" s="13" t="s">
        <v>72</v>
      </c>
      <c r="P312" s="13">
        <f t="shared" si="7"/>
        <v>1</v>
      </c>
      <c r="Q312" s="13" t="s">
        <v>85</v>
      </c>
      <c r="R312" s="13">
        <f t="shared" si="8"/>
        <v>4</v>
      </c>
      <c r="S312" s="13" t="s">
        <v>73</v>
      </c>
      <c r="T312" s="13">
        <f t="shared" si="9"/>
        <v>2</v>
      </c>
      <c r="U312" s="13" t="s">
        <v>74</v>
      </c>
      <c r="V312" s="13">
        <f t="shared" si="10"/>
        <v>1.5</v>
      </c>
      <c r="W312" s="13" t="s">
        <v>86</v>
      </c>
      <c r="X312" s="13">
        <f t="shared" si="11"/>
        <v>1</v>
      </c>
      <c r="Y312" s="13">
        <f t="shared" si="12"/>
        <v>1</v>
      </c>
      <c r="Z312" s="13">
        <f t="shared" si="13"/>
        <v>1</v>
      </c>
      <c r="AA312" s="13">
        <f t="shared" si="14"/>
        <v>0</v>
      </c>
      <c r="AB312" s="13" t="s">
        <v>73</v>
      </c>
      <c r="AC312" s="13">
        <f t="shared" si="15"/>
        <v>2</v>
      </c>
      <c r="AD312" s="13" t="s">
        <v>73</v>
      </c>
      <c r="AE312" s="13">
        <f t="shared" si="16"/>
        <v>2</v>
      </c>
      <c r="AF312" s="13" t="s">
        <v>76</v>
      </c>
      <c r="AG312" s="13">
        <f t="shared" si="17"/>
        <v>5.5</v>
      </c>
      <c r="AH312" s="13" t="s">
        <v>85</v>
      </c>
      <c r="AI312" s="13">
        <f t="shared" si="18"/>
        <v>4</v>
      </c>
      <c r="AJ312" s="13" t="s">
        <v>73</v>
      </c>
      <c r="AK312" s="13">
        <f t="shared" si="19"/>
        <v>2</v>
      </c>
      <c r="AL312" s="13" t="s">
        <v>78</v>
      </c>
      <c r="AM312" s="13">
        <f t="shared" si="20"/>
        <v>3</v>
      </c>
      <c r="AN312" s="13" t="s">
        <v>85</v>
      </c>
      <c r="AO312" s="13">
        <f t="shared" si="21"/>
        <v>4</v>
      </c>
      <c r="AP312" s="13" t="s">
        <v>85</v>
      </c>
      <c r="AQ312" s="13">
        <f t="shared" si="22"/>
        <v>4</v>
      </c>
      <c r="AR312" s="13" t="s">
        <v>85</v>
      </c>
      <c r="AS312" s="13">
        <f t="shared" si="23"/>
        <v>4</v>
      </c>
      <c r="AT312" s="13" t="s">
        <v>147</v>
      </c>
      <c r="AU312" s="15">
        <f t="shared" si="24"/>
        <v>1</v>
      </c>
      <c r="AV312" s="15">
        <f t="shared" si="25"/>
        <v>0</v>
      </c>
      <c r="AW312" s="13">
        <f t="shared" si="26"/>
        <v>0</v>
      </c>
      <c r="AX312" s="13">
        <f t="shared" si="27"/>
        <v>0</v>
      </c>
      <c r="AY312" s="13">
        <f t="shared" si="28"/>
        <v>0</v>
      </c>
      <c r="AZ312" s="13">
        <f t="shared" si="29"/>
        <v>0</v>
      </c>
      <c r="BA312" s="13">
        <f t="shared" si="30"/>
        <v>0</v>
      </c>
      <c r="BB312" s="13" t="s">
        <v>88</v>
      </c>
      <c r="BC312" s="13">
        <f t="shared" si="31"/>
        <v>2</v>
      </c>
      <c r="BD312" s="15"/>
      <c r="BE312" s="13" t="str">
        <f t="shared" si="47"/>
        <v>N/A</v>
      </c>
      <c r="BF312" s="13" t="s">
        <v>176</v>
      </c>
      <c r="BG312" s="13">
        <f t="shared" si="33"/>
        <v>1</v>
      </c>
      <c r="BH312" s="13">
        <f t="shared" si="34"/>
        <v>0</v>
      </c>
      <c r="BI312" s="13">
        <f t="shared" si="35"/>
        <v>0</v>
      </c>
      <c r="BJ312" s="13">
        <f t="shared" si="36"/>
        <v>0</v>
      </c>
      <c r="BK312" s="13">
        <f t="shared" si="37"/>
        <v>1</v>
      </c>
      <c r="BL312" s="13">
        <f t="shared" si="38"/>
        <v>0</v>
      </c>
      <c r="BM312" s="13">
        <f t="shared" si="39"/>
        <v>0</v>
      </c>
      <c r="BN312" s="13" t="s">
        <v>108</v>
      </c>
      <c r="BO312" s="16">
        <f t="shared" si="40"/>
        <v>3</v>
      </c>
    </row>
    <row r="313">
      <c r="A313" s="13">
        <f t="shared" si="41"/>
        <v>312</v>
      </c>
      <c r="B313" s="14">
        <v>46053.38838618055</v>
      </c>
      <c r="C313" s="13" t="s">
        <v>90</v>
      </c>
      <c r="D313" s="13">
        <f t="shared" si="1"/>
        <v>2</v>
      </c>
      <c r="E313" s="13" t="s">
        <v>68</v>
      </c>
      <c r="F313" s="13">
        <f t="shared" si="2"/>
        <v>1</v>
      </c>
      <c r="G313" s="13" t="s">
        <v>69</v>
      </c>
      <c r="H313" s="13" t="str">
        <f t="shared" si="3"/>
        <v>Rural</v>
      </c>
      <c r="I313" s="13">
        <f t="shared" si="4"/>
        <v>1</v>
      </c>
      <c r="J313" s="13" t="s">
        <v>145</v>
      </c>
      <c r="K313" s="15" t="s">
        <v>146</v>
      </c>
      <c r="L313" s="13">
        <f t="shared" si="5"/>
        <v>1</v>
      </c>
      <c r="M313" s="13" t="s">
        <v>76</v>
      </c>
      <c r="N313" s="13">
        <f t="shared" si="6"/>
        <v>5.5</v>
      </c>
      <c r="O313" s="15"/>
      <c r="P313" s="13" t="str">
        <f t="shared" si="7"/>
        <v>N/A</v>
      </c>
      <c r="Q313" s="15"/>
      <c r="R313" s="13" t="str">
        <f t="shared" si="8"/>
        <v>N/A</v>
      </c>
      <c r="S313" s="13" t="s">
        <v>72</v>
      </c>
      <c r="T313" s="13">
        <f t="shared" si="9"/>
        <v>1</v>
      </c>
      <c r="U313" s="13" t="s">
        <v>92</v>
      </c>
      <c r="V313" s="13">
        <f t="shared" si="10"/>
        <v>3.5</v>
      </c>
      <c r="W313" s="13" t="s">
        <v>143</v>
      </c>
      <c r="X313" s="13">
        <f t="shared" si="11"/>
        <v>1</v>
      </c>
      <c r="Y313" s="13">
        <f t="shared" si="12"/>
        <v>0</v>
      </c>
      <c r="Z313" s="13">
        <f t="shared" si="13"/>
        <v>0</v>
      </c>
      <c r="AA313" s="13">
        <f t="shared" si="14"/>
        <v>0</v>
      </c>
      <c r="AB313" s="15"/>
      <c r="AC313" s="13" t="str">
        <f t="shared" si="15"/>
        <v>N/A</v>
      </c>
      <c r="AD313" s="13" t="s">
        <v>72</v>
      </c>
      <c r="AE313" s="13">
        <f t="shared" si="16"/>
        <v>1</v>
      </c>
      <c r="AF313" s="13" t="s">
        <v>109</v>
      </c>
      <c r="AG313" s="13">
        <f t="shared" si="17"/>
        <v>9</v>
      </c>
      <c r="AH313" s="13" t="s">
        <v>103</v>
      </c>
      <c r="AI313" s="13">
        <f t="shared" si="18"/>
        <v>5</v>
      </c>
      <c r="AJ313" s="15"/>
      <c r="AK313" s="13" t="str">
        <f t="shared" si="19"/>
        <v>N/A</v>
      </c>
      <c r="AL313" s="15"/>
      <c r="AM313" s="13" t="str">
        <f t="shared" si="20"/>
        <v>N/A</v>
      </c>
      <c r="AN313" s="15"/>
      <c r="AO313" s="13" t="str">
        <f t="shared" si="21"/>
        <v>N/A</v>
      </c>
      <c r="AP313" s="15"/>
      <c r="AQ313" s="13" t="str">
        <f t="shared" si="22"/>
        <v>N/A</v>
      </c>
      <c r="AR313" s="13" t="s">
        <v>77</v>
      </c>
      <c r="AS313" s="13">
        <f t="shared" si="23"/>
        <v>1</v>
      </c>
      <c r="AT313" s="13" t="s">
        <v>349</v>
      </c>
      <c r="AU313" s="15">
        <f t="shared" si="24"/>
        <v>0</v>
      </c>
      <c r="AV313" s="15">
        <f t="shared" si="25"/>
        <v>0</v>
      </c>
      <c r="AW313" s="13">
        <f t="shared" si="26"/>
        <v>0</v>
      </c>
      <c r="AX313" s="13">
        <f t="shared" si="27"/>
        <v>0</v>
      </c>
      <c r="AY313" s="13">
        <f t="shared" si="28"/>
        <v>0</v>
      </c>
      <c r="AZ313" s="13">
        <f t="shared" si="29"/>
        <v>0</v>
      </c>
      <c r="BA313" s="13">
        <f t="shared" si="30"/>
        <v>1</v>
      </c>
      <c r="BB313" s="13" t="s">
        <v>68</v>
      </c>
      <c r="BC313" s="13">
        <f t="shared" si="31"/>
        <v>1</v>
      </c>
      <c r="BD313" s="13" t="s">
        <v>350</v>
      </c>
      <c r="BE313" s="13" t="str">
        <f t="shared" si="47"/>
        <v>N/A</v>
      </c>
      <c r="BF313" s="13" t="s">
        <v>107</v>
      </c>
      <c r="BG313" s="13">
        <f t="shared" si="33"/>
        <v>1</v>
      </c>
      <c r="BH313" s="13">
        <f t="shared" si="34"/>
        <v>0</v>
      </c>
      <c r="BI313" s="13">
        <f t="shared" si="35"/>
        <v>0</v>
      </c>
      <c r="BJ313" s="13">
        <f t="shared" si="36"/>
        <v>0</v>
      </c>
      <c r="BK313" s="13">
        <f t="shared" si="37"/>
        <v>0</v>
      </c>
      <c r="BL313" s="13">
        <f t="shared" si="38"/>
        <v>0</v>
      </c>
      <c r="BM313" s="13">
        <f t="shared" si="39"/>
        <v>0</v>
      </c>
      <c r="BN313" s="13" t="s">
        <v>68</v>
      </c>
      <c r="BO313" s="16">
        <f t="shared" si="40"/>
        <v>1</v>
      </c>
    </row>
    <row r="314">
      <c r="A314" s="13">
        <f t="shared" si="41"/>
        <v>313</v>
      </c>
      <c r="B314" s="14">
        <v>46053.41455894676</v>
      </c>
      <c r="C314" s="13" t="s">
        <v>90</v>
      </c>
      <c r="D314" s="13">
        <f t="shared" si="1"/>
        <v>2</v>
      </c>
      <c r="E314" s="13" t="s">
        <v>68</v>
      </c>
      <c r="F314" s="13">
        <f t="shared" si="2"/>
        <v>1</v>
      </c>
      <c r="G314" s="13" t="s">
        <v>82</v>
      </c>
      <c r="H314" s="13" t="str">
        <f t="shared" si="3"/>
        <v>Urban</v>
      </c>
      <c r="I314" s="13">
        <f t="shared" si="4"/>
        <v>2</v>
      </c>
      <c r="J314" s="13" t="s">
        <v>70</v>
      </c>
      <c r="K314" s="15" t="s">
        <v>100</v>
      </c>
      <c r="L314" s="13">
        <f t="shared" si="5"/>
        <v>3</v>
      </c>
      <c r="M314" s="13" t="s">
        <v>71</v>
      </c>
      <c r="N314" s="13">
        <f t="shared" si="6"/>
        <v>7.7</v>
      </c>
      <c r="O314" s="13" t="s">
        <v>85</v>
      </c>
      <c r="P314" s="13">
        <f t="shared" si="7"/>
        <v>4</v>
      </c>
      <c r="Q314" s="13" t="s">
        <v>85</v>
      </c>
      <c r="R314" s="13">
        <f t="shared" si="8"/>
        <v>4</v>
      </c>
      <c r="S314" s="13" t="s">
        <v>85</v>
      </c>
      <c r="T314" s="13">
        <f t="shared" si="9"/>
        <v>4</v>
      </c>
      <c r="U314" s="13" t="s">
        <v>110</v>
      </c>
      <c r="V314" s="13">
        <f t="shared" si="10"/>
        <v>0.75</v>
      </c>
      <c r="W314" s="13" t="s">
        <v>93</v>
      </c>
      <c r="X314" s="13">
        <f t="shared" si="11"/>
        <v>0</v>
      </c>
      <c r="Y314" s="13">
        <f t="shared" si="12"/>
        <v>1</v>
      </c>
      <c r="Z314" s="13">
        <f t="shared" si="13"/>
        <v>0</v>
      </c>
      <c r="AA314" s="13">
        <f t="shared" si="14"/>
        <v>0</v>
      </c>
      <c r="AB314" s="13" t="s">
        <v>85</v>
      </c>
      <c r="AC314" s="13">
        <f t="shared" si="15"/>
        <v>4</v>
      </c>
      <c r="AD314" s="13" t="s">
        <v>85</v>
      </c>
      <c r="AE314" s="13">
        <f t="shared" si="16"/>
        <v>4</v>
      </c>
      <c r="AF314" s="13" t="s">
        <v>109</v>
      </c>
      <c r="AG314" s="13">
        <f t="shared" si="17"/>
        <v>9</v>
      </c>
      <c r="AH314" s="13" t="s">
        <v>103</v>
      </c>
      <c r="AI314" s="13">
        <f t="shared" si="18"/>
        <v>5</v>
      </c>
      <c r="AJ314" s="13" t="s">
        <v>85</v>
      </c>
      <c r="AK314" s="13">
        <f t="shared" si="19"/>
        <v>4</v>
      </c>
      <c r="AL314" s="13" t="s">
        <v>85</v>
      </c>
      <c r="AM314" s="13">
        <f t="shared" si="20"/>
        <v>4</v>
      </c>
      <c r="AN314" s="13" t="s">
        <v>85</v>
      </c>
      <c r="AO314" s="13">
        <f t="shared" si="21"/>
        <v>4</v>
      </c>
      <c r="AP314" s="13" t="s">
        <v>85</v>
      </c>
      <c r="AQ314" s="13">
        <f t="shared" si="22"/>
        <v>4</v>
      </c>
      <c r="AR314" s="13" t="s">
        <v>85</v>
      </c>
      <c r="AS314" s="13">
        <f t="shared" si="23"/>
        <v>4</v>
      </c>
      <c r="AT314" s="13" t="s">
        <v>351</v>
      </c>
      <c r="AU314" s="15">
        <f t="shared" si="24"/>
        <v>0</v>
      </c>
      <c r="AV314" s="15">
        <f t="shared" si="25"/>
        <v>1</v>
      </c>
      <c r="AW314" s="13">
        <f t="shared" si="26"/>
        <v>0</v>
      </c>
      <c r="AX314" s="13">
        <f t="shared" si="27"/>
        <v>1</v>
      </c>
      <c r="AY314" s="13">
        <f t="shared" si="28"/>
        <v>1</v>
      </c>
      <c r="AZ314" s="13">
        <f t="shared" si="29"/>
        <v>1</v>
      </c>
      <c r="BA314" s="13">
        <f t="shared" si="30"/>
        <v>0</v>
      </c>
      <c r="BB314" s="13" t="s">
        <v>88</v>
      </c>
      <c r="BC314" s="13">
        <f t="shared" si="31"/>
        <v>2</v>
      </c>
      <c r="BD314" s="15"/>
      <c r="BE314" s="13" t="str">
        <f t="shared" si="47"/>
        <v>N/A</v>
      </c>
      <c r="BF314" s="13" t="s">
        <v>113</v>
      </c>
      <c r="BG314" s="13">
        <f t="shared" si="33"/>
        <v>0</v>
      </c>
      <c r="BH314" s="13">
        <f t="shared" si="34"/>
        <v>0</v>
      </c>
      <c r="BI314" s="13">
        <f t="shared" si="35"/>
        <v>0</v>
      </c>
      <c r="BJ314" s="13">
        <f t="shared" si="36"/>
        <v>0</v>
      </c>
      <c r="BK314" s="13">
        <f t="shared" si="37"/>
        <v>0</v>
      </c>
      <c r="BL314" s="13">
        <f t="shared" si="38"/>
        <v>0</v>
      </c>
      <c r="BM314" s="13">
        <f t="shared" si="39"/>
        <v>1</v>
      </c>
      <c r="BN314" s="13" t="s">
        <v>68</v>
      </c>
      <c r="BO314" s="16">
        <f t="shared" si="40"/>
        <v>1</v>
      </c>
    </row>
    <row r="315">
      <c r="A315" s="13">
        <f t="shared" si="41"/>
        <v>314</v>
      </c>
      <c r="B315" s="14">
        <v>46053.45540796296</v>
      </c>
      <c r="C315" s="13" t="s">
        <v>67</v>
      </c>
      <c r="D315" s="13">
        <f t="shared" si="1"/>
        <v>1</v>
      </c>
      <c r="E315" s="13" t="s">
        <v>68</v>
      </c>
      <c r="F315" s="13">
        <f t="shared" si="2"/>
        <v>1</v>
      </c>
      <c r="G315" s="13" t="s">
        <v>91</v>
      </c>
      <c r="H315" s="13" t="str">
        <f t="shared" si="3"/>
        <v>Urban</v>
      </c>
      <c r="I315" s="13">
        <f t="shared" si="4"/>
        <v>2</v>
      </c>
      <c r="J315" s="13" t="s">
        <v>145</v>
      </c>
      <c r="K315" s="15" t="s">
        <v>146</v>
      </c>
      <c r="L315" s="13">
        <f t="shared" si="5"/>
        <v>1</v>
      </c>
      <c r="M315" s="13" t="s">
        <v>109</v>
      </c>
      <c r="N315" s="13">
        <f t="shared" si="6"/>
        <v>9</v>
      </c>
      <c r="O315" s="13" t="s">
        <v>78</v>
      </c>
      <c r="P315" s="13">
        <f t="shared" si="7"/>
        <v>3</v>
      </c>
      <c r="Q315" s="13" t="s">
        <v>73</v>
      </c>
      <c r="R315" s="13">
        <f t="shared" si="8"/>
        <v>2</v>
      </c>
      <c r="S315" s="13" t="s">
        <v>85</v>
      </c>
      <c r="T315" s="13">
        <f t="shared" si="9"/>
        <v>4</v>
      </c>
      <c r="U315" s="13" t="s">
        <v>96</v>
      </c>
      <c r="V315" s="13">
        <f t="shared" si="10"/>
        <v>2.5</v>
      </c>
      <c r="W315" s="13" t="s">
        <v>174</v>
      </c>
      <c r="X315" s="13">
        <f t="shared" si="11"/>
        <v>1</v>
      </c>
      <c r="Y315" s="13">
        <f t="shared" si="12"/>
        <v>1</v>
      </c>
      <c r="Z315" s="13">
        <f t="shared" si="13"/>
        <v>1</v>
      </c>
      <c r="AA315" s="13">
        <f t="shared" si="14"/>
        <v>1</v>
      </c>
      <c r="AB315" s="13" t="s">
        <v>103</v>
      </c>
      <c r="AC315" s="13">
        <f t="shared" si="15"/>
        <v>5</v>
      </c>
      <c r="AD315" s="13" t="s">
        <v>85</v>
      </c>
      <c r="AE315" s="13">
        <f t="shared" si="16"/>
        <v>4</v>
      </c>
      <c r="AF315" s="13" t="s">
        <v>76</v>
      </c>
      <c r="AG315" s="13">
        <f t="shared" si="17"/>
        <v>5.5</v>
      </c>
      <c r="AH315" s="13" t="s">
        <v>78</v>
      </c>
      <c r="AI315" s="13">
        <f t="shared" si="18"/>
        <v>3</v>
      </c>
      <c r="AJ315" s="13" t="s">
        <v>85</v>
      </c>
      <c r="AK315" s="13">
        <f t="shared" si="19"/>
        <v>4</v>
      </c>
      <c r="AL315" s="13" t="s">
        <v>78</v>
      </c>
      <c r="AM315" s="13">
        <f t="shared" si="20"/>
        <v>3</v>
      </c>
      <c r="AN315" s="13" t="s">
        <v>120</v>
      </c>
      <c r="AO315" s="13">
        <f t="shared" si="21"/>
        <v>5</v>
      </c>
      <c r="AP315" s="13" t="s">
        <v>85</v>
      </c>
      <c r="AQ315" s="13">
        <f t="shared" si="22"/>
        <v>4</v>
      </c>
      <c r="AR315" s="13" t="s">
        <v>85</v>
      </c>
      <c r="AS315" s="13">
        <f t="shared" si="23"/>
        <v>4</v>
      </c>
      <c r="AT315" s="13" t="s">
        <v>331</v>
      </c>
      <c r="AU315" s="15">
        <f t="shared" si="24"/>
        <v>1</v>
      </c>
      <c r="AV315" s="15">
        <f t="shared" si="25"/>
        <v>1</v>
      </c>
      <c r="AW315" s="13">
        <f t="shared" si="26"/>
        <v>1</v>
      </c>
      <c r="AX315" s="13">
        <f t="shared" si="27"/>
        <v>0</v>
      </c>
      <c r="AY315" s="13">
        <f t="shared" si="28"/>
        <v>1</v>
      </c>
      <c r="AZ315" s="13">
        <f t="shared" si="29"/>
        <v>1</v>
      </c>
      <c r="BA315" s="13">
        <f t="shared" si="30"/>
        <v>1</v>
      </c>
      <c r="BB315" s="13" t="s">
        <v>68</v>
      </c>
      <c r="BC315" s="13">
        <f t="shared" si="31"/>
        <v>1</v>
      </c>
      <c r="BD315" s="13" t="s">
        <v>292</v>
      </c>
      <c r="BE315" s="13" t="str">
        <f t="shared" si="47"/>
        <v>N/A</v>
      </c>
      <c r="BF315" s="13" t="s">
        <v>260</v>
      </c>
      <c r="BG315" s="13">
        <f t="shared" si="33"/>
        <v>1</v>
      </c>
      <c r="BH315" s="13">
        <f t="shared" si="34"/>
        <v>1</v>
      </c>
      <c r="BI315" s="13">
        <f t="shared" si="35"/>
        <v>1</v>
      </c>
      <c r="BJ315" s="13">
        <f t="shared" si="36"/>
        <v>1</v>
      </c>
      <c r="BK315" s="13">
        <f t="shared" si="37"/>
        <v>1</v>
      </c>
      <c r="BL315" s="13">
        <f t="shared" si="38"/>
        <v>1</v>
      </c>
      <c r="BM315" s="13">
        <f t="shared" si="39"/>
        <v>1</v>
      </c>
      <c r="BN315" s="13" t="s">
        <v>88</v>
      </c>
      <c r="BO315" s="16">
        <f t="shared" si="40"/>
        <v>2</v>
      </c>
    </row>
    <row r="316">
      <c r="A316" s="13">
        <f t="shared" si="41"/>
        <v>315</v>
      </c>
      <c r="B316" s="14">
        <v>46053.47120484954</v>
      </c>
      <c r="C316" s="13" t="s">
        <v>90</v>
      </c>
      <c r="D316" s="13">
        <f t="shared" si="1"/>
        <v>2</v>
      </c>
      <c r="E316" s="13" t="s">
        <v>68</v>
      </c>
      <c r="F316" s="13">
        <f t="shared" si="2"/>
        <v>1</v>
      </c>
      <c r="G316" s="13" t="s">
        <v>91</v>
      </c>
      <c r="H316" s="13" t="str">
        <f t="shared" si="3"/>
        <v>Urban</v>
      </c>
      <c r="I316" s="13">
        <f t="shared" si="4"/>
        <v>2</v>
      </c>
      <c r="J316" s="13" t="s">
        <v>145</v>
      </c>
      <c r="K316" s="15" t="s">
        <v>146</v>
      </c>
      <c r="L316" s="13">
        <f t="shared" si="5"/>
        <v>1</v>
      </c>
      <c r="M316" s="13" t="s">
        <v>109</v>
      </c>
      <c r="N316" s="13">
        <f t="shared" si="6"/>
        <v>9</v>
      </c>
      <c r="O316" s="13" t="s">
        <v>85</v>
      </c>
      <c r="P316" s="13">
        <f t="shared" si="7"/>
        <v>4</v>
      </c>
      <c r="Q316" s="13" t="s">
        <v>73</v>
      </c>
      <c r="R316" s="13">
        <f t="shared" si="8"/>
        <v>2</v>
      </c>
      <c r="S316" s="13" t="s">
        <v>78</v>
      </c>
      <c r="T316" s="13">
        <f t="shared" si="9"/>
        <v>3</v>
      </c>
      <c r="U316" s="13" t="s">
        <v>92</v>
      </c>
      <c r="V316" s="13">
        <f t="shared" si="10"/>
        <v>3.5</v>
      </c>
      <c r="W316" s="13" t="s">
        <v>105</v>
      </c>
      <c r="X316" s="13">
        <f t="shared" si="11"/>
        <v>1</v>
      </c>
      <c r="Y316" s="13">
        <f t="shared" si="12"/>
        <v>1</v>
      </c>
      <c r="Z316" s="13">
        <f t="shared" si="13"/>
        <v>0</v>
      </c>
      <c r="AA316" s="13">
        <f t="shared" si="14"/>
        <v>0</v>
      </c>
      <c r="AB316" s="13" t="s">
        <v>85</v>
      </c>
      <c r="AC316" s="13">
        <f t="shared" si="15"/>
        <v>4</v>
      </c>
      <c r="AD316" s="13" t="s">
        <v>85</v>
      </c>
      <c r="AE316" s="13">
        <f t="shared" si="16"/>
        <v>4</v>
      </c>
      <c r="AF316" s="13" t="s">
        <v>76</v>
      </c>
      <c r="AG316" s="13">
        <f t="shared" si="17"/>
        <v>5.5</v>
      </c>
      <c r="AH316" s="13" t="s">
        <v>73</v>
      </c>
      <c r="AI316" s="13">
        <f t="shared" si="18"/>
        <v>2</v>
      </c>
      <c r="AJ316" s="13" t="s">
        <v>78</v>
      </c>
      <c r="AK316" s="13">
        <f t="shared" si="19"/>
        <v>3</v>
      </c>
      <c r="AL316" s="13" t="s">
        <v>73</v>
      </c>
      <c r="AM316" s="13">
        <f t="shared" si="20"/>
        <v>2</v>
      </c>
      <c r="AN316" s="13" t="s">
        <v>120</v>
      </c>
      <c r="AO316" s="13">
        <f t="shared" si="21"/>
        <v>5</v>
      </c>
      <c r="AP316" s="13" t="s">
        <v>120</v>
      </c>
      <c r="AQ316" s="13">
        <f t="shared" si="22"/>
        <v>5</v>
      </c>
      <c r="AR316" s="13" t="s">
        <v>120</v>
      </c>
      <c r="AS316" s="13">
        <f t="shared" si="23"/>
        <v>5</v>
      </c>
      <c r="AT316" s="13" t="s">
        <v>203</v>
      </c>
      <c r="AU316" s="15">
        <f t="shared" si="24"/>
        <v>1</v>
      </c>
      <c r="AV316" s="15">
        <f t="shared" si="25"/>
        <v>1</v>
      </c>
      <c r="AW316" s="13">
        <f t="shared" si="26"/>
        <v>1</v>
      </c>
      <c r="AX316" s="13">
        <f t="shared" si="27"/>
        <v>0</v>
      </c>
      <c r="AY316" s="13">
        <f t="shared" si="28"/>
        <v>1</v>
      </c>
      <c r="AZ316" s="13">
        <f t="shared" si="29"/>
        <v>1</v>
      </c>
      <c r="BA316" s="13">
        <f t="shared" si="30"/>
        <v>0</v>
      </c>
      <c r="BB316" s="13" t="s">
        <v>88</v>
      </c>
      <c r="BC316" s="13">
        <f t="shared" si="31"/>
        <v>2</v>
      </c>
      <c r="BD316" s="15"/>
      <c r="BE316" s="13" t="str">
        <f t="shared" si="47"/>
        <v>N/A</v>
      </c>
      <c r="BF316" s="13" t="s">
        <v>184</v>
      </c>
      <c r="BG316" s="13">
        <f t="shared" si="33"/>
        <v>0</v>
      </c>
      <c r="BH316" s="13">
        <f t="shared" si="34"/>
        <v>0</v>
      </c>
      <c r="BI316" s="13">
        <f t="shared" si="35"/>
        <v>1</v>
      </c>
      <c r="BJ316" s="13">
        <f t="shared" si="36"/>
        <v>0</v>
      </c>
      <c r="BK316" s="13">
        <f t="shared" si="37"/>
        <v>1</v>
      </c>
      <c r="BL316" s="13">
        <f t="shared" si="38"/>
        <v>0</v>
      </c>
      <c r="BM316" s="13">
        <f t="shared" si="39"/>
        <v>0</v>
      </c>
      <c r="BN316" s="13" t="s">
        <v>108</v>
      </c>
      <c r="BO316" s="16">
        <f t="shared" si="40"/>
        <v>3</v>
      </c>
    </row>
    <row r="317">
      <c r="A317" s="13">
        <f t="shared" si="41"/>
        <v>316</v>
      </c>
      <c r="B317" s="14">
        <v>46053.49262800926</v>
      </c>
      <c r="C317" s="13" t="s">
        <v>90</v>
      </c>
      <c r="D317" s="13">
        <f t="shared" si="1"/>
        <v>2</v>
      </c>
      <c r="E317" s="13" t="s">
        <v>68</v>
      </c>
      <c r="F317" s="13">
        <f t="shared" si="2"/>
        <v>1</v>
      </c>
      <c r="G317" s="13" t="s">
        <v>82</v>
      </c>
      <c r="H317" s="13" t="str">
        <f t="shared" si="3"/>
        <v>Urban</v>
      </c>
      <c r="I317" s="13">
        <f t="shared" si="4"/>
        <v>2</v>
      </c>
      <c r="J317" s="13" t="s">
        <v>70</v>
      </c>
      <c r="K317" s="15" t="s">
        <v>100</v>
      </c>
      <c r="L317" s="13">
        <f t="shared" si="5"/>
        <v>3</v>
      </c>
      <c r="M317" s="13" t="s">
        <v>71</v>
      </c>
      <c r="N317" s="13">
        <f t="shared" si="6"/>
        <v>7.7</v>
      </c>
      <c r="O317" s="13" t="s">
        <v>73</v>
      </c>
      <c r="P317" s="13">
        <f t="shared" si="7"/>
        <v>2</v>
      </c>
      <c r="Q317" s="13" t="s">
        <v>78</v>
      </c>
      <c r="R317" s="13">
        <f t="shared" si="8"/>
        <v>3</v>
      </c>
      <c r="S317" s="13" t="s">
        <v>73</v>
      </c>
      <c r="T317" s="13">
        <f t="shared" si="9"/>
        <v>2</v>
      </c>
      <c r="U317" s="13" t="s">
        <v>92</v>
      </c>
      <c r="V317" s="13">
        <f t="shared" si="10"/>
        <v>3.5</v>
      </c>
      <c r="W317" s="13" t="s">
        <v>97</v>
      </c>
      <c r="X317" s="13">
        <f t="shared" si="11"/>
        <v>1</v>
      </c>
      <c r="Y317" s="13">
        <f t="shared" si="12"/>
        <v>0</v>
      </c>
      <c r="Z317" s="13">
        <f t="shared" si="13"/>
        <v>1</v>
      </c>
      <c r="AA317" s="13">
        <f t="shared" si="14"/>
        <v>0</v>
      </c>
      <c r="AB317" s="13" t="s">
        <v>73</v>
      </c>
      <c r="AC317" s="13">
        <f t="shared" si="15"/>
        <v>2</v>
      </c>
      <c r="AD317" s="13" t="s">
        <v>78</v>
      </c>
      <c r="AE317" s="13">
        <f t="shared" si="16"/>
        <v>3</v>
      </c>
      <c r="AF317" s="13" t="s">
        <v>71</v>
      </c>
      <c r="AG317" s="13">
        <f t="shared" si="17"/>
        <v>7.7</v>
      </c>
      <c r="AH317" s="13" t="s">
        <v>78</v>
      </c>
      <c r="AI317" s="13">
        <f t="shared" si="18"/>
        <v>3</v>
      </c>
      <c r="AJ317" s="13" t="s">
        <v>73</v>
      </c>
      <c r="AK317" s="13">
        <f t="shared" si="19"/>
        <v>2</v>
      </c>
      <c r="AL317" s="13" t="s">
        <v>85</v>
      </c>
      <c r="AM317" s="13">
        <f t="shared" si="20"/>
        <v>4</v>
      </c>
      <c r="AN317" s="13" t="s">
        <v>78</v>
      </c>
      <c r="AO317" s="13">
        <f t="shared" si="21"/>
        <v>3</v>
      </c>
      <c r="AP317" s="13" t="s">
        <v>73</v>
      </c>
      <c r="AQ317" s="13">
        <f t="shared" si="22"/>
        <v>2</v>
      </c>
      <c r="AR317" s="13" t="s">
        <v>78</v>
      </c>
      <c r="AS317" s="13">
        <f t="shared" si="23"/>
        <v>3</v>
      </c>
      <c r="AT317" s="13" t="s">
        <v>269</v>
      </c>
      <c r="AU317" s="15">
        <f t="shared" si="24"/>
        <v>0</v>
      </c>
      <c r="AV317" s="15">
        <f t="shared" si="25"/>
        <v>1</v>
      </c>
      <c r="AW317" s="13">
        <f t="shared" si="26"/>
        <v>0</v>
      </c>
      <c r="AX317" s="13">
        <f t="shared" si="27"/>
        <v>0</v>
      </c>
      <c r="AY317" s="13">
        <f t="shared" si="28"/>
        <v>1</v>
      </c>
      <c r="AZ317" s="13">
        <f t="shared" si="29"/>
        <v>1</v>
      </c>
      <c r="BA317" s="13">
        <f t="shared" si="30"/>
        <v>0</v>
      </c>
      <c r="BB317" s="13" t="s">
        <v>68</v>
      </c>
      <c r="BC317" s="13">
        <f t="shared" si="31"/>
        <v>1</v>
      </c>
      <c r="BD317" s="15"/>
      <c r="BE317" s="13" t="str">
        <f t="shared" si="47"/>
        <v>N/A</v>
      </c>
      <c r="BF317" s="13" t="s">
        <v>352</v>
      </c>
      <c r="BG317" s="13">
        <f t="shared" si="33"/>
        <v>0</v>
      </c>
      <c r="BH317" s="13">
        <f t="shared" si="34"/>
        <v>1</v>
      </c>
      <c r="BI317" s="13">
        <f t="shared" si="35"/>
        <v>0</v>
      </c>
      <c r="BJ317" s="13">
        <f t="shared" si="36"/>
        <v>1</v>
      </c>
      <c r="BK317" s="13">
        <f t="shared" si="37"/>
        <v>0</v>
      </c>
      <c r="BL317" s="13">
        <f t="shared" si="38"/>
        <v>0</v>
      </c>
      <c r="BM317" s="13">
        <f t="shared" si="39"/>
        <v>0</v>
      </c>
      <c r="BN317" s="13" t="s">
        <v>68</v>
      </c>
      <c r="BO317" s="16">
        <f t="shared" si="40"/>
        <v>1</v>
      </c>
    </row>
    <row r="318">
      <c r="A318" s="13">
        <f t="shared" si="41"/>
        <v>317</v>
      </c>
      <c r="B318" s="14">
        <v>46053.50057354166</v>
      </c>
      <c r="C318" s="13" t="s">
        <v>67</v>
      </c>
      <c r="D318" s="13">
        <f t="shared" si="1"/>
        <v>1</v>
      </c>
      <c r="E318" s="13" t="s">
        <v>68</v>
      </c>
      <c r="F318" s="13">
        <f t="shared" si="2"/>
        <v>1</v>
      </c>
      <c r="G318" s="13" t="s">
        <v>82</v>
      </c>
      <c r="H318" s="13" t="str">
        <f t="shared" si="3"/>
        <v>Urban</v>
      </c>
      <c r="I318" s="13">
        <f t="shared" si="4"/>
        <v>2</v>
      </c>
      <c r="J318" s="13" t="s">
        <v>83</v>
      </c>
      <c r="K318" s="15" t="s">
        <v>84</v>
      </c>
      <c r="L318" s="13">
        <f t="shared" si="5"/>
        <v>2</v>
      </c>
      <c r="M318" s="13" t="s">
        <v>71</v>
      </c>
      <c r="N318" s="13">
        <f t="shared" si="6"/>
        <v>7.7</v>
      </c>
      <c r="O318" s="13" t="s">
        <v>85</v>
      </c>
      <c r="P318" s="13">
        <f t="shared" si="7"/>
        <v>4</v>
      </c>
      <c r="Q318" s="13" t="s">
        <v>72</v>
      </c>
      <c r="R318" s="13">
        <f t="shared" si="8"/>
        <v>1</v>
      </c>
      <c r="S318" s="13" t="s">
        <v>85</v>
      </c>
      <c r="T318" s="13">
        <f t="shared" si="9"/>
        <v>4</v>
      </c>
      <c r="U318" s="13" t="s">
        <v>74</v>
      </c>
      <c r="V318" s="13">
        <f t="shared" si="10"/>
        <v>1.5</v>
      </c>
      <c r="W318" s="13" t="s">
        <v>353</v>
      </c>
      <c r="X318" s="13">
        <f t="shared" si="11"/>
        <v>0</v>
      </c>
      <c r="Y318" s="13">
        <f t="shared" si="12"/>
        <v>1</v>
      </c>
      <c r="Z318" s="13">
        <f t="shared" si="13"/>
        <v>0</v>
      </c>
      <c r="AA318" s="13">
        <f t="shared" si="14"/>
        <v>1</v>
      </c>
      <c r="AB318" s="13" t="s">
        <v>78</v>
      </c>
      <c r="AC318" s="13">
        <f t="shared" si="15"/>
        <v>3</v>
      </c>
      <c r="AD318" s="13" t="s">
        <v>78</v>
      </c>
      <c r="AE318" s="13">
        <f t="shared" si="16"/>
        <v>3</v>
      </c>
      <c r="AF318" s="13" t="s">
        <v>76</v>
      </c>
      <c r="AG318" s="13">
        <f t="shared" si="17"/>
        <v>5.5</v>
      </c>
      <c r="AH318" s="13" t="s">
        <v>72</v>
      </c>
      <c r="AI318" s="13">
        <f t="shared" si="18"/>
        <v>1</v>
      </c>
      <c r="AJ318" s="13" t="s">
        <v>120</v>
      </c>
      <c r="AK318" s="13">
        <f t="shared" si="19"/>
        <v>5</v>
      </c>
      <c r="AL318" s="13" t="s">
        <v>78</v>
      </c>
      <c r="AM318" s="13">
        <f t="shared" si="20"/>
        <v>3</v>
      </c>
      <c r="AN318" s="13" t="s">
        <v>73</v>
      </c>
      <c r="AO318" s="13">
        <f t="shared" si="21"/>
        <v>2</v>
      </c>
      <c r="AP318" s="13" t="s">
        <v>78</v>
      </c>
      <c r="AQ318" s="13">
        <f t="shared" si="22"/>
        <v>3</v>
      </c>
      <c r="AR318" s="13" t="s">
        <v>78</v>
      </c>
      <c r="AS318" s="13">
        <f t="shared" si="23"/>
        <v>3</v>
      </c>
      <c r="AT318" s="13" t="s">
        <v>354</v>
      </c>
      <c r="AU318" s="15">
        <f t="shared" si="24"/>
        <v>0</v>
      </c>
      <c r="AV318" s="15">
        <f t="shared" si="25"/>
        <v>1</v>
      </c>
      <c r="AW318" s="13">
        <f t="shared" si="26"/>
        <v>0</v>
      </c>
      <c r="AX318" s="13">
        <f t="shared" si="27"/>
        <v>1</v>
      </c>
      <c r="AY318" s="13">
        <f t="shared" si="28"/>
        <v>0</v>
      </c>
      <c r="AZ318" s="13">
        <f t="shared" si="29"/>
        <v>0</v>
      </c>
      <c r="BA318" s="13">
        <f t="shared" si="30"/>
        <v>0</v>
      </c>
      <c r="BB318" s="13" t="s">
        <v>88</v>
      </c>
      <c r="BC318" s="13">
        <f t="shared" si="31"/>
        <v>2</v>
      </c>
      <c r="BD318" s="15"/>
      <c r="BE318" s="13" t="str">
        <f t="shared" si="47"/>
        <v>N/A</v>
      </c>
      <c r="BF318" s="15"/>
      <c r="BG318" s="13">
        <f t="shared" si="33"/>
        <v>0</v>
      </c>
      <c r="BH318" s="13">
        <f t="shared" si="34"/>
        <v>0</v>
      </c>
      <c r="BI318" s="13">
        <f t="shared" si="35"/>
        <v>0</v>
      </c>
      <c r="BJ318" s="13">
        <f t="shared" si="36"/>
        <v>0</v>
      </c>
      <c r="BK318" s="13">
        <f t="shared" si="37"/>
        <v>0</v>
      </c>
      <c r="BL318" s="13">
        <f t="shared" si="38"/>
        <v>0</v>
      </c>
      <c r="BM318" s="13">
        <f t="shared" si="39"/>
        <v>0</v>
      </c>
      <c r="BN318" s="13" t="s">
        <v>108</v>
      </c>
      <c r="BO318" s="16">
        <f t="shared" si="40"/>
        <v>3</v>
      </c>
    </row>
    <row r="319">
      <c r="A319" s="13">
        <f t="shared" si="41"/>
        <v>318</v>
      </c>
      <c r="B319" s="14">
        <v>46053.53277568287</v>
      </c>
      <c r="C319" s="13" t="s">
        <v>67</v>
      </c>
      <c r="D319" s="13">
        <f t="shared" si="1"/>
        <v>1</v>
      </c>
      <c r="E319" s="13" t="s">
        <v>68</v>
      </c>
      <c r="F319" s="13">
        <f t="shared" si="2"/>
        <v>1</v>
      </c>
      <c r="G319" s="13" t="s">
        <v>82</v>
      </c>
      <c r="H319" s="13" t="str">
        <f t="shared" si="3"/>
        <v>Urban</v>
      </c>
      <c r="I319" s="13">
        <f t="shared" si="4"/>
        <v>2</v>
      </c>
      <c r="J319" s="13" t="s">
        <v>70</v>
      </c>
      <c r="K319" s="15" t="s">
        <v>100</v>
      </c>
      <c r="L319" s="13">
        <f t="shared" si="5"/>
        <v>3</v>
      </c>
      <c r="M319" s="13" t="s">
        <v>109</v>
      </c>
      <c r="N319" s="13">
        <f t="shared" si="6"/>
        <v>9</v>
      </c>
      <c r="O319" s="13" t="s">
        <v>78</v>
      </c>
      <c r="P319" s="13">
        <f t="shared" si="7"/>
        <v>3</v>
      </c>
      <c r="Q319" s="13" t="s">
        <v>85</v>
      </c>
      <c r="R319" s="13">
        <f t="shared" si="8"/>
        <v>4</v>
      </c>
      <c r="S319" s="13" t="s">
        <v>78</v>
      </c>
      <c r="T319" s="13">
        <f t="shared" si="9"/>
        <v>3</v>
      </c>
      <c r="U319" s="13" t="s">
        <v>110</v>
      </c>
      <c r="V319" s="13">
        <f t="shared" si="10"/>
        <v>0.75</v>
      </c>
      <c r="W319" s="13" t="s">
        <v>102</v>
      </c>
      <c r="X319" s="13">
        <f t="shared" si="11"/>
        <v>1</v>
      </c>
      <c r="Y319" s="13">
        <f t="shared" si="12"/>
        <v>1</v>
      </c>
      <c r="Z319" s="13">
        <f t="shared" si="13"/>
        <v>1</v>
      </c>
      <c r="AA319" s="13">
        <f t="shared" si="14"/>
        <v>1</v>
      </c>
      <c r="AB319" s="13" t="s">
        <v>73</v>
      </c>
      <c r="AC319" s="13">
        <f t="shared" si="15"/>
        <v>2</v>
      </c>
      <c r="AD319" s="13" t="s">
        <v>73</v>
      </c>
      <c r="AE319" s="13">
        <f t="shared" si="16"/>
        <v>2</v>
      </c>
      <c r="AF319" s="13" t="s">
        <v>71</v>
      </c>
      <c r="AG319" s="13">
        <f t="shared" si="17"/>
        <v>7.7</v>
      </c>
      <c r="AH319" s="13" t="s">
        <v>85</v>
      </c>
      <c r="AI319" s="13">
        <f t="shared" si="18"/>
        <v>4</v>
      </c>
      <c r="AJ319" s="13" t="s">
        <v>73</v>
      </c>
      <c r="AK319" s="13">
        <f t="shared" si="19"/>
        <v>2</v>
      </c>
      <c r="AL319" s="13" t="s">
        <v>73</v>
      </c>
      <c r="AM319" s="13">
        <f t="shared" si="20"/>
        <v>2</v>
      </c>
      <c r="AN319" s="13" t="s">
        <v>78</v>
      </c>
      <c r="AO319" s="13">
        <f t="shared" si="21"/>
        <v>3</v>
      </c>
      <c r="AP319" s="13" t="s">
        <v>85</v>
      </c>
      <c r="AQ319" s="13">
        <f t="shared" si="22"/>
        <v>4</v>
      </c>
      <c r="AR319" s="13" t="s">
        <v>85</v>
      </c>
      <c r="AS319" s="13">
        <f t="shared" si="23"/>
        <v>4</v>
      </c>
      <c r="AT319" s="13" t="s">
        <v>283</v>
      </c>
      <c r="AU319" s="15">
        <f t="shared" si="24"/>
        <v>1</v>
      </c>
      <c r="AV319" s="15">
        <f t="shared" si="25"/>
        <v>0</v>
      </c>
      <c r="AW319" s="13">
        <f t="shared" si="26"/>
        <v>0</v>
      </c>
      <c r="AX319" s="13">
        <f t="shared" si="27"/>
        <v>1</v>
      </c>
      <c r="AY319" s="13">
        <f t="shared" si="28"/>
        <v>1</v>
      </c>
      <c r="AZ319" s="13">
        <f t="shared" si="29"/>
        <v>0</v>
      </c>
      <c r="BA319" s="13">
        <f t="shared" si="30"/>
        <v>0</v>
      </c>
      <c r="BB319" s="13" t="s">
        <v>88</v>
      </c>
      <c r="BC319" s="13">
        <f t="shared" si="31"/>
        <v>2</v>
      </c>
      <c r="BD319" s="15"/>
      <c r="BE319" s="13" t="str">
        <f t="shared" si="47"/>
        <v>N/A</v>
      </c>
      <c r="BF319" s="13" t="s">
        <v>257</v>
      </c>
      <c r="BG319" s="13">
        <f t="shared" si="33"/>
        <v>1</v>
      </c>
      <c r="BH319" s="13">
        <f t="shared" si="34"/>
        <v>1</v>
      </c>
      <c r="BI319" s="13">
        <f t="shared" si="35"/>
        <v>0</v>
      </c>
      <c r="BJ319" s="13">
        <f t="shared" si="36"/>
        <v>0</v>
      </c>
      <c r="BK319" s="13">
        <f t="shared" si="37"/>
        <v>1</v>
      </c>
      <c r="BL319" s="13">
        <f t="shared" si="38"/>
        <v>0</v>
      </c>
      <c r="BM319" s="13">
        <f t="shared" si="39"/>
        <v>1</v>
      </c>
      <c r="BN319" s="13" t="s">
        <v>108</v>
      </c>
      <c r="BO319" s="16">
        <f t="shared" si="40"/>
        <v>3</v>
      </c>
    </row>
    <row r="320">
      <c r="A320" s="13">
        <f t="shared" si="41"/>
        <v>319</v>
      </c>
      <c r="B320" s="14">
        <v>46053.53366020833</v>
      </c>
      <c r="C320" s="13" t="s">
        <v>67</v>
      </c>
      <c r="D320" s="13">
        <f t="shared" si="1"/>
        <v>1</v>
      </c>
      <c r="E320" s="13" t="s">
        <v>68</v>
      </c>
      <c r="F320" s="13">
        <f t="shared" si="2"/>
        <v>1</v>
      </c>
      <c r="G320" s="13" t="s">
        <v>91</v>
      </c>
      <c r="H320" s="13" t="str">
        <f t="shared" si="3"/>
        <v>Urban</v>
      </c>
      <c r="I320" s="13">
        <f t="shared" si="4"/>
        <v>2</v>
      </c>
      <c r="J320" s="13" t="s">
        <v>145</v>
      </c>
      <c r="K320" s="15" t="s">
        <v>146</v>
      </c>
      <c r="L320" s="13">
        <f t="shared" si="5"/>
        <v>1</v>
      </c>
      <c r="M320" s="13" t="s">
        <v>109</v>
      </c>
      <c r="N320" s="13">
        <f t="shared" si="6"/>
        <v>9</v>
      </c>
      <c r="O320" s="13" t="s">
        <v>78</v>
      </c>
      <c r="P320" s="13">
        <f t="shared" si="7"/>
        <v>3</v>
      </c>
      <c r="Q320" s="13" t="s">
        <v>78</v>
      </c>
      <c r="R320" s="13">
        <f t="shared" si="8"/>
        <v>3</v>
      </c>
      <c r="S320" s="13" t="s">
        <v>78</v>
      </c>
      <c r="T320" s="13">
        <f t="shared" si="9"/>
        <v>3</v>
      </c>
      <c r="U320" s="13" t="s">
        <v>92</v>
      </c>
      <c r="V320" s="13">
        <f t="shared" si="10"/>
        <v>3.5</v>
      </c>
      <c r="W320" s="13" t="s">
        <v>329</v>
      </c>
      <c r="X320" s="13">
        <f t="shared" si="11"/>
        <v>1</v>
      </c>
      <c r="Y320" s="13">
        <f t="shared" si="12"/>
        <v>0</v>
      </c>
      <c r="Z320" s="13">
        <f t="shared" si="13"/>
        <v>1</v>
      </c>
      <c r="AA320" s="13">
        <f t="shared" si="14"/>
        <v>1</v>
      </c>
      <c r="AB320" s="13" t="s">
        <v>73</v>
      </c>
      <c r="AC320" s="13">
        <f t="shared" si="15"/>
        <v>2</v>
      </c>
      <c r="AD320" s="13" t="s">
        <v>78</v>
      </c>
      <c r="AE320" s="13">
        <f t="shared" si="16"/>
        <v>3</v>
      </c>
      <c r="AF320" s="13" t="s">
        <v>76</v>
      </c>
      <c r="AG320" s="13">
        <f t="shared" si="17"/>
        <v>5.5</v>
      </c>
      <c r="AH320" s="13" t="s">
        <v>78</v>
      </c>
      <c r="AI320" s="13">
        <f t="shared" si="18"/>
        <v>3</v>
      </c>
      <c r="AJ320" s="13" t="s">
        <v>77</v>
      </c>
      <c r="AK320" s="13">
        <f t="shared" si="19"/>
        <v>1</v>
      </c>
      <c r="AL320" s="13" t="s">
        <v>77</v>
      </c>
      <c r="AM320" s="13">
        <f t="shared" si="20"/>
        <v>1</v>
      </c>
      <c r="AN320" s="13" t="s">
        <v>73</v>
      </c>
      <c r="AO320" s="13">
        <f t="shared" si="21"/>
        <v>2</v>
      </c>
      <c r="AP320" s="13" t="s">
        <v>73</v>
      </c>
      <c r="AQ320" s="13">
        <f t="shared" si="22"/>
        <v>2</v>
      </c>
      <c r="AR320" s="13" t="s">
        <v>73</v>
      </c>
      <c r="AS320" s="13">
        <f t="shared" si="23"/>
        <v>2</v>
      </c>
      <c r="AT320" s="13" t="s">
        <v>355</v>
      </c>
      <c r="AU320" s="15">
        <f t="shared" si="24"/>
        <v>1</v>
      </c>
      <c r="AV320" s="15">
        <f t="shared" si="25"/>
        <v>0</v>
      </c>
      <c r="AW320" s="13">
        <f t="shared" si="26"/>
        <v>0</v>
      </c>
      <c r="AX320" s="13">
        <f t="shared" si="27"/>
        <v>0</v>
      </c>
      <c r="AY320" s="13">
        <f t="shared" si="28"/>
        <v>1</v>
      </c>
      <c r="AZ320" s="13">
        <f t="shared" si="29"/>
        <v>0</v>
      </c>
      <c r="BA320" s="13">
        <f t="shared" si="30"/>
        <v>1</v>
      </c>
      <c r="BB320" s="13" t="s">
        <v>88</v>
      </c>
      <c r="BC320" s="13">
        <f t="shared" si="31"/>
        <v>2</v>
      </c>
      <c r="BD320" s="15"/>
      <c r="BE320" s="13" t="str">
        <f t="shared" si="47"/>
        <v>N/A</v>
      </c>
      <c r="BF320" s="13" t="s">
        <v>220</v>
      </c>
      <c r="BG320" s="13">
        <f t="shared" si="33"/>
        <v>1</v>
      </c>
      <c r="BH320" s="13">
        <f t="shared" si="34"/>
        <v>1</v>
      </c>
      <c r="BI320" s="13">
        <f t="shared" si="35"/>
        <v>1</v>
      </c>
      <c r="BJ320" s="13">
        <f t="shared" si="36"/>
        <v>0</v>
      </c>
      <c r="BK320" s="13">
        <f t="shared" si="37"/>
        <v>0</v>
      </c>
      <c r="BL320" s="13">
        <f t="shared" si="38"/>
        <v>0</v>
      </c>
      <c r="BM320" s="13">
        <f t="shared" si="39"/>
        <v>0</v>
      </c>
      <c r="BN320" s="13" t="s">
        <v>68</v>
      </c>
      <c r="BO320" s="16">
        <f t="shared" si="40"/>
        <v>1</v>
      </c>
    </row>
    <row r="321">
      <c r="A321" s="13">
        <f t="shared" si="41"/>
        <v>320</v>
      </c>
      <c r="B321" s="14">
        <v>46053.54479883102</v>
      </c>
      <c r="C321" s="13" t="s">
        <v>67</v>
      </c>
      <c r="D321" s="13">
        <f t="shared" si="1"/>
        <v>1</v>
      </c>
      <c r="E321" s="13" t="s">
        <v>68</v>
      </c>
      <c r="F321" s="13">
        <f t="shared" si="2"/>
        <v>1</v>
      </c>
      <c r="G321" s="13" t="s">
        <v>91</v>
      </c>
      <c r="H321" s="13" t="str">
        <f t="shared" si="3"/>
        <v>Urban</v>
      </c>
      <c r="I321" s="13">
        <f t="shared" si="4"/>
        <v>2</v>
      </c>
      <c r="J321" s="13" t="s">
        <v>145</v>
      </c>
      <c r="K321" s="15" t="s">
        <v>146</v>
      </c>
      <c r="L321" s="13">
        <f t="shared" si="5"/>
        <v>1</v>
      </c>
      <c r="M321" s="13" t="s">
        <v>109</v>
      </c>
      <c r="N321" s="13">
        <f t="shared" si="6"/>
        <v>9</v>
      </c>
      <c r="O321" s="13" t="s">
        <v>72</v>
      </c>
      <c r="P321" s="13">
        <f t="shared" si="7"/>
        <v>1</v>
      </c>
      <c r="Q321" s="13" t="s">
        <v>72</v>
      </c>
      <c r="R321" s="13">
        <f t="shared" si="8"/>
        <v>1</v>
      </c>
      <c r="S321" s="13" t="s">
        <v>73</v>
      </c>
      <c r="T321" s="13">
        <f t="shared" si="9"/>
        <v>2</v>
      </c>
      <c r="U321" s="13" t="s">
        <v>270</v>
      </c>
      <c r="V321" s="13">
        <f t="shared" si="10"/>
        <v>0.25</v>
      </c>
      <c r="W321" s="15"/>
      <c r="X321" s="13">
        <f t="shared" si="11"/>
        <v>0</v>
      </c>
      <c r="Y321" s="13">
        <f t="shared" si="12"/>
        <v>0</v>
      </c>
      <c r="Z321" s="13">
        <f t="shared" si="13"/>
        <v>0</v>
      </c>
      <c r="AA321" s="13">
        <f t="shared" si="14"/>
        <v>0</v>
      </c>
      <c r="AB321" s="13" t="s">
        <v>78</v>
      </c>
      <c r="AC321" s="13">
        <f t="shared" si="15"/>
        <v>3</v>
      </c>
      <c r="AD321" s="13" t="s">
        <v>78</v>
      </c>
      <c r="AE321" s="13">
        <f t="shared" si="16"/>
        <v>3</v>
      </c>
      <c r="AF321" s="13" t="s">
        <v>109</v>
      </c>
      <c r="AG321" s="13">
        <f t="shared" si="17"/>
        <v>9</v>
      </c>
      <c r="AH321" s="13" t="s">
        <v>78</v>
      </c>
      <c r="AI321" s="13">
        <f t="shared" si="18"/>
        <v>3</v>
      </c>
      <c r="AJ321" s="13" t="s">
        <v>73</v>
      </c>
      <c r="AK321" s="13">
        <f t="shared" si="19"/>
        <v>2</v>
      </c>
      <c r="AL321" s="13" t="s">
        <v>73</v>
      </c>
      <c r="AM321" s="13">
        <f t="shared" si="20"/>
        <v>2</v>
      </c>
      <c r="AN321" s="13" t="s">
        <v>73</v>
      </c>
      <c r="AO321" s="13">
        <f t="shared" si="21"/>
        <v>2</v>
      </c>
      <c r="AP321" s="13" t="s">
        <v>77</v>
      </c>
      <c r="AQ321" s="13">
        <f t="shared" si="22"/>
        <v>1</v>
      </c>
      <c r="AR321" s="13" t="s">
        <v>77</v>
      </c>
      <c r="AS321" s="13">
        <f t="shared" si="23"/>
        <v>1</v>
      </c>
      <c r="AT321" s="13" t="s">
        <v>261</v>
      </c>
      <c r="AU321" s="15">
        <f t="shared" si="24"/>
        <v>1</v>
      </c>
      <c r="AV321" s="15">
        <f t="shared" si="25"/>
        <v>1</v>
      </c>
      <c r="AW321" s="13">
        <f t="shared" si="26"/>
        <v>1</v>
      </c>
      <c r="AX321" s="13">
        <f t="shared" si="27"/>
        <v>1</v>
      </c>
      <c r="AY321" s="13">
        <f t="shared" si="28"/>
        <v>1</v>
      </c>
      <c r="AZ321" s="13">
        <f t="shared" si="29"/>
        <v>1</v>
      </c>
      <c r="BA321" s="13">
        <f t="shared" si="30"/>
        <v>1</v>
      </c>
      <c r="BB321" s="13" t="s">
        <v>88</v>
      </c>
      <c r="BC321" s="13">
        <f t="shared" si="31"/>
        <v>2</v>
      </c>
      <c r="BD321" s="15"/>
      <c r="BE321" s="13" t="str">
        <f t="shared" si="47"/>
        <v>N/A</v>
      </c>
      <c r="BF321" s="13" t="s">
        <v>89</v>
      </c>
      <c r="BG321" s="13">
        <f t="shared" si="33"/>
        <v>1</v>
      </c>
      <c r="BH321" s="13">
        <f t="shared" si="34"/>
        <v>1</v>
      </c>
      <c r="BI321" s="13">
        <f t="shared" si="35"/>
        <v>1</v>
      </c>
      <c r="BJ321" s="13">
        <f t="shared" si="36"/>
        <v>1</v>
      </c>
      <c r="BK321" s="13">
        <f t="shared" si="37"/>
        <v>1</v>
      </c>
      <c r="BL321" s="13">
        <f t="shared" si="38"/>
        <v>1</v>
      </c>
      <c r="BM321" s="13">
        <f t="shared" si="39"/>
        <v>1</v>
      </c>
      <c r="BN321" s="13" t="s">
        <v>108</v>
      </c>
      <c r="BO321" s="16">
        <f t="shared" si="40"/>
        <v>3</v>
      </c>
    </row>
    <row r="322">
      <c r="A322" s="13">
        <f t="shared" si="41"/>
        <v>321</v>
      </c>
      <c r="B322" s="14">
        <v>46053.80379813658</v>
      </c>
      <c r="C322" s="13" t="s">
        <v>90</v>
      </c>
      <c r="D322" s="13">
        <f t="shared" si="1"/>
        <v>2</v>
      </c>
      <c r="E322" s="13" t="s">
        <v>68</v>
      </c>
      <c r="F322" s="13">
        <f t="shared" si="2"/>
        <v>1</v>
      </c>
      <c r="G322" s="13" t="s">
        <v>91</v>
      </c>
      <c r="H322" s="13" t="str">
        <f t="shared" si="3"/>
        <v>Urban</v>
      </c>
      <c r="I322" s="13">
        <f t="shared" si="4"/>
        <v>2</v>
      </c>
      <c r="J322" s="13" t="s">
        <v>70</v>
      </c>
      <c r="K322" s="15" t="s">
        <v>100</v>
      </c>
      <c r="L322" s="13">
        <f t="shared" si="5"/>
        <v>3</v>
      </c>
      <c r="M322" s="13" t="s">
        <v>76</v>
      </c>
      <c r="N322" s="13">
        <f t="shared" si="6"/>
        <v>5.5</v>
      </c>
      <c r="O322" s="13" t="s">
        <v>73</v>
      </c>
      <c r="P322" s="13">
        <f t="shared" si="7"/>
        <v>2</v>
      </c>
      <c r="Q322" s="13" t="s">
        <v>85</v>
      </c>
      <c r="R322" s="13">
        <f t="shared" si="8"/>
        <v>4</v>
      </c>
      <c r="S322" s="13" t="s">
        <v>73</v>
      </c>
      <c r="T322" s="13">
        <f t="shared" si="9"/>
        <v>2</v>
      </c>
      <c r="U322" s="13" t="s">
        <v>74</v>
      </c>
      <c r="V322" s="13">
        <f t="shared" si="10"/>
        <v>1.5</v>
      </c>
      <c r="W322" s="13" t="s">
        <v>105</v>
      </c>
      <c r="X322" s="13">
        <f t="shared" si="11"/>
        <v>1</v>
      </c>
      <c r="Y322" s="13">
        <f t="shared" si="12"/>
        <v>1</v>
      </c>
      <c r="Z322" s="13">
        <f t="shared" si="13"/>
        <v>0</v>
      </c>
      <c r="AA322" s="13">
        <f t="shared" si="14"/>
        <v>0</v>
      </c>
      <c r="AB322" s="13" t="s">
        <v>73</v>
      </c>
      <c r="AC322" s="13">
        <f t="shared" si="15"/>
        <v>2</v>
      </c>
      <c r="AD322" s="13" t="s">
        <v>73</v>
      </c>
      <c r="AE322" s="13">
        <f t="shared" si="16"/>
        <v>2</v>
      </c>
      <c r="AF322" s="13" t="s">
        <v>109</v>
      </c>
      <c r="AG322" s="13">
        <f t="shared" si="17"/>
        <v>9</v>
      </c>
      <c r="AH322" s="13" t="s">
        <v>103</v>
      </c>
      <c r="AI322" s="13">
        <f t="shared" si="18"/>
        <v>5</v>
      </c>
      <c r="AJ322" s="13" t="s">
        <v>73</v>
      </c>
      <c r="AK322" s="13">
        <f t="shared" si="19"/>
        <v>2</v>
      </c>
      <c r="AL322" s="13" t="s">
        <v>73</v>
      </c>
      <c r="AM322" s="13">
        <f t="shared" si="20"/>
        <v>2</v>
      </c>
      <c r="AN322" s="13" t="s">
        <v>85</v>
      </c>
      <c r="AO322" s="13">
        <f t="shared" si="21"/>
        <v>4</v>
      </c>
      <c r="AP322" s="13" t="s">
        <v>85</v>
      </c>
      <c r="AQ322" s="13">
        <f t="shared" si="22"/>
        <v>4</v>
      </c>
      <c r="AR322" s="13" t="s">
        <v>85</v>
      </c>
      <c r="AS322" s="13">
        <f t="shared" si="23"/>
        <v>4</v>
      </c>
      <c r="AT322" s="13" t="s">
        <v>321</v>
      </c>
      <c r="AU322" s="15">
        <f t="shared" si="24"/>
        <v>0</v>
      </c>
      <c r="AV322" s="15">
        <f t="shared" si="25"/>
        <v>0</v>
      </c>
      <c r="AW322" s="13">
        <f t="shared" si="26"/>
        <v>0</v>
      </c>
      <c r="AX322" s="13">
        <f t="shared" si="27"/>
        <v>1</v>
      </c>
      <c r="AY322" s="13">
        <f t="shared" si="28"/>
        <v>0</v>
      </c>
      <c r="AZ322" s="13">
        <f t="shared" si="29"/>
        <v>1</v>
      </c>
      <c r="BA322" s="13">
        <f t="shared" si="30"/>
        <v>0</v>
      </c>
      <c r="BB322" s="13" t="s">
        <v>88</v>
      </c>
      <c r="BC322" s="13">
        <f t="shared" si="31"/>
        <v>2</v>
      </c>
      <c r="BD322" s="15"/>
      <c r="BE322" s="13" t="str">
        <f t="shared" si="47"/>
        <v>N/A</v>
      </c>
      <c r="BF322" s="13" t="s">
        <v>206</v>
      </c>
      <c r="BG322" s="13">
        <f t="shared" si="33"/>
        <v>1</v>
      </c>
      <c r="BH322" s="13">
        <f t="shared" si="34"/>
        <v>0</v>
      </c>
      <c r="BI322" s="13">
        <f t="shared" si="35"/>
        <v>0</v>
      </c>
      <c r="BJ322" s="13">
        <f t="shared" si="36"/>
        <v>1</v>
      </c>
      <c r="BK322" s="13">
        <f t="shared" si="37"/>
        <v>0</v>
      </c>
      <c r="BL322" s="13">
        <f t="shared" si="38"/>
        <v>0</v>
      </c>
      <c r="BM322" s="13">
        <f t="shared" si="39"/>
        <v>0</v>
      </c>
      <c r="BN322" s="13" t="s">
        <v>68</v>
      </c>
      <c r="BO322" s="16">
        <f t="shared" si="40"/>
        <v>1</v>
      </c>
    </row>
    <row r="323">
      <c r="A323" s="13">
        <f t="shared" si="41"/>
        <v>322</v>
      </c>
      <c r="B323" s="14">
        <v>46053.87343118056</v>
      </c>
      <c r="C323" s="13" t="s">
        <v>67</v>
      </c>
      <c r="D323" s="13">
        <f t="shared" si="1"/>
        <v>1</v>
      </c>
      <c r="E323" s="13" t="s">
        <v>68</v>
      </c>
      <c r="F323" s="13">
        <f t="shared" si="2"/>
        <v>1</v>
      </c>
      <c r="G323" s="13" t="s">
        <v>91</v>
      </c>
      <c r="H323" s="13" t="str">
        <f t="shared" si="3"/>
        <v>Urban</v>
      </c>
      <c r="I323" s="13">
        <f t="shared" si="4"/>
        <v>2</v>
      </c>
      <c r="J323" s="13" t="s">
        <v>83</v>
      </c>
      <c r="K323" s="15" t="s">
        <v>84</v>
      </c>
      <c r="L323" s="13">
        <f t="shared" si="5"/>
        <v>2</v>
      </c>
      <c r="M323" s="13" t="s">
        <v>76</v>
      </c>
      <c r="N323" s="13">
        <f t="shared" si="6"/>
        <v>5.5</v>
      </c>
      <c r="O323" s="13" t="s">
        <v>78</v>
      </c>
      <c r="P323" s="13">
        <f t="shared" si="7"/>
        <v>3</v>
      </c>
      <c r="Q323" s="13" t="s">
        <v>85</v>
      </c>
      <c r="R323" s="13">
        <f t="shared" si="8"/>
        <v>4</v>
      </c>
      <c r="S323" s="13" t="s">
        <v>85</v>
      </c>
      <c r="T323" s="13">
        <f t="shared" si="9"/>
        <v>4</v>
      </c>
      <c r="U323" s="13" t="s">
        <v>96</v>
      </c>
      <c r="V323" s="13">
        <f t="shared" si="10"/>
        <v>2.5</v>
      </c>
      <c r="W323" s="13" t="s">
        <v>102</v>
      </c>
      <c r="X323" s="13">
        <f t="shared" si="11"/>
        <v>1</v>
      </c>
      <c r="Y323" s="13">
        <f t="shared" si="12"/>
        <v>1</v>
      </c>
      <c r="Z323" s="13">
        <f t="shared" si="13"/>
        <v>1</v>
      </c>
      <c r="AA323" s="13">
        <f t="shared" si="14"/>
        <v>1</v>
      </c>
      <c r="AB323" s="13" t="s">
        <v>85</v>
      </c>
      <c r="AC323" s="13">
        <f t="shared" si="15"/>
        <v>4</v>
      </c>
      <c r="AD323" s="13" t="s">
        <v>78</v>
      </c>
      <c r="AE323" s="13">
        <f t="shared" si="16"/>
        <v>3</v>
      </c>
      <c r="AF323" s="13" t="s">
        <v>76</v>
      </c>
      <c r="AG323" s="13">
        <f t="shared" si="17"/>
        <v>5.5</v>
      </c>
      <c r="AH323" s="13" t="s">
        <v>85</v>
      </c>
      <c r="AI323" s="13">
        <f t="shared" si="18"/>
        <v>4</v>
      </c>
      <c r="AJ323" s="13" t="s">
        <v>78</v>
      </c>
      <c r="AK323" s="13">
        <f t="shared" si="19"/>
        <v>3</v>
      </c>
      <c r="AL323" s="13" t="s">
        <v>85</v>
      </c>
      <c r="AM323" s="13">
        <f t="shared" si="20"/>
        <v>4</v>
      </c>
      <c r="AN323" s="13" t="s">
        <v>85</v>
      </c>
      <c r="AO323" s="13">
        <f t="shared" si="21"/>
        <v>4</v>
      </c>
      <c r="AP323" s="13" t="s">
        <v>78</v>
      </c>
      <c r="AQ323" s="13">
        <f t="shared" si="22"/>
        <v>3</v>
      </c>
      <c r="AR323" s="13" t="s">
        <v>78</v>
      </c>
      <c r="AS323" s="13">
        <f t="shared" si="23"/>
        <v>3</v>
      </c>
      <c r="AT323" s="13" t="s">
        <v>356</v>
      </c>
      <c r="AU323" s="15">
        <f t="shared" si="24"/>
        <v>1</v>
      </c>
      <c r="AV323" s="15">
        <f t="shared" si="25"/>
        <v>0</v>
      </c>
      <c r="AW323" s="13">
        <f t="shared" si="26"/>
        <v>1</v>
      </c>
      <c r="AX323" s="13">
        <f t="shared" si="27"/>
        <v>1</v>
      </c>
      <c r="AY323" s="13">
        <f t="shared" si="28"/>
        <v>1</v>
      </c>
      <c r="AZ323" s="13">
        <f t="shared" si="29"/>
        <v>1</v>
      </c>
      <c r="BA323" s="13">
        <f t="shared" si="30"/>
        <v>1</v>
      </c>
      <c r="BB323" s="13" t="s">
        <v>88</v>
      </c>
      <c r="BC323" s="13">
        <f t="shared" si="31"/>
        <v>2</v>
      </c>
      <c r="BD323" s="15"/>
      <c r="BE323" s="13" t="str">
        <f t="shared" si="47"/>
        <v>N/A</v>
      </c>
      <c r="BF323" s="13" t="s">
        <v>306</v>
      </c>
      <c r="BG323" s="13">
        <f t="shared" si="33"/>
        <v>1</v>
      </c>
      <c r="BH323" s="13">
        <f t="shared" si="34"/>
        <v>0</v>
      </c>
      <c r="BI323" s="13">
        <f t="shared" si="35"/>
        <v>1</v>
      </c>
      <c r="BJ323" s="13">
        <f t="shared" si="36"/>
        <v>0</v>
      </c>
      <c r="BK323" s="13">
        <f t="shared" si="37"/>
        <v>1</v>
      </c>
      <c r="BL323" s="13">
        <f t="shared" si="38"/>
        <v>1</v>
      </c>
      <c r="BM323" s="13">
        <f t="shared" si="39"/>
        <v>1</v>
      </c>
      <c r="BN323" s="13" t="s">
        <v>108</v>
      </c>
      <c r="BO323" s="16">
        <f t="shared" si="40"/>
        <v>3</v>
      </c>
    </row>
    <row r="324">
      <c r="A324" s="13">
        <f t="shared" si="41"/>
        <v>323</v>
      </c>
      <c r="B324" s="14">
        <v>46053.87692364583</v>
      </c>
      <c r="C324" s="13" t="s">
        <v>90</v>
      </c>
      <c r="D324" s="13">
        <f t="shared" si="1"/>
        <v>2</v>
      </c>
      <c r="E324" s="13" t="s">
        <v>68</v>
      </c>
      <c r="F324" s="13">
        <f t="shared" si="2"/>
        <v>1</v>
      </c>
      <c r="G324" s="13" t="s">
        <v>82</v>
      </c>
      <c r="H324" s="13" t="str">
        <f t="shared" si="3"/>
        <v>Urban</v>
      </c>
      <c r="I324" s="13">
        <f t="shared" si="4"/>
        <v>2</v>
      </c>
      <c r="J324" s="13" t="s">
        <v>70</v>
      </c>
      <c r="K324" s="15" t="s">
        <v>100</v>
      </c>
      <c r="L324" s="13">
        <f t="shared" si="5"/>
        <v>3</v>
      </c>
      <c r="M324" s="13" t="s">
        <v>71</v>
      </c>
      <c r="N324" s="13">
        <f t="shared" si="6"/>
        <v>7.7</v>
      </c>
      <c r="O324" s="13" t="s">
        <v>78</v>
      </c>
      <c r="P324" s="13">
        <f t="shared" si="7"/>
        <v>3</v>
      </c>
      <c r="Q324" s="13" t="s">
        <v>85</v>
      </c>
      <c r="R324" s="13">
        <f t="shared" si="8"/>
        <v>4</v>
      </c>
      <c r="S324" s="13" t="s">
        <v>85</v>
      </c>
      <c r="T324" s="13">
        <f t="shared" si="9"/>
        <v>4</v>
      </c>
      <c r="U324" s="13" t="s">
        <v>74</v>
      </c>
      <c r="V324" s="13">
        <f t="shared" si="10"/>
        <v>1.5</v>
      </c>
      <c r="W324" s="13" t="s">
        <v>105</v>
      </c>
      <c r="X324" s="13">
        <f t="shared" si="11"/>
        <v>1</v>
      </c>
      <c r="Y324" s="13">
        <f t="shared" si="12"/>
        <v>1</v>
      </c>
      <c r="Z324" s="13">
        <f t="shared" si="13"/>
        <v>0</v>
      </c>
      <c r="AA324" s="13">
        <f t="shared" si="14"/>
        <v>0</v>
      </c>
      <c r="AB324" s="13" t="s">
        <v>78</v>
      </c>
      <c r="AC324" s="13">
        <f t="shared" si="15"/>
        <v>3</v>
      </c>
      <c r="AD324" s="13" t="s">
        <v>78</v>
      </c>
      <c r="AE324" s="13">
        <f t="shared" si="16"/>
        <v>3</v>
      </c>
      <c r="AF324" s="13" t="s">
        <v>71</v>
      </c>
      <c r="AG324" s="13">
        <f t="shared" si="17"/>
        <v>7.7</v>
      </c>
      <c r="AH324" s="13" t="s">
        <v>85</v>
      </c>
      <c r="AI324" s="13">
        <f t="shared" si="18"/>
        <v>4</v>
      </c>
      <c r="AJ324" s="13" t="s">
        <v>78</v>
      </c>
      <c r="AK324" s="13">
        <f t="shared" si="19"/>
        <v>3</v>
      </c>
      <c r="AL324" s="13" t="s">
        <v>120</v>
      </c>
      <c r="AM324" s="13">
        <f t="shared" si="20"/>
        <v>5</v>
      </c>
      <c r="AN324" s="13" t="s">
        <v>85</v>
      </c>
      <c r="AO324" s="13">
        <f t="shared" si="21"/>
        <v>4</v>
      </c>
      <c r="AP324" s="13" t="s">
        <v>85</v>
      </c>
      <c r="AQ324" s="13">
        <f t="shared" si="22"/>
        <v>4</v>
      </c>
      <c r="AR324" s="13" t="s">
        <v>78</v>
      </c>
      <c r="AS324" s="13">
        <f t="shared" si="23"/>
        <v>3</v>
      </c>
      <c r="AT324" s="13" t="s">
        <v>228</v>
      </c>
      <c r="AU324" s="15">
        <f t="shared" si="24"/>
        <v>1</v>
      </c>
      <c r="AV324" s="15">
        <f t="shared" si="25"/>
        <v>0</v>
      </c>
      <c r="AW324" s="13">
        <f t="shared" si="26"/>
        <v>0</v>
      </c>
      <c r="AX324" s="13">
        <f t="shared" si="27"/>
        <v>0</v>
      </c>
      <c r="AY324" s="13">
        <f t="shared" si="28"/>
        <v>1</v>
      </c>
      <c r="AZ324" s="13">
        <f t="shared" si="29"/>
        <v>1</v>
      </c>
      <c r="BA324" s="13">
        <f t="shared" si="30"/>
        <v>0</v>
      </c>
      <c r="BB324" s="13" t="s">
        <v>88</v>
      </c>
      <c r="BC324" s="13">
        <f t="shared" si="31"/>
        <v>2</v>
      </c>
      <c r="BD324" s="15"/>
      <c r="BE324" s="13" t="str">
        <f t="shared" si="47"/>
        <v>N/A</v>
      </c>
      <c r="BF324" s="13" t="s">
        <v>196</v>
      </c>
      <c r="BG324" s="13">
        <f t="shared" si="33"/>
        <v>1</v>
      </c>
      <c r="BH324" s="13">
        <f t="shared" si="34"/>
        <v>0</v>
      </c>
      <c r="BI324" s="13">
        <f t="shared" si="35"/>
        <v>0</v>
      </c>
      <c r="BJ324" s="13">
        <f t="shared" si="36"/>
        <v>0</v>
      </c>
      <c r="BK324" s="13">
        <f t="shared" si="37"/>
        <v>1</v>
      </c>
      <c r="BL324" s="13">
        <f t="shared" si="38"/>
        <v>1</v>
      </c>
      <c r="BM324" s="13">
        <f t="shared" si="39"/>
        <v>0</v>
      </c>
      <c r="BN324" s="13" t="s">
        <v>108</v>
      </c>
      <c r="BO324" s="16">
        <f t="shared" si="40"/>
        <v>3</v>
      </c>
    </row>
    <row r="325">
      <c r="A325" s="13">
        <f t="shared" si="41"/>
        <v>324</v>
      </c>
      <c r="B325" s="14">
        <v>46053.87988736111</v>
      </c>
      <c r="C325" s="13" t="s">
        <v>67</v>
      </c>
      <c r="D325" s="13">
        <f t="shared" si="1"/>
        <v>1</v>
      </c>
      <c r="E325" s="13" t="s">
        <v>68</v>
      </c>
      <c r="F325" s="13">
        <f t="shared" si="2"/>
        <v>1</v>
      </c>
      <c r="G325" s="13" t="s">
        <v>69</v>
      </c>
      <c r="H325" s="13" t="str">
        <f t="shared" si="3"/>
        <v>Rural</v>
      </c>
      <c r="I325" s="13">
        <f t="shared" si="4"/>
        <v>1</v>
      </c>
      <c r="J325" s="13" t="s">
        <v>70</v>
      </c>
      <c r="K325" s="15" t="s">
        <v>100</v>
      </c>
      <c r="L325" s="13">
        <f t="shared" si="5"/>
        <v>3</v>
      </c>
      <c r="M325" s="13" t="s">
        <v>109</v>
      </c>
      <c r="N325" s="13">
        <f t="shared" si="6"/>
        <v>9</v>
      </c>
      <c r="O325" s="13" t="s">
        <v>73</v>
      </c>
      <c r="P325" s="13">
        <f t="shared" si="7"/>
        <v>2</v>
      </c>
      <c r="Q325" s="13" t="s">
        <v>78</v>
      </c>
      <c r="R325" s="13">
        <f t="shared" si="8"/>
        <v>3</v>
      </c>
      <c r="S325" s="13" t="s">
        <v>85</v>
      </c>
      <c r="T325" s="13">
        <f t="shared" si="9"/>
        <v>4</v>
      </c>
      <c r="U325" s="13" t="s">
        <v>136</v>
      </c>
      <c r="V325" s="13">
        <f t="shared" si="10"/>
        <v>0</v>
      </c>
      <c r="W325" s="15"/>
      <c r="X325" s="13">
        <f t="shared" si="11"/>
        <v>0</v>
      </c>
      <c r="Y325" s="13">
        <f t="shared" si="12"/>
        <v>0</v>
      </c>
      <c r="Z325" s="13">
        <f t="shared" si="13"/>
        <v>0</v>
      </c>
      <c r="AA325" s="13">
        <f t="shared" si="14"/>
        <v>0</v>
      </c>
      <c r="AB325" s="15"/>
      <c r="AC325" s="13" t="str">
        <f t="shared" si="15"/>
        <v>N/A</v>
      </c>
      <c r="AD325" s="15"/>
      <c r="AE325" s="13" t="str">
        <f t="shared" si="16"/>
        <v>N/A</v>
      </c>
      <c r="AF325" s="13" t="s">
        <v>71</v>
      </c>
      <c r="AG325" s="13">
        <f t="shared" si="17"/>
        <v>7.7</v>
      </c>
      <c r="AH325" s="13" t="s">
        <v>103</v>
      </c>
      <c r="AI325" s="13">
        <f t="shared" si="18"/>
        <v>5</v>
      </c>
      <c r="AJ325" s="13" t="s">
        <v>85</v>
      </c>
      <c r="AK325" s="13">
        <f t="shared" si="19"/>
        <v>4</v>
      </c>
      <c r="AL325" s="13" t="s">
        <v>85</v>
      </c>
      <c r="AM325" s="13">
        <f t="shared" si="20"/>
        <v>4</v>
      </c>
      <c r="AN325" s="13" t="s">
        <v>85</v>
      </c>
      <c r="AO325" s="13">
        <f t="shared" si="21"/>
        <v>4</v>
      </c>
      <c r="AP325" s="13" t="s">
        <v>85</v>
      </c>
      <c r="AQ325" s="13">
        <f t="shared" si="22"/>
        <v>4</v>
      </c>
      <c r="AR325" s="13" t="s">
        <v>85</v>
      </c>
      <c r="AS325" s="13">
        <f t="shared" si="23"/>
        <v>4</v>
      </c>
      <c r="AT325" s="13" t="s">
        <v>357</v>
      </c>
      <c r="AU325" s="15">
        <f t="shared" si="24"/>
        <v>1</v>
      </c>
      <c r="AV325" s="15">
        <f t="shared" si="25"/>
        <v>0</v>
      </c>
      <c r="AW325" s="13">
        <f t="shared" si="26"/>
        <v>0</v>
      </c>
      <c r="AX325" s="13">
        <f t="shared" si="27"/>
        <v>0</v>
      </c>
      <c r="AY325" s="13">
        <f t="shared" si="28"/>
        <v>1</v>
      </c>
      <c r="AZ325" s="13">
        <f t="shared" si="29"/>
        <v>0</v>
      </c>
      <c r="BA325" s="13">
        <f t="shared" si="30"/>
        <v>0</v>
      </c>
      <c r="BB325" s="13" t="s">
        <v>88</v>
      </c>
      <c r="BC325" s="13">
        <f t="shared" si="31"/>
        <v>2</v>
      </c>
      <c r="BD325" s="15"/>
      <c r="BE325" s="13" t="str">
        <f t="shared" si="47"/>
        <v>N/A</v>
      </c>
      <c r="BF325" s="13" t="s">
        <v>107</v>
      </c>
      <c r="BG325" s="13">
        <f t="shared" si="33"/>
        <v>1</v>
      </c>
      <c r="BH325" s="13">
        <f t="shared" si="34"/>
        <v>0</v>
      </c>
      <c r="BI325" s="13">
        <f t="shared" si="35"/>
        <v>0</v>
      </c>
      <c r="BJ325" s="13">
        <f t="shared" si="36"/>
        <v>0</v>
      </c>
      <c r="BK325" s="13">
        <f t="shared" si="37"/>
        <v>0</v>
      </c>
      <c r="BL325" s="13">
        <f t="shared" si="38"/>
        <v>0</v>
      </c>
      <c r="BM325" s="13">
        <f t="shared" si="39"/>
        <v>0</v>
      </c>
      <c r="BN325" s="13" t="s">
        <v>88</v>
      </c>
      <c r="BO325" s="16">
        <f t="shared" si="40"/>
        <v>2</v>
      </c>
    </row>
    <row r="326">
      <c r="A326" s="13">
        <f t="shared" si="41"/>
        <v>325</v>
      </c>
      <c r="B326" s="14">
        <v>46054.51685871527</v>
      </c>
      <c r="C326" s="13" t="s">
        <v>90</v>
      </c>
      <c r="D326" s="13">
        <f t="shared" si="1"/>
        <v>2</v>
      </c>
      <c r="E326" s="13" t="s">
        <v>68</v>
      </c>
      <c r="F326" s="13">
        <f t="shared" si="2"/>
        <v>1</v>
      </c>
      <c r="G326" s="13" t="s">
        <v>69</v>
      </c>
      <c r="H326" s="13" t="str">
        <f t="shared" si="3"/>
        <v>Rural</v>
      </c>
      <c r="I326" s="13">
        <f t="shared" si="4"/>
        <v>1</v>
      </c>
      <c r="J326" s="15"/>
      <c r="K326" s="15" t="s">
        <v>316</v>
      </c>
      <c r="L326" s="13" t="str">
        <f t="shared" si="5"/>
        <v>N/A</v>
      </c>
      <c r="M326" s="13" t="s">
        <v>71</v>
      </c>
      <c r="N326" s="13">
        <f t="shared" si="6"/>
        <v>7.7</v>
      </c>
      <c r="O326" s="13" t="s">
        <v>85</v>
      </c>
      <c r="P326" s="13">
        <f t="shared" si="7"/>
        <v>4</v>
      </c>
      <c r="Q326" s="13" t="s">
        <v>85</v>
      </c>
      <c r="R326" s="13">
        <f t="shared" si="8"/>
        <v>4</v>
      </c>
      <c r="S326" s="13" t="s">
        <v>85</v>
      </c>
      <c r="T326" s="13">
        <f t="shared" si="9"/>
        <v>4</v>
      </c>
      <c r="U326" s="13" t="s">
        <v>136</v>
      </c>
      <c r="V326" s="13">
        <f t="shared" si="10"/>
        <v>0</v>
      </c>
      <c r="W326" s="15"/>
      <c r="X326" s="13">
        <f t="shared" si="11"/>
        <v>0</v>
      </c>
      <c r="Y326" s="13">
        <f t="shared" si="12"/>
        <v>0</v>
      </c>
      <c r="Z326" s="13">
        <f t="shared" si="13"/>
        <v>0</v>
      </c>
      <c r="AA326" s="13">
        <f t="shared" si="14"/>
        <v>0</v>
      </c>
      <c r="AB326" s="15"/>
      <c r="AC326" s="13" t="str">
        <f t="shared" si="15"/>
        <v>N/A</v>
      </c>
      <c r="AD326" s="15"/>
      <c r="AE326" s="13" t="str">
        <f t="shared" si="16"/>
        <v>N/A</v>
      </c>
      <c r="AF326" s="13" t="s">
        <v>71</v>
      </c>
      <c r="AG326" s="13">
        <f t="shared" si="17"/>
        <v>7.7</v>
      </c>
      <c r="AH326" s="13" t="s">
        <v>85</v>
      </c>
      <c r="AI326" s="13">
        <f t="shared" si="18"/>
        <v>4</v>
      </c>
      <c r="AJ326" s="13" t="s">
        <v>120</v>
      </c>
      <c r="AK326" s="13">
        <f t="shared" si="19"/>
        <v>5</v>
      </c>
      <c r="AL326" s="13" t="s">
        <v>120</v>
      </c>
      <c r="AM326" s="13">
        <f t="shared" si="20"/>
        <v>5</v>
      </c>
      <c r="AN326" s="13" t="s">
        <v>120</v>
      </c>
      <c r="AO326" s="13">
        <f t="shared" si="21"/>
        <v>5</v>
      </c>
      <c r="AP326" s="13" t="s">
        <v>120</v>
      </c>
      <c r="AQ326" s="13">
        <f t="shared" si="22"/>
        <v>5</v>
      </c>
      <c r="AR326" s="13" t="s">
        <v>120</v>
      </c>
      <c r="AS326" s="13">
        <f t="shared" si="23"/>
        <v>5</v>
      </c>
      <c r="AT326" s="13" t="s">
        <v>358</v>
      </c>
      <c r="AU326" s="15">
        <f t="shared" si="24"/>
        <v>1</v>
      </c>
      <c r="AV326" s="15">
        <f t="shared" si="25"/>
        <v>1</v>
      </c>
      <c r="AW326" s="13">
        <f t="shared" si="26"/>
        <v>0</v>
      </c>
      <c r="AX326" s="13">
        <f t="shared" si="27"/>
        <v>1</v>
      </c>
      <c r="AY326" s="13">
        <f t="shared" si="28"/>
        <v>0</v>
      </c>
      <c r="AZ326" s="13">
        <f t="shared" si="29"/>
        <v>1</v>
      </c>
      <c r="BA326" s="13">
        <f t="shared" si="30"/>
        <v>0</v>
      </c>
      <c r="BB326" s="13" t="s">
        <v>88</v>
      </c>
      <c r="BC326" s="13">
        <f t="shared" si="31"/>
        <v>2</v>
      </c>
      <c r="BD326" s="15"/>
      <c r="BE326" s="13" t="str">
        <f t="shared" si="47"/>
        <v>N/A</v>
      </c>
      <c r="BF326" s="13" t="s">
        <v>113</v>
      </c>
      <c r="BG326" s="13">
        <f t="shared" si="33"/>
        <v>0</v>
      </c>
      <c r="BH326" s="13">
        <f t="shared" si="34"/>
        <v>0</v>
      </c>
      <c r="BI326" s="13">
        <f t="shared" si="35"/>
        <v>0</v>
      </c>
      <c r="BJ326" s="13">
        <f t="shared" si="36"/>
        <v>0</v>
      </c>
      <c r="BK326" s="13">
        <f t="shared" si="37"/>
        <v>0</v>
      </c>
      <c r="BL326" s="13">
        <f t="shared" si="38"/>
        <v>0</v>
      </c>
      <c r="BM326" s="13">
        <f t="shared" si="39"/>
        <v>1</v>
      </c>
      <c r="BN326" s="13" t="s">
        <v>108</v>
      </c>
      <c r="BO326" s="16">
        <f t="shared" si="40"/>
        <v>3</v>
      </c>
    </row>
    <row r="327">
      <c r="A327" s="13">
        <f t="shared" si="41"/>
        <v>326</v>
      </c>
      <c r="B327" s="14">
        <v>46054.71559761574</v>
      </c>
      <c r="C327" s="13" t="s">
        <v>90</v>
      </c>
      <c r="D327" s="13">
        <f t="shared" si="1"/>
        <v>2</v>
      </c>
      <c r="E327" s="13" t="s">
        <v>68</v>
      </c>
      <c r="F327" s="13">
        <f t="shared" si="2"/>
        <v>1</v>
      </c>
      <c r="G327" s="13" t="s">
        <v>91</v>
      </c>
      <c r="H327" s="13" t="str">
        <f t="shared" si="3"/>
        <v>Urban</v>
      </c>
      <c r="I327" s="13">
        <f t="shared" si="4"/>
        <v>2</v>
      </c>
      <c r="J327" s="13" t="s">
        <v>70</v>
      </c>
      <c r="K327" s="15" t="s">
        <v>100</v>
      </c>
      <c r="L327" s="13">
        <f t="shared" si="5"/>
        <v>3</v>
      </c>
      <c r="M327" s="13" t="s">
        <v>101</v>
      </c>
      <c r="N327" s="13">
        <f t="shared" si="6"/>
        <v>2</v>
      </c>
      <c r="O327" s="15"/>
      <c r="P327" s="13" t="str">
        <f t="shared" si="7"/>
        <v>N/A</v>
      </c>
      <c r="Q327" s="13" t="s">
        <v>78</v>
      </c>
      <c r="R327" s="13">
        <f t="shared" si="8"/>
        <v>3</v>
      </c>
      <c r="S327" s="13" t="s">
        <v>78</v>
      </c>
      <c r="T327" s="13">
        <f t="shared" si="9"/>
        <v>3</v>
      </c>
      <c r="U327" s="13" t="s">
        <v>110</v>
      </c>
      <c r="V327" s="13">
        <f t="shared" si="10"/>
        <v>0.75</v>
      </c>
      <c r="W327" s="13" t="s">
        <v>102</v>
      </c>
      <c r="X327" s="13">
        <f t="shared" si="11"/>
        <v>1</v>
      </c>
      <c r="Y327" s="13">
        <f t="shared" si="12"/>
        <v>1</v>
      </c>
      <c r="Z327" s="13">
        <f t="shared" si="13"/>
        <v>1</v>
      </c>
      <c r="AA327" s="13">
        <f t="shared" si="14"/>
        <v>1</v>
      </c>
      <c r="AB327" s="13" t="s">
        <v>85</v>
      </c>
      <c r="AC327" s="13">
        <f t="shared" si="15"/>
        <v>4</v>
      </c>
      <c r="AD327" s="13" t="s">
        <v>85</v>
      </c>
      <c r="AE327" s="13">
        <f t="shared" si="16"/>
        <v>4</v>
      </c>
      <c r="AF327" s="13" t="s">
        <v>71</v>
      </c>
      <c r="AG327" s="13">
        <f t="shared" si="17"/>
        <v>7.7</v>
      </c>
      <c r="AH327" s="13" t="s">
        <v>78</v>
      </c>
      <c r="AI327" s="13">
        <f t="shared" si="18"/>
        <v>3</v>
      </c>
      <c r="AJ327" s="13" t="s">
        <v>78</v>
      </c>
      <c r="AK327" s="13">
        <f t="shared" si="19"/>
        <v>3</v>
      </c>
      <c r="AL327" s="13" t="s">
        <v>78</v>
      </c>
      <c r="AM327" s="13">
        <f t="shared" si="20"/>
        <v>3</v>
      </c>
      <c r="AN327" s="13" t="s">
        <v>73</v>
      </c>
      <c r="AO327" s="13">
        <f t="shared" si="21"/>
        <v>2</v>
      </c>
      <c r="AP327" s="13" t="s">
        <v>73</v>
      </c>
      <c r="AQ327" s="13">
        <f t="shared" si="22"/>
        <v>2</v>
      </c>
      <c r="AR327" s="13" t="s">
        <v>77</v>
      </c>
      <c r="AS327" s="13">
        <f t="shared" si="23"/>
        <v>1</v>
      </c>
      <c r="AT327" s="13" t="s">
        <v>104</v>
      </c>
      <c r="AU327" s="15">
        <f t="shared" si="24"/>
        <v>1</v>
      </c>
      <c r="AV327" s="15">
        <f t="shared" si="25"/>
        <v>1</v>
      </c>
      <c r="AW327" s="13">
        <f t="shared" si="26"/>
        <v>1</v>
      </c>
      <c r="AX327" s="13">
        <f t="shared" si="27"/>
        <v>1</v>
      </c>
      <c r="AY327" s="13">
        <f t="shared" si="28"/>
        <v>1</v>
      </c>
      <c r="AZ327" s="13">
        <f t="shared" si="29"/>
        <v>1</v>
      </c>
      <c r="BA327" s="13">
        <f t="shared" si="30"/>
        <v>1</v>
      </c>
      <c r="BB327" s="15"/>
      <c r="BC327" s="13" t="str">
        <f t="shared" si="31"/>
        <v>N/A</v>
      </c>
      <c r="BD327" s="15"/>
      <c r="BE327" s="13" t="str">
        <f t="shared" si="47"/>
        <v>N/A</v>
      </c>
      <c r="BF327" s="13" t="s">
        <v>218</v>
      </c>
      <c r="BG327" s="13">
        <f t="shared" si="33"/>
        <v>0</v>
      </c>
      <c r="BH327" s="13">
        <f t="shared" si="34"/>
        <v>0</v>
      </c>
      <c r="BI327" s="13">
        <f t="shared" si="35"/>
        <v>1</v>
      </c>
      <c r="BJ327" s="13">
        <f t="shared" si="36"/>
        <v>1</v>
      </c>
      <c r="BK327" s="13">
        <f t="shared" si="37"/>
        <v>0</v>
      </c>
      <c r="BL327" s="13">
        <f t="shared" si="38"/>
        <v>0</v>
      </c>
      <c r="BM327" s="13">
        <f t="shared" si="39"/>
        <v>1</v>
      </c>
      <c r="BN327" s="13" t="s">
        <v>108</v>
      </c>
      <c r="BO327" s="16">
        <f t="shared" si="40"/>
        <v>3</v>
      </c>
    </row>
    <row r="328">
      <c r="A328" s="13">
        <f t="shared" si="41"/>
        <v>327</v>
      </c>
      <c r="B328" s="14">
        <v>46054.82544273148</v>
      </c>
      <c r="C328" s="13" t="s">
        <v>67</v>
      </c>
      <c r="D328" s="13">
        <f t="shared" si="1"/>
        <v>1</v>
      </c>
      <c r="E328" s="13" t="s">
        <v>68</v>
      </c>
      <c r="F328" s="13">
        <f t="shared" si="2"/>
        <v>1</v>
      </c>
      <c r="G328" s="13" t="s">
        <v>82</v>
      </c>
      <c r="H328" s="13" t="str">
        <f t="shared" si="3"/>
        <v>Urban</v>
      </c>
      <c r="I328" s="13">
        <f t="shared" si="4"/>
        <v>2</v>
      </c>
      <c r="J328" s="13" t="s">
        <v>145</v>
      </c>
      <c r="K328" s="15" t="s">
        <v>146</v>
      </c>
      <c r="L328" s="13">
        <f t="shared" si="5"/>
        <v>1</v>
      </c>
      <c r="M328" s="13" t="s">
        <v>101</v>
      </c>
      <c r="N328" s="13">
        <f t="shared" si="6"/>
        <v>2</v>
      </c>
      <c r="O328" s="13" t="s">
        <v>73</v>
      </c>
      <c r="P328" s="13">
        <f t="shared" si="7"/>
        <v>2</v>
      </c>
      <c r="Q328" s="13" t="s">
        <v>103</v>
      </c>
      <c r="R328" s="13">
        <f t="shared" si="8"/>
        <v>5</v>
      </c>
      <c r="S328" s="13" t="s">
        <v>72</v>
      </c>
      <c r="T328" s="13">
        <f t="shared" si="9"/>
        <v>1</v>
      </c>
      <c r="U328" s="13" t="s">
        <v>110</v>
      </c>
      <c r="V328" s="13">
        <f t="shared" si="10"/>
        <v>0.75</v>
      </c>
      <c r="W328" s="13" t="s">
        <v>143</v>
      </c>
      <c r="X328" s="13">
        <f t="shared" si="11"/>
        <v>1</v>
      </c>
      <c r="Y328" s="13">
        <f t="shared" si="12"/>
        <v>0</v>
      </c>
      <c r="Z328" s="13">
        <f t="shared" si="13"/>
        <v>0</v>
      </c>
      <c r="AA328" s="13">
        <f t="shared" si="14"/>
        <v>0</v>
      </c>
      <c r="AB328" s="13" t="s">
        <v>78</v>
      </c>
      <c r="AC328" s="13">
        <f t="shared" si="15"/>
        <v>3</v>
      </c>
      <c r="AD328" s="13" t="s">
        <v>78</v>
      </c>
      <c r="AE328" s="13">
        <f t="shared" si="16"/>
        <v>3</v>
      </c>
      <c r="AF328" s="13" t="s">
        <v>71</v>
      </c>
      <c r="AG328" s="13">
        <f t="shared" si="17"/>
        <v>7.7</v>
      </c>
      <c r="AH328" s="13" t="s">
        <v>78</v>
      </c>
      <c r="AI328" s="13">
        <f t="shared" si="18"/>
        <v>3</v>
      </c>
      <c r="AJ328" s="13" t="s">
        <v>78</v>
      </c>
      <c r="AK328" s="13">
        <f t="shared" si="19"/>
        <v>3</v>
      </c>
      <c r="AL328" s="13" t="s">
        <v>120</v>
      </c>
      <c r="AM328" s="13">
        <f t="shared" si="20"/>
        <v>5</v>
      </c>
      <c r="AN328" s="13" t="s">
        <v>120</v>
      </c>
      <c r="AO328" s="13">
        <f t="shared" si="21"/>
        <v>5</v>
      </c>
      <c r="AP328" s="13" t="s">
        <v>78</v>
      </c>
      <c r="AQ328" s="13">
        <f t="shared" si="22"/>
        <v>3</v>
      </c>
      <c r="AR328" s="13" t="s">
        <v>120</v>
      </c>
      <c r="AS328" s="13">
        <f t="shared" si="23"/>
        <v>5</v>
      </c>
      <c r="AT328" s="13" t="s">
        <v>297</v>
      </c>
      <c r="AU328" s="15">
        <f t="shared" si="24"/>
        <v>1</v>
      </c>
      <c r="AV328" s="15">
        <f t="shared" si="25"/>
        <v>1</v>
      </c>
      <c r="AW328" s="13">
        <f t="shared" si="26"/>
        <v>0</v>
      </c>
      <c r="AX328" s="13">
        <f t="shared" si="27"/>
        <v>1</v>
      </c>
      <c r="AY328" s="13">
        <f t="shared" si="28"/>
        <v>0</v>
      </c>
      <c r="AZ328" s="13">
        <f t="shared" si="29"/>
        <v>0</v>
      </c>
      <c r="BA328" s="13">
        <f t="shared" si="30"/>
        <v>1</v>
      </c>
      <c r="BB328" s="13" t="s">
        <v>88</v>
      </c>
      <c r="BC328" s="13">
        <f t="shared" si="31"/>
        <v>2</v>
      </c>
      <c r="BD328" s="15"/>
      <c r="BE328" s="13" t="str">
        <f t="shared" si="47"/>
        <v>N/A</v>
      </c>
      <c r="BF328" s="13" t="s">
        <v>220</v>
      </c>
      <c r="BG328" s="13">
        <f t="shared" si="33"/>
        <v>1</v>
      </c>
      <c r="BH328" s="13">
        <f t="shared" si="34"/>
        <v>1</v>
      </c>
      <c r="BI328" s="13">
        <f t="shared" si="35"/>
        <v>1</v>
      </c>
      <c r="BJ328" s="13">
        <f t="shared" si="36"/>
        <v>0</v>
      </c>
      <c r="BK328" s="13">
        <f t="shared" si="37"/>
        <v>0</v>
      </c>
      <c r="BL328" s="13">
        <f t="shared" si="38"/>
        <v>0</v>
      </c>
      <c r="BM328" s="13">
        <f t="shared" si="39"/>
        <v>0</v>
      </c>
      <c r="BN328" s="13" t="s">
        <v>68</v>
      </c>
      <c r="BO328" s="16">
        <f t="shared" si="40"/>
        <v>1</v>
      </c>
    </row>
    <row r="329">
      <c r="A329" s="13">
        <f t="shared" si="41"/>
        <v>328</v>
      </c>
      <c r="B329" s="14">
        <v>46055.054236111115</v>
      </c>
      <c r="C329" s="13" t="s">
        <v>67</v>
      </c>
      <c r="D329" s="13">
        <f t="shared" si="1"/>
        <v>1</v>
      </c>
      <c r="E329" s="13" t="s">
        <v>68</v>
      </c>
      <c r="F329" s="13">
        <f t="shared" si="2"/>
        <v>1</v>
      </c>
      <c r="G329" s="13" t="s">
        <v>82</v>
      </c>
      <c r="H329" s="13" t="str">
        <f t="shared" si="3"/>
        <v>Urban</v>
      </c>
      <c r="I329" s="13">
        <f t="shared" si="4"/>
        <v>2</v>
      </c>
      <c r="J329" s="13" t="s">
        <v>70</v>
      </c>
      <c r="K329" s="15" t="s">
        <v>100</v>
      </c>
      <c r="L329" s="13">
        <f t="shared" si="5"/>
        <v>3</v>
      </c>
      <c r="M329" s="13" t="s">
        <v>109</v>
      </c>
      <c r="N329" s="13">
        <f t="shared" si="6"/>
        <v>9</v>
      </c>
      <c r="O329" s="13" t="s">
        <v>85</v>
      </c>
      <c r="P329" s="13">
        <f t="shared" si="7"/>
        <v>4</v>
      </c>
      <c r="Q329" s="13" t="s">
        <v>73</v>
      </c>
      <c r="R329" s="13">
        <f t="shared" si="8"/>
        <v>2</v>
      </c>
      <c r="S329" s="13" t="s">
        <v>85</v>
      </c>
      <c r="T329" s="13">
        <f t="shared" si="9"/>
        <v>4</v>
      </c>
      <c r="U329" s="13" t="s">
        <v>74</v>
      </c>
      <c r="V329" s="13">
        <f t="shared" si="10"/>
        <v>1.5</v>
      </c>
      <c r="W329" s="13" t="s">
        <v>143</v>
      </c>
      <c r="X329" s="13">
        <f t="shared" si="11"/>
        <v>1</v>
      </c>
      <c r="Y329" s="13">
        <f t="shared" si="12"/>
        <v>0</v>
      </c>
      <c r="Z329" s="13">
        <f t="shared" si="13"/>
        <v>0</v>
      </c>
      <c r="AA329" s="13">
        <f t="shared" si="14"/>
        <v>0</v>
      </c>
      <c r="AB329" s="13" t="s">
        <v>72</v>
      </c>
      <c r="AC329" s="13">
        <f t="shared" si="15"/>
        <v>1</v>
      </c>
      <c r="AD329" s="13" t="s">
        <v>78</v>
      </c>
      <c r="AE329" s="13">
        <f t="shared" si="16"/>
        <v>3</v>
      </c>
      <c r="AF329" s="13" t="s">
        <v>76</v>
      </c>
      <c r="AG329" s="13">
        <f t="shared" si="17"/>
        <v>5.5</v>
      </c>
      <c r="AH329" s="13" t="s">
        <v>72</v>
      </c>
      <c r="AI329" s="13">
        <f t="shared" si="18"/>
        <v>1</v>
      </c>
      <c r="AJ329" s="13" t="s">
        <v>85</v>
      </c>
      <c r="AK329" s="13">
        <f t="shared" si="19"/>
        <v>4</v>
      </c>
      <c r="AL329" s="13" t="s">
        <v>78</v>
      </c>
      <c r="AM329" s="13">
        <f t="shared" si="20"/>
        <v>3</v>
      </c>
      <c r="AN329" s="13" t="s">
        <v>73</v>
      </c>
      <c r="AO329" s="13">
        <f t="shared" si="21"/>
        <v>2</v>
      </c>
      <c r="AP329" s="13" t="s">
        <v>85</v>
      </c>
      <c r="AQ329" s="13">
        <f t="shared" si="22"/>
        <v>4</v>
      </c>
      <c r="AR329" s="13" t="s">
        <v>78</v>
      </c>
      <c r="AS329" s="13">
        <f t="shared" si="23"/>
        <v>3</v>
      </c>
      <c r="AT329" s="13" t="s">
        <v>133</v>
      </c>
      <c r="AU329" s="15">
        <f t="shared" si="24"/>
        <v>0</v>
      </c>
      <c r="AV329" s="15">
        <f t="shared" si="25"/>
        <v>1</v>
      </c>
      <c r="AW329" s="13">
        <f t="shared" si="26"/>
        <v>0</v>
      </c>
      <c r="AX329" s="13">
        <f t="shared" si="27"/>
        <v>0</v>
      </c>
      <c r="AY329" s="13">
        <f t="shared" si="28"/>
        <v>0</v>
      </c>
      <c r="AZ329" s="13">
        <f t="shared" si="29"/>
        <v>0</v>
      </c>
      <c r="BA329" s="13">
        <f t="shared" si="30"/>
        <v>0</v>
      </c>
      <c r="BB329" s="13" t="s">
        <v>88</v>
      </c>
      <c r="BC329" s="13">
        <f t="shared" si="31"/>
        <v>2</v>
      </c>
      <c r="BD329" s="15"/>
      <c r="BE329" s="13" t="str">
        <f t="shared" si="47"/>
        <v>N/A</v>
      </c>
      <c r="BF329" s="13" t="s">
        <v>107</v>
      </c>
      <c r="BG329" s="13">
        <f t="shared" si="33"/>
        <v>1</v>
      </c>
      <c r="BH329" s="13">
        <f t="shared" si="34"/>
        <v>0</v>
      </c>
      <c r="BI329" s="13">
        <f t="shared" si="35"/>
        <v>0</v>
      </c>
      <c r="BJ329" s="13">
        <f t="shared" si="36"/>
        <v>0</v>
      </c>
      <c r="BK329" s="13">
        <f t="shared" si="37"/>
        <v>0</v>
      </c>
      <c r="BL329" s="13">
        <f t="shared" si="38"/>
        <v>0</v>
      </c>
      <c r="BM329" s="13">
        <f t="shared" si="39"/>
        <v>0</v>
      </c>
      <c r="BN329" s="13" t="s">
        <v>68</v>
      </c>
      <c r="BO329" s="16">
        <f t="shared" si="40"/>
        <v>1</v>
      </c>
    </row>
    <row r="330">
      <c r="A330" s="13">
        <f t="shared" si="41"/>
        <v>329</v>
      </c>
      <c r="B330" s="14">
        <v>46055.449601203705</v>
      </c>
      <c r="C330" s="13" t="s">
        <v>90</v>
      </c>
      <c r="D330" s="13">
        <f t="shared" si="1"/>
        <v>2</v>
      </c>
      <c r="E330" s="13" t="s">
        <v>68</v>
      </c>
      <c r="F330" s="13">
        <f t="shared" si="2"/>
        <v>1</v>
      </c>
      <c r="G330" s="13" t="s">
        <v>82</v>
      </c>
      <c r="H330" s="13" t="str">
        <f t="shared" si="3"/>
        <v>Urban</v>
      </c>
      <c r="I330" s="13">
        <f t="shared" si="4"/>
        <v>2</v>
      </c>
      <c r="J330" s="13" t="s">
        <v>83</v>
      </c>
      <c r="K330" s="15" t="s">
        <v>84</v>
      </c>
      <c r="L330" s="13">
        <f t="shared" si="5"/>
        <v>2</v>
      </c>
      <c r="M330" s="13" t="s">
        <v>71</v>
      </c>
      <c r="N330" s="13">
        <f t="shared" si="6"/>
        <v>7.7</v>
      </c>
      <c r="O330" s="13" t="s">
        <v>73</v>
      </c>
      <c r="P330" s="13">
        <f t="shared" si="7"/>
        <v>2</v>
      </c>
      <c r="Q330" s="13" t="s">
        <v>103</v>
      </c>
      <c r="R330" s="13">
        <f t="shared" si="8"/>
        <v>5</v>
      </c>
      <c r="S330" s="13" t="s">
        <v>103</v>
      </c>
      <c r="T330" s="13">
        <f t="shared" si="9"/>
        <v>5</v>
      </c>
      <c r="U330" s="13" t="s">
        <v>96</v>
      </c>
      <c r="V330" s="13">
        <f t="shared" si="10"/>
        <v>2.5</v>
      </c>
      <c r="W330" s="13" t="s">
        <v>105</v>
      </c>
      <c r="X330" s="13">
        <f t="shared" si="11"/>
        <v>1</v>
      </c>
      <c r="Y330" s="13">
        <f t="shared" si="12"/>
        <v>1</v>
      </c>
      <c r="Z330" s="13">
        <f t="shared" si="13"/>
        <v>0</v>
      </c>
      <c r="AA330" s="13">
        <f t="shared" si="14"/>
        <v>0</v>
      </c>
      <c r="AB330" s="13" t="s">
        <v>103</v>
      </c>
      <c r="AC330" s="13">
        <f t="shared" si="15"/>
        <v>5</v>
      </c>
      <c r="AD330" s="13" t="s">
        <v>103</v>
      </c>
      <c r="AE330" s="13">
        <f t="shared" si="16"/>
        <v>5</v>
      </c>
      <c r="AF330" s="13" t="s">
        <v>71</v>
      </c>
      <c r="AG330" s="13">
        <f t="shared" si="17"/>
        <v>7.7</v>
      </c>
      <c r="AH330" s="13" t="s">
        <v>78</v>
      </c>
      <c r="AI330" s="13">
        <f t="shared" si="18"/>
        <v>3</v>
      </c>
      <c r="AJ330" s="13" t="s">
        <v>85</v>
      </c>
      <c r="AK330" s="13">
        <f t="shared" si="19"/>
        <v>4</v>
      </c>
      <c r="AL330" s="13" t="s">
        <v>73</v>
      </c>
      <c r="AM330" s="13">
        <f t="shared" si="20"/>
        <v>2</v>
      </c>
      <c r="AN330" s="13" t="s">
        <v>85</v>
      </c>
      <c r="AO330" s="13">
        <f t="shared" si="21"/>
        <v>4</v>
      </c>
      <c r="AP330" s="13" t="s">
        <v>85</v>
      </c>
      <c r="AQ330" s="13">
        <f t="shared" si="22"/>
        <v>4</v>
      </c>
      <c r="AR330" s="13" t="s">
        <v>85</v>
      </c>
      <c r="AS330" s="13">
        <f t="shared" si="23"/>
        <v>4</v>
      </c>
      <c r="AT330" s="13" t="s">
        <v>79</v>
      </c>
      <c r="AU330" s="15">
        <f t="shared" si="24"/>
        <v>1</v>
      </c>
      <c r="AV330" s="15">
        <f t="shared" si="25"/>
        <v>0</v>
      </c>
      <c r="AW330" s="13">
        <f t="shared" si="26"/>
        <v>1</v>
      </c>
      <c r="AX330" s="13">
        <f t="shared" si="27"/>
        <v>0</v>
      </c>
      <c r="AY330" s="13">
        <f t="shared" si="28"/>
        <v>0</v>
      </c>
      <c r="AZ330" s="13">
        <f t="shared" si="29"/>
        <v>1</v>
      </c>
      <c r="BA330" s="13">
        <f t="shared" si="30"/>
        <v>0</v>
      </c>
      <c r="BB330" s="13" t="s">
        <v>88</v>
      </c>
      <c r="BC330" s="13">
        <f t="shared" si="31"/>
        <v>2</v>
      </c>
      <c r="BD330" s="15"/>
      <c r="BE330" s="13" t="str">
        <f t="shared" si="47"/>
        <v>N/A</v>
      </c>
      <c r="BF330" s="13" t="s">
        <v>129</v>
      </c>
      <c r="BG330" s="13">
        <f t="shared" si="33"/>
        <v>0</v>
      </c>
      <c r="BH330" s="13">
        <f t="shared" si="34"/>
        <v>0</v>
      </c>
      <c r="BI330" s="13">
        <f t="shared" si="35"/>
        <v>0</v>
      </c>
      <c r="BJ330" s="13">
        <f t="shared" si="36"/>
        <v>0</v>
      </c>
      <c r="BK330" s="13">
        <f t="shared" si="37"/>
        <v>0</v>
      </c>
      <c r="BL330" s="13">
        <f t="shared" si="38"/>
        <v>1</v>
      </c>
      <c r="BM330" s="13">
        <f t="shared" si="39"/>
        <v>0</v>
      </c>
      <c r="BN330" s="13" t="s">
        <v>68</v>
      </c>
      <c r="BO330" s="16">
        <f t="shared" si="40"/>
        <v>1</v>
      </c>
    </row>
    <row r="331">
      <c r="A331" s="13">
        <f t="shared" si="41"/>
        <v>330</v>
      </c>
      <c r="B331" s="14">
        <v>46055.89411796296</v>
      </c>
      <c r="C331" s="13" t="s">
        <v>67</v>
      </c>
      <c r="D331" s="13">
        <f t="shared" si="1"/>
        <v>1</v>
      </c>
      <c r="E331" s="13" t="s">
        <v>68</v>
      </c>
      <c r="F331" s="13">
        <f t="shared" si="2"/>
        <v>1</v>
      </c>
      <c r="G331" s="13" t="s">
        <v>69</v>
      </c>
      <c r="H331" s="13" t="str">
        <f t="shared" si="3"/>
        <v>Rural</v>
      </c>
      <c r="I331" s="13">
        <f t="shared" si="4"/>
        <v>1</v>
      </c>
      <c r="J331" s="13" t="s">
        <v>70</v>
      </c>
      <c r="K331" s="15" t="s">
        <v>100</v>
      </c>
      <c r="L331" s="13">
        <f t="shared" si="5"/>
        <v>3</v>
      </c>
      <c r="M331" s="13" t="s">
        <v>71</v>
      </c>
      <c r="N331" s="13">
        <f t="shared" si="6"/>
        <v>7.7</v>
      </c>
      <c r="O331" s="13" t="s">
        <v>85</v>
      </c>
      <c r="P331" s="13">
        <f t="shared" si="7"/>
        <v>4</v>
      </c>
      <c r="Q331" s="13" t="s">
        <v>85</v>
      </c>
      <c r="R331" s="13">
        <f t="shared" si="8"/>
        <v>4</v>
      </c>
      <c r="S331" s="13" t="s">
        <v>85</v>
      </c>
      <c r="T331" s="13">
        <f t="shared" si="9"/>
        <v>4</v>
      </c>
      <c r="U331" s="13" t="s">
        <v>92</v>
      </c>
      <c r="V331" s="13">
        <f t="shared" si="10"/>
        <v>3.5</v>
      </c>
      <c r="W331" s="13" t="s">
        <v>93</v>
      </c>
      <c r="X331" s="13">
        <f t="shared" si="11"/>
        <v>0</v>
      </c>
      <c r="Y331" s="13">
        <f t="shared" si="12"/>
        <v>1</v>
      </c>
      <c r="Z331" s="13">
        <f t="shared" si="13"/>
        <v>0</v>
      </c>
      <c r="AA331" s="13">
        <f t="shared" si="14"/>
        <v>0</v>
      </c>
      <c r="AB331" s="13" t="s">
        <v>73</v>
      </c>
      <c r="AC331" s="13">
        <f t="shared" si="15"/>
        <v>2</v>
      </c>
      <c r="AD331" s="13" t="s">
        <v>73</v>
      </c>
      <c r="AE331" s="13">
        <f t="shared" si="16"/>
        <v>2</v>
      </c>
      <c r="AF331" s="13" t="s">
        <v>71</v>
      </c>
      <c r="AG331" s="13">
        <f t="shared" si="17"/>
        <v>7.7</v>
      </c>
      <c r="AH331" s="13" t="s">
        <v>103</v>
      </c>
      <c r="AI331" s="13">
        <f t="shared" si="18"/>
        <v>5</v>
      </c>
      <c r="AJ331" s="13" t="s">
        <v>73</v>
      </c>
      <c r="AK331" s="13">
        <f t="shared" si="19"/>
        <v>2</v>
      </c>
      <c r="AL331" s="13" t="s">
        <v>85</v>
      </c>
      <c r="AM331" s="13">
        <f t="shared" si="20"/>
        <v>4</v>
      </c>
      <c r="AN331" s="13" t="s">
        <v>85</v>
      </c>
      <c r="AO331" s="13">
        <f t="shared" si="21"/>
        <v>4</v>
      </c>
      <c r="AP331" s="13" t="s">
        <v>85</v>
      </c>
      <c r="AQ331" s="13">
        <f t="shared" si="22"/>
        <v>4</v>
      </c>
      <c r="AR331" s="13" t="s">
        <v>85</v>
      </c>
      <c r="AS331" s="13">
        <f t="shared" si="23"/>
        <v>4</v>
      </c>
      <c r="AT331" s="13" t="s">
        <v>359</v>
      </c>
      <c r="AU331" s="15">
        <f t="shared" si="24"/>
        <v>1</v>
      </c>
      <c r="AV331" s="15">
        <f t="shared" si="25"/>
        <v>0</v>
      </c>
      <c r="AW331" s="13">
        <f t="shared" si="26"/>
        <v>0</v>
      </c>
      <c r="AX331" s="13">
        <f t="shared" si="27"/>
        <v>1</v>
      </c>
      <c r="AY331" s="13">
        <f t="shared" si="28"/>
        <v>0</v>
      </c>
      <c r="AZ331" s="13">
        <f t="shared" si="29"/>
        <v>0</v>
      </c>
      <c r="BA331" s="13">
        <f t="shared" si="30"/>
        <v>1</v>
      </c>
      <c r="BB331" s="13" t="s">
        <v>68</v>
      </c>
      <c r="BC331" s="13">
        <f t="shared" si="31"/>
        <v>1</v>
      </c>
      <c r="BD331" s="13" t="s">
        <v>244</v>
      </c>
      <c r="BE331" s="13" t="str">
        <f t="shared" si="47"/>
        <v>Alarm app</v>
      </c>
      <c r="BF331" s="13" t="s">
        <v>360</v>
      </c>
      <c r="BG331" s="13">
        <f t="shared" si="33"/>
        <v>0</v>
      </c>
      <c r="BH331" s="13">
        <f t="shared" si="34"/>
        <v>1</v>
      </c>
      <c r="BI331" s="13">
        <f t="shared" si="35"/>
        <v>0</v>
      </c>
      <c r="BJ331" s="13">
        <f t="shared" si="36"/>
        <v>0</v>
      </c>
      <c r="BK331" s="13">
        <f t="shared" si="37"/>
        <v>1</v>
      </c>
      <c r="BL331" s="13">
        <f t="shared" si="38"/>
        <v>1</v>
      </c>
      <c r="BM331" s="13">
        <f t="shared" si="39"/>
        <v>0</v>
      </c>
      <c r="BN331" s="13" t="s">
        <v>68</v>
      </c>
      <c r="BO331" s="16">
        <f t="shared" si="40"/>
        <v>1</v>
      </c>
    </row>
    <row r="332">
      <c r="A332" s="13">
        <f t="shared" si="41"/>
        <v>331</v>
      </c>
      <c r="B332" s="14">
        <v>46055.93962888889</v>
      </c>
      <c r="C332" s="13" t="s">
        <v>67</v>
      </c>
      <c r="D332" s="13">
        <f t="shared" si="1"/>
        <v>1</v>
      </c>
      <c r="E332" s="13" t="s">
        <v>68</v>
      </c>
      <c r="F332" s="13">
        <f t="shared" si="2"/>
        <v>1</v>
      </c>
      <c r="G332" s="13" t="s">
        <v>69</v>
      </c>
      <c r="H332" s="13" t="str">
        <f t="shared" si="3"/>
        <v>Rural</v>
      </c>
      <c r="I332" s="13">
        <f t="shared" si="4"/>
        <v>1</v>
      </c>
      <c r="J332" s="13" t="s">
        <v>145</v>
      </c>
      <c r="K332" s="15" t="s">
        <v>146</v>
      </c>
      <c r="L332" s="13">
        <f t="shared" si="5"/>
        <v>1</v>
      </c>
      <c r="M332" s="13" t="s">
        <v>101</v>
      </c>
      <c r="N332" s="13">
        <f t="shared" si="6"/>
        <v>2</v>
      </c>
      <c r="O332" s="13" t="s">
        <v>72</v>
      </c>
      <c r="P332" s="13">
        <f t="shared" si="7"/>
        <v>1</v>
      </c>
      <c r="Q332" s="13" t="s">
        <v>103</v>
      </c>
      <c r="R332" s="13">
        <f t="shared" si="8"/>
        <v>5</v>
      </c>
      <c r="S332" s="13" t="s">
        <v>103</v>
      </c>
      <c r="T332" s="13">
        <f t="shared" si="9"/>
        <v>5</v>
      </c>
      <c r="U332" s="13" t="s">
        <v>92</v>
      </c>
      <c r="V332" s="13">
        <f t="shared" si="10"/>
        <v>3.5</v>
      </c>
      <c r="W332" s="13" t="s">
        <v>93</v>
      </c>
      <c r="X332" s="13">
        <f t="shared" si="11"/>
        <v>0</v>
      </c>
      <c r="Y332" s="13">
        <f t="shared" si="12"/>
        <v>1</v>
      </c>
      <c r="Z332" s="13">
        <f t="shared" si="13"/>
        <v>0</v>
      </c>
      <c r="AA332" s="13">
        <f t="shared" si="14"/>
        <v>0</v>
      </c>
      <c r="AB332" s="13" t="s">
        <v>73</v>
      </c>
      <c r="AC332" s="13">
        <f t="shared" si="15"/>
        <v>2</v>
      </c>
      <c r="AD332" s="13" t="s">
        <v>73</v>
      </c>
      <c r="AE332" s="13">
        <f t="shared" si="16"/>
        <v>2</v>
      </c>
      <c r="AF332" s="13" t="s">
        <v>71</v>
      </c>
      <c r="AG332" s="13">
        <f t="shared" si="17"/>
        <v>7.7</v>
      </c>
      <c r="AH332" s="13" t="s">
        <v>103</v>
      </c>
      <c r="AI332" s="13">
        <f t="shared" si="18"/>
        <v>5</v>
      </c>
      <c r="AJ332" s="13" t="s">
        <v>120</v>
      </c>
      <c r="AK332" s="13">
        <f t="shared" si="19"/>
        <v>5</v>
      </c>
      <c r="AL332" s="13" t="s">
        <v>120</v>
      </c>
      <c r="AM332" s="13">
        <f t="shared" si="20"/>
        <v>5</v>
      </c>
      <c r="AN332" s="13" t="s">
        <v>120</v>
      </c>
      <c r="AO332" s="13">
        <f t="shared" si="21"/>
        <v>5</v>
      </c>
      <c r="AP332" s="13" t="s">
        <v>120</v>
      </c>
      <c r="AQ332" s="13">
        <f t="shared" si="22"/>
        <v>5</v>
      </c>
      <c r="AR332" s="13" t="s">
        <v>120</v>
      </c>
      <c r="AS332" s="13">
        <f t="shared" si="23"/>
        <v>5</v>
      </c>
      <c r="AT332" s="13" t="s">
        <v>361</v>
      </c>
      <c r="AU332" s="15">
        <f t="shared" si="24"/>
        <v>0</v>
      </c>
      <c r="AV332" s="15">
        <f t="shared" si="25"/>
        <v>1</v>
      </c>
      <c r="AW332" s="13">
        <f t="shared" si="26"/>
        <v>0</v>
      </c>
      <c r="AX332" s="13">
        <f t="shared" si="27"/>
        <v>1</v>
      </c>
      <c r="AY332" s="13">
        <f t="shared" si="28"/>
        <v>0</v>
      </c>
      <c r="AZ332" s="13">
        <f t="shared" si="29"/>
        <v>0</v>
      </c>
      <c r="BA332" s="13">
        <f t="shared" si="30"/>
        <v>1</v>
      </c>
      <c r="BB332" s="13" t="s">
        <v>88</v>
      </c>
      <c r="BC332" s="13">
        <f t="shared" si="31"/>
        <v>2</v>
      </c>
      <c r="BD332" s="15"/>
      <c r="BE332" s="13" t="str">
        <f t="shared" si="47"/>
        <v>N/A</v>
      </c>
      <c r="BF332" s="13" t="s">
        <v>113</v>
      </c>
      <c r="BG332" s="13">
        <f t="shared" si="33"/>
        <v>0</v>
      </c>
      <c r="BH332" s="13">
        <f t="shared" si="34"/>
        <v>0</v>
      </c>
      <c r="BI332" s="13">
        <f t="shared" si="35"/>
        <v>0</v>
      </c>
      <c r="BJ332" s="13">
        <f t="shared" si="36"/>
        <v>0</v>
      </c>
      <c r="BK332" s="13">
        <f t="shared" si="37"/>
        <v>0</v>
      </c>
      <c r="BL332" s="13">
        <f t="shared" si="38"/>
        <v>0</v>
      </c>
      <c r="BM332" s="13">
        <f t="shared" si="39"/>
        <v>1</v>
      </c>
      <c r="BN332" s="13" t="s">
        <v>88</v>
      </c>
      <c r="BO332" s="16">
        <f t="shared" si="40"/>
        <v>2</v>
      </c>
    </row>
    <row r="333">
      <c r="A333" s="13">
        <f t="shared" si="41"/>
        <v>332</v>
      </c>
      <c r="B333" s="14">
        <v>46055.93964074074</v>
      </c>
      <c r="C333" s="13" t="s">
        <v>90</v>
      </c>
      <c r="D333" s="13">
        <f t="shared" si="1"/>
        <v>2</v>
      </c>
      <c r="E333" s="13" t="s">
        <v>68</v>
      </c>
      <c r="F333" s="13">
        <f t="shared" si="2"/>
        <v>1</v>
      </c>
      <c r="G333" s="13" t="s">
        <v>82</v>
      </c>
      <c r="H333" s="13" t="str">
        <f t="shared" si="3"/>
        <v>Urban</v>
      </c>
      <c r="I333" s="13">
        <f t="shared" si="4"/>
        <v>2</v>
      </c>
      <c r="J333" s="13" t="s">
        <v>83</v>
      </c>
      <c r="K333" s="15" t="s">
        <v>84</v>
      </c>
      <c r="L333" s="13">
        <f t="shared" si="5"/>
        <v>2</v>
      </c>
      <c r="M333" s="13" t="s">
        <v>71</v>
      </c>
      <c r="N333" s="13">
        <f t="shared" si="6"/>
        <v>7.7</v>
      </c>
      <c r="O333" s="13" t="s">
        <v>103</v>
      </c>
      <c r="P333" s="13">
        <f t="shared" si="7"/>
        <v>5</v>
      </c>
      <c r="Q333" s="13" t="s">
        <v>103</v>
      </c>
      <c r="R333" s="13">
        <f t="shared" si="8"/>
        <v>5</v>
      </c>
      <c r="S333" s="13" t="s">
        <v>103</v>
      </c>
      <c r="T333" s="13">
        <f t="shared" si="9"/>
        <v>5</v>
      </c>
      <c r="U333" s="13" t="s">
        <v>110</v>
      </c>
      <c r="V333" s="13">
        <f t="shared" si="10"/>
        <v>0.75</v>
      </c>
      <c r="W333" s="13" t="s">
        <v>111</v>
      </c>
      <c r="X333" s="13">
        <f t="shared" si="11"/>
        <v>1</v>
      </c>
      <c r="Y333" s="13">
        <f t="shared" si="12"/>
        <v>1</v>
      </c>
      <c r="Z333" s="13">
        <f t="shared" si="13"/>
        <v>0</v>
      </c>
      <c r="AA333" s="13">
        <f t="shared" si="14"/>
        <v>1</v>
      </c>
      <c r="AB333" s="13" t="s">
        <v>73</v>
      </c>
      <c r="AC333" s="13">
        <f t="shared" si="15"/>
        <v>2</v>
      </c>
      <c r="AD333" s="13" t="s">
        <v>73</v>
      </c>
      <c r="AE333" s="13">
        <f t="shared" si="16"/>
        <v>2</v>
      </c>
      <c r="AF333" s="13" t="s">
        <v>71</v>
      </c>
      <c r="AG333" s="13">
        <f t="shared" si="17"/>
        <v>7.7</v>
      </c>
      <c r="AH333" s="13" t="s">
        <v>103</v>
      </c>
      <c r="AI333" s="13">
        <f t="shared" si="18"/>
        <v>5</v>
      </c>
      <c r="AJ333" s="13" t="s">
        <v>85</v>
      </c>
      <c r="AK333" s="13">
        <f t="shared" si="19"/>
        <v>4</v>
      </c>
      <c r="AL333" s="13" t="s">
        <v>78</v>
      </c>
      <c r="AM333" s="13">
        <f t="shared" si="20"/>
        <v>3</v>
      </c>
      <c r="AN333" s="13" t="s">
        <v>120</v>
      </c>
      <c r="AO333" s="13">
        <f t="shared" si="21"/>
        <v>5</v>
      </c>
      <c r="AP333" s="13" t="s">
        <v>78</v>
      </c>
      <c r="AQ333" s="13">
        <f t="shared" si="22"/>
        <v>3</v>
      </c>
      <c r="AR333" s="13" t="s">
        <v>85</v>
      </c>
      <c r="AS333" s="13">
        <f t="shared" si="23"/>
        <v>4</v>
      </c>
      <c r="AT333" s="13" t="s">
        <v>343</v>
      </c>
      <c r="AU333" s="15">
        <f t="shared" si="24"/>
        <v>0</v>
      </c>
      <c r="AV333" s="15">
        <f t="shared" si="25"/>
        <v>1</v>
      </c>
      <c r="AW333" s="13">
        <f t="shared" si="26"/>
        <v>1</v>
      </c>
      <c r="AX333" s="13">
        <f t="shared" si="27"/>
        <v>1</v>
      </c>
      <c r="AY333" s="13">
        <f t="shared" si="28"/>
        <v>0</v>
      </c>
      <c r="AZ333" s="13">
        <f t="shared" si="29"/>
        <v>1</v>
      </c>
      <c r="BA333" s="13">
        <f t="shared" si="30"/>
        <v>1</v>
      </c>
      <c r="BB333" s="13" t="s">
        <v>68</v>
      </c>
      <c r="BC333" s="13">
        <f t="shared" si="31"/>
        <v>1</v>
      </c>
      <c r="BD333" s="13" t="s">
        <v>362</v>
      </c>
      <c r="BE333" s="13" t="s">
        <v>363</v>
      </c>
      <c r="BF333" s="13" t="s">
        <v>117</v>
      </c>
      <c r="BG333" s="13">
        <f t="shared" si="33"/>
        <v>0</v>
      </c>
      <c r="BH333" s="13">
        <f t="shared" si="34"/>
        <v>0</v>
      </c>
      <c r="BI333" s="13">
        <f t="shared" si="35"/>
        <v>1</v>
      </c>
      <c r="BJ333" s="13">
        <f t="shared" si="36"/>
        <v>1</v>
      </c>
      <c r="BK333" s="13">
        <f t="shared" si="37"/>
        <v>0</v>
      </c>
      <c r="BL333" s="13">
        <f t="shared" si="38"/>
        <v>0</v>
      </c>
      <c r="BM333" s="13">
        <f t="shared" si="39"/>
        <v>0</v>
      </c>
      <c r="BN333" s="13" t="s">
        <v>68</v>
      </c>
      <c r="BO333" s="16">
        <f t="shared" si="40"/>
        <v>1</v>
      </c>
    </row>
    <row r="334">
      <c r="A334" s="13">
        <f t="shared" si="41"/>
        <v>333</v>
      </c>
      <c r="B334" s="14">
        <v>46055.94982155092</v>
      </c>
      <c r="C334" s="13" t="s">
        <v>67</v>
      </c>
      <c r="D334" s="13">
        <f t="shared" si="1"/>
        <v>1</v>
      </c>
      <c r="E334" s="13" t="s">
        <v>68</v>
      </c>
      <c r="F334" s="13">
        <f t="shared" si="2"/>
        <v>1</v>
      </c>
      <c r="G334" s="13" t="s">
        <v>69</v>
      </c>
      <c r="H334" s="13" t="str">
        <f t="shared" si="3"/>
        <v>Rural</v>
      </c>
      <c r="I334" s="13">
        <f t="shared" si="4"/>
        <v>1</v>
      </c>
      <c r="J334" s="13" t="s">
        <v>83</v>
      </c>
      <c r="K334" s="15" t="s">
        <v>84</v>
      </c>
      <c r="L334" s="13">
        <f t="shared" si="5"/>
        <v>2</v>
      </c>
      <c r="M334" s="13" t="s">
        <v>101</v>
      </c>
      <c r="N334" s="13">
        <f t="shared" si="6"/>
        <v>2</v>
      </c>
      <c r="O334" s="13" t="s">
        <v>85</v>
      </c>
      <c r="P334" s="13">
        <f t="shared" si="7"/>
        <v>4</v>
      </c>
      <c r="Q334" s="13" t="s">
        <v>85</v>
      </c>
      <c r="R334" s="13">
        <f t="shared" si="8"/>
        <v>4</v>
      </c>
      <c r="S334" s="13" t="s">
        <v>85</v>
      </c>
      <c r="T334" s="13">
        <f t="shared" si="9"/>
        <v>4</v>
      </c>
      <c r="U334" s="13" t="s">
        <v>270</v>
      </c>
      <c r="V334" s="13">
        <f t="shared" si="10"/>
        <v>0.25</v>
      </c>
      <c r="W334" s="13" t="s">
        <v>102</v>
      </c>
      <c r="X334" s="13">
        <f t="shared" si="11"/>
        <v>1</v>
      </c>
      <c r="Y334" s="13">
        <f t="shared" si="12"/>
        <v>1</v>
      </c>
      <c r="Z334" s="13">
        <f t="shared" si="13"/>
        <v>1</v>
      </c>
      <c r="AA334" s="13">
        <f t="shared" si="14"/>
        <v>1</v>
      </c>
      <c r="AB334" s="13" t="s">
        <v>103</v>
      </c>
      <c r="AC334" s="13">
        <f t="shared" si="15"/>
        <v>5</v>
      </c>
      <c r="AD334" s="13" t="s">
        <v>103</v>
      </c>
      <c r="AE334" s="13">
        <f t="shared" si="16"/>
        <v>5</v>
      </c>
      <c r="AF334" s="13" t="s">
        <v>71</v>
      </c>
      <c r="AG334" s="13">
        <f t="shared" si="17"/>
        <v>7.7</v>
      </c>
      <c r="AH334" s="13" t="s">
        <v>85</v>
      </c>
      <c r="AI334" s="13">
        <f t="shared" si="18"/>
        <v>4</v>
      </c>
      <c r="AJ334" s="13" t="s">
        <v>85</v>
      </c>
      <c r="AK334" s="13">
        <f t="shared" si="19"/>
        <v>4</v>
      </c>
      <c r="AL334" s="13" t="s">
        <v>120</v>
      </c>
      <c r="AM334" s="13">
        <f t="shared" si="20"/>
        <v>5</v>
      </c>
      <c r="AN334" s="13" t="s">
        <v>85</v>
      </c>
      <c r="AO334" s="13">
        <f t="shared" si="21"/>
        <v>4</v>
      </c>
      <c r="AP334" s="13" t="s">
        <v>120</v>
      </c>
      <c r="AQ334" s="13">
        <f t="shared" si="22"/>
        <v>5</v>
      </c>
      <c r="AR334" s="13" t="s">
        <v>120</v>
      </c>
      <c r="AS334" s="13">
        <f t="shared" si="23"/>
        <v>5</v>
      </c>
      <c r="AT334" s="13" t="s">
        <v>79</v>
      </c>
      <c r="AU334" s="15">
        <f t="shared" si="24"/>
        <v>1</v>
      </c>
      <c r="AV334" s="15">
        <f t="shared" si="25"/>
        <v>0</v>
      </c>
      <c r="AW334" s="13">
        <f t="shared" si="26"/>
        <v>1</v>
      </c>
      <c r="AX334" s="13">
        <f t="shared" si="27"/>
        <v>0</v>
      </c>
      <c r="AY334" s="13">
        <f t="shared" si="28"/>
        <v>0</v>
      </c>
      <c r="AZ334" s="13">
        <f t="shared" si="29"/>
        <v>1</v>
      </c>
      <c r="BA334" s="13">
        <f t="shared" si="30"/>
        <v>0</v>
      </c>
      <c r="BB334" s="13" t="s">
        <v>68</v>
      </c>
      <c r="BC334" s="13">
        <f t="shared" si="31"/>
        <v>1</v>
      </c>
      <c r="BD334" s="15"/>
      <c r="BE334" s="13" t="str">
        <f t="shared" ref="BE334:BE367" si="48">IFS(OR(BD334="Sleeping tracking",BD334="Sleep tracker"),"Sleep tracker app",BD334="Health","Health app",OR(BD334="Samsung Health ",BD334="samsung health"),"Samsung Health app",OR(BD334="Alarm clock ",BD334="Alarm "),"Alarm app",BD334="My health app","My health app",BD334="Smartwatch /wearable apps ","Wearable app",BD334="HryFine","HryFine app",TRUE,"N/A")
</f>
        <v>N/A</v>
      </c>
      <c r="BF334" s="13" t="s">
        <v>364</v>
      </c>
      <c r="BG334" s="13">
        <f t="shared" si="33"/>
        <v>0</v>
      </c>
      <c r="BH334" s="13">
        <f t="shared" si="34"/>
        <v>1</v>
      </c>
      <c r="BI334" s="13">
        <f t="shared" si="35"/>
        <v>0</v>
      </c>
      <c r="BJ334" s="13">
        <f t="shared" si="36"/>
        <v>1</v>
      </c>
      <c r="BK334" s="13">
        <f t="shared" si="37"/>
        <v>0</v>
      </c>
      <c r="BL334" s="13">
        <f t="shared" si="38"/>
        <v>1</v>
      </c>
      <c r="BM334" s="13">
        <f t="shared" si="39"/>
        <v>0</v>
      </c>
      <c r="BN334" s="15"/>
      <c r="BO334" s="16" t="str">
        <f t="shared" si="40"/>
        <v>N/A</v>
      </c>
    </row>
    <row r="335">
      <c r="A335" s="13">
        <f t="shared" si="41"/>
        <v>334</v>
      </c>
      <c r="B335" s="14">
        <v>46055.96192725694</v>
      </c>
      <c r="C335" s="13" t="s">
        <v>90</v>
      </c>
      <c r="D335" s="13">
        <f t="shared" si="1"/>
        <v>2</v>
      </c>
      <c r="E335" s="13" t="s">
        <v>68</v>
      </c>
      <c r="F335" s="13">
        <f t="shared" si="2"/>
        <v>1</v>
      </c>
      <c r="G335" s="13" t="s">
        <v>69</v>
      </c>
      <c r="H335" s="13" t="str">
        <f t="shared" si="3"/>
        <v>Rural</v>
      </c>
      <c r="I335" s="13">
        <f t="shared" si="4"/>
        <v>1</v>
      </c>
      <c r="J335" s="13" t="s">
        <v>145</v>
      </c>
      <c r="K335" s="15" t="s">
        <v>146</v>
      </c>
      <c r="L335" s="13">
        <f t="shared" si="5"/>
        <v>1</v>
      </c>
      <c r="M335" s="13" t="s">
        <v>71</v>
      </c>
      <c r="N335" s="13">
        <f t="shared" si="6"/>
        <v>7.7</v>
      </c>
      <c r="O335" s="13" t="s">
        <v>78</v>
      </c>
      <c r="P335" s="13">
        <f t="shared" si="7"/>
        <v>3</v>
      </c>
      <c r="Q335" s="13" t="s">
        <v>78</v>
      </c>
      <c r="R335" s="13">
        <f t="shared" si="8"/>
        <v>3</v>
      </c>
      <c r="S335" s="13" t="s">
        <v>78</v>
      </c>
      <c r="T335" s="13">
        <f t="shared" si="9"/>
        <v>3</v>
      </c>
      <c r="U335" s="13" t="s">
        <v>92</v>
      </c>
      <c r="V335" s="13">
        <f t="shared" si="10"/>
        <v>3.5</v>
      </c>
      <c r="W335" s="13" t="s">
        <v>143</v>
      </c>
      <c r="X335" s="13">
        <f t="shared" si="11"/>
        <v>1</v>
      </c>
      <c r="Y335" s="13">
        <f t="shared" si="12"/>
        <v>0</v>
      </c>
      <c r="Z335" s="13">
        <f t="shared" si="13"/>
        <v>0</v>
      </c>
      <c r="AA335" s="13">
        <f t="shared" si="14"/>
        <v>0</v>
      </c>
      <c r="AB335" s="13" t="s">
        <v>78</v>
      </c>
      <c r="AC335" s="13">
        <f t="shared" si="15"/>
        <v>3</v>
      </c>
      <c r="AD335" s="13" t="s">
        <v>78</v>
      </c>
      <c r="AE335" s="13">
        <f t="shared" si="16"/>
        <v>3</v>
      </c>
      <c r="AF335" s="13" t="s">
        <v>71</v>
      </c>
      <c r="AG335" s="13">
        <f t="shared" si="17"/>
        <v>7.7</v>
      </c>
      <c r="AH335" s="13" t="s">
        <v>85</v>
      </c>
      <c r="AI335" s="13">
        <f t="shared" si="18"/>
        <v>4</v>
      </c>
      <c r="AJ335" s="13" t="s">
        <v>77</v>
      </c>
      <c r="AK335" s="13">
        <f t="shared" si="19"/>
        <v>1</v>
      </c>
      <c r="AL335" s="13" t="s">
        <v>85</v>
      </c>
      <c r="AM335" s="13">
        <f t="shared" si="20"/>
        <v>4</v>
      </c>
      <c r="AN335" s="13" t="s">
        <v>85</v>
      </c>
      <c r="AO335" s="13">
        <f t="shared" si="21"/>
        <v>4</v>
      </c>
      <c r="AP335" s="15"/>
      <c r="AQ335" s="13" t="str">
        <f t="shared" si="22"/>
        <v>N/A</v>
      </c>
      <c r="AR335" s="13" t="s">
        <v>78</v>
      </c>
      <c r="AS335" s="13">
        <f t="shared" si="23"/>
        <v>3</v>
      </c>
      <c r="AT335" s="13" t="s">
        <v>133</v>
      </c>
      <c r="AU335" s="15">
        <f t="shared" si="24"/>
        <v>0</v>
      </c>
      <c r="AV335" s="15">
        <f t="shared" si="25"/>
        <v>1</v>
      </c>
      <c r="AW335" s="13">
        <f t="shared" si="26"/>
        <v>0</v>
      </c>
      <c r="AX335" s="13">
        <f t="shared" si="27"/>
        <v>0</v>
      </c>
      <c r="AY335" s="13">
        <f t="shared" si="28"/>
        <v>0</v>
      </c>
      <c r="AZ335" s="13">
        <f t="shared" si="29"/>
        <v>0</v>
      </c>
      <c r="BA335" s="13">
        <f t="shared" si="30"/>
        <v>0</v>
      </c>
      <c r="BB335" s="13" t="s">
        <v>88</v>
      </c>
      <c r="BC335" s="13">
        <f t="shared" si="31"/>
        <v>2</v>
      </c>
      <c r="BD335" s="15"/>
      <c r="BE335" s="13" t="str">
        <f t="shared" si="48"/>
        <v>N/A</v>
      </c>
      <c r="BF335" s="13" t="s">
        <v>224</v>
      </c>
      <c r="BG335" s="13">
        <f t="shared" si="33"/>
        <v>0</v>
      </c>
      <c r="BH335" s="13">
        <f t="shared" si="34"/>
        <v>0</v>
      </c>
      <c r="BI335" s="13">
        <f t="shared" si="35"/>
        <v>1</v>
      </c>
      <c r="BJ335" s="13">
        <f t="shared" si="36"/>
        <v>0</v>
      </c>
      <c r="BK335" s="13">
        <f t="shared" si="37"/>
        <v>0</v>
      </c>
      <c r="BL335" s="13">
        <f t="shared" si="38"/>
        <v>0</v>
      </c>
      <c r="BM335" s="13">
        <f t="shared" si="39"/>
        <v>0</v>
      </c>
      <c r="BN335" s="13" t="s">
        <v>108</v>
      </c>
      <c r="BO335" s="16">
        <f t="shared" si="40"/>
        <v>3</v>
      </c>
    </row>
    <row r="336">
      <c r="A336" s="13">
        <f t="shared" si="41"/>
        <v>335</v>
      </c>
      <c r="B336" s="14">
        <v>46055.96306692129</v>
      </c>
      <c r="C336" s="13" t="s">
        <v>67</v>
      </c>
      <c r="D336" s="13">
        <f t="shared" si="1"/>
        <v>1</v>
      </c>
      <c r="E336" s="13" t="s">
        <v>68</v>
      </c>
      <c r="F336" s="13">
        <f t="shared" si="2"/>
        <v>1</v>
      </c>
      <c r="G336" s="13" t="s">
        <v>82</v>
      </c>
      <c r="H336" s="13" t="str">
        <f t="shared" si="3"/>
        <v>Urban</v>
      </c>
      <c r="I336" s="13">
        <f t="shared" si="4"/>
        <v>2</v>
      </c>
      <c r="J336" s="13" t="s">
        <v>70</v>
      </c>
      <c r="K336" s="15" t="s">
        <v>100</v>
      </c>
      <c r="L336" s="13">
        <f t="shared" si="5"/>
        <v>3</v>
      </c>
      <c r="M336" s="13" t="s">
        <v>71</v>
      </c>
      <c r="N336" s="13">
        <f t="shared" si="6"/>
        <v>7.7</v>
      </c>
      <c r="O336" s="13" t="s">
        <v>78</v>
      </c>
      <c r="P336" s="13">
        <f t="shared" si="7"/>
        <v>3</v>
      </c>
      <c r="Q336" s="13" t="s">
        <v>73</v>
      </c>
      <c r="R336" s="13">
        <f t="shared" si="8"/>
        <v>2</v>
      </c>
      <c r="S336" s="13" t="s">
        <v>78</v>
      </c>
      <c r="T336" s="13">
        <f t="shared" si="9"/>
        <v>3</v>
      </c>
      <c r="U336" s="13" t="s">
        <v>270</v>
      </c>
      <c r="V336" s="13">
        <f t="shared" si="10"/>
        <v>0.25</v>
      </c>
      <c r="W336" s="13" t="s">
        <v>334</v>
      </c>
      <c r="X336" s="13">
        <f t="shared" si="11"/>
        <v>0</v>
      </c>
      <c r="Y336" s="13">
        <f t="shared" si="12"/>
        <v>0</v>
      </c>
      <c r="Z336" s="13">
        <f t="shared" si="13"/>
        <v>0</v>
      </c>
      <c r="AA336" s="13">
        <f t="shared" si="14"/>
        <v>1</v>
      </c>
      <c r="AB336" s="13" t="s">
        <v>78</v>
      </c>
      <c r="AC336" s="13">
        <f t="shared" si="15"/>
        <v>3</v>
      </c>
      <c r="AD336" s="13" t="s">
        <v>78</v>
      </c>
      <c r="AE336" s="13">
        <f t="shared" si="16"/>
        <v>3</v>
      </c>
      <c r="AF336" s="13" t="s">
        <v>71</v>
      </c>
      <c r="AG336" s="13">
        <f t="shared" si="17"/>
        <v>7.7</v>
      </c>
      <c r="AH336" s="13" t="s">
        <v>85</v>
      </c>
      <c r="AI336" s="13">
        <f t="shared" si="18"/>
        <v>4</v>
      </c>
      <c r="AJ336" s="13" t="s">
        <v>85</v>
      </c>
      <c r="AK336" s="13">
        <f t="shared" si="19"/>
        <v>4</v>
      </c>
      <c r="AL336" s="13" t="s">
        <v>85</v>
      </c>
      <c r="AM336" s="13">
        <f t="shared" si="20"/>
        <v>4</v>
      </c>
      <c r="AN336" s="13" t="s">
        <v>85</v>
      </c>
      <c r="AO336" s="13">
        <f t="shared" si="21"/>
        <v>4</v>
      </c>
      <c r="AP336" s="13" t="s">
        <v>85</v>
      </c>
      <c r="AQ336" s="13">
        <f t="shared" si="22"/>
        <v>4</v>
      </c>
      <c r="AR336" s="13" t="s">
        <v>85</v>
      </c>
      <c r="AS336" s="13">
        <f t="shared" si="23"/>
        <v>4</v>
      </c>
      <c r="AT336" s="13" t="s">
        <v>147</v>
      </c>
      <c r="AU336" s="15">
        <f t="shared" si="24"/>
        <v>1</v>
      </c>
      <c r="AV336" s="15">
        <f t="shared" si="25"/>
        <v>0</v>
      </c>
      <c r="AW336" s="13">
        <f t="shared" si="26"/>
        <v>0</v>
      </c>
      <c r="AX336" s="13">
        <f t="shared" si="27"/>
        <v>0</v>
      </c>
      <c r="AY336" s="13">
        <f t="shared" si="28"/>
        <v>0</v>
      </c>
      <c r="AZ336" s="13">
        <f t="shared" si="29"/>
        <v>0</v>
      </c>
      <c r="BA336" s="13">
        <f t="shared" si="30"/>
        <v>0</v>
      </c>
      <c r="BB336" s="13" t="s">
        <v>88</v>
      </c>
      <c r="BC336" s="13">
        <f t="shared" si="31"/>
        <v>2</v>
      </c>
      <c r="BD336" s="15"/>
      <c r="BE336" s="13" t="str">
        <f t="shared" si="48"/>
        <v>N/A</v>
      </c>
      <c r="BF336" s="15"/>
      <c r="BG336" s="13">
        <f t="shared" si="33"/>
        <v>0</v>
      </c>
      <c r="BH336" s="13">
        <f t="shared" si="34"/>
        <v>0</v>
      </c>
      <c r="BI336" s="13">
        <f t="shared" si="35"/>
        <v>0</v>
      </c>
      <c r="BJ336" s="13">
        <f t="shared" si="36"/>
        <v>0</v>
      </c>
      <c r="BK336" s="13">
        <f t="shared" si="37"/>
        <v>0</v>
      </c>
      <c r="BL336" s="13">
        <f t="shared" si="38"/>
        <v>0</v>
      </c>
      <c r="BM336" s="13">
        <f t="shared" si="39"/>
        <v>0</v>
      </c>
      <c r="BN336" s="13" t="s">
        <v>108</v>
      </c>
      <c r="BO336" s="16">
        <f t="shared" si="40"/>
        <v>3</v>
      </c>
    </row>
    <row r="337">
      <c r="A337" s="13">
        <f t="shared" si="41"/>
        <v>336</v>
      </c>
      <c r="B337" s="14">
        <v>46055.96737975694</v>
      </c>
      <c r="C337" s="13" t="s">
        <v>90</v>
      </c>
      <c r="D337" s="13">
        <f t="shared" si="1"/>
        <v>2</v>
      </c>
      <c r="E337" s="13" t="s">
        <v>68</v>
      </c>
      <c r="F337" s="13">
        <f t="shared" si="2"/>
        <v>1</v>
      </c>
      <c r="G337" s="13" t="s">
        <v>91</v>
      </c>
      <c r="H337" s="13" t="str">
        <f t="shared" si="3"/>
        <v>Urban</v>
      </c>
      <c r="I337" s="13">
        <f t="shared" si="4"/>
        <v>2</v>
      </c>
      <c r="J337" s="13" t="s">
        <v>70</v>
      </c>
      <c r="K337" s="15" t="s">
        <v>100</v>
      </c>
      <c r="L337" s="13">
        <f t="shared" si="5"/>
        <v>3</v>
      </c>
      <c r="M337" s="13" t="s">
        <v>109</v>
      </c>
      <c r="N337" s="13">
        <f t="shared" si="6"/>
        <v>9</v>
      </c>
      <c r="O337" s="13" t="s">
        <v>78</v>
      </c>
      <c r="P337" s="13">
        <f t="shared" si="7"/>
        <v>3</v>
      </c>
      <c r="Q337" s="13" t="s">
        <v>73</v>
      </c>
      <c r="R337" s="13">
        <f t="shared" si="8"/>
        <v>2</v>
      </c>
      <c r="S337" s="13" t="s">
        <v>78</v>
      </c>
      <c r="T337" s="13">
        <f t="shared" si="9"/>
        <v>3</v>
      </c>
      <c r="U337" s="13" t="s">
        <v>96</v>
      </c>
      <c r="V337" s="13">
        <f t="shared" si="10"/>
        <v>2.5</v>
      </c>
      <c r="W337" s="13" t="s">
        <v>105</v>
      </c>
      <c r="X337" s="13">
        <f t="shared" si="11"/>
        <v>1</v>
      </c>
      <c r="Y337" s="13">
        <f t="shared" si="12"/>
        <v>1</v>
      </c>
      <c r="Z337" s="13">
        <f t="shared" si="13"/>
        <v>0</v>
      </c>
      <c r="AA337" s="13">
        <f t="shared" si="14"/>
        <v>0</v>
      </c>
      <c r="AB337" s="13" t="s">
        <v>85</v>
      </c>
      <c r="AC337" s="13">
        <f t="shared" si="15"/>
        <v>4</v>
      </c>
      <c r="AD337" s="13" t="s">
        <v>85</v>
      </c>
      <c r="AE337" s="13">
        <f t="shared" si="16"/>
        <v>4</v>
      </c>
      <c r="AF337" s="13" t="s">
        <v>71</v>
      </c>
      <c r="AG337" s="13">
        <f t="shared" si="17"/>
        <v>7.7</v>
      </c>
      <c r="AH337" s="13" t="s">
        <v>85</v>
      </c>
      <c r="AI337" s="13">
        <f t="shared" si="18"/>
        <v>4</v>
      </c>
      <c r="AJ337" s="13" t="s">
        <v>73</v>
      </c>
      <c r="AK337" s="13">
        <f t="shared" si="19"/>
        <v>2</v>
      </c>
      <c r="AL337" s="13" t="s">
        <v>78</v>
      </c>
      <c r="AM337" s="13">
        <f t="shared" si="20"/>
        <v>3</v>
      </c>
      <c r="AN337" s="13" t="s">
        <v>85</v>
      </c>
      <c r="AO337" s="13">
        <f t="shared" si="21"/>
        <v>4</v>
      </c>
      <c r="AP337" s="13" t="s">
        <v>78</v>
      </c>
      <c r="AQ337" s="13">
        <f t="shared" si="22"/>
        <v>3</v>
      </c>
      <c r="AR337" s="13" t="s">
        <v>78</v>
      </c>
      <c r="AS337" s="13">
        <f t="shared" si="23"/>
        <v>3</v>
      </c>
      <c r="AT337" s="13" t="s">
        <v>365</v>
      </c>
      <c r="AU337" s="15">
        <f t="shared" si="24"/>
        <v>1</v>
      </c>
      <c r="AV337" s="15">
        <f t="shared" si="25"/>
        <v>1</v>
      </c>
      <c r="AW337" s="13">
        <f t="shared" si="26"/>
        <v>1</v>
      </c>
      <c r="AX337" s="13">
        <f t="shared" si="27"/>
        <v>0</v>
      </c>
      <c r="AY337" s="13">
        <f t="shared" si="28"/>
        <v>0</v>
      </c>
      <c r="AZ337" s="13">
        <f t="shared" si="29"/>
        <v>1</v>
      </c>
      <c r="BA337" s="13">
        <f t="shared" si="30"/>
        <v>0</v>
      </c>
      <c r="BB337" s="13" t="s">
        <v>88</v>
      </c>
      <c r="BC337" s="13">
        <f t="shared" si="31"/>
        <v>2</v>
      </c>
      <c r="BD337" s="15"/>
      <c r="BE337" s="13" t="str">
        <f t="shared" si="48"/>
        <v>N/A</v>
      </c>
      <c r="BF337" s="13" t="s">
        <v>166</v>
      </c>
      <c r="BG337" s="13">
        <f t="shared" si="33"/>
        <v>1</v>
      </c>
      <c r="BH337" s="13">
        <f t="shared" si="34"/>
        <v>0</v>
      </c>
      <c r="BI337" s="13">
        <f t="shared" si="35"/>
        <v>1</v>
      </c>
      <c r="BJ337" s="13">
        <f t="shared" si="36"/>
        <v>1</v>
      </c>
      <c r="BK337" s="13">
        <f t="shared" si="37"/>
        <v>1</v>
      </c>
      <c r="BL337" s="13">
        <f t="shared" si="38"/>
        <v>1</v>
      </c>
      <c r="BM337" s="13">
        <f t="shared" si="39"/>
        <v>1</v>
      </c>
      <c r="BN337" s="13" t="s">
        <v>68</v>
      </c>
      <c r="BO337" s="16">
        <f t="shared" si="40"/>
        <v>1</v>
      </c>
    </row>
    <row r="338">
      <c r="A338" s="13">
        <f t="shared" si="41"/>
        <v>337</v>
      </c>
      <c r="B338" s="14">
        <v>46055.96893927084</v>
      </c>
      <c r="C338" s="13" t="s">
        <v>67</v>
      </c>
      <c r="D338" s="13">
        <f t="shared" si="1"/>
        <v>1</v>
      </c>
      <c r="E338" s="13" t="s">
        <v>68</v>
      </c>
      <c r="F338" s="13">
        <f t="shared" si="2"/>
        <v>1</v>
      </c>
      <c r="G338" s="13" t="s">
        <v>91</v>
      </c>
      <c r="H338" s="13" t="str">
        <f t="shared" si="3"/>
        <v>Urban</v>
      </c>
      <c r="I338" s="13">
        <f t="shared" si="4"/>
        <v>2</v>
      </c>
      <c r="J338" s="13" t="s">
        <v>83</v>
      </c>
      <c r="K338" s="15" t="s">
        <v>84</v>
      </c>
      <c r="L338" s="13">
        <f t="shared" si="5"/>
        <v>2</v>
      </c>
      <c r="M338" s="13" t="s">
        <v>76</v>
      </c>
      <c r="N338" s="13">
        <f t="shared" si="6"/>
        <v>5.5</v>
      </c>
      <c r="O338" s="13" t="s">
        <v>73</v>
      </c>
      <c r="P338" s="13">
        <f t="shared" si="7"/>
        <v>2</v>
      </c>
      <c r="Q338" s="13" t="s">
        <v>78</v>
      </c>
      <c r="R338" s="13">
        <f t="shared" si="8"/>
        <v>3</v>
      </c>
      <c r="S338" s="13" t="s">
        <v>73</v>
      </c>
      <c r="T338" s="13">
        <f t="shared" si="9"/>
        <v>2</v>
      </c>
      <c r="U338" s="13" t="s">
        <v>92</v>
      </c>
      <c r="V338" s="13">
        <f t="shared" si="10"/>
        <v>3.5</v>
      </c>
      <c r="W338" s="13" t="s">
        <v>366</v>
      </c>
      <c r="X338" s="13">
        <f t="shared" si="11"/>
        <v>1</v>
      </c>
      <c r="Y338" s="13">
        <f t="shared" si="12"/>
        <v>1</v>
      </c>
      <c r="Z338" s="13">
        <f t="shared" si="13"/>
        <v>0</v>
      </c>
      <c r="AA338" s="13">
        <f t="shared" si="14"/>
        <v>0</v>
      </c>
      <c r="AB338" s="13" t="s">
        <v>78</v>
      </c>
      <c r="AC338" s="13">
        <f t="shared" si="15"/>
        <v>3</v>
      </c>
      <c r="AD338" s="13" t="s">
        <v>78</v>
      </c>
      <c r="AE338" s="13">
        <f t="shared" si="16"/>
        <v>3</v>
      </c>
      <c r="AF338" s="13" t="s">
        <v>71</v>
      </c>
      <c r="AG338" s="13">
        <f t="shared" si="17"/>
        <v>7.7</v>
      </c>
      <c r="AH338" s="13" t="s">
        <v>85</v>
      </c>
      <c r="AI338" s="13">
        <f t="shared" si="18"/>
        <v>4</v>
      </c>
      <c r="AJ338" s="13" t="s">
        <v>73</v>
      </c>
      <c r="AK338" s="13">
        <f t="shared" si="19"/>
        <v>2</v>
      </c>
      <c r="AL338" s="13" t="s">
        <v>78</v>
      </c>
      <c r="AM338" s="13">
        <f t="shared" si="20"/>
        <v>3</v>
      </c>
      <c r="AN338" s="13" t="s">
        <v>78</v>
      </c>
      <c r="AO338" s="13">
        <f t="shared" si="21"/>
        <v>3</v>
      </c>
      <c r="AP338" s="13" t="s">
        <v>85</v>
      </c>
      <c r="AQ338" s="13">
        <f t="shared" si="22"/>
        <v>4</v>
      </c>
      <c r="AR338" s="13" t="s">
        <v>85</v>
      </c>
      <c r="AS338" s="13">
        <f t="shared" si="23"/>
        <v>4</v>
      </c>
      <c r="AT338" s="13" t="s">
        <v>365</v>
      </c>
      <c r="AU338" s="15">
        <f t="shared" si="24"/>
        <v>1</v>
      </c>
      <c r="AV338" s="15">
        <f t="shared" si="25"/>
        <v>1</v>
      </c>
      <c r="AW338" s="13">
        <f t="shared" si="26"/>
        <v>1</v>
      </c>
      <c r="AX338" s="13">
        <f t="shared" si="27"/>
        <v>0</v>
      </c>
      <c r="AY338" s="13">
        <f t="shared" si="28"/>
        <v>0</v>
      </c>
      <c r="AZ338" s="13">
        <f t="shared" si="29"/>
        <v>1</v>
      </c>
      <c r="BA338" s="13">
        <f t="shared" si="30"/>
        <v>0</v>
      </c>
      <c r="BB338" s="13" t="s">
        <v>88</v>
      </c>
      <c r="BC338" s="13">
        <f t="shared" si="31"/>
        <v>2</v>
      </c>
      <c r="BD338" s="15"/>
      <c r="BE338" s="13" t="str">
        <f t="shared" si="48"/>
        <v>N/A</v>
      </c>
      <c r="BF338" s="13" t="s">
        <v>211</v>
      </c>
      <c r="BG338" s="13">
        <f t="shared" si="33"/>
        <v>1</v>
      </c>
      <c r="BH338" s="13">
        <f t="shared" si="34"/>
        <v>0</v>
      </c>
      <c r="BI338" s="13">
        <f t="shared" si="35"/>
        <v>1</v>
      </c>
      <c r="BJ338" s="13">
        <f t="shared" si="36"/>
        <v>1</v>
      </c>
      <c r="BK338" s="13">
        <f t="shared" si="37"/>
        <v>1</v>
      </c>
      <c r="BL338" s="13">
        <f t="shared" si="38"/>
        <v>0</v>
      </c>
      <c r="BM338" s="13">
        <f t="shared" si="39"/>
        <v>0</v>
      </c>
      <c r="BN338" s="13" t="s">
        <v>108</v>
      </c>
      <c r="BO338" s="16">
        <f t="shared" si="40"/>
        <v>3</v>
      </c>
    </row>
    <row r="339">
      <c r="A339" s="13">
        <f t="shared" si="41"/>
        <v>338</v>
      </c>
      <c r="B339" s="14">
        <v>46055.9708437963</v>
      </c>
      <c r="C339" s="13" t="s">
        <v>90</v>
      </c>
      <c r="D339" s="13">
        <f t="shared" si="1"/>
        <v>2</v>
      </c>
      <c r="E339" s="13" t="s">
        <v>68</v>
      </c>
      <c r="F339" s="13">
        <f t="shared" si="2"/>
        <v>1</v>
      </c>
      <c r="G339" s="13" t="s">
        <v>91</v>
      </c>
      <c r="H339" s="13" t="str">
        <f t="shared" si="3"/>
        <v>Urban</v>
      </c>
      <c r="I339" s="13">
        <f t="shared" si="4"/>
        <v>2</v>
      </c>
      <c r="J339" s="13" t="s">
        <v>83</v>
      </c>
      <c r="K339" s="15" t="s">
        <v>84</v>
      </c>
      <c r="L339" s="13">
        <f t="shared" si="5"/>
        <v>2</v>
      </c>
      <c r="M339" s="13" t="s">
        <v>76</v>
      </c>
      <c r="N339" s="13">
        <f t="shared" si="6"/>
        <v>5.5</v>
      </c>
      <c r="O339" s="13" t="s">
        <v>72</v>
      </c>
      <c r="P339" s="13">
        <f t="shared" si="7"/>
        <v>1</v>
      </c>
      <c r="Q339" s="13" t="s">
        <v>85</v>
      </c>
      <c r="R339" s="13">
        <f t="shared" si="8"/>
        <v>4</v>
      </c>
      <c r="S339" s="13" t="s">
        <v>73</v>
      </c>
      <c r="T339" s="13">
        <f t="shared" si="9"/>
        <v>2</v>
      </c>
      <c r="U339" s="13" t="s">
        <v>96</v>
      </c>
      <c r="V339" s="13">
        <f t="shared" si="10"/>
        <v>2.5</v>
      </c>
      <c r="W339" s="13" t="s">
        <v>122</v>
      </c>
      <c r="X339" s="13">
        <f t="shared" si="11"/>
        <v>0</v>
      </c>
      <c r="Y339" s="13">
        <f t="shared" si="12"/>
        <v>0</v>
      </c>
      <c r="Z339" s="13">
        <f t="shared" si="13"/>
        <v>1</v>
      </c>
      <c r="AA339" s="13">
        <f t="shared" si="14"/>
        <v>0</v>
      </c>
      <c r="AB339" s="13" t="s">
        <v>85</v>
      </c>
      <c r="AC339" s="13">
        <f t="shared" si="15"/>
        <v>4</v>
      </c>
      <c r="AD339" s="13" t="s">
        <v>85</v>
      </c>
      <c r="AE339" s="13">
        <f t="shared" si="16"/>
        <v>4</v>
      </c>
      <c r="AF339" s="13" t="s">
        <v>71</v>
      </c>
      <c r="AG339" s="13">
        <f t="shared" si="17"/>
        <v>7.7</v>
      </c>
      <c r="AH339" s="13" t="s">
        <v>85</v>
      </c>
      <c r="AI339" s="13">
        <f t="shared" si="18"/>
        <v>4</v>
      </c>
      <c r="AJ339" s="13" t="s">
        <v>77</v>
      </c>
      <c r="AK339" s="13">
        <f t="shared" si="19"/>
        <v>1</v>
      </c>
      <c r="AL339" s="13" t="s">
        <v>73</v>
      </c>
      <c r="AM339" s="13">
        <f t="shared" si="20"/>
        <v>2</v>
      </c>
      <c r="AN339" s="13" t="s">
        <v>78</v>
      </c>
      <c r="AO339" s="13">
        <f t="shared" si="21"/>
        <v>3</v>
      </c>
      <c r="AP339" s="13" t="s">
        <v>78</v>
      </c>
      <c r="AQ339" s="13">
        <f t="shared" si="22"/>
        <v>3</v>
      </c>
      <c r="AR339" s="13" t="s">
        <v>78</v>
      </c>
      <c r="AS339" s="13">
        <f t="shared" si="23"/>
        <v>3</v>
      </c>
      <c r="AT339" s="13" t="s">
        <v>147</v>
      </c>
      <c r="AU339" s="15">
        <f t="shared" si="24"/>
        <v>1</v>
      </c>
      <c r="AV339" s="15">
        <f t="shared" si="25"/>
        <v>0</v>
      </c>
      <c r="AW339" s="13">
        <f t="shared" si="26"/>
        <v>0</v>
      </c>
      <c r="AX339" s="13">
        <f t="shared" si="27"/>
        <v>0</v>
      </c>
      <c r="AY339" s="13">
        <f t="shared" si="28"/>
        <v>0</v>
      </c>
      <c r="AZ339" s="13">
        <f t="shared" si="29"/>
        <v>0</v>
      </c>
      <c r="BA339" s="13">
        <f t="shared" si="30"/>
        <v>0</v>
      </c>
      <c r="BB339" s="13" t="s">
        <v>88</v>
      </c>
      <c r="BC339" s="13">
        <f t="shared" si="31"/>
        <v>2</v>
      </c>
      <c r="BD339" s="15"/>
      <c r="BE339" s="13" t="str">
        <f t="shared" si="48"/>
        <v>N/A</v>
      </c>
      <c r="BF339" s="13" t="s">
        <v>224</v>
      </c>
      <c r="BG339" s="13">
        <f t="shared" si="33"/>
        <v>0</v>
      </c>
      <c r="BH339" s="13">
        <f t="shared" si="34"/>
        <v>0</v>
      </c>
      <c r="BI339" s="13">
        <f t="shared" si="35"/>
        <v>1</v>
      </c>
      <c r="BJ339" s="13">
        <f t="shared" si="36"/>
        <v>0</v>
      </c>
      <c r="BK339" s="13">
        <f t="shared" si="37"/>
        <v>0</v>
      </c>
      <c r="BL339" s="13">
        <f t="shared" si="38"/>
        <v>0</v>
      </c>
      <c r="BM339" s="13">
        <f t="shared" si="39"/>
        <v>0</v>
      </c>
      <c r="BN339" s="13" t="s">
        <v>108</v>
      </c>
      <c r="BO339" s="16">
        <f t="shared" si="40"/>
        <v>3</v>
      </c>
    </row>
    <row r="340">
      <c r="A340" s="13">
        <f t="shared" si="41"/>
        <v>339</v>
      </c>
      <c r="B340" s="14">
        <v>46055.97656258102</v>
      </c>
      <c r="C340" s="13" t="s">
        <v>67</v>
      </c>
      <c r="D340" s="13">
        <f t="shared" si="1"/>
        <v>1</v>
      </c>
      <c r="E340" s="13" t="s">
        <v>68</v>
      </c>
      <c r="F340" s="13">
        <f t="shared" si="2"/>
        <v>1</v>
      </c>
      <c r="G340" s="13" t="s">
        <v>82</v>
      </c>
      <c r="H340" s="13" t="str">
        <f t="shared" si="3"/>
        <v>Urban</v>
      </c>
      <c r="I340" s="13">
        <f t="shared" si="4"/>
        <v>2</v>
      </c>
      <c r="J340" s="13" t="s">
        <v>83</v>
      </c>
      <c r="K340" s="15" t="s">
        <v>84</v>
      </c>
      <c r="L340" s="13">
        <f t="shared" si="5"/>
        <v>2</v>
      </c>
      <c r="M340" s="13" t="s">
        <v>76</v>
      </c>
      <c r="N340" s="13">
        <f t="shared" si="6"/>
        <v>5.5</v>
      </c>
      <c r="O340" s="15"/>
      <c r="P340" s="13" t="str">
        <f t="shared" si="7"/>
        <v>N/A</v>
      </c>
      <c r="Q340" s="13" t="s">
        <v>72</v>
      </c>
      <c r="R340" s="13">
        <f t="shared" si="8"/>
        <v>1</v>
      </c>
      <c r="S340" s="15"/>
      <c r="T340" s="13" t="str">
        <f t="shared" si="9"/>
        <v>N/A</v>
      </c>
      <c r="U340" s="13" t="s">
        <v>96</v>
      </c>
      <c r="V340" s="13">
        <f t="shared" si="10"/>
        <v>2.5</v>
      </c>
      <c r="W340" s="13" t="s">
        <v>122</v>
      </c>
      <c r="X340" s="13">
        <f t="shared" si="11"/>
        <v>0</v>
      </c>
      <c r="Y340" s="13">
        <f t="shared" si="12"/>
        <v>0</v>
      </c>
      <c r="Z340" s="13">
        <f t="shared" si="13"/>
        <v>1</v>
      </c>
      <c r="AA340" s="13">
        <f t="shared" si="14"/>
        <v>0</v>
      </c>
      <c r="AB340" s="15"/>
      <c r="AC340" s="13" t="str">
        <f t="shared" si="15"/>
        <v>N/A</v>
      </c>
      <c r="AD340" s="13" t="s">
        <v>72</v>
      </c>
      <c r="AE340" s="13">
        <f t="shared" si="16"/>
        <v>1</v>
      </c>
      <c r="AF340" s="13" t="s">
        <v>71</v>
      </c>
      <c r="AG340" s="13">
        <f t="shared" si="17"/>
        <v>7.7</v>
      </c>
      <c r="AH340" s="13" t="s">
        <v>72</v>
      </c>
      <c r="AI340" s="13">
        <f t="shared" si="18"/>
        <v>1</v>
      </c>
      <c r="AJ340" s="13" t="s">
        <v>77</v>
      </c>
      <c r="AK340" s="13">
        <f t="shared" si="19"/>
        <v>1</v>
      </c>
      <c r="AL340" s="15"/>
      <c r="AM340" s="13" t="str">
        <f t="shared" si="20"/>
        <v>N/A</v>
      </c>
      <c r="AN340" s="15"/>
      <c r="AO340" s="13" t="str">
        <f t="shared" si="21"/>
        <v>N/A</v>
      </c>
      <c r="AP340" s="15"/>
      <c r="AQ340" s="13" t="str">
        <f t="shared" si="22"/>
        <v>N/A</v>
      </c>
      <c r="AR340" s="15"/>
      <c r="AS340" s="13" t="str">
        <f t="shared" si="23"/>
        <v>N/A</v>
      </c>
      <c r="AT340" s="13" t="s">
        <v>182</v>
      </c>
      <c r="AU340" s="15">
        <f t="shared" si="24"/>
        <v>0</v>
      </c>
      <c r="AV340" s="15">
        <f t="shared" si="25"/>
        <v>0</v>
      </c>
      <c r="AW340" s="13">
        <f t="shared" si="26"/>
        <v>0</v>
      </c>
      <c r="AX340" s="13">
        <f t="shared" si="27"/>
        <v>0</v>
      </c>
      <c r="AY340" s="13">
        <f t="shared" si="28"/>
        <v>1</v>
      </c>
      <c r="AZ340" s="13">
        <f t="shared" si="29"/>
        <v>0</v>
      </c>
      <c r="BA340" s="13">
        <f t="shared" si="30"/>
        <v>0</v>
      </c>
      <c r="BB340" s="13" t="s">
        <v>68</v>
      </c>
      <c r="BC340" s="13">
        <f t="shared" si="31"/>
        <v>1</v>
      </c>
      <c r="BD340" s="13" t="s">
        <v>367</v>
      </c>
      <c r="BE340" s="13" t="str">
        <f t="shared" si="48"/>
        <v>N/A</v>
      </c>
      <c r="BF340" s="13" t="s">
        <v>129</v>
      </c>
      <c r="BG340" s="13">
        <f t="shared" si="33"/>
        <v>0</v>
      </c>
      <c r="BH340" s="13">
        <f t="shared" si="34"/>
        <v>0</v>
      </c>
      <c r="BI340" s="13">
        <f t="shared" si="35"/>
        <v>0</v>
      </c>
      <c r="BJ340" s="13">
        <f t="shared" si="36"/>
        <v>0</v>
      </c>
      <c r="BK340" s="13">
        <f t="shared" si="37"/>
        <v>0</v>
      </c>
      <c r="BL340" s="13">
        <f t="shared" si="38"/>
        <v>1</v>
      </c>
      <c r="BM340" s="13">
        <f t="shared" si="39"/>
        <v>0</v>
      </c>
      <c r="BN340" s="13" t="s">
        <v>108</v>
      </c>
      <c r="BO340" s="16">
        <f t="shared" si="40"/>
        <v>3</v>
      </c>
    </row>
    <row r="341">
      <c r="A341" s="13">
        <f t="shared" si="41"/>
        <v>340</v>
      </c>
      <c r="B341" s="14">
        <v>46055.97812733796</v>
      </c>
      <c r="C341" s="13" t="s">
        <v>90</v>
      </c>
      <c r="D341" s="13">
        <f t="shared" si="1"/>
        <v>2</v>
      </c>
      <c r="E341" s="13" t="s">
        <v>68</v>
      </c>
      <c r="F341" s="13">
        <f t="shared" si="2"/>
        <v>1</v>
      </c>
      <c r="G341" s="13" t="s">
        <v>69</v>
      </c>
      <c r="H341" s="13" t="str">
        <f t="shared" si="3"/>
        <v>Rural</v>
      </c>
      <c r="I341" s="13">
        <f t="shared" si="4"/>
        <v>1</v>
      </c>
      <c r="J341" s="13" t="s">
        <v>70</v>
      </c>
      <c r="K341" s="15" t="s">
        <v>100</v>
      </c>
      <c r="L341" s="13">
        <f t="shared" si="5"/>
        <v>3</v>
      </c>
      <c r="M341" s="13" t="s">
        <v>101</v>
      </c>
      <c r="N341" s="13">
        <f t="shared" si="6"/>
        <v>2</v>
      </c>
      <c r="O341" s="13" t="s">
        <v>73</v>
      </c>
      <c r="P341" s="13">
        <f t="shared" si="7"/>
        <v>2</v>
      </c>
      <c r="Q341" s="13" t="s">
        <v>85</v>
      </c>
      <c r="R341" s="13">
        <f t="shared" si="8"/>
        <v>4</v>
      </c>
      <c r="S341" s="13" t="s">
        <v>73</v>
      </c>
      <c r="T341" s="13">
        <f t="shared" si="9"/>
        <v>2</v>
      </c>
      <c r="U341" s="13" t="s">
        <v>74</v>
      </c>
      <c r="V341" s="13">
        <f t="shared" si="10"/>
        <v>1.5</v>
      </c>
      <c r="W341" s="13" t="s">
        <v>93</v>
      </c>
      <c r="X341" s="13">
        <f t="shared" si="11"/>
        <v>0</v>
      </c>
      <c r="Y341" s="13">
        <f t="shared" si="12"/>
        <v>1</v>
      </c>
      <c r="Z341" s="13">
        <f t="shared" si="13"/>
        <v>0</v>
      </c>
      <c r="AA341" s="13">
        <f t="shared" si="14"/>
        <v>0</v>
      </c>
      <c r="AB341" s="13" t="s">
        <v>73</v>
      </c>
      <c r="AC341" s="13">
        <f t="shared" si="15"/>
        <v>2</v>
      </c>
      <c r="AD341" s="13" t="s">
        <v>85</v>
      </c>
      <c r="AE341" s="13">
        <f t="shared" si="16"/>
        <v>4</v>
      </c>
      <c r="AF341" s="13" t="s">
        <v>71</v>
      </c>
      <c r="AG341" s="13">
        <f t="shared" si="17"/>
        <v>7.7</v>
      </c>
      <c r="AH341" s="13" t="s">
        <v>85</v>
      </c>
      <c r="AI341" s="13">
        <f t="shared" si="18"/>
        <v>4</v>
      </c>
      <c r="AJ341" s="13" t="s">
        <v>73</v>
      </c>
      <c r="AK341" s="13">
        <f t="shared" si="19"/>
        <v>2</v>
      </c>
      <c r="AL341" s="13" t="s">
        <v>73</v>
      </c>
      <c r="AM341" s="13">
        <f t="shared" si="20"/>
        <v>2</v>
      </c>
      <c r="AN341" s="13" t="s">
        <v>73</v>
      </c>
      <c r="AO341" s="13">
        <f t="shared" si="21"/>
        <v>2</v>
      </c>
      <c r="AP341" s="13" t="s">
        <v>73</v>
      </c>
      <c r="AQ341" s="13">
        <f t="shared" si="22"/>
        <v>2</v>
      </c>
      <c r="AR341" s="13" t="s">
        <v>85</v>
      </c>
      <c r="AS341" s="13">
        <f t="shared" si="23"/>
        <v>4</v>
      </c>
      <c r="AT341" s="13" t="s">
        <v>147</v>
      </c>
      <c r="AU341" s="15">
        <f t="shared" si="24"/>
        <v>1</v>
      </c>
      <c r="AV341" s="15">
        <f t="shared" si="25"/>
        <v>0</v>
      </c>
      <c r="AW341" s="13">
        <f t="shared" si="26"/>
        <v>0</v>
      </c>
      <c r="AX341" s="13">
        <f t="shared" si="27"/>
        <v>0</v>
      </c>
      <c r="AY341" s="13">
        <f t="shared" si="28"/>
        <v>0</v>
      </c>
      <c r="AZ341" s="13">
        <f t="shared" si="29"/>
        <v>0</v>
      </c>
      <c r="BA341" s="13">
        <f t="shared" si="30"/>
        <v>0</v>
      </c>
      <c r="BB341" s="13" t="s">
        <v>88</v>
      </c>
      <c r="BC341" s="13">
        <f t="shared" si="31"/>
        <v>2</v>
      </c>
      <c r="BD341" s="15"/>
      <c r="BE341" s="13" t="str">
        <f t="shared" si="48"/>
        <v>N/A</v>
      </c>
      <c r="BF341" s="13" t="s">
        <v>107</v>
      </c>
      <c r="BG341" s="13">
        <f t="shared" si="33"/>
        <v>1</v>
      </c>
      <c r="BH341" s="13">
        <f t="shared" si="34"/>
        <v>0</v>
      </c>
      <c r="BI341" s="13">
        <f t="shared" si="35"/>
        <v>0</v>
      </c>
      <c r="BJ341" s="13">
        <f t="shared" si="36"/>
        <v>0</v>
      </c>
      <c r="BK341" s="13">
        <f t="shared" si="37"/>
        <v>0</v>
      </c>
      <c r="BL341" s="13">
        <f t="shared" si="38"/>
        <v>0</v>
      </c>
      <c r="BM341" s="13">
        <f t="shared" si="39"/>
        <v>0</v>
      </c>
      <c r="BN341" s="13" t="s">
        <v>68</v>
      </c>
      <c r="BO341" s="16">
        <f t="shared" si="40"/>
        <v>1</v>
      </c>
    </row>
    <row r="342">
      <c r="A342" s="13">
        <f t="shared" si="41"/>
        <v>341</v>
      </c>
      <c r="B342" s="14">
        <v>46055.98454260417</v>
      </c>
      <c r="C342" s="13" t="s">
        <v>67</v>
      </c>
      <c r="D342" s="13">
        <f t="shared" si="1"/>
        <v>1</v>
      </c>
      <c r="E342" s="13" t="s">
        <v>68</v>
      </c>
      <c r="F342" s="13">
        <f t="shared" si="2"/>
        <v>1</v>
      </c>
      <c r="G342" s="13" t="s">
        <v>69</v>
      </c>
      <c r="H342" s="13" t="str">
        <f t="shared" si="3"/>
        <v>Rural</v>
      </c>
      <c r="I342" s="13">
        <f t="shared" si="4"/>
        <v>1</v>
      </c>
      <c r="J342" s="13" t="s">
        <v>145</v>
      </c>
      <c r="K342" s="15" t="s">
        <v>146</v>
      </c>
      <c r="L342" s="13">
        <f t="shared" si="5"/>
        <v>1</v>
      </c>
      <c r="M342" s="13" t="s">
        <v>101</v>
      </c>
      <c r="N342" s="13">
        <f t="shared" si="6"/>
        <v>2</v>
      </c>
      <c r="O342" s="13" t="s">
        <v>73</v>
      </c>
      <c r="P342" s="13">
        <f t="shared" si="7"/>
        <v>2</v>
      </c>
      <c r="Q342" s="13" t="s">
        <v>85</v>
      </c>
      <c r="R342" s="13">
        <f t="shared" si="8"/>
        <v>4</v>
      </c>
      <c r="S342" s="13" t="s">
        <v>78</v>
      </c>
      <c r="T342" s="13">
        <f t="shared" si="9"/>
        <v>3</v>
      </c>
      <c r="U342" s="13" t="s">
        <v>96</v>
      </c>
      <c r="V342" s="13">
        <f t="shared" si="10"/>
        <v>2.5</v>
      </c>
      <c r="W342" s="13" t="s">
        <v>180</v>
      </c>
      <c r="X342" s="13">
        <f t="shared" si="11"/>
        <v>0</v>
      </c>
      <c r="Y342" s="13">
        <f t="shared" si="12"/>
        <v>1</v>
      </c>
      <c r="Z342" s="13">
        <f t="shared" si="13"/>
        <v>1</v>
      </c>
      <c r="AA342" s="13">
        <f t="shared" si="14"/>
        <v>0</v>
      </c>
      <c r="AB342" s="13" t="s">
        <v>85</v>
      </c>
      <c r="AC342" s="13">
        <f t="shared" si="15"/>
        <v>4</v>
      </c>
      <c r="AD342" s="13" t="s">
        <v>85</v>
      </c>
      <c r="AE342" s="13">
        <f t="shared" si="16"/>
        <v>4</v>
      </c>
      <c r="AF342" s="13" t="s">
        <v>71</v>
      </c>
      <c r="AG342" s="13">
        <f t="shared" si="17"/>
        <v>7.7</v>
      </c>
      <c r="AH342" s="13" t="s">
        <v>85</v>
      </c>
      <c r="AI342" s="13">
        <f t="shared" si="18"/>
        <v>4</v>
      </c>
      <c r="AJ342" s="13" t="s">
        <v>78</v>
      </c>
      <c r="AK342" s="13">
        <f t="shared" si="19"/>
        <v>3</v>
      </c>
      <c r="AL342" s="13" t="s">
        <v>85</v>
      </c>
      <c r="AM342" s="13">
        <f t="shared" si="20"/>
        <v>4</v>
      </c>
      <c r="AN342" s="13" t="s">
        <v>78</v>
      </c>
      <c r="AO342" s="13">
        <f t="shared" si="21"/>
        <v>3</v>
      </c>
      <c r="AP342" s="13" t="s">
        <v>85</v>
      </c>
      <c r="AQ342" s="13">
        <f t="shared" si="22"/>
        <v>4</v>
      </c>
      <c r="AR342" s="13" t="s">
        <v>85</v>
      </c>
      <c r="AS342" s="13">
        <f t="shared" si="23"/>
        <v>4</v>
      </c>
      <c r="AT342" s="13" t="s">
        <v>368</v>
      </c>
      <c r="AU342" s="15">
        <f t="shared" si="24"/>
        <v>1</v>
      </c>
      <c r="AV342" s="15">
        <f t="shared" si="25"/>
        <v>1</v>
      </c>
      <c r="AW342" s="13">
        <f t="shared" si="26"/>
        <v>1</v>
      </c>
      <c r="AX342" s="13">
        <f t="shared" si="27"/>
        <v>0</v>
      </c>
      <c r="AY342" s="13">
        <f t="shared" si="28"/>
        <v>1</v>
      </c>
      <c r="AZ342" s="13">
        <f t="shared" si="29"/>
        <v>1</v>
      </c>
      <c r="BA342" s="13">
        <f t="shared" si="30"/>
        <v>0</v>
      </c>
      <c r="BB342" s="13" t="s">
        <v>88</v>
      </c>
      <c r="BC342" s="13">
        <f t="shared" si="31"/>
        <v>2</v>
      </c>
      <c r="BD342" s="15"/>
      <c r="BE342" s="13" t="str">
        <f t="shared" si="48"/>
        <v>N/A</v>
      </c>
      <c r="BF342" s="13" t="s">
        <v>128</v>
      </c>
      <c r="BG342" s="13">
        <f t="shared" si="33"/>
        <v>1</v>
      </c>
      <c r="BH342" s="13">
        <f t="shared" si="34"/>
        <v>1</v>
      </c>
      <c r="BI342" s="13">
        <f t="shared" si="35"/>
        <v>0</v>
      </c>
      <c r="BJ342" s="13">
        <f t="shared" si="36"/>
        <v>1</v>
      </c>
      <c r="BK342" s="13">
        <f t="shared" si="37"/>
        <v>0</v>
      </c>
      <c r="BL342" s="13">
        <f t="shared" si="38"/>
        <v>1</v>
      </c>
      <c r="BM342" s="13">
        <f t="shared" si="39"/>
        <v>0</v>
      </c>
      <c r="BN342" s="13" t="s">
        <v>108</v>
      </c>
      <c r="BO342" s="16">
        <f t="shared" si="40"/>
        <v>3</v>
      </c>
    </row>
    <row r="343">
      <c r="A343" s="13">
        <f t="shared" si="41"/>
        <v>342</v>
      </c>
      <c r="B343" s="14">
        <v>46056.006799236115</v>
      </c>
      <c r="C343" s="15"/>
      <c r="D343" s="13" t="str">
        <f t="shared" si="1"/>
        <v>N/A</v>
      </c>
      <c r="E343" s="13" t="s">
        <v>88</v>
      </c>
      <c r="F343" s="13">
        <f t="shared" si="2"/>
        <v>2</v>
      </c>
      <c r="G343" s="15"/>
      <c r="H343" s="13" t="str">
        <f t="shared" si="3"/>
        <v>N/A</v>
      </c>
      <c r="I343" s="13" t="str">
        <f t="shared" si="4"/>
        <v>N/A</v>
      </c>
      <c r="J343" s="15"/>
      <c r="K343" s="15" t="s">
        <v>316</v>
      </c>
      <c r="L343" s="13" t="str">
        <f t="shared" si="5"/>
        <v>N/A</v>
      </c>
      <c r="M343" s="15"/>
      <c r="N343" s="13" t="str">
        <f t="shared" si="6"/>
        <v>N/A</v>
      </c>
      <c r="O343" s="15"/>
      <c r="P343" s="13" t="str">
        <f t="shared" si="7"/>
        <v>N/A</v>
      </c>
      <c r="Q343" s="15"/>
      <c r="R343" s="13" t="str">
        <f t="shared" si="8"/>
        <v>N/A</v>
      </c>
      <c r="S343" s="15"/>
      <c r="T343" s="13" t="str">
        <f t="shared" si="9"/>
        <v>N/A</v>
      </c>
      <c r="U343" s="15"/>
      <c r="V343" s="13" t="str">
        <f t="shared" si="10"/>
        <v>N/A</v>
      </c>
      <c r="W343" s="15"/>
      <c r="X343" s="13">
        <f t="shared" si="11"/>
        <v>0</v>
      </c>
      <c r="Y343" s="13">
        <f t="shared" si="12"/>
        <v>0</v>
      </c>
      <c r="Z343" s="13">
        <f t="shared" si="13"/>
        <v>0</v>
      </c>
      <c r="AA343" s="13">
        <f t="shared" si="14"/>
        <v>0</v>
      </c>
      <c r="AB343" s="15"/>
      <c r="AC343" s="13" t="str">
        <f t="shared" si="15"/>
        <v>N/A</v>
      </c>
      <c r="AD343" s="15"/>
      <c r="AE343" s="13" t="str">
        <f t="shared" si="16"/>
        <v>N/A</v>
      </c>
      <c r="AF343" s="15"/>
      <c r="AG343" s="13" t="str">
        <f t="shared" si="17"/>
        <v>N/A</v>
      </c>
      <c r="AH343" s="15"/>
      <c r="AI343" s="13" t="str">
        <f t="shared" si="18"/>
        <v>N/A</v>
      </c>
      <c r="AJ343" s="15"/>
      <c r="AK343" s="13" t="str">
        <f t="shared" si="19"/>
        <v>N/A</v>
      </c>
      <c r="AL343" s="15"/>
      <c r="AM343" s="13" t="str">
        <f t="shared" si="20"/>
        <v>N/A</v>
      </c>
      <c r="AN343" s="15"/>
      <c r="AO343" s="13" t="str">
        <f t="shared" si="21"/>
        <v>N/A</v>
      </c>
      <c r="AP343" s="15"/>
      <c r="AQ343" s="13" t="str">
        <f t="shared" si="22"/>
        <v>N/A</v>
      </c>
      <c r="AR343" s="15"/>
      <c r="AS343" s="13" t="str">
        <f t="shared" si="23"/>
        <v>N/A</v>
      </c>
      <c r="AT343" s="15"/>
      <c r="AU343" s="15">
        <f t="shared" si="24"/>
        <v>0</v>
      </c>
      <c r="AV343" s="15">
        <f t="shared" si="25"/>
        <v>0</v>
      </c>
      <c r="AW343" s="13">
        <f t="shared" si="26"/>
        <v>0</v>
      </c>
      <c r="AX343" s="13">
        <f t="shared" si="27"/>
        <v>0</v>
      </c>
      <c r="AY343" s="13">
        <f t="shared" si="28"/>
        <v>0</v>
      </c>
      <c r="AZ343" s="13">
        <f t="shared" si="29"/>
        <v>0</v>
      </c>
      <c r="BA343" s="13">
        <f t="shared" si="30"/>
        <v>0</v>
      </c>
      <c r="BB343" s="15"/>
      <c r="BC343" s="13" t="str">
        <f t="shared" si="31"/>
        <v>N/A</v>
      </c>
      <c r="BD343" s="15"/>
      <c r="BE343" s="13" t="str">
        <f t="shared" si="48"/>
        <v>N/A</v>
      </c>
      <c r="BF343" s="15"/>
      <c r="BG343" s="13">
        <f t="shared" si="33"/>
        <v>0</v>
      </c>
      <c r="BH343" s="13">
        <f t="shared" si="34"/>
        <v>0</v>
      </c>
      <c r="BI343" s="13">
        <f t="shared" si="35"/>
        <v>0</v>
      </c>
      <c r="BJ343" s="13">
        <f t="shared" si="36"/>
        <v>0</v>
      </c>
      <c r="BK343" s="13">
        <f t="shared" si="37"/>
        <v>0</v>
      </c>
      <c r="BL343" s="13">
        <f t="shared" si="38"/>
        <v>0</v>
      </c>
      <c r="BM343" s="13">
        <f t="shared" si="39"/>
        <v>0</v>
      </c>
      <c r="BN343" s="15"/>
      <c r="BO343" s="16" t="str">
        <f t="shared" si="40"/>
        <v>N/A</v>
      </c>
    </row>
    <row r="344">
      <c r="A344" s="13">
        <f t="shared" si="41"/>
        <v>343</v>
      </c>
      <c r="B344" s="14">
        <v>46056.015037210644</v>
      </c>
      <c r="C344" s="13" t="s">
        <v>67</v>
      </c>
      <c r="D344" s="13">
        <f t="shared" si="1"/>
        <v>1</v>
      </c>
      <c r="E344" s="13" t="s">
        <v>68</v>
      </c>
      <c r="F344" s="13">
        <f t="shared" si="2"/>
        <v>1</v>
      </c>
      <c r="G344" s="13" t="s">
        <v>82</v>
      </c>
      <c r="H344" s="13" t="str">
        <f t="shared" si="3"/>
        <v>Urban</v>
      </c>
      <c r="I344" s="13">
        <f t="shared" si="4"/>
        <v>2</v>
      </c>
      <c r="J344" s="13" t="s">
        <v>83</v>
      </c>
      <c r="K344" s="15" t="s">
        <v>84</v>
      </c>
      <c r="L344" s="13">
        <f t="shared" si="5"/>
        <v>2</v>
      </c>
      <c r="M344" s="13" t="s">
        <v>101</v>
      </c>
      <c r="N344" s="13">
        <f t="shared" si="6"/>
        <v>2</v>
      </c>
      <c r="O344" s="13" t="s">
        <v>73</v>
      </c>
      <c r="P344" s="13">
        <f t="shared" si="7"/>
        <v>2</v>
      </c>
      <c r="Q344" s="13" t="s">
        <v>73</v>
      </c>
      <c r="R344" s="13">
        <f t="shared" si="8"/>
        <v>2</v>
      </c>
      <c r="S344" s="13" t="s">
        <v>73</v>
      </c>
      <c r="T344" s="13">
        <f t="shared" si="9"/>
        <v>2</v>
      </c>
      <c r="U344" s="13" t="s">
        <v>96</v>
      </c>
      <c r="V344" s="13">
        <f t="shared" si="10"/>
        <v>2.5</v>
      </c>
      <c r="W344" s="13" t="s">
        <v>122</v>
      </c>
      <c r="X344" s="13">
        <f t="shared" si="11"/>
        <v>0</v>
      </c>
      <c r="Y344" s="13">
        <f t="shared" si="12"/>
        <v>0</v>
      </c>
      <c r="Z344" s="13">
        <f t="shared" si="13"/>
        <v>1</v>
      </c>
      <c r="AA344" s="13">
        <f t="shared" si="14"/>
        <v>0</v>
      </c>
      <c r="AB344" s="13" t="s">
        <v>73</v>
      </c>
      <c r="AC344" s="13">
        <f t="shared" si="15"/>
        <v>2</v>
      </c>
      <c r="AD344" s="13" t="s">
        <v>73</v>
      </c>
      <c r="AE344" s="13">
        <f t="shared" si="16"/>
        <v>2</v>
      </c>
      <c r="AF344" s="13" t="s">
        <v>71</v>
      </c>
      <c r="AG344" s="13">
        <f t="shared" si="17"/>
        <v>7.7</v>
      </c>
      <c r="AH344" s="13" t="s">
        <v>85</v>
      </c>
      <c r="AI344" s="13">
        <f t="shared" si="18"/>
        <v>4</v>
      </c>
      <c r="AJ344" s="13" t="s">
        <v>78</v>
      </c>
      <c r="AK344" s="13">
        <f t="shared" si="19"/>
        <v>3</v>
      </c>
      <c r="AL344" s="13" t="s">
        <v>78</v>
      </c>
      <c r="AM344" s="13">
        <f t="shared" si="20"/>
        <v>3</v>
      </c>
      <c r="AN344" s="13" t="s">
        <v>85</v>
      </c>
      <c r="AO344" s="13">
        <f t="shared" si="21"/>
        <v>4</v>
      </c>
      <c r="AP344" s="13" t="s">
        <v>78</v>
      </c>
      <c r="AQ344" s="13">
        <f t="shared" si="22"/>
        <v>3</v>
      </c>
      <c r="AR344" s="13" t="s">
        <v>85</v>
      </c>
      <c r="AS344" s="13">
        <f t="shared" si="23"/>
        <v>4</v>
      </c>
      <c r="AT344" s="13" t="s">
        <v>133</v>
      </c>
      <c r="AU344" s="15">
        <f t="shared" si="24"/>
        <v>0</v>
      </c>
      <c r="AV344" s="15">
        <f t="shared" si="25"/>
        <v>1</v>
      </c>
      <c r="AW344" s="13">
        <f t="shared" si="26"/>
        <v>0</v>
      </c>
      <c r="AX344" s="13">
        <f t="shared" si="27"/>
        <v>0</v>
      </c>
      <c r="AY344" s="13">
        <f t="shared" si="28"/>
        <v>0</v>
      </c>
      <c r="AZ344" s="13">
        <f t="shared" si="29"/>
        <v>0</v>
      </c>
      <c r="BA344" s="13">
        <f t="shared" si="30"/>
        <v>0</v>
      </c>
      <c r="BB344" s="13" t="s">
        <v>88</v>
      </c>
      <c r="BC344" s="13">
        <f t="shared" si="31"/>
        <v>2</v>
      </c>
      <c r="BD344" s="15"/>
      <c r="BE344" s="13" t="str">
        <f t="shared" si="48"/>
        <v>N/A</v>
      </c>
      <c r="BF344" s="13" t="s">
        <v>150</v>
      </c>
      <c r="BG344" s="13">
        <f t="shared" si="33"/>
        <v>0</v>
      </c>
      <c r="BH344" s="13">
        <f t="shared" si="34"/>
        <v>0</v>
      </c>
      <c r="BI344" s="13">
        <f t="shared" si="35"/>
        <v>0</v>
      </c>
      <c r="BJ344" s="13">
        <f t="shared" si="36"/>
        <v>0</v>
      </c>
      <c r="BK344" s="13">
        <f t="shared" si="37"/>
        <v>1</v>
      </c>
      <c r="BL344" s="13">
        <f t="shared" si="38"/>
        <v>0</v>
      </c>
      <c r="BM344" s="13">
        <f t="shared" si="39"/>
        <v>0</v>
      </c>
      <c r="BN344" s="13" t="s">
        <v>108</v>
      </c>
      <c r="BO344" s="16">
        <f t="shared" si="40"/>
        <v>3</v>
      </c>
    </row>
    <row r="345">
      <c r="A345" s="13">
        <f t="shared" si="41"/>
        <v>344</v>
      </c>
      <c r="B345" s="14">
        <v>46056.01636642361</v>
      </c>
      <c r="C345" s="13" t="s">
        <v>67</v>
      </c>
      <c r="D345" s="13">
        <f t="shared" si="1"/>
        <v>1</v>
      </c>
      <c r="E345" s="13" t="s">
        <v>68</v>
      </c>
      <c r="F345" s="13">
        <f t="shared" si="2"/>
        <v>1</v>
      </c>
      <c r="G345" s="13" t="s">
        <v>69</v>
      </c>
      <c r="H345" s="13" t="str">
        <f t="shared" si="3"/>
        <v>Rural</v>
      </c>
      <c r="I345" s="13">
        <f t="shared" si="4"/>
        <v>1</v>
      </c>
      <c r="J345" s="13" t="s">
        <v>83</v>
      </c>
      <c r="K345" s="15" t="s">
        <v>84</v>
      </c>
      <c r="L345" s="13">
        <f t="shared" si="5"/>
        <v>2</v>
      </c>
      <c r="M345" s="13" t="s">
        <v>109</v>
      </c>
      <c r="N345" s="13">
        <f t="shared" si="6"/>
        <v>9</v>
      </c>
      <c r="O345" s="13" t="s">
        <v>85</v>
      </c>
      <c r="P345" s="13">
        <f t="shared" si="7"/>
        <v>4</v>
      </c>
      <c r="Q345" s="13" t="s">
        <v>73</v>
      </c>
      <c r="R345" s="13">
        <f t="shared" si="8"/>
        <v>2</v>
      </c>
      <c r="S345" s="13" t="s">
        <v>85</v>
      </c>
      <c r="T345" s="13">
        <f t="shared" si="9"/>
        <v>4</v>
      </c>
      <c r="U345" s="13" t="s">
        <v>96</v>
      </c>
      <c r="V345" s="13">
        <f t="shared" si="10"/>
        <v>2.5</v>
      </c>
      <c r="W345" s="13" t="s">
        <v>102</v>
      </c>
      <c r="X345" s="13">
        <f t="shared" si="11"/>
        <v>1</v>
      </c>
      <c r="Y345" s="13">
        <f t="shared" si="12"/>
        <v>1</v>
      </c>
      <c r="Z345" s="13">
        <f t="shared" si="13"/>
        <v>1</v>
      </c>
      <c r="AA345" s="13">
        <f t="shared" si="14"/>
        <v>1</v>
      </c>
      <c r="AB345" s="13" t="s">
        <v>103</v>
      </c>
      <c r="AC345" s="13">
        <f t="shared" si="15"/>
        <v>5</v>
      </c>
      <c r="AD345" s="13" t="s">
        <v>78</v>
      </c>
      <c r="AE345" s="13">
        <f t="shared" si="16"/>
        <v>3</v>
      </c>
      <c r="AF345" s="13" t="s">
        <v>71</v>
      </c>
      <c r="AG345" s="13">
        <f t="shared" si="17"/>
        <v>7.7</v>
      </c>
      <c r="AH345" s="13" t="s">
        <v>73</v>
      </c>
      <c r="AI345" s="13">
        <f t="shared" si="18"/>
        <v>2</v>
      </c>
      <c r="AJ345" s="13" t="s">
        <v>73</v>
      </c>
      <c r="AK345" s="13">
        <f t="shared" si="19"/>
        <v>2</v>
      </c>
      <c r="AL345" s="13" t="s">
        <v>73</v>
      </c>
      <c r="AM345" s="13">
        <f t="shared" si="20"/>
        <v>2</v>
      </c>
      <c r="AN345" s="13" t="s">
        <v>85</v>
      </c>
      <c r="AO345" s="13">
        <f t="shared" si="21"/>
        <v>4</v>
      </c>
      <c r="AP345" s="13" t="s">
        <v>85</v>
      </c>
      <c r="AQ345" s="13">
        <f t="shared" si="22"/>
        <v>4</v>
      </c>
      <c r="AR345" s="13" t="s">
        <v>85</v>
      </c>
      <c r="AS345" s="13">
        <f t="shared" si="23"/>
        <v>4</v>
      </c>
      <c r="AT345" s="13" t="s">
        <v>165</v>
      </c>
      <c r="AU345" s="15">
        <f t="shared" si="24"/>
        <v>1</v>
      </c>
      <c r="AV345" s="15">
        <f t="shared" si="25"/>
        <v>1</v>
      </c>
      <c r="AW345" s="13">
        <f t="shared" si="26"/>
        <v>0</v>
      </c>
      <c r="AX345" s="13">
        <f t="shared" si="27"/>
        <v>1</v>
      </c>
      <c r="AY345" s="13">
        <f t="shared" si="28"/>
        <v>1</v>
      </c>
      <c r="AZ345" s="13">
        <f t="shared" si="29"/>
        <v>1</v>
      </c>
      <c r="BA345" s="13">
        <f t="shared" si="30"/>
        <v>1</v>
      </c>
      <c r="BB345" s="13" t="s">
        <v>68</v>
      </c>
      <c r="BC345" s="13">
        <f t="shared" si="31"/>
        <v>1</v>
      </c>
      <c r="BD345" s="13" t="s">
        <v>177</v>
      </c>
      <c r="BE345" s="13" t="str">
        <f t="shared" si="48"/>
        <v>Sleep tracker app</v>
      </c>
      <c r="BF345" s="13" t="s">
        <v>166</v>
      </c>
      <c r="BG345" s="13">
        <f t="shared" si="33"/>
        <v>1</v>
      </c>
      <c r="BH345" s="13">
        <f t="shared" si="34"/>
        <v>0</v>
      </c>
      <c r="BI345" s="13">
        <f t="shared" si="35"/>
        <v>1</v>
      </c>
      <c r="BJ345" s="13">
        <f t="shared" si="36"/>
        <v>1</v>
      </c>
      <c r="BK345" s="13">
        <f t="shared" si="37"/>
        <v>1</v>
      </c>
      <c r="BL345" s="13">
        <f t="shared" si="38"/>
        <v>1</v>
      </c>
      <c r="BM345" s="13">
        <f t="shared" si="39"/>
        <v>1</v>
      </c>
      <c r="BN345" s="13" t="s">
        <v>68</v>
      </c>
      <c r="BO345" s="16">
        <f t="shared" si="40"/>
        <v>1</v>
      </c>
    </row>
    <row r="346">
      <c r="A346" s="13">
        <f t="shared" si="41"/>
        <v>345</v>
      </c>
      <c r="B346" s="14">
        <v>46056.01938976852</v>
      </c>
      <c r="C346" s="13" t="s">
        <v>90</v>
      </c>
      <c r="D346" s="13">
        <f t="shared" si="1"/>
        <v>2</v>
      </c>
      <c r="E346" s="13" t="s">
        <v>68</v>
      </c>
      <c r="F346" s="13">
        <f t="shared" si="2"/>
        <v>1</v>
      </c>
      <c r="G346" s="13" t="s">
        <v>69</v>
      </c>
      <c r="H346" s="13" t="str">
        <f t="shared" si="3"/>
        <v>Rural</v>
      </c>
      <c r="I346" s="13">
        <f t="shared" si="4"/>
        <v>1</v>
      </c>
      <c r="J346" s="13" t="s">
        <v>70</v>
      </c>
      <c r="K346" s="15" t="s">
        <v>100</v>
      </c>
      <c r="L346" s="13">
        <f t="shared" si="5"/>
        <v>3</v>
      </c>
      <c r="M346" s="13" t="s">
        <v>71</v>
      </c>
      <c r="N346" s="13">
        <f t="shared" si="6"/>
        <v>7.7</v>
      </c>
      <c r="O346" s="13" t="s">
        <v>85</v>
      </c>
      <c r="P346" s="13">
        <f t="shared" si="7"/>
        <v>4</v>
      </c>
      <c r="Q346" s="15"/>
      <c r="R346" s="13" t="str">
        <f t="shared" si="8"/>
        <v>N/A</v>
      </c>
      <c r="S346" s="15"/>
      <c r="T346" s="13" t="str">
        <f t="shared" si="9"/>
        <v>N/A</v>
      </c>
      <c r="U346" s="13" t="s">
        <v>110</v>
      </c>
      <c r="V346" s="13">
        <f t="shared" si="10"/>
        <v>0.75</v>
      </c>
      <c r="W346" s="13" t="s">
        <v>93</v>
      </c>
      <c r="X346" s="13">
        <f t="shared" si="11"/>
        <v>0</v>
      </c>
      <c r="Y346" s="13">
        <f t="shared" si="12"/>
        <v>1</v>
      </c>
      <c r="Z346" s="13">
        <f t="shared" si="13"/>
        <v>0</v>
      </c>
      <c r="AA346" s="13">
        <f t="shared" si="14"/>
        <v>0</v>
      </c>
      <c r="AB346" s="13" t="s">
        <v>85</v>
      </c>
      <c r="AC346" s="13">
        <f t="shared" si="15"/>
        <v>4</v>
      </c>
      <c r="AD346" s="15"/>
      <c r="AE346" s="13" t="str">
        <f t="shared" si="16"/>
        <v>N/A</v>
      </c>
      <c r="AF346" s="13" t="s">
        <v>71</v>
      </c>
      <c r="AG346" s="13">
        <f t="shared" si="17"/>
        <v>7.7</v>
      </c>
      <c r="AH346" s="13" t="s">
        <v>85</v>
      </c>
      <c r="AI346" s="13">
        <f t="shared" si="18"/>
        <v>4</v>
      </c>
      <c r="AJ346" s="13" t="s">
        <v>73</v>
      </c>
      <c r="AK346" s="13">
        <f t="shared" si="19"/>
        <v>2</v>
      </c>
      <c r="AL346" s="13" t="s">
        <v>73</v>
      </c>
      <c r="AM346" s="13">
        <f t="shared" si="20"/>
        <v>2</v>
      </c>
      <c r="AN346" s="13" t="s">
        <v>73</v>
      </c>
      <c r="AO346" s="13">
        <f t="shared" si="21"/>
        <v>2</v>
      </c>
      <c r="AP346" s="13" t="s">
        <v>78</v>
      </c>
      <c r="AQ346" s="13">
        <f t="shared" si="22"/>
        <v>3</v>
      </c>
      <c r="AR346" s="13" t="s">
        <v>78</v>
      </c>
      <c r="AS346" s="13">
        <f t="shared" si="23"/>
        <v>3</v>
      </c>
      <c r="AT346" s="13" t="s">
        <v>294</v>
      </c>
      <c r="AU346" s="15">
        <f t="shared" si="24"/>
        <v>0</v>
      </c>
      <c r="AV346" s="15">
        <f t="shared" si="25"/>
        <v>0</v>
      </c>
      <c r="AW346" s="13">
        <f t="shared" si="26"/>
        <v>0</v>
      </c>
      <c r="AX346" s="13">
        <f t="shared" si="27"/>
        <v>0</v>
      </c>
      <c r="AY346" s="13">
        <f t="shared" si="28"/>
        <v>0</v>
      </c>
      <c r="AZ346" s="13">
        <f t="shared" si="29"/>
        <v>0</v>
      </c>
      <c r="BA346" s="13">
        <f t="shared" si="30"/>
        <v>0</v>
      </c>
      <c r="BB346" s="13" t="s">
        <v>88</v>
      </c>
      <c r="BC346" s="13">
        <f t="shared" si="31"/>
        <v>2</v>
      </c>
      <c r="BD346" s="15"/>
      <c r="BE346" s="13" t="str">
        <f t="shared" si="48"/>
        <v>N/A</v>
      </c>
      <c r="BF346" s="13" t="s">
        <v>369</v>
      </c>
      <c r="BG346" s="13">
        <f t="shared" si="33"/>
        <v>1</v>
      </c>
      <c r="BH346" s="13">
        <f t="shared" si="34"/>
        <v>0</v>
      </c>
      <c r="BI346" s="13">
        <f t="shared" si="35"/>
        <v>0</v>
      </c>
      <c r="BJ346" s="13">
        <f t="shared" si="36"/>
        <v>0</v>
      </c>
      <c r="BK346" s="13">
        <f t="shared" si="37"/>
        <v>1</v>
      </c>
      <c r="BL346" s="13">
        <f t="shared" si="38"/>
        <v>0</v>
      </c>
      <c r="BM346" s="13">
        <f t="shared" si="39"/>
        <v>1</v>
      </c>
      <c r="BN346" s="13" t="s">
        <v>108</v>
      </c>
      <c r="BO346" s="16">
        <f t="shared" si="40"/>
        <v>3</v>
      </c>
    </row>
    <row r="347">
      <c r="A347" s="13">
        <f t="shared" si="41"/>
        <v>346</v>
      </c>
      <c r="B347" s="14">
        <v>46056.03433376158</v>
      </c>
      <c r="C347" s="13" t="s">
        <v>90</v>
      </c>
      <c r="D347" s="13">
        <f t="shared" si="1"/>
        <v>2</v>
      </c>
      <c r="E347" s="13" t="s">
        <v>68</v>
      </c>
      <c r="F347" s="13">
        <f t="shared" si="2"/>
        <v>1</v>
      </c>
      <c r="G347" s="13" t="s">
        <v>91</v>
      </c>
      <c r="H347" s="13" t="str">
        <f t="shared" si="3"/>
        <v>Urban</v>
      </c>
      <c r="I347" s="13">
        <f t="shared" si="4"/>
        <v>2</v>
      </c>
      <c r="J347" s="13" t="s">
        <v>70</v>
      </c>
      <c r="K347" s="15" t="s">
        <v>100</v>
      </c>
      <c r="L347" s="13">
        <f t="shared" si="5"/>
        <v>3</v>
      </c>
      <c r="M347" s="13" t="s">
        <v>71</v>
      </c>
      <c r="N347" s="13">
        <f t="shared" si="6"/>
        <v>7.7</v>
      </c>
      <c r="O347" s="13" t="s">
        <v>78</v>
      </c>
      <c r="P347" s="13">
        <f t="shared" si="7"/>
        <v>3</v>
      </c>
      <c r="Q347" s="13" t="s">
        <v>85</v>
      </c>
      <c r="R347" s="13">
        <f t="shared" si="8"/>
        <v>4</v>
      </c>
      <c r="S347" s="13" t="s">
        <v>78</v>
      </c>
      <c r="T347" s="13">
        <f t="shared" si="9"/>
        <v>3</v>
      </c>
      <c r="U347" s="13" t="s">
        <v>92</v>
      </c>
      <c r="V347" s="13">
        <f t="shared" si="10"/>
        <v>3.5</v>
      </c>
      <c r="W347" s="13" t="s">
        <v>105</v>
      </c>
      <c r="X347" s="13">
        <f t="shared" si="11"/>
        <v>1</v>
      </c>
      <c r="Y347" s="13">
        <f t="shared" si="12"/>
        <v>1</v>
      </c>
      <c r="Z347" s="13">
        <f t="shared" si="13"/>
        <v>0</v>
      </c>
      <c r="AA347" s="13">
        <f t="shared" si="14"/>
        <v>0</v>
      </c>
      <c r="AB347" s="13" t="s">
        <v>85</v>
      </c>
      <c r="AC347" s="13">
        <f t="shared" si="15"/>
        <v>4</v>
      </c>
      <c r="AD347" s="13" t="s">
        <v>85</v>
      </c>
      <c r="AE347" s="13">
        <f t="shared" si="16"/>
        <v>4</v>
      </c>
      <c r="AF347" s="13" t="s">
        <v>71</v>
      </c>
      <c r="AG347" s="13">
        <f t="shared" si="17"/>
        <v>7.7</v>
      </c>
      <c r="AH347" s="13" t="s">
        <v>78</v>
      </c>
      <c r="AI347" s="13">
        <f t="shared" si="18"/>
        <v>3</v>
      </c>
      <c r="AJ347" s="13" t="s">
        <v>73</v>
      </c>
      <c r="AK347" s="13">
        <f t="shared" si="19"/>
        <v>2</v>
      </c>
      <c r="AL347" s="13" t="s">
        <v>73</v>
      </c>
      <c r="AM347" s="13">
        <f t="shared" si="20"/>
        <v>2</v>
      </c>
      <c r="AN347" s="13" t="s">
        <v>73</v>
      </c>
      <c r="AO347" s="13">
        <f t="shared" si="21"/>
        <v>2</v>
      </c>
      <c r="AP347" s="13" t="s">
        <v>73</v>
      </c>
      <c r="AQ347" s="13">
        <f t="shared" si="22"/>
        <v>2</v>
      </c>
      <c r="AR347" s="13" t="s">
        <v>78</v>
      </c>
      <c r="AS347" s="13">
        <f t="shared" si="23"/>
        <v>3</v>
      </c>
      <c r="AT347" s="13" t="s">
        <v>104</v>
      </c>
      <c r="AU347" s="15">
        <f t="shared" si="24"/>
        <v>1</v>
      </c>
      <c r="AV347" s="15">
        <f t="shared" si="25"/>
        <v>1</v>
      </c>
      <c r="AW347" s="13">
        <f t="shared" si="26"/>
        <v>1</v>
      </c>
      <c r="AX347" s="13">
        <f t="shared" si="27"/>
        <v>1</v>
      </c>
      <c r="AY347" s="13">
        <f t="shared" si="28"/>
        <v>1</v>
      </c>
      <c r="AZ347" s="13">
        <f t="shared" si="29"/>
        <v>1</v>
      </c>
      <c r="BA347" s="13">
        <f t="shared" si="30"/>
        <v>1</v>
      </c>
      <c r="BB347" s="13" t="s">
        <v>88</v>
      </c>
      <c r="BC347" s="13">
        <f t="shared" si="31"/>
        <v>2</v>
      </c>
      <c r="BD347" s="15"/>
      <c r="BE347" s="13" t="str">
        <f t="shared" si="48"/>
        <v>N/A</v>
      </c>
      <c r="BF347" s="13" t="s">
        <v>89</v>
      </c>
      <c r="BG347" s="13">
        <f t="shared" si="33"/>
        <v>1</v>
      </c>
      <c r="BH347" s="13">
        <f t="shared" si="34"/>
        <v>1</v>
      </c>
      <c r="BI347" s="13">
        <f t="shared" si="35"/>
        <v>1</v>
      </c>
      <c r="BJ347" s="13">
        <f t="shared" si="36"/>
        <v>1</v>
      </c>
      <c r="BK347" s="13">
        <f t="shared" si="37"/>
        <v>1</v>
      </c>
      <c r="BL347" s="13">
        <f t="shared" si="38"/>
        <v>1</v>
      </c>
      <c r="BM347" s="13">
        <f t="shared" si="39"/>
        <v>1</v>
      </c>
      <c r="BN347" s="13" t="s">
        <v>108</v>
      </c>
      <c r="BO347" s="16">
        <f t="shared" si="40"/>
        <v>3</v>
      </c>
    </row>
    <row r="348">
      <c r="A348" s="13">
        <f t="shared" si="41"/>
        <v>347</v>
      </c>
      <c r="B348" s="14">
        <v>46056.03905902778</v>
      </c>
      <c r="C348" s="13" t="s">
        <v>67</v>
      </c>
      <c r="D348" s="13">
        <f t="shared" si="1"/>
        <v>1</v>
      </c>
      <c r="E348" s="13" t="s">
        <v>68</v>
      </c>
      <c r="F348" s="13">
        <f t="shared" si="2"/>
        <v>1</v>
      </c>
      <c r="G348" s="13" t="s">
        <v>91</v>
      </c>
      <c r="H348" s="13" t="str">
        <f t="shared" si="3"/>
        <v>Urban</v>
      </c>
      <c r="I348" s="13">
        <f t="shared" si="4"/>
        <v>2</v>
      </c>
      <c r="J348" s="13" t="s">
        <v>83</v>
      </c>
      <c r="K348" s="15" t="s">
        <v>84</v>
      </c>
      <c r="L348" s="13">
        <f t="shared" si="5"/>
        <v>2</v>
      </c>
      <c r="M348" s="13" t="s">
        <v>101</v>
      </c>
      <c r="N348" s="13">
        <f t="shared" si="6"/>
        <v>2</v>
      </c>
      <c r="O348" s="13" t="s">
        <v>73</v>
      </c>
      <c r="P348" s="13">
        <f t="shared" si="7"/>
        <v>2</v>
      </c>
      <c r="Q348" s="13" t="s">
        <v>85</v>
      </c>
      <c r="R348" s="13">
        <f t="shared" si="8"/>
        <v>4</v>
      </c>
      <c r="S348" s="13" t="s">
        <v>78</v>
      </c>
      <c r="T348" s="13">
        <f t="shared" si="9"/>
        <v>3</v>
      </c>
      <c r="U348" s="13" t="s">
        <v>96</v>
      </c>
      <c r="V348" s="13">
        <f t="shared" si="10"/>
        <v>2.5</v>
      </c>
      <c r="W348" s="13" t="s">
        <v>180</v>
      </c>
      <c r="X348" s="13">
        <f t="shared" si="11"/>
        <v>0</v>
      </c>
      <c r="Y348" s="13">
        <f t="shared" si="12"/>
        <v>1</v>
      </c>
      <c r="Z348" s="13">
        <f t="shared" si="13"/>
        <v>1</v>
      </c>
      <c r="AA348" s="13">
        <f t="shared" si="14"/>
        <v>0</v>
      </c>
      <c r="AB348" s="13" t="s">
        <v>85</v>
      </c>
      <c r="AC348" s="13">
        <f t="shared" si="15"/>
        <v>4</v>
      </c>
      <c r="AD348" s="13" t="s">
        <v>85</v>
      </c>
      <c r="AE348" s="13">
        <f t="shared" si="16"/>
        <v>4</v>
      </c>
      <c r="AF348" s="13" t="s">
        <v>71</v>
      </c>
      <c r="AG348" s="13">
        <f t="shared" si="17"/>
        <v>7.7</v>
      </c>
      <c r="AH348" s="13" t="s">
        <v>73</v>
      </c>
      <c r="AI348" s="13">
        <f t="shared" si="18"/>
        <v>2</v>
      </c>
      <c r="AJ348" s="13" t="s">
        <v>120</v>
      </c>
      <c r="AK348" s="13">
        <f t="shared" si="19"/>
        <v>5</v>
      </c>
      <c r="AL348" s="13" t="s">
        <v>77</v>
      </c>
      <c r="AM348" s="13">
        <f t="shared" si="20"/>
        <v>1</v>
      </c>
      <c r="AN348" s="13" t="s">
        <v>77</v>
      </c>
      <c r="AO348" s="13">
        <f t="shared" si="21"/>
        <v>1</v>
      </c>
      <c r="AP348" s="13" t="s">
        <v>78</v>
      </c>
      <c r="AQ348" s="13">
        <f t="shared" si="22"/>
        <v>3</v>
      </c>
      <c r="AR348" s="13" t="s">
        <v>78</v>
      </c>
      <c r="AS348" s="13">
        <f t="shared" si="23"/>
        <v>3</v>
      </c>
      <c r="AT348" s="13" t="s">
        <v>160</v>
      </c>
      <c r="AU348" s="15">
        <f t="shared" si="24"/>
        <v>1</v>
      </c>
      <c r="AV348" s="15">
        <f t="shared" si="25"/>
        <v>1</v>
      </c>
      <c r="AW348" s="13">
        <f t="shared" si="26"/>
        <v>1</v>
      </c>
      <c r="AX348" s="13">
        <f t="shared" si="27"/>
        <v>1</v>
      </c>
      <c r="AY348" s="13">
        <f t="shared" si="28"/>
        <v>1</v>
      </c>
      <c r="AZ348" s="13">
        <f t="shared" si="29"/>
        <v>1</v>
      </c>
      <c r="BA348" s="13">
        <f t="shared" si="30"/>
        <v>0</v>
      </c>
      <c r="BB348" s="13" t="s">
        <v>88</v>
      </c>
      <c r="BC348" s="13">
        <f t="shared" si="31"/>
        <v>2</v>
      </c>
      <c r="BD348" s="15"/>
      <c r="BE348" s="13" t="str">
        <f t="shared" si="48"/>
        <v>N/A</v>
      </c>
      <c r="BF348" s="13" t="s">
        <v>164</v>
      </c>
      <c r="BG348" s="13">
        <f t="shared" si="33"/>
        <v>0</v>
      </c>
      <c r="BH348" s="13">
        <f t="shared" si="34"/>
        <v>0</v>
      </c>
      <c r="BI348" s="13">
        <f t="shared" si="35"/>
        <v>0</v>
      </c>
      <c r="BJ348" s="13">
        <f t="shared" si="36"/>
        <v>1</v>
      </c>
      <c r="BK348" s="13">
        <f t="shared" si="37"/>
        <v>1</v>
      </c>
      <c r="BL348" s="13">
        <f t="shared" si="38"/>
        <v>1</v>
      </c>
      <c r="BM348" s="13">
        <f t="shared" si="39"/>
        <v>1</v>
      </c>
      <c r="BN348" s="13" t="s">
        <v>68</v>
      </c>
      <c r="BO348" s="16">
        <f t="shared" si="40"/>
        <v>1</v>
      </c>
    </row>
    <row r="349">
      <c r="A349" s="13">
        <f t="shared" si="41"/>
        <v>348</v>
      </c>
      <c r="B349" s="14">
        <v>46056.12830707176</v>
      </c>
      <c r="C349" s="13" t="s">
        <v>90</v>
      </c>
      <c r="D349" s="13">
        <f t="shared" si="1"/>
        <v>2</v>
      </c>
      <c r="E349" s="13" t="s">
        <v>68</v>
      </c>
      <c r="F349" s="13">
        <f t="shared" si="2"/>
        <v>1</v>
      </c>
      <c r="G349" s="13" t="s">
        <v>91</v>
      </c>
      <c r="H349" s="13" t="str">
        <f t="shared" si="3"/>
        <v>Urban</v>
      </c>
      <c r="I349" s="13">
        <f t="shared" si="4"/>
        <v>2</v>
      </c>
      <c r="J349" s="13" t="s">
        <v>70</v>
      </c>
      <c r="K349" s="15" t="s">
        <v>100</v>
      </c>
      <c r="L349" s="13">
        <f t="shared" si="5"/>
        <v>3</v>
      </c>
      <c r="M349" s="13" t="s">
        <v>71</v>
      </c>
      <c r="N349" s="13">
        <f t="shared" si="6"/>
        <v>7.7</v>
      </c>
      <c r="O349" s="13" t="s">
        <v>103</v>
      </c>
      <c r="P349" s="13">
        <f t="shared" si="7"/>
        <v>5</v>
      </c>
      <c r="Q349" s="13" t="s">
        <v>73</v>
      </c>
      <c r="R349" s="13">
        <f t="shared" si="8"/>
        <v>2</v>
      </c>
      <c r="S349" s="13" t="s">
        <v>85</v>
      </c>
      <c r="T349" s="13">
        <f t="shared" si="9"/>
        <v>4</v>
      </c>
      <c r="U349" s="13" t="s">
        <v>96</v>
      </c>
      <c r="V349" s="13">
        <f t="shared" si="10"/>
        <v>2.5</v>
      </c>
      <c r="W349" s="13" t="s">
        <v>93</v>
      </c>
      <c r="X349" s="13">
        <f t="shared" si="11"/>
        <v>0</v>
      </c>
      <c r="Y349" s="13">
        <f t="shared" si="12"/>
        <v>1</v>
      </c>
      <c r="Z349" s="13">
        <f t="shared" si="13"/>
        <v>0</v>
      </c>
      <c r="AA349" s="13">
        <f t="shared" si="14"/>
        <v>0</v>
      </c>
      <c r="AB349" s="13" t="s">
        <v>103</v>
      </c>
      <c r="AC349" s="13">
        <f t="shared" si="15"/>
        <v>5</v>
      </c>
      <c r="AD349" s="13" t="s">
        <v>103</v>
      </c>
      <c r="AE349" s="13">
        <f t="shared" si="16"/>
        <v>5</v>
      </c>
      <c r="AF349" s="13" t="s">
        <v>101</v>
      </c>
      <c r="AG349" s="13">
        <f t="shared" si="17"/>
        <v>2</v>
      </c>
      <c r="AH349" s="13" t="s">
        <v>78</v>
      </c>
      <c r="AI349" s="13">
        <f t="shared" si="18"/>
        <v>3</v>
      </c>
      <c r="AJ349" s="13" t="s">
        <v>120</v>
      </c>
      <c r="AK349" s="13">
        <f t="shared" si="19"/>
        <v>5</v>
      </c>
      <c r="AL349" s="13" t="s">
        <v>73</v>
      </c>
      <c r="AM349" s="13">
        <f t="shared" si="20"/>
        <v>2</v>
      </c>
      <c r="AN349" s="13" t="s">
        <v>73</v>
      </c>
      <c r="AO349" s="13">
        <f t="shared" si="21"/>
        <v>2</v>
      </c>
      <c r="AP349" s="13" t="s">
        <v>77</v>
      </c>
      <c r="AQ349" s="13">
        <f t="shared" si="22"/>
        <v>1</v>
      </c>
      <c r="AR349" s="13" t="s">
        <v>78</v>
      </c>
      <c r="AS349" s="13">
        <f t="shared" si="23"/>
        <v>3</v>
      </c>
      <c r="AT349" s="13" t="s">
        <v>147</v>
      </c>
      <c r="AU349" s="15">
        <f t="shared" si="24"/>
        <v>1</v>
      </c>
      <c r="AV349" s="15">
        <f t="shared" si="25"/>
        <v>0</v>
      </c>
      <c r="AW349" s="13">
        <f t="shared" si="26"/>
        <v>0</v>
      </c>
      <c r="AX349" s="13">
        <f t="shared" si="27"/>
        <v>0</v>
      </c>
      <c r="AY349" s="13">
        <f t="shared" si="28"/>
        <v>0</v>
      </c>
      <c r="AZ349" s="13">
        <f t="shared" si="29"/>
        <v>0</v>
      </c>
      <c r="BA349" s="13">
        <f t="shared" si="30"/>
        <v>0</v>
      </c>
      <c r="BB349" s="13" t="s">
        <v>88</v>
      </c>
      <c r="BC349" s="13">
        <f t="shared" si="31"/>
        <v>2</v>
      </c>
      <c r="BD349" s="15"/>
      <c r="BE349" s="13" t="str">
        <f t="shared" si="48"/>
        <v>N/A</v>
      </c>
      <c r="BF349" s="13" t="s">
        <v>161</v>
      </c>
      <c r="BG349" s="13">
        <f t="shared" si="33"/>
        <v>0</v>
      </c>
      <c r="BH349" s="13">
        <f t="shared" si="34"/>
        <v>0</v>
      </c>
      <c r="BI349" s="13">
        <f t="shared" si="35"/>
        <v>0</v>
      </c>
      <c r="BJ349" s="13">
        <f t="shared" si="36"/>
        <v>1</v>
      </c>
      <c r="BK349" s="13">
        <f t="shared" si="37"/>
        <v>0</v>
      </c>
      <c r="BL349" s="13">
        <f t="shared" si="38"/>
        <v>0</v>
      </c>
      <c r="BM349" s="13">
        <f t="shared" si="39"/>
        <v>0</v>
      </c>
      <c r="BN349" s="13" t="s">
        <v>68</v>
      </c>
      <c r="BO349" s="16">
        <f t="shared" si="40"/>
        <v>1</v>
      </c>
    </row>
    <row r="350">
      <c r="A350" s="13">
        <f t="shared" si="41"/>
        <v>349</v>
      </c>
      <c r="B350" s="14">
        <v>46056.17919289352</v>
      </c>
      <c r="C350" s="13" t="s">
        <v>67</v>
      </c>
      <c r="D350" s="13">
        <f t="shared" si="1"/>
        <v>1</v>
      </c>
      <c r="E350" s="13" t="s">
        <v>68</v>
      </c>
      <c r="F350" s="13">
        <f t="shared" si="2"/>
        <v>1</v>
      </c>
      <c r="G350" s="13" t="s">
        <v>91</v>
      </c>
      <c r="H350" s="13" t="str">
        <f t="shared" si="3"/>
        <v>Urban</v>
      </c>
      <c r="I350" s="13">
        <f t="shared" si="4"/>
        <v>2</v>
      </c>
      <c r="J350" s="13" t="s">
        <v>83</v>
      </c>
      <c r="K350" s="15" t="s">
        <v>84</v>
      </c>
      <c r="L350" s="13">
        <f t="shared" si="5"/>
        <v>2</v>
      </c>
      <c r="M350" s="13" t="s">
        <v>71</v>
      </c>
      <c r="N350" s="13">
        <f t="shared" si="6"/>
        <v>7.7</v>
      </c>
      <c r="O350" s="13" t="s">
        <v>73</v>
      </c>
      <c r="P350" s="13">
        <f t="shared" si="7"/>
        <v>2</v>
      </c>
      <c r="Q350" s="13" t="s">
        <v>78</v>
      </c>
      <c r="R350" s="13">
        <f t="shared" si="8"/>
        <v>3</v>
      </c>
      <c r="S350" s="13" t="s">
        <v>78</v>
      </c>
      <c r="T350" s="13">
        <f t="shared" si="9"/>
        <v>3</v>
      </c>
      <c r="U350" s="13" t="s">
        <v>74</v>
      </c>
      <c r="V350" s="13">
        <f t="shared" si="10"/>
        <v>1.5</v>
      </c>
      <c r="W350" s="13" t="s">
        <v>105</v>
      </c>
      <c r="X350" s="13">
        <f t="shared" si="11"/>
        <v>1</v>
      </c>
      <c r="Y350" s="13">
        <f t="shared" si="12"/>
        <v>1</v>
      </c>
      <c r="Z350" s="13">
        <f t="shared" si="13"/>
        <v>0</v>
      </c>
      <c r="AA350" s="13">
        <f t="shared" si="14"/>
        <v>0</v>
      </c>
      <c r="AB350" s="13" t="s">
        <v>78</v>
      </c>
      <c r="AC350" s="13">
        <f t="shared" si="15"/>
        <v>3</v>
      </c>
      <c r="AD350" s="13" t="s">
        <v>78</v>
      </c>
      <c r="AE350" s="13">
        <f t="shared" si="16"/>
        <v>3</v>
      </c>
      <c r="AF350" s="13" t="s">
        <v>76</v>
      </c>
      <c r="AG350" s="13">
        <f t="shared" si="17"/>
        <v>5.5</v>
      </c>
      <c r="AH350" s="13" t="s">
        <v>85</v>
      </c>
      <c r="AI350" s="13">
        <f t="shared" si="18"/>
        <v>4</v>
      </c>
      <c r="AJ350" s="13" t="s">
        <v>78</v>
      </c>
      <c r="AK350" s="13">
        <f t="shared" si="19"/>
        <v>3</v>
      </c>
      <c r="AL350" s="13" t="s">
        <v>78</v>
      </c>
      <c r="AM350" s="13">
        <f t="shared" si="20"/>
        <v>3</v>
      </c>
      <c r="AN350" s="13" t="s">
        <v>78</v>
      </c>
      <c r="AO350" s="13">
        <f t="shared" si="21"/>
        <v>3</v>
      </c>
      <c r="AP350" s="13" t="s">
        <v>78</v>
      </c>
      <c r="AQ350" s="13">
        <f t="shared" si="22"/>
        <v>3</v>
      </c>
      <c r="AR350" s="13" t="s">
        <v>78</v>
      </c>
      <c r="AS350" s="13">
        <f t="shared" si="23"/>
        <v>3</v>
      </c>
      <c r="AT350" s="13" t="s">
        <v>321</v>
      </c>
      <c r="AU350" s="15">
        <f t="shared" si="24"/>
        <v>0</v>
      </c>
      <c r="AV350" s="15">
        <f t="shared" si="25"/>
        <v>0</v>
      </c>
      <c r="AW350" s="13">
        <f t="shared" si="26"/>
        <v>0</v>
      </c>
      <c r="AX350" s="13">
        <f t="shared" si="27"/>
        <v>1</v>
      </c>
      <c r="AY350" s="13">
        <f t="shared" si="28"/>
        <v>0</v>
      </c>
      <c r="AZ350" s="13">
        <f t="shared" si="29"/>
        <v>1</v>
      </c>
      <c r="BA350" s="13">
        <f t="shared" si="30"/>
        <v>0</v>
      </c>
      <c r="BB350" s="13" t="s">
        <v>88</v>
      </c>
      <c r="BC350" s="13">
        <f t="shared" si="31"/>
        <v>2</v>
      </c>
      <c r="BD350" s="15"/>
      <c r="BE350" s="13" t="str">
        <f t="shared" si="48"/>
        <v>N/A</v>
      </c>
      <c r="BF350" s="13" t="s">
        <v>157</v>
      </c>
      <c r="BG350" s="13">
        <f t="shared" si="33"/>
        <v>0</v>
      </c>
      <c r="BH350" s="13">
        <f t="shared" si="34"/>
        <v>0</v>
      </c>
      <c r="BI350" s="13">
        <f t="shared" si="35"/>
        <v>0</v>
      </c>
      <c r="BJ350" s="13">
        <f t="shared" si="36"/>
        <v>1</v>
      </c>
      <c r="BK350" s="13">
        <f t="shared" si="37"/>
        <v>0</v>
      </c>
      <c r="BL350" s="13">
        <f t="shared" si="38"/>
        <v>1</v>
      </c>
      <c r="BM350" s="13">
        <f t="shared" si="39"/>
        <v>1</v>
      </c>
      <c r="BN350" s="13" t="s">
        <v>108</v>
      </c>
      <c r="BO350" s="16">
        <f t="shared" si="40"/>
        <v>3</v>
      </c>
    </row>
    <row r="351">
      <c r="A351" s="13">
        <f t="shared" si="41"/>
        <v>350</v>
      </c>
      <c r="B351" s="14">
        <v>46056.27135844907</v>
      </c>
      <c r="C351" s="13" t="s">
        <v>90</v>
      </c>
      <c r="D351" s="13">
        <f t="shared" si="1"/>
        <v>2</v>
      </c>
      <c r="E351" s="13" t="s">
        <v>68</v>
      </c>
      <c r="F351" s="13">
        <f t="shared" si="2"/>
        <v>1</v>
      </c>
      <c r="G351" s="13" t="s">
        <v>82</v>
      </c>
      <c r="H351" s="13" t="str">
        <f t="shared" si="3"/>
        <v>Urban</v>
      </c>
      <c r="I351" s="13">
        <f t="shared" si="4"/>
        <v>2</v>
      </c>
      <c r="J351" s="13" t="s">
        <v>70</v>
      </c>
      <c r="K351" s="15" t="s">
        <v>100</v>
      </c>
      <c r="L351" s="13">
        <f t="shared" si="5"/>
        <v>3</v>
      </c>
      <c r="M351" s="13" t="s">
        <v>71</v>
      </c>
      <c r="N351" s="13">
        <f t="shared" si="6"/>
        <v>7.7</v>
      </c>
      <c r="O351" s="13" t="s">
        <v>78</v>
      </c>
      <c r="P351" s="13">
        <f t="shared" si="7"/>
        <v>3</v>
      </c>
      <c r="Q351" s="13" t="s">
        <v>72</v>
      </c>
      <c r="R351" s="13">
        <f t="shared" si="8"/>
        <v>1</v>
      </c>
      <c r="S351" s="13" t="s">
        <v>72</v>
      </c>
      <c r="T351" s="13">
        <f t="shared" si="9"/>
        <v>1</v>
      </c>
      <c r="U351" s="13" t="s">
        <v>74</v>
      </c>
      <c r="V351" s="13">
        <f t="shared" si="10"/>
        <v>1.5</v>
      </c>
      <c r="W351" s="13" t="s">
        <v>93</v>
      </c>
      <c r="X351" s="13">
        <f t="shared" si="11"/>
        <v>0</v>
      </c>
      <c r="Y351" s="13">
        <f t="shared" si="12"/>
        <v>1</v>
      </c>
      <c r="Z351" s="13">
        <f t="shared" si="13"/>
        <v>0</v>
      </c>
      <c r="AA351" s="13">
        <f t="shared" si="14"/>
        <v>0</v>
      </c>
      <c r="AB351" s="13" t="s">
        <v>73</v>
      </c>
      <c r="AC351" s="13">
        <f t="shared" si="15"/>
        <v>2</v>
      </c>
      <c r="AD351" s="13" t="s">
        <v>72</v>
      </c>
      <c r="AE351" s="13">
        <f t="shared" si="16"/>
        <v>1</v>
      </c>
      <c r="AF351" s="13" t="s">
        <v>71</v>
      </c>
      <c r="AG351" s="13">
        <f t="shared" si="17"/>
        <v>7.7</v>
      </c>
      <c r="AH351" s="15"/>
      <c r="AI351" s="13" t="str">
        <f t="shared" si="18"/>
        <v>N/A</v>
      </c>
      <c r="AJ351" s="13" t="s">
        <v>77</v>
      </c>
      <c r="AK351" s="13">
        <f t="shared" si="19"/>
        <v>1</v>
      </c>
      <c r="AL351" s="13" t="s">
        <v>85</v>
      </c>
      <c r="AM351" s="13">
        <f t="shared" si="20"/>
        <v>4</v>
      </c>
      <c r="AN351" s="13" t="s">
        <v>73</v>
      </c>
      <c r="AO351" s="13">
        <f t="shared" si="21"/>
        <v>2</v>
      </c>
      <c r="AP351" s="13" t="s">
        <v>78</v>
      </c>
      <c r="AQ351" s="13">
        <f t="shared" si="22"/>
        <v>3</v>
      </c>
      <c r="AR351" s="13" t="s">
        <v>78</v>
      </c>
      <c r="AS351" s="13">
        <f t="shared" si="23"/>
        <v>3</v>
      </c>
      <c r="AT351" s="13" t="s">
        <v>162</v>
      </c>
      <c r="AU351" s="15">
        <f t="shared" si="24"/>
        <v>0</v>
      </c>
      <c r="AV351" s="15">
        <f t="shared" si="25"/>
        <v>0</v>
      </c>
      <c r="AW351" s="13">
        <f t="shared" si="26"/>
        <v>0</v>
      </c>
      <c r="AX351" s="13">
        <f t="shared" si="27"/>
        <v>0</v>
      </c>
      <c r="AY351" s="13">
        <f t="shared" si="28"/>
        <v>0</v>
      </c>
      <c r="AZ351" s="13">
        <f t="shared" si="29"/>
        <v>1</v>
      </c>
      <c r="BA351" s="13">
        <f t="shared" si="30"/>
        <v>0</v>
      </c>
      <c r="BB351" s="13" t="s">
        <v>88</v>
      </c>
      <c r="BC351" s="13">
        <f t="shared" si="31"/>
        <v>2</v>
      </c>
      <c r="BD351" s="15"/>
      <c r="BE351" s="13" t="str">
        <f t="shared" si="48"/>
        <v>N/A</v>
      </c>
      <c r="BF351" s="13" t="s">
        <v>129</v>
      </c>
      <c r="BG351" s="13">
        <f t="shared" si="33"/>
        <v>0</v>
      </c>
      <c r="BH351" s="13">
        <f t="shared" si="34"/>
        <v>0</v>
      </c>
      <c r="BI351" s="13">
        <f t="shared" si="35"/>
        <v>0</v>
      </c>
      <c r="BJ351" s="13">
        <f t="shared" si="36"/>
        <v>0</v>
      </c>
      <c r="BK351" s="13">
        <f t="shared" si="37"/>
        <v>0</v>
      </c>
      <c r="BL351" s="13">
        <f t="shared" si="38"/>
        <v>1</v>
      </c>
      <c r="BM351" s="13">
        <f t="shared" si="39"/>
        <v>0</v>
      </c>
      <c r="BN351" s="13" t="s">
        <v>108</v>
      </c>
      <c r="BO351" s="16">
        <f t="shared" si="40"/>
        <v>3</v>
      </c>
    </row>
    <row r="352">
      <c r="A352" s="13">
        <f t="shared" si="41"/>
        <v>351</v>
      </c>
      <c r="B352" s="14">
        <v>46056.302709537034</v>
      </c>
      <c r="C352" s="13" t="s">
        <v>67</v>
      </c>
      <c r="D352" s="13">
        <f t="shared" si="1"/>
        <v>1</v>
      </c>
      <c r="E352" s="13" t="s">
        <v>68</v>
      </c>
      <c r="F352" s="13">
        <f t="shared" si="2"/>
        <v>1</v>
      </c>
      <c r="G352" s="13" t="s">
        <v>82</v>
      </c>
      <c r="H352" s="13" t="str">
        <f t="shared" si="3"/>
        <v>Urban</v>
      </c>
      <c r="I352" s="13">
        <f t="shared" si="4"/>
        <v>2</v>
      </c>
      <c r="J352" s="13" t="s">
        <v>83</v>
      </c>
      <c r="K352" s="15" t="s">
        <v>84</v>
      </c>
      <c r="L352" s="13">
        <f t="shared" si="5"/>
        <v>2</v>
      </c>
      <c r="M352" s="13" t="s">
        <v>76</v>
      </c>
      <c r="N352" s="13">
        <f t="shared" si="6"/>
        <v>5.5</v>
      </c>
      <c r="O352" s="13" t="s">
        <v>78</v>
      </c>
      <c r="P352" s="13">
        <f t="shared" si="7"/>
        <v>3</v>
      </c>
      <c r="Q352" s="13" t="s">
        <v>73</v>
      </c>
      <c r="R352" s="13">
        <f t="shared" si="8"/>
        <v>2</v>
      </c>
      <c r="S352" s="13" t="s">
        <v>78</v>
      </c>
      <c r="T352" s="13">
        <f t="shared" si="9"/>
        <v>3</v>
      </c>
      <c r="U352" s="13" t="s">
        <v>74</v>
      </c>
      <c r="V352" s="13">
        <f t="shared" si="10"/>
        <v>1.5</v>
      </c>
      <c r="W352" s="13" t="s">
        <v>93</v>
      </c>
      <c r="X352" s="13">
        <f t="shared" si="11"/>
        <v>0</v>
      </c>
      <c r="Y352" s="13">
        <f t="shared" si="12"/>
        <v>1</v>
      </c>
      <c r="Z352" s="13">
        <f t="shared" si="13"/>
        <v>0</v>
      </c>
      <c r="AA352" s="13">
        <f t="shared" si="14"/>
        <v>0</v>
      </c>
      <c r="AB352" s="13" t="s">
        <v>85</v>
      </c>
      <c r="AC352" s="13">
        <f t="shared" si="15"/>
        <v>4</v>
      </c>
      <c r="AD352" s="13" t="s">
        <v>85</v>
      </c>
      <c r="AE352" s="13">
        <f t="shared" si="16"/>
        <v>4</v>
      </c>
      <c r="AF352" s="13" t="s">
        <v>76</v>
      </c>
      <c r="AG352" s="13">
        <f t="shared" si="17"/>
        <v>5.5</v>
      </c>
      <c r="AH352" s="13" t="s">
        <v>78</v>
      </c>
      <c r="AI352" s="13">
        <f t="shared" si="18"/>
        <v>3</v>
      </c>
      <c r="AJ352" s="13" t="s">
        <v>73</v>
      </c>
      <c r="AK352" s="13">
        <f t="shared" si="19"/>
        <v>2</v>
      </c>
      <c r="AL352" s="13" t="s">
        <v>73</v>
      </c>
      <c r="AM352" s="13">
        <f t="shared" si="20"/>
        <v>2</v>
      </c>
      <c r="AN352" s="13" t="s">
        <v>73</v>
      </c>
      <c r="AO352" s="13">
        <f t="shared" si="21"/>
        <v>2</v>
      </c>
      <c r="AP352" s="13" t="s">
        <v>73</v>
      </c>
      <c r="AQ352" s="13">
        <f t="shared" si="22"/>
        <v>2</v>
      </c>
      <c r="AR352" s="13" t="s">
        <v>78</v>
      </c>
      <c r="AS352" s="13">
        <f t="shared" si="23"/>
        <v>3</v>
      </c>
      <c r="AT352" s="13" t="s">
        <v>162</v>
      </c>
      <c r="AU352" s="15">
        <f t="shared" si="24"/>
        <v>0</v>
      </c>
      <c r="AV352" s="15">
        <f t="shared" si="25"/>
        <v>0</v>
      </c>
      <c r="AW352" s="13">
        <f t="shared" si="26"/>
        <v>0</v>
      </c>
      <c r="AX352" s="13">
        <f t="shared" si="27"/>
        <v>0</v>
      </c>
      <c r="AY352" s="13">
        <f t="shared" si="28"/>
        <v>0</v>
      </c>
      <c r="AZ352" s="13">
        <f t="shared" si="29"/>
        <v>1</v>
      </c>
      <c r="BA352" s="13">
        <f t="shared" si="30"/>
        <v>0</v>
      </c>
      <c r="BB352" s="13" t="s">
        <v>88</v>
      </c>
      <c r="BC352" s="13">
        <f t="shared" si="31"/>
        <v>2</v>
      </c>
      <c r="BD352" s="15"/>
      <c r="BE352" s="13" t="str">
        <f t="shared" si="48"/>
        <v>N/A</v>
      </c>
      <c r="BF352" s="13" t="s">
        <v>224</v>
      </c>
      <c r="BG352" s="13">
        <f t="shared" si="33"/>
        <v>0</v>
      </c>
      <c r="BH352" s="13">
        <f t="shared" si="34"/>
        <v>0</v>
      </c>
      <c r="BI352" s="13">
        <f t="shared" si="35"/>
        <v>1</v>
      </c>
      <c r="BJ352" s="13">
        <f t="shared" si="36"/>
        <v>0</v>
      </c>
      <c r="BK352" s="13">
        <f t="shared" si="37"/>
        <v>0</v>
      </c>
      <c r="BL352" s="13">
        <f t="shared" si="38"/>
        <v>0</v>
      </c>
      <c r="BM352" s="13">
        <f t="shared" si="39"/>
        <v>0</v>
      </c>
      <c r="BN352" s="13" t="s">
        <v>68</v>
      </c>
      <c r="BO352" s="16">
        <f t="shared" si="40"/>
        <v>1</v>
      </c>
    </row>
    <row r="353">
      <c r="A353" s="13">
        <f t="shared" si="41"/>
        <v>352</v>
      </c>
      <c r="B353" s="14">
        <v>46056.30786447917</v>
      </c>
      <c r="C353" s="13" t="s">
        <v>67</v>
      </c>
      <c r="D353" s="13">
        <f t="shared" si="1"/>
        <v>1</v>
      </c>
      <c r="E353" s="13" t="s">
        <v>68</v>
      </c>
      <c r="F353" s="13">
        <f t="shared" si="2"/>
        <v>1</v>
      </c>
      <c r="G353" s="13" t="s">
        <v>91</v>
      </c>
      <c r="H353" s="13" t="str">
        <f t="shared" si="3"/>
        <v>Urban</v>
      </c>
      <c r="I353" s="13">
        <f t="shared" si="4"/>
        <v>2</v>
      </c>
      <c r="J353" s="13" t="s">
        <v>145</v>
      </c>
      <c r="K353" s="15" t="s">
        <v>146</v>
      </c>
      <c r="L353" s="13">
        <f t="shared" si="5"/>
        <v>1</v>
      </c>
      <c r="M353" s="13" t="s">
        <v>71</v>
      </c>
      <c r="N353" s="13">
        <f t="shared" si="6"/>
        <v>7.7</v>
      </c>
      <c r="O353" s="13" t="s">
        <v>72</v>
      </c>
      <c r="P353" s="13">
        <f t="shared" si="7"/>
        <v>1</v>
      </c>
      <c r="Q353" s="13" t="s">
        <v>85</v>
      </c>
      <c r="R353" s="13">
        <f t="shared" si="8"/>
        <v>4</v>
      </c>
      <c r="S353" s="13" t="s">
        <v>73</v>
      </c>
      <c r="T353" s="13">
        <f t="shared" si="9"/>
        <v>2</v>
      </c>
      <c r="U353" s="13" t="s">
        <v>74</v>
      </c>
      <c r="V353" s="13">
        <f t="shared" si="10"/>
        <v>1.5</v>
      </c>
      <c r="W353" s="13" t="s">
        <v>86</v>
      </c>
      <c r="X353" s="13">
        <f t="shared" si="11"/>
        <v>1</v>
      </c>
      <c r="Y353" s="13">
        <f t="shared" si="12"/>
        <v>1</v>
      </c>
      <c r="Z353" s="13">
        <f t="shared" si="13"/>
        <v>1</v>
      </c>
      <c r="AA353" s="13">
        <f t="shared" si="14"/>
        <v>0</v>
      </c>
      <c r="AB353" s="13" t="s">
        <v>78</v>
      </c>
      <c r="AC353" s="13">
        <f t="shared" si="15"/>
        <v>3</v>
      </c>
      <c r="AD353" s="13" t="s">
        <v>78</v>
      </c>
      <c r="AE353" s="13">
        <f t="shared" si="16"/>
        <v>3</v>
      </c>
      <c r="AF353" s="13" t="s">
        <v>71</v>
      </c>
      <c r="AG353" s="13">
        <f t="shared" si="17"/>
        <v>7.7</v>
      </c>
      <c r="AH353" s="13" t="s">
        <v>85</v>
      </c>
      <c r="AI353" s="13">
        <f t="shared" si="18"/>
        <v>4</v>
      </c>
      <c r="AJ353" s="13" t="s">
        <v>85</v>
      </c>
      <c r="AK353" s="13">
        <f t="shared" si="19"/>
        <v>4</v>
      </c>
      <c r="AL353" s="13" t="s">
        <v>85</v>
      </c>
      <c r="AM353" s="13">
        <f t="shared" si="20"/>
        <v>4</v>
      </c>
      <c r="AN353" s="13" t="s">
        <v>85</v>
      </c>
      <c r="AO353" s="13">
        <f t="shared" si="21"/>
        <v>4</v>
      </c>
      <c r="AP353" s="13" t="s">
        <v>85</v>
      </c>
      <c r="AQ353" s="13">
        <f t="shared" si="22"/>
        <v>4</v>
      </c>
      <c r="AR353" s="13" t="s">
        <v>85</v>
      </c>
      <c r="AS353" s="13">
        <f t="shared" si="23"/>
        <v>4</v>
      </c>
      <c r="AT353" s="13" t="s">
        <v>104</v>
      </c>
      <c r="AU353" s="15">
        <f t="shared" si="24"/>
        <v>1</v>
      </c>
      <c r="AV353" s="15">
        <f t="shared" si="25"/>
        <v>1</v>
      </c>
      <c r="AW353" s="13">
        <f t="shared" si="26"/>
        <v>1</v>
      </c>
      <c r="AX353" s="13">
        <f t="shared" si="27"/>
        <v>1</v>
      </c>
      <c r="AY353" s="13">
        <f t="shared" si="28"/>
        <v>1</v>
      </c>
      <c r="AZ353" s="13">
        <f t="shared" si="29"/>
        <v>1</v>
      </c>
      <c r="BA353" s="13">
        <f t="shared" si="30"/>
        <v>1</v>
      </c>
      <c r="BB353" s="13" t="s">
        <v>88</v>
      </c>
      <c r="BC353" s="13">
        <f t="shared" si="31"/>
        <v>2</v>
      </c>
      <c r="BD353" s="15"/>
      <c r="BE353" s="13" t="str">
        <f t="shared" si="48"/>
        <v>N/A</v>
      </c>
      <c r="BF353" s="13" t="s">
        <v>89</v>
      </c>
      <c r="BG353" s="13">
        <f t="shared" si="33"/>
        <v>1</v>
      </c>
      <c r="BH353" s="13">
        <f t="shared" si="34"/>
        <v>1</v>
      </c>
      <c r="BI353" s="13">
        <f t="shared" si="35"/>
        <v>1</v>
      </c>
      <c r="BJ353" s="13">
        <f t="shared" si="36"/>
        <v>1</v>
      </c>
      <c r="BK353" s="13">
        <f t="shared" si="37"/>
        <v>1</v>
      </c>
      <c r="BL353" s="13">
        <f t="shared" si="38"/>
        <v>1</v>
      </c>
      <c r="BM353" s="13">
        <f t="shared" si="39"/>
        <v>1</v>
      </c>
      <c r="BN353" s="13" t="s">
        <v>108</v>
      </c>
      <c r="BO353" s="16">
        <f t="shared" si="40"/>
        <v>3</v>
      </c>
    </row>
    <row r="354">
      <c r="A354" s="13">
        <f t="shared" si="41"/>
        <v>353</v>
      </c>
      <c r="B354" s="14">
        <v>46056.33581592592</v>
      </c>
      <c r="C354" s="13" t="s">
        <v>90</v>
      </c>
      <c r="D354" s="13">
        <f t="shared" si="1"/>
        <v>2</v>
      </c>
      <c r="E354" s="13" t="s">
        <v>68</v>
      </c>
      <c r="F354" s="13">
        <f t="shared" si="2"/>
        <v>1</v>
      </c>
      <c r="G354" s="13" t="s">
        <v>91</v>
      </c>
      <c r="H354" s="13" t="str">
        <f t="shared" si="3"/>
        <v>Urban</v>
      </c>
      <c r="I354" s="13">
        <f t="shared" si="4"/>
        <v>2</v>
      </c>
      <c r="J354" s="13" t="s">
        <v>70</v>
      </c>
      <c r="K354" s="15" t="s">
        <v>100</v>
      </c>
      <c r="L354" s="13">
        <f t="shared" si="5"/>
        <v>3</v>
      </c>
      <c r="M354" s="13" t="s">
        <v>76</v>
      </c>
      <c r="N354" s="13">
        <f t="shared" si="6"/>
        <v>5.5</v>
      </c>
      <c r="O354" s="13" t="s">
        <v>78</v>
      </c>
      <c r="P354" s="13">
        <f t="shared" si="7"/>
        <v>3</v>
      </c>
      <c r="Q354" s="13" t="s">
        <v>85</v>
      </c>
      <c r="R354" s="13">
        <f t="shared" si="8"/>
        <v>4</v>
      </c>
      <c r="S354" s="13" t="s">
        <v>73</v>
      </c>
      <c r="T354" s="13">
        <f t="shared" si="9"/>
        <v>2</v>
      </c>
      <c r="U354" s="13" t="s">
        <v>110</v>
      </c>
      <c r="V354" s="13">
        <f t="shared" si="10"/>
        <v>0.75</v>
      </c>
      <c r="W354" s="13" t="s">
        <v>93</v>
      </c>
      <c r="X354" s="13">
        <f t="shared" si="11"/>
        <v>0</v>
      </c>
      <c r="Y354" s="13">
        <f t="shared" si="12"/>
        <v>1</v>
      </c>
      <c r="Z354" s="13">
        <f t="shared" si="13"/>
        <v>0</v>
      </c>
      <c r="AA354" s="13">
        <f t="shared" si="14"/>
        <v>0</v>
      </c>
      <c r="AB354" s="13" t="s">
        <v>78</v>
      </c>
      <c r="AC354" s="13">
        <f t="shared" si="15"/>
        <v>3</v>
      </c>
      <c r="AD354" s="13" t="s">
        <v>85</v>
      </c>
      <c r="AE354" s="13">
        <f t="shared" si="16"/>
        <v>4</v>
      </c>
      <c r="AF354" s="13" t="s">
        <v>109</v>
      </c>
      <c r="AG354" s="13">
        <f t="shared" si="17"/>
        <v>9</v>
      </c>
      <c r="AH354" s="13" t="s">
        <v>72</v>
      </c>
      <c r="AI354" s="13">
        <f t="shared" si="18"/>
        <v>1</v>
      </c>
      <c r="AJ354" s="13" t="s">
        <v>78</v>
      </c>
      <c r="AK354" s="13">
        <f t="shared" si="19"/>
        <v>3</v>
      </c>
      <c r="AL354" s="13" t="s">
        <v>78</v>
      </c>
      <c r="AM354" s="13">
        <f t="shared" si="20"/>
        <v>3</v>
      </c>
      <c r="AN354" s="13" t="s">
        <v>85</v>
      </c>
      <c r="AO354" s="13">
        <f t="shared" si="21"/>
        <v>4</v>
      </c>
      <c r="AP354" s="13" t="s">
        <v>85</v>
      </c>
      <c r="AQ354" s="13">
        <f t="shared" si="22"/>
        <v>4</v>
      </c>
      <c r="AR354" s="13" t="s">
        <v>85</v>
      </c>
      <c r="AS354" s="13">
        <f t="shared" si="23"/>
        <v>4</v>
      </c>
      <c r="AT354" s="13" t="s">
        <v>236</v>
      </c>
      <c r="AU354" s="15">
        <f t="shared" si="24"/>
        <v>0</v>
      </c>
      <c r="AV354" s="15">
        <f t="shared" si="25"/>
        <v>0</v>
      </c>
      <c r="AW354" s="13">
        <f t="shared" si="26"/>
        <v>0</v>
      </c>
      <c r="AX354" s="13">
        <f t="shared" si="27"/>
        <v>0</v>
      </c>
      <c r="AY354" s="13">
        <f t="shared" si="28"/>
        <v>0</v>
      </c>
      <c r="AZ354" s="13">
        <f t="shared" si="29"/>
        <v>1</v>
      </c>
      <c r="BA354" s="13">
        <f t="shared" si="30"/>
        <v>0</v>
      </c>
      <c r="BB354" s="13" t="s">
        <v>88</v>
      </c>
      <c r="BC354" s="13">
        <f t="shared" si="31"/>
        <v>2</v>
      </c>
      <c r="BD354" s="15"/>
      <c r="BE354" s="13" t="str">
        <f t="shared" si="48"/>
        <v>N/A</v>
      </c>
      <c r="BF354" s="13" t="s">
        <v>113</v>
      </c>
      <c r="BG354" s="13">
        <f t="shared" si="33"/>
        <v>0</v>
      </c>
      <c r="BH354" s="13">
        <f t="shared" si="34"/>
        <v>0</v>
      </c>
      <c r="BI354" s="13">
        <f t="shared" si="35"/>
        <v>0</v>
      </c>
      <c r="BJ354" s="13">
        <f t="shared" si="36"/>
        <v>0</v>
      </c>
      <c r="BK354" s="13">
        <f t="shared" si="37"/>
        <v>0</v>
      </c>
      <c r="BL354" s="13">
        <f t="shared" si="38"/>
        <v>0</v>
      </c>
      <c r="BM354" s="13">
        <f t="shared" si="39"/>
        <v>1</v>
      </c>
      <c r="BN354" s="13" t="s">
        <v>108</v>
      </c>
      <c r="BO354" s="16">
        <f t="shared" si="40"/>
        <v>3</v>
      </c>
    </row>
    <row r="355">
      <c r="A355" s="13">
        <f t="shared" si="41"/>
        <v>354</v>
      </c>
      <c r="B355" s="14">
        <v>46056.385770127315</v>
      </c>
      <c r="C355" s="13" t="s">
        <v>67</v>
      </c>
      <c r="D355" s="13">
        <f t="shared" si="1"/>
        <v>1</v>
      </c>
      <c r="E355" s="13" t="s">
        <v>68</v>
      </c>
      <c r="F355" s="13">
        <f t="shared" si="2"/>
        <v>1</v>
      </c>
      <c r="G355" s="13" t="s">
        <v>69</v>
      </c>
      <c r="H355" s="13" t="str">
        <f t="shared" si="3"/>
        <v>Rural</v>
      </c>
      <c r="I355" s="13">
        <f t="shared" si="4"/>
        <v>1</v>
      </c>
      <c r="J355" s="13" t="s">
        <v>70</v>
      </c>
      <c r="K355" s="15" t="s">
        <v>100</v>
      </c>
      <c r="L355" s="13">
        <f t="shared" si="5"/>
        <v>3</v>
      </c>
      <c r="M355" s="13" t="s">
        <v>76</v>
      </c>
      <c r="N355" s="13">
        <f t="shared" si="6"/>
        <v>5.5</v>
      </c>
      <c r="O355" s="13" t="s">
        <v>78</v>
      </c>
      <c r="P355" s="13">
        <f t="shared" si="7"/>
        <v>3</v>
      </c>
      <c r="Q355" s="13" t="s">
        <v>78</v>
      </c>
      <c r="R355" s="13">
        <f t="shared" si="8"/>
        <v>3</v>
      </c>
      <c r="S355" s="13" t="s">
        <v>78</v>
      </c>
      <c r="T355" s="13">
        <f t="shared" si="9"/>
        <v>3</v>
      </c>
      <c r="U355" s="13" t="s">
        <v>92</v>
      </c>
      <c r="V355" s="13">
        <f t="shared" si="10"/>
        <v>3.5</v>
      </c>
      <c r="W355" s="13" t="s">
        <v>102</v>
      </c>
      <c r="X355" s="13">
        <f t="shared" si="11"/>
        <v>1</v>
      </c>
      <c r="Y355" s="13">
        <f t="shared" si="12"/>
        <v>1</v>
      </c>
      <c r="Z355" s="13">
        <f t="shared" si="13"/>
        <v>1</v>
      </c>
      <c r="AA355" s="13">
        <f t="shared" si="14"/>
        <v>1</v>
      </c>
      <c r="AB355" s="13" t="s">
        <v>78</v>
      </c>
      <c r="AC355" s="13">
        <f t="shared" si="15"/>
        <v>3</v>
      </c>
      <c r="AD355" s="13" t="s">
        <v>78</v>
      </c>
      <c r="AE355" s="13">
        <f t="shared" si="16"/>
        <v>3</v>
      </c>
      <c r="AF355" s="13" t="s">
        <v>76</v>
      </c>
      <c r="AG355" s="13">
        <f t="shared" si="17"/>
        <v>5.5</v>
      </c>
      <c r="AH355" s="13" t="s">
        <v>73</v>
      </c>
      <c r="AI355" s="13">
        <f t="shared" si="18"/>
        <v>2</v>
      </c>
      <c r="AJ355" s="13" t="s">
        <v>73</v>
      </c>
      <c r="AK355" s="13">
        <f t="shared" si="19"/>
        <v>2</v>
      </c>
      <c r="AL355" s="13" t="s">
        <v>77</v>
      </c>
      <c r="AM355" s="13">
        <f t="shared" si="20"/>
        <v>1</v>
      </c>
      <c r="AN355" s="13" t="s">
        <v>73</v>
      </c>
      <c r="AO355" s="13">
        <f t="shared" si="21"/>
        <v>2</v>
      </c>
      <c r="AP355" s="13" t="s">
        <v>78</v>
      </c>
      <c r="AQ355" s="13">
        <f t="shared" si="22"/>
        <v>3</v>
      </c>
      <c r="AR355" s="13" t="s">
        <v>77</v>
      </c>
      <c r="AS355" s="13">
        <f t="shared" si="23"/>
        <v>1</v>
      </c>
      <c r="AT355" s="13" t="s">
        <v>251</v>
      </c>
      <c r="AU355" s="15">
        <f t="shared" si="24"/>
        <v>1</v>
      </c>
      <c r="AV355" s="15">
        <f t="shared" si="25"/>
        <v>1</v>
      </c>
      <c r="AW355" s="13">
        <f t="shared" si="26"/>
        <v>0</v>
      </c>
      <c r="AX355" s="13">
        <f t="shared" si="27"/>
        <v>1</v>
      </c>
      <c r="AY355" s="13">
        <f t="shared" si="28"/>
        <v>0</v>
      </c>
      <c r="AZ355" s="13">
        <f t="shared" si="29"/>
        <v>1</v>
      </c>
      <c r="BA355" s="13">
        <f t="shared" si="30"/>
        <v>1</v>
      </c>
      <c r="BB355" s="13" t="s">
        <v>88</v>
      </c>
      <c r="BC355" s="13">
        <f t="shared" si="31"/>
        <v>2</v>
      </c>
      <c r="BD355" s="15"/>
      <c r="BE355" s="13" t="str">
        <f t="shared" si="48"/>
        <v>N/A</v>
      </c>
      <c r="BF355" s="13" t="s">
        <v>370</v>
      </c>
      <c r="BG355" s="13">
        <f t="shared" si="33"/>
        <v>0</v>
      </c>
      <c r="BH355" s="13">
        <f t="shared" si="34"/>
        <v>0</v>
      </c>
      <c r="BI355" s="13">
        <f t="shared" si="35"/>
        <v>0</v>
      </c>
      <c r="BJ355" s="13">
        <f t="shared" si="36"/>
        <v>1</v>
      </c>
      <c r="BK355" s="13">
        <f t="shared" si="37"/>
        <v>1</v>
      </c>
      <c r="BL355" s="13">
        <f t="shared" si="38"/>
        <v>1</v>
      </c>
      <c r="BM355" s="13">
        <f t="shared" si="39"/>
        <v>0</v>
      </c>
      <c r="BN355" s="13" t="s">
        <v>108</v>
      </c>
      <c r="BO355" s="16">
        <f t="shared" si="40"/>
        <v>3</v>
      </c>
    </row>
    <row r="356">
      <c r="A356" s="13">
        <f t="shared" si="41"/>
        <v>355</v>
      </c>
      <c r="B356" s="14">
        <v>46056.45670546296</v>
      </c>
      <c r="C356" s="13" t="s">
        <v>67</v>
      </c>
      <c r="D356" s="13">
        <f t="shared" si="1"/>
        <v>1</v>
      </c>
      <c r="E356" s="13" t="s">
        <v>68</v>
      </c>
      <c r="F356" s="13">
        <f t="shared" si="2"/>
        <v>1</v>
      </c>
      <c r="G356" s="13" t="s">
        <v>91</v>
      </c>
      <c r="H356" s="13" t="str">
        <f t="shared" si="3"/>
        <v>Urban</v>
      </c>
      <c r="I356" s="13">
        <f t="shared" si="4"/>
        <v>2</v>
      </c>
      <c r="J356" s="13" t="s">
        <v>70</v>
      </c>
      <c r="K356" s="15" t="s">
        <v>100</v>
      </c>
      <c r="L356" s="13">
        <f t="shared" si="5"/>
        <v>3</v>
      </c>
      <c r="M356" s="13" t="s">
        <v>71</v>
      </c>
      <c r="N356" s="13">
        <f t="shared" si="6"/>
        <v>7.7</v>
      </c>
      <c r="O356" s="13" t="s">
        <v>73</v>
      </c>
      <c r="P356" s="13">
        <f t="shared" si="7"/>
        <v>2</v>
      </c>
      <c r="Q356" s="13" t="s">
        <v>85</v>
      </c>
      <c r="R356" s="13">
        <f t="shared" si="8"/>
        <v>4</v>
      </c>
      <c r="S356" s="13" t="s">
        <v>73</v>
      </c>
      <c r="T356" s="13">
        <f t="shared" si="9"/>
        <v>2</v>
      </c>
      <c r="U356" s="13" t="s">
        <v>96</v>
      </c>
      <c r="V356" s="13">
        <f t="shared" si="10"/>
        <v>2.5</v>
      </c>
      <c r="W356" s="13" t="s">
        <v>105</v>
      </c>
      <c r="X356" s="13">
        <f t="shared" si="11"/>
        <v>1</v>
      </c>
      <c r="Y356" s="13">
        <f t="shared" si="12"/>
        <v>1</v>
      </c>
      <c r="Z356" s="13">
        <f t="shared" si="13"/>
        <v>0</v>
      </c>
      <c r="AA356" s="13">
        <f t="shared" si="14"/>
        <v>0</v>
      </c>
      <c r="AB356" s="13" t="s">
        <v>103</v>
      </c>
      <c r="AC356" s="13">
        <f t="shared" si="15"/>
        <v>5</v>
      </c>
      <c r="AD356" s="13" t="s">
        <v>85</v>
      </c>
      <c r="AE356" s="13">
        <f t="shared" si="16"/>
        <v>4</v>
      </c>
      <c r="AF356" s="13" t="s">
        <v>71</v>
      </c>
      <c r="AG356" s="13">
        <f t="shared" si="17"/>
        <v>7.7</v>
      </c>
      <c r="AH356" s="13" t="s">
        <v>73</v>
      </c>
      <c r="AI356" s="13">
        <f t="shared" si="18"/>
        <v>2</v>
      </c>
      <c r="AJ356" s="13" t="s">
        <v>73</v>
      </c>
      <c r="AK356" s="13">
        <f t="shared" si="19"/>
        <v>2</v>
      </c>
      <c r="AL356" s="13" t="s">
        <v>85</v>
      </c>
      <c r="AM356" s="13">
        <f t="shared" si="20"/>
        <v>4</v>
      </c>
      <c r="AN356" s="13" t="s">
        <v>85</v>
      </c>
      <c r="AO356" s="13">
        <f t="shared" si="21"/>
        <v>4</v>
      </c>
      <c r="AP356" s="13" t="s">
        <v>85</v>
      </c>
      <c r="AQ356" s="13">
        <f t="shared" si="22"/>
        <v>4</v>
      </c>
      <c r="AR356" s="13" t="s">
        <v>85</v>
      </c>
      <c r="AS356" s="13">
        <f t="shared" si="23"/>
        <v>4</v>
      </c>
      <c r="AT356" s="13" t="s">
        <v>79</v>
      </c>
      <c r="AU356" s="15">
        <f t="shared" si="24"/>
        <v>1</v>
      </c>
      <c r="AV356" s="15">
        <f t="shared" si="25"/>
        <v>0</v>
      </c>
      <c r="AW356" s="13">
        <f t="shared" si="26"/>
        <v>1</v>
      </c>
      <c r="AX356" s="13">
        <f t="shared" si="27"/>
        <v>0</v>
      </c>
      <c r="AY356" s="13">
        <f t="shared" si="28"/>
        <v>0</v>
      </c>
      <c r="AZ356" s="13">
        <f t="shared" si="29"/>
        <v>1</v>
      </c>
      <c r="BA356" s="13">
        <f t="shared" si="30"/>
        <v>0</v>
      </c>
      <c r="BB356" s="13" t="s">
        <v>88</v>
      </c>
      <c r="BC356" s="13">
        <f t="shared" si="31"/>
        <v>2</v>
      </c>
      <c r="BD356" s="15"/>
      <c r="BE356" s="13" t="str">
        <f t="shared" si="48"/>
        <v>N/A</v>
      </c>
      <c r="BF356" s="13" t="s">
        <v>248</v>
      </c>
      <c r="BG356" s="13">
        <f t="shared" si="33"/>
        <v>0</v>
      </c>
      <c r="BH356" s="13">
        <f t="shared" si="34"/>
        <v>0</v>
      </c>
      <c r="BI356" s="13">
        <f t="shared" si="35"/>
        <v>0</v>
      </c>
      <c r="BJ356" s="13">
        <f t="shared" si="36"/>
        <v>1</v>
      </c>
      <c r="BK356" s="13">
        <f t="shared" si="37"/>
        <v>0</v>
      </c>
      <c r="BL356" s="13">
        <f t="shared" si="38"/>
        <v>0</v>
      </c>
      <c r="BM356" s="13">
        <f t="shared" si="39"/>
        <v>1</v>
      </c>
      <c r="BN356" s="13" t="s">
        <v>68</v>
      </c>
      <c r="BO356" s="16">
        <f t="shared" si="40"/>
        <v>1</v>
      </c>
    </row>
    <row r="357">
      <c r="A357" s="13">
        <f t="shared" si="41"/>
        <v>356</v>
      </c>
      <c r="B357" s="14">
        <v>46056.48098112269</v>
      </c>
      <c r="C357" s="13" t="s">
        <v>67</v>
      </c>
      <c r="D357" s="13">
        <f t="shared" si="1"/>
        <v>1</v>
      </c>
      <c r="E357" s="13" t="s">
        <v>68</v>
      </c>
      <c r="F357" s="13">
        <f t="shared" si="2"/>
        <v>1</v>
      </c>
      <c r="G357" s="13" t="s">
        <v>91</v>
      </c>
      <c r="H357" s="13" t="str">
        <f t="shared" si="3"/>
        <v>Urban</v>
      </c>
      <c r="I357" s="13">
        <f t="shared" si="4"/>
        <v>2</v>
      </c>
      <c r="J357" s="13" t="s">
        <v>70</v>
      </c>
      <c r="K357" s="15" t="s">
        <v>100</v>
      </c>
      <c r="L357" s="13">
        <f t="shared" si="5"/>
        <v>3</v>
      </c>
      <c r="M357" s="13" t="s">
        <v>71</v>
      </c>
      <c r="N357" s="13">
        <f t="shared" si="6"/>
        <v>7.7</v>
      </c>
      <c r="O357" s="13" t="s">
        <v>73</v>
      </c>
      <c r="P357" s="13">
        <f t="shared" si="7"/>
        <v>2</v>
      </c>
      <c r="Q357" s="13" t="s">
        <v>78</v>
      </c>
      <c r="R357" s="13">
        <f t="shared" si="8"/>
        <v>3</v>
      </c>
      <c r="S357" s="13" t="s">
        <v>73</v>
      </c>
      <c r="T357" s="13">
        <f t="shared" si="9"/>
        <v>2</v>
      </c>
      <c r="U357" s="13" t="s">
        <v>96</v>
      </c>
      <c r="V357" s="13">
        <f t="shared" si="10"/>
        <v>2.5</v>
      </c>
      <c r="W357" s="13" t="s">
        <v>93</v>
      </c>
      <c r="X357" s="13">
        <f t="shared" si="11"/>
        <v>0</v>
      </c>
      <c r="Y357" s="13">
        <f t="shared" si="12"/>
        <v>1</v>
      </c>
      <c r="Z357" s="13">
        <f t="shared" si="13"/>
        <v>0</v>
      </c>
      <c r="AA357" s="13">
        <f t="shared" si="14"/>
        <v>0</v>
      </c>
      <c r="AB357" s="13" t="s">
        <v>73</v>
      </c>
      <c r="AC357" s="13">
        <f t="shared" si="15"/>
        <v>2</v>
      </c>
      <c r="AD357" s="13" t="s">
        <v>85</v>
      </c>
      <c r="AE357" s="13">
        <f t="shared" si="16"/>
        <v>4</v>
      </c>
      <c r="AF357" s="13" t="s">
        <v>76</v>
      </c>
      <c r="AG357" s="13">
        <f t="shared" si="17"/>
        <v>5.5</v>
      </c>
      <c r="AH357" s="13" t="s">
        <v>85</v>
      </c>
      <c r="AI357" s="13">
        <f t="shared" si="18"/>
        <v>4</v>
      </c>
      <c r="AJ357" s="13" t="s">
        <v>73</v>
      </c>
      <c r="AK357" s="13">
        <f t="shared" si="19"/>
        <v>2</v>
      </c>
      <c r="AL357" s="13" t="s">
        <v>73</v>
      </c>
      <c r="AM357" s="13">
        <f t="shared" si="20"/>
        <v>2</v>
      </c>
      <c r="AN357" s="13" t="s">
        <v>120</v>
      </c>
      <c r="AO357" s="13">
        <f t="shared" si="21"/>
        <v>5</v>
      </c>
      <c r="AP357" s="13" t="s">
        <v>85</v>
      </c>
      <c r="AQ357" s="13">
        <f t="shared" si="22"/>
        <v>4</v>
      </c>
      <c r="AR357" s="13" t="s">
        <v>85</v>
      </c>
      <c r="AS357" s="13">
        <f t="shared" si="23"/>
        <v>4</v>
      </c>
      <c r="AT357" s="13" t="s">
        <v>343</v>
      </c>
      <c r="AU357" s="15">
        <f t="shared" si="24"/>
        <v>0</v>
      </c>
      <c r="AV357" s="15">
        <f t="shared" si="25"/>
        <v>1</v>
      </c>
      <c r="AW357" s="13">
        <f t="shared" si="26"/>
        <v>1</v>
      </c>
      <c r="AX357" s="13">
        <f t="shared" si="27"/>
        <v>1</v>
      </c>
      <c r="AY357" s="13">
        <f t="shared" si="28"/>
        <v>0</v>
      </c>
      <c r="AZ357" s="13">
        <f t="shared" si="29"/>
        <v>1</v>
      </c>
      <c r="BA357" s="13">
        <f t="shared" si="30"/>
        <v>1</v>
      </c>
      <c r="BB357" s="13" t="s">
        <v>88</v>
      </c>
      <c r="BC357" s="13">
        <f t="shared" si="31"/>
        <v>2</v>
      </c>
      <c r="BD357" s="15"/>
      <c r="BE357" s="13" t="str">
        <f t="shared" si="48"/>
        <v>N/A</v>
      </c>
      <c r="BF357" s="13" t="s">
        <v>240</v>
      </c>
      <c r="BG357" s="13">
        <f t="shared" si="33"/>
        <v>0</v>
      </c>
      <c r="BH357" s="13">
        <f t="shared" si="34"/>
        <v>1</v>
      </c>
      <c r="BI357" s="13">
        <f t="shared" si="35"/>
        <v>1</v>
      </c>
      <c r="BJ357" s="13">
        <f t="shared" si="36"/>
        <v>0</v>
      </c>
      <c r="BK357" s="13">
        <f t="shared" si="37"/>
        <v>0</v>
      </c>
      <c r="BL357" s="13">
        <f t="shared" si="38"/>
        <v>0</v>
      </c>
      <c r="BM357" s="13">
        <f t="shared" si="39"/>
        <v>1</v>
      </c>
      <c r="BN357" s="13" t="s">
        <v>108</v>
      </c>
      <c r="BO357" s="16">
        <f t="shared" si="40"/>
        <v>3</v>
      </c>
    </row>
    <row r="358">
      <c r="A358" s="13">
        <f t="shared" si="41"/>
        <v>357</v>
      </c>
      <c r="B358" s="14">
        <v>46056.49978456019</v>
      </c>
      <c r="C358" s="13" t="s">
        <v>67</v>
      </c>
      <c r="D358" s="13">
        <f t="shared" si="1"/>
        <v>1</v>
      </c>
      <c r="E358" s="13" t="s">
        <v>68</v>
      </c>
      <c r="F358" s="13">
        <f t="shared" si="2"/>
        <v>1</v>
      </c>
      <c r="G358" s="13" t="s">
        <v>82</v>
      </c>
      <c r="H358" s="13" t="str">
        <f t="shared" si="3"/>
        <v>Urban</v>
      </c>
      <c r="I358" s="13">
        <f t="shared" si="4"/>
        <v>2</v>
      </c>
      <c r="J358" s="13" t="s">
        <v>70</v>
      </c>
      <c r="K358" s="15" t="s">
        <v>100</v>
      </c>
      <c r="L358" s="13">
        <f t="shared" si="5"/>
        <v>3</v>
      </c>
      <c r="M358" s="13" t="s">
        <v>101</v>
      </c>
      <c r="N358" s="13">
        <f t="shared" si="6"/>
        <v>2</v>
      </c>
      <c r="O358" s="13" t="s">
        <v>72</v>
      </c>
      <c r="P358" s="13">
        <f t="shared" si="7"/>
        <v>1</v>
      </c>
      <c r="Q358" s="13" t="s">
        <v>72</v>
      </c>
      <c r="R358" s="13">
        <f t="shared" si="8"/>
        <v>1</v>
      </c>
      <c r="S358" s="13" t="s">
        <v>72</v>
      </c>
      <c r="T358" s="13">
        <f t="shared" si="9"/>
        <v>1</v>
      </c>
      <c r="U358" s="13" t="s">
        <v>92</v>
      </c>
      <c r="V358" s="13">
        <f t="shared" si="10"/>
        <v>3.5</v>
      </c>
      <c r="W358" s="13" t="s">
        <v>93</v>
      </c>
      <c r="X358" s="13">
        <f t="shared" si="11"/>
        <v>0</v>
      </c>
      <c r="Y358" s="13">
        <f t="shared" si="12"/>
        <v>1</v>
      </c>
      <c r="Z358" s="13">
        <f t="shared" si="13"/>
        <v>0</v>
      </c>
      <c r="AA358" s="13">
        <f t="shared" si="14"/>
        <v>0</v>
      </c>
      <c r="AB358" s="13" t="s">
        <v>85</v>
      </c>
      <c r="AC358" s="13">
        <f t="shared" si="15"/>
        <v>4</v>
      </c>
      <c r="AD358" s="13" t="s">
        <v>85</v>
      </c>
      <c r="AE358" s="13">
        <f t="shared" si="16"/>
        <v>4</v>
      </c>
      <c r="AF358" s="13" t="s">
        <v>71</v>
      </c>
      <c r="AG358" s="13">
        <f t="shared" si="17"/>
        <v>7.7</v>
      </c>
      <c r="AH358" s="13" t="s">
        <v>85</v>
      </c>
      <c r="AI358" s="13">
        <f t="shared" si="18"/>
        <v>4</v>
      </c>
      <c r="AJ358" s="13" t="s">
        <v>73</v>
      </c>
      <c r="AK358" s="13">
        <f t="shared" si="19"/>
        <v>2</v>
      </c>
      <c r="AL358" s="13" t="s">
        <v>73</v>
      </c>
      <c r="AM358" s="13">
        <f t="shared" si="20"/>
        <v>2</v>
      </c>
      <c r="AN358" s="13" t="s">
        <v>73</v>
      </c>
      <c r="AO358" s="13">
        <f t="shared" si="21"/>
        <v>2</v>
      </c>
      <c r="AP358" s="13" t="s">
        <v>78</v>
      </c>
      <c r="AQ358" s="13">
        <f t="shared" si="22"/>
        <v>3</v>
      </c>
      <c r="AR358" s="13" t="s">
        <v>78</v>
      </c>
      <c r="AS358" s="13">
        <f t="shared" si="23"/>
        <v>3</v>
      </c>
      <c r="AT358" s="13" t="s">
        <v>79</v>
      </c>
      <c r="AU358" s="15">
        <f t="shared" si="24"/>
        <v>1</v>
      </c>
      <c r="AV358" s="15">
        <f t="shared" si="25"/>
        <v>0</v>
      </c>
      <c r="AW358" s="13">
        <f t="shared" si="26"/>
        <v>1</v>
      </c>
      <c r="AX358" s="13">
        <f t="shared" si="27"/>
        <v>0</v>
      </c>
      <c r="AY358" s="13">
        <f t="shared" si="28"/>
        <v>0</v>
      </c>
      <c r="AZ358" s="13">
        <f t="shared" si="29"/>
        <v>1</v>
      </c>
      <c r="BA358" s="13">
        <f t="shared" si="30"/>
        <v>0</v>
      </c>
      <c r="BB358" s="13" t="s">
        <v>88</v>
      </c>
      <c r="BC358" s="13">
        <f t="shared" si="31"/>
        <v>2</v>
      </c>
      <c r="BD358" s="15"/>
      <c r="BE358" s="13" t="str">
        <f t="shared" si="48"/>
        <v>N/A</v>
      </c>
      <c r="BF358" s="13" t="s">
        <v>113</v>
      </c>
      <c r="BG358" s="13">
        <f t="shared" si="33"/>
        <v>0</v>
      </c>
      <c r="BH358" s="13">
        <f t="shared" si="34"/>
        <v>0</v>
      </c>
      <c r="BI358" s="13">
        <f t="shared" si="35"/>
        <v>0</v>
      </c>
      <c r="BJ358" s="13">
        <f t="shared" si="36"/>
        <v>0</v>
      </c>
      <c r="BK358" s="13">
        <f t="shared" si="37"/>
        <v>0</v>
      </c>
      <c r="BL358" s="13">
        <f t="shared" si="38"/>
        <v>0</v>
      </c>
      <c r="BM358" s="13">
        <f t="shared" si="39"/>
        <v>1</v>
      </c>
      <c r="BN358" s="13" t="s">
        <v>68</v>
      </c>
      <c r="BO358" s="16">
        <f t="shared" si="40"/>
        <v>1</v>
      </c>
    </row>
    <row r="359">
      <c r="A359" s="13">
        <f t="shared" si="41"/>
        <v>358</v>
      </c>
      <c r="B359" s="14">
        <v>46056.49990733796</v>
      </c>
      <c r="C359" s="13" t="s">
        <v>90</v>
      </c>
      <c r="D359" s="13">
        <f t="shared" si="1"/>
        <v>2</v>
      </c>
      <c r="E359" s="13" t="s">
        <v>68</v>
      </c>
      <c r="F359" s="13">
        <f t="shared" si="2"/>
        <v>1</v>
      </c>
      <c r="G359" s="13" t="s">
        <v>69</v>
      </c>
      <c r="H359" s="13" t="str">
        <f t="shared" si="3"/>
        <v>Rural</v>
      </c>
      <c r="I359" s="13">
        <f t="shared" si="4"/>
        <v>1</v>
      </c>
      <c r="J359" s="13" t="s">
        <v>70</v>
      </c>
      <c r="K359" s="15" t="s">
        <v>100</v>
      </c>
      <c r="L359" s="13">
        <f t="shared" si="5"/>
        <v>3</v>
      </c>
      <c r="M359" s="13" t="s">
        <v>109</v>
      </c>
      <c r="N359" s="13">
        <f t="shared" si="6"/>
        <v>9</v>
      </c>
      <c r="O359" s="13" t="s">
        <v>73</v>
      </c>
      <c r="P359" s="13">
        <f t="shared" si="7"/>
        <v>2</v>
      </c>
      <c r="Q359" s="15"/>
      <c r="R359" s="13" t="str">
        <f t="shared" si="8"/>
        <v>N/A</v>
      </c>
      <c r="S359" s="15"/>
      <c r="T359" s="13" t="str">
        <f t="shared" si="9"/>
        <v>N/A</v>
      </c>
      <c r="U359" s="13" t="s">
        <v>96</v>
      </c>
      <c r="V359" s="13">
        <f t="shared" si="10"/>
        <v>2.5</v>
      </c>
      <c r="W359" s="13" t="s">
        <v>93</v>
      </c>
      <c r="X359" s="13">
        <f t="shared" si="11"/>
        <v>0</v>
      </c>
      <c r="Y359" s="13">
        <f t="shared" si="12"/>
        <v>1</v>
      </c>
      <c r="Z359" s="13">
        <f t="shared" si="13"/>
        <v>0</v>
      </c>
      <c r="AA359" s="13">
        <f t="shared" si="14"/>
        <v>0</v>
      </c>
      <c r="AB359" s="13" t="s">
        <v>78</v>
      </c>
      <c r="AC359" s="13">
        <f t="shared" si="15"/>
        <v>3</v>
      </c>
      <c r="AD359" s="13" t="s">
        <v>73</v>
      </c>
      <c r="AE359" s="13">
        <f t="shared" si="16"/>
        <v>2</v>
      </c>
      <c r="AF359" s="13" t="s">
        <v>76</v>
      </c>
      <c r="AG359" s="13">
        <f t="shared" si="17"/>
        <v>5.5</v>
      </c>
      <c r="AH359" s="13" t="s">
        <v>78</v>
      </c>
      <c r="AI359" s="13">
        <f t="shared" si="18"/>
        <v>3</v>
      </c>
      <c r="AJ359" s="13" t="s">
        <v>73</v>
      </c>
      <c r="AK359" s="13">
        <f t="shared" si="19"/>
        <v>2</v>
      </c>
      <c r="AL359" s="13" t="s">
        <v>73</v>
      </c>
      <c r="AM359" s="13">
        <f t="shared" si="20"/>
        <v>2</v>
      </c>
      <c r="AN359" s="13" t="s">
        <v>78</v>
      </c>
      <c r="AO359" s="13">
        <f t="shared" si="21"/>
        <v>3</v>
      </c>
      <c r="AP359" s="13" t="s">
        <v>73</v>
      </c>
      <c r="AQ359" s="13">
        <f t="shared" si="22"/>
        <v>2</v>
      </c>
      <c r="AR359" s="13" t="s">
        <v>73</v>
      </c>
      <c r="AS359" s="13">
        <f t="shared" si="23"/>
        <v>2</v>
      </c>
      <c r="AT359" s="13" t="s">
        <v>132</v>
      </c>
      <c r="AU359" s="15">
        <f t="shared" si="24"/>
        <v>0</v>
      </c>
      <c r="AV359" s="15">
        <f t="shared" si="25"/>
        <v>0</v>
      </c>
      <c r="AW359" s="13">
        <f t="shared" si="26"/>
        <v>0</v>
      </c>
      <c r="AX359" s="13">
        <f t="shared" si="27"/>
        <v>0</v>
      </c>
      <c r="AY359" s="13">
        <f t="shared" si="28"/>
        <v>0</v>
      </c>
      <c r="AZ359" s="13">
        <f t="shared" si="29"/>
        <v>0</v>
      </c>
      <c r="BA359" s="13">
        <f t="shared" si="30"/>
        <v>1</v>
      </c>
      <c r="BB359" s="13" t="s">
        <v>68</v>
      </c>
      <c r="BC359" s="13">
        <f t="shared" si="31"/>
        <v>1</v>
      </c>
      <c r="BD359" s="13" t="s">
        <v>244</v>
      </c>
      <c r="BE359" s="13" t="str">
        <f t="shared" si="48"/>
        <v>Alarm app</v>
      </c>
      <c r="BF359" s="13" t="s">
        <v>275</v>
      </c>
      <c r="BG359" s="13">
        <f t="shared" si="33"/>
        <v>1</v>
      </c>
      <c r="BH359" s="13">
        <f t="shared" si="34"/>
        <v>0</v>
      </c>
      <c r="BI359" s="13">
        <f t="shared" si="35"/>
        <v>1</v>
      </c>
      <c r="BJ359" s="13">
        <f t="shared" si="36"/>
        <v>0</v>
      </c>
      <c r="BK359" s="13">
        <f t="shared" si="37"/>
        <v>0</v>
      </c>
      <c r="BL359" s="13">
        <f t="shared" si="38"/>
        <v>1</v>
      </c>
      <c r="BM359" s="13">
        <f t="shared" si="39"/>
        <v>1</v>
      </c>
      <c r="BN359" s="13" t="s">
        <v>68</v>
      </c>
      <c r="BO359" s="16">
        <f t="shared" si="40"/>
        <v>1</v>
      </c>
    </row>
    <row r="360">
      <c r="A360" s="13">
        <f t="shared" si="41"/>
        <v>359</v>
      </c>
      <c r="B360" s="14">
        <v>46056.62934818287</v>
      </c>
      <c r="C360" s="13" t="s">
        <v>67</v>
      </c>
      <c r="D360" s="13">
        <f t="shared" si="1"/>
        <v>1</v>
      </c>
      <c r="E360" s="13" t="s">
        <v>68</v>
      </c>
      <c r="F360" s="13">
        <f t="shared" si="2"/>
        <v>1</v>
      </c>
      <c r="G360" s="13" t="s">
        <v>91</v>
      </c>
      <c r="H360" s="13" t="str">
        <f t="shared" si="3"/>
        <v>Urban</v>
      </c>
      <c r="I360" s="13">
        <f t="shared" si="4"/>
        <v>2</v>
      </c>
      <c r="J360" s="13" t="s">
        <v>70</v>
      </c>
      <c r="K360" s="15" t="s">
        <v>100</v>
      </c>
      <c r="L360" s="13">
        <f t="shared" si="5"/>
        <v>3</v>
      </c>
      <c r="M360" s="13" t="s">
        <v>71</v>
      </c>
      <c r="N360" s="13">
        <f t="shared" si="6"/>
        <v>7.7</v>
      </c>
      <c r="O360" s="13" t="s">
        <v>73</v>
      </c>
      <c r="P360" s="13">
        <f t="shared" si="7"/>
        <v>2</v>
      </c>
      <c r="Q360" s="13" t="s">
        <v>85</v>
      </c>
      <c r="R360" s="13">
        <f t="shared" si="8"/>
        <v>4</v>
      </c>
      <c r="S360" s="13" t="s">
        <v>73</v>
      </c>
      <c r="T360" s="13">
        <f t="shared" si="9"/>
        <v>2</v>
      </c>
      <c r="U360" s="13" t="s">
        <v>74</v>
      </c>
      <c r="V360" s="13">
        <f t="shared" si="10"/>
        <v>1.5</v>
      </c>
      <c r="W360" s="13" t="s">
        <v>102</v>
      </c>
      <c r="X360" s="13">
        <f t="shared" si="11"/>
        <v>1</v>
      </c>
      <c r="Y360" s="13">
        <f t="shared" si="12"/>
        <v>1</v>
      </c>
      <c r="Z360" s="13">
        <f t="shared" si="13"/>
        <v>1</v>
      </c>
      <c r="AA360" s="13">
        <f t="shared" si="14"/>
        <v>1</v>
      </c>
      <c r="AB360" s="13" t="s">
        <v>85</v>
      </c>
      <c r="AC360" s="13">
        <f t="shared" si="15"/>
        <v>4</v>
      </c>
      <c r="AD360" s="13" t="s">
        <v>85</v>
      </c>
      <c r="AE360" s="13">
        <f t="shared" si="16"/>
        <v>4</v>
      </c>
      <c r="AF360" s="13" t="s">
        <v>71</v>
      </c>
      <c r="AG360" s="13">
        <f t="shared" si="17"/>
        <v>7.7</v>
      </c>
      <c r="AH360" s="13" t="s">
        <v>85</v>
      </c>
      <c r="AI360" s="13">
        <f t="shared" si="18"/>
        <v>4</v>
      </c>
      <c r="AJ360" s="13" t="s">
        <v>73</v>
      </c>
      <c r="AK360" s="13">
        <f t="shared" si="19"/>
        <v>2</v>
      </c>
      <c r="AL360" s="13" t="s">
        <v>73</v>
      </c>
      <c r="AM360" s="13">
        <f t="shared" si="20"/>
        <v>2</v>
      </c>
      <c r="AN360" s="13" t="s">
        <v>85</v>
      </c>
      <c r="AO360" s="13">
        <f t="shared" si="21"/>
        <v>4</v>
      </c>
      <c r="AP360" s="13" t="s">
        <v>85</v>
      </c>
      <c r="AQ360" s="13">
        <f t="shared" si="22"/>
        <v>4</v>
      </c>
      <c r="AR360" s="13" t="s">
        <v>120</v>
      </c>
      <c r="AS360" s="13">
        <f t="shared" si="23"/>
        <v>5</v>
      </c>
      <c r="AT360" s="13" t="s">
        <v>251</v>
      </c>
      <c r="AU360" s="15">
        <f t="shared" si="24"/>
        <v>1</v>
      </c>
      <c r="AV360" s="15">
        <f t="shared" si="25"/>
        <v>1</v>
      </c>
      <c r="AW360" s="13">
        <f t="shared" si="26"/>
        <v>0</v>
      </c>
      <c r="AX360" s="13">
        <f t="shared" si="27"/>
        <v>1</v>
      </c>
      <c r="AY360" s="13">
        <f t="shared" si="28"/>
        <v>0</v>
      </c>
      <c r="AZ360" s="13">
        <f t="shared" si="29"/>
        <v>1</v>
      </c>
      <c r="BA360" s="13">
        <f t="shared" si="30"/>
        <v>1</v>
      </c>
      <c r="BB360" s="13" t="s">
        <v>88</v>
      </c>
      <c r="BC360" s="13">
        <f t="shared" si="31"/>
        <v>2</v>
      </c>
      <c r="BD360" s="15"/>
      <c r="BE360" s="13" t="str">
        <f t="shared" si="48"/>
        <v>N/A</v>
      </c>
      <c r="BF360" s="13" t="s">
        <v>89</v>
      </c>
      <c r="BG360" s="13">
        <f t="shared" si="33"/>
        <v>1</v>
      </c>
      <c r="BH360" s="13">
        <f t="shared" si="34"/>
        <v>1</v>
      </c>
      <c r="BI360" s="13">
        <f t="shared" si="35"/>
        <v>1</v>
      </c>
      <c r="BJ360" s="13">
        <f t="shared" si="36"/>
        <v>1</v>
      </c>
      <c r="BK360" s="13">
        <f t="shared" si="37"/>
        <v>1</v>
      </c>
      <c r="BL360" s="13">
        <f t="shared" si="38"/>
        <v>1</v>
      </c>
      <c r="BM360" s="13">
        <f t="shared" si="39"/>
        <v>1</v>
      </c>
      <c r="BN360" s="13" t="s">
        <v>108</v>
      </c>
      <c r="BO360" s="16">
        <f t="shared" si="40"/>
        <v>3</v>
      </c>
    </row>
    <row r="361">
      <c r="A361" s="13">
        <f t="shared" si="41"/>
        <v>360</v>
      </c>
      <c r="B361" s="14">
        <v>46056.70030737268</v>
      </c>
      <c r="C361" s="13" t="s">
        <v>67</v>
      </c>
      <c r="D361" s="13">
        <f t="shared" si="1"/>
        <v>1</v>
      </c>
      <c r="E361" s="13" t="s">
        <v>68</v>
      </c>
      <c r="F361" s="13">
        <f t="shared" si="2"/>
        <v>1</v>
      </c>
      <c r="G361" s="13" t="s">
        <v>69</v>
      </c>
      <c r="H361" s="13" t="str">
        <f t="shared" si="3"/>
        <v>Rural</v>
      </c>
      <c r="I361" s="13">
        <f t="shared" si="4"/>
        <v>1</v>
      </c>
      <c r="J361" s="13" t="s">
        <v>83</v>
      </c>
      <c r="K361" s="15" t="s">
        <v>84</v>
      </c>
      <c r="L361" s="13">
        <f t="shared" si="5"/>
        <v>2</v>
      </c>
      <c r="M361" s="13" t="s">
        <v>71</v>
      </c>
      <c r="N361" s="13">
        <f t="shared" si="6"/>
        <v>7.7</v>
      </c>
      <c r="O361" s="13" t="s">
        <v>78</v>
      </c>
      <c r="P361" s="13">
        <f t="shared" si="7"/>
        <v>3</v>
      </c>
      <c r="Q361" s="15"/>
      <c r="R361" s="13" t="str">
        <f t="shared" si="8"/>
        <v>N/A</v>
      </c>
      <c r="S361" s="13" t="s">
        <v>73</v>
      </c>
      <c r="T361" s="13">
        <f t="shared" si="9"/>
        <v>2</v>
      </c>
      <c r="U361" s="13" t="s">
        <v>136</v>
      </c>
      <c r="V361" s="13">
        <f t="shared" si="10"/>
        <v>0</v>
      </c>
      <c r="W361" s="15"/>
      <c r="X361" s="13">
        <f t="shared" si="11"/>
        <v>0</v>
      </c>
      <c r="Y361" s="13">
        <f t="shared" si="12"/>
        <v>0</v>
      </c>
      <c r="Z361" s="13">
        <f t="shared" si="13"/>
        <v>0</v>
      </c>
      <c r="AA361" s="13">
        <f t="shared" si="14"/>
        <v>0</v>
      </c>
      <c r="AB361" s="15"/>
      <c r="AC361" s="13" t="str">
        <f t="shared" si="15"/>
        <v>N/A</v>
      </c>
      <c r="AD361" s="15"/>
      <c r="AE361" s="13" t="str">
        <f t="shared" si="16"/>
        <v>N/A</v>
      </c>
      <c r="AF361" s="13" t="s">
        <v>71</v>
      </c>
      <c r="AG361" s="13">
        <f t="shared" si="17"/>
        <v>7.7</v>
      </c>
      <c r="AH361" s="13" t="s">
        <v>72</v>
      </c>
      <c r="AI361" s="13">
        <f t="shared" si="18"/>
        <v>1</v>
      </c>
      <c r="AJ361" s="13" t="s">
        <v>120</v>
      </c>
      <c r="AK361" s="13">
        <f t="shared" si="19"/>
        <v>5</v>
      </c>
      <c r="AL361" s="13" t="s">
        <v>85</v>
      </c>
      <c r="AM361" s="13">
        <f t="shared" si="20"/>
        <v>4</v>
      </c>
      <c r="AN361" s="15"/>
      <c r="AO361" s="13" t="str">
        <f t="shared" si="21"/>
        <v>N/A</v>
      </c>
      <c r="AP361" s="13" t="s">
        <v>78</v>
      </c>
      <c r="AQ361" s="13">
        <f t="shared" si="22"/>
        <v>3</v>
      </c>
      <c r="AR361" s="13" t="s">
        <v>120</v>
      </c>
      <c r="AS361" s="13">
        <f t="shared" si="23"/>
        <v>5</v>
      </c>
      <c r="AT361" s="13" t="s">
        <v>79</v>
      </c>
      <c r="AU361" s="15">
        <f t="shared" si="24"/>
        <v>1</v>
      </c>
      <c r="AV361" s="15">
        <f t="shared" si="25"/>
        <v>0</v>
      </c>
      <c r="AW361" s="13">
        <f t="shared" si="26"/>
        <v>1</v>
      </c>
      <c r="AX361" s="13">
        <f t="shared" si="27"/>
        <v>0</v>
      </c>
      <c r="AY361" s="13">
        <f t="shared" si="28"/>
        <v>0</v>
      </c>
      <c r="AZ361" s="13">
        <f t="shared" si="29"/>
        <v>1</v>
      </c>
      <c r="BA361" s="13">
        <f t="shared" si="30"/>
        <v>0</v>
      </c>
      <c r="BB361" s="13" t="s">
        <v>68</v>
      </c>
      <c r="BC361" s="13">
        <f t="shared" si="31"/>
        <v>1</v>
      </c>
      <c r="BD361" s="13" t="s">
        <v>371</v>
      </c>
      <c r="BE361" s="13" t="str">
        <f t="shared" si="48"/>
        <v>N/A</v>
      </c>
      <c r="BF361" s="13" t="s">
        <v>107</v>
      </c>
      <c r="BG361" s="13">
        <f t="shared" si="33"/>
        <v>1</v>
      </c>
      <c r="BH361" s="13">
        <f t="shared" si="34"/>
        <v>0</v>
      </c>
      <c r="BI361" s="13">
        <f t="shared" si="35"/>
        <v>0</v>
      </c>
      <c r="BJ361" s="13">
        <f t="shared" si="36"/>
        <v>0</v>
      </c>
      <c r="BK361" s="13">
        <f t="shared" si="37"/>
        <v>0</v>
      </c>
      <c r="BL361" s="13">
        <f t="shared" si="38"/>
        <v>0</v>
      </c>
      <c r="BM361" s="13">
        <f t="shared" si="39"/>
        <v>0</v>
      </c>
      <c r="BN361" s="13" t="s">
        <v>68</v>
      </c>
      <c r="BO361" s="16">
        <f t="shared" si="40"/>
        <v>1</v>
      </c>
    </row>
    <row r="362">
      <c r="A362" s="13">
        <f t="shared" si="41"/>
        <v>361</v>
      </c>
      <c r="B362" s="14">
        <v>46056.75298365741</v>
      </c>
      <c r="C362" s="13" t="s">
        <v>90</v>
      </c>
      <c r="D362" s="13">
        <f t="shared" si="1"/>
        <v>2</v>
      </c>
      <c r="E362" s="13" t="s">
        <v>68</v>
      </c>
      <c r="F362" s="13">
        <f t="shared" si="2"/>
        <v>1</v>
      </c>
      <c r="G362" s="13" t="s">
        <v>91</v>
      </c>
      <c r="H362" s="13" t="str">
        <f t="shared" si="3"/>
        <v>Urban</v>
      </c>
      <c r="I362" s="13">
        <f t="shared" si="4"/>
        <v>2</v>
      </c>
      <c r="J362" s="13" t="s">
        <v>83</v>
      </c>
      <c r="K362" s="15" t="s">
        <v>84</v>
      </c>
      <c r="L362" s="13">
        <f t="shared" si="5"/>
        <v>2</v>
      </c>
      <c r="M362" s="13" t="s">
        <v>101</v>
      </c>
      <c r="N362" s="13">
        <f t="shared" si="6"/>
        <v>2</v>
      </c>
      <c r="O362" s="13" t="s">
        <v>85</v>
      </c>
      <c r="P362" s="13">
        <f t="shared" si="7"/>
        <v>4</v>
      </c>
      <c r="Q362" s="13" t="s">
        <v>85</v>
      </c>
      <c r="R362" s="13">
        <f t="shared" si="8"/>
        <v>4</v>
      </c>
      <c r="S362" s="13" t="s">
        <v>73</v>
      </c>
      <c r="T362" s="13">
        <f t="shared" si="9"/>
        <v>2</v>
      </c>
      <c r="U362" s="13" t="s">
        <v>96</v>
      </c>
      <c r="V362" s="13">
        <f t="shared" si="10"/>
        <v>2.5</v>
      </c>
      <c r="W362" s="13" t="s">
        <v>105</v>
      </c>
      <c r="X362" s="13">
        <f t="shared" si="11"/>
        <v>1</v>
      </c>
      <c r="Y362" s="13">
        <f t="shared" si="12"/>
        <v>1</v>
      </c>
      <c r="Z362" s="13">
        <f t="shared" si="13"/>
        <v>0</v>
      </c>
      <c r="AA362" s="13">
        <f t="shared" si="14"/>
        <v>0</v>
      </c>
      <c r="AB362" s="13" t="s">
        <v>85</v>
      </c>
      <c r="AC362" s="13">
        <f t="shared" si="15"/>
        <v>4</v>
      </c>
      <c r="AD362" s="13" t="s">
        <v>85</v>
      </c>
      <c r="AE362" s="13">
        <f t="shared" si="16"/>
        <v>4</v>
      </c>
      <c r="AF362" s="13" t="s">
        <v>71</v>
      </c>
      <c r="AG362" s="13">
        <f t="shared" si="17"/>
        <v>7.7</v>
      </c>
      <c r="AH362" s="13" t="s">
        <v>85</v>
      </c>
      <c r="AI362" s="13">
        <f t="shared" si="18"/>
        <v>4</v>
      </c>
      <c r="AJ362" s="13" t="s">
        <v>85</v>
      </c>
      <c r="AK362" s="13">
        <f t="shared" si="19"/>
        <v>4</v>
      </c>
      <c r="AL362" s="13" t="s">
        <v>78</v>
      </c>
      <c r="AM362" s="13">
        <f t="shared" si="20"/>
        <v>3</v>
      </c>
      <c r="AN362" s="13" t="s">
        <v>85</v>
      </c>
      <c r="AO362" s="13">
        <f t="shared" si="21"/>
        <v>4</v>
      </c>
      <c r="AP362" s="13" t="s">
        <v>85</v>
      </c>
      <c r="AQ362" s="13">
        <f t="shared" si="22"/>
        <v>4</v>
      </c>
      <c r="AR362" s="13" t="s">
        <v>85</v>
      </c>
      <c r="AS362" s="13">
        <f t="shared" si="23"/>
        <v>4</v>
      </c>
      <c r="AT362" s="13" t="s">
        <v>247</v>
      </c>
      <c r="AU362" s="15">
        <f t="shared" si="24"/>
        <v>1</v>
      </c>
      <c r="AV362" s="15">
        <f t="shared" si="25"/>
        <v>0</v>
      </c>
      <c r="AW362" s="13">
        <f t="shared" si="26"/>
        <v>0</v>
      </c>
      <c r="AX362" s="13">
        <f t="shared" si="27"/>
        <v>0</v>
      </c>
      <c r="AY362" s="13">
        <f t="shared" si="28"/>
        <v>0</v>
      </c>
      <c r="AZ362" s="13">
        <f t="shared" si="29"/>
        <v>0</v>
      </c>
      <c r="BA362" s="13">
        <f t="shared" si="30"/>
        <v>0</v>
      </c>
      <c r="BB362" s="13" t="s">
        <v>88</v>
      </c>
      <c r="BC362" s="13">
        <f t="shared" si="31"/>
        <v>2</v>
      </c>
      <c r="BD362" s="15"/>
      <c r="BE362" s="13" t="str">
        <f t="shared" si="48"/>
        <v>N/A</v>
      </c>
      <c r="BF362" s="13" t="s">
        <v>252</v>
      </c>
      <c r="BG362" s="13">
        <f t="shared" si="33"/>
        <v>1</v>
      </c>
      <c r="BH362" s="13">
        <f t="shared" si="34"/>
        <v>1</v>
      </c>
      <c r="BI362" s="13">
        <f t="shared" si="35"/>
        <v>0</v>
      </c>
      <c r="BJ362" s="13">
        <f t="shared" si="36"/>
        <v>0</v>
      </c>
      <c r="BK362" s="13">
        <f t="shared" si="37"/>
        <v>0</v>
      </c>
      <c r="BL362" s="13">
        <f t="shared" si="38"/>
        <v>0</v>
      </c>
      <c r="BM362" s="13">
        <f t="shared" si="39"/>
        <v>0</v>
      </c>
      <c r="BN362" s="13" t="s">
        <v>108</v>
      </c>
      <c r="BO362" s="16">
        <f t="shared" si="40"/>
        <v>3</v>
      </c>
    </row>
    <row r="363">
      <c r="A363" s="13">
        <f t="shared" si="41"/>
        <v>362</v>
      </c>
      <c r="B363" s="14">
        <v>46056.75501138889</v>
      </c>
      <c r="C363" s="13" t="s">
        <v>67</v>
      </c>
      <c r="D363" s="13">
        <f t="shared" si="1"/>
        <v>1</v>
      </c>
      <c r="E363" s="13" t="s">
        <v>68</v>
      </c>
      <c r="F363" s="13">
        <f t="shared" si="2"/>
        <v>1</v>
      </c>
      <c r="G363" s="13" t="s">
        <v>91</v>
      </c>
      <c r="H363" s="13" t="str">
        <f t="shared" si="3"/>
        <v>Urban</v>
      </c>
      <c r="I363" s="13">
        <f t="shared" si="4"/>
        <v>2</v>
      </c>
      <c r="J363" s="13" t="s">
        <v>70</v>
      </c>
      <c r="K363" s="15" t="s">
        <v>100</v>
      </c>
      <c r="L363" s="13">
        <f t="shared" si="5"/>
        <v>3</v>
      </c>
      <c r="M363" s="13" t="s">
        <v>76</v>
      </c>
      <c r="N363" s="13">
        <f t="shared" si="6"/>
        <v>5.5</v>
      </c>
      <c r="O363" s="13" t="s">
        <v>103</v>
      </c>
      <c r="P363" s="13">
        <f t="shared" si="7"/>
        <v>5</v>
      </c>
      <c r="Q363" s="13" t="s">
        <v>85</v>
      </c>
      <c r="R363" s="13">
        <f t="shared" si="8"/>
        <v>4</v>
      </c>
      <c r="S363" s="13" t="s">
        <v>85</v>
      </c>
      <c r="T363" s="13">
        <f t="shared" si="9"/>
        <v>4</v>
      </c>
      <c r="U363" s="13" t="s">
        <v>96</v>
      </c>
      <c r="V363" s="13">
        <f t="shared" si="10"/>
        <v>2.5</v>
      </c>
      <c r="W363" s="13" t="s">
        <v>180</v>
      </c>
      <c r="X363" s="13">
        <f t="shared" si="11"/>
        <v>0</v>
      </c>
      <c r="Y363" s="13">
        <f t="shared" si="12"/>
        <v>1</v>
      </c>
      <c r="Z363" s="13">
        <f t="shared" si="13"/>
        <v>1</v>
      </c>
      <c r="AA363" s="13">
        <f t="shared" si="14"/>
        <v>0</v>
      </c>
      <c r="AB363" s="13" t="s">
        <v>78</v>
      </c>
      <c r="AC363" s="13">
        <f t="shared" si="15"/>
        <v>3</v>
      </c>
      <c r="AD363" s="13" t="s">
        <v>73</v>
      </c>
      <c r="AE363" s="13">
        <f t="shared" si="16"/>
        <v>2</v>
      </c>
      <c r="AF363" s="13" t="s">
        <v>71</v>
      </c>
      <c r="AG363" s="13">
        <f t="shared" si="17"/>
        <v>7.7</v>
      </c>
      <c r="AH363" s="13" t="s">
        <v>85</v>
      </c>
      <c r="AI363" s="13">
        <f t="shared" si="18"/>
        <v>4</v>
      </c>
      <c r="AJ363" s="13" t="s">
        <v>85</v>
      </c>
      <c r="AK363" s="13">
        <f t="shared" si="19"/>
        <v>4</v>
      </c>
      <c r="AL363" s="13" t="s">
        <v>78</v>
      </c>
      <c r="AM363" s="13">
        <f t="shared" si="20"/>
        <v>3</v>
      </c>
      <c r="AN363" s="13" t="s">
        <v>120</v>
      </c>
      <c r="AO363" s="13">
        <f t="shared" si="21"/>
        <v>5</v>
      </c>
      <c r="AP363" s="13" t="s">
        <v>120</v>
      </c>
      <c r="AQ363" s="13">
        <f t="shared" si="22"/>
        <v>5</v>
      </c>
      <c r="AR363" s="13" t="s">
        <v>85</v>
      </c>
      <c r="AS363" s="13">
        <f t="shared" si="23"/>
        <v>4</v>
      </c>
      <c r="AT363" s="13" t="s">
        <v>221</v>
      </c>
      <c r="AU363" s="15">
        <f t="shared" si="24"/>
        <v>1</v>
      </c>
      <c r="AV363" s="15">
        <f t="shared" si="25"/>
        <v>1</v>
      </c>
      <c r="AW363" s="13">
        <f t="shared" si="26"/>
        <v>0</v>
      </c>
      <c r="AX363" s="13">
        <f t="shared" si="27"/>
        <v>0</v>
      </c>
      <c r="AY363" s="13">
        <f t="shared" si="28"/>
        <v>0</v>
      </c>
      <c r="AZ363" s="13">
        <f t="shared" si="29"/>
        <v>0</v>
      </c>
      <c r="BA363" s="13">
        <f t="shared" si="30"/>
        <v>0</v>
      </c>
      <c r="BB363" s="13" t="s">
        <v>88</v>
      </c>
      <c r="BC363" s="13">
        <f t="shared" si="31"/>
        <v>2</v>
      </c>
      <c r="BD363" s="15"/>
      <c r="BE363" s="13" t="str">
        <f t="shared" si="48"/>
        <v>N/A</v>
      </c>
      <c r="BF363" s="13" t="s">
        <v>235</v>
      </c>
      <c r="BG363" s="13">
        <f t="shared" si="33"/>
        <v>1</v>
      </c>
      <c r="BH363" s="13">
        <f t="shared" si="34"/>
        <v>0</v>
      </c>
      <c r="BI363" s="13">
        <f t="shared" si="35"/>
        <v>1</v>
      </c>
      <c r="BJ363" s="13">
        <f t="shared" si="36"/>
        <v>0</v>
      </c>
      <c r="BK363" s="13">
        <f t="shared" si="37"/>
        <v>1</v>
      </c>
      <c r="BL363" s="13">
        <f t="shared" si="38"/>
        <v>0</v>
      </c>
      <c r="BM363" s="13">
        <f t="shared" si="39"/>
        <v>0</v>
      </c>
      <c r="BN363" s="13" t="s">
        <v>68</v>
      </c>
      <c r="BO363" s="16">
        <f t="shared" si="40"/>
        <v>1</v>
      </c>
    </row>
    <row r="364">
      <c r="A364" s="13">
        <f t="shared" si="41"/>
        <v>363</v>
      </c>
      <c r="B364" s="14">
        <v>46057.32029420139</v>
      </c>
      <c r="C364" s="13" t="s">
        <v>67</v>
      </c>
      <c r="D364" s="13">
        <f t="shared" si="1"/>
        <v>1</v>
      </c>
      <c r="E364" s="13" t="s">
        <v>68</v>
      </c>
      <c r="F364" s="13">
        <f t="shared" si="2"/>
        <v>1</v>
      </c>
      <c r="G364" s="13" t="s">
        <v>91</v>
      </c>
      <c r="H364" s="13" t="str">
        <f t="shared" si="3"/>
        <v>Urban</v>
      </c>
      <c r="I364" s="13">
        <f t="shared" si="4"/>
        <v>2</v>
      </c>
      <c r="J364" s="13" t="s">
        <v>145</v>
      </c>
      <c r="K364" s="15" t="s">
        <v>146</v>
      </c>
      <c r="L364" s="13">
        <f t="shared" si="5"/>
        <v>1</v>
      </c>
      <c r="M364" s="13" t="s">
        <v>109</v>
      </c>
      <c r="N364" s="13">
        <f t="shared" si="6"/>
        <v>9</v>
      </c>
      <c r="O364" s="13" t="s">
        <v>85</v>
      </c>
      <c r="P364" s="13">
        <f t="shared" si="7"/>
        <v>4</v>
      </c>
      <c r="Q364" s="13" t="s">
        <v>78</v>
      </c>
      <c r="R364" s="13">
        <f t="shared" si="8"/>
        <v>3</v>
      </c>
      <c r="S364" s="13" t="s">
        <v>85</v>
      </c>
      <c r="T364" s="13">
        <f t="shared" si="9"/>
        <v>4</v>
      </c>
      <c r="U364" s="13" t="s">
        <v>74</v>
      </c>
      <c r="V364" s="13">
        <f t="shared" si="10"/>
        <v>1.5</v>
      </c>
      <c r="W364" s="13" t="s">
        <v>86</v>
      </c>
      <c r="X364" s="13">
        <f t="shared" si="11"/>
        <v>1</v>
      </c>
      <c r="Y364" s="13">
        <f t="shared" si="12"/>
        <v>1</v>
      </c>
      <c r="Z364" s="13">
        <f t="shared" si="13"/>
        <v>1</v>
      </c>
      <c r="AA364" s="13">
        <f t="shared" si="14"/>
        <v>0</v>
      </c>
      <c r="AB364" s="13" t="s">
        <v>103</v>
      </c>
      <c r="AC364" s="13">
        <f t="shared" si="15"/>
        <v>5</v>
      </c>
      <c r="AD364" s="13" t="s">
        <v>85</v>
      </c>
      <c r="AE364" s="13">
        <f t="shared" si="16"/>
        <v>4</v>
      </c>
      <c r="AF364" s="13" t="s">
        <v>76</v>
      </c>
      <c r="AG364" s="13">
        <f t="shared" si="17"/>
        <v>5.5</v>
      </c>
      <c r="AH364" s="13" t="s">
        <v>78</v>
      </c>
      <c r="AI364" s="13">
        <f t="shared" si="18"/>
        <v>3</v>
      </c>
      <c r="AJ364" s="13" t="s">
        <v>77</v>
      </c>
      <c r="AK364" s="13">
        <f t="shared" si="19"/>
        <v>1</v>
      </c>
      <c r="AL364" s="13" t="s">
        <v>77</v>
      </c>
      <c r="AM364" s="13">
        <f t="shared" si="20"/>
        <v>1</v>
      </c>
      <c r="AN364" s="13" t="s">
        <v>78</v>
      </c>
      <c r="AO364" s="13">
        <f t="shared" si="21"/>
        <v>3</v>
      </c>
      <c r="AP364" s="13" t="s">
        <v>85</v>
      </c>
      <c r="AQ364" s="13">
        <f t="shared" si="22"/>
        <v>4</v>
      </c>
      <c r="AR364" s="13" t="s">
        <v>85</v>
      </c>
      <c r="AS364" s="13">
        <f t="shared" si="23"/>
        <v>4</v>
      </c>
      <c r="AT364" s="13" t="s">
        <v>189</v>
      </c>
      <c r="AU364" s="15">
        <f t="shared" si="24"/>
        <v>1</v>
      </c>
      <c r="AV364" s="15">
        <f t="shared" si="25"/>
        <v>1</v>
      </c>
      <c r="AW364" s="13">
        <f t="shared" si="26"/>
        <v>0</v>
      </c>
      <c r="AX364" s="13">
        <f t="shared" si="27"/>
        <v>1</v>
      </c>
      <c r="AY364" s="13">
        <f t="shared" si="28"/>
        <v>1</v>
      </c>
      <c r="AZ364" s="13">
        <f t="shared" si="29"/>
        <v>1</v>
      </c>
      <c r="BA364" s="13">
        <f t="shared" si="30"/>
        <v>0</v>
      </c>
      <c r="BB364" s="13" t="s">
        <v>88</v>
      </c>
      <c r="BC364" s="13">
        <f t="shared" si="31"/>
        <v>2</v>
      </c>
      <c r="BD364" s="15"/>
      <c r="BE364" s="13" t="str">
        <f t="shared" si="48"/>
        <v>N/A</v>
      </c>
      <c r="BF364" s="13" t="s">
        <v>206</v>
      </c>
      <c r="BG364" s="13">
        <f t="shared" si="33"/>
        <v>1</v>
      </c>
      <c r="BH364" s="13">
        <f t="shared" si="34"/>
        <v>0</v>
      </c>
      <c r="BI364" s="13">
        <f t="shared" si="35"/>
        <v>0</v>
      </c>
      <c r="BJ364" s="13">
        <f t="shared" si="36"/>
        <v>1</v>
      </c>
      <c r="BK364" s="13">
        <f t="shared" si="37"/>
        <v>0</v>
      </c>
      <c r="BL364" s="13">
        <f t="shared" si="38"/>
        <v>0</v>
      </c>
      <c r="BM364" s="13">
        <f t="shared" si="39"/>
        <v>0</v>
      </c>
      <c r="BN364" s="13" t="s">
        <v>108</v>
      </c>
      <c r="BO364" s="16">
        <f t="shared" si="40"/>
        <v>3</v>
      </c>
    </row>
    <row r="365">
      <c r="A365" s="13">
        <f t="shared" si="41"/>
        <v>364</v>
      </c>
      <c r="B365" s="14">
        <v>46057.655116828704</v>
      </c>
      <c r="C365" s="13" t="s">
        <v>90</v>
      </c>
      <c r="D365" s="13">
        <f t="shared" si="1"/>
        <v>2</v>
      </c>
      <c r="E365" s="13" t="s">
        <v>68</v>
      </c>
      <c r="F365" s="13">
        <f t="shared" si="2"/>
        <v>1</v>
      </c>
      <c r="G365" s="13" t="s">
        <v>82</v>
      </c>
      <c r="H365" s="13" t="str">
        <f t="shared" si="3"/>
        <v>Urban</v>
      </c>
      <c r="I365" s="13">
        <f t="shared" si="4"/>
        <v>2</v>
      </c>
      <c r="J365" s="13" t="s">
        <v>70</v>
      </c>
      <c r="K365" s="15" t="s">
        <v>100</v>
      </c>
      <c r="L365" s="13">
        <f t="shared" si="5"/>
        <v>3</v>
      </c>
      <c r="M365" s="13" t="s">
        <v>71</v>
      </c>
      <c r="N365" s="13">
        <f t="shared" si="6"/>
        <v>7.7</v>
      </c>
      <c r="O365" s="15"/>
      <c r="P365" s="13" t="str">
        <f t="shared" si="7"/>
        <v>N/A</v>
      </c>
      <c r="Q365" s="13" t="s">
        <v>85</v>
      </c>
      <c r="R365" s="13">
        <f t="shared" si="8"/>
        <v>4</v>
      </c>
      <c r="S365" s="15"/>
      <c r="T365" s="13" t="str">
        <f t="shared" si="9"/>
        <v>N/A</v>
      </c>
      <c r="U365" s="13" t="s">
        <v>74</v>
      </c>
      <c r="V365" s="13">
        <f t="shared" si="10"/>
        <v>1.5</v>
      </c>
      <c r="W365" s="13" t="s">
        <v>111</v>
      </c>
      <c r="X365" s="13">
        <f t="shared" si="11"/>
        <v>1</v>
      </c>
      <c r="Y365" s="13">
        <f t="shared" si="12"/>
        <v>1</v>
      </c>
      <c r="Z365" s="13">
        <f t="shared" si="13"/>
        <v>0</v>
      </c>
      <c r="AA365" s="13">
        <f t="shared" si="14"/>
        <v>1</v>
      </c>
      <c r="AB365" s="13" t="s">
        <v>73</v>
      </c>
      <c r="AC365" s="13">
        <f t="shared" si="15"/>
        <v>2</v>
      </c>
      <c r="AD365" s="13" t="s">
        <v>85</v>
      </c>
      <c r="AE365" s="13">
        <f t="shared" si="16"/>
        <v>4</v>
      </c>
      <c r="AF365" s="13" t="s">
        <v>76</v>
      </c>
      <c r="AG365" s="13">
        <f t="shared" si="17"/>
        <v>5.5</v>
      </c>
      <c r="AH365" s="13" t="s">
        <v>85</v>
      </c>
      <c r="AI365" s="13">
        <f t="shared" si="18"/>
        <v>4</v>
      </c>
      <c r="AJ365" s="13" t="s">
        <v>78</v>
      </c>
      <c r="AK365" s="13">
        <f t="shared" si="19"/>
        <v>3</v>
      </c>
      <c r="AL365" s="13" t="s">
        <v>85</v>
      </c>
      <c r="AM365" s="13">
        <f t="shared" si="20"/>
        <v>4</v>
      </c>
      <c r="AN365" s="13" t="s">
        <v>85</v>
      </c>
      <c r="AO365" s="13">
        <f t="shared" si="21"/>
        <v>4</v>
      </c>
      <c r="AP365" s="13" t="s">
        <v>78</v>
      </c>
      <c r="AQ365" s="13">
        <f t="shared" si="22"/>
        <v>3</v>
      </c>
      <c r="AR365" s="13" t="s">
        <v>85</v>
      </c>
      <c r="AS365" s="13">
        <f t="shared" si="23"/>
        <v>4</v>
      </c>
      <c r="AT365" s="13" t="s">
        <v>125</v>
      </c>
      <c r="AU365" s="15">
        <f t="shared" si="24"/>
        <v>0</v>
      </c>
      <c r="AV365" s="15">
        <f t="shared" si="25"/>
        <v>0</v>
      </c>
      <c r="AW365" s="13">
        <f t="shared" si="26"/>
        <v>0</v>
      </c>
      <c r="AX365" s="13">
        <f t="shared" si="27"/>
        <v>1</v>
      </c>
      <c r="AY365" s="13">
        <f t="shared" si="28"/>
        <v>0</v>
      </c>
      <c r="AZ365" s="13">
        <f t="shared" si="29"/>
        <v>0</v>
      </c>
      <c r="BA365" s="13">
        <f t="shared" si="30"/>
        <v>0</v>
      </c>
      <c r="BB365" s="13" t="s">
        <v>88</v>
      </c>
      <c r="BC365" s="13">
        <f t="shared" si="31"/>
        <v>2</v>
      </c>
      <c r="BD365" s="15"/>
      <c r="BE365" s="13" t="str">
        <f t="shared" si="48"/>
        <v>N/A</v>
      </c>
      <c r="BF365" s="13" t="s">
        <v>224</v>
      </c>
      <c r="BG365" s="13">
        <f t="shared" si="33"/>
        <v>0</v>
      </c>
      <c r="BH365" s="13">
        <f t="shared" si="34"/>
        <v>0</v>
      </c>
      <c r="BI365" s="13">
        <f t="shared" si="35"/>
        <v>1</v>
      </c>
      <c r="BJ365" s="13">
        <f t="shared" si="36"/>
        <v>0</v>
      </c>
      <c r="BK365" s="13">
        <f t="shared" si="37"/>
        <v>0</v>
      </c>
      <c r="BL365" s="13">
        <f t="shared" si="38"/>
        <v>0</v>
      </c>
      <c r="BM365" s="13">
        <f t="shared" si="39"/>
        <v>0</v>
      </c>
      <c r="BN365" s="13" t="s">
        <v>68</v>
      </c>
      <c r="BO365" s="16">
        <f t="shared" si="40"/>
        <v>1</v>
      </c>
    </row>
    <row r="366">
      <c r="A366" s="13">
        <f t="shared" si="41"/>
        <v>365</v>
      </c>
      <c r="B366" s="14">
        <v>46057.65529821759</v>
      </c>
      <c r="C366" s="13" t="s">
        <v>90</v>
      </c>
      <c r="D366" s="13">
        <f t="shared" si="1"/>
        <v>2</v>
      </c>
      <c r="E366" s="13" t="s">
        <v>68</v>
      </c>
      <c r="F366" s="13">
        <f t="shared" si="2"/>
        <v>1</v>
      </c>
      <c r="G366" s="13" t="s">
        <v>82</v>
      </c>
      <c r="H366" s="13" t="str">
        <f t="shared" si="3"/>
        <v>Urban</v>
      </c>
      <c r="I366" s="13">
        <f t="shared" si="4"/>
        <v>2</v>
      </c>
      <c r="J366" s="13" t="s">
        <v>70</v>
      </c>
      <c r="K366" s="15" t="s">
        <v>100</v>
      </c>
      <c r="L366" s="13">
        <f t="shared" si="5"/>
        <v>3</v>
      </c>
      <c r="M366" s="13" t="s">
        <v>71</v>
      </c>
      <c r="N366" s="13">
        <f t="shared" si="6"/>
        <v>7.7</v>
      </c>
      <c r="O366" s="15"/>
      <c r="P366" s="13" t="str">
        <f t="shared" si="7"/>
        <v>N/A</v>
      </c>
      <c r="Q366" s="13" t="s">
        <v>85</v>
      </c>
      <c r="R366" s="13">
        <f t="shared" si="8"/>
        <v>4</v>
      </c>
      <c r="S366" s="15"/>
      <c r="T366" s="13" t="str">
        <f t="shared" si="9"/>
        <v>N/A</v>
      </c>
      <c r="U366" s="13" t="s">
        <v>74</v>
      </c>
      <c r="V366" s="13">
        <f t="shared" si="10"/>
        <v>1.5</v>
      </c>
      <c r="W366" s="13" t="s">
        <v>111</v>
      </c>
      <c r="X366" s="13">
        <f t="shared" si="11"/>
        <v>1</v>
      </c>
      <c r="Y366" s="13">
        <f t="shared" si="12"/>
        <v>1</v>
      </c>
      <c r="Z366" s="13">
        <f t="shared" si="13"/>
        <v>0</v>
      </c>
      <c r="AA366" s="13">
        <f t="shared" si="14"/>
        <v>1</v>
      </c>
      <c r="AB366" s="13" t="s">
        <v>73</v>
      </c>
      <c r="AC366" s="13">
        <f t="shared" si="15"/>
        <v>2</v>
      </c>
      <c r="AD366" s="13" t="s">
        <v>85</v>
      </c>
      <c r="AE366" s="13">
        <f t="shared" si="16"/>
        <v>4</v>
      </c>
      <c r="AF366" s="13" t="s">
        <v>76</v>
      </c>
      <c r="AG366" s="13">
        <f t="shared" si="17"/>
        <v>5.5</v>
      </c>
      <c r="AH366" s="13" t="s">
        <v>85</v>
      </c>
      <c r="AI366" s="13">
        <f t="shared" si="18"/>
        <v>4</v>
      </c>
      <c r="AJ366" s="13" t="s">
        <v>78</v>
      </c>
      <c r="AK366" s="13">
        <f t="shared" si="19"/>
        <v>3</v>
      </c>
      <c r="AL366" s="13" t="s">
        <v>85</v>
      </c>
      <c r="AM366" s="13">
        <f t="shared" si="20"/>
        <v>4</v>
      </c>
      <c r="AN366" s="13" t="s">
        <v>85</v>
      </c>
      <c r="AO366" s="13">
        <f t="shared" si="21"/>
        <v>4</v>
      </c>
      <c r="AP366" s="13" t="s">
        <v>78</v>
      </c>
      <c r="AQ366" s="13">
        <f t="shared" si="22"/>
        <v>3</v>
      </c>
      <c r="AR366" s="13" t="s">
        <v>85</v>
      </c>
      <c r="AS366" s="13">
        <f t="shared" si="23"/>
        <v>4</v>
      </c>
      <c r="AT366" s="13" t="s">
        <v>125</v>
      </c>
      <c r="AU366" s="15">
        <f t="shared" si="24"/>
        <v>0</v>
      </c>
      <c r="AV366" s="15">
        <f t="shared" si="25"/>
        <v>0</v>
      </c>
      <c r="AW366" s="13">
        <f t="shared" si="26"/>
        <v>0</v>
      </c>
      <c r="AX366" s="13">
        <f t="shared" si="27"/>
        <v>1</v>
      </c>
      <c r="AY366" s="13">
        <f t="shared" si="28"/>
        <v>0</v>
      </c>
      <c r="AZ366" s="13">
        <f t="shared" si="29"/>
        <v>0</v>
      </c>
      <c r="BA366" s="13">
        <f t="shared" si="30"/>
        <v>0</v>
      </c>
      <c r="BB366" s="13" t="s">
        <v>88</v>
      </c>
      <c r="BC366" s="13">
        <f t="shared" si="31"/>
        <v>2</v>
      </c>
      <c r="BD366" s="15"/>
      <c r="BE366" s="13" t="str">
        <f t="shared" si="48"/>
        <v>N/A</v>
      </c>
      <c r="BF366" s="13" t="s">
        <v>224</v>
      </c>
      <c r="BG366" s="13">
        <f t="shared" si="33"/>
        <v>0</v>
      </c>
      <c r="BH366" s="13">
        <f t="shared" si="34"/>
        <v>0</v>
      </c>
      <c r="BI366" s="13">
        <f t="shared" si="35"/>
        <v>1</v>
      </c>
      <c r="BJ366" s="13">
        <f t="shared" si="36"/>
        <v>0</v>
      </c>
      <c r="BK366" s="13">
        <f t="shared" si="37"/>
        <v>0</v>
      </c>
      <c r="BL366" s="13">
        <f t="shared" si="38"/>
        <v>0</v>
      </c>
      <c r="BM366" s="13">
        <f t="shared" si="39"/>
        <v>0</v>
      </c>
      <c r="BN366" s="13" t="s">
        <v>68</v>
      </c>
      <c r="BO366" s="16">
        <f t="shared" si="40"/>
        <v>1</v>
      </c>
    </row>
    <row r="367">
      <c r="A367" s="13">
        <f t="shared" si="41"/>
        <v>366</v>
      </c>
      <c r="B367" s="14">
        <v>46057.882945509264</v>
      </c>
      <c r="C367" s="13" t="s">
        <v>67</v>
      </c>
      <c r="D367" s="13">
        <f t="shared" si="1"/>
        <v>1</v>
      </c>
      <c r="E367" s="13" t="s">
        <v>68</v>
      </c>
      <c r="F367" s="13">
        <f t="shared" si="2"/>
        <v>1</v>
      </c>
      <c r="G367" s="13" t="s">
        <v>69</v>
      </c>
      <c r="H367" s="13" t="str">
        <f t="shared" si="3"/>
        <v>Rural</v>
      </c>
      <c r="I367" s="13">
        <f t="shared" si="4"/>
        <v>1</v>
      </c>
      <c r="J367" s="13" t="s">
        <v>70</v>
      </c>
      <c r="K367" s="15" t="s">
        <v>100</v>
      </c>
      <c r="L367" s="13">
        <f t="shared" si="5"/>
        <v>3</v>
      </c>
      <c r="M367" s="13" t="s">
        <v>101</v>
      </c>
      <c r="N367" s="13">
        <f t="shared" si="6"/>
        <v>2</v>
      </c>
      <c r="O367" s="13" t="s">
        <v>85</v>
      </c>
      <c r="P367" s="13">
        <f t="shared" si="7"/>
        <v>4</v>
      </c>
      <c r="Q367" s="13" t="s">
        <v>85</v>
      </c>
      <c r="R367" s="13">
        <f t="shared" si="8"/>
        <v>4</v>
      </c>
      <c r="S367" s="13" t="s">
        <v>73</v>
      </c>
      <c r="T367" s="13">
        <f t="shared" si="9"/>
        <v>2</v>
      </c>
      <c r="U367" s="13" t="s">
        <v>96</v>
      </c>
      <c r="V367" s="13">
        <f t="shared" si="10"/>
        <v>2.5</v>
      </c>
      <c r="W367" s="13" t="s">
        <v>105</v>
      </c>
      <c r="X367" s="13">
        <f t="shared" si="11"/>
        <v>1</v>
      </c>
      <c r="Y367" s="13">
        <f t="shared" si="12"/>
        <v>1</v>
      </c>
      <c r="Z367" s="13">
        <f t="shared" si="13"/>
        <v>0</v>
      </c>
      <c r="AA367" s="13">
        <f t="shared" si="14"/>
        <v>0</v>
      </c>
      <c r="AB367" s="13" t="s">
        <v>72</v>
      </c>
      <c r="AC367" s="13">
        <f t="shared" si="15"/>
        <v>1</v>
      </c>
      <c r="AD367" s="13" t="s">
        <v>72</v>
      </c>
      <c r="AE367" s="13">
        <f t="shared" si="16"/>
        <v>1</v>
      </c>
      <c r="AF367" s="13" t="s">
        <v>76</v>
      </c>
      <c r="AG367" s="13">
        <f t="shared" si="17"/>
        <v>5.5</v>
      </c>
      <c r="AH367" s="13" t="s">
        <v>85</v>
      </c>
      <c r="AI367" s="13">
        <f t="shared" si="18"/>
        <v>4</v>
      </c>
      <c r="AJ367" s="13" t="s">
        <v>73</v>
      </c>
      <c r="AK367" s="13">
        <f t="shared" si="19"/>
        <v>2</v>
      </c>
      <c r="AL367" s="13" t="s">
        <v>120</v>
      </c>
      <c r="AM367" s="13">
        <f t="shared" si="20"/>
        <v>5</v>
      </c>
      <c r="AN367" s="13" t="s">
        <v>120</v>
      </c>
      <c r="AO367" s="13">
        <f t="shared" si="21"/>
        <v>5</v>
      </c>
      <c r="AP367" s="13" t="s">
        <v>85</v>
      </c>
      <c r="AQ367" s="13">
        <f t="shared" si="22"/>
        <v>4</v>
      </c>
      <c r="AR367" s="13" t="s">
        <v>85</v>
      </c>
      <c r="AS367" s="13">
        <f t="shared" si="23"/>
        <v>4</v>
      </c>
      <c r="AT367" s="13" t="s">
        <v>186</v>
      </c>
      <c r="AU367" s="15">
        <f t="shared" si="24"/>
        <v>1</v>
      </c>
      <c r="AV367" s="15">
        <f t="shared" si="25"/>
        <v>0</v>
      </c>
      <c r="AW367" s="13">
        <f t="shared" si="26"/>
        <v>1</v>
      </c>
      <c r="AX367" s="13">
        <f t="shared" si="27"/>
        <v>0</v>
      </c>
      <c r="AY367" s="13">
        <f t="shared" si="28"/>
        <v>0</v>
      </c>
      <c r="AZ367" s="13">
        <f t="shared" si="29"/>
        <v>1</v>
      </c>
      <c r="BA367" s="13">
        <f t="shared" si="30"/>
        <v>0</v>
      </c>
      <c r="BB367" s="13" t="s">
        <v>88</v>
      </c>
      <c r="BC367" s="13">
        <f t="shared" si="31"/>
        <v>2</v>
      </c>
      <c r="BD367" s="15"/>
      <c r="BE367" s="13" t="str">
        <f t="shared" si="48"/>
        <v>N/A</v>
      </c>
      <c r="BF367" s="13" t="s">
        <v>222</v>
      </c>
      <c r="BG367" s="13">
        <f t="shared" si="33"/>
        <v>1</v>
      </c>
      <c r="BH367" s="13">
        <f t="shared" si="34"/>
        <v>0</v>
      </c>
      <c r="BI367" s="13">
        <f t="shared" si="35"/>
        <v>0</v>
      </c>
      <c r="BJ367" s="13">
        <f t="shared" si="36"/>
        <v>1</v>
      </c>
      <c r="BK367" s="13">
        <f t="shared" si="37"/>
        <v>1</v>
      </c>
      <c r="BL367" s="13">
        <f t="shared" si="38"/>
        <v>1</v>
      </c>
      <c r="BM367" s="13">
        <f t="shared" si="39"/>
        <v>0</v>
      </c>
      <c r="BN367" s="13" t="s">
        <v>68</v>
      </c>
      <c r="BO367" s="16">
        <f t="shared" si="40"/>
        <v>1</v>
      </c>
    </row>
    <row r="368">
      <c r="A368" s="17"/>
      <c r="K368" s="18" t="s">
        <v>316</v>
      </c>
      <c r="V368" s="13" t="str">
        <f>IF(U368:U50613="","",IF(U368:U50613="No phone before bed",0,IF(U368:U50613="Less than 30 minutes",0.25,IF(U368:U50613="30 minutes – 1 hour",0.75,IF(U368:U50613="1 - 2 hours",1.5,IF(U368:U50613="2 - 3 hours",2.5,IF(U368:U50613="More than 3 hours",3.5,"")))))))</f>
        <v/>
      </c>
      <c r="X368" s="13">
        <f t="shared" si="11"/>
        <v>0</v>
      </c>
      <c r="Y368" s="13">
        <f t="shared" si="12"/>
        <v>0</v>
      </c>
      <c r="Z368" s="13">
        <f t="shared" si="13"/>
        <v>0</v>
      </c>
      <c r="AA368" s="13">
        <f t="shared" si="14"/>
        <v>0</v>
      </c>
      <c r="AG368" s="13" t="str">
        <f t="shared" si="17"/>
        <v>N/A</v>
      </c>
      <c r="AM368" s="13" t="str">
        <f t="shared" si="20"/>
        <v>N/A</v>
      </c>
    </row>
    <row r="369">
      <c r="A369" s="17"/>
      <c r="K369" s="18" t="s">
        <v>316</v>
      </c>
    </row>
    <row r="370">
      <c r="A370" s="17"/>
      <c r="K370" s="18" t="s">
        <v>316</v>
      </c>
    </row>
    <row r="371">
      <c r="A371" s="17"/>
      <c r="K371" s="18" t="s">
        <v>316</v>
      </c>
    </row>
    <row r="372">
      <c r="A372" s="17"/>
      <c r="K372" s="18" t="s">
        <v>316</v>
      </c>
    </row>
    <row r="373">
      <c r="A373" s="17"/>
      <c r="K373" s="18" t="s">
        <v>316</v>
      </c>
    </row>
    <row r="374">
      <c r="A374" s="17"/>
      <c r="K374" s="18" t="s">
        <v>316</v>
      </c>
    </row>
    <row r="375">
      <c r="A375" s="17"/>
      <c r="K375" s="18" t="s">
        <v>316</v>
      </c>
    </row>
    <row r="376">
      <c r="A376" s="17"/>
      <c r="K376" s="18" t="s">
        <v>316</v>
      </c>
    </row>
    <row r="377">
      <c r="A377" s="17"/>
      <c r="K377" s="18" t="s">
        <v>316</v>
      </c>
    </row>
    <row r="378">
      <c r="A378" s="17"/>
      <c r="K378" s="18" t="s">
        <v>316</v>
      </c>
    </row>
    <row r="379">
      <c r="A379" s="17"/>
      <c r="K379" s="18" t="s">
        <v>316</v>
      </c>
    </row>
    <row r="380">
      <c r="A380" s="17"/>
      <c r="K380" s="18" t="s">
        <v>316</v>
      </c>
    </row>
    <row r="381">
      <c r="A381" s="17"/>
      <c r="K381" s="18" t="s">
        <v>316</v>
      </c>
    </row>
    <row r="382">
      <c r="A382" s="17"/>
      <c r="K382" s="18" t="s">
        <v>316</v>
      </c>
    </row>
    <row r="383">
      <c r="A383" s="17"/>
      <c r="K383" s="18" t="s">
        <v>316</v>
      </c>
    </row>
    <row r="384">
      <c r="A384" s="17"/>
      <c r="K384" s="18" t="s">
        <v>316</v>
      </c>
    </row>
    <row r="385">
      <c r="A385" s="17"/>
      <c r="K385" s="18" t="s">
        <v>316</v>
      </c>
    </row>
    <row r="386">
      <c r="A386" s="17"/>
      <c r="K386" s="18" t="s">
        <v>316</v>
      </c>
    </row>
    <row r="387">
      <c r="A387" s="17"/>
      <c r="K387" s="18" t="s">
        <v>316</v>
      </c>
    </row>
    <row r="388">
      <c r="A388" s="17"/>
      <c r="K388" s="18" t="s">
        <v>316</v>
      </c>
    </row>
    <row r="389">
      <c r="A389" s="17"/>
      <c r="H389" s="18"/>
      <c r="K389" s="18" t="s">
        <v>316</v>
      </c>
    </row>
    <row r="390">
      <c r="A390" s="17"/>
      <c r="H390" s="18"/>
      <c r="K390" s="18" t="s">
        <v>316</v>
      </c>
    </row>
    <row r="391">
      <c r="A391" s="17"/>
      <c r="H391" s="18"/>
      <c r="K391" s="18" t="s">
        <v>316</v>
      </c>
    </row>
    <row r="392">
      <c r="A392" s="17"/>
      <c r="H392" s="18"/>
      <c r="K392" s="18" t="s">
        <v>316</v>
      </c>
    </row>
    <row r="393">
      <c r="A393" s="17"/>
      <c r="H393" s="18"/>
      <c r="K393" s="18" t="s">
        <v>316</v>
      </c>
    </row>
    <row r="394">
      <c r="A394" s="17"/>
      <c r="H394" s="18"/>
      <c r="K394" s="18" t="s">
        <v>316</v>
      </c>
    </row>
    <row r="395">
      <c r="A395" s="17"/>
      <c r="H395" s="18"/>
      <c r="K395" s="18" t="s">
        <v>316</v>
      </c>
    </row>
    <row r="396">
      <c r="A396" s="17"/>
      <c r="H396" s="18"/>
      <c r="K396" s="18" t="s">
        <v>316</v>
      </c>
    </row>
    <row r="397">
      <c r="A397" s="17"/>
      <c r="H397" s="18"/>
      <c r="K397" s="18" t="s">
        <v>316</v>
      </c>
    </row>
    <row r="398">
      <c r="A398" s="17"/>
      <c r="H398" s="18"/>
      <c r="K398" s="18" t="s">
        <v>316</v>
      </c>
    </row>
    <row r="399">
      <c r="A399" s="17"/>
      <c r="H399" s="18"/>
      <c r="K399" s="18" t="s">
        <v>316</v>
      </c>
    </row>
    <row r="400">
      <c r="A400" s="17"/>
      <c r="H400" s="18"/>
      <c r="K400" s="18" t="s">
        <v>316</v>
      </c>
    </row>
    <row r="401">
      <c r="A401" s="17"/>
      <c r="H401" s="18"/>
      <c r="K401" s="18" t="s">
        <v>316</v>
      </c>
    </row>
    <row r="402">
      <c r="A402" s="17"/>
      <c r="H402" s="18"/>
      <c r="K402" s="18" t="s">
        <v>316</v>
      </c>
    </row>
    <row r="403">
      <c r="A403" s="17"/>
      <c r="H403" s="18"/>
      <c r="K403" s="18" t="s">
        <v>316</v>
      </c>
    </row>
    <row r="404">
      <c r="A404" s="17"/>
      <c r="H404" s="18"/>
      <c r="K404" s="18" t="s">
        <v>316</v>
      </c>
    </row>
    <row r="405">
      <c r="A405" s="17"/>
      <c r="H405" s="18"/>
      <c r="K405" s="18" t="s">
        <v>316</v>
      </c>
    </row>
    <row r="406">
      <c r="A406" s="17"/>
      <c r="H406" s="18"/>
      <c r="K406" s="18" t="s">
        <v>316</v>
      </c>
    </row>
    <row r="407">
      <c r="A407" s="17"/>
      <c r="H407" s="18"/>
      <c r="K407" s="18" t="s">
        <v>316</v>
      </c>
    </row>
    <row r="408">
      <c r="A408" s="17"/>
      <c r="H408" s="18"/>
      <c r="K408" s="18" t="s">
        <v>316</v>
      </c>
    </row>
    <row r="409">
      <c r="A409" s="17"/>
      <c r="H409" s="18"/>
      <c r="K409" s="18" t="s">
        <v>316</v>
      </c>
    </row>
    <row r="410">
      <c r="A410" s="17"/>
      <c r="H410" s="18"/>
      <c r="K410" s="18" t="s">
        <v>316</v>
      </c>
    </row>
    <row r="411">
      <c r="A411" s="17"/>
      <c r="H411" s="18"/>
      <c r="K411" s="18" t="s">
        <v>316</v>
      </c>
    </row>
    <row r="412">
      <c r="A412" s="17"/>
      <c r="H412" s="18"/>
      <c r="K412" s="18" t="s">
        <v>316</v>
      </c>
    </row>
    <row r="413">
      <c r="A413" s="17"/>
      <c r="H413" s="18"/>
      <c r="K413" s="18" t="s">
        <v>316</v>
      </c>
    </row>
    <row r="414">
      <c r="A414" s="17"/>
      <c r="H414" s="18"/>
      <c r="K414" s="18" t="s">
        <v>316</v>
      </c>
    </row>
    <row r="415">
      <c r="A415" s="17"/>
      <c r="H415" s="18"/>
      <c r="K415" s="18" t="s">
        <v>316</v>
      </c>
    </row>
    <row r="416">
      <c r="A416" s="17"/>
      <c r="H416" s="18"/>
      <c r="K416" s="18" t="s">
        <v>316</v>
      </c>
    </row>
    <row r="417">
      <c r="A417" s="17"/>
      <c r="H417" s="18"/>
      <c r="K417" s="18" t="s">
        <v>316</v>
      </c>
    </row>
    <row r="418">
      <c r="A418" s="17"/>
      <c r="H418" s="18"/>
      <c r="K418" s="18" t="s">
        <v>316</v>
      </c>
    </row>
    <row r="419">
      <c r="A419" s="17"/>
      <c r="H419" s="18"/>
      <c r="K419" s="18" t="s">
        <v>316</v>
      </c>
    </row>
    <row r="420">
      <c r="A420" s="17"/>
      <c r="H420" s="18"/>
      <c r="K420" s="18" t="s">
        <v>316</v>
      </c>
    </row>
    <row r="421">
      <c r="A421" s="17"/>
      <c r="H421" s="18"/>
      <c r="K421" s="18" t="s">
        <v>316</v>
      </c>
    </row>
    <row r="422">
      <c r="A422" s="17"/>
      <c r="H422" s="18"/>
      <c r="K422" s="18" t="s">
        <v>316</v>
      </c>
    </row>
    <row r="423">
      <c r="A423" s="17"/>
      <c r="H423" s="18"/>
      <c r="K423" s="18" t="s">
        <v>316</v>
      </c>
    </row>
    <row r="424">
      <c r="A424" s="17"/>
      <c r="H424" s="18"/>
      <c r="K424" s="18" t="s">
        <v>316</v>
      </c>
    </row>
    <row r="425">
      <c r="A425" s="17"/>
      <c r="H425" s="18"/>
      <c r="K425" s="18" t="s">
        <v>316</v>
      </c>
    </row>
    <row r="426">
      <c r="A426" s="17"/>
      <c r="H426" s="18"/>
      <c r="K426" s="18" t="s">
        <v>316</v>
      </c>
    </row>
    <row r="427">
      <c r="A427" s="17"/>
      <c r="H427" s="18"/>
      <c r="K427" s="18" t="s">
        <v>316</v>
      </c>
    </row>
    <row r="428">
      <c r="A428" s="17"/>
      <c r="H428" s="18"/>
      <c r="K428" s="18" t="s">
        <v>316</v>
      </c>
    </row>
    <row r="429">
      <c r="A429" s="17"/>
      <c r="H429" s="18"/>
      <c r="K429" s="18" t="s">
        <v>316</v>
      </c>
    </row>
    <row r="430">
      <c r="A430" s="17"/>
      <c r="H430" s="18"/>
      <c r="K430" s="18" t="s">
        <v>316</v>
      </c>
    </row>
    <row r="431">
      <c r="A431" s="17"/>
      <c r="H431" s="18"/>
      <c r="K431" s="18" t="s">
        <v>316</v>
      </c>
    </row>
    <row r="432">
      <c r="A432" s="17"/>
      <c r="H432" s="18"/>
      <c r="K432" s="18" t="s">
        <v>316</v>
      </c>
    </row>
    <row r="433">
      <c r="A433" s="17"/>
      <c r="H433" s="18"/>
      <c r="K433" s="18" t="s">
        <v>316</v>
      </c>
    </row>
    <row r="434">
      <c r="A434" s="17"/>
      <c r="H434" s="18"/>
      <c r="K434" s="18" t="s">
        <v>316</v>
      </c>
    </row>
    <row r="435">
      <c r="A435" s="17"/>
      <c r="H435" s="18"/>
      <c r="K435" s="18" t="s">
        <v>316</v>
      </c>
    </row>
    <row r="436">
      <c r="A436" s="17"/>
      <c r="H436" s="18"/>
      <c r="K436" s="18" t="s">
        <v>316</v>
      </c>
    </row>
    <row r="437">
      <c r="A437" s="17"/>
      <c r="H437" s="18"/>
      <c r="K437" s="18" t="s">
        <v>316</v>
      </c>
    </row>
    <row r="438">
      <c r="A438" s="17"/>
      <c r="H438" s="18"/>
      <c r="K438" s="18" t="s">
        <v>316</v>
      </c>
    </row>
    <row r="439">
      <c r="A439" s="17"/>
      <c r="H439" s="18"/>
      <c r="K439" s="18" t="s">
        <v>316</v>
      </c>
    </row>
    <row r="440">
      <c r="A440" s="17"/>
      <c r="H440" s="18"/>
      <c r="K440" s="18" t="s">
        <v>316</v>
      </c>
    </row>
    <row r="441">
      <c r="A441" s="17"/>
      <c r="H441" s="18"/>
      <c r="K441" s="18" t="s">
        <v>316</v>
      </c>
    </row>
    <row r="442">
      <c r="A442" s="17"/>
      <c r="H442" s="18"/>
      <c r="K442" s="18" t="s">
        <v>316</v>
      </c>
    </row>
    <row r="443">
      <c r="A443" s="17"/>
      <c r="H443" s="18"/>
      <c r="K443" s="18" t="s">
        <v>316</v>
      </c>
    </row>
    <row r="444">
      <c r="A444" s="17"/>
      <c r="H444" s="18"/>
      <c r="K444" s="18" t="s">
        <v>316</v>
      </c>
    </row>
    <row r="445">
      <c r="A445" s="17"/>
      <c r="H445" s="18"/>
      <c r="K445" s="18" t="s">
        <v>316</v>
      </c>
    </row>
    <row r="446">
      <c r="A446" s="17"/>
      <c r="H446" s="18"/>
      <c r="K446" s="18" t="s">
        <v>316</v>
      </c>
    </row>
    <row r="447">
      <c r="A447" s="17"/>
      <c r="H447" s="18"/>
      <c r="K447" s="18" t="s">
        <v>316</v>
      </c>
    </row>
    <row r="448">
      <c r="A448" s="17"/>
      <c r="H448" s="18"/>
      <c r="K448" s="18" t="s">
        <v>316</v>
      </c>
    </row>
    <row r="449">
      <c r="A449" s="17"/>
      <c r="H449" s="18"/>
      <c r="K449" s="18" t="s">
        <v>316</v>
      </c>
    </row>
    <row r="450">
      <c r="A450" s="17"/>
      <c r="H450" s="18"/>
      <c r="K450" s="18" t="s">
        <v>316</v>
      </c>
    </row>
    <row r="451">
      <c r="A451" s="17"/>
      <c r="H451" s="18"/>
      <c r="K451" s="18" t="s">
        <v>316</v>
      </c>
    </row>
    <row r="452">
      <c r="A452" s="17"/>
      <c r="H452" s="18"/>
      <c r="K452" s="18" t="s">
        <v>316</v>
      </c>
    </row>
    <row r="453">
      <c r="A453" s="17"/>
      <c r="H453" s="18"/>
      <c r="K453" s="18" t="s">
        <v>316</v>
      </c>
    </row>
    <row r="454">
      <c r="A454" s="17"/>
      <c r="H454" s="18"/>
      <c r="K454" s="18" t="s">
        <v>316</v>
      </c>
    </row>
    <row r="455">
      <c r="A455" s="17"/>
      <c r="H455" s="18"/>
      <c r="K455" s="18" t="s">
        <v>316</v>
      </c>
    </row>
    <row r="456">
      <c r="A456" s="17"/>
      <c r="H456" s="18"/>
      <c r="K456" s="18" t="s">
        <v>316</v>
      </c>
    </row>
    <row r="457">
      <c r="A457" s="17"/>
      <c r="H457" s="18"/>
      <c r="K457" s="18" t="s">
        <v>316</v>
      </c>
    </row>
    <row r="458">
      <c r="A458" s="17"/>
      <c r="H458" s="18"/>
      <c r="K458" s="18" t="s">
        <v>316</v>
      </c>
    </row>
    <row r="459">
      <c r="A459" s="17"/>
      <c r="H459" s="18"/>
      <c r="K459" s="18" t="s">
        <v>316</v>
      </c>
    </row>
    <row r="460">
      <c r="A460" s="17"/>
      <c r="H460" s="18"/>
      <c r="K460" s="18" t="s">
        <v>316</v>
      </c>
    </row>
    <row r="461">
      <c r="A461" s="17"/>
      <c r="H461" s="18"/>
      <c r="K461" s="18" t="s">
        <v>316</v>
      </c>
    </row>
    <row r="462">
      <c r="A462" s="17"/>
      <c r="H462" s="18"/>
      <c r="K462" s="18" t="s">
        <v>316</v>
      </c>
    </row>
    <row r="463">
      <c r="A463" s="17"/>
      <c r="H463" s="18"/>
      <c r="K463" s="18" t="s">
        <v>316</v>
      </c>
    </row>
    <row r="464">
      <c r="A464" s="17"/>
      <c r="H464" s="18"/>
      <c r="K464" s="18" t="s">
        <v>316</v>
      </c>
    </row>
    <row r="465">
      <c r="A465" s="17"/>
      <c r="H465" s="18"/>
      <c r="K465" s="18" t="s">
        <v>316</v>
      </c>
    </row>
    <row r="466">
      <c r="A466" s="17"/>
      <c r="H466" s="18"/>
      <c r="K466" s="18" t="s">
        <v>316</v>
      </c>
    </row>
    <row r="467">
      <c r="A467" s="17"/>
      <c r="H467" s="18"/>
      <c r="K467" s="18" t="s">
        <v>316</v>
      </c>
    </row>
    <row r="468">
      <c r="A468" s="17"/>
      <c r="H468" s="18"/>
      <c r="K468" s="18" t="s">
        <v>316</v>
      </c>
    </row>
    <row r="469">
      <c r="A469" s="17"/>
      <c r="H469" s="18"/>
      <c r="K469" s="18" t="s">
        <v>316</v>
      </c>
    </row>
    <row r="470">
      <c r="A470" s="17"/>
      <c r="H470" s="18"/>
      <c r="K470" s="18" t="s">
        <v>316</v>
      </c>
    </row>
    <row r="471">
      <c r="A471" s="17"/>
      <c r="H471" s="18"/>
      <c r="K471" s="18" t="s">
        <v>316</v>
      </c>
    </row>
    <row r="472">
      <c r="A472" s="17"/>
      <c r="H472" s="18"/>
      <c r="K472" s="18" t="s">
        <v>316</v>
      </c>
    </row>
    <row r="473">
      <c r="A473" s="17"/>
      <c r="H473" s="18"/>
      <c r="K473" s="18" t="s">
        <v>316</v>
      </c>
    </row>
    <row r="474">
      <c r="A474" s="17"/>
      <c r="H474" s="18"/>
      <c r="K474" s="18" t="s">
        <v>316</v>
      </c>
    </row>
    <row r="475">
      <c r="A475" s="17"/>
      <c r="H475" s="18"/>
      <c r="K475" s="18" t="s">
        <v>316</v>
      </c>
    </row>
    <row r="476">
      <c r="A476" s="17"/>
      <c r="H476" s="18"/>
      <c r="K476" s="18" t="s">
        <v>316</v>
      </c>
    </row>
    <row r="477">
      <c r="A477" s="17"/>
      <c r="H477" s="18"/>
      <c r="K477" s="18" t="s">
        <v>316</v>
      </c>
    </row>
    <row r="478">
      <c r="A478" s="17"/>
      <c r="H478" s="18"/>
      <c r="K478" s="18" t="s">
        <v>316</v>
      </c>
    </row>
    <row r="479">
      <c r="A479" s="17"/>
      <c r="H479" s="18"/>
      <c r="K479" s="18" t="s">
        <v>316</v>
      </c>
    </row>
    <row r="480">
      <c r="A480" s="17"/>
      <c r="H480" s="18"/>
      <c r="K480" s="18" t="s">
        <v>316</v>
      </c>
    </row>
    <row r="481">
      <c r="A481" s="17"/>
      <c r="H481" s="18"/>
      <c r="K481" s="18" t="s">
        <v>316</v>
      </c>
    </row>
    <row r="482">
      <c r="A482" s="17"/>
      <c r="H482" s="18"/>
      <c r="K482" s="18" t="s">
        <v>316</v>
      </c>
    </row>
    <row r="483">
      <c r="A483" s="17"/>
      <c r="H483" s="18"/>
      <c r="K483" s="18" t="s">
        <v>316</v>
      </c>
    </row>
    <row r="484">
      <c r="A484" s="17"/>
      <c r="H484" s="18"/>
      <c r="K484" s="18" t="s">
        <v>316</v>
      </c>
    </row>
    <row r="485">
      <c r="A485" s="17"/>
      <c r="H485" s="18"/>
      <c r="K485" s="18" t="s">
        <v>316</v>
      </c>
    </row>
    <row r="486">
      <c r="A486" s="17"/>
      <c r="H486" s="18"/>
      <c r="K486" s="18" t="s">
        <v>316</v>
      </c>
    </row>
    <row r="487">
      <c r="A487" s="17"/>
      <c r="H487" s="18"/>
      <c r="K487" s="18" t="s">
        <v>316</v>
      </c>
    </row>
    <row r="488">
      <c r="A488" s="17"/>
      <c r="H488" s="18"/>
      <c r="K488" s="18" t="s">
        <v>316</v>
      </c>
    </row>
    <row r="489">
      <c r="A489" s="17"/>
      <c r="H489" s="18"/>
      <c r="K489" s="18" t="s">
        <v>316</v>
      </c>
    </row>
    <row r="490">
      <c r="A490" s="17"/>
      <c r="H490" s="18"/>
      <c r="K490" s="18" t="s">
        <v>316</v>
      </c>
    </row>
    <row r="491">
      <c r="A491" s="17"/>
      <c r="H491" s="18"/>
      <c r="K491" s="18" t="s">
        <v>316</v>
      </c>
    </row>
    <row r="492">
      <c r="A492" s="17"/>
      <c r="H492" s="18"/>
      <c r="K492" s="18" t="s">
        <v>316</v>
      </c>
    </row>
    <row r="493">
      <c r="A493" s="17"/>
      <c r="H493" s="18"/>
      <c r="K493" s="18" t="s">
        <v>316</v>
      </c>
    </row>
    <row r="494">
      <c r="A494" s="17"/>
      <c r="H494" s="18"/>
      <c r="K494" s="18" t="s">
        <v>316</v>
      </c>
    </row>
    <row r="495">
      <c r="A495" s="17"/>
      <c r="H495" s="18"/>
      <c r="K495" s="18" t="s">
        <v>316</v>
      </c>
    </row>
    <row r="496">
      <c r="A496" s="17"/>
      <c r="H496" s="18"/>
      <c r="K496" s="18" t="s">
        <v>316</v>
      </c>
    </row>
    <row r="497">
      <c r="A497" s="17"/>
      <c r="H497" s="18"/>
      <c r="K497" s="18" t="s">
        <v>316</v>
      </c>
    </row>
    <row r="498">
      <c r="A498" s="17"/>
      <c r="H498" s="18"/>
      <c r="K498" s="18" t="s">
        <v>316</v>
      </c>
    </row>
    <row r="499">
      <c r="A499" s="17"/>
      <c r="H499" s="18"/>
      <c r="K499" s="18" t="s">
        <v>316</v>
      </c>
    </row>
    <row r="500">
      <c r="A500" s="17"/>
      <c r="H500" s="18"/>
      <c r="K500" s="18" t="s">
        <v>316</v>
      </c>
    </row>
    <row r="501">
      <c r="A501" s="17"/>
      <c r="H501" s="18"/>
      <c r="K501" s="18" t="s">
        <v>316</v>
      </c>
    </row>
    <row r="502">
      <c r="A502" s="17"/>
      <c r="H502" s="18"/>
      <c r="K502" s="18" t="s">
        <v>316</v>
      </c>
    </row>
    <row r="503">
      <c r="A503" s="17"/>
      <c r="H503" s="18"/>
      <c r="K503" s="18" t="s">
        <v>316</v>
      </c>
    </row>
    <row r="504">
      <c r="A504" s="17"/>
      <c r="H504" s="18"/>
      <c r="K504" s="18" t="s">
        <v>316</v>
      </c>
    </row>
    <row r="505">
      <c r="A505" s="17"/>
      <c r="H505" s="18"/>
      <c r="K505" s="18" t="s">
        <v>316</v>
      </c>
    </row>
    <row r="506">
      <c r="A506" s="17"/>
      <c r="H506" s="18"/>
      <c r="K506" s="18" t="s">
        <v>316</v>
      </c>
    </row>
    <row r="507">
      <c r="A507" s="17"/>
      <c r="H507" s="18"/>
      <c r="K507" s="18" t="s">
        <v>316</v>
      </c>
    </row>
    <row r="508">
      <c r="A508" s="17"/>
      <c r="H508" s="18"/>
      <c r="K508" s="18" t="s">
        <v>316</v>
      </c>
    </row>
    <row r="509">
      <c r="A509" s="17"/>
      <c r="H509" s="18"/>
      <c r="K509" s="18" t="s">
        <v>316</v>
      </c>
    </row>
    <row r="510">
      <c r="A510" s="17"/>
      <c r="H510" s="18"/>
      <c r="K510" s="18" t="s">
        <v>316</v>
      </c>
    </row>
    <row r="511">
      <c r="A511" s="17"/>
      <c r="H511" s="18"/>
      <c r="K511" s="18" t="s">
        <v>316</v>
      </c>
    </row>
    <row r="512">
      <c r="A512" s="17"/>
      <c r="H512" s="18"/>
      <c r="K512" s="18" t="s">
        <v>316</v>
      </c>
    </row>
    <row r="513">
      <c r="A513" s="17"/>
      <c r="H513" s="18"/>
      <c r="K513" s="18" t="s">
        <v>316</v>
      </c>
    </row>
    <row r="514">
      <c r="A514" s="17"/>
      <c r="H514" s="18"/>
      <c r="K514" s="18" t="s">
        <v>316</v>
      </c>
    </row>
    <row r="515">
      <c r="A515" s="17"/>
      <c r="H515" s="18"/>
      <c r="K515" s="18" t="s">
        <v>316</v>
      </c>
    </row>
    <row r="516">
      <c r="A516" s="17"/>
      <c r="H516" s="18"/>
      <c r="K516" s="18" t="s">
        <v>316</v>
      </c>
    </row>
    <row r="517">
      <c r="A517" s="17"/>
      <c r="H517" s="18"/>
      <c r="K517" s="18" t="s">
        <v>316</v>
      </c>
    </row>
    <row r="518">
      <c r="A518" s="17"/>
      <c r="H518" s="18"/>
      <c r="K518" s="18" t="s">
        <v>316</v>
      </c>
    </row>
    <row r="519">
      <c r="A519" s="17"/>
      <c r="H519" s="18"/>
      <c r="K519" s="18" t="s">
        <v>316</v>
      </c>
    </row>
    <row r="520">
      <c r="A520" s="17"/>
      <c r="H520" s="18"/>
      <c r="K520" s="18" t="s">
        <v>316</v>
      </c>
    </row>
    <row r="521">
      <c r="A521" s="17"/>
      <c r="H521" s="18"/>
      <c r="K521" s="18" t="s">
        <v>316</v>
      </c>
    </row>
    <row r="522">
      <c r="A522" s="17"/>
      <c r="H522" s="18"/>
      <c r="K522" s="18" t="s">
        <v>316</v>
      </c>
    </row>
    <row r="523">
      <c r="A523" s="17"/>
      <c r="H523" s="18"/>
      <c r="K523" s="18" t="s">
        <v>316</v>
      </c>
    </row>
    <row r="524">
      <c r="A524" s="17"/>
      <c r="H524" s="18"/>
      <c r="K524" s="18" t="s">
        <v>316</v>
      </c>
    </row>
    <row r="525">
      <c r="A525" s="17"/>
      <c r="H525" s="18"/>
      <c r="K525" s="18" t="s">
        <v>316</v>
      </c>
    </row>
    <row r="526">
      <c r="A526" s="17"/>
      <c r="H526" s="18"/>
      <c r="K526" s="18" t="s">
        <v>316</v>
      </c>
    </row>
    <row r="527">
      <c r="A527" s="17"/>
      <c r="H527" s="18"/>
      <c r="K527" s="18" t="s">
        <v>316</v>
      </c>
    </row>
    <row r="528">
      <c r="A528" s="17"/>
      <c r="H528" s="18"/>
      <c r="K528" s="18" t="s">
        <v>316</v>
      </c>
    </row>
    <row r="529">
      <c r="A529" s="17"/>
      <c r="H529" s="18"/>
      <c r="K529" s="18" t="s">
        <v>316</v>
      </c>
    </row>
    <row r="530">
      <c r="A530" s="17"/>
      <c r="H530" s="18"/>
      <c r="K530" s="18" t="s">
        <v>316</v>
      </c>
    </row>
    <row r="531">
      <c r="A531" s="17"/>
      <c r="H531" s="18"/>
      <c r="K531" s="18" t="s">
        <v>316</v>
      </c>
    </row>
    <row r="532">
      <c r="A532" s="17"/>
      <c r="H532" s="18"/>
      <c r="K532" s="18" t="s">
        <v>316</v>
      </c>
    </row>
    <row r="533">
      <c r="A533" s="17"/>
      <c r="H533" s="18"/>
      <c r="K533" s="18" t="s">
        <v>316</v>
      </c>
    </row>
    <row r="534">
      <c r="A534" s="17"/>
      <c r="H534" s="18"/>
      <c r="K534" s="18" t="s">
        <v>316</v>
      </c>
    </row>
    <row r="535">
      <c r="A535" s="17"/>
      <c r="H535" s="18"/>
      <c r="K535" s="18" t="s">
        <v>316</v>
      </c>
    </row>
    <row r="536">
      <c r="A536" s="17"/>
      <c r="H536" s="18"/>
      <c r="K536" s="18" t="s">
        <v>316</v>
      </c>
    </row>
    <row r="537">
      <c r="A537" s="17"/>
      <c r="H537" s="18"/>
      <c r="K537" s="18" t="s">
        <v>316</v>
      </c>
    </row>
    <row r="538">
      <c r="A538" s="17"/>
      <c r="H538" s="18"/>
      <c r="K538" s="18" t="s">
        <v>316</v>
      </c>
    </row>
    <row r="539">
      <c r="A539" s="17"/>
      <c r="H539" s="18"/>
      <c r="K539" s="18" t="s">
        <v>316</v>
      </c>
    </row>
    <row r="540">
      <c r="A540" s="17"/>
      <c r="H540" s="18"/>
      <c r="K540" s="18" t="s">
        <v>316</v>
      </c>
    </row>
    <row r="541">
      <c r="A541" s="17"/>
      <c r="H541" s="18"/>
      <c r="K541" s="18" t="s">
        <v>316</v>
      </c>
    </row>
    <row r="542">
      <c r="A542" s="17"/>
      <c r="H542" s="18"/>
      <c r="K542" s="18" t="s">
        <v>316</v>
      </c>
    </row>
    <row r="543">
      <c r="A543" s="17"/>
      <c r="H543" s="18"/>
      <c r="K543" s="18" t="s">
        <v>316</v>
      </c>
    </row>
    <row r="544">
      <c r="A544" s="17"/>
      <c r="H544" s="18"/>
      <c r="K544" s="18" t="s">
        <v>316</v>
      </c>
    </row>
    <row r="545">
      <c r="A545" s="17"/>
      <c r="H545" s="18"/>
      <c r="K545" s="18" t="s">
        <v>316</v>
      </c>
    </row>
    <row r="546">
      <c r="A546" s="17"/>
      <c r="H546" s="18"/>
      <c r="K546" s="18" t="s">
        <v>316</v>
      </c>
    </row>
    <row r="547">
      <c r="A547" s="17"/>
      <c r="H547" s="18"/>
      <c r="K547" s="18" t="s">
        <v>316</v>
      </c>
    </row>
    <row r="548">
      <c r="A548" s="17"/>
      <c r="H548" s="18"/>
      <c r="K548" s="18" t="s">
        <v>316</v>
      </c>
    </row>
    <row r="549">
      <c r="A549" s="17"/>
      <c r="H549" s="18"/>
      <c r="K549" s="18" t="s">
        <v>316</v>
      </c>
    </row>
    <row r="550">
      <c r="A550" s="17"/>
      <c r="H550" s="18"/>
      <c r="K550" s="18" t="s">
        <v>316</v>
      </c>
    </row>
    <row r="551">
      <c r="A551" s="17"/>
      <c r="H551" s="18"/>
      <c r="K551" s="18" t="s">
        <v>316</v>
      </c>
    </row>
    <row r="552">
      <c r="A552" s="17"/>
      <c r="H552" s="18"/>
      <c r="K552" s="18" t="s">
        <v>316</v>
      </c>
    </row>
    <row r="553">
      <c r="A553" s="17"/>
      <c r="H553" s="18"/>
      <c r="K553" s="18" t="s">
        <v>316</v>
      </c>
    </row>
    <row r="554">
      <c r="A554" s="17"/>
      <c r="H554" s="18"/>
      <c r="K554" s="18" t="s">
        <v>316</v>
      </c>
    </row>
    <row r="555">
      <c r="A555" s="17"/>
      <c r="H555" s="18"/>
      <c r="K555" s="18" t="s">
        <v>316</v>
      </c>
    </row>
    <row r="556">
      <c r="A556" s="17"/>
      <c r="H556" s="18"/>
      <c r="K556" s="18" t="s">
        <v>316</v>
      </c>
    </row>
    <row r="557">
      <c r="A557" s="17"/>
      <c r="H557" s="18"/>
      <c r="K557" s="18" t="s">
        <v>316</v>
      </c>
    </row>
    <row r="558">
      <c r="A558" s="17"/>
      <c r="H558" s="18"/>
      <c r="K558" s="18" t="s">
        <v>316</v>
      </c>
    </row>
    <row r="559">
      <c r="A559" s="17"/>
      <c r="H559" s="18"/>
      <c r="K559" s="18" t="s">
        <v>316</v>
      </c>
    </row>
    <row r="560">
      <c r="A560" s="17"/>
      <c r="H560" s="18"/>
      <c r="K560" s="18" t="s">
        <v>316</v>
      </c>
    </row>
    <row r="561">
      <c r="A561" s="17"/>
      <c r="H561" s="18"/>
      <c r="K561" s="18" t="s">
        <v>316</v>
      </c>
    </row>
    <row r="562">
      <c r="A562" s="17"/>
      <c r="H562" s="18"/>
      <c r="K562" s="18" t="s">
        <v>316</v>
      </c>
    </row>
    <row r="563">
      <c r="A563" s="17"/>
      <c r="H563" s="18"/>
      <c r="K563" s="18" t="s">
        <v>316</v>
      </c>
    </row>
    <row r="564">
      <c r="A564" s="17"/>
      <c r="H564" s="18"/>
      <c r="K564" s="18" t="s">
        <v>316</v>
      </c>
    </row>
    <row r="565">
      <c r="A565" s="17"/>
      <c r="H565" s="18"/>
      <c r="K565" s="18" t="s">
        <v>316</v>
      </c>
    </row>
    <row r="566">
      <c r="A566" s="17"/>
      <c r="H566" s="18"/>
      <c r="K566" s="18" t="s">
        <v>316</v>
      </c>
    </row>
    <row r="567">
      <c r="A567" s="17"/>
      <c r="H567" s="18"/>
      <c r="K567" s="18" t="s">
        <v>316</v>
      </c>
    </row>
    <row r="568">
      <c r="A568" s="17"/>
      <c r="H568" s="18"/>
      <c r="K568" s="18" t="s">
        <v>316</v>
      </c>
    </row>
    <row r="569">
      <c r="A569" s="17"/>
      <c r="H569" s="18"/>
      <c r="K569" s="18" t="s">
        <v>316</v>
      </c>
    </row>
    <row r="570">
      <c r="A570" s="17"/>
      <c r="H570" s="18"/>
      <c r="K570" s="18" t="s">
        <v>316</v>
      </c>
    </row>
    <row r="571">
      <c r="A571" s="17"/>
      <c r="H571" s="18"/>
      <c r="K571" s="18" t="s">
        <v>316</v>
      </c>
    </row>
    <row r="572">
      <c r="A572" s="17"/>
      <c r="H572" s="18"/>
      <c r="K572" s="18" t="s">
        <v>316</v>
      </c>
    </row>
    <row r="573">
      <c r="A573" s="17"/>
      <c r="H573" s="18"/>
      <c r="K573" s="18" t="s">
        <v>316</v>
      </c>
    </row>
    <row r="574">
      <c r="A574" s="17"/>
      <c r="H574" s="18"/>
      <c r="K574" s="18" t="s">
        <v>316</v>
      </c>
    </row>
    <row r="575">
      <c r="A575" s="17"/>
      <c r="H575" s="18"/>
      <c r="K575" s="18" t="s">
        <v>316</v>
      </c>
    </row>
    <row r="576">
      <c r="A576" s="17"/>
      <c r="H576" s="18"/>
      <c r="K576" s="18" t="s">
        <v>316</v>
      </c>
    </row>
    <row r="577">
      <c r="A577" s="17"/>
      <c r="H577" s="18"/>
      <c r="K577" s="18" t="s">
        <v>316</v>
      </c>
    </row>
    <row r="578">
      <c r="A578" s="17"/>
      <c r="H578" s="18"/>
      <c r="K578" s="18" t="s">
        <v>316</v>
      </c>
    </row>
    <row r="579">
      <c r="A579" s="17"/>
      <c r="H579" s="18"/>
      <c r="K579" s="18" t="s">
        <v>316</v>
      </c>
    </row>
    <row r="580">
      <c r="A580" s="17"/>
      <c r="H580" s="18"/>
      <c r="K580" s="18" t="s">
        <v>316</v>
      </c>
    </row>
    <row r="581">
      <c r="A581" s="17"/>
      <c r="H581" s="18"/>
      <c r="K581" s="18" t="s">
        <v>316</v>
      </c>
    </row>
    <row r="582">
      <c r="A582" s="17"/>
      <c r="H582" s="18"/>
      <c r="K582" s="18" t="s">
        <v>316</v>
      </c>
    </row>
    <row r="583">
      <c r="A583" s="17"/>
      <c r="H583" s="18"/>
      <c r="K583" s="18" t="s">
        <v>316</v>
      </c>
    </row>
    <row r="584">
      <c r="A584" s="17"/>
      <c r="H584" s="18"/>
      <c r="K584" s="18" t="s">
        <v>316</v>
      </c>
    </row>
    <row r="585">
      <c r="A585" s="17"/>
      <c r="H585" s="18"/>
      <c r="K585" s="18" t="s">
        <v>316</v>
      </c>
    </row>
    <row r="586">
      <c r="A586" s="17"/>
      <c r="H586" s="18"/>
      <c r="K586" s="18" t="s">
        <v>316</v>
      </c>
    </row>
    <row r="587">
      <c r="A587" s="17"/>
      <c r="H587" s="18"/>
      <c r="K587" s="18" t="s">
        <v>316</v>
      </c>
    </row>
    <row r="588">
      <c r="A588" s="17"/>
      <c r="H588" s="18"/>
      <c r="K588" s="18" t="s">
        <v>316</v>
      </c>
    </row>
    <row r="589">
      <c r="A589" s="17"/>
      <c r="H589" s="18"/>
      <c r="K589" s="18" t="s">
        <v>316</v>
      </c>
    </row>
    <row r="590">
      <c r="A590" s="17"/>
      <c r="H590" s="18"/>
      <c r="K590" s="18" t="s">
        <v>316</v>
      </c>
    </row>
    <row r="591">
      <c r="A591" s="17"/>
      <c r="H591" s="18"/>
      <c r="K591" s="18" t="s">
        <v>316</v>
      </c>
    </row>
    <row r="592">
      <c r="A592" s="17"/>
      <c r="H592" s="18"/>
      <c r="K592" s="18" t="s">
        <v>316</v>
      </c>
    </row>
    <row r="593">
      <c r="A593" s="17"/>
      <c r="H593" s="18"/>
      <c r="K593" s="18" t="s">
        <v>316</v>
      </c>
    </row>
    <row r="594">
      <c r="A594" s="17"/>
      <c r="H594" s="18"/>
      <c r="K594" s="18" t="s">
        <v>316</v>
      </c>
    </row>
    <row r="595">
      <c r="A595" s="17"/>
      <c r="H595" s="18"/>
      <c r="K595" s="18" t="s">
        <v>316</v>
      </c>
    </row>
    <row r="596">
      <c r="A596" s="17"/>
      <c r="H596" s="18"/>
      <c r="K596" s="18" t="s">
        <v>316</v>
      </c>
    </row>
    <row r="597">
      <c r="A597" s="17"/>
      <c r="H597" s="18"/>
      <c r="K597" s="18" t="s">
        <v>316</v>
      </c>
    </row>
    <row r="598">
      <c r="A598" s="17"/>
      <c r="H598" s="18"/>
      <c r="K598" s="18" t="s">
        <v>316</v>
      </c>
    </row>
    <row r="599">
      <c r="A599" s="17"/>
      <c r="H599" s="18"/>
      <c r="K599" s="18" t="s">
        <v>316</v>
      </c>
    </row>
    <row r="600">
      <c r="A600" s="17"/>
      <c r="H600" s="18"/>
      <c r="K600" s="18" t="s">
        <v>316</v>
      </c>
    </row>
    <row r="601">
      <c r="A601" s="17"/>
      <c r="H601" s="18"/>
      <c r="K601" s="18" t="s">
        <v>316</v>
      </c>
    </row>
    <row r="602">
      <c r="A602" s="17"/>
      <c r="H602" s="18"/>
      <c r="K602" s="18" t="s">
        <v>316</v>
      </c>
    </row>
    <row r="603">
      <c r="A603" s="17"/>
      <c r="H603" s="18"/>
      <c r="K603" s="18" t="s">
        <v>316</v>
      </c>
    </row>
    <row r="604">
      <c r="A604" s="17"/>
      <c r="H604" s="18"/>
      <c r="K604" s="18" t="s">
        <v>316</v>
      </c>
    </row>
    <row r="605">
      <c r="A605" s="17"/>
      <c r="H605" s="18"/>
      <c r="K605" s="18" t="s">
        <v>316</v>
      </c>
    </row>
    <row r="606">
      <c r="A606" s="17"/>
      <c r="H606" s="18"/>
      <c r="K606" s="18" t="s">
        <v>316</v>
      </c>
    </row>
    <row r="607">
      <c r="A607" s="17"/>
      <c r="H607" s="18"/>
      <c r="K607" s="18" t="s">
        <v>316</v>
      </c>
    </row>
    <row r="608">
      <c r="A608" s="17"/>
      <c r="H608" s="18"/>
      <c r="K608" s="18" t="s">
        <v>316</v>
      </c>
    </row>
    <row r="609">
      <c r="A609" s="17"/>
      <c r="H609" s="18"/>
      <c r="K609" s="18" t="s">
        <v>316</v>
      </c>
    </row>
    <row r="610">
      <c r="A610" s="17"/>
      <c r="H610" s="18"/>
      <c r="K610" s="18" t="s">
        <v>316</v>
      </c>
    </row>
    <row r="611">
      <c r="A611" s="17"/>
      <c r="H611" s="18"/>
      <c r="K611" s="18" t="s">
        <v>316</v>
      </c>
    </row>
    <row r="612">
      <c r="A612" s="17"/>
      <c r="H612" s="18"/>
      <c r="K612" s="18" t="s">
        <v>316</v>
      </c>
    </row>
    <row r="613">
      <c r="A613" s="17"/>
      <c r="H613" s="18"/>
      <c r="K613" s="18" t="s">
        <v>316</v>
      </c>
    </row>
    <row r="614">
      <c r="A614" s="17"/>
      <c r="H614" s="18"/>
      <c r="K614" s="18" t="s">
        <v>316</v>
      </c>
    </row>
    <row r="615">
      <c r="A615" s="17"/>
      <c r="H615" s="18"/>
      <c r="K615" s="18" t="s">
        <v>316</v>
      </c>
    </row>
    <row r="616">
      <c r="A616" s="17"/>
      <c r="H616" s="18"/>
      <c r="K616" s="18" t="s">
        <v>316</v>
      </c>
    </row>
    <row r="617">
      <c r="A617" s="17"/>
      <c r="H617" s="18"/>
      <c r="K617" s="18" t="s">
        <v>316</v>
      </c>
    </row>
    <row r="618">
      <c r="A618" s="17"/>
      <c r="H618" s="18"/>
      <c r="K618" s="18" t="s">
        <v>316</v>
      </c>
    </row>
    <row r="619">
      <c r="A619" s="17"/>
      <c r="H619" s="18"/>
      <c r="K619" s="18" t="s">
        <v>316</v>
      </c>
    </row>
    <row r="620">
      <c r="A620" s="17"/>
      <c r="H620" s="18"/>
      <c r="K620" s="18" t="s">
        <v>316</v>
      </c>
    </row>
    <row r="621">
      <c r="A621" s="17"/>
      <c r="H621" s="18"/>
      <c r="K621" s="18" t="s">
        <v>316</v>
      </c>
    </row>
    <row r="622">
      <c r="A622" s="17"/>
      <c r="H622" s="18"/>
      <c r="K622" s="18" t="s">
        <v>316</v>
      </c>
    </row>
    <row r="623">
      <c r="A623" s="17"/>
      <c r="H623" s="18"/>
      <c r="K623" s="18" t="s">
        <v>316</v>
      </c>
    </row>
    <row r="624">
      <c r="A624" s="17"/>
      <c r="H624" s="18"/>
      <c r="K624" s="18" t="s">
        <v>316</v>
      </c>
    </row>
    <row r="625">
      <c r="A625" s="17"/>
      <c r="H625" s="18"/>
      <c r="K625" s="18" t="s">
        <v>316</v>
      </c>
    </row>
    <row r="626">
      <c r="A626" s="17"/>
      <c r="H626" s="18"/>
      <c r="K626" s="18" t="s">
        <v>316</v>
      </c>
    </row>
    <row r="627">
      <c r="A627" s="17"/>
      <c r="H627" s="18"/>
      <c r="K627" s="18" t="s">
        <v>316</v>
      </c>
    </row>
    <row r="628">
      <c r="A628" s="17"/>
      <c r="H628" s="18"/>
      <c r="K628" s="18" t="s">
        <v>316</v>
      </c>
    </row>
    <row r="629">
      <c r="A629" s="17"/>
      <c r="H629" s="18"/>
      <c r="K629" s="18" t="s">
        <v>316</v>
      </c>
    </row>
    <row r="630">
      <c r="A630" s="17"/>
      <c r="H630" s="18"/>
      <c r="K630" s="18" t="s">
        <v>316</v>
      </c>
    </row>
    <row r="631">
      <c r="A631" s="17"/>
      <c r="H631" s="18"/>
      <c r="K631" s="18" t="s">
        <v>316</v>
      </c>
    </row>
    <row r="632">
      <c r="A632" s="17"/>
      <c r="H632" s="18"/>
      <c r="K632" s="18" t="s">
        <v>316</v>
      </c>
    </row>
    <row r="633">
      <c r="A633" s="17"/>
      <c r="H633" s="18"/>
      <c r="K633" s="18" t="s">
        <v>316</v>
      </c>
    </row>
    <row r="634">
      <c r="A634" s="17"/>
      <c r="H634" s="18"/>
      <c r="K634" s="18" t="s">
        <v>316</v>
      </c>
    </row>
    <row r="635">
      <c r="A635" s="17"/>
      <c r="H635" s="18"/>
      <c r="K635" s="18" t="s">
        <v>316</v>
      </c>
    </row>
    <row r="636">
      <c r="A636" s="17"/>
      <c r="H636" s="18"/>
      <c r="K636" s="18" t="s">
        <v>316</v>
      </c>
    </row>
    <row r="637">
      <c r="A637" s="17"/>
      <c r="H637" s="18"/>
      <c r="K637" s="18" t="s">
        <v>316</v>
      </c>
    </row>
    <row r="638">
      <c r="A638" s="17"/>
      <c r="H638" s="18"/>
      <c r="K638" s="18" t="s">
        <v>316</v>
      </c>
    </row>
    <row r="639">
      <c r="A639" s="17"/>
      <c r="H639" s="18"/>
      <c r="K639" s="18" t="s">
        <v>316</v>
      </c>
    </row>
    <row r="640">
      <c r="A640" s="17"/>
      <c r="H640" s="18"/>
      <c r="K640" s="18" t="s">
        <v>316</v>
      </c>
    </row>
    <row r="641">
      <c r="A641" s="17"/>
      <c r="H641" s="18"/>
      <c r="K641" s="18" t="s">
        <v>316</v>
      </c>
    </row>
    <row r="642">
      <c r="A642" s="17"/>
      <c r="H642" s="18"/>
      <c r="K642" s="18" t="s">
        <v>316</v>
      </c>
    </row>
    <row r="643">
      <c r="A643" s="17"/>
      <c r="H643" s="18"/>
      <c r="K643" s="18" t="s">
        <v>316</v>
      </c>
    </row>
    <row r="644">
      <c r="A644" s="17"/>
      <c r="H644" s="18"/>
      <c r="K644" s="18" t="s">
        <v>316</v>
      </c>
    </row>
    <row r="645">
      <c r="A645" s="17"/>
      <c r="H645" s="18"/>
      <c r="K645" s="18" t="s">
        <v>316</v>
      </c>
    </row>
    <row r="646">
      <c r="A646" s="17"/>
      <c r="H646" s="18"/>
      <c r="K646" s="18" t="s">
        <v>316</v>
      </c>
    </row>
    <row r="647">
      <c r="A647" s="17"/>
      <c r="H647" s="18"/>
      <c r="K647" s="18" t="s">
        <v>316</v>
      </c>
    </row>
    <row r="648">
      <c r="A648" s="17"/>
      <c r="H648" s="18"/>
      <c r="K648" s="18" t="s">
        <v>316</v>
      </c>
    </row>
    <row r="649">
      <c r="A649" s="17"/>
      <c r="H649" s="18"/>
      <c r="K649" s="18" t="s">
        <v>316</v>
      </c>
    </row>
    <row r="650">
      <c r="A650" s="17"/>
      <c r="H650" s="18"/>
      <c r="K650" s="18" t="s">
        <v>316</v>
      </c>
    </row>
    <row r="651">
      <c r="A651" s="17"/>
      <c r="H651" s="18"/>
      <c r="K651" s="18" t="s">
        <v>316</v>
      </c>
    </row>
    <row r="652">
      <c r="A652" s="17"/>
      <c r="H652" s="18"/>
      <c r="K652" s="18" t="s">
        <v>316</v>
      </c>
    </row>
    <row r="653">
      <c r="A653" s="17"/>
      <c r="H653" s="18"/>
      <c r="K653" s="18" t="s">
        <v>316</v>
      </c>
    </row>
    <row r="654">
      <c r="A654" s="17"/>
      <c r="H654" s="18"/>
      <c r="K654" s="18" t="s">
        <v>316</v>
      </c>
    </row>
    <row r="655">
      <c r="A655" s="17"/>
      <c r="H655" s="18"/>
      <c r="K655" s="18" t="s">
        <v>316</v>
      </c>
    </row>
    <row r="656">
      <c r="A656" s="17"/>
      <c r="H656" s="18"/>
      <c r="K656" s="18" t="s">
        <v>316</v>
      </c>
    </row>
    <row r="657">
      <c r="A657" s="17"/>
      <c r="H657" s="18"/>
      <c r="K657" s="18" t="s">
        <v>316</v>
      </c>
    </row>
    <row r="658">
      <c r="A658" s="17"/>
      <c r="H658" s="18"/>
      <c r="K658" s="18" t="s">
        <v>316</v>
      </c>
    </row>
    <row r="659">
      <c r="A659" s="17"/>
      <c r="H659" s="18"/>
      <c r="K659" s="18" t="s">
        <v>316</v>
      </c>
    </row>
    <row r="660">
      <c r="A660" s="17"/>
      <c r="H660" s="18"/>
      <c r="K660" s="18" t="s">
        <v>316</v>
      </c>
    </row>
    <row r="661">
      <c r="A661" s="17"/>
      <c r="H661" s="18"/>
      <c r="K661" s="18" t="s">
        <v>316</v>
      </c>
    </row>
    <row r="662">
      <c r="A662" s="17"/>
      <c r="H662" s="18"/>
      <c r="K662" s="18" t="s">
        <v>316</v>
      </c>
    </row>
    <row r="663">
      <c r="A663" s="17"/>
      <c r="H663" s="18"/>
      <c r="K663" s="18" t="s">
        <v>316</v>
      </c>
    </row>
    <row r="664">
      <c r="A664" s="17"/>
      <c r="H664" s="18"/>
      <c r="K664" s="18" t="s">
        <v>316</v>
      </c>
    </row>
    <row r="665">
      <c r="A665" s="17"/>
      <c r="H665" s="18"/>
      <c r="K665" s="18" t="s">
        <v>316</v>
      </c>
    </row>
    <row r="666">
      <c r="A666" s="17"/>
      <c r="H666" s="18"/>
      <c r="K666" s="18" t="s">
        <v>316</v>
      </c>
    </row>
    <row r="667">
      <c r="A667" s="17"/>
      <c r="H667" s="18"/>
      <c r="K667" s="18" t="s">
        <v>316</v>
      </c>
    </row>
    <row r="668">
      <c r="A668" s="17"/>
      <c r="H668" s="18"/>
      <c r="K668" s="18" t="s">
        <v>316</v>
      </c>
    </row>
    <row r="669">
      <c r="A669" s="17"/>
      <c r="H669" s="18"/>
      <c r="K669" s="18" t="s">
        <v>316</v>
      </c>
    </row>
    <row r="670">
      <c r="A670" s="17"/>
      <c r="H670" s="18"/>
      <c r="K670" s="18" t="s">
        <v>316</v>
      </c>
    </row>
    <row r="671">
      <c r="A671" s="17"/>
      <c r="H671" s="18"/>
      <c r="K671" s="18" t="s">
        <v>316</v>
      </c>
    </row>
    <row r="672">
      <c r="A672" s="17"/>
      <c r="H672" s="18"/>
      <c r="K672" s="18" t="s">
        <v>316</v>
      </c>
    </row>
    <row r="673">
      <c r="A673" s="17"/>
      <c r="H673" s="18"/>
      <c r="K673" s="18" t="s">
        <v>316</v>
      </c>
    </row>
    <row r="674">
      <c r="A674" s="17"/>
      <c r="H674" s="18"/>
      <c r="K674" s="18" t="s">
        <v>316</v>
      </c>
    </row>
    <row r="675">
      <c r="A675" s="17"/>
      <c r="H675" s="18"/>
      <c r="K675" s="18" t="s">
        <v>316</v>
      </c>
    </row>
    <row r="676">
      <c r="A676" s="17"/>
      <c r="H676" s="18"/>
      <c r="K676" s="18" t="s">
        <v>316</v>
      </c>
    </row>
    <row r="677">
      <c r="A677" s="17"/>
      <c r="H677" s="18"/>
      <c r="K677" s="18" t="s">
        <v>316</v>
      </c>
    </row>
    <row r="678">
      <c r="A678" s="17"/>
      <c r="H678" s="18"/>
      <c r="K678" s="18" t="s">
        <v>316</v>
      </c>
    </row>
    <row r="679">
      <c r="A679" s="17"/>
      <c r="H679" s="18"/>
      <c r="K679" s="18" t="s">
        <v>316</v>
      </c>
    </row>
    <row r="680">
      <c r="A680" s="17"/>
      <c r="H680" s="18"/>
      <c r="K680" s="18" t="s">
        <v>316</v>
      </c>
    </row>
    <row r="681">
      <c r="A681" s="17"/>
      <c r="H681" s="18"/>
      <c r="K681" s="18" t="s">
        <v>316</v>
      </c>
    </row>
    <row r="682">
      <c r="A682" s="17"/>
      <c r="H682" s="18"/>
      <c r="K682" s="18" t="s">
        <v>316</v>
      </c>
    </row>
    <row r="683">
      <c r="A683" s="17"/>
      <c r="H683" s="18"/>
      <c r="K683" s="18" t="s">
        <v>316</v>
      </c>
    </row>
    <row r="684">
      <c r="A684" s="17"/>
      <c r="H684" s="18"/>
      <c r="K684" s="18" t="s">
        <v>316</v>
      </c>
    </row>
    <row r="685">
      <c r="A685" s="17"/>
      <c r="H685" s="18"/>
      <c r="K685" s="18" t="s">
        <v>316</v>
      </c>
    </row>
    <row r="686">
      <c r="A686" s="17"/>
      <c r="H686" s="18"/>
      <c r="K686" s="18" t="s">
        <v>316</v>
      </c>
    </row>
    <row r="687">
      <c r="A687" s="17"/>
      <c r="H687" s="18"/>
      <c r="K687" s="18" t="s">
        <v>316</v>
      </c>
    </row>
    <row r="688">
      <c r="A688" s="17"/>
      <c r="H688" s="18"/>
      <c r="K688" s="18" t="s">
        <v>316</v>
      </c>
    </row>
    <row r="689">
      <c r="A689" s="17"/>
      <c r="H689" s="18"/>
      <c r="K689" s="18" t="s">
        <v>316</v>
      </c>
    </row>
    <row r="690">
      <c r="A690" s="17"/>
      <c r="H690" s="18"/>
      <c r="K690" s="18" t="s">
        <v>316</v>
      </c>
    </row>
    <row r="691">
      <c r="A691" s="17"/>
      <c r="H691" s="18"/>
      <c r="K691" s="18" t="s">
        <v>316</v>
      </c>
    </row>
    <row r="692">
      <c r="A692" s="17"/>
      <c r="H692" s="18"/>
      <c r="K692" s="18" t="s">
        <v>316</v>
      </c>
    </row>
    <row r="693">
      <c r="A693" s="17"/>
      <c r="H693" s="18"/>
      <c r="K693" s="18" t="s">
        <v>316</v>
      </c>
    </row>
    <row r="694">
      <c r="A694" s="17"/>
      <c r="H694" s="18"/>
      <c r="K694" s="18" t="s">
        <v>316</v>
      </c>
    </row>
    <row r="695">
      <c r="A695" s="17"/>
      <c r="H695" s="18"/>
      <c r="K695" s="18" t="s">
        <v>316</v>
      </c>
    </row>
    <row r="696">
      <c r="A696" s="17"/>
      <c r="H696" s="18"/>
      <c r="K696" s="18" t="s">
        <v>316</v>
      </c>
    </row>
    <row r="697">
      <c r="A697" s="17"/>
      <c r="H697" s="18"/>
      <c r="K697" s="18" t="s">
        <v>316</v>
      </c>
    </row>
    <row r="698">
      <c r="A698" s="17"/>
      <c r="H698" s="18"/>
      <c r="K698" s="18" t="s">
        <v>316</v>
      </c>
    </row>
    <row r="699">
      <c r="A699" s="17"/>
      <c r="H699" s="18"/>
      <c r="K699" s="18" t="s">
        <v>316</v>
      </c>
    </row>
    <row r="700">
      <c r="A700" s="17"/>
      <c r="H700" s="18"/>
      <c r="K700" s="18" t="s">
        <v>316</v>
      </c>
    </row>
    <row r="701">
      <c r="A701" s="17"/>
      <c r="H701" s="18"/>
      <c r="K701" s="18" t="s">
        <v>316</v>
      </c>
    </row>
    <row r="702">
      <c r="A702" s="17"/>
      <c r="H702" s="18"/>
      <c r="K702" s="18" t="s">
        <v>316</v>
      </c>
    </row>
    <row r="703">
      <c r="A703" s="17"/>
      <c r="H703" s="18"/>
      <c r="K703" s="18" t="s">
        <v>316</v>
      </c>
    </row>
    <row r="704">
      <c r="A704" s="17"/>
      <c r="H704" s="18"/>
      <c r="K704" s="18" t="s">
        <v>316</v>
      </c>
    </row>
    <row r="705">
      <c r="A705" s="17"/>
      <c r="H705" s="18"/>
      <c r="K705" s="18" t="s">
        <v>316</v>
      </c>
    </row>
    <row r="706">
      <c r="A706" s="17"/>
      <c r="H706" s="18"/>
      <c r="K706" s="18" t="s">
        <v>316</v>
      </c>
    </row>
    <row r="707">
      <c r="A707" s="17"/>
      <c r="H707" s="18"/>
      <c r="K707" s="18" t="s">
        <v>316</v>
      </c>
    </row>
    <row r="708">
      <c r="A708" s="17"/>
      <c r="H708" s="18"/>
      <c r="K708" s="18" t="s">
        <v>316</v>
      </c>
    </row>
    <row r="709">
      <c r="A709" s="17"/>
      <c r="H709" s="18"/>
      <c r="K709" s="18" t="s">
        <v>316</v>
      </c>
    </row>
    <row r="710">
      <c r="A710" s="17"/>
      <c r="H710" s="18"/>
      <c r="K710" s="18" t="s">
        <v>316</v>
      </c>
    </row>
    <row r="711">
      <c r="A711" s="17"/>
      <c r="H711" s="18"/>
      <c r="K711" s="18" t="s">
        <v>316</v>
      </c>
    </row>
    <row r="712">
      <c r="A712" s="17"/>
      <c r="H712" s="18"/>
      <c r="K712" s="18" t="s">
        <v>316</v>
      </c>
    </row>
    <row r="713">
      <c r="A713" s="17"/>
      <c r="H713" s="18"/>
      <c r="K713" s="18" t="s">
        <v>316</v>
      </c>
    </row>
    <row r="714">
      <c r="A714" s="17"/>
      <c r="H714" s="18"/>
      <c r="K714" s="18" t="s">
        <v>316</v>
      </c>
    </row>
    <row r="715">
      <c r="A715" s="17"/>
      <c r="H715" s="18"/>
      <c r="K715" s="18" t="s">
        <v>316</v>
      </c>
    </row>
    <row r="716">
      <c r="A716" s="17"/>
      <c r="H716" s="18"/>
      <c r="K716" s="18" t="s">
        <v>316</v>
      </c>
    </row>
    <row r="717">
      <c r="A717" s="17"/>
      <c r="H717" s="18"/>
      <c r="K717" s="18" t="s">
        <v>316</v>
      </c>
    </row>
    <row r="718">
      <c r="A718" s="17"/>
      <c r="H718" s="18"/>
      <c r="K718" s="18" t="s">
        <v>316</v>
      </c>
    </row>
    <row r="719">
      <c r="A719" s="17"/>
      <c r="H719" s="18"/>
      <c r="K719" s="18" t="s">
        <v>316</v>
      </c>
    </row>
    <row r="720">
      <c r="A720" s="17"/>
      <c r="H720" s="18"/>
      <c r="K720" s="18" t="s">
        <v>316</v>
      </c>
    </row>
    <row r="721">
      <c r="A721" s="17"/>
      <c r="H721" s="18"/>
      <c r="K721" s="18" t="s">
        <v>316</v>
      </c>
    </row>
    <row r="722">
      <c r="A722" s="17"/>
      <c r="H722" s="18"/>
      <c r="K722" s="18" t="s">
        <v>316</v>
      </c>
    </row>
    <row r="723">
      <c r="A723" s="17"/>
      <c r="H723" s="18"/>
      <c r="K723" s="18" t="s">
        <v>316</v>
      </c>
    </row>
    <row r="724">
      <c r="A724" s="17"/>
      <c r="H724" s="18"/>
      <c r="K724" s="18" t="s">
        <v>316</v>
      </c>
    </row>
    <row r="725">
      <c r="A725" s="17"/>
      <c r="H725" s="18"/>
      <c r="K725" s="18" t="s">
        <v>316</v>
      </c>
    </row>
    <row r="726">
      <c r="A726" s="17"/>
      <c r="H726" s="18"/>
      <c r="K726" s="18" t="s">
        <v>316</v>
      </c>
    </row>
    <row r="727">
      <c r="A727" s="17"/>
      <c r="H727" s="18"/>
      <c r="K727" s="18" t="s">
        <v>316</v>
      </c>
    </row>
    <row r="728">
      <c r="A728" s="17"/>
      <c r="H728" s="18"/>
      <c r="K728" s="18" t="s">
        <v>316</v>
      </c>
    </row>
    <row r="729">
      <c r="A729" s="17"/>
      <c r="H729" s="18"/>
      <c r="K729" s="18" t="s">
        <v>316</v>
      </c>
    </row>
    <row r="730">
      <c r="A730" s="17"/>
      <c r="H730" s="18"/>
      <c r="K730" s="18" t="s">
        <v>316</v>
      </c>
    </row>
    <row r="731">
      <c r="A731" s="17"/>
      <c r="H731" s="18"/>
      <c r="K731" s="18" t="s">
        <v>316</v>
      </c>
    </row>
    <row r="732">
      <c r="A732" s="17"/>
      <c r="H732" s="18"/>
      <c r="K732" s="18" t="s">
        <v>316</v>
      </c>
    </row>
    <row r="733">
      <c r="A733" s="17"/>
      <c r="H733" s="18"/>
      <c r="K733" s="18" t="s">
        <v>316</v>
      </c>
    </row>
    <row r="734">
      <c r="A734" s="17"/>
      <c r="H734" s="18"/>
      <c r="K734" s="18" t="s">
        <v>316</v>
      </c>
    </row>
    <row r="735">
      <c r="A735" s="17"/>
      <c r="H735" s="18"/>
      <c r="K735" s="18" t="s">
        <v>316</v>
      </c>
    </row>
    <row r="736">
      <c r="A736" s="17"/>
      <c r="H736" s="18"/>
      <c r="K736" s="18" t="s">
        <v>316</v>
      </c>
    </row>
    <row r="737">
      <c r="A737" s="17"/>
      <c r="H737" s="18"/>
      <c r="K737" s="18" t="s">
        <v>316</v>
      </c>
    </row>
    <row r="738">
      <c r="A738" s="17"/>
      <c r="H738" s="18"/>
      <c r="K738" s="18" t="s">
        <v>316</v>
      </c>
    </row>
    <row r="739">
      <c r="A739" s="17"/>
      <c r="H739" s="18"/>
      <c r="K739" s="18" t="s">
        <v>316</v>
      </c>
    </row>
    <row r="740">
      <c r="A740" s="17"/>
      <c r="H740" s="18"/>
      <c r="K740" s="18" t="s">
        <v>316</v>
      </c>
    </row>
    <row r="741">
      <c r="A741" s="17"/>
      <c r="H741" s="18"/>
      <c r="K741" s="18" t="s">
        <v>316</v>
      </c>
    </row>
    <row r="742">
      <c r="A742" s="17"/>
      <c r="H742" s="18"/>
      <c r="K742" s="18" t="s">
        <v>316</v>
      </c>
    </row>
    <row r="743">
      <c r="A743" s="17"/>
      <c r="H743" s="18"/>
      <c r="K743" s="18" t="s">
        <v>316</v>
      </c>
    </row>
    <row r="744">
      <c r="A744" s="17"/>
      <c r="H744" s="18"/>
      <c r="K744" s="18" t="s">
        <v>316</v>
      </c>
    </row>
    <row r="745">
      <c r="A745" s="17"/>
      <c r="H745" s="18"/>
      <c r="K745" s="18" t="s">
        <v>316</v>
      </c>
    </row>
    <row r="746">
      <c r="A746" s="17"/>
      <c r="H746" s="18"/>
      <c r="K746" s="18" t="s">
        <v>316</v>
      </c>
    </row>
    <row r="747">
      <c r="A747" s="17"/>
      <c r="H747" s="18"/>
      <c r="K747" s="18" t="s">
        <v>316</v>
      </c>
    </row>
    <row r="748">
      <c r="A748" s="17"/>
      <c r="H748" s="18"/>
      <c r="K748" s="18" t="s">
        <v>316</v>
      </c>
    </row>
    <row r="749">
      <c r="A749" s="17"/>
      <c r="H749" s="18"/>
      <c r="K749" s="18" t="s">
        <v>316</v>
      </c>
    </row>
    <row r="750">
      <c r="A750" s="17"/>
      <c r="H750" s="18"/>
      <c r="K750" s="18" t="s">
        <v>316</v>
      </c>
    </row>
    <row r="751">
      <c r="A751" s="17"/>
      <c r="H751" s="18"/>
      <c r="K751" s="18" t="s">
        <v>316</v>
      </c>
    </row>
    <row r="752">
      <c r="A752" s="17"/>
      <c r="H752" s="18"/>
      <c r="K752" s="18" t="s">
        <v>316</v>
      </c>
    </row>
    <row r="753">
      <c r="A753" s="17"/>
      <c r="H753" s="18"/>
      <c r="K753" s="18" t="s">
        <v>316</v>
      </c>
    </row>
    <row r="754">
      <c r="A754" s="17"/>
      <c r="H754" s="18"/>
      <c r="K754" s="18" t="s">
        <v>316</v>
      </c>
    </row>
    <row r="755">
      <c r="A755" s="17"/>
      <c r="H755" s="18"/>
      <c r="K755" s="18" t="s">
        <v>316</v>
      </c>
    </row>
    <row r="756">
      <c r="A756" s="17"/>
      <c r="H756" s="18"/>
      <c r="K756" s="18" t="s">
        <v>316</v>
      </c>
    </row>
    <row r="757">
      <c r="A757" s="17"/>
      <c r="H757" s="18"/>
      <c r="K757" s="18" t="s">
        <v>316</v>
      </c>
    </row>
    <row r="758">
      <c r="A758" s="17"/>
      <c r="H758" s="18"/>
      <c r="K758" s="18" t="s">
        <v>316</v>
      </c>
    </row>
    <row r="759">
      <c r="A759" s="17"/>
      <c r="H759" s="18"/>
      <c r="K759" s="18" t="s">
        <v>316</v>
      </c>
    </row>
    <row r="760">
      <c r="A760" s="17"/>
      <c r="H760" s="18"/>
      <c r="K760" s="18" t="s">
        <v>316</v>
      </c>
    </row>
    <row r="761">
      <c r="A761" s="17"/>
      <c r="H761" s="18"/>
      <c r="K761" s="18" t="s">
        <v>316</v>
      </c>
    </row>
    <row r="762">
      <c r="A762" s="17"/>
      <c r="H762" s="18"/>
      <c r="K762" s="18" t="s">
        <v>316</v>
      </c>
    </row>
    <row r="763">
      <c r="A763" s="17"/>
      <c r="H763" s="18"/>
      <c r="K763" s="18" t="s">
        <v>316</v>
      </c>
    </row>
    <row r="764">
      <c r="A764" s="17"/>
      <c r="H764" s="18"/>
      <c r="K764" s="18" t="s">
        <v>316</v>
      </c>
    </row>
    <row r="765">
      <c r="A765" s="17"/>
      <c r="H765" s="18"/>
      <c r="K765" s="18" t="s">
        <v>316</v>
      </c>
    </row>
    <row r="766">
      <c r="A766" s="17"/>
      <c r="H766" s="18"/>
      <c r="K766" s="18" t="s">
        <v>316</v>
      </c>
    </row>
    <row r="767">
      <c r="A767" s="17"/>
      <c r="H767" s="18"/>
      <c r="K767" s="18" t="s">
        <v>316</v>
      </c>
    </row>
    <row r="768">
      <c r="A768" s="17"/>
      <c r="H768" s="18"/>
      <c r="K768" s="18" t="s">
        <v>316</v>
      </c>
    </row>
    <row r="769">
      <c r="A769" s="17"/>
      <c r="H769" s="18"/>
      <c r="K769" s="18" t="s">
        <v>316</v>
      </c>
    </row>
    <row r="770">
      <c r="A770" s="17"/>
      <c r="H770" s="18"/>
      <c r="K770" s="18" t="s">
        <v>316</v>
      </c>
    </row>
    <row r="771">
      <c r="A771" s="17"/>
      <c r="H771" s="18"/>
      <c r="K771" s="18" t="s">
        <v>316</v>
      </c>
    </row>
    <row r="772">
      <c r="A772" s="17"/>
      <c r="H772" s="18"/>
      <c r="K772" s="18" t="s">
        <v>316</v>
      </c>
    </row>
    <row r="773">
      <c r="A773" s="17"/>
      <c r="H773" s="18"/>
      <c r="K773" s="18" t="s">
        <v>316</v>
      </c>
    </row>
    <row r="774">
      <c r="A774" s="17"/>
      <c r="H774" s="18"/>
      <c r="K774" s="18" t="s">
        <v>316</v>
      </c>
    </row>
    <row r="775">
      <c r="A775" s="17"/>
      <c r="H775" s="18"/>
      <c r="K775" s="18" t="s">
        <v>316</v>
      </c>
    </row>
    <row r="776">
      <c r="A776" s="17"/>
      <c r="H776" s="18"/>
      <c r="K776" s="18" t="s">
        <v>316</v>
      </c>
    </row>
    <row r="777">
      <c r="A777" s="17"/>
      <c r="H777" s="18"/>
      <c r="K777" s="18" t="s">
        <v>316</v>
      </c>
    </row>
    <row r="778">
      <c r="A778" s="17"/>
      <c r="H778" s="18"/>
      <c r="K778" s="18" t="s">
        <v>316</v>
      </c>
    </row>
    <row r="779">
      <c r="A779" s="17"/>
      <c r="H779" s="18"/>
      <c r="K779" s="18" t="s">
        <v>316</v>
      </c>
    </row>
    <row r="780">
      <c r="A780" s="17"/>
      <c r="H780" s="18"/>
      <c r="K780" s="18" t="s">
        <v>316</v>
      </c>
    </row>
    <row r="781">
      <c r="A781" s="17"/>
      <c r="H781" s="18"/>
      <c r="K781" s="18" t="s">
        <v>316</v>
      </c>
    </row>
    <row r="782">
      <c r="A782" s="17"/>
      <c r="H782" s="18"/>
      <c r="K782" s="18" t="s">
        <v>316</v>
      </c>
    </row>
    <row r="783">
      <c r="A783" s="17"/>
      <c r="H783" s="18"/>
      <c r="K783" s="18" t="s">
        <v>316</v>
      </c>
    </row>
    <row r="784">
      <c r="A784" s="17"/>
      <c r="H784" s="18"/>
      <c r="K784" s="18" t="s">
        <v>316</v>
      </c>
    </row>
    <row r="785">
      <c r="A785" s="17"/>
      <c r="H785" s="18"/>
      <c r="K785" s="18" t="s">
        <v>316</v>
      </c>
    </row>
    <row r="786">
      <c r="A786" s="17"/>
      <c r="H786" s="18"/>
      <c r="K786" s="18" t="s">
        <v>316</v>
      </c>
    </row>
    <row r="787">
      <c r="A787" s="17"/>
      <c r="H787" s="18"/>
      <c r="K787" s="18" t="s">
        <v>316</v>
      </c>
    </row>
    <row r="788">
      <c r="A788" s="17"/>
      <c r="H788" s="18"/>
      <c r="K788" s="18" t="s">
        <v>316</v>
      </c>
    </row>
    <row r="789">
      <c r="A789" s="17"/>
      <c r="H789" s="18"/>
      <c r="K789" s="18" t="s">
        <v>316</v>
      </c>
    </row>
    <row r="790">
      <c r="A790" s="17"/>
      <c r="H790" s="18"/>
      <c r="K790" s="18" t="s">
        <v>316</v>
      </c>
    </row>
    <row r="791">
      <c r="A791" s="17"/>
      <c r="H791" s="18"/>
      <c r="K791" s="18" t="s">
        <v>316</v>
      </c>
    </row>
    <row r="792">
      <c r="A792" s="17"/>
      <c r="H792" s="18"/>
      <c r="K792" s="18" t="s">
        <v>316</v>
      </c>
    </row>
    <row r="793">
      <c r="A793" s="17"/>
      <c r="H793" s="18"/>
      <c r="K793" s="18" t="s">
        <v>316</v>
      </c>
    </row>
    <row r="794">
      <c r="A794" s="17"/>
      <c r="H794" s="18"/>
      <c r="K794" s="18" t="s">
        <v>316</v>
      </c>
    </row>
    <row r="795">
      <c r="A795" s="17"/>
      <c r="H795" s="18"/>
      <c r="K795" s="18" t="s">
        <v>316</v>
      </c>
    </row>
    <row r="796">
      <c r="A796" s="17"/>
      <c r="H796" s="18"/>
      <c r="K796" s="18" t="s">
        <v>316</v>
      </c>
    </row>
    <row r="797">
      <c r="A797" s="17"/>
      <c r="H797" s="18"/>
      <c r="K797" s="18" t="s">
        <v>316</v>
      </c>
    </row>
    <row r="798">
      <c r="A798" s="17"/>
      <c r="H798" s="18"/>
      <c r="K798" s="18" t="s">
        <v>316</v>
      </c>
    </row>
    <row r="799">
      <c r="A799" s="17"/>
      <c r="H799" s="18"/>
      <c r="K799" s="18" t="s">
        <v>316</v>
      </c>
    </row>
    <row r="800">
      <c r="A800" s="17"/>
      <c r="H800" s="18"/>
      <c r="K800" s="18" t="s">
        <v>316</v>
      </c>
    </row>
    <row r="801">
      <c r="A801" s="17"/>
      <c r="H801" s="18"/>
      <c r="K801" s="18" t="s">
        <v>316</v>
      </c>
    </row>
    <row r="802">
      <c r="A802" s="17"/>
      <c r="H802" s="18"/>
      <c r="K802" s="18" t="s">
        <v>316</v>
      </c>
    </row>
    <row r="803">
      <c r="A803" s="17"/>
      <c r="H803" s="18"/>
      <c r="K803" s="18" t="s">
        <v>316</v>
      </c>
    </row>
    <row r="804">
      <c r="A804" s="17"/>
      <c r="H804" s="18"/>
      <c r="K804" s="18" t="s">
        <v>316</v>
      </c>
    </row>
    <row r="805">
      <c r="A805" s="17"/>
      <c r="H805" s="18"/>
      <c r="K805" s="18" t="s">
        <v>316</v>
      </c>
    </row>
    <row r="806">
      <c r="A806" s="17"/>
      <c r="H806" s="18"/>
      <c r="K806" s="18" t="s">
        <v>316</v>
      </c>
    </row>
    <row r="807">
      <c r="A807" s="17"/>
      <c r="H807" s="18"/>
      <c r="K807" s="18" t="s">
        <v>316</v>
      </c>
    </row>
    <row r="808">
      <c r="A808" s="17"/>
      <c r="H808" s="18"/>
      <c r="K808" s="18" t="s">
        <v>316</v>
      </c>
    </row>
    <row r="809">
      <c r="A809" s="17"/>
      <c r="H809" s="18"/>
      <c r="K809" s="18" t="s">
        <v>316</v>
      </c>
    </row>
    <row r="810">
      <c r="A810" s="17"/>
      <c r="H810" s="18"/>
      <c r="K810" s="18" t="s">
        <v>316</v>
      </c>
    </row>
    <row r="811">
      <c r="A811" s="17"/>
      <c r="H811" s="18"/>
      <c r="K811" s="18" t="s">
        <v>316</v>
      </c>
    </row>
    <row r="812">
      <c r="A812" s="17"/>
      <c r="H812" s="18"/>
      <c r="K812" s="18" t="s">
        <v>316</v>
      </c>
    </row>
    <row r="813">
      <c r="A813" s="17"/>
      <c r="H813" s="18"/>
      <c r="K813" s="18" t="s">
        <v>316</v>
      </c>
    </row>
    <row r="814">
      <c r="A814" s="17"/>
      <c r="H814" s="18"/>
      <c r="K814" s="18" t="s">
        <v>316</v>
      </c>
    </row>
    <row r="815">
      <c r="A815" s="17"/>
      <c r="H815" s="18"/>
      <c r="K815" s="18" t="s">
        <v>316</v>
      </c>
    </row>
    <row r="816">
      <c r="A816" s="17"/>
      <c r="H816" s="18"/>
      <c r="K816" s="18" t="s">
        <v>316</v>
      </c>
    </row>
    <row r="817">
      <c r="A817" s="17"/>
      <c r="H817" s="18"/>
      <c r="K817" s="18" t="s">
        <v>316</v>
      </c>
    </row>
    <row r="818">
      <c r="A818" s="17"/>
      <c r="H818" s="18"/>
      <c r="K818" s="18" t="s">
        <v>316</v>
      </c>
    </row>
    <row r="819">
      <c r="A819" s="17"/>
      <c r="H819" s="18"/>
      <c r="K819" s="18" t="s">
        <v>316</v>
      </c>
    </row>
    <row r="820">
      <c r="A820" s="17"/>
      <c r="H820" s="18"/>
      <c r="K820" s="18" t="s">
        <v>316</v>
      </c>
    </row>
    <row r="821">
      <c r="A821" s="17"/>
      <c r="H821" s="18"/>
      <c r="K821" s="18" t="s">
        <v>316</v>
      </c>
    </row>
    <row r="822">
      <c r="A822" s="17"/>
      <c r="H822" s="18"/>
      <c r="K822" s="18" t="s">
        <v>316</v>
      </c>
    </row>
    <row r="823">
      <c r="A823" s="17"/>
      <c r="H823" s="18"/>
      <c r="K823" s="18" t="s">
        <v>316</v>
      </c>
    </row>
    <row r="824">
      <c r="A824" s="17"/>
      <c r="H824" s="18"/>
      <c r="K824" s="18" t="s">
        <v>316</v>
      </c>
    </row>
    <row r="825">
      <c r="A825" s="17"/>
      <c r="H825" s="18"/>
      <c r="K825" s="18" t="s">
        <v>316</v>
      </c>
    </row>
    <row r="826">
      <c r="A826" s="17"/>
      <c r="H826" s="18"/>
      <c r="K826" s="18" t="s">
        <v>316</v>
      </c>
    </row>
    <row r="827">
      <c r="A827" s="17"/>
      <c r="H827" s="18"/>
      <c r="K827" s="18" t="s">
        <v>316</v>
      </c>
    </row>
    <row r="828">
      <c r="A828" s="17"/>
      <c r="H828" s="18"/>
      <c r="K828" s="18" t="s">
        <v>316</v>
      </c>
    </row>
    <row r="829">
      <c r="A829" s="17"/>
      <c r="H829" s="18"/>
      <c r="K829" s="18" t="s">
        <v>316</v>
      </c>
    </row>
    <row r="830">
      <c r="A830" s="17"/>
      <c r="H830" s="18"/>
      <c r="K830" s="18" t="s">
        <v>316</v>
      </c>
    </row>
    <row r="831">
      <c r="A831" s="17"/>
      <c r="H831" s="18"/>
      <c r="K831" s="18" t="s">
        <v>316</v>
      </c>
    </row>
    <row r="832">
      <c r="A832" s="17"/>
      <c r="H832" s="18"/>
      <c r="K832" s="18" t="s">
        <v>316</v>
      </c>
    </row>
    <row r="833">
      <c r="A833" s="17"/>
      <c r="H833" s="18"/>
      <c r="K833" s="18" t="s">
        <v>316</v>
      </c>
    </row>
    <row r="834">
      <c r="A834" s="17"/>
      <c r="H834" s="18"/>
      <c r="K834" s="18" t="s">
        <v>316</v>
      </c>
    </row>
    <row r="835">
      <c r="A835" s="17"/>
      <c r="H835" s="18"/>
      <c r="K835" s="18" t="s">
        <v>316</v>
      </c>
    </row>
    <row r="836">
      <c r="A836" s="17"/>
      <c r="H836" s="18"/>
      <c r="K836" s="18" t="s">
        <v>316</v>
      </c>
    </row>
    <row r="837">
      <c r="A837" s="17"/>
      <c r="H837" s="18"/>
      <c r="K837" s="18" t="s">
        <v>316</v>
      </c>
    </row>
    <row r="838">
      <c r="A838" s="17"/>
      <c r="H838" s="18"/>
      <c r="K838" s="18" t="s">
        <v>316</v>
      </c>
    </row>
    <row r="839">
      <c r="A839" s="17"/>
      <c r="H839" s="18"/>
      <c r="K839" s="18" t="s">
        <v>316</v>
      </c>
    </row>
    <row r="840">
      <c r="A840" s="17"/>
      <c r="H840" s="18"/>
      <c r="K840" s="18" t="s">
        <v>316</v>
      </c>
    </row>
    <row r="841">
      <c r="A841" s="17"/>
      <c r="H841" s="18"/>
      <c r="K841" s="18" t="s">
        <v>316</v>
      </c>
    </row>
    <row r="842">
      <c r="A842" s="17"/>
      <c r="H842" s="18"/>
      <c r="K842" s="18" t="s">
        <v>316</v>
      </c>
    </row>
    <row r="843">
      <c r="A843" s="17"/>
      <c r="H843" s="18"/>
      <c r="K843" s="18" t="s">
        <v>316</v>
      </c>
    </row>
    <row r="844">
      <c r="A844" s="17"/>
      <c r="H844" s="18"/>
      <c r="K844" s="18" t="s">
        <v>316</v>
      </c>
    </row>
    <row r="845">
      <c r="A845" s="17"/>
      <c r="H845" s="18"/>
      <c r="K845" s="18" t="s">
        <v>316</v>
      </c>
    </row>
    <row r="846">
      <c r="A846" s="17"/>
      <c r="H846" s="18"/>
      <c r="K846" s="18" t="s">
        <v>316</v>
      </c>
    </row>
    <row r="847">
      <c r="A847" s="17"/>
      <c r="H847" s="18"/>
      <c r="K847" s="18" t="s">
        <v>316</v>
      </c>
    </row>
    <row r="848">
      <c r="A848" s="17"/>
      <c r="H848" s="18"/>
      <c r="K848" s="18" t="s">
        <v>316</v>
      </c>
    </row>
    <row r="849">
      <c r="A849" s="17"/>
      <c r="H849" s="18"/>
      <c r="K849" s="18" t="s">
        <v>316</v>
      </c>
    </row>
    <row r="850">
      <c r="A850" s="17"/>
      <c r="H850" s="18"/>
      <c r="K850" s="18" t="s">
        <v>316</v>
      </c>
    </row>
    <row r="851">
      <c r="A851" s="17"/>
      <c r="H851" s="18"/>
      <c r="K851" s="18" t="s">
        <v>316</v>
      </c>
    </row>
    <row r="852">
      <c r="A852" s="17"/>
      <c r="H852" s="18"/>
      <c r="K852" s="18" t="s">
        <v>316</v>
      </c>
    </row>
    <row r="853">
      <c r="A853" s="17"/>
      <c r="H853" s="18"/>
      <c r="K853" s="18" t="s">
        <v>316</v>
      </c>
    </row>
    <row r="854">
      <c r="A854" s="17"/>
      <c r="H854" s="18"/>
      <c r="K854" s="18" t="s">
        <v>316</v>
      </c>
    </row>
    <row r="855">
      <c r="A855" s="17"/>
      <c r="H855" s="18"/>
      <c r="K855" s="18" t="s">
        <v>316</v>
      </c>
    </row>
    <row r="856">
      <c r="A856" s="17"/>
      <c r="H856" s="18"/>
      <c r="K856" s="18" t="s">
        <v>316</v>
      </c>
    </row>
    <row r="857">
      <c r="A857" s="17"/>
      <c r="H857" s="18"/>
      <c r="K857" s="18" t="s">
        <v>316</v>
      </c>
    </row>
    <row r="858">
      <c r="A858" s="17"/>
      <c r="H858" s="18"/>
      <c r="K858" s="18" t="s">
        <v>316</v>
      </c>
    </row>
    <row r="859">
      <c r="A859" s="17"/>
      <c r="H859" s="18"/>
      <c r="K859" s="18" t="s">
        <v>316</v>
      </c>
    </row>
    <row r="860">
      <c r="A860" s="17"/>
      <c r="H860" s="18"/>
      <c r="K860" s="18" t="s">
        <v>316</v>
      </c>
    </row>
    <row r="861">
      <c r="A861" s="17"/>
      <c r="H861" s="18"/>
      <c r="K861" s="18" t="s">
        <v>316</v>
      </c>
    </row>
    <row r="862">
      <c r="A862" s="17"/>
      <c r="H862" s="18"/>
      <c r="K862" s="18" t="s">
        <v>316</v>
      </c>
    </row>
    <row r="863">
      <c r="A863" s="17"/>
      <c r="H863" s="18"/>
      <c r="K863" s="18" t="s">
        <v>316</v>
      </c>
    </row>
    <row r="864">
      <c r="A864" s="17"/>
      <c r="H864" s="18"/>
      <c r="K864" s="18" t="s">
        <v>316</v>
      </c>
    </row>
    <row r="865">
      <c r="A865" s="17"/>
      <c r="H865" s="18"/>
      <c r="K865" s="18" t="s">
        <v>316</v>
      </c>
    </row>
    <row r="866">
      <c r="A866" s="17"/>
      <c r="H866" s="18"/>
      <c r="K866" s="18" t="s">
        <v>316</v>
      </c>
    </row>
    <row r="867">
      <c r="A867" s="17"/>
      <c r="H867" s="18"/>
      <c r="K867" s="18" t="s">
        <v>316</v>
      </c>
    </row>
    <row r="868">
      <c r="A868" s="17"/>
      <c r="H868" s="18"/>
      <c r="K868" s="18" t="s">
        <v>316</v>
      </c>
    </row>
    <row r="869">
      <c r="A869" s="17"/>
      <c r="H869" s="18"/>
      <c r="K869" s="18" t="s">
        <v>316</v>
      </c>
    </row>
    <row r="870">
      <c r="A870" s="17"/>
      <c r="H870" s="18"/>
      <c r="K870" s="18" t="s">
        <v>316</v>
      </c>
    </row>
    <row r="871">
      <c r="A871" s="17"/>
      <c r="H871" s="18"/>
      <c r="K871" s="18" t="s">
        <v>316</v>
      </c>
    </row>
    <row r="872">
      <c r="A872" s="17"/>
      <c r="H872" s="18"/>
      <c r="K872" s="18" t="s">
        <v>316</v>
      </c>
    </row>
    <row r="873">
      <c r="A873" s="17"/>
      <c r="H873" s="18"/>
      <c r="K873" s="18" t="s">
        <v>316</v>
      </c>
    </row>
    <row r="874">
      <c r="A874" s="17"/>
      <c r="H874" s="18"/>
      <c r="K874" s="18" t="s">
        <v>316</v>
      </c>
    </row>
    <row r="875">
      <c r="A875" s="17"/>
      <c r="H875" s="18"/>
      <c r="K875" s="18" t="s">
        <v>316</v>
      </c>
    </row>
    <row r="876">
      <c r="A876" s="17"/>
      <c r="H876" s="18"/>
      <c r="K876" s="18" t="s">
        <v>316</v>
      </c>
    </row>
    <row r="877">
      <c r="A877" s="17"/>
      <c r="H877" s="18"/>
      <c r="K877" s="18" t="s">
        <v>316</v>
      </c>
    </row>
    <row r="878">
      <c r="A878" s="17"/>
      <c r="H878" s="18"/>
      <c r="K878" s="18" t="s">
        <v>316</v>
      </c>
    </row>
    <row r="879">
      <c r="A879" s="17"/>
      <c r="H879" s="18"/>
      <c r="K879" s="18" t="s">
        <v>316</v>
      </c>
    </row>
    <row r="880">
      <c r="A880" s="17"/>
      <c r="H880" s="18"/>
      <c r="K880" s="18" t="s">
        <v>316</v>
      </c>
    </row>
    <row r="881">
      <c r="A881" s="17"/>
      <c r="H881" s="18"/>
      <c r="K881" s="18" t="s">
        <v>316</v>
      </c>
    </row>
    <row r="882">
      <c r="A882" s="17"/>
      <c r="H882" s="18"/>
      <c r="K882" s="18" t="s">
        <v>316</v>
      </c>
    </row>
    <row r="883">
      <c r="A883" s="17"/>
      <c r="H883" s="18"/>
      <c r="K883" s="18" t="s">
        <v>316</v>
      </c>
    </row>
    <row r="884">
      <c r="A884" s="17"/>
      <c r="H884" s="18"/>
      <c r="K884" s="18" t="s">
        <v>316</v>
      </c>
    </row>
    <row r="885">
      <c r="A885" s="17"/>
      <c r="H885" s="18"/>
      <c r="K885" s="18" t="s">
        <v>316</v>
      </c>
    </row>
    <row r="886">
      <c r="A886" s="17"/>
      <c r="H886" s="18"/>
      <c r="K886" s="18" t="s">
        <v>316</v>
      </c>
    </row>
    <row r="887">
      <c r="A887" s="17"/>
      <c r="H887" s="18"/>
      <c r="K887" s="18" t="s">
        <v>316</v>
      </c>
    </row>
    <row r="888">
      <c r="A888" s="17"/>
      <c r="H888" s="18"/>
      <c r="K888" s="18" t="s">
        <v>316</v>
      </c>
    </row>
    <row r="889">
      <c r="A889" s="17"/>
      <c r="H889" s="18"/>
      <c r="K889" s="18" t="s">
        <v>316</v>
      </c>
    </row>
    <row r="890">
      <c r="A890" s="17"/>
      <c r="H890" s="18"/>
      <c r="K890" s="18" t="s">
        <v>316</v>
      </c>
    </row>
    <row r="891">
      <c r="A891" s="17"/>
      <c r="H891" s="18"/>
      <c r="K891" s="18" t="s">
        <v>316</v>
      </c>
    </row>
    <row r="892">
      <c r="A892" s="17"/>
      <c r="H892" s="18"/>
      <c r="K892" s="18" t="s">
        <v>316</v>
      </c>
    </row>
    <row r="893">
      <c r="A893" s="17"/>
      <c r="H893" s="18"/>
      <c r="K893" s="18" t="s">
        <v>316</v>
      </c>
    </row>
    <row r="894">
      <c r="A894" s="17"/>
      <c r="H894" s="18"/>
      <c r="K894" s="18" t="s">
        <v>316</v>
      </c>
    </row>
    <row r="895">
      <c r="A895" s="17"/>
      <c r="H895" s="18"/>
      <c r="K895" s="18" t="s">
        <v>316</v>
      </c>
    </row>
    <row r="896">
      <c r="A896" s="17"/>
      <c r="H896" s="18"/>
      <c r="K896" s="18" t="s">
        <v>316</v>
      </c>
    </row>
    <row r="897">
      <c r="A897" s="17"/>
      <c r="H897" s="18"/>
      <c r="K897" s="18" t="s">
        <v>316</v>
      </c>
    </row>
    <row r="898">
      <c r="A898" s="17"/>
      <c r="H898" s="18"/>
      <c r="K898" s="18" t="s">
        <v>316</v>
      </c>
    </row>
    <row r="899">
      <c r="A899" s="17"/>
      <c r="H899" s="18"/>
      <c r="K899" s="18" t="s">
        <v>316</v>
      </c>
    </row>
    <row r="900">
      <c r="A900" s="17"/>
      <c r="H900" s="18"/>
      <c r="K900" s="18" t="s">
        <v>316</v>
      </c>
    </row>
    <row r="901">
      <c r="A901" s="17"/>
      <c r="H901" s="18"/>
      <c r="K901" s="18" t="s">
        <v>316</v>
      </c>
    </row>
    <row r="902">
      <c r="A902" s="17"/>
      <c r="H902" s="18"/>
      <c r="K902" s="18" t="s">
        <v>316</v>
      </c>
    </row>
    <row r="903">
      <c r="A903" s="17"/>
      <c r="H903" s="18"/>
      <c r="K903" s="18" t="s">
        <v>316</v>
      </c>
    </row>
    <row r="904">
      <c r="A904" s="17"/>
      <c r="H904" s="18"/>
      <c r="K904" s="18" t="s">
        <v>316</v>
      </c>
    </row>
    <row r="905">
      <c r="A905" s="17"/>
      <c r="H905" s="18"/>
      <c r="K905" s="18" t="s">
        <v>316</v>
      </c>
    </row>
    <row r="906">
      <c r="A906" s="17"/>
      <c r="H906" s="18"/>
      <c r="K906" s="18" t="s">
        <v>316</v>
      </c>
    </row>
    <row r="907">
      <c r="A907" s="17"/>
      <c r="H907" s="18"/>
      <c r="K907" s="18" t="s">
        <v>316</v>
      </c>
    </row>
    <row r="908">
      <c r="A908" s="17"/>
      <c r="H908" s="18"/>
      <c r="K908" s="18" t="s">
        <v>316</v>
      </c>
    </row>
    <row r="909">
      <c r="A909" s="17"/>
      <c r="H909" s="18"/>
      <c r="K909" s="18" t="s">
        <v>316</v>
      </c>
    </row>
    <row r="910">
      <c r="A910" s="17"/>
      <c r="H910" s="18"/>
      <c r="K910" s="18" t="s">
        <v>316</v>
      </c>
    </row>
    <row r="911">
      <c r="A911" s="17"/>
      <c r="H911" s="18"/>
      <c r="K911" s="18" t="s">
        <v>316</v>
      </c>
    </row>
    <row r="912">
      <c r="A912" s="17"/>
      <c r="H912" s="18"/>
      <c r="K912" s="18" t="s">
        <v>316</v>
      </c>
    </row>
    <row r="913">
      <c r="A913" s="17"/>
      <c r="H913" s="18"/>
      <c r="K913" s="18" t="s">
        <v>316</v>
      </c>
    </row>
    <row r="914">
      <c r="A914" s="17"/>
      <c r="H914" s="18"/>
      <c r="K914" s="18" t="s">
        <v>316</v>
      </c>
    </row>
    <row r="915">
      <c r="A915" s="17"/>
      <c r="H915" s="18"/>
      <c r="K915" s="18" t="s">
        <v>316</v>
      </c>
    </row>
    <row r="916">
      <c r="A916" s="17"/>
      <c r="H916" s="18"/>
      <c r="K916" s="18" t="s">
        <v>316</v>
      </c>
    </row>
    <row r="917">
      <c r="A917" s="17"/>
      <c r="H917" s="18"/>
      <c r="K917" s="18" t="s">
        <v>316</v>
      </c>
    </row>
    <row r="918">
      <c r="A918" s="17"/>
      <c r="H918" s="18"/>
      <c r="K918" s="18" t="s">
        <v>316</v>
      </c>
    </row>
    <row r="919">
      <c r="A919" s="17"/>
      <c r="H919" s="18"/>
      <c r="K919" s="18" t="s">
        <v>316</v>
      </c>
    </row>
    <row r="920">
      <c r="A920" s="17"/>
      <c r="H920" s="18"/>
      <c r="K920" s="18" t="s">
        <v>316</v>
      </c>
    </row>
    <row r="921">
      <c r="A921" s="17"/>
      <c r="H921" s="18"/>
      <c r="K921" s="18" t="s">
        <v>316</v>
      </c>
    </row>
    <row r="922">
      <c r="A922" s="17"/>
      <c r="H922" s="18"/>
      <c r="K922" s="18" t="s">
        <v>316</v>
      </c>
    </row>
    <row r="923">
      <c r="A923" s="17"/>
      <c r="H923" s="18"/>
      <c r="K923" s="18" t="s">
        <v>316</v>
      </c>
    </row>
    <row r="924">
      <c r="A924" s="17"/>
      <c r="H924" s="18"/>
      <c r="K924" s="18" t="s">
        <v>316</v>
      </c>
    </row>
    <row r="925">
      <c r="A925" s="17"/>
      <c r="H925" s="18"/>
      <c r="K925" s="18" t="s">
        <v>316</v>
      </c>
    </row>
    <row r="926">
      <c r="A926" s="17"/>
      <c r="H926" s="18"/>
      <c r="K926" s="18" t="s">
        <v>316</v>
      </c>
    </row>
    <row r="927">
      <c r="A927" s="17"/>
      <c r="H927" s="18"/>
      <c r="K927" s="18" t="s">
        <v>316</v>
      </c>
    </row>
    <row r="928">
      <c r="A928" s="17"/>
      <c r="H928" s="18"/>
      <c r="K928" s="18" t="s">
        <v>316</v>
      </c>
    </row>
    <row r="929">
      <c r="A929" s="17"/>
      <c r="H929" s="18"/>
      <c r="K929" s="18" t="s">
        <v>316</v>
      </c>
    </row>
    <row r="930">
      <c r="A930" s="17"/>
      <c r="H930" s="18"/>
      <c r="K930" s="18" t="s">
        <v>316</v>
      </c>
    </row>
    <row r="931">
      <c r="A931" s="17"/>
      <c r="H931" s="18"/>
      <c r="K931" s="18" t="s">
        <v>316</v>
      </c>
    </row>
    <row r="932">
      <c r="A932" s="17"/>
      <c r="H932" s="18"/>
      <c r="K932" s="18" t="s">
        <v>316</v>
      </c>
    </row>
    <row r="933">
      <c r="A933" s="17"/>
      <c r="H933" s="18"/>
      <c r="K933" s="18" t="s">
        <v>316</v>
      </c>
    </row>
    <row r="934">
      <c r="A934" s="17"/>
      <c r="H934" s="18"/>
      <c r="K934" s="18" t="s">
        <v>316</v>
      </c>
    </row>
    <row r="935">
      <c r="A935" s="17"/>
      <c r="H935" s="18"/>
      <c r="K935" s="18" t="s">
        <v>316</v>
      </c>
    </row>
    <row r="936">
      <c r="A936" s="17"/>
      <c r="H936" s="18"/>
      <c r="K936" s="18" t="s">
        <v>316</v>
      </c>
    </row>
    <row r="937">
      <c r="A937" s="17"/>
      <c r="H937" s="18"/>
      <c r="K937" s="18" t="s">
        <v>316</v>
      </c>
    </row>
    <row r="938">
      <c r="A938" s="17"/>
      <c r="H938" s="18"/>
      <c r="K938" s="18" t="s">
        <v>316</v>
      </c>
    </row>
    <row r="939">
      <c r="A939" s="17"/>
      <c r="H939" s="18"/>
      <c r="K939" s="18" t="s">
        <v>316</v>
      </c>
    </row>
    <row r="940">
      <c r="A940" s="17"/>
      <c r="H940" s="18"/>
      <c r="K940" s="18" t="s">
        <v>316</v>
      </c>
    </row>
    <row r="941">
      <c r="A941" s="17"/>
      <c r="H941" s="18"/>
      <c r="K941" s="18" t="s">
        <v>316</v>
      </c>
    </row>
    <row r="942">
      <c r="A942" s="17"/>
      <c r="H942" s="18"/>
      <c r="K942" s="18" t="s">
        <v>316</v>
      </c>
    </row>
    <row r="943">
      <c r="A943" s="17"/>
      <c r="H943" s="18"/>
      <c r="K943" s="18" t="s">
        <v>316</v>
      </c>
    </row>
    <row r="944">
      <c r="A944" s="17"/>
      <c r="H944" s="18"/>
      <c r="K944" s="18" t="s">
        <v>316</v>
      </c>
    </row>
    <row r="945">
      <c r="A945" s="17"/>
      <c r="H945" s="18"/>
      <c r="K945" s="18" t="s">
        <v>316</v>
      </c>
    </row>
    <row r="946">
      <c r="A946" s="17"/>
      <c r="H946" s="18"/>
      <c r="K946" s="18" t="s">
        <v>316</v>
      </c>
    </row>
    <row r="947">
      <c r="A947" s="17"/>
      <c r="H947" s="18"/>
      <c r="K947" s="18" t="s">
        <v>316</v>
      </c>
    </row>
    <row r="948">
      <c r="A948" s="17"/>
      <c r="H948" s="18"/>
      <c r="K948" s="18" t="s">
        <v>316</v>
      </c>
    </row>
    <row r="949">
      <c r="A949" s="17"/>
      <c r="H949" s="18"/>
      <c r="K949" s="18" t="s">
        <v>316</v>
      </c>
    </row>
    <row r="950">
      <c r="A950" s="17"/>
      <c r="H950" s="18"/>
      <c r="K950" s="18" t="s">
        <v>316</v>
      </c>
    </row>
    <row r="951">
      <c r="A951" s="17"/>
      <c r="H951" s="18"/>
      <c r="K951" s="18" t="s">
        <v>316</v>
      </c>
    </row>
    <row r="952">
      <c r="A952" s="17"/>
      <c r="H952" s="18"/>
      <c r="K952" s="18" t="s">
        <v>316</v>
      </c>
    </row>
    <row r="953">
      <c r="A953" s="17"/>
      <c r="H953" s="18"/>
      <c r="K953" s="18" t="s">
        <v>316</v>
      </c>
    </row>
    <row r="954">
      <c r="A954" s="17"/>
      <c r="H954" s="18"/>
      <c r="K954" s="18" t="s">
        <v>316</v>
      </c>
    </row>
    <row r="955">
      <c r="A955" s="17"/>
      <c r="H955" s="18"/>
      <c r="K955" s="18" t="s">
        <v>316</v>
      </c>
    </row>
    <row r="956">
      <c r="A956" s="17"/>
      <c r="H956" s="18"/>
      <c r="K956" s="18" t="s">
        <v>316</v>
      </c>
    </row>
    <row r="957">
      <c r="A957" s="17"/>
      <c r="H957" s="18"/>
      <c r="K957" s="18" t="s">
        <v>316</v>
      </c>
    </row>
    <row r="958">
      <c r="A958" s="17"/>
      <c r="H958" s="18"/>
      <c r="K958" s="18" t="s">
        <v>316</v>
      </c>
    </row>
    <row r="959">
      <c r="A959" s="17"/>
      <c r="H959" s="18"/>
      <c r="K959" s="18" t="s">
        <v>316</v>
      </c>
    </row>
    <row r="960">
      <c r="A960" s="17"/>
      <c r="H960" s="18"/>
      <c r="K960" s="18" t="s">
        <v>316</v>
      </c>
    </row>
    <row r="961">
      <c r="A961" s="17"/>
      <c r="H961" s="18"/>
      <c r="K961" s="18" t="s">
        <v>316</v>
      </c>
    </row>
    <row r="962">
      <c r="A962" s="17"/>
      <c r="H962" s="18"/>
      <c r="K962" s="18" t="s">
        <v>316</v>
      </c>
    </row>
    <row r="963">
      <c r="A963" s="17"/>
      <c r="H963" s="18"/>
      <c r="K963" s="18" t="s">
        <v>316</v>
      </c>
    </row>
    <row r="964">
      <c r="A964" s="17"/>
      <c r="H964" s="18"/>
      <c r="K964" s="18" t="s">
        <v>316</v>
      </c>
    </row>
    <row r="965">
      <c r="A965" s="17"/>
      <c r="H965" s="18"/>
      <c r="K965" s="18" t="s">
        <v>316</v>
      </c>
    </row>
    <row r="966">
      <c r="A966" s="17"/>
      <c r="H966" s="18"/>
      <c r="K966" s="18" t="s">
        <v>316</v>
      </c>
    </row>
    <row r="967">
      <c r="A967" s="17"/>
      <c r="H967" s="18"/>
      <c r="K967" s="18" t="s">
        <v>316</v>
      </c>
    </row>
    <row r="968">
      <c r="A968" s="17"/>
      <c r="H968" s="18"/>
      <c r="K968" s="18" t="s">
        <v>316</v>
      </c>
    </row>
    <row r="969">
      <c r="A969" s="17"/>
      <c r="H969" s="18"/>
      <c r="K969" s="18" t="s">
        <v>316</v>
      </c>
    </row>
    <row r="970">
      <c r="A970" s="17"/>
      <c r="H970" s="18"/>
      <c r="K970" s="18" t="s">
        <v>316</v>
      </c>
    </row>
    <row r="971">
      <c r="A971" s="17"/>
      <c r="H971" s="18"/>
      <c r="K971" s="18" t="s">
        <v>316</v>
      </c>
    </row>
    <row r="972">
      <c r="A972" s="17"/>
      <c r="H972" s="18"/>
      <c r="K972" s="18" t="s">
        <v>316</v>
      </c>
    </row>
    <row r="973">
      <c r="A973" s="17"/>
      <c r="H973" s="18"/>
      <c r="K973" s="18" t="s">
        <v>316</v>
      </c>
    </row>
    <row r="974">
      <c r="A974" s="17"/>
      <c r="H974" s="18"/>
      <c r="K974" s="18" t="s">
        <v>316</v>
      </c>
    </row>
    <row r="975">
      <c r="A975" s="17"/>
      <c r="H975" s="18"/>
      <c r="K975" s="18" t="s">
        <v>316</v>
      </c>
    </row>
    <row r="976">
      <c r="A976" s="17"/>
      <c r="H976" s="18"/>
      <c r="K976" s="18" t="s">
        <v>316</v>
      </c>
    </row>
    <row r="977">
      <c r="A977" s="17"/>
      <c r="H977" s="18"/>
      <c r="K977" s="18" t="s">
        <v>316</v>
      </c>
    </row>
    <row r="978">
      <c r="A978" s="17"/>
      <c r="H978" s="18"/>
      <c r="K978" s="18" t="s">
        <v>316</v>
      </c>
    </row>
    <row r="979">
      <c r="A979" s="17"/>
      <c r="H979" s="18"/>
      <c r="K979" s="18" t="s">
        <v>316</v>
      </c>
    </row>
    <row r="980">
      <c r="A980" s="17"/>
      <c r="H980" s="18"/>
      <c r="K980" s="18" t="s">
        <v>316</v>
      </c>
    </row>
    <row r="981">
      <c r="A981" s="17"/>
      <c r="H981" s="18"/>
      <c r="K981" s="18" t="s">
        <v>316</v>
      </c>
    </row>
    <row r="982">
      <c r="A982" s="17"/>
      <c r="H982" s="18"/>
      <c r="K982" s="18" t="s">
        <v>316</v>
      </c>
    </row>
    <row r="983">
      <c r="A983" s="17"/>
      <c r="H983" s="18"/>
      <c r="K983" s="18" t="s">
        <v>316</v>
      </c>
    </row>
    <row r="984">
      <c r="A984" s="17"/>
      <c r="H984" s="18"/>
      <c r="K984" s="18" t="s">
        <v>316</v>
      </c>
    </row>
    <row r="985">
      <c r="A985" s="17"/>
      <c r="H985" s="18"/>
      <c r="K985" s="18" t="s">
        <v>316</v>
      </c>
    </row>
    <row r="986">
      <c r="A986" s="17"/>
      <c r="H986" s="18"/>
      <c r="K986" s="18" t="s">
        <v>316</v>
      </c>
    </row>
    <row r="987">
      <c r="A987" s="17"/>
      <c r="H987" s="18"/>
      <c r="K987" s="18" t="s">
        <v>316</v>
      </c>
    </row>
    <row r="988">
      <c r="A988" s="17"/>
      <c r="H988" s="18"/>
      <c r="K988" s="18" t="s">
        <v>316</v>
      </c>
    </row>
    <row r="989">
      <c r="A989" s="17"/>
      <c r="H989" s="18"/>
      <c r="K989" s="18" t="s">
        <v>316</v>
      </c>
    </row>
    <row r="990">
      <c r="A990" s="17"/>
      <c r="H990" s="18"/>
      <c r="K990" s="18" t="s">
        <v>316</v>
      </c>
    </row>
    <row r="991">
      <c r="A991" s="17"/>
      <c r="H991" s="18"/>
      <c r="K991" s="18" t="s">
        <v>316</v>
      </c>
    </row>
    <row r="992">
      <c r="A992" s="17"/>
      <c r="H992" s="18"/>
      <c r="K992" s="18" t="s">
        <v>316</v>
      </c>
    </row>
    <row r="993">
      <c r="A993" s="17"/>
      <c r="H993" s="18"/>
      <c r="K993" s="18" t="s">
        <v>316</v>
      </c>
    </row>
    <row r="994">
      <c r="A994" s="17"/>
      <c r="H994" s="18"/>
      <c r="K994" s="18" t="s">
        <v>316</v>
      </c>
    </row>
    <row r="995">
      <c r="A995" s="17"/>
      <c r="H995" s="18"/>
      <c r="K995" s="18" t="s">
        <v>316</v>
      </c>
    </row>
    <row r="996">
      <c r="A996" s="17"/>
      <c r="H996" s="18"/>
      <c r="K996" s="18" t="s">
        <v>316</v>
      </c>
    </row>
    <row r="997">
      <c r="A997" s="17"/>
      <c r="H997" s="18"/>
      <c r="K997" s="18" t="s">
        <v>316</v>
      </c>
    </row>
    <row r="998">
      <c r="A998" s="17"/>
      <c r="H998" s="18"/>
      <c r="K998" s="18" t="s">
        <v>316</v>
      </c>
    </row>
    <row r="999">
      <c r="A999" s="17"/>
      <c r="H999" s="18"/>
      <c r="K999" s="18" t="s">
        <v>316</v>
      </c>
    </row>
    <row r="1000">
      <c r="A1000" s="17"/>
      <c r="H1000" s="18"/>
      <c r="K1000" s="18" t="s">
        <v>316</v>
      </c>
    </row>
    <row r="1001">
      <c r="A1001" s="17"/>
      <c r="H1001" s="18"/>
      <c r="K1001" s="18" t="s">
        <v>316</v>
      </c>
    </row>
    <row r="1002">
      <c r="A1002" s="17"/>
      <c r="H1002" s="18"/>
      <c r="K1002" s="18" t="s">
        <v>316</v>
      </c>
    </row>
    <row r="1003">
      <c r="A1003" s="17"/>
      <c r="H1003" s="18"/>
      <c r="K1003" s="18" t="s">
        <v>316</v>
      </c>
    </row>
    <row r="1004">
      <c r="A1004" s="17"/>
      <c r="H1004" s="18"/>
      <c r="K1004" s="18" t="s">
        <v>316</v>
      </c>
    </row>
    <row r="1005">
      <c r="A1005" s="17"/>
      <c r="H1005" s="18"/>
      <c r="K1005" s="18" t="s">
        <v>316</v>
      </c>
    </row>
    <row r="1006">
      <c r="A1006" s="17"/>
      <c r="H1006" s="18"/>
      <c r="K1006" s="18" t="s">
        <v>316</v>
      </c>
    </row>
    <row r="1007">
      <c r="A1007" s="17"/>
      <c r="H1007" s="18"/>
      <c r="K1007" s="18" t="s">
        <v>316</v>
      </c>
    </row>
    <row r="1008">
      <c r="A1008" s="17"/>
      <c r="H1008" s="18"/>
      <c r="K1008" s="18" t="s">
        <v>316</v>
      </c>
    </row>
    <row r="1009">
      <c r="A1009" s="17"/>
      <c r="H1009" s="18"/>
      <c r="K1009" s="18" t="s">
        <v>316</v>
      </c>
    </row>
    <row r="1010">
      <c r="A1010" s="17"/>
      <c r="H1010" s="18"/>
      <c r="K1010" s="18" t="s">
        <v>316</v>
      </c>
    </row>
    <row r="1011">
      <c r="A1011" s="17"/>
      <c r="H1011" s="18"/>
      <c r="K1011" s="18" t="s">
        <v>316</v>
      </c>
    </row>
    <row r="1012">
      <c r="A1012" s="17"/>
      <c r="H1012" s="18"/>
      <c r="K1012" s="18" t="s">
        <v>316</v>
      </c>
    </row>
    <row r="1013">
      <c r="A1013" s="17"/>
      <c r="H1013" s="18"/>
      <c r="K1013" s="18" t="s">
        <v>316</v>
      </c>
    </row>
    <row r="1014">
      <c r="A1014" s="17"/>
      <c r="H1014" s="18"/>
      <c r="K1014" s="18" t="s">
        <v>316</v>
      </c>
    </row>
    <row r="1015">
      <c r="A1015" s="17"/>
      <c r="H1015" s="18"/>
      <c r="K1015" s="18" t="s">
        <v>316</v>
      </c>
    </row>
    <row r="1016">
      <c r="A1016" s="17"/>
      <c r="H1016" s="18"/>
      <c r="K1016" s="18" t="s">
        <v>316</v>
      </c>
    </row>
    <row r="1017">
      <c r="A1017" s="17"/>
      <c r="H1017" s="18"/>
      <c r="K1017" s="18" t="s">
        <v>316</v>
      </c>
    </row>
    <row r="1018">
      <c r="A1018" s="17"/>
      <c r="H1018" s="18"/>
      <c r="K1018" s="18" t="s">
        <v>316</v>
      </c>
    </row>
    <row r="1019">
      <c r="A1019" s="17"/>
      <c r="H1019" s="18"/>
      <c r="K1019" s="18" t="s">
        <v>316</v>
      </c>
    </row>
    <row r="1020">
      <c r="A1020" s="17"/>
      <c r="H1020" s="18"/>
      <c r="K1020" s="18" t="s">
        <v>316</v>
      </c>
    </row>
    <row r="1021">
      <c r="A1021" s="17"/>
      <c r="H1021" s="18"/>
      <c r="K1021" s="18" t="s">
        <v>316</v>
      </c>
    </row>
    <row r="1022">
      <c r="A1022" s="17"/>
      <c r="H1022" s="18"/>
      <c r="K1022" s="18" t="s">
        <v>316</v>
      </c>
    </row>
    <row r="1023">
      <c r="A1023" s="17"/>
      <c r="H1023" s="18"/>
      <c r="K1023" s="18" t="s">
        <v>316</v>
      </c>
    </row>
    <row r="1024">
      <c r="A1024" s="17"/>
      <c r="H1024" s="18"/>
      <c r="K1024" s="18" t="s">
        <v>316</v>
      </c>
    </row>
    <row r="1025">
      <c r="A1025" s="17"/>
      <c r="H1025" s="18"/>
      <c r="K1025" s="18" t="s">
        <v>316</v>
      </c>
    </row>
    <row r="1026">
      <c r="A1026" s="17"/>
      <c r="H1026" s="18"/>
      <c r="K1026" s="18" t="s">
        <v>316</v>
      </c>
    </row>
    <row r="1027">
      <c r="A1027" s="17"/>
      <c r="H1027" s="18"/>
      <c r="K1027" s="18" t="s">
        <v>316</v>
      </c>
    </row>
    <row r="1028">
      <c r="A1028" s="17"/>
      <c r="H1028" s="18"/>
      <c r="K1028" s="18" t="s">
        <v>316</v>
      </c>
    </row>
    <row r="1029">
      <c r="A1029" s="17"/>
      <c r="H1029" s="18"/>
      <c r="K1029" s="18" t="s">
        <v>316</v>
      </c>
    </row>
    <row r="1030">
      <c r="A1030" s="17"/>
      <c r="H1030" s="18"/>
      <c r="K1030" s="18" t="s">
        <v>316</v>
      </c>
    </row>
    <row r="1031">
      <c r="A1031" s="17"/>
      <c r="H1031" s="18"/>
      <c r="K1031" s="18" t="s">
        <v>316</v>
      </c>
    </row>
    <row r="1032">
      <c r="A1032" s="17"/>
      <c r="H1032" s="18"/>
      <c r="K1032" s="18" t="s">
        <v>316</v>
      </c>
    </row>
    <row r="1033">
      <c r="A1033" s="17"/>
      <c r="H1033" s="18"/>
      <c r="K1033" s="18" t="s">
        <v>316</v>
      </c>
    </row>
    <row r="1034">
      <c r="A1034" s="17"/>
      <c r="H1034" s="18"/>
      <c r="K1034" s="18" t="s">
        <v>316</v>
      </c>
    </row>
    <row r="1035">
      <c r="A1035" s="17"/>
      <c r="H1035" s="18"/>
      <c r="K1035" s="18" t="s">
        <v>316</v>
      </c>
    </row>
    <row r="1036">
      <c r="A1036" s="17"/>
      <c r="H1036" s="18"/>
      <c r="K1036" s="18" t="s">
        <v>316</v>
      </c>
    </row>
    <row r="1037">
      <c r="A1037" s="17"/>
      <c r="H1037" s="18"/>
      <c r="K1037" s="18" t="s">
        <v>316</v>
      </c>
    </row>
    <row r="1038">
      <c r="A1038" s="17"/>
      <c r="H1038" s="18"/>
      <c r="K1038" s="18" t="s">
        <v>316</v>
      </c>
    </row>
    <row r="1039">
      <c r="A1039" s="17"/>
      <c r="H1039" s="18"/>
      <c r="K1039" s="18" t="s">
        <v>316</v>
      </c>
    </row>
    <row r="1040">
      <c r="A1040" s="17"/>
      <c r="H1040" s="18"/>
      <c r="K1040" s="18" t="s">
        <v>316</v>
      </c>
    </row>
    <row r="1041">
      <c r="A1041" s="17"/>
      <c r="H1041" s="18"/>
      <c r="K1041" s="18" t="s">
        <v>316</v>
      </c>
    </row>
    <row r="1042">
      <c r="A1042" s="17"/>
      <c r="H1042" s="18"/>
      <c r="K1042" s="18" t="s">
        <v>316</v>
      </c>
    </row>
    <row r="1043">
      <c r="A1043" s="17"/>
      <c r="H1043" s="18"/>
      <c r="K1043" s="18" t="s">
        <v>316</v>
      </c>
    </row>
    <row r="1044">
      <c r="A1044" s="17"/>
      <c r="H1044" s="18"/>
      <c r="K1044" s="18" t="s">
        <v>316</v>
      </c>
    </row>
    <row r="1045">
      <c r="A1045" s="17"/>
      <c r="H1045" s="18"/>
      <c r="K1045" s="18" t="s">
        <v>316</v>
      </c>
    </row>
    <row r="1046">
      <c r="A1046" s="17"/>
      <c r="H1046" s="18"/>
      <c r="K1046" s="18" t="s">
        <v>316</v>
      </c>
    </row>
    <row r="1047">
      <c r="A1047" s="17"/>
      <c r="H1047" s="18"/>
      <c r="K1047" s="18" t="s">
        <v>316</v>
      </c>
    </row>
    <row r="1048">
      <c r="A1048" s="17"/>
      <c r="H1048" s="18"/>
      <c r="K1048" s="18" t="s">
        <v>316</v>
      </c>
    </row>
    <row r="1049">
      <c r="A1049" s="17"/>
      <c r="H1049" s="18"/>
      <c r="K1049" s="18" t="s">
        <v>316</v>
      </c>
    </row>
    <row r="1050">
      <c r="A1050" s="17"/>
      <c r="H1050" s="18"/>
      <c r="K1050" s="18" t="s">
        <v>316</v>
      </c>
    </row>
    <row r="1051">
      <c r="A1051" s="17"/>
      <c r="H1051" s="18"/>
      <c r="K1051" s="18" t="s">
        <v>316</v>
      </c>
    </row>
    <row r="1052">
      <c r="A1052" s="17"/>
      <c r="H1052" s="18"/>
      <c r="K1052" s="18" t="s">
        <v>316</v>
      </c>
    </row>
    <row r="1053">
      <c r="A1053" s="17"/>
      <c r="H1053" s="18"/>
      <c r="K1053" s="18" t="s">
        <v>316</v>
      </c>
    </row>
    <row r="1054">
      <c r="A1054" s="17"/>
      <c r="H1054" s="18"/>
      <c r="K1054" s="18" t="s">
        <v>316</v>
      </c>
    </row>
    <row r="1055">
      <c r="A1055" s="17"/>
      <c r="H1055" s="18"/>
      <c r="K1055" s="18" t="s">
        <v>316</v>
      </c>
    </row>
    <row r="1056">
      <c r="A1056" s="17"/>
      <c r="H1056" s="18"/>
      <c r="K1056" s="18" t="s">
        <v>316</v>
      </c>
    </row>
    <row r="1057">
      <c r="A1057" s="17"/>
      <c r="H1057" s="18"/>
      <c r="K1057" s="18" t="s">
        <v>316</v>
      </c>
    </row>
    <row r="1058">
      <c r="A1058" s="17"/>
      <c r="H1058" s="18"/>
      <c r="K1058" s="18" t="s">
        <v>316</v>
      </c>
    </row>
    <row r="1059">
      <c r="A1059" s="17"/>
      <c r="H1059" s="18"/>
      <c r="K1059" s="18" t="s">
        <v>316</v>
      </c>
    </row>
    <row r="1060">
      <c r="A1060" s="17"/>
      <c r="H1060" s="18"/>
      <c r="K1060" s="18" t="s">
        <v>316</v>
      </c>
    </row>
    <row r="1061">
      <c r="A1061" s="17"/>
      <c r="H1061" s="18"/>
      <c r="K1061" s="18" t="s">
        <v>316</v>
      </c>
    </row>
    <row r="1062">
      <c r="A1062" s="17"/>
      <c r="H1062" s="18"/>
      <c r="K1062" s="18" t="s">
        <v>316</v>
      </c>
    </row>
    <row r="1063">
      <c r="A1063" s="17"/>
      <c r="H1063" s="18"/>
      <c r="K1063" s="18" t="s">
        <v>316</v>
      </c>
    </row>
    <row r="1064">
      <c r="A1064" s="17"/>
      <c r="H1064" s="18"/>
      <c r="K1064" s="18" t="s">
        <v>316</v>
      </c>
    </row>
    <row r="1065">
      <c r="A1065" s="17"/>
      <c r="H1065" s="18"/>
      <c r="K1065" s="18" t="s">
        <v>316</v>
      </c>
    </row>
    <row r="1066">
      <c r="A1066" s="17"/>
      <c r="H1066" s="18"/>
      <c r="K1066" s="18" t="s">
        <v>316</v>
      </c>
    </row>
    <row r="1067">
      <c r="A1067" s="17"/>
      <c r="H1067" s="18"/>
      <c r="K1067" s="18" t="s">
        <v>316</v>
      </c>
    </row>
    <row r="1068">
      <c r="A1068" s="17"/>
      <c r="H1068" s="18"/>
      <c r="K1068" s="18" t="s">
        <v>316</v>
      </c>
    </row>
    <row r="1069">
      <c r="A1069" s="17"/>
      <c r="H1069" s="18"/>
      <c r="K1069" s="18" t="s">
        <v>316</v>
      </c>
    </row>
    <row r="1070">
      <c r="A1070" s="17"/>
      <c r="H1070" s="18"/>
      <c r="K1070" s="18" t="s">
        <v>316</v>
      </c>
    </row>
    <row r="1071">
      <c r="A1071" s="17"/>
      <c r="H1071" s="18"/>
      <c r="K1071" s="18" t="s">
        <v>316</v>
      </c>
    </row>
    <row r="1072">
      <c r="A1072" s="17"/>
      <c r="H1072" s="18"/>
      <c r="K1072" s="18" t="s">
        <v>316</v>
      </c>
    </row>
    <row r="1073">
      <c r="A1073" s="17"/>
      <c r="H1073" s="18"/>
      <c r="K1073" s="18" t="s">
        <v>316</v>
      </c>
    </row>
    <row r="1074">
      <c r="A1074" s="17"/>
      <c r="H1074" s="18"/>
      <c r="K1074" s="18" t="s">
        <v>316</v>
      </c>
    </row>
    <row r="1075">
      <c r="A1075" s="17"/>
      <c r="H1075" s="18"/>
      <c r="K1075" s="18" t="s">
        <v>316</v>
      </c>
    </row>
    <row r="1076">
      <c r="A1076" s="17"/>
      <c r="H1076" s="18"/>
      <c r="K1076" s="18" t="s">
        <v>316</v>
      </c>
    </row>
    <row r="1077">
      <c r="A1077" s="17"/>
      <c r="H1077" s="18"/>
      <c r="K1077" s="18" t="s">
        <v>316</v>
      </c>
    </row>
    <row r="1078">
      <c r="A1078" s="17"/>
      <c r="H1078" s="18"/>
      <c r="K1078" s="18" t="s">
        <v>316</v>
      </c>
    </row>
    <row r="1079">
      <c r="A1079" s="17"/>
      <c r="H1079" s="18"/>
      <c r="K1079" s="18" t="s">
        <v>316</v>
      </c>
    </row>
    <row r="1080">
      <c r="A1080" s="17"/>
      <c r="H1080" s="18"/>
      <c r="K1080" s="18" t="s">
        <v>316</v>
      </c>
    </row>
    <row r="1081">
      <c r="A1081" s="17"/>
      <c r="H1081" s="18"/>
      <c r="K1081" s="18" t="s">
        <v>316</v>
      </c>
    </row>
    <row r="1082">
      <c r="A1082" s="17"/>
      <c r="H1082" s="18"/>
      <c r="K1082" s="18" t="s">
        <v>316</v>
      </c>
    </row>
    <row r="1083">
      <c r="A1083" s="17"/>
      <c r="H1083" s="18"/>
      <c r="K1083" s="18" t="s">
        <v>316</v>
      </c>
    </row>
    <row r="1084">
      <c r="A1084" s="17"/>
      <c r="H1084" s="18"/>
      <c r="K1084" s="18" t="s">
        <v>316</v>
      </c>
    </row>
    <row r="1085">
      <c r="A1085" s="17"/>
      <c r="H1085" s="18"/>
      <c r="K1085" s="18" t="s">
        <v>316</v>
      </c>
    </row>
    <row r="1086">
      <c r="A1086" s="17"/>
      <c r="H1086" s="18"/>
      <c r="K1086" s="18" t="s">
        <v>316</v>
      </c>
    </row>
    <row r="1087">
      <c r="A1087" s="17"/>
      <c r="H1087" s="18"/>
      <c r="K1087" s="18" t="s">
        <v>316</v>
      </c>
    </row>
    <row r="1088">
      <c r="A1088" s="17"/>
      <c r="H1088" s="18"/>
      <c r="K1088" s="18" t="s">
        <v>316</v>
      </c>
    </row>
    <row r="1089">
      <c r="A1089" s="17"/>
      <c r="H1089" s="18"/>
      <c r="K1089" s="18" t="s">
        <v>316</v>
      </c>
    </row>
    <row r="1090">
      <c r="A1090" s="17"/>
      <c r="H1090" s="18"/>
      <c r="K1090" s="18" t="s">
        <v>316</v>
      </c>
    </row>
    <row r="1091">
      <c r="A1091" s="17"/>
      <c r="H1091" s="18"/>
      <c r="K1091" s="18" t="s">
        <v>316</v>
      </c>
    </row>
    <row r="1092">
      <c r="A1092" s="17"/>
      <c r="H1092" s="18"/>
      <c r="K1092" s="18" t="s">
        <v>316</v>
      </c>
    </row>
    <row r="1093">
      <c r="A1093" s="17"/>
      <c r="H1093" s="18"/>
      <c r="K1093" s="18" t="s">
        <v>316</v>
      </c>
    </row>
    <row r="1094">
      <c r="A1094" s="17"/>
      <c r="H1094" s="18"/>
      <c r="K1094" s="18" t="s">
        <v>316</v>
      </c>
    </row>
    <row r="1095">
      <c r="A1095" s="17"/>
      <c r="H1095" s="18"/>
      <c r="K1095" s="18" t="s">
        <v>316</v>
      </c>
    </row>
    <row r="1096">
      <c r="A1096" s="17"/>
      <c r="H1096" s="18"/>
      <c r="K1096" s="18" t="s">
        <v>316</v>
      </c>
    </row>
    <row r="1097">
      <c r="A1097" s="17"/>
      <c r="H1097" s="18"/>
      <c r="K1097" s="18" t="s">
        <v>316</v>
      </c>
    </row>
    <row r="1098">
      <c r="A1098" s="17"/>
      <c r="H1098" s="18"/>
      <c r="K1098" s="18" t="s">
        <v>316</v>
      </c>
    </row>
    <row r="1099">
      <c r="A1099" s="17"/>
      <c r="H1099" s="18"/>
      <c r="K1099" s="18" t="s">
        <v>316</v>
      </c>
    </row>
    <row r="1100">
      <c r="A1100" s="17"/>
      <c r="H1100" s="18"/>
      <c r="K1100" s="18" t="s">
        <v>316</v>
      </c>
    </row>
    <row r="1101">
      <c r="A1101" s="17"/>
      <c r="H1101" s="18"/>
      <c r="K1101" s="18" t="s">
        <v>316</v>
      </c>
    </row>
    <row r="1102">
      <c r="A1102" s="17"/>
      <c r="H1102" s="18"/>
      <c r="K1102" s="18" t="s">
        <v>316</v>
      </c>
    </row>
    <row r="1103">
      <c r="A1103" s="17"/>
      <c r="H1103" s="18"/>
      <c r="K1103" s="18" t="s">
        <v>316</v>
      </c>
    </row>
    <row r="1104">
      <c r="A1104" s="17"/>
      <c r="H1104" s="18"/>
      <c r="K1104" s="18" t="s">
        <v>316</v>
      </c>
    </row>
    <row r="1105">
      <c r="A1105" s="17"/>
      <c r="H1105" s="18"/>
      <c r="K1105" s="18" t="s">
        <v>316</v>
      </c>
    </row>
    <row r="1106">
      <c r="A1106" s="17"/>
      <c r="H1106" s="18"/>
      <c r="K1106" s="18" t="s">
        <v>316</v>
      </c>
    </row>
    <row r="1107">
      <c r="A1107" s="17"/>
      <c r="H1107" s="18"/>
      <c r="K1107" s="18" t="s">
        <v>316</v>
      </c>
    </row>
    <row r="1108">
      <c r="A1108" s="17"/>
      <c r="H1108" s="18"/>
      <c r="K1108" s="18" t="s">
        <v>316</v>
      </c>
    </row>
    <row r="1109">
      <c r="A1109" s="17"/>
      <c r="H1109" s="18"/>
      <c r="K1109" s="18" t="s">
        <v>316</v>
      </c>
    </row>
    <row r="1110">
      <c r="A1110" s="17"/>
      <c r="H1110" s="18"/>
      <c r="K1110" s="18" t="s">
        <v>316</v>
      </c>
    </row>
    <row r="1111">
      <c r="A1111" s="17"/>
      <c r="H1111" s="18"/>
      <c r="K1111" s="18" t="s">
        <v>316</v>
      </c>
    </row>
    <row r="1112">
      <c r="A1112" s="17"/>
      <c r="H1112" s="18"/>
      <c r="K1112" s="18" t="s">
        <v>316</v>
      </c>
    </row>
    <row r="1113">
      <c r="A1113" s="17"/>
      <c r="H1113" s="18"/>
      <c r="K1113" s="18" t="s">
        <v>316</v>
      </c>
    </row>
    <row r="1114">
      <c r="A1114" s="17"/>
      <c r="H1114" s="18"/>
      <c r="K1114" s="18" t="s">
        <v>316</v>
      </c>
    </row>
    <row r="1115">
      <c r="A1115" s="17"/>
      <c r="H1115" s="18"/>
      <c r="K1115" s="18" t="s">
        <v>316</v>
      </c>
    </row>
    <row r="1116">
      <c r="A1116" s="17"/>
      <c r="H1116" s="18"/>
      <c r="K1116" s="18" t="s">
        <v>316</v>
      </c>
    </row>
    <row r="1117">
      <c r="A1117" s="17"/>
      <c r="H1117" s="18"/>
      <c r="K1117" s="18" t="s">
        <v>316</v>
      </c>
    </row>
    <row r="1118">
      <c r="A1118" s="17"/>
      <c r="H1118" s="18"/>
      <c r="K1118" s="18" t="s">
        <v>316</v>
      </c>
    </row>
    <row r="1119">
      <c r="A1119" s="17"/>
      <c r="H1119" s="18"/>
      <c r="K1119" s="18" t="s">
        <v>316</v>
      </c>
    </row>
    <row r="1120">
      <c r="A1120" s="17"/>
      <c r="H1120" s="18"/>
      <c r="K1120" s="18" t="s">
        <v>316</v>
      </c>
    </row>
    <row r="1121">
      <c r="A1121" s="17"/>
      <c r="H1121" s="18"/>
      <c r="K1121" s="18" t="s">
        <v>316</v>
      </c>
    </row>
    <row r="1122">
      <c r="A1122" s="17"/>
      <c r="H1122" s="18"/>
      <c r="K1122" s="18" t="s">
        <v>316</v>
      </c>
    </row>
    <row r="1123">
      <c r="A1123" s="17"/>
      <c r="H1123" s="18"/>
      <c r="K1123" s="18" t="s">
        <v>316</v>
      </c>
    </row>
    <row r="1124">
      <c r="A1124" s="17"/>
      <c r="H1124" s="18"/>
      <c r="K1124" s="18" t="s">
        <v>316</v>
      </c>
    </row>
    <row r="1125">
      <c r="A1125" s="17"/>
      <c r="H1125" s="18"/>
      <c r="K1125" s="18" t="s">
        <v>316</v>
      </c>
    </row>
    <row r="1126">
      <c r="A1126" s="17"/>
      <c r="H1126" s="18"/>
      <c r="K1126" s="18" t="s">
        <v>316</v>
      </c>
    </row>
    <row r="1127">
      <c r="A1127" s="17"/>
      <c r="H1127" s="18"/>
      <c r="K1127" s="18" t="s">
        <v>316</v>
      </c>
    </row>
    <row r="1128">
      <c r="A1128" s="17"/>
      <c r="H1128" s="18"/>
      <c r="K1128" s="18" t="s">
        <v>316</v>
      </c>
    </row>
    <row r="1129">
      <c r="A1129" s="17"/>
      <c r="H1129" s="18"/>
      <c r="K1129" s="18" t="s">
        <v>316</v>
      </c>
    </row>
    <row r="1130">
      <c r="A1130" s="17"/>
      <c r="H1130" s="18"/>
      <c r="K1130" s="18" t="s">
        <v>316</v>
      </c>
    </row>
    <row r="1131">
      <c r="A1131" s="17"/>
      <c r="H1131" s="18"/>
      <c r="K1131" s="18" t="s">
        <v>316</v>
      </c>
    </row>
    <row r="1132">
      <c r="A1132" s="17"/>
      <c r="H1132" s="18"/>
      <c r="K1132" s="18" t="s">
        <v>316</v>
      </c>
    </row>
    <row r="1133">
      <c r="A1133" s="17"/>
      <c r="H1133" s="18"/>
      <c r="K1133" s="18" t="s">
        <v>316</v>
      </c>
    </row>
    <row r="1134">
      <c r="A1134" s="17"/>
      <c r="H1134" s="18"/>
      <c r="K1134" s="18" t="s">
        <v>316</v>
      </c>
    </row>
    <row r="1135">
      <c r="A1135" s="17"/>
      <c r="H1135" s="18"/>
      <c r="K1135" s="18" t="s">
        <v>316</v>
      </c>
    </row>
    <row r="1136">
      <c r="A1136" s="17"/>
      <c r="H1136" s="18"/>
      <c r="K1136" s="18" t="s">
        <v>316</v>
      </c>
    </row>
    <row r="1137">
      <c r="A1137" s="17"/>
      <c r="H1137" s="18"/>
      <c r="K1137" s="18" t="s">
        <v>316</v>
      </c>
    </row>
    <row r="1138">
      <c r="A1138" s="17"/>
      <c r="H1138" s="18"/>
      <c r="K1138" s="18" t="s">
        <v>316</v>
      </c>
    </row>
    <row r="1139">
      <c r="A1139" s="17"/>
      <c r="H1139" s="18"/>
      <c r="K1139" s="18" t="s">
        <v>316</v>
      </c>
    </row>
    <row r="1140">
      <c r="A1140" s="17"/>
      <c r="H1140" s="18"/>
      <c r="K1140" s="18" t="s">
        <v>316</v>
      </c>
    </row>
    <row r="1141">
      <c r="A1141" s="17"/>
      <c r="H1141" s="18"/>
      <c r="K1141" s="18" t="s">
        <v>316</v>
      </c>
    </row>
    <row r="1142">
      <c r="A1142" s="17"/>
      <c r="H1142" s="18"/>
      <c r="K1142" s="18" t="s">
        <v>316</v>
      </c>
    </row>
    <row r="1143">
      <c r="A1143" s="17"/>
      <c r="H1143" s="18"/>
      <c r="K1143" s="18" t="s">
        <v>316</v>
      </c>
    </row>
    <row r="1144">
      <c r="A1144" s="17"/>
      <c r="H1144" s="18"/>
      <c r="K1144" s="18" t="s">
        <v>316</v>
      </c>
    </row>
    <row r="1145">
      <c r="A1145" s="17"/>
      <c r="H1145" s="18"/>
      <c r="K1145" s="18" t="s">
        <v>316</v>
      </c>
    </row>
    <row r="1146">
      <c r="A1146" s="17"/>
      <c r="H1146" s="18"/>
      <c r="K1146" s="18" t="s">
        <v>316</v>
      </c>
    </row>
    <row r="1147">
      <c r="A1147" s="17"/>
      <c r="H1147" s="18"/>
      <c r="K1147" s="18" t="s">
        <v>316</v>
      </c>
    </row>
    <row r="1148">
      <c r="A1148" s="17"/>
      <c r="H1148" s="18"/>
      <c r="K1148" s="18" t="s">
        <v>316</v>
      </c>
    </row>
    <row r="1149">
      <c r="A1149" s="17"/>
      <c r="H1149" s="18"/>
      <c r="K1149" s="18" t="s">
        <v>316</v>
      </c>
    </row>
    <row r="1150">
      <c r="A1150" s="17"/>
      <c r="H1150" s="18"/>
      <c r="K1150" s="18" t="s">
        <v>316</v>
      </c>
    </row>
    <row r="1151">
      <c r="A1151" s="17"/>
      <c r="H1151" s="18"/>
      <c r="K1151" s="18" t="s">
        <v>316</v>
      </c>
    </row>
    <row r="1152">
      <c r="A1152" s="17"/>
      <c r="H1152" s="18"/>
      <c r="K1152" s="18" t="s">
        <v>316</v>
      </c>
    </row>
    <row r="1153">
      <c r="A1153" s="17"/>
      <c r="H1153" s="18"/>
      <c r="K1153" s="18" t="s">
        <v>316</v>
      </c>
    </row>
    <row r="1154">
      <c r="A1154" s="17"/>
      <c r="H1154" s="18"/>
      <c r="K1154" s="18" t="s">
        <v>316</v>
      </c>
    </row>
    <row r="1155">
      <c r="A1155" s="17"/>
      <c r="H1155" s="18"/>
      <c r="K1155" s="18" t="s">
        <v>316</v>
      </c>
    </row>
    <row r="1156">
      <c r="A1156" s="17"/>
      <c r="H1156" s="18"/>
      <c r="K1156" s="18" t="s">
        <v>316</v>
      </c>
    </row>
    <row r="1157">
      <c r="A1157" s="17"/>
      <c r="H1157" s="18"/>
      <c r="K1157" s="18" t="s">
        <v>316</v>
      </c>
    </row>
    <row r="1158">
      <c r="A1158" s="17"/>
      <c r="H1158" s="18"/>
      <c r="K1158" s="18" t="s">
        <v>316</v>
      </c>
    </row>
    <row r="1159">
      <c r="A1159" s="17"/>
      <c r="H1159" s="18"/>
      <c r="K1159" s="18" t="s">
        <v>316</v>
      </c>
    </row>
    <row r="1160">
      <c r="A1160" s="17"/>
      <c r="H1160" s="18"/>
      <c r="K1160" s="18" t="s">
        <v>316</v>
      </c>
    </row>
    <row r="1161">
      <c r="A1161" s="17"/>
      <c r="H1161" s="18"/>
      <c r="K1161" s="18" t="s">
        <v>316</v>
      </c>
    </row>
    <row r="1162">
      <c r="A1162" s="17"/>
      <c r="H1162" s="18"/>
      <c r="K1162" s="18" t="s">
        <v>316</v>
      </c>
    </row>
    <row r="1163">
      <c r="A1163" s="17"/>
      <c r="H1163" s="18"/>
      <c r="K1163" s="18" t="s">
        <v>316</v>
      </c>
    </row>
    <row r="1164">
      <c r="A1164" s="17"/>
      <c r="H1164" s="18"/>
      <c r="K1164" s="18" t="s">
        <v>316</v>
      </c>
    </row>
    <row r="1165">
      <c r="A1165" s="17"/>
      <c r="H1165" s="18"/>
      <c r="K1165" s="18" t="s">
        <v>316</v>
      </c>
    </row>
    <row r="1166">
      <c r="A1166" s="17"/>
      <c r="H1166" s="18"/>
      <c r="K1166" s="18" t="s">
        <v>316</v>
      </c>
    </row>
    <row r="1167">
      <c r="A1167" s="17"/>
      <c r="H1167" s="18"/>
      <c r="K1167" s="18" t="s">
        <v>316</v>
      </c>
    </row>
    <row r="1168">
      <c r="A1168" s="17"/>
      <c r="H1168" s="18"/>
      <c r="K1168" s="18" t="s">
        <v>316</v>
      </c>
    </row>
    <row r="1169">
      <c r="A1169" s="17"/>
      <c r="H1169" s="18"/>
      <c r="K1169" s="18" t="s">
        <v>316</v>
      </c>
    </row>
    <row r="1170">
      <c r="A1170" s="17"/>
      <c r="H1170" s="18"/>
      <c r="K1170" s="18" t="s">
        <v>316</v>
      </c>
    </row>
    <row r="1171">
      <c r="A1171" s="17"/>
      <c r="H1171" s="18"/>
      <c r="K1171" s="18" t="s">
        <v>316</v>
      </c>
    </row>
    <row r="1172">
      <c r="A1172" s="17"/>
      <c r="H1172" s="18"/>
      <c r="K1172" s="18" t="s">
        <v>316</v>
      </c>
    </row>
    <row r="1173">
      <c r="A1173" s="17"/>
      <c r="H1173" s="18"/>
      <c r="K1173" s="18" t="s">
        <v>316</v>
      </c>
    </row>
    <row r="1174">
      <c r="A1174" s="17"/>
      <c r="H1174" s="18"/>
      <c r="K1174" s="18" t="s">
        <v>316</v>
      </c>
    </row>
    <row r="1175">
      <c r="A1175" s="17"/>
      <c r="H1175" s="18"/>
      <c r="K1175" s="18" t="s">
        <v>316</v>
      </c>
    </row>
    <row r="1176">
      <c r="A1176" s="17"/>
      <c r="H1176" s="18"/>
      <c r="K1176" s="18" t="s">
        <v>316</v>
      </c>
    </row>
    <row r="1177">
      <c r="A1177" s="17"/>
      <c r="H1177" s="18"/>
      <c r="K1177" s="18" t="s">
        <v>316</v>
      </c>
    </row>
    <row r="1178">
      <c r="A1178" s="17"/>
      <c r="H1178" s="18"/>
      <c r="K1178" s="18" t="s">
        <v>316</v>
      </c>
    </row>
    <row r="1179">
      <c r="A1179" s="17"/>
      <c r="H1179" s="18"/>
      <c r="K1179" s="18" t="s">
        <v>316</v>
      </c>
    </row>
    <row r="1180">
      <c r="A1180" s="17"/>
      <c r="H1180" s="18"/>
      <c r="K1180" s="18" t="s">
        <v>316</v>
      </c>
    </row>
    <row r="1181">
      <c r="A1181" s="17"/>
      <c r="H1181" s="18"/>
      <c r="K1181" s="18" t="s">
        <v>316</v>
      </c>
    </row>
    <row r="1182">
      <c r="A1182" s="17"/>
      <c r="H1182" s="18"/>
      <c r="K1182" s="18" t="s">
        <v>316</v>
      </c>
    </row>
    <row r="1183">
      <c r="A1183" s="17"/>
      <c r="H1183" s="18"/>
      <c r="K1183" s="18" t="s">
        <v>316</v>
      </c>
    </row>
    <row r="1184">
      <c r="A1184" s="17"/>
      <c r="H1184" s="18"/>
      <c r="K1184" s="18" t="s">
        <v>316</v>
      </c>
    </row>
    <row r="1185">
      <c r="A1185" s="17"/>
      <c r="H1185" s="18"/>
      <c r="K1185" s="18" t="s">
        <v>316</v>
      </c>
    </row>
    <row r="1186">
      <c r="A1186" s="17"/>
      <c r="H1186" s="18"/>
      <c r="K1186" s="18" t="s">
        <v>316</v>
      </c>
    </row>
    <row r="1187">
      <c r="A1187" s="17"/>
      <c r="H1187" s="18"/>
      <c r="K1187" s="18" t="s">
        <v>316</v>
      </c>
    </row>
    <row r="1188">
      <c r="A1188" s="17"/>
      <c r="H1188" s="18"/>
      <c r="K1188" s="18" t="s">
        <v>316</v>
      </c>
    </row>
    <row r="1189">
      <c r="A1189" s="17"/>
      <c r="H1189" s="18"/>
      <c r="K1189" s="18" t="s">
        <v>316</v>
      </c>
    </row>
    <row r="1190">
      <c r="A1190" s="17"/>
      <c r="H1190" s="18"/>
      <c r="K1190" s="18" t="s">
        <v>316</v>
      </c>
    </row>
    <row r="1191">
      <c r="A1191" s="17"/>
      <c r="H1191" s="18"/>
      <c r="K1191" s="18" t="s">
        <v>316</v>
      </c>
    </row>
    <row r="1192">
      <c r="A1192" s="17"/>
      <c r="H1192" s="18"/>
      <c r="K1192" s="18" t="s">
        <v>316</v>
      </c>
    </row>
    <row r="1193">
      <c r="A1193" s="17"/>
      <c r="H1193" s="18"/>
      <c r="K1193" s="18" t="s">
        <v>316</v>
      </c>
    </row>
    <row r="1194">
      <c r="A1194" s="17"/>
      <c r="H1194" s="18"/>
      <c r="K1194" s="18" t="s">
        <v>316</v>
      </c>
    </row>
    <row r="1195">
      <c r="A1195" s="17"/>
      <c r="H1195" s="18"/>
      <c r="K1195" s="18" t="s">
        <v>316</v>
      </c>
    </row>
    <row r="1196">
      <c r="A1196" s="17"/>
      <c r="H1196" s="18"/>
      <c r="K1196" s="18" t="s">
        <v>316</v>
      </c>
    </row>
    <row r="1197">
      <c r="A1197" s="17"/>
      <c r="H1197" s="18"/>
      <c r="K1197" s="18" t="s">
        <v>316</v>
      </c>
    </row>
    <row r="1198">
      <c r="A1198" s="17"/>
      <c r="H1198" s="18"/>
      <c r="K1198" s="18" t="s">
        <v>316</v>
      </c>
    </row>
    <row r="1199">
      <c r="A1199" s="17"/>
      <c r="H1199" s="18"/>
      <c r="K1199" s="18" t="s">
        <v>316</v>
      </c>
    </row>
    <row r="1200">
      <c r="A1200" s="17"/>
      <c r="H1200" s="18"/>
      <c r="K1200" s="18" t="s">
        <v>316</v>
      </c>
    </row>
    <row r="1201">
      <c r="A1201" s="17"/>
      <c r="H1201" s="18"/>
      <c r="K1201" s="18" t="s">
        <v>316</v>
      </c>
    </row>
    <row r="1202">
      <c r="A1202" s="17"/>
      <c r="H1202" s="18"/>
      <c r="K1202" s="18" t="s">
        <v>316</v>
      </c>
    </row>
    <row r="1203">
      <c r="A1203" s="17"/>
      <c r="H1203" s="18"/>
      <c r="K1203" s="18" t="s">
        <v>316</v>
      </c>
    </row>
    <row r="1204">
      <c r="A1204" s="17"/>
      <c r="H1204" s="18"/>
      <c r="K1204" s="18" t="s">
        <v>316</v>
      </c>
    </row>
    <row r="1205">
      <c r="A1205" s="17"/>
      <c r="H1205" s="18"/>
      <c r="K1205" s="18" t="s">
        <v>316</v>
      </c>
    </row>
    <row r="1206">
      <c r="A1206" s="17"/>
      <c r="H1206" s="18"/>
      <c r="K1206" s="18" t="s">
        <v>316</v>
      </c>
    </row>
    <row r="1207">
      <c r="A1207" s="17"/>
      <c r="H1207" s="18"/>
      <c r="K1207" s="18" t="s">
        <v>316</v>
      </c>
    </row>
    <row r="1208">
      <c r="A1208" s="17"/>
      <c r="H1208" s="18"/>
      <c r="K1208" s="18" t="s">
        <v>316</v>
      </c>
    </row>
    <row r="1209">
      <c r="A1209" s="17"/>
      <c r="H1209" s="18"/>
      <c r="K1209" s="18" t="s">
        <v>316</v>
      </c>
    </row>
    <row r="1210">
      <c r="A1210" s="17"/>
      <c r="H1210" s="18"/>
      <c r="K1210" s="18" t="s">
        <v>316</v>
      </c>
    </row>
    <row r="1211">
      <c r="A1211" s="17"/>
      <c r="H1211" s="18"/>
      <c r="K1211" s="18" t="s">
        <v>316</v>
      </c>
    </row>
    <row r="1212">
      <c r="A1212" s="17"/>
      <c r="H1212" s="18"/>
      <c r="K1212" s="18" t="s">
        <v>316</v>
      </c>
    </row>
    <row r="1213">
      <c r="A1213" s="17"/>
      <c r="H1213" s="18"/>
      <c r="K1213" s="18" t="s">
        <v>316</v>
      </c>
    </row>
    <row r="1214">
      <c r="A1214" s="17"/>
      <c r="H1214" s="18"/>
      <c r="K1214" s="18" t="s">
        <v>316</v>
      </c>
    </row>
    <row r="1215">
      <c r="A1215" s="17"/>
      <c r="H1215" s="18"/>
      <c r="K1215" s="18" t="s">
        <v>316</v>
      </c>
    </row>
    <row r="1216">
      <c r="A1216" s="17"/>
      <c r="H1216" s="18"/>
      <c r="K1216" s="18" t="s">
        <v>316</v>
      </c>
    </row>
    <row r="1217">
      <c r="A1217" s="17"/>
      <c r="H1217" s="18"/>
      <c r="K1217" s="18" t="s">
        <v>316</v>
      </c>
    </row>
    <row r="1218">
      <c r="A1218" s="17"/>
      <c r="H1218" s="18"/>
      <c r="K1218" s="18" t="s">
        <v>316</v>
      </c>
    </row>
    <row r="1219">
      <c r="A1219" s="17"/>
      <c r="H1219" s="18"/>
      <c r="K1219" s="18" t="s">
        <v>316</v>
      </c>
    </row>
    <row r="1220">
      <c r="A1220" s="17"/>
      <c r="H1220" s="18"/>
      <c r="K1220" s="18" t="s">
        <v>316</v>
      </c>
    </row>
    <row r="1221">
      <c r="A1221" s="17"/>
      <c r="H1221" s="18"/>
      <c r="K1221" s="18" t="s">
        <v>316</v>
      </c>
    </row>
    <row r="1222">
      <c r="A1222" s="17"/>
      <c r="H1222" s="18"/>
      <c r="K1222" s="18" t="s">
        <v>316</v>
      </c>
    </row>
    <row r="1223">
      <c r="A1223" s="17"/>
      <c r="H1223" s="18"/>
      <c r="K1223" s="18" t="s">
        <v>316</v>
      </c>
    </row>
    <row r="1224">
      <c r="A1224" s="17"/>
      <c r="H1224" s="18"/>
      <c r="K1224" s="18" t="s">
        <v>316</v>
      </c>
    </row>
    <row r="1225">
      <c r="A1225" s="17"/>
      <c r="H1225" s="18"/>
      <c r="K1225" s="18" t="s">
        <v>316</v>
      </c>
    </row>
    <row r="1226">
      <c r="A1226" s="17"/>
      <c r="H1226" s="18"/>
      <c r="K1226" s="18" t="s">
        <v>316</v>
      </c>
    </row>
    <row r="1227">
      <c r="A1227" s="17"/>
      <c r="H1227" s="18"/>
      <c r="K1227" s="18" t="s">
        <v>316</v>
      </c>
    </row>
    <row r="1228">
      <c r="A1228" s="17"/>
      <c r="H1228" s="18"/>
      <c r="K1228" s="18" t="s">
        <v>316</v>
      </c>
    </row>
    <row r="1229">
      <c r="A1229" s="17"/>
      <c r="H1229" s="18"/>
      <c r="K1229" s="18" t="s">
        <v>316</v>
      </c>
    </row>
    <row r="1230">
      <c r="A1230" s="17"/>
      <c r="H1230" s="18"/>
      <c r="K1230" s="18" t="s">
        <v>316</v>
      </c>
    </row>
    <row r="1231">
      <c r="A1231" s="17"/>
      <c r="H1231" s="18"/>
      <c r="K1231" s="18" t="s">
        <v>316</v>
      </c>
    </row>
    <row r="1232">
      <c r="A1232" s="17"/>
      <c r="H1232" s="18"/>
      <c r="K1232" s="18" t="s">
        <v>316</v>
      </c>
    </row>
    <row r="1233">
      <c r="A1233" s="17"/>
      <c r="H1233" s="18"/>
      <c r="K1233" s="18" t="s">
        <v>316</v>
      </c>
    </row>
    <row r="1234">
      <c r="A1234" s="17"/>
      <c r="H1234" s="18"/>
      <c r="K1234" s="18" t="s">
        <v>316</v>
      </c>
    </row>
    <row r="1235">
      <c r="A1235" s="17"/>
      <c r="H1235" s="18"/>
      <c r="K1235" s="18" t="s">
        <v>316</v>
      </c>
    </row>
    <row r="1236">
      <c r="A1236" s="17"/>
      <c r="H1236" s="18"/>
      <c r="K1236" s="18" t="s">
        <v>316</v>
      </c>
    </row>
    <row r="1237">
      <c r="A1237" s="17"/>
      <c r="H1237" s="18"/>
      <c r="K1237" s="18" t="s">
        <v>316</v>
      </c>
    </row>
    <row r="1238">
      <c r="A1238" s="17"/>
      <c r="H1238" s="18"/>
      <c r="K1238" s="18" t="s">
        <v>316</v>
      </c>
    </row>
    <row r="1239">
      <c r="A1239" s="17"/>
      <c r="H1239" s="18"/>
      <c r="K1239" s="18" t="s">
        <v>316</v>
      </c>
    </row>
    <row r="1240">
      <c r="A1240" s="17"/>
      <c r="H1240" s="18"/>
      <c r="K1240" s="18" t="s">
        <v>316</v>
      </c>
    </row>
    <row r="1241">
      <c r="A1241" s="17"/>
      <c r="H1241" s="18"/>
      <c r="K1241" s="18" t="s">
        <v>316</v>
      </c>
    </row>
    <row r="1242">
      <c r="A1242" s="17"/>
      <c r="H1242" s="18"/>
      <c r="K1242" s="18" t="s">
        <v>316</v>
      </c>
    </row>
    <row r="1243">
      <c r="A1243" s="17"/>
      <c r="H1243" s="18"/>
      <c r="K1243" s="18" t="s">
        <v>316</v>
      </c>
    </row>
    <row r="1244">
      <c r="A1244" s="17"/>
      <c r="H1244" s="18"/>
      <c r="K1244" s="18" t="s">
        <v>316</v>
      </c>
    </row>
    <row r="1245">
      <c r="A1245" s="17"/>
      <c r="H1245" s="18"/>
      <c r="K1245" s="18" t="s">
        <v>316</v>
      </c>
    </row>
    <row r="1246">
      <c r="A1246" s="17"/>
      <c r="H1246" s="18"/>
      <c r="K1246" s="18" t="s">
        <v>316</v>
      </c>
    </row>
    <row r="1247">
      <c r="A1247" s="17"/>
      <c r="H1247" s="18"/>
      <c r="K1247" s="18" t="s">
        <v>316</v>
      </c>
    </row>
    <row r="1248">
      <c r="A1248" s="17"/>
      <c r="H1248" s="18"/>
      <c r="K1248" s="18" t="s">
        <v>316</v>
      </c>
    </row>
    <row r="1249">
      <c r="A1249" s="17"/>
      <c r="H1249" s="18"/>
      <c r="K1249" s="18" t="s">
        <v>316</v>
      </c>
    </row>
    <row r="1250">
      <c r="A1250" s="17"/>
      <c r="H1250" s="18"/>
      <c r="K1250" s="18" t="s">
        <v>316</v>
      </c>
    </row>
    <row r="1251">
      <c r="A1251" s="17"/>
      <c r="H1251" s="18"/>
      <c r="K1251" s="18" t="s">
        <v>316</v>
      </c>
    </row>
    <row r="1252">
      <c r="A1252" s="17"/>
      <c r="H1252" s="18"/>
      <c r="K1252" s="18" t="s">
        <v>316</v>
      </c>
    </row>
    <row r="1253">
      <c r="A1253" s="17"/>
      <c r="H1253" s="18"/>
      <c r="K1253" s="18" t="s">
        <v>316</v>
      </c>
    </row>
    <row r="1254">
      <c r="A1254" s="17"/>
      <c r="H1254" s="18"/>
      <c r="K1254" s="18" t="s">
        <v>316</v>
      </c>
    </row>
    <row r="1255">
      <c r="A1255" s="17"/>
      <c r="H1255" s="18"/>
      <c r="K1255" s="18" t="s">
        <v>316</v>
      </c>
    </row>
    <row r="1256">
      <c r="A1256" s="17"/>
      <c r="H1256" s="18"/>
      <c r="K1256" s="18" t="s">
        <v>316</v>
      </c>
    </row>
    <row r="1257">
      <c r="A1257" s="17"/>
      <c r="H1257" s="18"/>
      <c r="K1257" s="18" t="s">
        <v>316</v>
      </c>
    </row>
    <row r="1258">
      <c r="A1258" s="17"/>
      <c r="H1258" s="18"/>
      <c r="K1258" s="18" t="s">
        <v>316</v>
      </c>
    </row>
    <row r="1259">
      <c r="A1259" s="17"/>
      <c r="H1259" s="18"/>
      <c r="K1259" s="18" t="s">
        <v>316</v>
      </c>
    </row>
    <row r="1260">
      <c r="A1260" s="17"/>
      <c r="H1260" s="18"/>
      <c r="K1260" s="18" t="s">
        <v>316</v>
      </c>
    </row>
    <row r="1261">
      <c r="A1261" s="17"/>
      <c r="H1261" s="18"/>
      <c r="K1261" s="18" t="s">
        <v>316</v>
      </c>
    </row>
    <row r="1262">
      <c r="A1262" s="17"/>
      <c r="H1262" s="18"/>
      <c r="K1262" s="18" t="s">
        <v>316</v>
      </c>
    </row>
    <row r="1263">
      <c r="A1263" s="17"/>
      <c r="H1263" s="18"/>
      <c r="K1263" s="18" t="s">
        <v>316</v>
      </c>
    </row>
    <row r="1264">
      <c r="A1264" s="17"/>
      <c r="H1264" s="18"/>
      <c r="K1264" s="18" t="s">
        <v>316</v>
      </c>
    </row>
    <row r="1265">
      <c r="A1265" s="17"/>
      <c r="H1265" s="18"/>
      <c r="K1265" s="18" t="s">
        <v>316</v>
      </c>
    </row>
    <row r="1266">
      <c r="A1266" s="17"/>
      <c r="H1266" s="18"/>
      <c r="K1266" s="18" t="s">
        <v>316</v>
      </c>
    </row>
    <row r="1267">
      <c r="A1267" s="17"/>
      <c r="H1267" s="18"/>
      <c r="K1267" s="18" t="s">
        <v>316</v>
      </c>
    </row>
    <row r="1268">
      <c r="A1268" s="17"/>
      <c r="H1268" s="18"/>
      <c r="K1268" s="18" t="s">
        <v>316</v>
      </c>
    </row>
    <row r="1269">
      <c r="A1269" s="17"/>
      <c r="H1269" s="18"/>
      <c r="K1269" s="18" t="s">
        <v>316</v>
      </c>
    </row>
    <row r="1270">
      <c r="A1270" s="17"/>
      <c r="H1270" s="18"/>
      <c r="K1270" s="18" t="s">
        <v>316</v>
      </c>
    </row>
    <row r="1271">
      <c r="A1271" s="17"/>
      <c r="H1271" s="18"/>
      <c r="K1271" s="18" t="s">
        <v>316</v>
      </c>
    </row>
    <row r="1272">
      <c r="A1272" s="17"/>
      <c r="H1272" s="18"/>
      <c r="K1272" s="18" t="s">
        <v>316</v>
      </c>
    </row>
    <row r="1273">
      <c r="A1273" s="17"/>
      <c r="H1273" s="18"/>
      <c r="K1273" s="18" t="s">
        <v>316</v>
      </c>
    </row>
    <row r="1274">
      <c r="A1274" s="17"/>
      <c r="H1274" s="18"/>
      <c r="K1274" s="18" t="s">
        <v>316</v>
      </c>
    </row>
    <row r="1275">
      <c r="A1275" s="17"/>
      <c r="H1275" s="18"/>
      <c r="K1275" s="18" t="s">
        <v>316</v>
      </c>
    </row>
    <row r="1276">
      <c r="A1276" s="17"/>
      <c r="H1276" s="18"/>
      <c r="K1276" s="18" t="s">
        <v>316</v>
      </c>
    </row>
    <row r="1277">
      <c r="A1277" s="17"/>
      <c r="H1277" s="18"/>
      <c r="K1277" s="18" t="s">
        <v>316</v>
      </c>
    </row>
    <row r="1278">
      <c r="A1278" s="17"/>
      <c r="H1278" s="18"/>
      <c r="K1278" s="18" t="s">
        <v>316</v>
      </c>
    </row>
    <row r="1279">
      <c r="A1279" s="17"/>
      <c r="H1279" s="18"/>
      <c r="K1279" s="18" t="s">
        <v>316</v>
      </c>
    </row>
    <row r="1280">
      <c r="A1280" s="17"/>
      <c r="H1280" s="18"/>
      <c r="K1280" s="18" t="s">
        <v>316</v>
      </c>
    </row>
    <row r="1281">
      <c r="A1281" s="17"/>
      <c r="H1281" s="18"/>
      <c r="K1281" s="18" t="s">
        <v>316</v>
      </c>
    </row>
    <row r="1282">
      <c r="A1282" s="17"/>
      <c r="H1282" s="18"/>
      <c r="K1282" s="18" t="s">
        <v>316</v>
      </c>
    </row>
    <row r="1283">
      <c r="A1283" s="17"/>
      <c r="H1283" s="18"/>
      <c r="K1283" s="18" t="s">
        <v>316</v>
      </c>
    </row>
    <row r="1284">
      <c r="A1284" s="17"/>
      <c r="H1284" s="18"/>
      <c r="K1284" s="18" t="s">
        <v>316</v>
      </c>
    </row>
    <row r="1285">
      <c r="A1285" s="17"/>
      <c r="H1285" s="18"/>
      <c r="K1285" s="18" t="s">
        <v>316</v>
      </c>
    </row>
    <row r="1286">
      <c r="A1286" s="17"/>
      <c r="H1286" s="18"/>
      <c r="K1286" s="18" t="s">
        <v>316</v>
      </c>
    </row>
    <row r="1287">
      <c r="A1287" s="17"/>
      <c r="H1287" s="18"/>
      <c r="K1287" s="18" t="s">
        <v>316</v>
      </c>
    </row>
    <row r="1288">
      <c r="A1288" s="17"/>
      <c r="H1288" s="18"/>
      <c r="K1288" s="18" t="s">
        <v>316</v>
      </c>
    </row>
    <row r="1289">
      <c r="A1289" s="17"/>
      <c r="H1289" s="18"/>
      <c r="K1289" s="18" t="s">
        <v>316</v>
      </c>
    </row>
    <row r="1290">
      <c r="A1290" s="17"/>
      <c r="H1290" s="18"/>
      <c r="K1290" s="18" t="s">
        <v>316</v>
      </c>
    </row>
    <row r="1291">
      <c r="A1291" s="17"/>
      <c r="H1291" s="18"/>
      <c r="K1291" s="18" t="s">
        <v>316</v>
      </c>
    </row>
    <row r="1292">
      <c r="A1292" s="17"/>
      <c r="H1292" s="18"/>
      <c r="K1292" s="18" t="s">
        <v>316</v>
      </c>
    </row>
    <row r="1293">
      <c r="A1293" s="17"/>
      <c r="H1293" s="18"/>
      <c r="K1293" s="18" t="s">
        <v>316</v>
      </c>
    </row>
    <row r="1294">
      <c r="A1294" s="17"/>
      <c r="H1294" s="18"/>
      <c r="K1294" s="18" t="s">
        <v>316</v>
      </c>
    </row>
    <row r="1295">
      <c r="A1295" s="17"/>
      <c r="H1295" s="18"/>
      <c r="K1295" s="18" t="s">
        <v>316</v>
      </c>
    </row>
    <row r="1296">
      <c r="A1296" s="17"/>
      <c r="H1296" s="18"/>
      <c r="K1296" s="18" t="s">
        <v>316</v>
      </c>
    </row>
    <row r="1297">
      <c r="A1297" s="17"/>
      <c r="H1297" s="18"/>
      <c r="K1297" s="18" t="s">
        <v>316</v>
      </c>
    </row>
    <row r="1298">
      <c r="A1298" s="17"/>
      <c r="H1298" s="18"/>
      <c r="K1298" s="18" t="s">
        <v>316</v>
      </c>
    </row>
    <row r="1299">
      <c r="A1299" s="17"/>
      <c r="H1299" s="18"/>
      <c r="K1299" s="18" t="s">
        <v>316</v>
      </c>
    </row>
    <row r="1300">
      <c r="A1300" s="17"/>
      <c r="H1300" s="18"/>
      <c r="K1300" s="18" t="s">
        <v>316</v>
      </c>
    </row>
    <row r="1301">
      <c r="A1301" s="17"/>
      <c r="H1301" s="18"/>
      <c r="K1301" s="18" t="s">
        <v>316</v>
      </c>
    </row>
    <row r="1302">
      <c r="A1302" s="17"/>
      <c r="H1302" s="18"/>
      <c r="K1302" s="18" t="s">
        <v>316</v>
      </c>
    </row>
    <row r="1303">
      <c r="A1303" s="17"/>
      <c r="H1303" s="18"/>
      <c r="K1303" s="18" t="s">
        <v>316</v>
      </c>
    </row>
    <row r="1304">
      <c r="A1304" s="17"/>
      <c r="H1304" s="18"/>
      <c r="K1304" s="18" t="s">
        <v>316</v>
      </c>
    </row>
    <row r="1305">
      <c r="A1305" s="17"/>
      <c r="H1305" s="18"/>
      <c r="K1305" s="18" t="s">
        <v>316</v>
      </c>
    </row>
    <row r="1306">
      <c r="A1306" s="17"/>
      <c r="H1306" s="18"/>
      <c r="K1306" s="18" t="s">
        <v>316</v>
      </c>
    </row>
    <row r="1307">
      <c r="A1307" s="17"/>
      <c r="H1307" s="18"/>
      <c r="K1307" s="18" t="s">
        <v>316</v>
      </c>
    </row>
    <row r="1308">
      <c r="A1308" s="17"/>
      <c r="H1308" s="18"/>
      <c r="K1308" s="18" t="s">
        <v>316</v>
      </c>
    </row>
    <row r="1309">
      <c r="A1309" s="17"/>
      <c r="H1309" s="18"/>
      <c r="K1309" s="18" t="s">
        <v>316</v>
      </c>
    </row>
    <row r="1310">
      <c r="A1310" s="17"/>
      <c r="H1310" s="18"/>
      <c r="K1310" s="18" t="s">
        <v>316</v>
      </c>
    </row>
    <row r="1311">
      <c r="A1311" s="17"/>
      <c r="H1311" s="18"/>
      <c r="K1311" s="18" t="s">
        <v>316</v>
      </c>
    </row>
    <row r="1312">
      <c r="A1312" s="17"/>
      <c r="H1312" s="18"/>
      <c r="K1312" s="18" t="s">
        <v>316</v>
      </c>
    </row>
    <row r="1313">
      <c r="A1313" s="17"/>
      <c r="H1313" s="18"/>
      <c r="K1313" s="18" t="s">
        <v>316</v>
      </c>
    </row>
    <row r="1314">
      <c r="A1314" s="17"/>
      <c r="H1314" s="18"/>
      <c r="K1314" s="18" t="s">
        <v>316</v>
      </c>
    </row>
    <row r="1315">
      <c r="A1315" s="17"/>
      <c r="H1315" s="18"/>
      <c r="K1315" s="18" t="s">
        <v>316</v>
      </c>
    </row>
    <row r="1316">
      <c r="A1316" s="17"/>
      <c r="H1316" s="18"/>
      <c r="K1316" s="18" t="s">
        <v>316</v>
      </c>
    </row>
    <row r="1317">
      <c r="A1317" s="17"/>
      <c r="H1317" s="18"/>
      <c r="K1317" s="18" t="s">
        <v>316</v>
      </c>
    </row>
    <row r="1318">
      <c r="A1318" s="17"/>
      <c r="H1318" s="18"/>
      <c r="K1318" s="18" t="s">
        <v>316</v>
      </c>
    </row>
    <row r="1319">
      <c r="A1319" s="17"/>
      <c r="H1319" s="18"/>
      <c r="K1319" s="18" t="s">
        <v>316</v>
      </c>
    </row>
    <row r="1320">
      <c r="A1320" s="17"/>
      <c r="H1320" s="18"/>
      <c r="K1320" s="18" t="s">
        <v>316</v>
      </c>
    </row>
    <row r="1321">
      <c r="A1321" s="17"/>
      <c r="H1321" s="18"/>
      <c r="K1321" s="18" t="s">
        <v>316</v>
      </c>
    </row>
    <row r="1322">
      <c r="A1322" s="17"/>
      <c r="H1322" s="18"/>
      <c r="K1322" s="18" t="s">
        <v>316</v>
      </c>
    </row>
    <row r="1323">
      <c r="A1323" s="17"/>
      <c r="H1323" s="18"/>
      <c r="K1323" s="18" t="s">
        <v>316</v>
      </c>
    </row>
    <row r="1324">
      <c r="A1324" s="17"/>
      <c r="H1324" s="18"/>
      <c r="K1324" s="18" t="s">
        <v>316</v>
      </c>
    </row>
    <row r="1325">
      <c r="A1325" s="17"/>
      <c r="H1325" s="18"/>
      <c r="K1325" s="18" t="s">
        <v>316</v>
      </c>
    </row>
    <row r="1326">
      <c r="A1326" s="17"/>
      <c r="H1326" s="18"/>
      <c r="K1326" s="18" t="s">
        <v>316</v>
      </c>
    </row>
    <row r="1327">
      <c r="A1327" s="17"/>
      <c r="H1327" s="18"/>
      <c r="K1327" s="18" t="s">
        <v>316</v>
      </c>
    </row>
    <row r="1328">
      <c r="A1328" s="17"/>
      <c r="H1328" s="18"/>
      <c r="K1328" s="18" t="s">
        <v>316</v>
      </c>
    </row>
    <row r="1329">
      <c r="A1329" s="17"/>
      <c r="H1329" s="18"/>
      <c r="K1329" s="18" t="s">
        <v>316</v>
      </c>
    </row>
    <row r="1330">
      <c r="A1330" s="17"/>
      <c r="H1330" s="18"/>
      <c r="K1330" s="18" t="s">
        <v>316</v>
      </c>
    </row>
    <row r="1331">
      <c r="A1331" s="17"/>
      <c r="H1331" s="18"/>
      <c r="K1331" s="18" t="s">
        <v>316</v>
      </c>
    </row>
    <row r="1332">
      <c r="A1332" s="17"/>
      <c r="H1332" s="18"/>
      <c r="K1332" s="18" t="s">
        <v>316</v>
      </c>
    </row>
    <row r="1333">
      <c r="A1333" s="17"/>
      <c r="H1333" s="18"/>
      <c r="K1333" s="18" t="s">
        <v>316</v>
      </c>
    </row>
    <row r="1334">
      <c r="A1334" s="17"/>
      <c r="H1334" s="18"/>
      <c r="K1334" s="18" t="s">
        <v>316</v>
      </c>
    </row>
    <row r="1335">
      <c r="A1335" s="17"/>
      <c r="H1335" s="18"/>
      <c r="K1335" s="18" t="s">
        <v>316</v>
      </c>
    </row>
    <row r="1336">
      <c r="A1336" s="17"/>
      <c r="H1336" s="18"/>
      <c r="K1336" s="18" t="s">
        <v>316</v>
      </c>
    </row>
    <row r="1337">
      <c r="A1337" s="17"/>
      <c r="H1337" s="18"/>
      <c r="K1337" s="18" t="s">
        <v>316</v>
      </c>
    </row>
    <row r="1338">
      <c r="A1338" s="17"/>
      <c r="H1338" s="18"/>
      <c r="K1338" s="18" t="s">
        <v>316</v>
      </c>
    </row>
    <row r="1339">
      <c r="A1339" s="17"/>
      <c r="H1339" s="18"/>
      <c r="K1339" s="18" t="s">
        <v>316</v>
      </c>
    </row>
    <row r="1340">
      <c r="A1340" s="17"/>
      <c r="H1340" s="18"/>
      <c r="K1340" s="18" t="s">
        <v>316</v>
      </c>
    </row>
    <row r="1341">
      <c r="A1341" s="17"/>
      <c r="H1341" s="18"/>
      <c r="K1341" s="18" t="s">
        <v>316</v>
      </c>
    </row>
    <row r="1342">
      <c r="A1342" s="17"/>
      <c r="H1342" s="18"/>
      <c r="K1342" s="18" t="s">
        <v>316</v>
      </c>
    </row>
    <row r="1343">
      <c r="A1343" s="17"/>
      <c r="H1343" s="18"/>
      <c r="K1343" s="18" t="s">
        <v>316</v>
      </c>
    </row>
    <row r="1344">
      <c r="A1344" s="17"/>
      <c r="H1344" s="18"/>
      <c r="K1344" s="18" t="s">
        <v>316</v>
      </c>
    </row>
    <row r="1345">
      <c r="A1345" s="17"/>
      <c r="H1345" s="18"/>
      <c r="K1345" s="18" t="s">
        <v>316</v>
      </c>
    </row>
    <row r="1346">
      <c r="A1346" s="17"/>
      <c r="H1346" s="18"/>
      <c r="K1346" s="18" t="s">
        <v>316</v>
      </c>
    </row>
    <row r="1347">
      <c r="A1347" s="17"/>
      <c r="H1347" s="18"/>
      <c r="K1347" s="18" t="s">
        <v>316</v>
      </c>
    </row>
    <row r="1348">
      <c r="A1348" s="17"/>
      <c r="H1348" s="18"/>
      <c r="K1348" s="18" t="s">
        <v>316</v>
      </c>
    </row>
    <row r="1349">
      <c r="A1349" s="17"/>
      <c r="H1349" s="18"/>
      <c r="K1349" s="18" t="s">
        <v>316</v>
      </c>
    </row>
    <row r="1350">
      <c r="A1350" s="17"/>
      <c r="H1350" s="18"/>
      <c r="K1350" s="18" t="s">
        <v>316</v>
      </c>
    </row>
    <row r="1351">
      <c r="A1351" s="17"/>
      <c r="H1351" s="18"/>
      <c r="K1351" s="18" t="s">
        <v>316</v>
      </c>
    </row>
    <row r="1352">
      <c r="A1352" s="17"/>
      <c r="H1352" s="18"/>
      <c r="K1352" s="18" t="s">
        <v>316</v>
      </c>
    </row>
    <row r="1353">
      <c r="A1353" s="17"/>
      <c r="H1353" s="18"/>
      <c r="K1353" s="18" t="s">
        <v>316</v>
      </c>
    </row>
    <row r="1354">
      <c r="A1354" s="17"/>
      <c r="H1354" s="18"/>
      <c r="K1354" s="18" t="s">
        <v>316</v>
      </c>
    </row>
    <row r="1355">
      <c r="A1355" s="17"/>
      <c r="H1355" s="18"/>
      <c r="K1355" s="18" t="s">
        <v>316</v>
      </c>
    </row>
    <row r="1356">
      <c r="A1356" s="17"/>
      <c r="H1356" s="18"/>
      <c r="K1356" s="18" t="s">
        <v>316</v>
      </c>
    </row>
    <row r="1357">
      <c r="A1357" s="17"/>
      <c r="H1357" s="18"/>
      <c r="K1357" s="18" t="s">
        <v>316</v>
      </c>
    </row>
    <row r="1358">
      <c r="A1358" s="17"/>
      <c r="H1358" s="18"/>
      <c r="K1358" s="18" t="s">
        <v>316</v>
      </c>
    </row>
    <row r="1359">
      <c r="A1359" s="17"/>
      <c r="H1359" s="18"/>
      <c r="K1359" s="18" t="s">
        <v>316</v>
      </c>
    </row>
    <row r="1360">
      <c r="A1360" s="17"/>
      <c r="H1360" s="18"/>
      <c r="K1360" s="18" t="s">
        <v>316</v>
      </c>
    </row>
    <row r="1361">
      <c r="A1361" s="17"/>
      <c r="H1361" s="18"/>
      <c r="K1361" s="18" t="s">
        <v>316</v>
      </c>
    </row>
    <row r="1362">
      <c r="A1362" s="17"/>
      <c r="H1362" s="18"/>
      <c r="K1362" s="18" t="s">
        <v>316</v>
      </c>
    </row>
    <row r="1363">
      <c r="A1363" s="17"/>
      <c r="H1363" s="18"/>
      <c r="K1363" s="18" t="s">
        <v>316</v>
      </c>
    </row>
    <row r="1364">
      <c r="A1364" s="17"/>
      <c r="H1364" s="18"/>
      <c r="K1364" s="18" t="s">
        <v>316</v>
      </c>
    </row>
    <row r="1365">
      <c r="A1365" s="17"/>
      <c r="H1365" s="18"/>
      <c r="K1365" s="18" t="s">
        <v>316</v>
      </c>
    </row>
    <row r="1366">
      <c r="A1366" s="17"/>
      <c r="H1366" s="18"/>
      <c r="K1366" s="18" t="s">
        <v>316</v>
      </c>
    </row>
    <row r="1367">
      <c r="A1367" s="17"/>
      <c r="H1367" s="18"/>
      <c r="K1367" s="18" t="s">
        <v>316</v>
      </c>
    </row>
    <row r="1368">
      <c r="A1368" s="17"/>
      <c r="H1368" s="18"/>
      <c r="K1368" s="18" t="s">
        <v>316</v>
      </c>
    </row>
    <row r="1369">
      <c r="A1369" s="17"/>
      <c r="H1369" s="18"/>
      <c r="K1369" s="18" t="s">
        <v>316</v>
      </c>
    </row>
    <row r="1370">
      <c r="A1370" s="17"/>
      <c r="H1370" s="18"/>
      <c r="K1370" s="18" t="s">
        <v>316</v>
      </c>
    </row>
    <row r="1371">
      <c r="A1371" s="17"/>
      <c r="H1371" s="18"/>
      <c r="K1371" s="18" t="s">
        <v>316</v>
      </c>
    </row>
    <row r="1372">
      <c r="A1372" s="17"/>
      <c r="H1372" s="18"/>
      <c r="K1372" s="18" t="s">
        <v>316</v>
      </c>
    </row>
    <row r="1373">
      <c r="A1373" s="17"/>
      <c r="H1373" s="18"/>
      <c r="K1373" s="18" t="s">
        <v>316</v>
      </c>
    </row>
    <row r="1374">
      <c r="A1374" s="17"/>
      <c r="H1374" s="18"/>
      <c r="K1374" s="18" t="s">
        <v>316</v>
      </c>
    </row>
    <row r="1375">
      <c r="A1375" s="17"/>
      <c r="H1375" s="18"/>
      <c r="K1375" s="18" t="s">
        <v>316</v>
      </c>
    </row>
    <row r="1376">
      <c r="A1376" s="17"/>
      <c r="H1376" s="18"/>
      <c r="K1376" s="18" t="s">
        <v>316</v>
      </c>
    </row>
    <row r="1377">
      <c r="A1377" s="17"/>
      <c r="H1377" s="18"/>
      <c r="K1377" s="18" t="s">
        <v>316</v>
      </c>
    </row>
    <row r="1378">
      <c r="A1378" s="17"/>
      <c r="H1378" s="18"/>
      <c r="K1378" s="18" t="s">
        <v>316</v>
      </c>
    </row>
    <row r="1379">
      <c r="A1379" s="17"/>
      <c r="H1379" s="18"/>
      <c r="K1379" s="18" t="s">
        <v>316</v>
      </c>
    </row>
    <row r="1380">
      <c r="A1380" s="17"/>
      <c r="H1380" s="18"/>
      <c r="K1380" s="18" t="s">
        <v>316</v>
      </c>
    </row>
    <row r="1381">
      <c r="A1381" s="17"/>
      <c r="H1381" s="18"/>
      <c r="K1381" s="18" t="s">
        <v>316</v>
      </c>
    </row>
    <row r="1382">
      <c r="A1382" s="17"/>
      <c r="H1382" s="18"/>
      <c r="K1382" s="18" t="s">
        <v>316</v>
      </c>
    </row>
    <row r="1383">
      <c r="A1383" s="17"/>
      <c r="H1383" s="18"/>
      <c r="K1383" s="18" t="s">
        <v>316</v>
      </c>
    </row>
    <row r="1384">
      <c r="A1384" s="17"/>
      <c r="H1384" s="18"/>
      <c r="K1384" s="18" t="s">
        <v>316</v>
      </c>
    </row>
    <row r="1385">
      <c r="A1385" s="17"/>
      <c r="H1385" s="18"/>
      <c r="K1385" s="18" t="s">
        <v>316</v>
      </c>
    </row>
    <row r="1386">
      <c r="A1386" s="17"/>
      <c r="H1386" s="18"/>
      <c r="K1386" s="18" t="s">
        <v>316</v>
      </c>
    </row>
    <row r="1387">
      <c r="A1387" s="17"/>
      <c r="H1387" s="18"/>
      <c r="K1387" s="18" t="s">
        <v>316</v>
      </c>
    </row>
    <row r="1388">
      <c r="A1388" s="17"/>
      <c r="H1388" s="18"/>
      <c r="K1388" s="18" t="s">
        <v>316</v>
      </c>
    </row>
    <row r="1389">
      <c r="A1389" s="17"/>
      <c r="H1389" s="18"/>
      <c r="K1389" s="18" t="s">
        <v>316</v>
      </c>
    </row>
    <row r="1390">
      <c r="A1390" s="17"/>
      <c r="H1390" s="18"/>
      <c r="K1390" s="18" t="s">
        <v>316</v>
      </c>
    </row>
    <row r="1391">
      <c r="A1391" s="17"/>
      <c r="H1391" s="18"/>
      <c r="K1391" s="18" t="s">
        <v>316</v>
      </c>
    </row>
    <row r="1392">
      <c r="A1392" s="17"/>
      <c r="H1392" s="18"/>
      <c r="K1392" s="18" t="s">
        <v>316</v>
      </c>
    </row>
    <row r="1393">
      <c r="A1393" s="17"/>
      <c r="H1393" s="18"/>
      <c r="K1393" s="18" t="s">
        <v>316</v>
      </c>
    </row>
    <row r="1394">
      <c r="A1394" s="17"/>
      <c r="H1394" s="18"/>
      <c r="K1394" s="18" t="s">
        <v>316</v>
      </c>
    </row>
    <row r="1395">
      <c r="A1395" s="17"/>
      <c r="H1395" s="18"/>
      <c r="K1395" s="18" t="s">
        <v>316</v>
      </c>
    </row>
    <row r="1396">
      <c r="A1396" s="17"/>
      <c r="H1396" s="18"/>
      <c r="K1396" s="18" t="s">
        <v>316</v>
      </c>
    </row>
    <row r="1397">
      <c r="A1397" s="17"/>
      <c r="H1397" s="18"/>
      <c r="K1397" s="18" t="s">
        <v>316</v>
      </c>
    </row>
    <row r="1398">
      <c r="A1398" s="17"/>
      <c r="H1398" s="18"/>
      <c r="K1398" s="18" t="s">
        <v>316</v>
      </c>
    </row>
    <row r="1399">
      <c r="A1399" s="17"/>
      <c r="H1399" s="18"/>
      <c r="K1399" s="18" t="s">
        <v>316</v>
      </c>
    </row>
    <row r="1400">
      <c r="A1400" s="17"/>
      <c r="H1400" s="18"/>
      <c r="K1400" s="18" t="s">
        <v>316</v>
      </c>
    </row>
    <row r="1401">
      <c r="A1401" s="17"/>
      <c r="H1401" s="18"/>
      <c r="K1401" s="18" t="s">
        <v>316</v>
      </c>
    </row>
    <row r="1402">
      <c r="A1402" s="17"/>
      <c r="H1402" s="18"/>
      <c r="K1402" s="18" t="s">
        <v>316</v>
      </c>
    </row>
    <row r="1403">
      <c r="A1403" s="17"/>
      <c r="H1403" s="18"/>
      <c r="K1403" s="18" t="s">
        <v>316</v>
      </c>
    </row>
    <row r="1404">
      <c r="A1404" s="17"/>
      <c r="H1404" s="18"/>
      <c r="K1404" s="18" t="s">
        <v>316</v>
      </c>
    </row>
    <row r="1405">
      <c r="A1405" s="17"/>
      <c r="H1405" s="18"/>
      <c r="K1405" s="18" t="s">
        <v>316</v>
      </c>
    </row>
    <row r="1406">
      <c r="A1406" s="17"/>
      <c r="H1406" s="18"/>
      <c r="K1406" s="18" t="s">
        <v>316</v>
      </c>
    </row>
    <row r="1407">
      <c r="A1407" s="17"/>
      <c r="H1407" s="18"/>
      <c r="K1407" s="18" t="s">
        <v>316</v>
      </c>
    </row>
    <row r="1408">
      <c r="A1408" s="17"/>
      <c r="H1408" s="18"/>
      <c r="K1408" s="18" t="s">
        <v>316</v>
      </c>
    </row>
    <row r="1409">
      <c r="A1409" s="17"/>
      <c r="H1409" s="18"/>
      <c r="K1409" s="18" t="s">
        <v>316</v>
      </c>
    </row>
    <row r="1410">
      <c r="A1410" s="17"/>
      <c r="H1410" s="18"/>
      <c r="K1410" s="18" t="s">
        <v>316</v>
      </c>
    </row>
    <row r="1411">
      <c r="A1411" s="17"/>
      <c r="H1411" s="18"/>
      <c r="K1411" s="18" t="s">
        <v>316</v>
      </c>
    </row>
    <row r="1412">
      <c r="A1412" s="17"/>
      <c r="H1412" s="18"/>
      <c r="K1412" s="18" t="s">
        <v>316</v>
      </c>
    </row>
    <row r="1413">
      <c r="A1413" s="17"/>
      <c r="H1413" s="18"/>
      <c r="K1413" s="18" t="s">
        <v>316</v>
      </c>
    </row>
    <row r="1414">
      <c r="A1414" s="17"/>
      <c r="H1414" s="18"/>
      <c r="K1414" s="18" t="s">
        <v>316</v>
      </c>
    </row>
    <row r="1415">
      <c r="A1415" s="17"/>
      <c r="H1415" s="18"/>
      <c r="K1415" s="18" t="s">
        <v>316</v>
      </c>
    </row>
    <row r="1416">
      <c r="A1416" s="17"/>
      <c r="H1416" s="18"/>
      <c r="K1416" s="18" t="s">
        <v>316</v>
      </c>
    </row>
    <row r="1417">
      <c r="A1417" s="17"/>
      <c r="H1417" s="18"/>
      <c r="K1417" s="18" t="s">
        <v>316</v>
      </c>
    </row>
    <row r="1418">
      <c r="A1418" s="17"/>
      <c r="H1418" s="18"/>
      <c r="K1418" s="18" t="s">
        <v>316</v>
      </c>
    </row>
    <row r="1419">
      <c r="A1419" s="17"/>
      <c r="H1419" s="18"/>
      <c r="K1419" s="18" t="s">
        <v>316</v>
      </c>
    </row>
    <row r="1420">
      <c r="A1420" s="17"/>
      <c r="H1420" s="18"/>
      <c r="K1420" s="18" t="s">
        <v>316</v>
      </c>
    </row>
    <row r="1421">
      <c r="A1421" s="17"/>
      <c r="H1421" s="18"/>
      <c r="K1421" s="18" t="s">
        <v>316</v>
      </c>
    </row>
    <row r="1422">
      <c r="A1422" s="17"/>
      <c r="H1422" s="18"/>
      <c r="K1422" s="18" t="s">
        <v>316</v>
      </c>
    </row>
    <row r="1423">
      <c r="A1423" s="17"/>
      <c r="H1423" s="18"/>
      <c r="K1423" s="18" t="s">
        <v>316</v>
      </c>
    </row>
    <row r="1424">
      <c r="A1424" s="17"/>
      <c r="H1424" s="18"/>
      <c r="K1424" s="18" t="s">
        <v>316</v>
      </c>
    </row>
    <row r="1425">
      <c r="A1425" s="17"/>
      <c r="H1425" s="18"/>
      <c r="K1425" s="18" t="s">
        <v>316</v>
      </c>
    </row>
    <row r="1426">
      <c r="A1426" s="17"/>
      <c r="H1426" s="18"/>
      <c r="K1426" s="18" t="s">
        <v>316</v>
      </c>
    </row>
    <row r="1427">
      <c r="A1427" s="17"/>
      <c r="H1427" s="18"/>
      <c r="K1427" s="18" t="s">
        <v>316</v>
      </c>
    </row>
    <row r="1428">
      <c r="A1428" s="17"/>
      <c r="H1428" s="18"/>
      <c r="K1428" s="18" t="s">
        <v>316</v>
      </c>
    </row>
    <row r="1429">
      <c r="A1429" s="17"/>
      <c r="H1429" s="18"/>
      <c r="K1429" s="18" t="s">
        <v>316</v>
      </c>
    </row>
    <row r="1430">
      <c r="A1430" s="17"/>
      <c r="H1430" s="18"/>
      <c r="K1430" s="18" t="s">
        <v>316</v>
      </c>
    </row>
    <row r="1431">
      <c r="A1431" s="17"/>
      <c r="H1431" s="18"/>
      <c r="K1431" s="18" t="s">
        <v>316</v>
      </c>
    </row>
    <row r="1432">
      <c r="A1432" s="17"/>
      <c r="H1432" s="18"/>
      <c r="K1432" s="18" t="s">
        <v>316</v>
      </c>
    </row>
    <row r="1433">
      <c r="A1433" s="17"/>
      <c r="H1433" s="18"/>
      <c r="K1433" s="18" t="s">
        <v>316</v>
      </c>
    </row>
    <row r="1434">
      <c r="A1434" s="17"/>
      <c r="H1434" s="18"/>
      <c r="K1434" s="18" t="s">
        <v>316</v>
      </c>
    </row>
    <row r="1435">
      <c r="A1435" s="17"/>
      <c r="H1435" s="18"/>
      <c r="K1435" s="18" t="s">
        <v>316</v>
      </c>
    </row>
    <row r="1436">
      <c r="A1436" s="17"/>
      <c r="H1436" s="18"/>
      <c r="K1436" s="18" t="s">
        <v>316</v>
      </c>
    </row>
    <row r="1437">
      <c r="A1437" s="17"/>
      <c r="H1437" s="18"/>
      <c r="K1437" s="18" t="s">
        <v>316</v>
      </c>
    </row>
    <row r="1438">
      <c r="A1438" s="17"/>
      <c r="H1438" s="18"/>
      <c r="K1438" s="18" t="s">
        <v>316</v>
      </c>
    </row>
    <row r="1439">
      <c r="A1439" s="17"/>
      <c r="H1439" s="18"/>
      <c r="K1439" s="18" t="s">
        <v>316</v>
      </c>
    </row>
    <row r="1440">
      <c r="A1440" s="17"/>
      <c r="H1440" s="18"/>
      <c r="K1440" s="18" t="s">
        <v>316</v>
      </c>
    </row>
    <row r="1441">
      <c r="A1441" s="17"/>
      <c r="H1441" s="18"/>
      <c r="K1441" s="18" t="s">
        <v>316</v>
      </c>
    </row>
    <row r="1442">
      <c r="A1442" s="17"/>
      <c r="H1442" s="18"/>
      <c r="K1442" s="18" t="s">
        <v>316</v>
      </c>
    </row>
    <row r="1443">
      <c r="A1443" s="17"/>
      <c r="H1443" s="18"/>
      <c r="K1443" s="18" t="s">
        <v>316</v>
      </c>
    </row>
    <row r="1444">
      <c r="A1444" s="17"/>
      <c r="H1444" s="18"/>
      <c r="K1444" s="18" t="s">
        <v>316</v>
      </c>
    </row>
    <row r="1445">
      <c r="A1445" s="17"/>
      <c r="H1445" s="18"/>
      <c r="K1445" s="18" t="s">
        <v>316</v>
      </c>
    </row>
    <row r="1446">
      <c r="A1446" s="17"/>
      <c r="H1446" s="18"/>
      <c r="K1446" s="18" t="s">
        <v>316</v>
      </c>
    </row>
    <row r="1447">
      <c r="A1447" s="17"/>
      <c r="H1447" s="18"/>
      <c r="K1447" s="18" t="s">
        <v>316</v>
      </c>
    </row>
    <row r="1448">
      <c r="A1448" s="17"/>
      <c r="H1448" s="18"/>
      <c r="K1448" s="18" t="s">
        <v>316</v>
      </c>
    </row>
    <row r="1449">
      <c r="A1449" s="17"/>
      <c r="H1449" s="18"/>
      <c r="K1449" s="18" t="s">
        <v>316</v>
      </c>
    </row>
    <row r="1450">
      <c r="A1450" s="17"/>
      <c r="H1450" s="18"/>
      <c r="K1450" s="18" t="s">
        <v>316</v>
      </c>
    </row>
    <row r="1451">
      <c r="A1451" s="17"/>
      <c r="H1451" s="18"/>
      <c r="K1451" s="18" t="s">
        <v>316</v>
      </c>
    </row>
    <row r="1452">
      <c r="A1452" s="17"/>
      <c r="H1452" s="18"/>
      <c r="K1452" s="18" t="s">
        <v>316</v>
      </c>
    </row>
    <row r="1453">
      <c r="A1453" s="17"/>
      <c r="H1453" s="18"/>
      <c r="K1453" s="18" t="s">
        <v>316</v>
      </c>
    </row>
    <row r="1454">
      <c r="A1454" s="17"/>
      <c r="H1454" s="18"/>
      <c r="K1454" s="18" t="s">
        <v>316</v>
      </c>
    </row>
    <row r="1455">
      <c r="A1455" s="17"/>
      <c r="H1455" s="18"/>
      <c r="K1455" s="18" t="s">
        <v>316</v>
      </c>
    </row>
    <row r="1456">
      <c r="A1456" s="17"/>
      <c r="H1456" s="18"/>
      <c r="K1456" s="18" t="s">
        <v>316</v>
      </c>
    </row>
    <row r="1457">
      <c r="A1457" s="17"/>
      <c r="H1457" s="18"/>
      <c r="K1457" s="18" t="s">
        <v>316</v>
      </c>
    </row>
    <row r="1458">
      <c r="A1458" s="17"/>
      <c r="H1458" s="18"/>
      <c r="K1458" s="18" t="s">
        <v>316</v>
      </c>
    </row>
    <row r="1459">
      <c r="A1459" s="17"/>
      <c r="H1459" s="18"/>
      <c r="K1459" s="18" t="s">
        <v>316</v>
      </c>
    </row>
    <row r="1460">
      <c r="A1460" s="17"/>
      <c r="H1460" s="18"/>
      <c r="K1460" s="18" t="s">
        <v>316</v>
      </c>
    </row>
    <row r="1461">
      <c r="A1461" s="17"/>
      <c r="H1461" s="18"/>
      <c r="K1461" s="18" t="s">
        <v>316</v>
      </c>
    </row>
    <row r="1462">
      <c r="A1462" s="17"/>
      <c r="H1462" s="18"/>
      <c r="K1462" s="18" t="s">
        <v>316</v>
      </c>
    </row>
    <row r="1463">
      <c r="A1463" s="17"/>
      <c r="H1463" s="18"/>
      <c r="K1463" s="18" t="s">
        <v>316</v>
      </c>
    </row>
    <row r="1464">
      <c r="A1464" s="17"/>
      <c r="H1464" s="18"/>
      <c r="K1464" s="18" t="s">
        <v>316</v>
      </c>
    </row>
    <row r="1465">
      <c r="A1465" s="17"/>
      <c r="H1465" s="18"/>
      <c r="K1465" s="18" t="s">
        <v>316</v>
      </c>
    </row>
    <row r="1466">
      <c r="A1466" s="17"/>
      <c r="H1466" s="18"/>
      <c r="K1466" s="18" t="s">
        <v>316</v>
      </c>
    </row>
    <row r="1467">
      <c r="A1467" s="17"/>
      <c r="H1467" s="18"/>
      <c r="K1467" s="18" t="s">
        <v>316</v>
      </c>
    </row>
    <row r="1468">
      <c r="A1468" s="17"/>
      <c r="H1468" s="18"/>
      <c r="K1468" s="18" t="s">
        <v>316</v>
      </c>
    </row>
    <row r="1469">
      <c r="A1469" s="17"/>
      <c r="H1469" s="18"/>
      <c r="K1469" s="18" t="s">
        <v>316</v>
      </c>
    </row>
    <row r="1470">
      <c r="A1470" s="17"/>
      <c r="H1470" s="18"/>
      <c r="K1470" s="18" t="s">
        <v>316</v>
      </c>
    </row>
    <row r="1471">
      <c r="A1471" s="17"/>
      <c r="H1471" s="18"/>
      <c r="K1471" s="18" t="s">
        <v>316</v>
      </c>
    </row>
    <row r="1472">
      <c r="A1472" s="17"/>
      <c r="H1472" s="18"/>
      <c r="K1472" s="18" t="s">
        <v>316</v>
      </c>
    </row>
    <row r="1473">
      <c r="A1473" s="17"/>
      <c r="H1473" s="18"/>
      <c r="K1473" s="18" t="s">
        <v>316</v>
      </c>
    </row>
    <row r="1474">
      <c r="A1474" s="17"/>
      <c r="H1474" s="18"/>
      <c r="K1474" s="18" t="s">
        <v>316</v>
      </c>
    </row>
    <row r="1475">
      <c r="A1475" s="17"/>
      <c r="H1475" s="18"/>
      <c r="K1475" s="18" t="s">
        <v>316</v>
      </c>
    </row>
    <row r="1476">
      <c r="A1476" s="17"/>
      <c r="H1476" s="18"/>
      <c r="K1476" s="18" t="s">
        <v>316</v>
      </c>
    </row>
    <row r="1477">
      <c r="A1477" s="17"/>
      <c r="H1477" s="18"/>
      <c r="K1477" s="18" t="s">
        <v>316</v>
      </c>
    </row>
    <row r="1478">
      <c r="A1478" s="17"/>
      <c r="H1478" s="18"/>
      <c r="K1478" s="18" t="s">
        <v>316</v>
      </c>
    </row>
    <row r="1479">
      <c r="A1479" s="17"/>
      <c r="H1479" s="18"/>
      <c r="K1479" s="18" t="s">
        <v>316</v>
      </c>
    </row>
    <row r="1480">
      <c r="A1480" s="17"/>
      <c r="H1480" s="18"/>
      <c r="K1480" s="18" t="s">
        <v>316</v>
      </c>
    </row>
    <row r="1481">
      <c r="A1481" s="17"/>
      <c r="H1481" s="18"/>
      <c r="K1481" s="18" t="s">
        <v>316</v>
      </c>
    </row>
    <row r="1482">
      <c r="A1482" s="17"/>
      <c r="H1482" s="18"/>
      <c r="K1482" s="18" t="s">
        <v>316</v>
      </c>
    </row>
    <row r="1483">
      <c r="A1483" s="17"/>
      <c r="H1483" s="18"/>
      <c r="K1483" s="18" t="s">
        <v>316</v>
      </c>
    </row>
    <row r="1484">
      <c r="A1484" s="17"/>
      <c r="H1484" s="18"/>
      <c r="K1484" s="18" t="s">
        <v>316</v>
      </c>
    </row>
    <row r="1485">
      <c r="A1485" s="17"/>
      <c r="H1485" s="18"/>
      <c r="K1485" s="18" t="s">
        <v>316</v>
      </c>
    </row>
    <row r="1486">
      <c r="A1486" s="17"/>
      <c r="H1486" s="18"/>
      <c r="K1486" s="18" t="s">
        <v>316</v>
      </c>
    </row>
    <row r="1487">
      <c r="A1487" s="17"/>
      <c r="H1487" s="18"/>
      <c r="K1487" s="18" t="s">
        <v>316</v>
      </c>
    </row>
    <row r="1488">
      <c r="A1488" s="17"/>
      <c r="H1488" s="18"/>
      <c r="K1488" s="18" t="s">
        <v>316</v>
      </c>
    </row>
    <row r="1489">
      <c r="A1489" s="17"/>
      <c r="H1489" s="18"/>
      <c r="K1489" s="18" t="s">
        <v>316</v>
      </c>
    </row>
    <row r="1490">
      <c r="A1490" s="17"/>
      <c r="H1490" s="18"/>
      <c r="K1490" s="18" t="s">
        <v>316</v>
      </c>
    </row>
    <row r="1491">
      <c r="A1491" s="17"/>
      <c r="H1491" s="18"/>
      <c r="K1491" s="18" t="s">
        <v>316</v>
      </c>
    </row>
    <row r="1492">
      <c r="A1492" s="17"/>
      <c r="H1492" s="18"/>
      <c r="K1492" s="18" t="s">
        <v>316</v>
      </c>
    </row>
    <row r="1493">
      <c r="A1493" s="17"/>
      <c r="H1493" s="18"/>
      <c r="K1493" s="18" t="s">
        <v>316</v>
      </c>
    </row>
    <row r="1494">
      <c r="A1494" s="17"/>
      <c r="H1494" s="18"/>
      <c r="K1494" s="18" t="s">
        <v>316</v>
      </c>
    </row>
    <row r="1495">
      <c r="A1495" s="17"/>
      <c r="H1495" s="18"/>
      <c r="K1495" s="18" t="s">
        <v>316</v>
      </c>
    </row>
    <row r="1496">
      <c r="A1496" s="17"/>
      <c r="H1496" s="18"/>
      <c r="K1496" s="18" t="s">
        <v>316</v>
      </c>
    </row>
    <row r="1497">
      <c r="A1497" s="17"/>
      <c r="H1497" s="18"/>
      <c r="K1497" s="18" t="s">
        <v>316</v>
      </c>
    </row>
    <row r="1498">
      <c r="A1498" s="17"/>
      <c r="H1498" s="18"/>
      <c r="K1498" s="18" t="s">
        <v>316</v>
      </c>
    </row>
    <row r="1499">
      <c r="A1499" s="17"/>
      <c r="H1499" s="18"/>
      <c r="K1499" s="18" t="s">
        <v>316</v>
      </c>
    </row>
    <row r="1500">
      <c r="A1500" s="17"/>
      <c r="H1500" s="18"/>
      <c r="K1500" s="18" t="s">
        <v>316</v>
      </c>
    </row>
    <row r="1501">
      <c r="A1501" s="17"/>
      <c r="H1501" s="18"/>
      <c r="K1501" s="18" t="s">
        <v>316</v>
      </c>
    </row>
    <row r="1502">
      <c r="A1502" s="17"/>
      <c r="H1502" s="18"/>
      <c r="K1502" s="18" t="s">
        <v>316</v>
      </c>
    </row>
    <row r="1503">
      <c r="A1503" s="17"/>
      <c r="H1503" s="18"/>
      <c r="K1503" s="18" t="s">
        <v>316</v>
      </c>
    </row>
    <row r="1504">
      <c r="A1504" s="17"/>
      <c r="H1504" s="18"/>
      <c r="K1504" s="18" t="s">
        <v>316</v>
      </c>
    </row>
    <row r="1505">
      <c r="A1505" s="17"/>
      <c r="H1505" s="18"/>
      <c r="K1505" s="18" t="s">
        <v>316</v>
      </c>
    </row>
    <row r="1506">
      <c r="A1506" s="17"/>
      <c r="H1506" s="18"/>
      <c r="K1506" s="18" t="s">
        <v>316</v>
      </c>
    </row>
    <row r="1507">
      <c r="A1507" s="17"/>
      <c r="H1507" s="18"/>
      <c r="K1507" s="18" t="s">
        <v>316</v>
      </c>
    </row>
    <row r="1508">
      <c r="A1508" s="17"/>
      <c r="H1508" s="18"/>
      <c r="K1508" s="18" t="s">
        <v>316</v>
      </c>
    </row>
    <row r="1509">
      <c r="A1509" s="17"/>
      <c r="H1509" s="18"/>
      <c r="K1509" s="18" t="s">
        <v>316</v>
      </c>
    </row>
    <row r="1510">
      <c r="A1510" s="17"/>
      <c r="H1510" s="18"/>
      <c r="K1510" s="18" t="s">
        <v>316</v>
      </c>
    </row>
    <row r="1511">
      <c r="A1511" s="17"/>
      <c r="H1511" s="18"/>
      <c r="K1511" s="18" t="s">
        <v>316</v>
      </c>
    </row>
    <row r="1512">
      <c r="A1512" s="17"/>
      <c r="H1512" s="18"/>
      <c r="K1512" s="18" t="s">
        <v>316</v>
      </c>
    </row>
    <row r="1513">
      <c r="A1513" s="17"/>
      <c r="H1513" s="18"/>
      <c r="K1513" s="18" t="s">
        <v>316</v>
      </c>
    </row>
    <row r="1514">
      <c r="A1514" s="17"/>
      <c r="H1514" s="18"/>
      <c r="K1514" s="18" t="s">
        <v>316</v>
      </c>
    </row>
    <row r="1515">
      <c r="A1515" s="17"/>
      <c r="H1515" s="18"/>
      <c r="K1515" s="18" t="s">
        <v>316</v>
      </c>
    </row>
    <row r="1516">
      <c r="A1516" s="17"/>
      <c r="H1516" s="18"/>
      <c r="K1516" s="18" t="s">
        <v>316</v>
      </c>
    </row>
    <row r="1517">
      <c r="A1517" s="17"/>
      <c r="H1517" s="18"/>
      <c r="K1517" s="18" t="s">
        <v>316</v>
      </c>
    </row>
    <row r="1518">
      <c r="A1518" s="17"/>
      <c r="H1518" s="18"/>
      <c r="K1518" s="18" t="s">
        <v>316</v>
      </c>
    </row>
    <row r="1519">
      <c r="A1519" s="17"/>
      <c r="H1519" s="18"/>
      <c r="K1519" s="18" t="s">
        <v>316</v>
      </c>
    </row>
    <row r="1520">
      <c r="A1520" s="17"/>
      <c r="H1520" s="18"/>
      <c r="K1520" s="18" t="s">
        <v>316</v>
      </c>
    </row>
    <row r="1521">
      <c r="A1521" s="17"/>
      <c r="H1521" s="18"/>
      <c r="K1521" s="18" t="s">
        <v>316</v>
      </c>
    </row>
    <row r="1522">
      <c r="A1522" s="17"/>
      <c r="H1522" s="18"/>
      <c r="K1522" s="18" t="s">
        <v>316</v>
      </c>
    </row>
    <row r="1523">
      <c r="A1523" s="17"/>
      <c r="H1523" s="18"/>
      <c r="K1523" s="18" t="s">
        <v>316</v>
      </c>
    </row>
    <row r="1524">
      <c r="A1524" s="17"/>
      <c r="H1524" s="18"/>
      <c r="K1524" s="18" t="s">
        <v>316</v>
      </c>
    </row>
    <row r="1525">
      <c r="A1525" s="17"/>
      <c r="H1525" s="18"/>
      <c r="K1525" s="18" t="s">
        <v>316</v>
      </c>
    </row>
    <row r="1526">
      <c r="A1526" s="17"/>
      <c r="H1526" s="18"/>
      <c r="K1526" s="18" t="s">
        <v>316</v>
      </c>
    </row>
    <row r="1527">
      <c r="A1527" s="17"/>
      <c r="H1527" s="18"/>
      <c r="K1527" s="18" t="s">
        <v>316</v>
      </c>
    </row>
    <row r="1528">
      <c r="A1528" s="17"/>
      <c r="H1528" s="18"/>
      <c r="K1528" s="18" t="s">
        <v>316</v>
      </c>
    </row>
    <row r="1529">
      <c r="A1529" s="17"/>
      <c r="H1529" s="18"/>
      <c r="K1529" s="18" t="s">
        <v>316</v>
      </c>
    </row>
    <row r="1530">
      <c r="A1530" s="17"/>
      <c r="H1530" s="18"/>
      <c r="K1530" s="18" t="s">
        <v>316</v>
      </c>
    </row>
    <row r="1531">
      <c r="A1531" s="17"/>
      <c r="H1531" s="18"/>
      <c r="K1531" s="18" t="s">
        <v>316</v>
      </c>
    </row>
    <row r="1532">
      <c r="A1532" s="17"/>
      <c r="H1532" s="18"/>
      <c r="K1532" s="18" t="s">
        <v>316</v>
      </c>
    </row>
    <row r="1533">
      <c r="A1533" s="17"/>
      <c r="H1533" s="18"/>
      <c r="K1533" s="18" t="s">
        <v>316</v>
      </c>
    </row>
    <row r="1534">
      <c r="A1534" s="17"/>
      <c r="H1534" s="18"/>
      <c r="K1534" s="18" t="s">
        <v>316</v>
      </c>
    </row>
    <row r="1535">
      <c r="A1535" s="17"/>
      <c r="H1535" s="18"/>
      <c r="K1535" s="18" t="s">
        <v>316</v>
      </c>
    </row>
    <row r="1536">
      <c r="A1536" s="17"/>
      <c r="H1536" s="18"/>
      <c r="K1536" s="18" t="s">
        <v>316</v>
      </c>
    </row>
    <row r="1537">
      <c r="A1537" s="17"/>
      <c r="H1537" s="18"/>
      <c r="K1537" s="18" t="s">
        <v>316</v>
      </c>
    </row>
    <row r="1538">
      <c r="A1538" s="17"/>
      <c r="H1538" s="18"/>
      <c r="K1538" s="18" t="s">
        <v>316</v>
      </c>
    </row>
    <row r="1539">
      <c r="A1539" s="17"/>
      <c r="H1539" s="18"/>
      <c r="K1539" s="18" t="s">
        <v>316</v>
      </c>
    </row>
    <row r="1540">
      <c r="A1540" s="17"/>
      <c r="H1540" s="18"/>
      <c r="K1540" s="18" t="s">
        <v>316</v>
      </c>
    </row>
    <row r="1541">
      <c r="A1541" s="17"/>
      <c r="H1541" s="18"/>
      <c r="K1541" s="18" t="s">
        <v>316</v>
      </c>
    </row>
    <row r="1542">
      <c r="A1542" s="17"/>
      <c r="H1542" s="18"/>
      <c r="K1542" s="18" t="s">
        <v>316</v>
      </c>
    </row>
    <row r="1543">
      <c r="A1543" s="17"/>
      <c r="H1543" s="18"/>
      <c r="K1543" s="18" t="s">
        <v>316</v>
      </c>
    </row>
    <row r="1544">
      <c r="A1544" s="17"/>
      <c r="H1544" s="18"/>
      <c r="K1544" s="18" t="s">
        <v>316</v>
      </c>
    </row>
    <row r="1545">
      <c r="A1545" s="17"/>
      <c r="H1545" s="18"/>
      <c r="K1545" s="18" t="s">
        <v>316</v>
      </c>
    </row>
    <row r="1546">
      <c r="A1546" s="17"/>
      <c r="H1546" s="18"/>
      <c r="K1546" s="18" t="s">
        <v>316</v>
      </c>
    </row>
    <row r="1547">
      <c r="A1547" s="17"/>
      <c r="H1547" s="18"/>
      <c r="K1547" s="18" t="s">
        <v>316</v>
      </c>
    </row>
    <row r="1548">
      <c r="A1548" s="17"/>
      <c r="H1548" s="18"/>
      <c r="K1548" s="18" t="s">
        <v>316</v>
      </c>
    </row>
    <row r="1549">
      <c r="A1549" s="17"/>
      <c r="H1549" s="18"/>
      <c r="K1549" s="18" t="s">
        <v>316</v>
      </c>
    </row>
    <row r="1550">
      <c r="A1550" s="17"/>
      <c r="H1550" s="18"/>
      <c r="K1550" s="18" t="s">
        <v>316</v>
      </c>
    </row>
    <row r="1551">
      <c r="A1551" s="17"/>
      <c r="H1551" s="18"/>
      <c r="K1551" s="18" t="s">
        <v>316</v>
      </c>
    </row>
    <row r="1552">
      <c r="A1552" s="17"/>
      <c r="H1552" s="18"/>
      <c r="K1552" s="18" t="s">
        <v>316</v>
      </c>
    </row>
    <row r="1553">
      <c r="A1553" s="17"/>
      <c r="H1553" s="18"/>
      <c r="K1553" s="18" t="s">
        <v>316</v>
      </c>
    </row>
    <row r="1554">
      <c r="A1554" s="17"/>
      <c r="H1554" s="18"/>
      <c r="K1554" s="18" t="s">
        <v>316</v>
      </c>
    </row>
    <row r="1555">
      <c r="A1555" s="17"/>
      <c r="H1555" s="18"/>
      <c r="K1555" s="18" t="s">
        <v>316</v>
      </c>
    </row>
    <row r="1556">
      <c r="A1556" s="17"/>
      <c r="H1556" s="18"/>
      <c r="K1556" s="18" t="s">
        <v>316</v>
      </c>
    </row>
    <row r="1557">
      <c r="A1557" s="17"/>
      <c r="H1557" s="18"/>
      <c r="K1557" s="18" t="s">
        <v>316</v>
      </c>
    </row>
    <row r="1558">
      <c r="A1558" s="17"/>
      <c r="H1558" s="18"/>
      <c r="K1558" s="18" t="s">
        <v>316</v>
      </c>
    </row>
    <row r="1559">
      <c r="A1559" s="17"/>
      <c r="H1559" s="18"/>
      <c r="K1559" s="18" t="s">
        <v>316</v>
      </c>
    </row>
    <row r="1560">
      <c r="A1560" s="17"/>
      <c r="H1560" s="18"/>
      <c r="K1560" s="18" t="s">
        <v>316</v>
      </c>
    </row>
    <row r="1561">
      <c r="A1561" s="17"/>
      <c r="H1561" s="18"/>
      <c r="K1561" s="18" t="s">
        <v>316</v>
      </c>
    </row>
    <row r="1562">
      <c r="A1562" s="17"/>
      <c r="H1562" s="18"/>
      <c r="K1562" s="18" t="s">
        <v>316</v>
      </c>
    </row>
    <row r="1563">
      <c r="A1563" s="17"/>
      <c r="H1563" s="18"/>
      <c r="K1563" s="18" t="s">
        <v>316</v>
      </c>
    </row>
    <row r="1564">
      <c r="A1564" s="17"/>
      <c r="H1564" s="18"/>
      <c r="K1564" s="18" t="s">
        <v>316</v>
      </c>
    </row>
    <row r="1565">
      <c r="A1565" s="17"/>
      <c r="H1565" s="18"/>
      <c r="K1565" s="18" t="s">
        <v>316</v>
      </c>
    </row>
    <row r="1566">
      <c r="A1566" s="17"/>
      <c r="H1566" s="18"/>
      <c r="K1566" s="18" t="s">
        <v>316</v>
      </c>
    </row>
    <row r="1567">
      <c r="A1567" s="17"/>
      <c r="H1567" s="18"/>
      <c r="K1567" s="18" t="s">
        <v>316</v>
      </c>
    </row>
    <row r="1568">
      <c r="A1568" s="17"/>
      <c r="H1568" s="18"/>
      <c r="K1568" s="18" t="s">
        <v>316</v>
      </c>
    </row>
    <row r="1569">
      <c r="A1569" s="17"/>
      <c r="H1569" s="18"/>
      <c r="K1569" s="18" t="s">
        <v>316</v>
      </c>
    </row>
    <row r="1570">
      <c r="A1570" s="17"/>
      <c r="H1570" s="18"/>
      <c r="K1570" s="18" t="s">
        <v>316</v>
      </c>
    </row>
    <row r="1571">
      <c r="A1571" s="17"/>
      <c r="H1571" s="18"/>
      <c r="K1571" s="18" t="s">
        <v>316</v>
      </c>
    </row>
    <row r="1572">
      <c r="A1572" s="17"/>
      <c r="H1572" s="18"/>
      <c r="K1572" s="18" t="s">
        <v>316</v>
      </c>
    </row>
    <row r="1573">
      <c r="A1573" s="17"/>
      <c r="H1573" s="18"/>
      <c r="K1573" s="18" t="s">
        <v>316</v>
      </c>
    </row>
    <row r="1574">
      <c r="A1574" s="17"/>
      <c r="H1574" s="18"/>
      <c r="K1574" s="18" t="s">
        <v>316</v>
      </c>
    </row>
    <row r="1575">
      <c r="A1575" s="17"/>
      <c r="H1575" s="18"/>
      <c r="K1575" s="18" t="s">
        <v>316</v>
      </c>
    </row>
    <row r="1576">
      <c r="A1576" s="17"/>
      <c r="H1576" s="18"/>
      <c r="K1576" s="18" t="s">
        <v>316</v>
      </c>
    </row>
    <row r="1577">
      <c r="A1577" s="17"/>
      <c r="H1577" s="18"/>
      <c r="K1577" s="18" t="s">
        <v>316</v>
      </c>
    </row>
    <row r="1578">
      <c r="A1578" s="17"/>
      <c r="H1578" s="18"/>
      <c r="K1578" s="18" t="s">
        <v>316</v>
      </c>
    </row>
    <row r="1579">
      <c r="A1579" s="17"/>
      <c r="H1579" s="18"/>
      <c r="K1579" s="18" t="s">
        <v>316</v>
      </c>
    </row>
    <row r="1580">
      <c r="A1580" s="17"/>
      <c r="H1580" s="18"/>
      <c r="K1580" s="18" t="s">
        <v>316</v>
      </c>
    </row>
    <row r="1581">
      <c r="A1581" s="17"/>
      <c r="H1581" s="18"/>
      <c r="K1581" s="18" t="s">
        <v>316</v>
      </c>
    </row>
    <row r="1582">
      <c r="A1582" s="17"/>
      <c r="H1582" s="18"/>
      <c r="K1582" s="18" t="s">
        <v>316</v>
      </c>
    </row>
    <row r="1583">
      <c r="A1583" s="17"/>
      <c r="H1583" s="18"/>
      <c r="K1583" s="18" t="s">
        <v>316</v>
      </c>
    </row>
    <row r="1584">
      <c r="A1584" s="17"/>
      <c r="H1584" s="18"/>
      <c r="K1584" s="18" t="s">
        <v>316</v>
      </c>
    </row>
    <row r="1585">
      <c r="A1585" s="17"/>
      <c r="H1585" s="18"/>
      <c r="K1585" s="18" t="s">
        <v>316</v>
      </c>
    </row>
    <row r="1586">
      <c r="A1586" s="17"/>
      <c r="H1586" s="18"/>
      <c r="K1586" s="18" t="s">
        <v>316</v>
      </c>
    </row>
    <row r="1587">
      <c r="A1587" s="17"/>
      <c r="H1587" s="18"/>
      <c r="K1587" s="18" t="s">
        <v>316</v>
      </c>
    </row>
    <row r="1588">
      <c r="A1588" s="17"/>
      <c r="H1588" s="18"/>
      <c r="K1588" s="18" t="s">
        <v>316</v>
      </c>
    </row>
    <row r="1589">
      <c r="A1589" s="17"/>
      <c r="H1589" s="18"/>
      <c r="K1589" s="18" t="s">
        <v>316</v>
      </c>
    </row>
    <row r="1590">
      <c r="A1590" s="17"/>
      <c r="H1590" s="18"/>
      <c r="K1590" s="18" t="s">
        <v>316</v>
      </c>
    </row>
    <row r="1591">
      <c r="A1591" s="17"/>
      <c r="H1591" s="18"/>
      <c r="K1591" s="18" t="s">
        <v>316</v>
      </c>
    </row>
    <row r="1592">
      <c r="A1592" s="17"/>
      <c r="H1592" s="18"/>
      <c r="K1592" s="18" t="s">
        <v>316</v>
      </c>
    </row>
    <row r="1593">
      <c r="A1593" s="17"/>
      <c r="H1593" s="18"/>
      <c r="K1593" s="18" t="s">
        <v>316</v>
      </c>
    </row>
    <row r="1594">
      <c r="A1594" s="17"/>
      <c r="H1594" s="18"/>
      <c r="K1594" s="18" t="s">
        <v>316</v>
      </c>
    </row>
    <row r="1595">
      <c r="A1595" s="17"/>
      <c r="H1595" s="18"/>
      <c r="K1595" s="18" t="s">
        <v>316</v>
      </c>
    </row>
    <row r="1596">
      <c r="A1596" s="17"/>
      <c r="H1596" s="18"/>
      <c r="K1596" s="18" t="s">
        <v>316</v>
      </c>
    </row>
    <row r="1597">
      <c r="A1597" s="17"/>
      <c r="H1597" s="18"/>
      <c r="K1597" s="18" t="s">
        <v>316</v>
      </c>
    </row>
    <row r="1598">
      <c r="A1598" s="17"/>
      <c r="H1598" s="18"/>
      <c r="K1598" s="18" t="s">
        <v>316</v>
      </c>
    </row>
    <row r="1599">
      <c r="A1599" s="17"/>
      <c r="H1599" s="18"/>
      <c r="K1599" s="18" t="s">
        <v>316</v>
      </c>
    </row>
    <row r="1600">
      <c r="A1600" s="17"/>
      <c r="H1600" s="18"/>
      <c r="K1600" s="18" t="s">
        <v>316</v>
      </c>
    </row>
    <row r="1601">
      <c r="A1601" s="17"/>
      <c r="H1601" s="18"/>
      <c r="K1601" s="18" t="s">
        <v>316</v>
      </c>
    </row>
    <row r="1602">
      <c r="A1602" s="17"/>
      <c r="H1602" s="18"/>
      <c r="K1602" s="18" t="s">
        <v>316</v>
      </c>
    </row>
    <row r="1603">
      <c r="A1603" s="17"/>
      <c r="H1603" s="18"/>
      <c r="K1603" s="18" t="s">
        <v>316</v>
      </c>
    </row>
    <row r="1604">
      <c r="A1604" s="17"/>
      <c r="H1604" s="18"/>
      <c r="K1604" s="18" t="s">
        <v>316</v>
      </c>
    </row>
    <row r="1605">
      <c r="A1605" s="17"/>
      <c r="H1605" s="18"/>
      <c r="K1605" s="18" t="s">
        <v>316</v>
      </c>
    </row>
    <row r="1606">
      <c r="A1606" s="17"/>
      <c r="H1606" s="18"/>
      <c r="K1606" s="18" t="s">
        <v>316</v>
      </c>
    </row>
    <row r="1607">
      <c r="A1607" s="17"/>
      <c r="H1607" s="18"/>
      <c r="K1607" s="18" t="s">
        <v>316</v>
      </c>
    </row>
    <row r="1608">
      <c r="A1608" s="17"/>
      <c r="H1608" s="18"/>
      <c r="K1608" s="18" t="s">
        <v>316</v>
      </c>
    </row>
    <row r="1609">
      <c r="A1609" s="17"/>
      <c r="H1609" s="18"/>
      <c r="K1609" s="18" t="s">
        <v>316</v>
      </c>
    </row>
    <row r="1610">
      <c r="A1610" s="17"/>
      <c r="H1610" s="18"/>
      <c r="K1610" s="18" t="s">
        <v>316</v>
      </c>
    </row>
    <row r="1611">
      <c r="A1611" s="17"/>
      <c r="H1611" s="18"/>
      <c r="K1611" s="18" t="s">
        <v>316</v>
      </c>
    </row>
    <row r="1612">
      <c r="A1612" s="17"/>
      <c r="H1612" s="18"/>
      <c r="K1612" s="18" t="s">
        <v>316</v>
      </c>
    </row>
    <row r="1613">
      <c r="A1613" s="17"/>
      <c r="H1613" s="18"/>
      <c r="K1613" s="18" t="s">
        <v>316</v>
      </c>
    </row>
    <row r="1614">
      <c r="A1614" s="17"/>
      <c r="H1614" s="18"/>
      <c r="K1614" s="18" t="s">
        <v>316</v>
      </c>
    </row>
    <row r="1615">
      <c r="A1615" s="17"/>
      <c r="H1615" s="18"/>
      <c r="K1615" s="18" t="s">
        <v>316</v>
      </c>
    </row>
    <row r="1616">
      <c r="A1616" s="17"/>
      <c r="H1616" s="18"/>
      <c r="K1616" s="18" t="s">
        <v>316</v>
      </c>
    </row>
    <row r="1617">
      <c r="A1617" s="17"/>
      <c r="H1617" s="18"/>
      <c r="K1617" s="18" t="s">
        <v>316</v>
      </c>
    </row>
    <row r="1618">
      <c r="A1618" s="17"/>
      <c r="H1618" s="18"/>
      <c r="K1618" s="18" t="s">
        <v>316</v>
      </c>
    </row>
    <row r="1619">
      <c r="A1619" s="17"/>
      <c r="H1619" s="18"/>
      <c r="K1619" s="18" t="s">
        <v>316</v>
      </c>
    </row>
    <row r="1620">
      <c r="A1620" s="17"/>
      <c r="H1620" s="18"/>
      <c r="K1620" s="18" t="s">
        <v>316</v>
      </c>
    </row>
    <row r="1621">
      <c r="A1621" s="17"/>
      <c r="H1621" s="18"/>
      <c r="K1621" s="18" t="s">
        <v>316</v>
      </c>
    </row>
    <row r="1622">
      <c r="A1622" s="17"/>
      <c r="H1622" s="18"/>
      <c r="K1622" s="18" t="s">
        <v>316</v>
      </c>
    </row>
    <row r="1623">
      <c r="A1623" s="17"/>
      <c r="H1623" s="18"/>
      <c r="K1623" s="18" t="s">
        <v>316</v>
      </c>
    </row>
    <row r="1624">
      <c r="A1624" s="17"/>
      <c r="H1624" s="18"/>
      <c r="K1624" s="18" t="s">
        <v>316</v>
      </c>
    </row>
    <row r="1625">
      <c r="A1625" s="17"/>
      <c r="H1625" s="18"/>
      <c r="K1625" s="18" t="s">
        <v>316</v>
      </c>
    </row>
    <row r="1626">
      <c r="A1626" s="17"/>
      <c r="H1626" s="18"/>
      <c r="K1626" s="18" t="s">
        <v>316</v>
      </c>
    </row>
    <row r="1627">
      <c r="A1627" s="17"/>
      <c r="H1627" s="18"/>
      <c r="K1627" s="18" t="s">
        <v>316</v>
      </c>
    </row>
    <row r="1628">
      <c r="A1628" s="17"/>
      <c r="H1628" s="18"/>
      <c r="K1628" s="18" t="s">
        <v>316</v>
      </c>
    </row>
    <row r="1629">
      <c r="A1629" s="17"/>
      <c r="H1629" s="18"/>
      <c r="K1629" s="18" t="s">
        <v>316</v>
      </c>
    </row>
    <row r="1630">
      <c r="A1630" s="17"/>
      <c r="H1630" s="18"/>
      <c r="K1630" s="18" t="s">
        <v>316</v>
      </c>
    </row>
    <row r="1631">
      <c r="A1631" s="17"/>
      <c r="H1631" s="18"/>
      <c r="K1631" s="18" t="s">
        <v>316</v>
      </c>
    </row>
    <row r="1632">
      <c r="A1632" s="17"/>
      <c r="H1632" s="18"/>
      <c r="K1632" s="18" t="s">
        <v>316</v>
      </c>
    </row>
    <row r="1633">
      <c r="A1633" s="17"/>
      <c r="H1633" s="18"/>
      <c r="K1633" s="18" t="s">
        <v>316</v>
      </c>
    </row>
    <row r="1634">
      <c r="A1634" s="17"/>
      <c r="H1634" s="18"/>
      <c r="K1634" s="18" t="s">
        <v>316</v>
      </c>
    </row>
    <row r="1635">
      <c r="A1635" s="17"/>
      <c r="H1635" s="18"/>
      <c r="K1635" s="18" t="s">
        <v>316</v>
      </c>
    </row>
    <row r="1636">
      <c r="A1636" s="17"/>
      <c r="H1636" s="18"/>
      <c r="K1636" s="18" t="s">
        <v>316</v>
      </c>
    </row>
    <row r="1637">
      <c r="A1637" s="17"/>
      <c r="H1637" s="18"/>
      <c r="K1637" s="18" t="s">
        <v>316</v>
      </c>
    </row>
    <row r="1638">
      <c r="A1638" s="17"/>
      <c r="H1638" s="18"/>
      <c r="K1638" s="18" t="s">
        <v>316</v>
      </c>
    </row>
    <row r="1639">
      <c r="A1639" s="17"/>
      <c r="H1639" s="18"/>
      <c r="K1639" s="18" t="s">
        <v>316</v>
      </c>
    </row>
    <row r="1640">
      <c r="A1640" s="17"/>
      <c r="H1640" s="18"/>
      <c r="K1640" s="18" t="s">
        <v>316</v>
      </c>
    </row>
    <row r="1641">
      <c r="A1641" s="17"/>
      <c r="H1641" s="18"/>
      <c r="K1641" s="18" t="s">
        <v>316</v>
      </c>
    </row>
    <row r="1642">
      <c r="A1642" s="17"/>
      <c r="H1642" s="18"/>
      <c r="K1642" s="18" t="s">
        <v>316</v>
      </c>
    </row>
    <row r="1643">
      <c r="A1643" s="17"/>
      <c r="H1643" s="18"/>
      <c r="K1643" s="18" t="s">
        <v>316</v>
      </c>
    </row>
    <row r="1644">
      <c r="A1644" s="17"/>
      <c r="H1644" s="18"/>
      <c r="K1644" s="18" t="s">
        <v>316</v>
      </c>
    </row>
    <row r="1645">
      <c r="A1645" s="17"/>
      <c r="H1645" s="18"/>
      <c r="K1645" s="18" t="s">
        <v>316</v>
      </c>
    </row>
    <row r="1646">
      <c r="A1646" s="17"/>
      <c r="H1646" s="18"/>
      <c r="K1646" s="18" t="s">
        <v>316</v>
      </c>
    </row>
    <row r="1647">
      <c r="A1647" s="17"/>
      <c r="H1647" s="18"/>
      <c r="K1647" s="18" t="s">
        <v>316</v>
      </c>
    </row>
    <row r="1648">
      <c r="A1648" s="17"/>
      <c r="H1648" s="18"/>
      <c r="K1648" s="18" t="s">
        <v>316</v>
      </c>
    </row>
    <row r="1649">
      <c r="A1649" s="17"/>
      <c r="H1649" s="18"/>
      <c r="K1649" s="18" t="s">
        <v>316</v>
      </c>
    </row>
    <row r="1650">
      <c r="A1650" s="17"/>
      <c r="H1650" s="18"/>
      <c r="K1650" s="18" t="s">
        <v>316</v>
      </c>
    </row>
    <row r="1651">
      <c r="A1651" s="17"/>
      <c r="H1651" s="18"/>
      <c r="K1651" s="18" t="s">
        <v>316</v>
      </c>
    </row>
    <row r="1652">
      <c r="A1652" s="17"/>
      <c r="H1652" s="18"/>
      <c r="K1652" s="18" t="s">
        <v>316</v>
      </c>
    </row>
    <row r="1653">
      <c r="A1653" s="17"/>
      <c r="H1653" s="18"/>
      <c r="K1653" s="18" t="s">
        <v>316</v>
      </c>
    </row>
    <row r="1654">
      <c r="A1654" s="17"/>
      <c r="H1654" s="18"/>
      <c r="K1654" s="18" t="s">
        <v>316</v>
      </c>
    </row>
    <row r="1655">
      <c r="A1655" s="17"/>
      <c r="H1655" s="18"/>
      <c r="K1655" s="18" t="s">
        <v>316</v>
      </c>
    </row>
    <row r="1656">
      <c r="A1656" s="17"/>
      <c r="H1656" s="18"/>
      <c r="K1656" s="18" t="s">
        <v>316</v>
      </c>
    </row>
    <row r="1657">
      <c r="A1657" s="17"/>
      <c r="H1657" s="18"/>
      <c r="K1657" s="18" t="s">
        <v>316</v>
      </c>
    </row>
    <row r="1658">
      <c r="A1658" s="17"/>
      <c r="H1658" s="18"/>
      <c r="K1658" s="18" t="s">
        <v>316</v>
      </c>
    </row>
    <row r="1659">
      <c r="A1659" s="17"/>
      <c r="H1659" s="18"/>
      <c r="K1659" s="18" t="s">
        <v>316</v>
      </c>
    </row>
    <row r="1660">
      <c r="A1660" s="17"/>
      <c r="H1660" s="18"/>
      <c r="K1660" s="18" t="s">
        <v>316</v>
      </c>
    </row>
    <row r="1661">
      <c r="A1661" s="17"/>
      <c r="H1661" s="18"/>
      <c r="K1661" s="18" t="s">
        <v>316</v>
      </c>
    </row>
    <row r="1662">
      <c r="A1662" s="17"/>
      <c r="H1662" s="18"/>
      <c r="K1662" s="18" t="s">
        <v>316</v>
      </c>
    </row>
    <row r="1663">
      <c r="A1663" s="17"/>
      <c r="H1663" s="18"/>
      <c r="K1663" s="18" t="s">
        <v>316</v>
      </c>
    </row>
    <row r="1664">
      <c r="A1664" s="17"/>
      <c r="H1664" s="18"/>
      <c r="K1664" s="18" t="s">
        <v>316</v>
      </c>
    </row>
    <row r="1665">
      <c r="A1665" s="17"/>
      <c r="H1665" s="18"/>
      <c r="K1665" s="18" t="s">
        <v>316</v>
      </c>
    </row>
    <row r="1666">
      <c r="A1666" s="17"/>
      <c r="H1666" s="18"/>
      <c r="K1666" s="18" t="s">
        <v>316</v>
      </c>
    </row>
    <row r="1667">
      <c r="A1667" s="17"/>
      <c r="H1667" s="18"/>
      <c r="K1667" s="18" t="s">
        <v>316</v>
      </c>
    </row>
    <row r="1668">
      <c r="A1668" s="17"/>
      <c r="H1668" s="18"/>
      <c r="K1668" s="18" t="s">
        <v>316</v>
      </c>
    </row>
    <row r="1669">
      <c r="A1669" s="17"/>
      <c r="H1669" s="18"/>
      <c r="K1669" s="18" t="s">
        <v>316</v>
      </c>
    </row>
    <row r="1670">
      <c r="A1670" s="17"/>
      <c r="H1670" s="18"/>
      <c r="K1670" s="18" t="s">
        <v>316</v>
      </c>
    </row>
    <row r="1671">
      <c r="A1671" s="17"/>
      <c r="H1671" s="18"/>
      <c r="K1671" s="18" t="s">
        <v>316</v>
      </c>
    </row>
    <row r="1672">
      <c r="A1672" s="17"/>
      <c r="H1672" s="18"/>
      <c r="K1672" s="18" t="s">
        <v>316</v>
      </c>
    </row>
    <row r="1673">
      <c r="A1673" s="17"/>
      <c r="H1673" s="18"/>
      <c r="K1673" s="18" t="s">
        <v>316</v>
      </c>
    </row>
    <row r="1674">
      <c r="A1674" s="17"/>
      <c r="H1674" s="18"/>
      <c r="K1674" s="18" t="s">
        <v>316</v>
      </c>
    </row>
    <row r="1675">
      <c r="A1675" s="17"/>
      <c r="H1675" s="18"/>
      <c r="K1675" s="18" t="s">
        <v>316</v>
      </c>
    </row>
    <row r="1676">
      <c r="A1676" s="17"/>
      <c r="H1676" s="18"/>
      <c r="K1676" s="18" t="s">
        <v>316</v>
      </c>
    </row>
    <row r="1677">
      <c r="A1677" s="17"/>
      <c r="H1677" s="18"/>
      <c r="K1677" s="18" t="s">
        <v>316</v>
      </c>
    </row>
    <row r="1678">
      <c r="A1678" s="17"/>
      <c r="H1678" s="18"/>
      <c r="K1678" s="18" t="s">
        <v>316</v>
      </c>
    </row>
    <row r="1679">
      <c r="A1679" s="17"/>
      <c r="H1679" s="18"/>
      <c r="K1679" s="18" t="s">
        <v>316</v>
      </c>
    </row>
    <row r="1680">
      <c r="A1680" s="17"/>
      <c r="H1680" s="18"/>
      <c r="K1680" s="18" t="s">
        <v>316</v>
      </c>
    </row>
    <row r="1681">
      <c r="A1681" s="17"/>
      <c r="H1681" s="18"/>
      <c r="K1681" s="18" t="s">
        <v>316</v>
      </c>
    </row>
    <row r="1682">
      <c r="A1682" s="17"/>
      <c r="H1682" s="18"/>
      <c r="K1682" s="18" t="s">
        <v>316</v>
      </c>
    </row>
    <row r="1683">
      <c r="A1683" s="17"/>
      <c r="H1683" s="18"/>
      <c r="K1683" s="18" t="s">
        <v>316</v>
      </c>
    </row>
    <row r="1684">
      <c r="A1684" s="17"/>
      <c r="H1684" s="18"/>
      <c r="K1684" s="18" t="s">
        <v>316</v>
      </c>
    </row>
    <row r="1685">
      <c r="A1685" s="17"/>
      <c r="H1685" s="18"/>
      <c r="K1685" s="18" t="s">
        <v>316</v>
      </c>
    </row>
    <row r="1686">
      <c r="A1686" s="17"/>
      <c r="H1686" s="18"/>
      <c r="K1686" s="18" t="s">
        <v>316</v>
      </c>
    </row>
    <row r="1687">
      <c r="A1687" s="17"/>
      <c r="H1687" s="18"/>
      <c r="K1687" s="18" t="s">
        <v>316</v>
      </c>
    </row>
    <row r="1688">
      <c r="A1688" s="17"/>
      <c r="H1688" s="18"/>
      <c r="K1688" s="18" t="s">
        <v>316</v>
      </c>
    </row>
    <row r="1689">
      <c r="A1689" s="17"/>
      <c r="H1689" s="18"/>
      <c r="K1689" s="18" t="s">
        <v>316</v>
      </c>
    </row>
    <row r="1690">
      <c r="A1690" s="17"/>
      <c r="H1690" s="18"/>
      <c r="K1690" s="18" t="s">
        <v>316</v>
      </c>
    </row>
    <row r="1691">
      <c r="A1691" s="17"/>
      <c r="H1691" s="18"/>
      <c r="K1691" s="18" t="s">
        <v>316</v>
      </c>
    </row>
    <row r="1692">
      <c r="A1692" s="17"/>
      <c r="H1692" s="18"/>
      <c r="K1692" s="18" t="s">
        <v>316</v>
      </c>
    </row>
    <row r="1693">
      <c r="A1693" s="17"/>
      <c r="H1693" s="18"/>
      <c r="K1693" s="18" t="s">
        <v>316</v>
      </c>
    </row>
    <row r="1694">
      <c r="A1694" s="17"/>
      <c r="H1694" s="18"/>
      <c r="K1694" s="18" t="s">
        <v>316</v>
      </c>
    </row>
    <row r="1695">
      <c r="A1695" s="17"/>
      <c r="H1695" s="18"/>
      <c r="K1695" s="18" t="s">
        <v>316</v>
      </c>
    </row>
    <row r="1696">
      <c r="A1696" s="17"/>
      <c r="H1696" s="18"/>
      <c r="K1696" s="18" t="s">
        <v>316</v>
      </c>
    </row>
    <row r="1697">
      <c r="A1697" s="17"/>
      <c r="H1697" s="18"/>
      <c r="K1697" s="18" t="s">
        <v>316</v>
      </c>
    </row>
    <row r="1698">
      <c r="A1698" s="17"/>
      <c r="H1698" s="18"/>
      <c r="K1698" s="18" t="s">
        <v>316</v>
      </c>
    </row>
    <row r="1699">
      <c r="A1699" s="17"/>
      <c r="H1699" s="18"/>
      <c r="K1699" s="18" t="s">
        <v>316</v>
      </c>
    </row>
    <row r="1700">
      <c r="A1700" s="17"/>
      <c r="H1700" s="18"/>
      <c r="K1700" s="18" t="s">
        <v>316</v>
      </c>
    </row>
    <row r="1701">
      <c r="A1701" s="17"/>
      <c r="H1701" s="18"/>
      <c r="K1701" s="18" t="s">
        <v>316</v>
      </c>
    </row>
    <row r="1702">
      <c r="A1702" s="17"/>
      <c r="H1702" s="18"/>
      <c r="K1702" s="18" t="s">
        <v>316</v>
      </c>
    </row>
    <row r="1703">
      <c r="A1703" s="17"/>
      <c r="H1703" s="18"/>
      <c r="K1703" s="18" t="s">
        <v>316</v>
      </c>
    </row>
    <row r="1704">
      <c r="A1704" s="17"/>
      <c r="H1704" s="18"/>
      <c r="K1704" s="18" t="s">
        <v>316</v>
      </c>
    </row>
    <row r="1705">
      <c r="A1705" s="17"/>
      <c r="H1705" s="18"/>
      <c r="K1705" s="18" t="s">
        <v>316</v>
      </c>
    </row>
    <row r="1706">
      <c r="A1706" s="17"/>
      <c r="H1706" s="18"/>
      <c r="K1706" s="18" t="s">
        <v>316</v>
      </c>
    </row>
    <row r="1707">
      <c r="A1707" s="17"/>
      <c r="H1707" s="18"/>
      <c r="K1707" s="18" t="s">
        <v>316</v>
      </c>
    </row>
    <row r="1708">
      <c r="A1708" s="17"/>
      <c r="H1708" s="18"/>
      <c r="K1708" s="18" t="s">
        <v>316</v>
      </c>
    </row>
    <row r="1709">
      <c r="A1709" s="17"/>
      <c r="H1709" s="18"/>
      <c r="K1709" s="18" t="s">
        <v>316</v>
      </c>
    </row>
    <row r="1710">
      <c r="A1710" s="17"/>
      <c r="H1710" s="18"/>
      <c r="K1710" s="18" t="s">
        <v>316</v>
      </c>
    </row>
    <row r="1711">
      <c r="A1711" s="17"/>
      <c r="H1711" s="18"/>
      <c r="K1711" s="18" t="s">
        <v>316</v>
      </c>
    </row>
    <row r="1712">
      <c r="A1712" s="17"/>
      <c r="H1712" s="18"/>
      <c r="K1712" s="18" t="s">
        <v>316</v>
      </c>
    </row>
    <row r="1713">
      <c r="A1713" s="17"/>
      <c r="H1713" s="18"/>
      <c r="K1713" s="18" t="s">
        <v>316</v>
      </c>
    </row>
    <row r="1714">
      <c r="A1714" s="17"/>
      <c r="H1714" s="18"/>
      <c r="K1714" s="18" t="s">
        <v>316</v>
      </c>
    </row>
    <row r="1715">
      <c r="A1715" s="17"/>
      <c r="H1715" s="18"/>
      <c r="K1715" s="18" t="s">
        <v>316</v>
      </c>
    </row>
    <row r="1716">
      <c r="A1716" s="17"/>
      <c r="H1716" s="18"/>
      <c r="K1716" s="18" t="s">
        <v>316</v>
      </c>
    </row>
    <row r="1717">
      <c r="A1717" s="17"/>
      <c r="H1717" s="18"/>
      <c r="K1717" s="18" t="s">
        <v>316</v>
      </c>
    </row>
    <row r="1718">
      <c r="A1718" s="17"/>
      <c r="H1718" s="18"/>
      <c r="K1718" s="18" t="s">
        <v>316</v>
      </c>
    </row>
    <row r="1719">
      <c r="A1719" s="17"/>
      <c r="H1719" s="18"/>
      <c r="K1719" s="18" t="s">
        <v>316</v>
      </c>
    </row>
    <row r="1720">
      <c r="A1720" s="17"/>
      <c r="H1720" s="18"/>
      <c r="K1720" s="18" t="s">
        <v>316</v>
      </c>
    </row>
    <row r="1721">
      <c r="A1721" s="17"/>
      <c r="H1721" s="18"/>
      <c r="K1721" s="18" t="s">
        <v>316</v>
      </c>
    </row>
    <row r="1722">
      <c r="A1722" s="17"/>
      <c r="H1722" s="18"/>
      <c r="K1722" s="18" t="s">
        <v>316</v>
      </c>
    </row>
    <row r="1723">
      <c r="A1723" s="17"/>
      <c r="H1723" s="18"/>
      <c r="K1723" s="18" t="s">
        <v>316</v>
      </c>
    </row>
    <row r="1724">
      <c r="A1724" s="17"/>
      <c r="H1724" s="18"/>
      <c r="K1724" s="18" t="s">
        <v>316</v>
      </c>
    </row>
    <row r="1725">
      <c r="A1725" s="17"/>
      <c r="H1725" s="18"/>
      <c r="K1725" s="18" t="s">
        <v>316</v>
      </c>
    </row>
    <row r="1726">
      <c r="A1726" s="17"/>
      <c r="H1726" s="18"/>
      <c r="K1726" s="18" t="s">
        <v>316</v>
      </c>
    </row>
    <row r="1727">
      <c r="A1727" s="17"/>
      <c r="H1727" s="18"/>
      <c r="K1727" s="18" t="s">
        <v>316</v>
      </c>
    </row>
    <row r="1728">
      <c r="A1728" s="17"/>
      <c r="H1728" s="18"/>
      <c r="K1728" s="18" t="s">
        <v>316</v>
      </c>
    </row>
    <row r="1729">
      <c r="A1729" s="17"/>
      <c r="H1729" s="18"/>
      <c r="K1729" s="18" t="s">
        <v>316</v>
      </c>
    </row>
    <row r="1730">
      <c r="A1730" s="17"/>
      <c r="H1730" s="18"/>
      <c r="K1730" s="18" t="s">
        <v>316</v>
      </c>
    </row>
    <row r="1731">
      <c r="A1731" s="17"/>
      <c r="H1731" s="18"/>
      <c r="K1731" s="18" t="s">
        <v>316</v>
      </c>
    </row>
    <row r="1732">
      <c r="A1732" s="17"/>
      <c r="H1732" s="18"/>
      <c r="K1732" s="18" t="s">
        <v>316</v>
      </c>
    </row>
    <row r="1733">
      <c r="A1733" s="17"/>
      <c r="H1733" s="18"/>
      <c r="K1733" s="18" t="s">
        <v>316</v>
      </c>
    </row>
    <row r="1734">
      <c r="A1734" s="17"/>
      <c r="H1734" s="18"/>
      <c r="K1734" s="18" t="s">
        <v>316</v>
      </c>
    </row>
    <row r="1735">
      <c r="A1735" s="17"/>
      <c r="H1735" s="18"/>
      <c r="K1735" s="18" t="s">
        <v>316</v>
      </c>
    </row>
    <row r="1736">
      <c r="A1736" s="17"/>
      <c r="H1736" s="18"/>
      <c r="K1736" s="18" t="s">
        <v>316</v>
      </c>
    </row>
    <row r="1737">
      <c r="A1737" s="17"/>
      <c r="H1737" s="18"/>
      <c r="K1737" s="18" t="s">
        <v>316</v>
      </c>
    </row>
    <row r="1738">
      <c r="A1738" s="17"/>
      <c r="H1738" s="18"/>
      <c r="K1738" s="18" t="s">
        <v>316</v>
      </c>
    </row>
    <row r="1739">
      <c r="A1739" s="17"/>
      <c r="H1739" s="18"/>
      <c r="K1739" s="18" t="s">
        <v>316</v>
      </c>
    </row>
    <row r="1740">
      <c r="A1740" s="17"/>
      <c r="H1740" s="18"/>
      <c r="K1740" s="18" t="s">
        <v>316</v>
      </c>
    </row>
    <row r="1741">
      <c r="A1741" s="17"/>
      <c r="H1741" s="18"/>
      <c r="K1741" s="18" t="s">
        <v>316</v>
      </c>
    </row>
    <row r="1742">
      <c r="A1742" s="17"/>
      <c r="H1742" s="18"/>
      <c r="K1742" s="18" t="s">
        <v>316</v>
      </c>
    </row>
    <row r="1743">
      <c r="A1743" s="17"/>
      <c r="H1743" s="18"/>
      <c r="K1743" s="18" t="s">
        <v>316</v>
      </c>
    </row>
    <row r="1744">
      <c r="A1744" s="17"/>
      <c r="H1744" s="18"/>
      <c r="K1744" s="18" t="s">
        <v>316</v>
      </c>
    </row>
    <row r="1745">
      <c r="A1745" s="17"/>
      <c r="H1745" s="18"/>
      <c r="K1745" s="18" t="s">
        <v>316</v>
      </c>
    </row>
    <row r="1746">
      <c r="A1746" s="17"/>
      <c r="H1746" s="18"/>
      <c r="K1746" s="18" t="s">
        <v>316</v>
      </c>
    </row>
    <row r="1747">
      <c r="A1747" s="17"/>
      <c r="H1747" s="18"/>
      <c r="K1747" s="18" t="s">
        <v>316</v>
      </c>
    </row>
    <row r="1748">
      <c r="A1748" s="17"/>
      <c r="H1748" s="18"/>
      <c r="K1748" s="18" t="s">
        <v>316</v>
      </c>
    </row>
    <row r="1749">
      <c r="A1749" s="17"/>
      <c r="H1749" s="18"/>
      <c r="K1749" s="18" t="s">
        <v>316</v>
      </c>
    </row>
    <row r="1750">
      <c r="A1750" s="17"/>
      <c r="H1750" s="18"/>
      <c r="K1750" s="18" t="s">
        <v>316</v>
      </c>
    </row>
    <row r="1751">
      <c r="A1751" s="17"/>
      <c r="H1751" s="18"/>
      <c r="K1751" s="18" t="s">
        <v>316</v>
      </c>
    </row>
    <row r="1752">
      <c r="A1752" s="17"/>
      <c r="H1752" s="18"/>
      <c r="K1752" s="18" t="s">
        <v>316</v>
      </c>
    </row>
    <row r="1753">
      <c r="A1753" s="17"/>
      <c r="H1753" s="18"/>
      <c r="K1753" s="18" t="s">
        <v>316</v>
      </c>
    </row>
    <row r="1754">
      <c r="A1754" s="17"/>
      <c r="H1754" s="18"/>
      <c r="K1754" s="18" t="s">
        <v>316</v>
      </c>
    </row>
    <row r="1755">
      <c r="A1755" s="17"/>
      <c r="H1755" s="18"/>
      <c r="K1755" s="18" t="s">
        <v>316</v>
      </c>
    </row>
    <row r="1756">
      <c r="A1756" s="17"/>
      <c r="H1756" s="18"/>
      <c r="K1756" s="18" t="s">
        <v>316</v>
      </c>
    </row>
    <row r="1757">
      <c r="A1757" s="17"/>
      <c r="H1757" s="18"/>
      <c r="K1757" s="18" t="s">
        <v>316</v>
      </c>
    </row>
    <row r="1758">
      <c r="A1758" s="17"/>
      <c r="H1758" s="18"/>
      <c r="K1758" s="18" t="s">
        <v>316</v>
      </c>
    </row>
    <row r="1759">
      <c r="A1759" s="17"/>
      <c r="H1759" s="18"/>
      <c r="K1759" s="18" t="s">
        <v>316</v>
      </c>
    </row>
    <row r="1760">
      <c r="A1760" s="17"/>
      <c r="H1760" s="18"/>
      <c r="K1760" s="18" t="s">
        <v>316</v>
      </c>
    </row>
    <row r="1761">
      <c r="A1761" s="17"/>
      <c r="H1761" s="18"/>
      <c r="K1761" s="18" t="s">
        <v>316</v>
      </c>
    </row>
    <row r="1762">
      <c r="A1762" s="17"/>
      <c r="H1762" s="18"/>
      <c r="K1762" s="18" t="s">
        <v>316</v>
      </c>
    </row>
    <row r="1763">
      <c r="A1763" s="17"/>
      <c r="H1763" s="18"/>
      <c r="K1763" s="18" t="s">
        <v>316</v>
      </c>
    </row>
    <row r="1764">
      <c r="A1764" s="17"/>
      <c r="H1764" s="18"/>
      <c r="K1764" s="18" t="s">
        <v>316</v>
      </c>
    </row>
    <row r="1765">
      <c r="A1765" s="17"/>
      <c r="H1765" s="18"/>
      <c r="K1765" s="18" t="s">
        <v>316</v>
      </c>
    </row>
    <row r="1766">
      <c r="A1766" s="17"/>
      <c r="H1766" s="18"/>
      <c r="K1766" s="18" t="s">
        <v>316</v>
      </c>
    </row>
    <row r="1767">
      <c r="A1767" s="17"/>
      <c r="H1767" s="18"/>
      <c r="K1767" s="18" t="s">
        <v>316</v>
      </c>
    </row>
    <row r="1768">
      <c r="A1768" s="17"/>
      <c r="H1768" s="18"/>
      <c r="K1768" s="18" t="s">
        <v>316</v>
      </c>
    </row>
    <row r="1769">
      <c r="A1769" s="17"/>
      <c r="H1769" s="18"/>
      <c r="K1769" s="18" t="s">
        <v>316</v>
      </c>
    </row>
    <row r="1770">
      <c r="A1770" s="17"/>
      <c r="H1770" s="18"/>
      <c r="K1770" s="18" t="s">
        <v>316</v>
      </c>
    </row>
    <row r="1771">
      <c r="A1771" s="17"/>
      <c r="H1771" s="18"/>
      <c r="K1771" s="18" t="s">
        <v>316</v>
      </c>
    </row>
    <row r="1772">
      <c r="A1772" s="17"/>
      <c r="H1772" s="18"/>
      <c r="K1772" s="18" t="s">
        <v>316</v>
      </c>
    </row>
    <row r="1773">
      <c r="A1773" s="17"/>
      <c r="H1773" s="18"/>
      <c r="K1773" s="18" t="s">
        <v>316</v>
      </c>
    </row>
    <row r="1774">
      <c r="A1774" s="17"/>
      <c r="H1774" s="18"/>
      <c r="K1774" s="18" t="s">
        <v>316</v>
      </c>
    </row>
    <row r="1775">
      <c r="A1775" s="17"/>
      <c r="H1775" s="18"/>
      <c r="K1775" s="18" t="s">
        <v>316</v>
      </c>
    </row>
    <row r="1776">
      <c r="A1776" s="17"/>
      <c r="H1776" s="18"/>
      <c r="K1776" s="18" t="s">
        <v>316</v>
      </c>
    </row>
    <row r="1777">
      <c r="A1777" s="17"/>
      <c r="H1777" s="18"/>
      <c r="K1777" s="18" t="s">
        <v>316</v>
      </c>
    </row>
    <row r="1778">
      <c r="A1778" s="17"/>
      <c r="H1778" s="18"/>
      <c r="K1778" s="18" t="s">
        <v>316</v>
      </c>
    </row>
    <row r="1779">
      <c r="A1779" s="17"/>
      <c r="H1779" s="18"/>
      <c r="K1779" s="18" t="s">
        <v>316</v>
      </c>
    </row>
    <row r="1780">
      <c r="A1780" s="17"/>
      <c r="H1780" s="18"/>
      <c r="K1780" s="18" t="s">
        <v>316</v>
      </c>
    </row>
    <row r="1781">
      <c r="A1781" s="17"/>
      <c r="H1781" s="18"/>
      <c r="K1781" s="18" t="s">
        <v>316</v>
      </c>
    </row>
    <row r="1782">
      <c r="A1782" s="17"/>
      <c r="H1782" s="18"/>
      <c r="K1782" s="18" t="s">
        <v>316</v>
      </c>
    </row>
    <row r="1783">
      <c r="A1783" s="17"/>
      <c r="H1783" s="18"/>
      <c r="K1783" s="18" t="s">
        <v>316</v>
      </c>
    </row>
    <row r="1784">
      <c r="A1784" s="17"/>
      <c r="H1784" s="18"/>
      <c r="K1784" s="18" t="s">
        <v>316</v>
      </c>
    </row>
    <row r="1785">
      <c r="A1785" s="17"/>
      <c r="H1785" s="18"/>
      <c r="K1785" s="18" t="s">
        <v>316</v>
      </c>
    </row>
    <row r="1786">
      <c r="A1786" s="17"/>
      <c r="H1786" s="18"/>
      <c r="K1786" s="18" t="s">
        <v>316</v>
      </c>
    </row>
    <row r="1787">
      <c r="A1787" s="17"/>
      <c r="H1787" s="18"/>
      <c r="K1787" s="18" t="s">
        <v>316</v>
      </c>
    </row>
    <row r="1788">
      <c r="A1788" s="17"/>
      <c r="H1788" s="18"/>
      <c r="K1788" s="18" t="s">
        <v>316</v>
      </c>
    </row>
    <row r="1789">
      <c r="A1789" s="17"/>
      <c r="H1789" s="18"/>
      <c r="K1789" s="18" t="s">
        <v>316</v>
      </c>
    </row>
    <row r="1790">
      <c r="A1790" s="17"/>
      <c r="H1790" s="18"/>
      <c r="K1790" s="18" t="s">
        <v>316</v>
      </c>
    </row>
    <row r="1791">
      <c r="A1791" s="17"/>
      <c r="H1791" s="18"/>
      <c r="K1791" s="18" t="s">
        <v>316</v>
      </c>
    </row>
    <row r="1792">
      <c r="A1792" s="17"/>
      <c r="H1792" s="18"/>
      <c r="K1792" s="18" t="s">
        <v>316</v>
      </c>
    </row>
    <row r="1793">
      <c r="A1793" s="17"/>
      <c r="H1793" s="18"/>
      <c r="K1793" s="18" t="s">
        <v>316</v>
      </c>
    </row>
    <row r="1794">
      <c r="A1794" s="17"/>
      <c r="H1794" s="18"/>
      <c r="K1794" s="18" t="s">
        <v>316</v>
      </c>
    </row>
    <row r="1795">
      <c r="A1795" s="17"/>
      <c r="H1795" s="18"/>
      <c r="K1795" s="18" t="s">
        <v>316</v>
      </c>
    </row>
    <row r="1796">
      <c r="A1796" s="17"/>
      <c r="H1796" s="18"/>
      <c r="K1796" s="18" t="s">
        <v>316</v>
      </c>
    </row>
    <row r="1797">
      <c r="A1797" s="17"/>
      <c r="H1797" s="18"/>
      <c r="K1797" s="18" t="s">
        <v>316</v>
      </c>
    </row>
    <row r="1798">
      <c r="A1798" s="17"/>
      <c r="H1798" s="18"/>
      <c r="K1798" s="18" t="s">
        <v>316</v>
      </c>
    </row>
    <row r="1799">
      <c r="A1799" s="17"/>
      <c r="H1799" s="18"/>
      <c r="K1799" s="18" t="s">
        <v>316</v>
      </c>
    </row>
    <row r="1800">
      <c r="A1800" s="17"/>
      <c r="H1800" s="18"/>
      <c r="K1800" s="18" t="s">
        <v>316</v>
      </c>
    </row>
    <row r="1801">
      <c r="A1801" s="17"/>
      <c r="H1801" s="18"/>
      <c r="K1801" s="18" t="s">
        <v>316</v>
      </c>
    </row>
    <row r="1802">
      <c r="A1802" s="17"/>
      <c r="H1802" s="18"/>
      <c r="K1802" s="18" t="s">
        <v>316</v>
      </c>
    </row>
    <row r="1803">
      <c r="A1803" s="17"/>
      <c r="H1803" s="18"/>
      <c r="K1803" s="18" t="s">
        <v>316</v>
      </c>
    </row>
    <row r="1804">
      <c r="A1804" s="17"/>
      <c r="H1804" s="18"/>
      <c r="K1804" s="18" t="s">
        <v>316</v>
      </c>
    </row>
    <row r="1805">
      <c r="A1805" s="17"/>
      <c r="H1805" s="18"/>
      <c r="K1805" s="18" t="s">
        <v>316</v>
      </c>
    </row>
    <row r="1806">
      <c r="A1806" s="17"/>
      <c r="H1806" s="18"/>
      <c r="K1806" s="18" t="s">
        <v>316</v>
      </c>
    </row>
    <row r="1807">
      <c r="A1807" s="17"/>
      <c r="H1807" s="18"/>
      <c r="K1807" s="18" t="s">
        <v>316</v>
      </c>
    </row>
    <row r="1808">
      <c r="A1808" s="17"/>
      <c r="H1808" s="18"/>
      <c r="K1808" s="18" t="s">
        <v>316</v>
      </c>
    </row>
    <row r="1809">
      <c r="A1809" s="17"/>
      <c r="H1809" s="18"/>
      <c r="K1809" s="18" t="s">
        <v>316</v>
      </c>
    </row>
    <row r="1810">
      <c r="A1810" s="17"/>
      <c r="H1810" s="18"/>
      <c r="K1810" s="18" t="s">
        <v>316</v>
      </c>
    </row>
    <row r="1811">
      <c r="A1811" s="17"/>
      <c r="H1811" s="18"/>
      <c r="K1811" s="18" t="s">
        <v>316</v>
      </c>
    </row>
    <row r="1812">
      <c r="A1812" s="17"/>
      <c r="H1812" s="18"/>
      <c r="K1812" s="18" t="s">
        <v>316</v>
      </c>
    </row>
    <row r="1813">
      <c r="A1813" s="17"/>
      <c r="H1813" s="18"/>
      <c r="K1813" s="18" t="s">
        <v>316</v>
      </c>
    </row>
    <row r="1814">
      <c r="A1814" s="17"/>
      <c r="H1814" s="18"/>
      <c r="K1814" s="18" t="s">
        <v>316</v>
      </c>
    </row>
    <row r="1815">
      <c r="A1815" s="17"/>
      <c r="H1815" s="18"/>
      <c r="K1815" s="18" t="s">
        <v>316</v>
      </c>
    </row>
    <row r="1816">
      <c r="A1816" s="17"/>
      <c r="H1816" s="18"/>
      <c r="K1816" s="18" t="s">
        <v>316</v>
      </c>
    </row>
    <row r="1817">
      <c r="A1817" s="17"/>
      <c r="H1817" s="18"/>
      <c r="K1817" s="18" t="s">
        <v>316</v>
      </c>
    </row>
    <row r="1818">
      <c r="A1818" s="17"/>
      <c r="H1818" s="18"/>
      <c r="K1818" s="18" t="s">
        <v>316</v>
      </c>
    </row>
    <row r="1819">
      <c r="A1819" s="17"/>
      <c r="H1819" s="18"/>
      <c r="K1819" s="18" t="s">
        <v>316</v>
      </c>
    </row>
    <row r="1820">
      <c r="A1820" s="17"/>
      <c r="H1820" s="18"/>
      <c r="K1820" s="18" t="s">
        <v>316</v>
      </c>
    </row>
    <row r="1821">
      <c r="A1821" s="17"/>
      <c r="H1821" s="18"/>
      <c r="K1821" s="18" t="s">
        <v>316</v>
      </c>
    </row>
    <row r="1822">
      <c r="A1822" s="17"/>
      <c r="H1822" s="18"/>
      <c r="K1822" s="18" t="s">
        <v>316</v>
      </c>
    </row>
    <row r="1823">
      <c r="A1823" s="17"/>
      <c r="H1823" s="18"/>
      <c r="K1823" s="18" t="s">
        <v>316</v>
      </c>
    </row>
    <row r="1824">
      <c r="A1824" s="17"/>
      <c r="H1824" s="18"/>
      <c r="K1824" s="18" t="s">
        <v>316</v>
      </c>
    </row>
    <row r="1825">
      <c r="A1825" s="17"/>
      <c r="H1825" s="18"/>
      <c r="K1825" s="18" t="s">
        <v>316</v>
      </c>
    </row>
    <row r="1826">
      <c r="A1826" s="17"/>
      <c r="H1826" s="18"/>
      <c r="K1826" s="18" t="s">
        <v>316</v>
      </c>
    </row>
    <row r="1827">
      <c r="A1827" s="17"/>
      <c r="H1827" s="18"/>
      <c r="K1827" s="18" t="s">
        <v>316</v>
      </c>
    </row>
    <row r="1828">
      <c r="A1828" s="17"/>
      <c r="H1828" s="18"/>
      <c r="K1828" s="18" t="s">
        <v>316</v>
      </c>
    </row>
    <row r="1829">
      <c r="A1829" s="17"/>
      <c r="H1829" s="18"/>
      <c r="K1829" s="18" t="s">
        <v>316</v>
      </c>
    </row>
    <row r="1830">
      <c r="A1830" s="17"/>
      <c r="H1830" s="18"/>
      <c r="K1830" s="18" t="s">
        <v>316</v>
      </c>
    </row>
    <row r="1831">
      <c r="A1831" s="17"/>
      <c r="H1831" s="18"/>
      <c r="K1831" s="18" t="s">
        <v>316</v>
      </c>
    </row>
    <row r="1832">
      <c r="A1832" s="17"/>
      <c r="H1832" s="18"/>
      <c r="K1832" s="18" t="s">
        <v>316</v>
      </c>
    </row>
    <row r="1833">
      <c r="A1833" s="17"/>
      <c r="H1833" s="18"/>
      <c r="K1833" s="18" t="s">
        <v>316</v>
      </c>
    </row>
    <row r="1834">
      <c r="A1834" s="17"/>
      <c r="H1834" s="18"/>
      <c r="K1834" s="18" t="s">
        <v>316</v>
      </c>
    </row>
    <row r="1835">
      <c r="A1835" s="17"/>
      <c r="H1835" s="18"/>
      <c r="K1835" s="18" t="s">
        <v>316</v>
      </c>
    </row>
    <row r="1836">
      <c r="A1836" s="17"/>
      <c r="H1836" s="18"/>
      <c r="K1836" s="18" t="s">
        <v>316</v>
      </c>
    </row>
    <row r="1837">
      <c r="A1837" s="17"/>
      <c r="H1837" s="18"/>
      <c r="K1837" s="18" t="s">
        <v>316</v>
      </c>
    </row>
    <row r="1838">
      <c r="A1838" s="17"/>
      <c r="H1838" s="18"/>
      <c r="K1838" s="18" t="s">
        <v>316</v>
      </c>
    </row>
    <row r="1839">
      <c r="A1839" s="17"/>
      <c r="H1839" s="18"/>
      <c r="K1839" s="18" t="s">
        <v>316</v>
      </c>
    </row>
    <row r="1840">
      <c r="A1840" s="17"/>
      <c r="H1840" s="18"/>
      <c r="K1840" s="18" t="s">
        <v>316</v>
      </c>
    </row>
    <row r="1841">
      <c r="A1841" s="17"/>
      <c r="H1841" s="18"/>
      <c r="K1841" s="18" t="s">
        <v>316</v>
      </c>
    </row>
    <row r="1842">
      <c r="A1842" s="17"/>
      <c r="H1842" s="18"/>
      <c r="K1842" s="18" t="s">
        <v>316</v>
      </c>
    </row>
    <row r="1843">
      <c r="A1843" s="17"/>
      <c r="H1843" s="18"/>
      <c r="K1843" s="18" t="s">
        <v>316</v>
      </c>
    </row>
    <row r="1844">
      <c r="A1844" s="17"/>
      <c r="H1844" s="18"/>
      <c r="K1844" s="18" t="s">
        <v>316</v>
      </c>
    </row>
    <row r="1845">
      <c r="A1845" s="17"/>
      <c r="H1845" s="18"/>
      <c r="K1845" s="18" t="s">
        <v>316</v>
      </c>
    </row>
    <row r="1846">
      <c r="A1846" s="17"/>
      <c r="H1846" s="18"/>
      <c r="K1846" s="18" t="s">
        <v>316</v>
      </c>
    </row>
    <row r="1847">
      <c r="A1847" s="17"/>
      <c r="H1847" s="18"/>
      <c r="K1847" s="18" t="s">
        <v>316</v>
      </c>
    </row>
    <row r="1848">
      <c r="A1848" s="17"/>
      <c r="H1848" s="18"/>
      <c r="K1848" s="18" t="s">
        <v>316</v>
      </c>
    </row>
    <row r="1849">
      <c r="A1849" s="17"/>
      <c r="H1849" s="18"/>
      <c r="K1849" s="18" t="s">
        <v>316</v>
      </c>
    </row>
    <row r="1850">
      <c r="A1850" s="17"/>
      <c r="H1850" s="18"/>
      <c r="K1850" s="18" t="s">
        <v>316</v>
      </c>
    </row>
    <row r="1851">
      <c r="A1851" s="17"/>
      <c r="H1851" s="18"/>
      <c r="K1851" s="18" t="s">
        <v>316</v>
      </c>
    </row>
    <row r="1852">
      <c r="A1852" s="17"/>
      <c r="H1852" s="18"/>
      <c r="K1852" s="18" t="s">
        <v>316</v>
      </c>
    </row>
    <row r="1853">
      <c r="A1853" s="17"/>
      <c r="H1853" s="18"/>
      <c r="K1853" s="18" t="s">
        <v>316</v>
      </c>
    </row>
    <row r="1854">
      <c r="A1854" s="17"/>
      <c r="H1854" s="18"/>
      <c r="K1854" s="18" t="s">
        <v>316</v>
      </c>
    </row>
    <row r="1855">
      <c r="A1855" s="17"/>
      <c r="H1855" s="18"/>
      <c r="K1855" s="18" t="s">
        <v>316</v>
      </c>
    </row>
    <row r="1856">
      <c r="A1856" s="17"/>
      <c r="H1856" s="18"/>
      <c r="K1856" s="18" t="s">
        <v>316</v>
      </c>
    </row>
    <row r="1857">
      <c r="A1857" s="17"/>
      <c r="H1857" s="18"/>
      <c r="K1857" s="18" t="s">
        <v>316</v>
      </c>
    </row>
    <row r="1858">
      <c r="A1858" s="17"/>
      <c r="H1858" s="18"/>
      <c r="K1858" s="18" t="s">
        <v>316</v>
      </c>
    </row>
    <row r="1859">
      <c r="A1859" s="17"/>
      <c r="H1859" s="18"/>
      <c r="K1859" s="18" t="s">
        <v>316</v>
      </c>
    </row>
    <row r="1860">
      <c r="A1860" s="17"/>
      <c r="H1860" s="18"/>
      <c r="K1860" s="18" t="s">
        <v>316</v>
      </c>
    </row>
    <row r="1861">
      <c r="A1861" s="17"/>
      <c r="H1861" s="18"/>
      <c r="K1861" s="18" t="s">
        <v>316</v>
      </c>
    </row>
    <row r="1862">
      <c r="A1862" s="17"/>
      <c r="H1862" s="18"/>
      <c r="K1862" s="18" t="s">
        <v>316</v>
      </c>
    </row>
    <row r="1863">
      <c r="A1863" s="17"/>
      <c r="H1863" s="18"/>
      <c r="K1863" s="18" t="s">
        <v>316</v>
      </c>
    </row>
    <row r="1864">
      <c r="A1864" s="17"/>
      <c r="H1864" s="18"/>
      <c r="K1864" s="18" t="s">
        <v>316</v>
      </c>
    </row>
    <row r="1865">
      <c r="A1865" s="17"/>
      <c r="H1865" s="18"/>
      <c r="K1865" s="18" t="s">
        <v>316</v>
      </c>
    </row>
    <row r="1866">
      <c r="A1866" s="17"/>
      <c r="H1866" s="18"/>
      <c r="K1866" s="18" t="s">
        <v>316</v>
      </c>
    </row>
    <row r="1867">
      <c r="A1867" s="17"/>
      <c r="H1867" s="18"/>
      <c r="K1867" s="18" t="s">
        <v>316</v>
      </c>
    </row>
    <row r="1868">
      <c r="A1868" s="17"/>
      <c r="H1868" s="18"/>
      <c r="K1868" s="18" t="s">
        <v>316</v>
      </c>
    </row>
    <row r="1869">
      <c r="A1869" s="17"/>
      <c r="H1869" s="18"/>
      <c r="K1869" s="18" t="s">
        <v>316</v>
      </c>
    </row>
    <row r="1870">
      <c r="A1870" s="17"/>
      <c r="H1870" s="18"/>
      <c r="K1870" s="18" t="s">
        <v>316</v>
      </c>
    </row>
    <row r="1871">
      <c r="A1871" s="17"/>
      <c r="H1871" s="18"/>
      <c r="K1871" s="18" t="s">
        <v>316</v>
      </c>
    </row>
    <row r="1872">
      <c r="A1872" s="17"/>
      <c r="H1872" s="18"/>
      <c r="K1872" s="18" t="s">
        <v>316</v>
      </c>
    </row>
    <row r="1873">
      <c r="A1873" s="17"/>
      <c r="H1873" s="18"/>
      <c r="K1873" s="18" t="s">
        <v>316</v>
      </c>
    </row>
    <row r="1874">
      <c r="A1874" s="17"/>
      <c r="H1874" s="18"/>
      <c r="K1874" s="18" t="s">
        <v>316</v>
      </c>
    </row>
    <row r="1875">
      <c r="A1875" s="17"/>
      <c r="H1875" s="18"/>
      <c r="K1875" s="18" t="s">
        <v>316</v>
      </c>
    </row>
    <row r="1876">
      <c r="A1876" s="17"/>
      <c r="H1876" s="18"/>
      <c r="K1876" s="18" t="s">
        <v>316</v>
      </c>
    </row>
    <row r="1877">
      <c r="A1877" s="17"/>
      <c r="H1877" s="18"/>
      <c r="K1877" s="18" t="s">
        <v>316</v>
      </c>
    </row>
    <row r="1878">
      <c r="A1878" s="17"/>
      <c r="H1878" s="18"/>
      <c r="K1878" s="18" t="s">
        <v>316</v>
      </c>
    </row>
    <row r="1879">
      <c r="A1879" s="17"/>
      <c r="H1879" s="18"/>
      <c r="K1879" s="18" t="s">
        <v>316</v>
      </c>
    </row>
    <row r="1880">
      <c r="A1880" s="17"/>
      <c r="H1880" s="18"/>
      <c r="K1880" s="18" t="s">
        <v>316</v>
      </c>
    </row>
    <row r="1881">
      <c r="A1881" s="17"/>
      <c r="H1881" s="18"/>
      <c r="K1881" s="18" t="s">
        <v>316</v>
      </c>
    </row>
    <row r="1882">
      <c r="A1882" s="17"/>
      <c r="H1882" s="18"/>
      <c r="K1882" s="18" t="s">
        <v>316</v>
      </c>
    </row>
    <row r="1883">
      <c r="A1883" s="17"/>
      <c r="H1883" s="18"/>
      <c r="K1883" s="18" t="s">
        <v>316</v>
      </c>
    </row>
    <row r="1884">
      <c r="A1884" s="17"/>
      <c r="H1884" s="18"/>
      <c r="K1884" s="18" t="s">
        <v>316</v>
      </c>
    </row>
    <row r="1885">
      <c r="A1885" s="17"/>
      <c r="H1885" s="18"/>
      <c r="K1885" s="18" t="s">
        <v>316</v>
      </c>
    </row>
    <row r="1886">
      <c r="A1886" s="17"/>
      <c r="H1886" s="18"/>
      <c r="K1886" s="18" t="s">
        <v>316</v>
      </c>
    </row>
    <row r="1887">
      <c r="A1887" s="17"/>
      <c r="H1887" s="18"/>
      <c r="K1887" s="18" t="s">
        <v>316</v>
      </c>
    </row>
    <row r="1888">
      <c r="A1888" s="17"/>
      <c r="H1888" s="18"/>
      <c r="K1888" s="18" t="s">
        <v>316</v>
      </c>
    </row>
    <row r="1889">
      <c r="A1889" s="17"/>
      <c r="H1889" s="18"/>
      <c r="K1889" s="18" t="s">
        <v>316</v>
      </c>
    </row>
    <row r="1890">
      <c r="A1890" s="17"/>
      <c r="H1890" s="18"/>
      <c r="K1890" s="18" t="s">
        <v>316</v>
      </c>
    </row>
    <row r="1891">
      <c r="A1891" s="17"/>
      <c r="H1891" s="18"/>
      <c r="K1891" s="18" t="s">
        <v>316</v>
      </c>
    </row>
    <row r="1892">
      <c r="A1892" s="17"/>
      <c r="H1892" s="18"/>
      <c r="K1892" s="18" t="s">
        <v>316</v>
      </c>
    </row>
    <row r="1893">
      <c r="A1893" s="17"/>
      <c r="H1893" s="18"/>
      <c r="K1893" s="18" t="s">
        <v>316</v>
      </c>
    </row>
    <row r="1894">
      <c r="A1894" s="17"/>
      <c r="H1894" s="18"/>
      <c r="K1894" s="18" t="s">
        <v>316</v>
      </c>
    </row>
    <row r="1895">
      <c r="A1895" s="17"/>
      <c r="H1895" s="18"/>
      <c r="K1895" s="18" t="s">
        <v>316</v>
      </c>
    </row>
    <row r="1896">
      <c r="A1896" s="17"/>
      <c r="H1896" s="18"/>
      <c r="K1896" s="18" t="s">
        <v>316</v>
      </c>
    </row>
    <row r="1897">
      <c r="A1897" s="17"/>
      <c r="H1897" s="18"/>
      <c r="K1897" s="18" t="s">
        <v>316</v>
      </c>
    </row>
    <row r="1898">
      <c r="A1898" s="17"/>
      <c r="H1898" s="18"/>
      <c r="K1898" s="18" t="s">
        <v>316</v>
      </c>
    </row>
    <row r="1899">
      <c r="A1899" s="17"/>
      <c r="H1899" s="18"/>
      <c r="K1899" s="18" t="s">
        <v>316</v>
      </c>
    </row>
    <row r="1900">
      <c r="A1900" s="17"/>
      <c r="H1900" s="18"/>
      <c r="K1900" s="18" t="s">
        <v>316</v>
      </c>
    </row>
    <row r="1901">
      <c r="A1901" s="17"/>
      <c r="H1901" s="18"/>
      <c r="K1901" s="18" t="s">
        <v>316</v>
      </c>
    </row>
    <row r="1902">
      <c r="A1902" s="17"/>
      <c r="H1902" s="18"/>
      <c r="K1902" s="18" t="s">
        <v>316</v>
      </c>
    </row>
    <row r="1903">
      <c r="A1903" s="17"/>
      <c r="H1903" s="18"/>
      <c r="K1903" s="18" t="s">
        <v>316</v>
      </c>
    </row>
    <row r="1904">
      <c r="A1904" s="17"/>
      <c r="H1904" s="18"/>
      <c r="K1904" s="18" t="s">
        <v>316</v>
      </c>
    </row>
    <row r="1905">
      <c r="A1905" s="17"/>
      <c r="H1905" s="18"/>
      <c r="K1905" s="18" t="s">
        <v>316</v>
      </c>
    </row>
    <row r="1906">
      <c r="A1906" s="17"/>
      <c r="H1906" s="18"/>
      <c r="K1906" s="18" t="s">
        <v>316</v>
      </c>
    </row>
    <row r="1907">
      <c r="A1907" s="17"/>
      <c r="H1907" s="18"/>
      <c r="K1907" s="18" t="s">
        <v>316</v>
      </c>
    </row>
    <row r="1908">
      <c r="A1908" s="17"/>
      <c r="H1908" s="18"/>
      <c r="K1908" s="18" t="s">
        <v>316</v>
      </c>
    </row>
    <row r="1909">
      <c r="A1909" s="17"/>
      <c r="H1909" s="18"/>
      <c r="K1909" s="18" t="s">
        <v>316</v>
      </c>
    </row>
    <row r="1910">
      <c r="A1910" s="17"/>
      <c r="H1910" s="18"/>
      <c r="K1910" s="18" t="s">
        <v>316</v>
      </c>
    </row>
    <row r="1911">
      <c r="A1911" s="17"/>
      <c r="H1911" s="18"/>
      <c r="K1911" s="18" t="s">
        <v>316</v>
      </c>
    </row>
    <row r="1912">
      <c r="A1912" s="17"/>
      <c r="H1912" s="18"/>
      <c r="K1912" s="18" t="s">
        <v>316</v>
      </c>
    </row>
    <row r="1913">
      <c r="A1913" s="17"/>
      <c r="H1913" s="18"/>
      <c r="K1913" s="18" t="s">
        <v>316</v>
      </c>
    </row>
    <row r="1914">
      <c r="A1914" s="17"/>
      <c r="H1914" s="18"/>
      <c r="K1914" s="18" t="s">
        <v>316</v>
      </c>
    </row>
    <row r="1915">
      <c r="A1915" s="17"/>
      <c r="H1915" s="18"/>
      <c r="K1915" s="18" t="s">
        <v>316</v>
      </c>
    </row>
    <row r="1916">
      <c r="A1916" s="17"/>
      <c r="H1916" s="18"/>
      <c r="K1916" s="18" t="s">
        <v>316</v>
      </c>
    </row>
    <row r="1917">
      <c r="A1917" s="17"/>
      <c r="H1917" s="18"/>
      <c r="K1917" s="18" t="s">
        <v>316</v>
      </c>
    </row>
    <row r="1918">
      <c r="A1918" s="17"/>
      <c r="H1918" s="18"/>
      <c r="K1918" s="18" t="s">
        <v>316</v>
      </c>
    </row>
    <row r="1919">
      <c r="A1919" s="17"/>
      <c r="H1919" s="18"/>
      <c r="K1919" s="18" t="s">
        <v>316</v>
      </c>
    </row>
    <row r="1920">
      <c r="A1920" s="17"/>
      <c r="H1920" s="18"/>
      <c r="K1920" s="18" t="s">
        <v>316</v>
      </c>
    </row>
    <row r="1921">
      <c r="A1921" s="17"/>
      <c r="H1921" s="18"/>
      <c r="K1921" s="18" t="s">
        <v>316</v>
      </c>
    </row>
    <row r="1922">
      <c r="A1922" s="17"/>
      <c r="H1922" s="18"/>
      <c r="K1922" s="18" t="s">
        <v>316</v>
      </c>
    </row>
    <row r="1923">
      <c r="A1923" s="17"/>
      <c r="H1923" s="18"/>
      <c r="K1923" s="18" t="s">
        <v>316</v>
      </c>
    </row>
    <row r="1924">
      <c r="A1924" s="17"/>
      <c r="H1924" s="18"/>
      <c r="K1924" s="18" t="s">
        <v>316</v>
      </c>
    </row>
    <row r="1925">
      <c r="A1925" s="17"/>
      <c r="H1925" s="18"/>
      <c r="K1925" s="18" t="s">
        <v>316</v>
      </c>
    </row>
    <row r="1926">
      <c r="A1926" s="17"/>
      <c r="H1926" s="18"/>
      <c r="K1926" s="18" t="s">
        <v>316</v>
      </c>
    </row>
    <row r="1927">
      <c r="A1927" s="17"/>
      <c r="H1927" s="18"/>
      <c r="K1927" s="18" t="s">
        <v>316</v>
      </c>
    </row>
    <row r="1928">
      <c r="A1928" s="17"/>
      <c r="H1928" s="18"/>
      <c r="K1928" s="18" t="s">
        <v>316</v>
      </c>
    </row>
    <row r="1929">
      <c r="A1929" s="17"/>
      <c r="H1929" s="18"/>
      <c r="K1929" s="18" t="s">
        <v>316</v>
      </c>
    </row>
    <row r="1930">
      <c r="A1930" s="17"/>
      <c r="H1930" s="18"/>
      <c r="K1930" s="18" t="s">
        <v>316</v>
      </c>
    </row>
    <row r="1931">
      <c r="A1931" s="17"/>
      <c r="H1931" s="18"/>
      <c r="K1931" s="18" t="s">
        <v>316</v>
      </c>
    </row>
    <row r="1932">
      <c r="A1932" s="17"/>
      <c r="H1932" s="18"/>
      <c r="K1932" s="18" t="s">
        <v>316</v>
      </c>
    </row>
    <row r="1933">
      <c r="A1933" s="17"/>
      <c r="H1933" s="18"/>
      <c r="K1933" s="18" t="s">
        <v>316</v>
      </c>
    </row>
    <row r="1934">
      <c r="A1934" s="17"/>
      <c r="H1934" s="18"/>
      <c r="K1934" s="18" t="s">
        <v>316</v>
      </c>
    </row>
    <row r="1935">
      <c r="A1935" s="17"/>
      <c r="H1935" s="18"/>
      <c r="K1935" s="18" t="s">
        <v>316</v>
      </c>
    </row>
    <row r="1936">
      <c r="A1936" s="17"/>
      <c r="H1936" s="18"/>
      <c r="K1936" s="18" t="s">
        <v>316</v>
      </c>
    </row>
    <row r="1937">
      <c r="A1937" s="17"/>
      <c r="H1937" s="18"/>
      <c r="K1937" s="18" t="s">
        <v>316</v>
      </c>
    </row>
    <row r="1938">
      <c r="A1938" s="17"/>
      <c r="H1938" s="18"/>
      <c r="K1938" s="18" t="s">
        <v>316</v>
      </c>
    </row>
    <row r="1939">
      <c r="A1939" s="17"/>
      <c r="H1939" s="18"/>
      <c r="K1939" s="18" t="s">
        <v>316</v>
      </c>
    </row>
    <row r="1940">
      <c r="A1940" s="17"/>
      <c r="H1940" s="18"/>
      <c r="K1940" s="18" t="s">
        <v>316</v>
      </c>
    </row>
    <row r="1941">
      <c r="A1941" s="17"/>
      <c r="H1941" s="18"/>
      <c r="K1941" s="18" t="s">
        <v>316</v>
      </c>
    </row>
    <row r="1942">
      <c r="A1942" s="17"/>
      <c r="H1942" s="18"/>
      <c r="K1942" s="18" t="s">
        <v>316</v>
      </c>
    </row>
    <row r="1943">
      <c r="A1943" s="17"/>
      <c r="H1943" s="18"/>
      <c r="K1943" s="18" t="s">
        <v>316</v>
      </c>
    </row>
    <row r="1944">
      <c r="A1944" s="17"/>
      <c r="H1944" s="18"/>
      <c r="K1944" s="18" t="s">
        <v>316</v>
      </c>
    </row>
    <row r="1945">
      <c r="A1945" s="17"/>
      <c r="H1945" s="18"/>
      <c r="K1945" s="18" t="s">
        <v>316</v>
      </c>
    </row>
    <row r="1946">
      <c r="A1946" s="17"/>
      <c r="H1946" s="18"/>
      <c r="K1946" s="18" t="s">
        <v>316</v>
      </c>
    </row>
    <row r="1947">
      <c r="A1947" s="17"/>
      <c r="H1947" s="18"/>
      <c r="K1947" s="18" t="s">
        <v>316</v>
      </c>
    </row>
    <row r="1948">
      <c r="A1948" s="17"/>
      <c r="H1948" s="18"/>
      <c r="K1948" s="18" t="s">
        <v>316</v>
      </c>
    </row>
    <row r="1949">
      <c r="A1949" s="17"/>
      <c r="H1949" s="18"/>
      <c r="K1949" s="18" t="s">
        <v>316</v>
      </c>
    </row>
    <row r="1950">
      <c r="A1950" s="17"/>
      <c r="H1950" s="18"/>
      <c r="K1950" s="18" t="s">
        <v>316</v>
      </c>
    </row>
    <row r="1951">
      <c r="A1951" s="17"/>
      <c r="H1951" s="18"/>
      <c r="K1951" s="18" t="s">
        <v>316</v>
      </c>
    </row>
    <row r="1952">
      <c r="A1952" s="17"/>
      <c r="H1952" s="18"/>
      <c r="K1952" s="18" t="s">
        <v>316</v>
      </c>
    </row>
    <row r="1953">
      <c r="A1953" s="17"/>
      <c r="H1953" s="18"/>
      <c r="K1953" s="18" t="s">
        <v>316</v>
      </c>
    </row>
    <row r="1954">
      <c r="A1954" s="17"/>
      <c r="H1954" s="18"/>
      <c r="K1954" s="18" t="s">
        <v>316</v>
      </c>
    </row>
    <row r="1955">
      <c r="A1955" s="17"/>
      <c r="H1955" s="18"/>
      <c r="K1955" s="18" t="s">
        <v>316</v>
      </c>
    </row>
    <row r="1956">
      <c r="A1956" s="17"/>
      <c r="H1956" s="18"/>
      <c r="K1956" s="18" t="s">
        <v>316</v>
      </c>
    </row>
    <row r="1957">
      <c r="A1957" s="17"/>
      <c r="H1957" s="18"/>
      <c r="K1957" s="18" t="s">
        <v>316</v>
      </c>
    </row>
    <row r="1958">
      <c r="A1958" s="17"/>
      <c r="H1958" s="18"/>
      <c r="K1958" s="18" t="s">
        <v>316</v>
      </c>
    </row>
    <row r="1959">
      <c r="A1959" s="17"/>
      <c r="H1959" s="18"/>
      <c r="K1959" s="18" t="s">
        <v>316</v>
      </c>
    </row>
    <row r="1960">
      <c r="A1960" s="17"/>
      <c r="H1960" s="18"/>
      <c r="K1960" s="18" t="s">
        <v>316</v>
      </c>
    </row>
    <row r="1961">
      <c r="A1961" s="17"/>
      <c r="H1961" s="18"/>
      <c r="K1961" s="18" t="s">
        <v>316</v>
      </c>
    </row>
    <row r="1962">
      <c r="A1962" s="17"/>
      <c r="H1962" s="18"/>
      <c r="K1962" s="18" t="s">
        <v>316</v>
      </c>
    </row>
    <row r="1963">
      <c r="A1963" s="17"/>
      <c r="H1963" s="18"/>
      <c r="K1963" s="18" t="s">
        <v>316</v>
      </c>
    </row>
    <row r="1964">
      <c r="A1964" s="17"/>
      <c r="H1964" s="18"/>
      <c r="K1964" s="18" t="s">
        <v>316</v>
      </c>
    </row>
    <row r="1965">
      <c r="A1965" s="17"/>
      <c r="H1965" s="18"/>
      <c r="K1965" s="18" t="s">
        <v>316</v>
      </c>
    </row>
    <row r="1966">
      <c r="A1966" s="17"/>
      <c r="H1966" s="18"/>
      <c r="K1966" s="18" t="s">
        <v>316</v>
      </c>
    </row>
    <row r="1967">
      <c r="A1967" s="17"/>
      <c r="H1967" s="18"/>
      <c r="K1967" s="18" t="s">
        <v>316</v>
      </c>
    </row>
    <row r="1968">
      <c r="A1968" s="17"/>
      <c r="H1968" s="18"/>
      <c r="K1968" s="18" t="s">
        <v>316</v>
      </c>
    </row>
    <row r="1969">
      <c r="A1969" s="17"/>
      <c r="H1969" s="18"/>
      <c r="K1969" s="18" t="s">
        <v>316</v>
      </c>
    </row>
    <row r="1970">
      <c r="A1970" s="17"/>
      <c r="H1970" s="18"/>
      <c r="K1970" s="18" t="s">
        <v>316</v>
      </c>
    </row>
    <row r="1971">
      <c r="A1971" s="17"/>
      <c r="H1971" s="18"/>
      <c r="K1971" s="18" t="s">
        <v>316</v>
      </c>
    </row>
    <row r="1972">
      <c r="A1972" s="17"/>
      <c r="H1972" s="18"/>
      <c r="K1972" s="18" t="s">
        <v>316</v>
      </c>
    </row>
    <row r="1973">
      <c r="A1973" s="17"/>
      <c r="H1973" s="18"/>
      <c r="K1973" s="18" t="s">
        <v>316</v>
      </c>
    </row>
    <row r="1974">
      <c r="A1974" s="17"/>
      <c r="H1974" s="18"/>
      <c r="K1974" s="18" t="s">
        <v>316</v>
      </c>
    </row>
    <row r="1975">
      <c r="A1975" s="17"/>
      <c r="H1975" s="18"/>
      <c r="K1975" s="18" t="s">
        <v>316</v>
      </c>
    </row>
    <row r="1976">
      <c r="A1976" s="17"/>
      <c r="H1976" s="18"/>
      <c r="K1976" s="18" t="s">
        <v>316</v>
      </c>
    </row>
    <row r="1977">
      <c r="A1977" s="17"/>
      <c r="H1977" s="18"/>
      <c r="K1977" s="18" t="s">
        <v>316</v>
      </c>
    </row>
    <row r="1978">
      <c r="A1978" s="17"/>
      <c r="H1978" s="18"/>
      <c r="K1978" s="18" t="s">
        <v>316</v>
      </c>
    </row>
    <row r="1979">
      <c r="A1979" s="17"/>
      <c r="H1979" s="18"/>
      <c r="K1979" s="18" t="s">
        <v>316</v>
      </c>
    </row>
    <row r="1980">
      <c r="A1980" s="17"/>
      <c r="H1980" s="18"/>
      <c r="K1980" s="18" t="s">
        <v>316</v>
      </c>
    </row>
    <row r="1981">
      <c r="A1981" s="17"/>
      <c r="H1981" s="18"/>
      <c r="K1981" s="18" t="s">
        <v>316</v>
      </c>
    </row>
    <row r="1982">
      <c r="A1982" s="17"/>
      <c r="H1982" s="18"/>
      <c r="K1982" s="18" t="s">
        <v>316</v>
      </c>
    </row>
    <row r="1983">
      <c r="A1983" s="17"/>
      <c r="H1983" s="18"/>
      <c r="K1983" s="18" t="s">
        <v>316</v>
      </c>
    </row>
    <row r="1984">
      <c r="A1984" s="17"/>
      <c r="H1984" s="18"/>
      <c r="K1984" s="18" t="s">
        <v>316</v>
      </c>
    </row>
    <row r="1985">
      <c r="A1985" s="17"/>
      <c r="H1985" s="18"/>
      <c r="K1985" s="18" t="s">
        <v>316</v>
      </c>
    </row>
    <row r="1986">
      <c r="A1986" s="17"/>
      <c r="H1986" s="18"/>
      <c r="K1986" s="18" t="s">
        <v>316</v>
      </c>
    </row>
    <row r="1987">
      <c r="A1987" s="17"/>
      <c r="H1987" s="18"/>
      <c r="K1987" s="18" t="s">
        <v>316</v>
      </c>
    </row>
    <row r="1988">
      <c r="A1988" s="17"/>
      <c r="H1988" s="18"/>
      <c r="K1988" s="18" t="s">
        <v>316</v>
      </c>
    </row>
    <row r="1989">
      <c r="A1989" s="17"/>
      <c r="H1989" s="18"/>
      <c r="K1989" s="18" t="s">
        <v>316</v>
      </c>
    </row>
    <row r="1990">
      <c r="A1990" s="17"/>
      <c r="H1990" s="18"/>
      <c r="K1990" s="18" t="s">
        <v>316</v>
      </c>
    </row>
    <row r="1991">
      <c r="A1991" s="17"/>
      <c r="H1991" s="18"/>
      <c r="K1991" s="18" t="s">
        <v>316</v>
      </c>
    </row>
    <row r="1992">
      <c r="A1992" s="17"/>
      <c r="H1992" s="18"/>
      <c r="K1992" s="18" t="s">
        <v>316</v>
      </c>
    </row>
    <row r="1993">
      <c r="A1993" s="17"/>
      <c r="H1993" s="18"/>
      <c r="K1993" s="18" t="s">
        <v>316</v>
      </c>
    </row>
    <row r="1994">
      <c r="A1994" s="17"/>
      <c r="H1994" s="18"/>
      <c r="K1994" s="18" t="s">
        <v>316</v>
      </c>
    </row>
    <row r="1995">
      <c r="A1995" s="17"/>
      <c r="H1995" s="18"/>
      <c r="K1995" s="18" t="s">
        <v>316</v>
      </c>
    </row>
    <row r="1996">
      <c r="A1996" s="17"/>
      <c r="H1996" s="18"/>
      <c r="K1996" s="18" t="s">
        <v>316</v>
      </c>
    </row>
    <row r="1997">
      <c r="A1997" s="17"/>
      <c r="H1997" s="18"/>
      <c r="K1997" s="18" t="s">
        <v>316</v>
      </c>
    </row>
    <row r="1998">
      <c r="A1998" s="17"/>
      <c r="H1998" s="18"/>
      <c r="K1998" s="18" t="s">
        <v>316</v>
      </c>
    </row>
    <row r="1999">
      <c r="A1999" s="17"/>
      <c r="H1999" s="18"/>
      <c r="K1999" s="18" t="s">
        <v>316</v>
      </c>
    </row>
    <row r="2000">
      <c r="A2000" s="17"/>
      <c r="H2000" s="18"/>
      <c r="K2000" s="18" t="s">
        <v>316</v>
      </c>
    </row>
    <row r="2001">
      <c r="A2001" s="17"/>
      <c r="H2001" s="18"/>
      <c r="K2001" s="18" t="s">
        <v>316</v>
      </c>
    </row>
    <row r="2002">
      <c r="A2002" s="17"/>
      <c r="H2002" s="18"/>
      <c r="K2002" s="18" t="s">
        <v>316</v>
      </c>
    </row>
    <row r="2003">
      <c r="A2003" s="17"/>
      <c r="H2003" s="18"/>
      <c r="K2003" s="18" t="s">
        <v>316</v>
      </c>
    </row>
    <row r="2004">
      <c r="A2004" s="17"/>
      <c r="H2004" s="18"/>
      <c r="K2004" s="18" t="s">
        <v>316</v>
      </c>
    </row>
    <row r="2005">
      <c r="A2005" s="17"/>
      <c r="H2005" s="18"/>
      <c r="K2005" s="18" t="s">
        <v>316</v>
      </c>
    </row>
    <row r="2006">
      <c r="A2006" s="17"/>
      <c r="H2006" s="18"/>
      <c r="K2006" s="18" t="s">
        <v>316</v>
      </c>
    </row>
    <row r="2007">
      <c r="A2007" s="17"/>
      <c r="H2007" s="18"/>
      <c r="K2007" s="18" t="s">
        <v>316</v>
      </c>
    </row>
    <row r="2008">
      <c r="A2008" s="17"/>
      <c r="H2008" s="18"/>
      <c r="K2008" s="18" t="s">
        <v>316</v>
      </c>
    </row>
    <row r="2009">
      <c r="A2009" s="17"/>
      <c r="H2009" s="18"/>
      <c r="K2009" s="18" t="s">
        <v>316</v>
      </c>
    </row>
    <row r="2010">
      <c r="A2010" s="17"/>
      <c r="H2010" s="18"/>
      <c r="K2010" s="18" t="s">
        <v>316</v>
      </c>
    </row>
    <row r="2011">
      <c r="A2011" s="17"/>
      <c r="H2011" s="18"/>
      <c r="K2011" s="18" t="s">
        <v>316</v>
      </c>
    </row>
    <row r="2012">
      <c r="A2012" s="17"/>
      <c r="H2012" s="18"/>
      <c r="K2012" s="18" t="s">
        <v>316</v>
      </c>
    </row>
    <row r="2013">
      <c r="A2013" s="17"/>
      <c r="H2013" s="18"/>
      <c r="K2013" s="18" t="s">
        <v>316</v>
      </c>
    </row>
    <row r="2014">
      <c r="A2014" s="17"/>
      <c r="H2014" s="18"/>
      <c r="K2014" s="18" t="s">
        <v>316</v>
      </c>
    </row>
    <row r="2015">
      <c r="A2015" s="17"/>
      <c r="H2015" s="18"/>
      <c r="K2015" s="18" t="s">
        <v>316</v>
      </c>
    </row>
    <row r="2016">
      <c r="A2016" s="17"/>
      <c r="H2016" s="18"/>
      <c r="K2016" s="18" t="s">
        <v>316</v>
      </c>
    </row>
    <row r="2017">
      <c r="A2017" s="17"/>
      <c r="H2017" s="18"/>
      <c r="K2017" s="18" t="s">
        <v>316</v>
      </c>
    </row>
    <row r="2018">
      <c r="A2018" s="17"/>
      <c r="H2018" s="18"/>
      <c r="K2018" s="18" t="s">
        <v>316</v>
      </c>
    </row>
    <row r="2019">
      <c r="A2019" s="17"/>
      <c r="H2019" s="18"/>
      <c r="K2019" s="18" t="s">
        <v>316</v>
      </c>
    </row>
    <row r="2020">
      <c r="A2020" s="17"/>
      <c r="H2020" s="18"/>
      <c r="K2020" s="18" t="s">
        <v>316</v>
      </c>
    </row>
    <row r="2021">
      <c r="A2021" s="17"/>
      <c r="H2021" s="18"/>
      <c r="K2021" s="18" t="s">
        <v>316</v>
      </c>
    </row>
    <row r="2022">
      <c r="A2022" s="17"/>
      <c r="H2022" s="18"/>
      <c r="K2022" s="18" t="s">
        <v>316</v>
      </c>
    </row>
    <row r="2023">
      <c r="A2023" s="17"/>
      <c r="H2023" s="18"/>
      <c r="K2023" s="18" t="s">
        <v>316</v>
      </c>
    </row>
    <row r="2024">
      <c r="A2024" s="17"/>
      <c r="H2024" s="18"/>
      <c r="K2024" s="18" t="s">
        <v>316</v>
      </c>
    </row>
    <row r="2025">
      <c r="A2025" s="17"/>
      <c r="H2025" s="18"/>
      <c r="K2025" s="18" t="s">
        <v>316</v>
      </c>
    </row>
    <row r="2026">
      <c r="A2026" s="17"/>
      <c r="H2026" s="18"/>
      <c r="K2026" s="18" t="s">
        <v>316</v>
      </c>
    </row>
    <row r="2027">
      <c r="A2027" s="17"/>
      <c r="H2027" s="18"/>
      <c r="K2027" s="18" t="s">
        <v>316</v>
      </c>
    </row>
    <row r="2028">
      <c r="A2028" s="17"/>
      <c r="H2028" s="18"/>
      <c r="K2028" s="18" t="s">
        <v>316</v>
      </c>
    </row>
    <row r="2029">
      <c r="A2029" s="17"/>
      <c r="H2029" s="18"/>
      <c r="K2029" s="18" t="s">
        <v>316</v>
      </c>
    </row>
    <row r="2030">
      <c r="A2030" s="17"/>
      <c r="H2030" s="18"/>
      <c r="K2030" s="18" t="s">
        <v>316</v>
      </c>
    </row>
    <row r="2031">
      <c r="A2031" s="17"/>
      <c r="H2031" s="18"/>
      <c r="K2031" s="18" t="s">
        <v>316</v>
      </c>
    </row>
    <row r="2032">
      <c r="A2032" s="17"/>
      <c r="H2032" s="18"/>
      <c r="K2032" s="18" t="s">
        <v>316</v>
      </c>
    </row>
    <row r="2033">
      <c r="A2033" s="17"/>
      <c r="H2033" s="18"/>
      <c r="K2033" s="18" t="s">
        <v>316</v>
      </c>
    </row>
    <row r="2034">
      <c r="A2034" s="17"/>
      <c r="H2034" s="18"/>
      <c r="K2034" s="18" t="s">
        <v>316</v>
      </c>
    </row>
    <row r="2035">
      <c r="A2035" s="17"/>
      <c r="H2035" s="18"/>
      <c r="K2035" s="18" t="s">
        <v>316</v>
      </c>
    </row>
    <row r="2036">
      <c r="A2036" s="17"/>
      <c r="H2036" s="18"/>
      <c r="K2036" s="18" t="s">
        <v>316</v>
      </c>
    </row>
    <row r="2037">
      <c r="A2037" s="17"/>
      <c r="H2037" s="18"/>
      <c r="K2037" s="18" t="s">
        <v>316</v>
      </c>
    </row>
    <row r="2038">
      <c r="A2038" s="17"/>
      <c r="H2038" s="18"/>
      <c r="K2038" s="18" t="s">
        <v>316</v>
      </c>
    </row>
    <row r="2039">
      <c r="A2039" s="17"/>
      <c r="H2039" s="18"/>
      <c r="K2039" s="18" t="s">
        <v>316</v>
      </c>
    </row>
    <row r="2040">
      <c r="A2040" s="17"/>
      <c r="H2040" s="18"/>
      <c r="K2040" s="18" t="s">
        <v>316</v>
      </c>
    </row>
    <row r="2041">
      <c r="A2041" s="17"/>
      <c r="H2041" s="18"/>
      <c r="K2041" s="18" t="s">
        <v>316</v>
      </c>
    </row>
    <row r="2042">
      <c r="A2042" s="17"/>
      <c r="H2042" s="18"/>
      <c r="K2042" s="18" t="s">
        <v>316</v>
      </c>
    </row>
    <row r="2043">
      <c r="A2043" s="17"/>
      <c r="H2043" s="18"/>
      <c r="K2043" s="18" t="s">
        <v>316</v>
      </c>
    </row>
    <row r="2044">
      <c r="A2044" s="17"/>
      <c r="H2044" s="18"/>
      <c r="K2044" s="18" t="s">
        <v>316</v>
      </c>
    </row>
    <row r="2045">
      <c r="A2045" s="17"/>
      <c r="H2045" s="18"/>
      <c r="K2045" s="18" t="s">
        <v>316</v>
      </c>
    </row>
    <row r="2046">
      <c r="A2046" s="17"/>
      <c r="H2046" s="18"/>
      <c r="K2046" s="18" t="s">
        <v>316</v>
      </c>
    </row>
    <row r="2047">
      <c r="A2047" s="17"/>
      <c r="H2047" s="18"/>
      <c r="K2047" s="18" t="s">
        <v>316</v>
      </c>
    </row>
    <row r="2048">
      <c r="A2048" s="17"/>
      <c r="H2048" s="18"/>
      <c r="K2048" s="18" t="s">
        <v>316</v>
      </c>
    </row>
    <row r="2049">
      <c r="A2049" s="17"/>
      <c r="H2049" s="18"/>
      <c r="K2049" s="18" t="s">
        <v>316</v>
      </c>
    </row>
    <row r="2050">
      <c r="A2050" s="17"/>
      <c r="H2050" s="18"/>
      <c r="K2050" s="18" t="s">
        <v>316</v>
      </c>
    </row>
    <row r="2051">
      <c r="A2051" s="17"/>
      <c r="H2051" s="18"/>
      <c r="K2051" s="18" t="s">
        <v>316</v>
      </c>
    </row>
    <row r="2052">
      <c r="A2052" s="17"/>
      <c r="H2052" s="18"/>
      <c r="K2052" s="18" t="s">
        <v>316</v>
      </c>
    </row>
    <row r="2053">
      <c r="A2053" s="17"/>
      <c r="H2053" s="18"/>
      <c r="K2053" s="18" t="s">
        <v>316</v>
      </c>
    </row>
    <row r="2054">
      <c r="A2054" s="17"/>
      <c r="H2054" s="18"/>
      <c r="K2054" s="18" t="s">
        <v>316</v>
      </c>
    </row>
    <row r="2055">
      <c r="A2055" s="17"/>
      <c r="H2055" s="18"/>
      <c r="K2055" s="18" t="s">
        <v>316</v>
      </c>
    </row>
    <row r="2056">
      <c r="A2056" s="17"/>
      <c r="H2056" s="18"/>
      <c r="K2056" s="18" t="s">
        <v>316</v>
      </c>
    </row>
    <row r="2057">
      <c r="A2057" s="17"/>
      <c r="H2057" s="18"/>
      <c r="K2057" s="18" t="s">
        <v>316</v>
      </c>
    </row>
    <row r="2058">
      <c r="A2058" s="17"/>
      <c r="H2058" s="18"/>
      <c r="K2058" s="18" t="s">
        <v>316</v>
      </c>
    </row>
    <row r="2059">
      <c r="A2059" s="17"/>
      <c r="H2059" s="18"/>
      <c r="K2059" s="18" t="s">
        <v>316</v>
      </c>
    </row>
    <row r="2060">
      <c r="A2060" s="17"/>
      <c r="H2060" s="18"/>
      <c r="K2060" s="18" t="s">
        <v>316</v>
      </c>
    </row>
    <row r="2061">
      <c r="A2061" s="17"/>
      <c r="H2061" s="18"/>
      <c r="K2061" s="18" t="s">
        <v>316</v>
      </c>
    </row>
    <row r="2062">
      <c r="A2062" s="17"/>
      <c r="H2062" s="18"/>
      <c r="K2062" s="18" t="s">
        <v>316</v>
      </c>
    </row>
    <row r="2063">
      <c r="A2063" s="17"/>
      <c r="H2063" s="18"/>
      <c r="K2063" s="18" t="s">
        <v>316</v>
      </c>
    </row>
    <row r="2064">
      <c r="A2064" s="17"/>
      <c r="H2064" s="18"/>
      <c r="K2064" s="18" t="s">
        <v>316</v>
      </c>
    </row>
    <row r="2065">
      <c r="A2065" s="17"/>
      <c r="H2065" s="18"/>
      <c r="K2065" s="18" t="s">
        <v>316</v>
      </c>
    </row>
    <row r="2066">
      <c r="A2066" s="17"/>
      <c r="H2066" s="18"/>
      <c r="K2066" s="18" t="s">
        <v>316</v>
      </c>
    </row>
    <row r="2067">
      <c r="A2067" s="17"/>
      <c r="H2067" s="18"/>
      <c r="K2067" s="18" t="s">
        <v>316</v>
      </c>
    </row>
    <row r="2068">
      <c r="A2068" s="17"/>
      <c r="H2068" s="18"/>
      <c r="K2068" s="18" t="s">
        <v>316</v>
      </c>
    </row>
    <row r="2069">
      <c r="A2069" s="17"/>
      <c r="H2069" s="18"/>
      <c r="K2069" s="18" t="s">
        <v>316</v>
      </c>
    </row>
    <row r="2070">
      <c r="A2070" s="17"/>
      <c r="H2070" s="18"/>
      <c r="K2070" s="18" t="s">
        <v>316</v>
      </c>
    </row>
    <row r="2071">
      <c r="A2071" s="17"/>
      <c r="H2071" s="18"/>
      <c r="K2071" s="18" t="s">
        <v>316</v>
      </c>
    </row>
    <row r="2072">
      <c r="A2072" s="17"/>
      <c r="H2072" s="18"/>
      <c r="K2072" s="18" t="s">
        <v>316</v>
      </c>
    </row>
    <row r="2073">
      <c r="A2073" s="17"/>
      <c r="H2073" s="18"/>
      <c r="K2073" s="18" t="s">
        <v>316</v>
      </c>
    </row>
    <row r="2074">
      <c r="A2074" s="17"/>
      <c r="H2074" s="18"/>
      <c r="K2074" s="18" t="s">
        <v>316</v>
      </c>
    </row>
    <row r="2075">
      <c r="A2075" s="17"/>
      <c r="H2075" s="18"/>
      <c r="K2075" s="18" t="s">
        <v>316</v>
      </c>
    </row>
    <row r="2076">
      <c r="A2076" s="17"/>
      <c r="H2076" s="18"/>
      <c r="K2076" s="18" t="s">
        <v>316</v>
      </c>
    </row>
    <row r="2077">
      <c r="A2077" s="17"/>
      <c r="H2077" s="18"/>
      <c r="K2077" s="18" t="s">
        <v>316</v>
      </c>
    </row>
    <row r="2078">
      <c r="A2078" s="17"/>
      <c r="H2078" s="18"/>
      <c r="K2078" s="18" t="s">
        <v>316</v>
      </c>
    </row>
    <row r="2079">
      <c r="A2079" s="17"/>
      <c r="H2079" s="18"/>
      <c r="K2079" s="18" t="s">
        <v>316</v>
      </c>
    </row>
    <row r="2080">
      <c r="A2080" s="17"/>
      <c r="H2080" s="18"/>
      <c r="K2080" s="18" t="s">
        <v>316</v>
      </c>
    </row>
    <row r="2081">
      <c r="A2081" s="17"/>
      <c r="H2081" s="18"/>
      <c r="K2081" s="18" t="s">
        <v>316</v>
      </c>
    </row>
    <row r="2082">
      <c r="A2082" s="17"/>
      <c r="H2082" s="18"/>
      <c r="K2082" s="18" t="s">
        <v>316</v>
      </c>
    </row>
    <row r="2083">
      <c r="A2083" s="17"/>
      <c r="H2083" s="18"/>
      <c r="K2083" s="18" t="s">
        <v>316</v>
      </c>
    </row>
    <row r="2084">
      <c r="A2084" s="17"/>
      <c r="H2084" s="18"/>
      <c r="K2084" s="18" t="s">
        <v>316</v>
      </c>
    </row>
    <row r="2085">
      <c r="A2085" s="17"/>
      <c r="H2085" s="18"/>
      <c r="K2085" s="18" t="s">
        <v>316</v>
      </c>
    </row>
    <row r="2086">
      <c r="A2086" s="17"/>
      <c r="H2086" s="18"/>
      <c r="K2086" s="18" t="s">
        <v>316</v>
      </c>
    </row>
    <row r="2087">
      <c r="A2087" s="17"/>
      <c r="H2087" s="18"/>
      <c r="K2087" s="18" t="s">
        <v>316</v>
      </c>
    </row>
    <row r="2088">
      <c r="A2088" s="17"/>
      <c r="H2088" s="18"/>
      <c r="K2088" s="18" t="s">
        <v>316</v>
      </c>
    </row>
    <row r="2089">
      <c r="A2089" s="17"/>
      <c r="H2089" s="18"/>
      <c r="K2089" s="18" t="s">
        <v>316</v>
      </c>
    </row>
    <row r="2090">
      <c r="A2090" s="17"/>
      <c r="H2090" s="18"/>
      <c r="K2090" s="18" t="s">
        <v>316</v>
      </c>
    </row>
    <row r="2091">
      <c r="A2091" s="17"/>
      <c r="H2091" s="18"/>
      <c r="K2091" s="18" t="s">
        <v>316</v>
      </c>
    </row>
    <row r="2092">
      <c r="A2092" s="17"/>
      <c r="H2092" s="18"/>
      <c r="K2092" s="18" t="s">
        <v>316</v>
      </c>
    </row>
    <row r="2093">
      <c r="A2093" s="17"/>
      <c r="H2093" s="18"/>
      <c r="K2093" s="18" t="s">
        <v>316</v>
      </c>
    </row>
    <row r="2094">
      <c r="A2094" s="17"/>
      <c r="H2094" s="18"/>
      <c r="K2094" s="18" t="s">
        <v>316</v>
      </c>
    </row>
    <row r="2095">
      <c r="A2095" s="17"/>
      <c r="H2095" s="18"/>
      <c r="K2095" s="18" t="s">
        <v>316</v>
      </c>
    </row>
    <row r="2096">
      <c r="A2096" s="17"/>
      <c r="H2096" s="18"/>
      <c r="K2096" s="18" t="s">
        <v>316</v>
      </c>
    </row>
    <row r="2097">
      <c r="A2097" s="17"/>
      <c r="H2097" s="18"/>
      <c r="K2097" s="18" t="s">
        <v>316</v>
      </c>
    </row>
    <row r="2098">
      <c r="A2098" s="17"/>
      <c r="H2098" s="18"/>
      <c r="K2098" s="18" t="s">
        <v>316</v>
      </c>
    </row>
    <row r="2099">
      <c r="A2099" s="17"/>
      <c r="H2099" s="18"/>
      <c r="K2099" s="18" t="s">
        <v>316</v>
      </c>
    </row>
    <row r="2100">
      <c r="A2100" s="17"/>
      <c r="H2100" s="18"/>
      <c r="K2100" s="18" t="s">
        <v>316</v>
      </c>
    </row>
    <row r="2101">
      <c r="A2101" s="17"/>
      <c r="H2101" s="18"/>
      <c r="K2101" s="18" t="s">
        <v>316</v>
      </c>
    </row>
    <row r="2102">
      <c r="A2102" s="17"/>
      <c r="H2102" s="18"/>
      <c r="K2102" s="18" t="s">
        <v>316</v>
      </c>
    </row>
    <row r="2103">
      <c r="A2103" s="17"/>
      <c r="H2103" s="18"/>
      <c r="K2103" s="18" t="s">
        <v>316</v>
      </c>
    </row>
    <row r="2104">
      <c r="A2104" s="17"/>
      <c r="H2104" s="18"/>
      <c r="K2104" s="18" t="s">
        <v>316</v>
      </c>
    </row>
    <row r="2105">
      <c r="A2105" s="17"/>
      <c r="H2105" s="18"/>
      <c r="K2105" s="18" t="s">
        <v>316</v>
      </c>
    </row>
    <row r="2106">
      <c r="A2106" s="17"/>
      <c r="H2106" s="18"/>
      <c r="K2106" s="18" t="s">
        <v>316</v>
      </c>
    </row>
    <row r="2107">
      <c r="A2107" s="17"/>
      <c r="H2107" s="18"/>
      <c r="K2107" s="18" t="s">
        <v>316</v>
      </c>
    </row>
    <row r="2108">
      <c r="A2108" s="17"/>
      <c r="H2108" s="18"/>
      <c r="K2108" s="18" t="s">
        <v>316</v>
      </c>
    </row>
    <row r="2109">
      <c r="A2109" s="17"/>
      <c r="H2109" s="18"/>
      <c r="K2109" s="18" t="s">
        <v>316</v>
      </c>
    </row>
    <row r="2110">
      <c r="A2110" s="17"/>
      <c r="H2110" s="18"/>
      <c r="K2110" s="18" t="s">
        <v>316</v>
      </c>
    </row>
    <row r="2111">
      <c r="A2111" s="17"/>
      <c r="H2111" s="18"/>
      <c r="K2111" s="18" t="s">
        <v>316</v>
      </c>
    </row>
    <row r="2112">
      <c r="A2112" s="17"/>
      <c r="H2112" s="18"/>
      <c r="K2112" s="18" t="s">
        <v>316</v>
      </c>
    </row>
    <row r="2113">
      <c r="A2113" s="17"/>
      <c r="H2113" s="18"/>
      <c r="K2113" s="18" t="s">
        <v>316</v>
      </c>
    </row>
    <row r="2114">
      <c r="A2114" s="17"/>
      <c r="H2114" s="18"/>
      <c r="K2114" s="18" t="s">
        <v>316</v>
      </c>
    </row>
    <row r="2115">
      <c r="A2115" s="17"/>
      <c r="H2115" s="18"/>
      <c r="K2115" s="18" t="s">
        <v>316</v>
      </c>
    </row>
    <row r="2116">
      <c r="A2116" s="17"/>
      <c r="H2116" s="18"/>
      <c r="K2116" s="18" t="s">
        <v>316</v>
      </c>
    </row>
    <row r="2117">
      <c r="A2117" s="17"/>
      <c r="H2117" s="18"/>
      <c r="K2117" s="18" t="s">
        <v>316</v>
      </c>
    </row>
    <row r="2118">
      <c r="A2118" s="17"/>
      <c r="H2118" s="18"/>
      <c r="K2118" s="18" t="s">
        <v>316</v>
      </c>
    </row>
    <row r="2119">
      <c r="A2119" s="17"/>
      <c r="H2119" s="18"/>
      <c r="K2119" s="18" t="s">
        <v>316</v>
      </c>
    </row>
    <row r="2120">
      <c r="A2120" s="17"/>
      <c r="H2120" s="18"/>
      <c r="K2120" s="18" t="s">
        <v>316</v>
      </c>
    </row>
    <row r="2121">
      <c r="A2121" s="17"/>
      <c r="H2121" s="18"/>
      <c r="K2121" s="18" t="s">
        <v>316</v>
      </c>
    </row>
    <row r="2122">
      <c r="A2122" s="17"/>
      <c r="H2122" s="18"/>
      <c r="K2122" s="18" t="s">
        <v>316</v>
      </c>
    </row>
    <row r="2123">
      <c r="A2123" s="17"/>
      <c r="H2123" s="18"/>
      <c r="K2123" s="18" t="s">
        <v>316</v>
      </c>
    </row>
    <row r="2124">
      <c r="A2124" s="17"/>
      <c r="H2124" s="18"/>
      <c r="K2124" s="18" t="s">
        <v>316</v>
      </c>
    </row>
    <row r="2125">
      <c r="A2125" s="17"/>
      <c r="H2125" s="18"/>
      <c r="K2125" s="18" t="s">
        <v>316</v>
      </c>
    </row>
    <row r="2126">
      <c r="A2126" s="17"/>
      <c r="H2126" s="18"/>
      <c r="K2126" s="18" t="s">
        <v>316</v>
      </c>
    </row>
    <row r="2127">
      <c r="A2127" s="17"/>
      <c r="H2127" s="18"/>
      <c r="K2127" s="18" t="s">
        <v>316</v>
      </c>
    </row>
    <row r="2128">
      <c r="A2128" s="17"/>
      <c r="H2128" s="18"/>
      <c r="K2128" s="18" t="s">
        <v>316</v>
      </c>
    </row>
    <row r="2129">
      <c r="A2129" s="17"/>
      <c r="H2129" s="18"/>
      <c r="K2129" s="18" t="s">
        <v>316</v>
      </c>
    </row>
    <row r="2130">
      <c r="A2130" s="17"/>
      <c r="H2130" s="18"/>
      <c r="K2130" s="18" t="s">
        <v>316</v>
      </c>
    </row>
    <row r="2131">
      <c r="A2131" s="17"/>
      <c r="H2131" s="18"/>
      <c r="K2131" s="18" t="s">
        <v>316</v>
      </c>
    </row>
    <row r="2132">
      <c r="A2132" s="17"/>
      <c r="H2132" s="18"/>
      <c r="K2132" s="18" t="s">
        <v>316</v>
      </c>
    </row>
    <row r="2133">
      <c r="A2133" s="17"/>
      <c r="H2133" s="18"/>
      <c r="K2133" s="18" t="s">
        <v>316</v>
      </c>
    </row>
    <row r="2134">
      <c r="A2134" s="17"/>
      <c r="H2134" s="18"/>
      <c r="K2134" s="18" t="s">
        <v>316</v>
      </c>
    </row>
    <row r="2135">
      <c r="A2135" s="17"/>
      <c r="H2135" s="18"/>
      <c r="K2135" s="18" t="s">
        <v>316</v>
      </c>
    </row>
    <row r="2136">
      <c r="A2136" s="17"/>
      <c r="H2136" s="18"/>
      <c r="K2136" s="18" t="s">
        <v>316</v>
      </c>
    </row>
    <row r="2137">
      <c r="A2137" s="17"/>
      <c r="H2137" s="18"/>
      <c r="K2137" s="18" t="s">
        <v>316</v>
      </c>
    </row>
    <row r="2138">
      <c r="A2138" s="17"/>
      <c r="H2138" s="18"/>
      <c r="K2138" s="18" t="s">
        <v>316</v>
      </c>
    </row>
    <row r="2139">
      <c r="A2139" s="17"/>
      <c r="H2139" s="18"/>
      <c r="K2139" s="18" t="s">
        <v>316</v>
      </c>
    </row>
    <row r="2140">
      <c r="A2140" s="17"/>
      <c r="H2140" s="18"/>
      <c r="K2140" s="18" t="s">
        <v>316</v>
      </c>
    </row>
    <row r="2141">
      <c r="A2141" s="17"/>
      <c r="H2141" s="18"/>
      <c r="K2141" s="18" t="s">
        <v>316</v>
      </c>
    </row>
    <row r="2142">
      <c r="A2142" s="17"/>
      <c r="H2142" s="18"/>
      <c r="K2142" s="18" t="s">
        <v>316</v>
      </c>
    </row>
    <row r="2143">
      <c r="A2143" s="17"/>
      <c r="H2143" s="18"/>
      <c r="K2143" s="18" t="s">
        <v>316</v>
      </c>
    </row>
    <row r="2144">
      <c r="A2144" s="17"/>
      <c r="H2144" s="18"/>
      <c r="K2144" s="18" t="s">
        <v>316</v>
      </c>
    </row>
    <row r="2145">
      <c r="A2145" s="17"/>
      <c r="H2145" s="18"/>
      <c r="K2145" s="18" t="s">
        <v>316</v>
      </c>
    </row>
    <row r="2146">
      <c r="A2146" s="17"/>
      <c r="H2146" s="18"/>
      <c r="K2146" s="18" t="s">
        <v>316</v>
      </c>
    </row>
    <row r="2147">
      <c r="A2147" s="17"/>
      <c r="H2147" s="18"/>
      <c r="K2147" s="18" t="s">
        <v>316</v>
      </c>
    </row>
    <row r="2148">
      <c r="A2148" s="17"/>
      <c r="H2148" s="18"/>
      <c r="K2148" s="18" t="s">
        <v>316</v>
      </c>
    </row>
    <row r="2149">
      <c r="A2149" s="17"/>
      <c r="H2149" s="18"/>
      <c r="K2149" s="18" t="s">
        <v>316</v>
      </c>
    </row>
    <row r="2150">
      <c r="A2150" s="17"/>
      <c r="H2150" s="18"/>
      <c r="K2150" s="18" t="s">
        <v>316</v>
      </c>
    </row>
    <row r="2151">
      <c r="A2151" s="17"/>
      <c r="H2151" s="18"/>
      <c r="K2151" s="18" t="s">
        <v>316</v>
      </c>
    </row>
    <row r="2152">
      <c r="A2152" s="17"/>
      <c r="H2152" s="18"/>
      <c r="K2152" s="18" t="s">
        <v>316</v>
      </c>
    </row>
    <row r="2153">
      <c r="A2153" s="17"/>
      <c r="H2153" s="18"/>
      <c r="K2153" s="18" t="s">
        <v>316</v>
      </c>
    </row>
    <row r="2154">
      <c r="A2154" s="17"/>
      <c r="H2154" s="18"/>
      <c r="K2154" s="18" t="s">
        <v>316</v>
      </c>
    </row>
    <row r="2155">
      <c r="A2155" s="17"/>
      <c r="H2155" s="18"/>
      <c r="K2155" s="18" t="s">
        <v>316</v>
      </c>
    </row>
    <row r="2156">
      <c r="A2156" s="17"/>
      <c r="H2156" s="18"/>
      <c r="K2156" s="18" t="s">
        <v>316</v>
      </c>
    </row>
    <row r="2157">
      <c r="A2157" s="17"/>
      <c r="H2157" s="18"/>
      <c r="K2157" s="18" t="s">
        <v>316</v>
      </c>
    </row>
    <row r="2158">
      <c r="A2158" s="17"/>
      <c r="H2158" s="18"/>
      <c r="K2158" s="18" t="s">
        <v>316</v>
      </c>
    </row>
    <row r="2159">
      <c r="A2159" s="17"/>
      <c r="H2159" s="18"/>
      <c r="K2159" s="18" t="s">
        <v>316</v>
      </c>
    </row>
    <row r="2160">
      <c r="A2160" s="17"/>
      <c r="H2160" s="18"/>
      <c r="K2160" s="18" t="s">
        <v>316</v>
      </c>
    </row>
    <row r="2161">
      <c r="A2161" s="17"/>
      <c r="H2161" s="18"/>
      <c r="K2161" s="18" t="s">
        <v>316</v>
      </c>
    </row>
    <row r="2162">
      <c r="A2162" s="17"/>
      <c r="H2162" s="18"/>
      <c r="K2162" s="18" t="s">
        <v>316</v>
      </c>
    </row>
    <row r="2163">
      <c r="A2163" s="17"/>
      <c r="H2163" s="18"/>
      <c r="K2163" s="18" t="s">
        <v>316</v>
      </c>
    </row>
    <row r="2164">
      <c r="A2164" s="17"/>
      <c r="H2164" s="18"/>
      <c r="K2164" s="18" t="s">
        <v>316</v>
      </c>
    </row>
    <row r="2165">
      <c r="A2165" s="17"/>
      <c r="H2165" s="18"/>
      <c r="K2165" s="18" t="s">
        <v>316</v>
      </c>
    </row>
    <row r="2166">
      <c r="A2166" s="17"/>
      <c r="H2166" s="18"/>
      <c r="K2166" s="18" t="s">
        <v>316</v>
      </c>
    </row>
    <row r="2167">
      <c r="A2167" s="17"/>
      <c r="H2167" s="18"/>
      <c r="K2167" s="18" t="s">
        <v>316</v>
      </c>
    </row>
    <row r="2168">
      <c r="A2168" s="17"/>
      <c r="H2168" s="18"/>
      <c r="K2168" s="18" t="s">
        <v>316</v>
      </c>
    </row>
    <row r="2169">
      <c r="A2169" s="17"/>
      <c r="H2169" s="18"/>
      <c r="K2169" s="18" t="s">
        <v>316</v>
      </c>
    </row>
    <row r="2170">
      <c r="A2170" s="17"/>
      <c r="H2170" s="18"/>
      <c r="K2170" s="18" t="s">
        <v>316</v>
      </c>
    </row>
    <row r="2171">
      <c r="A2171" s="17"/>
      <c r="H2171" s="18"/>
      <c r="K2171" s="18" t="s">
        <v>316</v>
      </c>
    </row>
    <row r="2172">
      <c r="A2172" s="17"/>
      <c r="H2172" s="18"/>
      <c r="K2172" s="18" t="s">
        <v>316</v>
      </c>
    </row>
    <row r="2173">
      <c r="A2173" s="17"/>
      <c r="H2173" s="18"/>
      <c r="K2173" s="18" t="s">
        <v>316</v>
      </c>
    </row>
    <row r="2174">
      <c r="A2174" s="17"/>
      <c r="H2174" s="18"/>
      <c r="K2174" s="18" t="s">
        <v>316</v>
      </c>
    </row>
    <row r="2175">
      <c r="A2175" s="17"/>
      <c r="H2175" s="18"/>
      <c r="K2175" s="18" t="s">
        <v>316</v>
      </c>
    </row>
    <row r="2176">
      <c r="A2176" s="17"/>
      <c r="H2176" s="18"/>
      <c r="K2176" s="18" t="s">
        <v>316</v>
      </c>
    </row>
    <row r="2177">
      <c r="A2177" s="17"/>
      <c r="H2177" s="18"/>
      <c r="K2177" s="18" t="s">
        <v>316</v>
      </c>
    </row>
    <row r="2178">
      <c r="A2178" s="17"/>
      <c r="H2178" s="18"/>
      <c r="K2178" s="18" t="s">
        <v>316</v>
      </c>
    </row>
    <row r="2179">
      <c r="A2179" s="17"/>
      <c r="H2179" s="18"/>
      <c r="K2179" s="18" t="s">
        <v>316</v>
      </c>
    </row>
    <row r="2180">
      <c r="A2180" s="17"/>
      <c r="H2180" s="18"/>
      <c r="K2180" s="18" t="s">
        <v>316</v>
      </c>
    </row>
    <row r="2181">
      <c r="A2181" s="17"/>
      <c r="H2181" s="18"/>
      <c r="K2181" s="18" t="s">
        <v>316</v>
      </c>
    </row>
    <row r="2182">
      <c r="A2182" s="17"/>
      <c r="H2182" s="18"/>
      <c r="K2182" s="18" t="s">
        <v>316</v>
      </c>
    </row>
    <row r="2183">
      <c r="A2183" s="17"/>
      <c r="H2183" s="18"/>
      <c r="K2183" s="18" t="s">
        <v>316</v>
      </c>
    </row>
    <row r="2184">
      <c r="A2184" s="17"/>
      <c r="H2184" s="18"/>
      <c r="K2184" s="18" t="s">
        <v>316</v>
      </c>
    </row>
    <row r="2185">
      <c r="A2185" s="17"/>
      <c r="H2185" s="18"/>
      <c r="K2185" s="18" t="s">
        <v>316</v>
      </c>
    </row>
    <row r="2186">
      <c r="A2186" s="17"/>
      <c r="H2186" s="18"/>
      <c r="K2186" s="18" t="s">
        <v>316</v>
      </c>
    </row>
    <row r="2187">
      <c r="A2187" s="17"/>
      <c r="H2187" s="18"/>
      <c r="K2187" s="18" t="s">
        <v>316</v>
      </c>
    </row>
    <row r="2188">
      <c r="A2188" s="17"/>
      <c r="H2188" s="18"/>
      <c r="K2188" s="18" t="s">
        <v>316</v>
      </c>
    </row>
    <row r="2189">
      <c r="A2189" s="17"/>
      <c r="H2189" s="18"/>
      <c r="K2189" s="18" t="s">
        <v>316</v>
      </c>
    </row>
    <row r="2190">
      <c r="A2190" s="17"/>
      <c r="H2190" s="18"/>
      <c r="K2190" s="18" t="s">
        <v>316</v>
      </c>
    </row>
    <row r="2191">
      <c r="A2191" s="17"/>
      <c r="H2191" s="18"/>
      <c r="K2191" s="18" t="s">
        <v>316</v>
      </c>
    </row>
    <row r="2192">
      <c r="A2192" s="17"/>
      <c r="H2192" s="18"/>
      <c r="K2192" s="18" t="s">
        <v>316</v>
      </c>
    </row>
    <row r="2193">
      <c r="A2193" s="17"/>
      <c r="H2193" s="18"/>
      <c r="K2193" s="18" t="s">
        <v>316</v>
      </c>
    </row>
    <row r="2194">
      <c r="A2194" s="17"/>
      <c r="H2194" s="18"/>
      <c r="K2194" s="18" t="s">
        <v>316</v>
      </c>
    </row>
    <row r="2195">
      <c r="A2195" s="17"/>
      <c r="H2195" s="18"/>
      <c r="K2195" s="18" t="s">
        <v>316</v>
      </c>
    </row>
    <row r="2196">
      <c r="A2196" s="17"/>
      <c r="H2196" s="18"/>
      <c r="K2196" s="18" t="s">
        <v>316</v>
      </c>
    </row>
    <row r="2197">
      <c r="A2197" s="17"/>
      <c r="H2197" s="18"/>
      <c r="K2197" s="18" t="s">
        <v>316</v>
      </c>
    </row>
    <row r="2198">
      <c r="A2198" s="17"/>
      <c r="H2198" s="18"/>
      <c r="K2198" s="18" t="s">
        <v>316</v>
      </c>
    </row>
    <row r="2199">
      <c r="A2199" s="17"/>
      <c r="H2199" s="18"/>
      <c r="K2199" s="18" t="s">
        <v>316</v>
      </c>
    </row>
    <row r="2200">
      <c r="A2200" s="17"/>
      <c r="H2200" s="18"/>
      <c r="K2200" s="18" t="s">
        <v>316</v>
      </c>
    </row>
    <row r="2201">
      <c r="A2201" s="17"/>
      <c r="H2201" s="18"/>
      <c r="K2201" s="18" t="s">
        <v>316</v>
      </c>
    </row>
    <row r="2202">
      <c r="A2202" s="17"/>
      <c r="H2202" s="18"/>
      <c r="K2202" s="18" t="s">
        <v>316</v>
      </c>
    </row>
    <row r="2203">
      <c r="A2203" s="17"/>
      <c r="H2203" s="18"/>
      <c r="K2203" s="18" t="s">
        <v>316</v>
      </c>
    </row>
    <row r="2204">
      <c r="A2204" s="17"/>
      <c r="H2204" s="18"/>
      <c r="K2204" s="18" t="s">
        <v>316</v>
      </c>
    </row>
    <row r="2205">
      <c r="A2205" s="17"/>
      <c r="H2205" s="18"/>
      <c r="K2205" s="18" t="s">
        <v>316</v>
      </c>
    </row>
    <row r="2206">
      <c r="A2206" s="17"/>
      <c r="H2206" s="18"/>
      <c r="K2206" s="18" t="s">
        <v>316</v>
      </c>
    </row>
    <row r="2207">
      <c r="A2207" s="17"/>
      <c r="H2207" s="18"/>
      <c r="K2207" s="18" t="s">
        <v>316</v>
      </c>
    </row>
    <row r="2208">
      <c r="A2208" s="17"/>
      <c r="H2208" s="18"/>
      <c r="K2208" s="18" t="s">
        <v>316</v>
      </c>
    </row>
    <row r="2209">
      <c r="A2209" s="17"/>
      <c r="H2209" s="18"/>
      <c r="K2209" s="18" t="s">
        <v>316</v>
      </c>
    </row>
    <row r="2210">
      <c r="A2210" s="17"/>
      <c r="H2210" s="18"/>
      <c r="K2210" s="18" t="s">
        <v>316</v>
      </c>
    </row>
    <row r="2211">
      <c r="A2211" s="17"/>
      <c r="H2211" s="18"/>
      <c r="K2211" s="18" t="s">
        <v>316</v>
      </c>
    </row>
    <row r="2212">
      <c r="A2212" s="17"/>
      <c r="H2212" s="18"/>
      <c r="K2212" s="18" t="s">
        <v>316</v>
      </c>
    </row>
    <row r="2213">
      <c r="A2213" s="17"/>
      <c r="H2213" s="18"/>
      <c r="K2213" s="18" t="s">
        <v>316</v>
      </c>
    </row>
    <row r="2214">
      <c r="A2214" s="17"/>
      <c r="H2214" s="18"/>
      <c r="K2214" s="18" t="s">
        <v>316</v>
      </c>
    </row>
    <row r="2215">
      <c r="A2215" s="17"/>
      <c r="H2215" s="18"/>
      <c r="K2215" s="18" t="s">
        <v>316</v>
      </c>
    </row>
    <row r="2216">
      <c r="A2216" s="17"/>
      <c r="H2216" s="18"/>
      <c r="K2216" s="18" t="s">
        <v>316</v>
      </c>
    </row>
    <row r="2217">
      <c r="A2217" s="17"/>
      <c r="H2217" s="18"/>
      <c r="K2217" s="18" t="s">
        <v>316</v>
      </c>
    </row>
    <row r="2218">
      <c r="A2218" s="17"/>
      <c r="H2218" s="18"/>
      <c r="K2218" s="18" t="s">
        <v>316</v>
      </c>
    </row>
    <row r="2219">
      <c r="A2219" s="17"/>
      <c r="H2219" s="18"/>
      <c r="K2219" s="18" t="s">
        <v>316</v>
      </c>
    </row>
    <row r="2220">
      <c r="A2220" s="17"/>
      <c r="H2220" s="18"/>
      <c r="K2220" s="18" t="s">
        <v>316</v>
      </c>
    </row>
    <row r="2221">
      <c r="A2221" s="17"/>
      <c r="H2221" s="18"/>
      <c r="K2221" s="18" t="s">
        <v>316</v>
      </c>
    </row>
    <row r="2222">
      <c r="A2222" s="17"/>
      <c r="H2222" s="18"/>
      <c r="K2222" s="18" t="s">
        <v>316</v>
      </c>
    </row>
    <row r="2223">
      <c r="A2223" s="17"/>
      <c r="H2223" s="18"/>
      <c r="K2223" s="18" t="s">
        <v>316</v>
      </c>
    </row>
    <row r="2224">
      <c r="A2224" s="17"/>
      <c r="H2224" s="18"/>
      <c r="K2224" s="18" t="s">
        <v>316</v>
      </c>
    </row>
    <row r="2225">
      <c r="A2225" s="17"/>
      <c r="H2225" s="18"/>
      <c r="K2225" s="18" t="s">
        <v>316</v>
      </c>
    </row>
    <row r="2226">
      <c r="A2226" s="17"/>
      <c r="H2226" s="18"/>
      <c r="K2226" s="18" t="s">
        <v>316</v>
      </c>
    </row>
    <row r="2227">
      <c r="A2227" s="17"/>
      <c r="H2227" s="18"/>
      <c r="K2227" s="18" t="s">
        <v>316</v>
      </c>
    </row>
    <row r="2228">
      <c r="A2228" s="17"/>
      <c r="H2228" s="18"/>
      <c r="K2228" s="18" t="s">
        <v>316</v>
      </c>
    </row>
    <row r="2229">
      <c r="A2229" s="17"/>
      <c r="H2229" s="18"/>
      <c r="K2229" s="18" t="s">
        <v>316</v>
      </c>
    </row>
    <row r="2230">
      <c r="A2230" s="17"/>
      <c r="H2230" s="18"/>
      <c r="K2230" s="18" t="s">
        <v>316</v>
      </c>
    </row>
    <row r="2231">
      <c r="A2231" s="17"/>
      <c r="H2231" s="18"/>
      <c r="K2231" s="18" t="s">
        <v>316</v>
      </c>
    </row>
    <row r="2232">
      <c r="A2232" s="17"/>
      <c r="H2232" s="18"/>
      <c r="K2232" s="18" t="s">
        <v>316</v>
      </c>
    </row>
    <row r="2233">
      <c r="A2233" s="17"/>
      <c r="H2233" s="18"/>
      <c r="K2233" s="18" t="s">
        <v>316</v>
      </c>
    </row>
    <row r="2234">
      <c r="A2234" s="17"/>
      <c r="H2234" s="18"/>
      <c r="K2234" s="18" t="s">
        <v>316</v>
      </c>
    </row>
    <row r="2235">
      <c r="A2235" s="17"/>
      <c r="H2235" s="18"/>
      <c r="K2235" s="18" t="s">
        <v>316</v>
      </c>
    </row>
    <row r="2236">
      <c r="A2236" s="17"/>
      <c r="H2236" s="18"/>
      <c r="K2236" s="18" t="s">
        <v>316</v>
      </c>
    </row>
    <row r="2237">
      <c r="A2237" s="17"/>
      <c r="H2237" s="18"/>
      <c r="K2237" s="18" t="s">
        <v>316</v>
      </c>
    </row>
    <row r="2238">
      <c r="A2238" s="17"/>
      <c r="H2238" s="18"/>
      <c r="K2238" s="18" t="s">
        <v>316</v>
      </c>
    </row>
    <row r="2239">
      <c r="A2239" s="17"/>
      <c r="H2239" s="18"/>
      <c r="K2239" s="18" t="s">
        <v>316</v>
      </c>
    </row>
    <row r="2240">
      <c r="A2240" s="17"/>
      <c r="H2240" s="18"/>
      <c r="K2240" s="18" t="s">
        <v>316</v>
      </c>
    </row>
    <row r="2241">
      <c r="A2241" s="17"/>
      <c r="H2241" s="18"/>
      <c r="K2241" s="18" t="s">
        <v>316</v>
      </c>
    </row>
    <row r="2242">
      <c r="A2242" s="17"/>
      <c r="H2242" s="18"/>
      <c r="K2242" s="18" t="s">
        <v>316</v>
      </c>
    </row>
    <row r="2243">
      <c r="A2243" s="17"/>
      <c r="H2243" s="18"/>
      <c r="K2243" s="18" t="s">
        <v>316</v>
      </c>
    </row>
    <row r="2244">
      <c r="A2244" s="17"/>
      <c r="H2244" s="18"/>
      <c r="K2244" s="18" t="s">
        <v>316</v>
      </c>
    </row>
    <row r="2245">
      <c r="A2245" s="17"/>
      <c r="H2245" s="18"/>
      <c r="K2245" s="18" t="s">
        <v>316</v>
      </c>
    </row>
    <row r="2246">
      <c r="A2246" s="17"/>
      <c r="H2246" s="18"/>
      <c r="K2246" s="18" t="s">
        <v>316</v>
      </c>
    </row>
    <row r="2247">
      <c r="A2247" s="17"/>
      <c r="H2247" s="18"/>
      <c r="K2247" s="18" t="s">
        <v>316</v>
      </c>
    </row>
    <row r="2248">
      <c r="A2248" s="17"/>
      <c r="H2248" s="18"/>
      <c r="K2248" s="18" t="s">
        <v>316</v>
      </c>
    </row>
    <row r="2249">
      <c r="A2249" s="17"/>
      <c r="H2249" s="18"/>
      <c r="K2249" s="18" t="s">
        <v>316</v>
      </c>
    </row>
    <row r="2250">
      <c r="A2250" s="17"/>
      <c r="H2250" s="18"/>
      <c r="K2250" s="18" t="s">
        <v>316</v>
      </c>
    </row>
    <row r="2251">
      <c r="A2251" s="17"/>
      <c r="H2251" s="18"/>
      <c r="K2251" s="18" t="s">
        <v>316</v>
      </c>
    </row>
    <row r="2252">
      <c r="A2252" s="17"/>
      <c r="H2252" s="18"/>
      <c r="K2252" s="18" t="s">
        <v>316</v>
      </c>
    </row>
    <row r="2253">
      <c r="A2253" s="17"/>
      <c r="H2253" s="18"/>
      <c r="K2253" s="18" t="s">
        <v>316</v>
      </c>
    </row>
    <row r="2254">
      <c r="A2254" s="17"/>
      <c r="H2254" s="18"/>
      <c r="K2254" s="18" t="s">
        <v>316</v>
      </c>
    </row>
    <row r="2255">
      <c r="A2255" s="17"/>
      <c r="H2255" s="18"/>
      <c r="K2255" s="18" t="s">
        <v>316</v>
      </c>
    </row>
    <row r="2256">
      <c r="A2256" s="17"/>
      <c r="H2256" s="18"/>
      <c r="K2256" s="18" t="s">
        <v>316</v>
      </c>
    </row>
    <row r="2257">
      <c r="A2257" s="17"/>
      <c r="H2257" s="18"/>
      <c r="K2257" s="18" t="s">
        <v>316</v>
      </c>
    </row>
    <row r="2258">
      <c r="A2258" s="17"/>
      <c r="H2258" s="18"/>
      <c r="K2258" s="18" t="s">
        <v>316</v>
      </c>
    </row>
    <row r="2259">
      <c r="A2259" s="17"/>
      <c r="H2259" s="18"/>
      <c r="K2259" s="18" t="s">
        <v>316</v>
      </c>
    </row>
    <row r="2260">
      <c r="A2260" s="17"/>
      <c r="H2260" s="18"/>
      <c r="K2260" s="18" t="s">
        <v>316</v>
      </c>
    </row>
    <row r="2261">
      <c r="A2261" s="17"/>
      <c r="H2261" s="18"/>
      <c r="K2261" s="18" t="s">
        <v>316</v>
      </c>
    </row>
    <row r="2262">
      <c r="A2262" s="17"/>
      <c r="H2262" s="18"/>
      <c r="K2262" s="18" t="s">
        <v>316</v>
      </c>
    </row>
    <row r="2263">
      <c r="A2263" s="17"/>
      <c r="H2263" s="18"/>
      <c r="K2263" s="18" t="s">
        <v>316</v>
      </c>
    </row>
    <row r="2264">
      <c r="A2264" s="17"/>
      <c r="H2264" s="18"/>
      <c r="K2264" s="18" t="s">
        <v>316</v>
      </c>
    </row>
    <row r="2265">
      <c r="A2265" s="17"/>
      <c r="H2265" s="18"/>
      <c r="K2265" s="18" t="s">
        <v>316</v>
      </c>
    </row>
    <row r="2266">
      <c r="A2266" s="17"/>
      <c r="H2266" s="18"/>
      <c r="K2266" s="18" t="s">
        <v>316</v>
      </c>
    </row>
    <row r="2267">
      <c r="A2267" s="17"/>
      <c r="H2267" s="18"/>
      <c r="K2267" s="18" t="s">
        <v>316</v>
      </c>
    </row>
    <row r="2268">
      <c r="A2268" s="17"/>
      <c r="H2268" s="18"/>
      <c r="K2268" s="18" t="s">
        <v>316</v>
      </c>
    </row>
    <row r="2269">
      <c r="A2269" s="17"/>
      <c r="H2269" s="18"/>
      <c r="K2269" s="18" t="s">
        <v>316</v>
      </c>
    </row>
    <row r="2270">
      <c r="A2270" s="17"/>
      <c r="H2270" s="18"/>
      <c r="K2270" s="18" t="s">
        <v>316</v>
      </c>
    </row>
    <row r="2271">
      <c r="A2271" s="17"/>
      <c r="H2271" s="18"/>
      <c r="K2271" s="18" t="s">
        <v>316</v>
      </c>
    </row>
    <row r="2272">
      <c r="A2272" s="17"/>
      <c r="H2272" s="18"/>
      <c r="K2272" s="18" t="s">
        <v>316</v>
      </c>
    </row>
    <row r="2273">
      <c r="A2273" s="17"/>
      <c r="H2273" s="18"/>
      <c r="K2273" s="18" t="s">
        <v>316</v>
      </c>
    </row>
    <row r="2274">
      <c r="A2274" s="17"/>
      <c r="H2274" s="18"/>
      <c r="K2274" s="18" t="s">
        <v>316</v>
      </c>
    </row>
    <row r="2275">
      <c r="A2275" s="17"/>
      <c r="H2275" s="18"/>
      <c r="K2275" s="18" t="s">
        <v>316</v>
      </c>
    </row>
    <row r="2276">
      <c r="A2276" s="17"/>
      <c r="H2276" s="18"/>
      <c r="K2276" s="18" t="s">
        <v>316</v>
      </c>
    </row>
    <row r="2277">
      <c r="A2277" s="17"/>
      <c r="H2277" s="18"/>
      <c r="K2277" s="18" t="s">
        <v>316</v>
      </c>
    </row>
    <row r="2278">
      <c r="A2278" s="17"/>
      <c r="H2278" s="18"/>
      <c r="K2278" s="18" t="s">
        <v>316</v>
      </c>
    </row>
    <row r="2279">
      <c r="A2279" s="17"/>
      <c r="H2279" s="18"/>
      <c r="K2279" s="18" t="s">
        <v>316</v>
      </c>
    </row>
    <row r="2280">
      <c r="A2280" s="17"/>
      <c r="H2280" s="18"/>
      <c r="K2280" s="18" t="s">
        <v>316</v>
      </c>
    </row>
    <row r="2281">
      <c r="A2281" s="17"/>
      <c r="H2281" s="18"/>
      <c r="K2281" s="18" t="s">
        <v>316</v>
      </c>
    </row>
    <row r="2282">
      <c r="A2282" s="17"/>
      <c r="H2282" s="18"/>
      <c r="K2282" s="18" t="s">
        <v>316</v>
      </c>
    </row>
    <row r="2283">
      <c r="A2283" s="17"/>
      <c r="H2283" s="18"/>
      <c r="K2283" s="18" t="s">
        <v>316</v>
      </c>
    </row>
    <row r="2284">
      <c r="A2284" s="17"/>
      <c r="H2284" s="18"/>
      <c r="K2284" s="18" t="s">
        <v>316</v>
      </c>
    </row>
    <row r="2285">
      <c r="A2285" s="17"/>
      <c r="H2285" s="18"/>
      <c r="K2285" s="18" t="s">
        <v>316</v>
      </c>
    </row>
    <row r="2286">
      <c r="A2286" s="17"/>
      <c r="H2286" s="18"/>
      <c r="K2286" s="18" t="s">
        <v>316</v>
      </c>
    </row>
    <row r="2287">
      <c r="A2287" s="17"/>
      <c r="H2287" s="18"/>
      <c r="K2287" s="18" t="s">
        <v>316</v>
      </c>
    </row>
    <row r="2288">
      <c r="A2288" s="17"/>
      <c r="H2288" s="18"/>
      <c r="K2288" s="18" t="s">
        <v>316</v>
      </c>
    </row>
    <row r="2289">
      <c r="A2289" s="17"/>
      <c r="H2289" s="18"/>
      <c r="K2289" s="18" t="s">
        <v>316</v>
      </c>
    </row>
    <row r="2290">
      <c r="A2290" s="17"/>
      <c r="H2290" s="18"/>
      <c r="K2290" s="18" t="s">
        <v>316</v>
      </c>
    </row>
    <row r="2291">
      <c r="A2291" s="17"/>
      <c r="H2291" s="18"/>
      <c r="K2291" s="18" t="s">
        <v>316</v>
      </c>
    </row>
    <row r="2292">
      <c r="A2292" s="17"/>
      <c r="H2292" s="18"/>
      <c r="K2292" s="18" t="s">
        <v>316</v>
      </c>
    </row>
    <row r="2293">
      <c r="A2293" s="17"/>
      <c r="H2293" s="18"/>
      <c r="K2293" s="18" t="s">
        <v>316</v>
      </c>
    </row>
    <row r="2294">
      <c r="A2294" s="17"/>
      <c r="H2294" s="18"/>
      <c r="K2294" s="18" t="s">
        <v>316</v>
      </c>
    </row>
    <row r="2295">
      <c r="A2295" s="17"/>
      <c r="H2295" s="18"/>
      <c r="K2295" s="18" t="s">
        <v>316</v>
      </c>
    </row>
    <row r="2296">
      <c r="A2296" s="17"/>
      <c r="H2296" s="18"/>
      <c r="K2296" s="18" t="s">
        <v>316</v>
      </c>
    </row>
    <row r="2297">
      <c r="A2297" s="17"/>
      <c r="H2297" s="18"/>
      <c r="K2297" s="18" t="s">
        <v>316</v>
      </c>
    </row>
    <row r="2298">
      <c r="A2298" s="17"/>
      <c r="H2298" s="18"/>
      <c r="K2298" s="18" t="s">
        <v>316</v>
      </c>
    </row>
    <row r="2299">
      <c r="A2299" s="17"/>
      <c r="H2299" s="18"/>
      <c r="K2299" s="18" t="s">
        <v>316</v>
      </c>
    </row>
    <row r="2300">
      <c r="A2300" s="17"/>
      <c r="H2300" s="18"/>
      <c r="K2300" s="18" t="s">
        <v>316</v>
      </c>
    </row>
    <row r="2301">
      <c r="A2301" s="17"/>
      <c r="H2301" s="18"/>
      <c r="K2301" s="18" t="s">
        <v>316</v>
      </c>
    </row>
    <row r="2302">
      <c r="A2302" s="17"/>
      <c r="H2302" s="18"/>
      <c r="K2302" s="18" t="s">
        <v>316</v>
      </c>
    </row>
    <row r="2303">
      <c r="A2303" s="17"/>
      <c r="H2303" s="18"/>
      <c r="K2303" s="18" t="s">
        <v>316</v>
      </c>
    </row>
    <row r="2304">
      <c r="A2304" s="17"/>
      <c r="H2304" s="18"/>
      <c r="K2304" s="18" t="s">
        <v>316</v>
      </c>
    </row>
    <row r="2305">
      <c r="A2305" s="17"/>
      <c r="H2305" s="18"/>
      <c r="K2305" s="18" t="s">
        <v>316</v>
      </c>
    </row>
    <row r="2306">
      <c r="A2306" s="17"/>
      <c r="H2306" s="18"/>
      <c r="K2306" s="18" t="s">
        <v>316</v>
      </c>
    </row>
    <row r="2307">
      <c r="A2307" s="17"/>
      <c r="H2307" s="18"/>
      <c r="K2307" s="18" t="s">
        <v>316</v>
      </c>
    </row>
    <row r="2308">
      <c r="A2308" s="17"/>
      <c r="H2308" s="18"/>
      <c r="K2308" s="18" t="s">
        <v>316</v>
      </c>
    </row>
    <row r="2309">
      <c r="A2309" s="17"/>
      <c r="H2309" s="18"/>
      <c r="K2309" s="18" t="s">
        <v>316</v>
      </c>
    </row>
    <row r="2310">
      <c r="A2310" s="17"/>
      <c r="H2310" s="18"/>
      <c r="K2310" s="18" t="s">
        <v>316</v>
      </c>
    </row>
    <row r="2311">
      <c r="A2311" s="17"/>
      <c r="H2311" s="18"/>
      <c r="K2311" s="18" t="s">
        <v>316</v>
      </c>
    </row>
    <row r="2312">
      <c r="A2312" s="17"/>
      <c r="H2312" s="18"/>
      <c r="K2312" s="18" t="s">
        <v>316</v>
      </c>
    </row>
    <row r="2313">
      <c r="A2313" s="17"/>
      <c r="H2313" s="18"/>
      <c r="K2313" s="18" t="s">
        <v>316</v>
      </c>
    </row>
    <row r="2314">
      <c r="A2314" s="17"/>
      <c r="H2314" s="18"/>
      <c r="K2314" s="18" t="s">
        <v>316</v>
      </c>
    </row>
    <row r="2315">
      <c r="A2315" s="17"/>
      <c r="H2315" s="18"/>
      <c r="K2315" s="18" t="s">
        <v>316</v>
      </c>
    </row>
    <row r="2316">
      <c r="A2316" s="17"/>
      <c r="H2316" s="18"/>
      <c r="K2316" s="18" t="s">
        <v>316</v>
      </c>
    </row>
    <row r="2317">
      <c r="A2317" s="17"/>
      <c r="H2317" s="18"/>
      <c r="K2317" s="18" t="s">
        <v>316</v>
      </c>
    </row>
    <row r="2318">
      <c r="A2318" s="17"/>
      <c r="H2318" s="18"/>
      <c r="K2318" s="18" t="s">
        <v>316</v>
      </c>
    </row>
    <row r="2319">
      <c r="A2319" s="17"/>
      <c r="H2319" s="18"/>
      <c r="K2319" s="18" t="s">
        <v>316</v>
      </c>
    </row>
    <row r="2320">
      <c r="A2320" s="17"/>
      <c r="H2320" s="18"/>
      <c r="K2320" s="18" t="s">
        <v>316</v>
      </c>
    </row>
    <row r="2321">
      <c r="A2321" s="17"/>
      <c r="H2321" s="18"/>
      <c r="K2321" s="18" t="s">
        <v>316</v>
      </c>
    </row>
    <row r="2322">
      <c r="A2322" s="17"/>
      <c r="H2322" s="18"/>
      <c r="K2322" s="18" t="s">
        <v>316</v>
      </c>
    </row>
    <row r="2323">
      <c r="A2323" s="17"/>
      <c r="H2323" s="18"/>
      <c r="K2323" s="18" t="s">
        <v>316</v>
      </c>
    </row>
    <row r="2324">
      <c r="A2324" s="17"/>
      <c r="H2324" s="18"/>
      <c r="K2324" s="18" t="s">
        <v>316</v>
      </c>
    </row>
    <row r="2325">
      <c r="A2325" s="17"/>
      <c r="H2325" s="18"/>
      <c r="K2325" s="18" t="s">
        <v>316</v>
      </c>
    </row>
    <row r="2326">
      <c r="A2326" s="17"/>
      <c r="H2326" s="18"/>
      <c r="K2326" s="18" t="s">
        <v>316</v>
      </c>
    </row>
    <row r="2327">
      <c r="A2327" s="17"/>
      <c r="H2327" s="18"/>
      <c r="K2327" s="18" t="s">
        <v>316</v>
      </c>
    </row>
    <row r="2328">
      <c r="A2328" s="17"/>
      <c r="H2328" s="18"/>
      <c r="K2328" s="18" t="s">
        <v>316</v>
      </c>
    </row>
    <row r="2329">
      <c r="A2329" s="17"/>
      <c r="H2329" s="18"/>
      <c r="K2329" s="18" t="s">
        <v>316</v>
      </c>
    </row>
    <row r="2330">
      <c r="A2330" s="17"/>
      <c r="H2330" s="18"/>
      <c r="K2330" s="18" t="s">
        <v>316</v>
      </c>
    </row>
    <row r="2331">
      <c r="A2331" s="17"/>
      <c r="H2331" s="18"/>
      <c r="K2331" s="18" t="s">
        <v>316</v>
      </c>
    </row>
    <row r="2332">
      <c r="A2332" s="17"/>
      <c r="H2332" s="18"/>
      <c r="K2332" s="18" t="s">
        <v>316</v>
      </c>
    </row>
    <row r="2333">
      <c r="A2333" s="17"/>
      <c r="H2333" s="18"/>
      <c r="K2333" s="18" t="s">
        <v>316</v>
      </c>
    </row>
    <row r="2334">
      <c r="A2334" s="17"/>
      <c r="H2334" s="18"/>
      <c r="K2334" s="18" t="s">
        <v>316</v>
      </c>
    </row>
    <row r="2335">
      <c r="A2335" s="17"/>
      <c r="H2335" s="18"/>
      <c r="K2335" s="18" t="s">
        <v>316</v>
      </c>
    </row>
    <row r="2336">
      <c r="A2336" s="17"/>
      <c r="H2336" s="18"/>
      <c r="K2336" s="18" t="s">
        <v>316</v>
      </c>
    </row>
    <row r="2337">
      <c r="A2337" s="17"/>
      <c r="H2337" s="18"/>
      <c r="K2337" s="18" t="s">
        <v>316</v>
      </c>
    </row>
    <row r="2338">
      <c r="A2338" s="17"/>
      <c r="H2338" s="18"/>
      <c r="K2338" s="18" t="s">
        <v>316</v>
      </c>
    </row>
    <row r="2339">
      <c r="A2339" s="17"/>
      <c r="H2339" s="18"/>
      <c r="K2339" s="18" t="s">
        <v>316</v>
      </c>
    </row>
    <row r="2340">
      <c r="A2340" s="17"/>
      <c r="H2340" s="18"/>
      <c r="K2340" s="18" t="s">
        <v>316</v>
      </c>
    </row>
    <row r="2341">
      <c r="A2341" s="17"/>
      <c r="H2341" s="18"/>
      <c r="K2341" s="18" t="s">
        <v>316</v>
      </c>
    </row>
    <row r="2342">
      <c r="A2342" s="17"/>
      <c r="H2342" s="18"/>
      <c r="K2342" s="18" t="s">
        <v>316</v>
      </c>
    </row>
    <row r="2343">
      <c r="A2343" s="17"/>
      <c r="H2343" s="18"/>
      <c r="K2343" s="18" t="s">
        <v>316</v>
      </c>
    </row>
    <row r="2344">
      <c r="A2344" s="17"/>
      <c r="H2344" s="18"/>
      <c r="K2344" s="18" t="s">
        <v>316</v>
      </c>
    </row>
    <row r="2345">
      <c r="A2345" s="17"/>
      <c r="H2345" s="18"/>
      <c r="K2345" s="18" t="s">
        <v>316</v>
      </c>
    </row>
    <row r="2346">
      <c r="A2346" s="17"/>
      <c r="H2346" s="18"/>
      <c r="K2346" s="18" t="s">
        <v>316</v>
      </c>
    </row>
    <row r="2347">
      <c r="A2347" s="17"/>
      <c r="H2347" s="18"/>
      <c r="K2347" s="18" t="s">
        <v>316</v>
      </c>
    </row>
    <row r="2348">
      <c r="A2348" s="17"/>
      <c r="H2348" s="18"/>
      <c r="K2348" s="18" t="s">
        <v>316</v>
      </c>
    </row>
    <row r="2349">
      <c r="A2349" s="17"/>
      <c r="H2349" s="18"/>
      <c r="K2349" s="18" t="s">
        <v>316</v>
      </c>
    </row>
    <row r="2350">
      <c r="A2350" s="17"/>
      <c r="H2350" s="18"/>
      <c r="K2350" s="18" t="s">
        <v>316</v>
      </c>
    </row>
    <row r="2351">
      <c r="A2351" s="17"/>
      <c r="H2351" s="18"/>
      <c r="K2351" s="18" t="s">
        <v>316</v>
      </c>
    </row>
    <row r="2352">
      <c r="A2352" s="17"/>
      <c r="H2352" s="18"/>
      <c r="K2352" s="18" t="s">
        <v>316</v>
      </c>
    </row>
    <row r="2353">
      <c r="A2353" s="17"/>
      <c r="H2353" s="18"/>
      <c r="K2353" s="18" t="s">
        <v>316</v>
      </c>
    </row>
    <row r="2354">
      <c r="A2354" s="17"/>
      <c r="H2354" s="18"/>
      <c r="K2354" s="18" t="s">
        <v>316</v>
      </c>
    </row>
    <row r="2355">
      <c r="A2355" s="17"/>
      <c r="H2355" s="18"/>
      <c r="K2355" s="18" t="s">
        <v>316</v>
      </c>
    </row>
    <row r="2356">
      <c r="A2356" s="17"/>
      <c r="H2356" s="18"/>
      <c r="K2356" s="18" t="s">
        <v>316</v>
      </c>
    </row>
    <row r="2357">
      <c r="A2357" s="17"/>
      <c r="H2357" s="18"/>
      <c r="K2357" s="18" t="s">
        <v>316</v>
      </c>
    </row>
    <row r="2358">
      <c r="A2358" s="17"/>
      <c r="H2358" s="18"/>
      <c r="K2358" s="18" t="s">
        <v>316</v>
      </c>
    </row>
    <row r="2359">
      <c r="A2359" s="17"/>
      <c r="H2359" s="18"/>
      <c r="K2359" s="18" t="s">
        <v>316</v>
      </c>
    </row>
    <row r="2360">
      <c r="A2360" s="17"/>
      <c r="H2360" s="18"/>
      <c r="K2360" s="18" t="s">
        <v>316</v>
      </c>
    </row>
    <row r="2361">
      <c r="A2361" s="17"/>
      <c r="H2361" s="18"/>
      <c r="K2361" s="18" t="s">
        <v>316</v>
      </c>
    </row>
    <row r="2362">
      <c r="A2362" s="17"/>
      <c r="H2362" s="18"/>
      <c r="K2362" s="18" t="s">
        <v>316</v>
      </c>
    </row>
    <row r="2363">
      <c r="A2363" s="17"/>
      <c r="H2363" s="18"/>
      <c r="K2363" s="18" t="s">
        <v>316</v>
      </c>
    </row>
    <row r="2364">
      <c r="A2364" s="17"/>
      <c r="H2364" s="18"/>
      <c r="K2364" s="18" t="s">
        <v>316</v>
      </c>
    </row>
    <row r="2365">
      <c r="A2365" s="17"/>
      <c r="H2365" s="18"/>
      <c r="K2365" s="18" t="s">
        <v>316</v>
      </c>
    </row>
    <row r="2366">
      <c r="A2366" s="17"/>
      <c r="H2366" s="18"/>
      <c r="K2366" s="18" t="s">
        <v>316</v>
      </c>
    </row>
    <row r="2367">
      <c r="A2367" s="17"/>
      <c r="H2367" s="18"/>
      <c r="K2367" s="18" t="s">
        <v>316</v>
      </c>
    </row>
    <row r="2368">
      <c r="A2368" s="17"/>
      <c r="H2368" s="18"/>
      <c r="K2368" s="18" t="s">
        <v>316</v>
      </c>
    </row>
    <row r="2369">
      <c r="A2369" s="17"/>
      <c r="H2369" s="18"/>
      <c r="K2369" s="18" t="s">
        <v>316</v>
      </c>
    </row>
    <row r="2370">
      <c r="A2370" s="17"/>
      <c r="H2370" s="18"/>
      <c r="K2370" s="18" t="s">
        <v>316</v>
      </c>
    </row>
    <row r="2371">
      <c r="A2371" s="17"/>
      <c r="H2371" s="18"/>
      <c r="K2371" s="18" t="s">
        <v>316</v>
      </c>
    </row>
    <row r="2372">
      <c r="A2372" s="17"/>
      <c r="H2372" s="18"/>
      <c r="K2372" s="18" t="s">
        <v>316</v>
      </c>
    </row>
    <row r="2373">
      <c r="A2373" s="17"/>
      <c r="H2373" s="18"/>
      <c r="K2373" s="18" t="s">
        <v>316</v>
      </c>
    </row>
    <row r="2374">
      <c r="A2374" s="17"/>
      <c r="H2374" s="18"/>
      <c r="K2374" s="18" t="s">
        <v>316</v>
      </c>
    </row>
    <row r="2375">
      <c r="A2375" s="17"/>
      <c r="H2375" s="18"/>
      <c r="K2375" s="18" t="s">
        <v>316</v>
      </c>
    </row>
    <row r="2376">
      <c r="A2376" s="17"/>
      <c r="H2376" s="18"/>
      <c r="K2376" s="18" t="s">
        <v>316</v>
      </c>
    </row>
    <row r="2377">
      <c r="A2377" s="17"/>
      <c r="H2377" s="18"/>
      <c r="K2377" s="18" t="s">
        <v>316</v>
      </c>
    </row>
    <row r="2378">
      <c r="A2378" s="17"/>
      <c r="H2378" s="18"/>
      <c r="K2378" s="18" t="s">
        <v>316</v>
      </c>
    </row>
    <row r="2379">
      <c r="A2379" s="17"/>
      <c r="H2379" s="18"/>
      <c r="K2379" s="18" t="s">
        <v>316</v>
      </c>
    </row>
    <row r="2380">
      <c r="A2380" s="17"/>
      <c r="H2380" s="18"/>
      <c r="K2380" s="18" t="s">
        <v>316</v>
      </c>
    </row>
    <row r="2381">
      <c r="A2381" s="17"/>
      <c r="H2381" s="18"/>
      <c r="K2381" s="18" t="s">
        <v>316</v>
      </c>
    </row>
    <row r="2382">
      <c r="A2382" s="17"/>
      <c r="H2382" s="18"/>
      <c r="K2382" s="18" t="s">
        <v>316</v>
      </c>
    </row>
    <row r="2383">
      <c r="A2383" s="17"/>
      <c r="H2383" s="18"/>
      <c r="K2383" s="18" t="s">
        <v>316</v>
      </c>
    </row>
    <row r="2384">
      <c r="A2384" s="17"/>
      <c r="H2384" s="18"/>
      <c r="K2384" s="18" t="s">
        <v>316</v>
      </c>
    </row>
    <row r="2385">
      <c r="A2385" s="17"/>
      <c r="H2385" s="18"/>
      <c r="K2385" s="18" t="s">
        <v>316</v>
      </c>
    </row>
    <row r="2386">
      <c r="A2386" s="17"/>
      <c r="H2386" s="18"/>
      <c r="K2386" s="18" t="s">
        <v>316</v>
      </c>
    </row>
    <row r="2387">
      <c r="A2387" s="17"/>
      <c r="H2387" s="18"/>
      <c r="K2387" s="18" t="s">
        <v>316</v>
      </c>
    </row>
    <row r="2388">
      <c r="A2388" s="17"/>
      <c r="H2388" s="18"/>
      <c r="K2388" s="18" t="s">
        <v>316</v>
      </c>
    </row>
    <row r="2389">
      <c r="A2389" s="17"/>
      <c r="H2389" s="18"/>
      <c r="K2389" s="18" t="s">
        <v>316</v>
      </c>
    </row>
    <row r="2390">
      <c r="A2390" s="17"/>
      <c r="H2390" s="18"/>
      <c r="K2390" s="18" t="s">
        <v>316</v>
      </c>
    </row>
    <row r="2391">
      <c r="A2391" s="17"/>
      <c r="H2391" s="18"/>
      <c r="K2391" s="18" t="s">
        <v>316</v>
      </c>
    </row>
    <row r="2392">
      <c r="A2392" s="17"/>
      <c r="H2392" s="18"/>
      <c r="K2392" s="18" t="s">
        <v>316</v>
      </c>
    </row>
    <row r="2393">
      <c r="A2393" s="17"/>
      <c r="H2393" s="18"/>
      <c r="K2393" s="18" t="s">
        <v>316</v>
      </c>
    </row>
    <row r="2394">
      <c r="A2394" s="17"/>
      <c r="H2394" s="18"/>
      <c r="K2394" s="18" t="s">
        <v>316</v>
      </c>
    </row>
    <row r="2395">
      <c r="A2395" s="17"/>
      <c r="H2395" s="18"/>
      <c r="K2395" s="18" t="s">
        <v>316</v>
      </c>
    </row>
    <row r="2396">
      <c r="A2396" s="17"/>
      <c r="H2396" s="18"/>
      <c r="K2396" s="18" t="s">
        <v>316</v>
      </c>
    </row>
    <row r="2397">
      <c r="A2397" s="17"/>
      <c r="H2397" s="18"/>
      <c r="K2397" s="18" t="s">
        <v>316</v>
      </c>
    </row>
    <row r="2398">
      <c r="A2398" s="17"/>
      <c r="H2398" s="18"/>
      <c r="K2398" s="18" t="s">
        <v>316</v>
      </c>
    </row>
    <row r="2399">
      <c r="A2399" s="17"/>
      <c r="H2399" s="18"/>
      <c r="K2399" s="18" t="s">
        <v>316</v>
      </c>
    </row>
    <row r="2400">
      <c r="A2400" s="17"/>
      <c r="H2400" s="18"/>
      <c r="K2400" s="18" t="s">
        <v>316</v>
      </c>
    </row>
    <row r="2401">
      <c r="A2401" s="17"/>
      <c r="H2401" s="18"/>
      <c r="K2401" s="18" t="s">
        <v>316</v>
      </c>
    </row>
    <row r="2402">
      <c r="A2402" s="17"/>
      <c r="H2402" s="18"/>
      <c r="K2402" s="18" t="s">
        <v>316</v>
      </c>
    </row>
    <row r="2403">
      <c r="A2403" s="17"/>
      <c r="H2403" s="18"/>
      <c r="K2403" s="18" t="s">
        <v>316</v>
      </c>
    </row>
    <row r="2404">
      <c r="A2404" s="17"/>
      <c r="H2404" s="18"/>
      <c r="K2404" s="18" t="s">
        <v>316</v>
      </c>
    </row>
    <row r="2405">
      <c r="A2405" s="17"/>
      <c r="H2405" s="18"/>
      <c r="K2405" s="18" t="s">
        <v>316</v>
      </c>
    </row>
    <row r="2406">
      <c r="A2406" s="17"/>
      <c r="H2406" s="18"/>
      <c r="K2406" s="18" t="s">
        <v>316</v>
      </c>
    </row>
    <row r="2407">
      <c r="A2407" s="17"/>
      <c r="H2407" s="18"/>
      <c r="K2407" s="18" t="s">
        <v>316</v>
      </c>
    </row>
    <row r="2408">
      <c r="A2408" s="17"/>
      <c r="H2408" s="18"/>
      <c r="K2408" s="18" t="s">
        <v>316</v>
      </c>
    </row>
    <row r="2409">
      <c r="A2409" s="17"/>
      <c r="H2409" s="18"/>
      <c r="K2409" s="18" t="s">
        <v>316</v>
      </c>
    </row>
    <row r="2410">
      <c r="A2410" s="17"/>
      <c r="H2410" s="18"/>
      <c r="K2410" s="18" t="s">
        <v>316</v>
      </c>
    </row>
    <row r="2411">
      <c r="A2411" s="17"/>
      <c r="H2411" s="18"/>
      <c r="K2411" s="18" t="s">
        <v>316</v>
      </c>
    </row>
    <row r="2412">
      <c r="A2412" s="17"/>
      <c r="H2412" s="18"/>
      <c r="K2412" s="18" t="s">
        <v>316</v>
      </c>
    </row>
    <row r="2413">
      <c r="A2413" s="17"/>
      <c r="H2413" s="18"/>
      <c r="K2413" s="18" t="s">
        <v>316</v>
      </c>
    </row>
    <row r="2414">
      <c r="A2414" s="17"/>
      <c r="H2414" s="18"/>
      <c r="K2414" s="18" t="s">
        <v>316</v>
      </c>
    </row>
    <row r="2415">
      <c r="A2415" s="17"/>
      <c r="H2415" s="18"/>
      <c r="K2415" s="18" t="s">
        <v>316</v>
      </c>
    </row>
    <row r="2416">
      <c r="A2416" s="17"/>
      <c r="H2416" s="18"/>
      <c r="K2416" s="18" t="s">
        <v>316</v>
      </c>
    </row>
    <row r="2417">
      <c r="A2417" s="17"/>
      <c r="H2417" s="18"/>
      <c r="K2417" s="18" t="s">
        <v>316</v>
      </c>
    </row>
    <row r="2418">
      <c r="A2418" s="17"/>
      <c r="H2418" s="18"/>
      <c r="K2418" s="18" t="s">
        <v>316</v>
      </c>
    </row>
    <row r="2419">
      <c r="A2419" s="17"/>
      <c r="H2419" s="18"/>
      <c r="K2419" s="18" t="s">
        <v>316</v>
      </c>
    </row>
    <row r="2420">
      <c r="A2420" s="17"/>
      <c r="H2420" s="18"/>
      <c r="K2420" s="18" t="s">
        <v>316</v>
      </c>
    </row>
    <row r="2421">
      <c r="A2421" s="17"/>
      <c r="H2421" s="18"/>
      <c r="K2421" s="18" t="s">
        <v>316</v>
      </c>
    </row>
    <row r="2422">
      <c r="A2422" s="17"/>
      <c r="H2422" s="18"/>
      <c r="K2422" s="18" t="s">
        <v>316</v>
      </c>
    </row>
    <row r="2423">
      <c r="A2423" s="17"/>
      <c r="H2423" s="18"/>
      <c r="K2423" s="18" t="s">
        <v>316</v>
      </c>
    </row>
    <row r="2424">
      <c r="A2424" s="17"/>
      <c r="H2424" s="18"/>
      <c r="K2424" s="18" t="s">
        <v>316</v>
      </c>
    </row>
    <row r="2425">
      <c r="A2425" s="17"/>
      <c r="H2425" s="18"/>
      <c r="K2425" s="18" t="s">
        <v>316</v>
      </c>
    </row>
    <row r="2426">
      <c r="A2426" s="17"/>
      <c r="H2426" s="18"/>
      <c r="K2426" s="18" t="s">
        <v>316</v>
      </c>
    </row>
    <row r="2427">
      <c r="A2427" s="17"/>
      <c r="H2427" s="18"/>
      <c r="K2427" s="18" t="s">
        <v>316</v>
      </c>
    </row>
    <row r="2428">
      <c r="A2428" s="17"/>
      <c r="H2428" s="18"/>
      <c r="K2428" s="18" t="s">
        <v>316</v>
      </c>
    </row>
    <row r="2429">
      <c r="A2429" s="17"/>
      <c r="H2429" s="18"/>
      <c r="K2429" s="18" t="s">
        <v>316</v>
      </c>
    </row>
    <row r="2430">
      <c r="A2430" s="17"/>
      <c r="H2430" s="18"/>
      <c r="K2430" s="18" t="s">
        <v>316</v>
      </c>
    </row>
    <row r="2431">
      <c r="A2431" s="17"/>
      <c r="H2431" s="18"/>
      <c r="K2431" s="18" t="s">
        <v>316</v>
      </c>
    </row>
    <row r="2432">
      <c r="A2432" s="17"/>
      <c r="H2432" s="18"/>
      <c r="K2432" s="18" t="s">
        <v>316</v>
      </c>
    </row>
    <row r="2433">
      <c r="A2433" s="17"/>
      <c r="H2433" s="18"/>
      <c r="K2433" s="18" t="s">
        <v>316</v>
      </c>
    </row>
    <row r="2434">
      <c r="A2434" s="17"/>
      <c r="H2434" s="18"/>
      <c r="K2434" s="18" t="s">
        <v>316</v>
      </c>
    </row>
    <row r="2435">
      <c r="A2435" s="17"/>
      <c r="H2435" s="18"/>
      <c r="K2435" s="18" t="s">
        <v>316</v>
      </c>
    </row>
    <row r="2436">
      <c r="A2436" s="17"/>
      <c r="H2436" s="18"/>
      <c r="K2436" s="18" t="s">
        <v>316</v>
      </c>
    </row>
    <row r="2437">
      <c r="A2437" s="17"/>
      <c r="H2437" s="18"/>
      <c r="K2437" s="18" t="s">
        <v>316</v>
      </c>
    </row>
    <row r="2438">
      <c r="A2438" s="17"/>
      <c r="H2438" s="18"/>
      <c r="K2438" s="18" t="s">
        <v>316</v>
      </c>
    </row>
    <row r="2439">
      <c r="A2439" s="17"/>
      <c r="H2439" s="18"/>
      <c r="K2439" s="18" t="s">
        <v>316</v>
      </c>
    </row>
    <row r="2440">
      <c r="A2440" s="17"/>
      <c r="H2440" s="18"/>
      <c r="K2440" s="18" t="s">
        <v>316</v>
      </c>
    </row>
    <row r="2441">
      <c r="A2441" s="17"/>
      <c r="H2441" s="18"/>
      <c r="K2441" s="18" t="s">
        <v>316</v>
      </c>
    </row>
    <row r="2442">
      <c r="A2442" s="17"/>
      <c r="H2442" s="18"/>
      <c r="K2442" s="18" t="s">
        <v>316</v>
      </c>
    </row>
    <row r="2443">
      <c r="A2443" s="17"/>
      <c r="H2443" s="18"/>
      <c r="K2443" s="18" t="s">
        <v>316</v>
      </c>
    </row>
    <row r="2444">
      <c r="A2444" s="17"/>
      <c r="H2444" s="18"/>
      <c r="K2444" s="18" t="s">
        <v>316</v>
      </c>
    </row>
    <row r="2445">
      <c r="A2445" s="17"/>
      <c r="H2445" s="18"/>
      <c r="K2445" s="18" t="s">
        <v>316</v>
      </c>
    </row>
    <row r="2446">
      <c r="A2446" s="17"/>
      <c r="H2446" s="18"/>
      <c r="K2446" s="18" t="s">
        <v>316</v>
      </c>
    </row>
    <row r="2447">
      <c r="A2447" s="17"/>
      <c r="H2447" s="18"/>
      <c r="K2447" s="18" t="s">
        <v>316</v>
      </c>
    </row>
    <row r="2448">
      <c r="A2448" s="17"/>
      <c r="H2448" s="18"/>
      <c r="K2448" s="18" t="s">
        <v>316</v>
      </c>
    </row>
    <row r="2449">
      <c r="A2449" s="17"/>
      <c r="H2449" s="18"/>
      <c r="K2449" s="18" t="s">
        <v>316</v>
      </c>
    </row>
    <row r="2450">
      <c r="A2450" s="17"/>
      <c r="H2450" s="18"/>
      <c r="K2450" s="18" t="s">
        <v>316</v>
      </c>
    </row>
    <row r="2451">
      <c r="A2451" s="17"/>
      <c r="H2451" s="18"/>
      <c r="K2451" s="18" t="s">
        <v>316</v>
      </c>
    </row>
    <row r="2452">
      <c r="A2452" s="17"/>
      <c r="H2452" s="18"/>
      <c r="K2452" s="18" t="s">
        <v>316</v>
      </c>
    </row>
    <row r="2453">
      <c r="A2453" s="17"/>
      <c r="H2453" s="18"/>
      <c r="K2453" s="18" t="s">
        <v>316</v>
      </c>
    </row>
    <row r="2454">
      <c r="A2454" s="17"/>
      <c r="H2454" s="18"/>
      <c r="K2454" s="18" t="s">
        <v>316</v>
      </c>
    </row>
    <row r="2455">
      <c r="A2455" s="17"/>
      <c r="H2455" s="18"/>
      <c r="K2455" s="18" t="s">
        <v>316</v>
      </c>
    </row>
    <row r="2456">
      <c r="A2456" s="17"/>
      <c r="H2456" s="18"/>
      <c r="K2456" s="18" t="s">
        <v>316</v>
      </c>
    </row>
    <row r="2457">
      <c r="A2457" s="17"/>
      <c r="H2457" s="18"/>
      <c r="K2457" s="18" t="s">
        <v>316</v>
      </c>
    </row>
    <row r="2458">
      <c r="A2458" s="17"/>
      <c r="H2458" s="18"/>
      <c r="K2458" s="18" t="s">
        <v>316</v>
      </c>
    </row>
    <row r="2459">
      <c r="A2459" s="17"/>
      <c r="H2459" s="18"/>
      <c r="K2459" s="18" t="s">
        <v>316</v>
      </c>
    </row>
    <row r="2460">
      <c r="A2460" s="17"/>
      <c r="H2460" s="18"/>
      <c r="K2460" s="18" t="s">
        <v>316</v>
      </c>
    </row>
    <row r="2461">
      <c r="A2461" s="17"/>
      <c r="H2461" s="18"/>
      <c r="K2461" s="18" t="s">
        <v>316</v>
      </c>
    </row>
    <row r="2462">
      <c r="A2462" s="17"/>
      <c r="H2462" s="18"/>
      <c r="K2462" s="18" t="s">
        <v>316</v>
      </c>
    </row>
    <row r="2463">
      <c r="A2463" s="17"/>
      <c r="H2463" s="18"/>
      <c r="K2463" s="18" t="s">
        <v>316</v>
      </c>
    </row>
    <row r="2464">
      <c r="A2464" s="17"/>
      <c r="H2464" s="18"/>
      <c r="K2464" s="18" t="s">
        <v>316</v>
      </c>
    </row>
    <row r="2465">
      <c r="A2465" s="17"/>
      <c r="H2465" s="18"/>
      <c r="K2465" s="18" t="s">
        <v>316</v>
      </c>
    </row>
    <row r="2466">
      <c r="A2466" s="17"/>
      <c r="H2466" s="18"/>
      <c r="K2466" s="18" t="s">
        <v>316</v>
      </c>
    </row>
    <row r="2467">
      <c r="A2467" s="17"/>
      <c r="H2467" s="18"/>
      <c r="K2467" s="18" t="s">
        <v>316</v>
      </c>
    </row>
    <row r="2468">
      <c r="A2468" s="17"/>
      <c r="H2468" s="18"/>
      <c r="K2468" s="18" t="s">
        <v>316</v>
      </c>
    </row>
    <row r="2469">
      <c r="A2469" s="17"/>
      <c r="H2469" s="18"/>
      <c r="K2469" s="18" t="s">
        <v>316</v>
      </c>
    </row>
    <row r="2470">
      <c r="A2470" s="17"/>
      <c r="H2470" s="18"/>
      <c r="K2470" s="18" t="s">
        <v>316</v>
      </c>
    </row>
    <row r="2471">
      <c r="A2471" s="17"/>
      <c r="H2471" s="18"/>
      <c r="K2471" s="18" t="s">
        <v>316</v>
      </c>
    </row>
    <row r="2472">
      <c r="A2472" s="17"/>
      <c r="H2472" s="18"/>
      <c r="K2472" s="18" t="s">
        <v>316</v>
      </c>
    </row>
    <row r="2473">
      <c r="A2473" s="17"/>
      <c r="H2473" s="18"/>
      <c r="K2473" s="18" t="s">
        <v>316</v>
      </c>
    </row>
    <row r="2474">
      <c r="A2474" s="17"/>
      <c r="H2474" s="18"/>
      <c r="K2474" s="18" t="s">
        <v>316</v>
      </c>
    </row>
    <row r="2475">
      <c r="A2475" s="17"/>
      <c r="H2475" s="18"/>
      <c r="K2475" s="18" t="s">
        <v>316</v>
      </c>
    </row>
    <row r="2476">
      <c r="A2476" s="17"/>
      <c r="H2476" s="18"/>
      <c r="K2476" s="18" t="s">
        <v>316</v>
      </c>
    </row>
    <row r="2477">
      <c r="A2477" s="17"/>
      <c r="H2477" s="18"/>
      <c r="K2477" s="18" t="s">
        <v>316</v>
      </c>
    </row>
    <row r="2478">
      <c r="A2478" s="17"/>
      <c r="H2478" s="18"/>
      <c r="K2478" s="18" t="s">
        <v>316</v>
      </c>
    </row>
    <row r="2479">
      <c r="A2479" s="17"/>
      <c r="H2479" s="18"/>
      <c r="K2479" s="18" t="s">
        <v>316</v>
      </c>
    </row>
    <row r="2480">
      <c r="A2480" s="17"/>
      <c r="H2480" s="18"/>
      <c r="K2480" s="18" t="s">
        <v>316</v>
      </c>
    </row>
    <row r="2481">
      <c r="A2481" s="17"/>
      <c r="H2481" s="18"/>
      <c r="K2481" s="18" t="s">
        <v>316</v>
      </c>
    </row>
    <row r="2482">
      <c r="A2482" s="17"/>
      <c r="H2482" s="18"/>
      <c r="K2482" s="18" t="s">
        <v>316</v>
      </c>
    </row>
    <row r="2483">
      <c r="A2483" s="17"/>
      <c r="H2483" s="18"/>
      <c r="K2483" s="18" t="s">
        <v>316</v>
      </c>
    </row>
    <row r="2484">
      <c r="A2484" s="17"/>
      <c r="H2484" s="18"/>
      <c r="K2484" s="18" t="s">
        <v>316</v>
      </c>
    </row>
    <row r="2485">
      <c r="A2485" s="17"/>
      <c r="H2485" s="18"/>
      <c r="K2485" s="18" t="s">
        <v>316</v>
      </c>
    </row>
    <row r="2486">
      <c r="A2486" s="17"/>
      <c r="H2486" s="18"/>
      <c r="K2486" s="18" t="s">
        <v>316</v>
      </c>
    </row>
    <row r="2487">
      <c r="A2487" s="17"/>
      <c r="H2487" s="18"/>
      <c r="K2487" s="18" t="s">
        <v>316</v>
      </c>
    </row>
    <row r="2488">
      <c r="A2488" s="17"/>
      <c r="H2488" s="18"/>
      <c r="K2488" s="18" t="s">
        <v>316</v>
      </c>
    </row>
    <row r="2489">
      <c r="A2489" s="17"/>
      <c r="H2489" s="18"/>
      <c r="K2489" s="18" t="s">
        <v>316</v>
      </c>
    </row>
    <row r="2490">
      <c r="A2490" s="17"/>
      <c r="H2490" s="18"/>
      <c r="K2490" s="18" t="s">
        <v>316</v>
      </c>
    </row>
    <row r="2491">
      <c r="A2491" s="17"/>
      <c r="H2491" s="18"/>
      <c r="K2491" s="18" t="s">
        <v>316</v>
      </c>
    </row>
    <row r="2492">
      <c r="A2492" s="17"/>
      <c r="H2492" s="18"/>
      <c r="K2492" s="18" t="s">
        <v>316</v>
      </c>
    </row>
    <row r="2493">
      <c r="A2493" s="17"/>
      <c r="H2493" s="18"/>
      <c r="K2493" s="18" t="s">
        <v>316</v>
      </c>
    </row>
    <row r="2494">
      <c r="A2494" s="17"/>
      <c r="H2494" s="18"/>
      <c r="K2494" s="18" t="s">
        <v>316</v>
      </c>
    </row>
    <row r="2495">
      <c r="A2495" s="17"/>
      <c r="H2495" s="18"/>
      <c r="K2495" s="18" t="s">
        <v>316</v>
      </c>
    </row>
    <row r="2496">
      <c r="A2496" s="17"/>
      <c r="H2496" s="18"/>
      <c r="K2496" s="18" t="s">
        <v>316</v>
      </c>
    </row>
    <row r="2497">
      <c r="A2497" s="17"/>
      <c r="H2497" s="18"/>
      <c r="K2497" s="18" t="s">
        <v>316</v>
      </c>
    </row>
    <row r="2498">
      <c r="A2498" s="17"/>
      <c r="H2498" s="18"/>
      <c r="K2498" s="18" t="s">
        <v>316</v>
      </c>
    </row>
    <row r="2499">
      <c r="A2499" s="17"/>
      <c r="H2499" s="18"/>
      <c r="K2499" s="18" t="s">
        <v>316</v>
      </c>
    </row>
    <row r="2500">
      <c r="A2500" s="17"/>
      <c r="H2500" s="18"/>
      <c r="K2500" s="18" t="s">
        <v>316</v>
      </c>
    </row>
    <row r="2501">
      <c r="A2501" s="17"/>
      <c r="H2501" s="18"/>
      <c r="K2501" s="18" t="s">
        <v>316</v>
      </c>
    </row>
    <row r="2502">
      <c r="A2502" s="17"/>
      <c r="H2502" s="18"/>
      <c r="K2502" s="18" t="s">
        <v>316</v>
      </c>
    </row>
    <row r="2503">
      <c r="A2503" s="17"/>
      <c r="H2503" s="18"/>
      <c r="K2503" s="18" t="s">
        <v>316</v>
      </c>
    </row>
    <row r="2504">
      <c r="A2504" s="17"/>
      <c r="H2504" s="18"/>
      <c r="K2504" s="18" t="s">
        <v>316</v>
      </c>
    </row>
    <row r="2505">
      <c r="A2505" s="17"/>
      <c r="H2505" s="18"/>
      <c r="K2505" s="18" t="s">
        <v>316</v>
      </c>
    </row>
    <row r="2506">
      <c r="A2506" s="17"/>
      <c r="H2506" s="18"/>
      <c r="K2506" s="18" t="s">
        <v>316</v>
      </c>
    </row>
    <row r="2507">
      <c r="A2507" s="17"/>
      <c r="H2507" s="18"/>
      <c r="K2507" s="18" t="s">
        <v>316</v>
      </c>
    </row>
    <row r="2508">
      <c r="A2508" s="17"/>
      <c r="H2508" s="18"/>
      <c r="K2508" s="18" t="s">
        <v>316</v>
      </c>
    </row>
    <row r="2509">
      <c r="A2509" s="17"/>
      <c r="H2509" s="18"/>
      <c r="K2509" s="18" t="s">
        <v>316</v>
      </c>
    </row>
    <row r="2510">
      <c r="A2510" s="17"/>
      <c r="H2510" s="18"/>
      <c r="K2510" s="18" t="s">
        <v>316</v>
      </c>
    </row>
    <row r="2511">
      <c r="A2511" s="17"/>
      <c r="H2511" s="18"/>
      <c r="K2511" s="18" t="s">
        <v>316</v>
      </c>
    </row>
    <row r="2512">
      <c r="A2512" s="17"/>
      <c r="H2512" s="18"/>
      <c r="K2512" s="18" t="s">
        <v>316</v>
      </c>
    </row>
    <row r="2513">
      <c r="A2513" s="17"/>
      <c r="H2513" s="18"/>
      <c r="K2513" s="18" t="s">
        <v>316</v>
      </c>
    </row>
    <row r="2514">
      <c r="A2514" s="17"/>
      <c r="H2514" s="18"/>
      <c r="K2514" s="18" t="s">
        <v>316</v>
      </c>
    </row>
    <row r="2515">
      <c r="A2515" s="17"/>
      <c r="H2515" s="18"/>
      <c r="K2515" s="18" t="s">
        <v>316</v>
      </c>
    </row>
    <row r="2516">
      <c r="A2516" s="17"/>
      <c r="H2516" s="18"/>
      <c r="K2516" s="18" t="s">
        <v>316</v>
      </c>
    </row>
    <row r="2517">
      <c r="A2517" s="17"/>
      <c r="H2517" s="18"/>
      <c r="K2517" s="18" t="s">
        <v>316</v>
      </c>
    </row>
    <row r="2518">
      <c r="A2518" s="17"/>
      <c r="H2518" s="18"/>
      <c r="K2518" s="18" t="s">
        <v>316</v>
      </c>
    </row>
    <row r="2519">
      <c r="A2519" s="17"/>
      <c r="H2519" s="18"/>
      <c r="K2519" s="18" t="s">
        <v>316</v>
      </c>
    </row>
    <row r="2520">
      <c r="A2520" s="17"/>
      <c r="H2520" s="18"/>
      <c r="K2520" s="18" t="s">
        <v>316</v>
      </c>
    </row>
    <row r="2521">
      <c r="A2521" s="17"/>
      <c r="H2521" s="18"/>
      <c r="K2521" s="18" t="s">
        <v>316</v>
      </c>
    </row>
    <row r="2522">
      <c r="A2522" s="17"/>
      <c r="H2522" s="18"/>
      <c r="K2522" s="18" t="s">
        <v>316</v>
      </c>
    </row>
    <row r="2523">
      <c r="A2523" s="17"/>
      <c r="H2523" s="18"/>
      <c r="K2523" s="18" t="s">
        <v>316</v>
      </c>
    </row>
    <row r="2524">
      <c r="A2524" s="17"/>
      <c r="H2524" s="18"/>
      <c r="K2524" s="18" t="s">
        <v>316</v>
      </c>
    </row>
    <row r="2525">
      <c r="A2525" s="17"/>
      <c r="H2525" s="18"/>
      <c r="K2525" s="18" t="s">
        <v>316</v>
      </c>
    </row>
    <row r="2526">
      <c r="A2526" s="17"/>
      <c r="H2526" s="18"/>
      <c r="K2526" s="18" t="s">
        <v>316</v>
      </c>
    </row>
    <row r="2527">
      <c r="A2527" s="17"/>
      <c r="H2527" s="18"/>
      <c r="K2527" s="18" t="s">
        <v>316</v>
      </c>
    </row>
    <row r="2528">
      <c r="A2528" s="17"/>
      <c r="H2528" s="18"/>
      <c r="K2528" s="18" t="s">
        <v>316</v>
      </c>
    </row>
    <row r="2529">
      <c r="A2529" s="17"/>
      <c r="H2529" s="18"/>
      <c r="K2529" s="18" t="s">
        <v>316</v>
      </c>
    </row>
    <row r="2530">
      <c r="A2530" s="17"/>
      <c r="H2530" s="18"/>
      <c r="K2530" s="18" t="s">
        <v>316</v>
      </c>
    </row>
    <row r="2531">
      <c r="A2531" s="17"/>
      <c r="H2531" s="18"/>
      <c r="K2531" s="18" t="s">
        <v>316</v>
      </c>
    </row>
    <row r="2532">
      <c r="A2532" s="17"/>
      <c r="H2532" s="18"/>
      <c r="K2532" s="18" t="s">
        <v>316</v>
      </c>
    </row>
    <row r="2533">
      <c r="A2533" s="17"/>
      <c r="H2533" s="18"/>
      <c r="K2533" s="18" t="s">
        <v>316</v>
      </c>
    </row>
    <row r="2534">
      <c r="A2534" s="17"/>
      <c r="H2534" s="18"/>
      <c r="K2534" s="18" t="s">
        <v>316</v>
      </c>
    </row>
    <row r="2535">
      <c r="A2535" s="17"/>
      <c r="H2535" s="18"/>
      <c r="K2535" s="18" t="s">
        <v>316</v>
      </c>
    </row>
    <row r="2536">
      <c r="A2536" s="17"/>
      <c r="H2536" s="18"/>
      <c r="K2536" s="18" t="s">
        <v>316</v>
      </c>
    </row>
    <row r="2537">
      <c r="A2537" s="17"/>
      <c r="H2537" s="18"/>
      <c r="K2537" s="18" t="s">
        <v>316</v>
      </c>
    </row>
    <row r="2538">
      <c r="A2538" s="17"/>
      <c r="H2538" s="18"/>
      <c r="K2538" s="18" t="s">
        <v>316</v>
      </c>
    </row>
    <row r="2539">
      <c r="A2539" s="17"/>
      <c r="H2539" s="18"/>
      <c r="K2539" s="18" t="s">
        <v>316</v>
      </c>
    </row>
    <row r="2540">
      <c r="A2540" s="17"/>
      <c r="H2540" s="18"/>
      <c r="K2540" s="18" t="s">
        <v>316</v>
      </c>
    </row>
    <row r="2541">
      <c r="A2541" s="17"/>
      <c r="H2541" s="18"/>
      <c r="K2541" s="18" t="s">
        <v>316</v>
      </c>
    </row>
    <row r="2542">
      <c r="A2542" s="17"/>
      <c r="H2542" s="18"/>
      <c r="K2542" s="18" t="s">
        <v>316</v>
      </c>
    </row>
    <row r="2543">
      <c r="A2543" s="17"/>
      <c r="H2543" s="18"/>
      <c r="K2543" s="18" t="s">
        <v>316</v>
      </c>
    </row>
    <row r="2544">
      <c r="A2544" s="17"/>
      <c r="H2544" s="18"/>
      <c r="K2544" s="18" t="s">
        <v>316</v>
      </c>
    </row>
    <row r="2545">
      <c r="A2545" s="17"/>
      <c r="H2545" s="18"/>
      <c r="K2545" s="18" t="s">
        <v>316</v>
      </c>
    </row>
    <row r="2546">
      <c r="A2546" s="17"/>
      <c r="H2546" s="18"/>
      <c r="K2546" s="18" t="s">
        <v>316</v>
      </c>
    </row>
    <row r="2547">
      <c r="A2547" s="17"/>
      <c r="H2547" s="18"/>
      <c r="K2547" s="18" t="s">
        <v>316</v>
      </c>
    </row>
    <row r="2548">
      <c r="A2548" s="17"/>
      <c r="H2548" s="18"/>
      <c r="K2548" s="18" t="s">
        <v>316</v>
      </c>
    </row>
    <row r="2549">
      <c r="A2549" s="17"/>
      <c r="H2549" s="18"/>
      <c r="K2549" s="18" t="s">
        <v>316</v>
      </c>
    </row>
    <row r="2550">
      <c r="A2550" s="17"/>
      <c r="H2550" s="18"/>
      <c r="K2550" s="18" t="s">
        <v>316</v>
      </c>
    </row>
    <row r="2551">
      <c r="A2551" s="17"/>
      <c r="H2551" s="18"/>
      <c r="K2551" s="18" t="s">
        <v>316</v>
      </c>
    </row>
    <row r="2552">
      <c r="A2552" s="17"/>
      <c r="H2552" s="18"/>
      <c r="K2552" s="18" t="s">
        <v>316</v>
      </c>
    </row>
    <row r="2553">
      <c r="A2553" s="17"/>
      <c r="H2553" s="18"/>
      <c r="K2553" s="18" t="s">
        <v>316</v>
      </c>
    </row>
    <row r="2554">
      <c r="A2554" s="17"/>
      <c r="H2554" s="18"/>
      <c r="K2554" s="18" t="s">
        <v>316</v>
      </c>
    </row>
    <row r="2555">
      <c r="A2555" s="17"/>
      <c r="H2555" s="18"/>
      <c r="K2555" s="18" t="s">
        <v>316</v>
      </c>
    </row>
    <row r="2556">
      <c r="A2556" s="17"/>
      <c r="H2556" s="18"/>
      <c r="K2556" s="18" t="s">
        <v>316</v>
      </c>
    </row>
    <row r="2557">
      <c r="A2557" s="17"/>
      <c r="H2557" s="18"/>
      <c r="K2557" s="18" t="s">
        <v>316</v>
      </c>
    </row>
    <row r="2558">
      <c r="A2558" s="17"/>
      <c r="H2558" s="18"/>
      <c r="K2558" s="18" t="s">
        <v>316</v>
      </c>
    </row>
    <row r="2559">
      <c r="A2559" s="17"/>
      <c r="H2559" s="18"/>
      <c r="K2559" s="18" t="s">
        <v>316</v>
      </c>
    </row>
    <row r="2560">
      <c r="A2560" s="17"/>
      <c r="H2560" s="18"/>
      <c r="K2560" s="18" t="s">
        <v>316</v>
      </c>
    </row>
    <row r="2561">
      <c r="A2561" s="17"/>
      <c r="H2561" s="18"/>
      <c r="K2561" s="18" t="s">
        <v>316</v>
      </c>
    </row>
    <row r="2562">
      <c r="A2562" s="17"/>
      <c r="H2562" s="18"/>
      <c r="K2562" s="18" t="s">
        <v>316</v>
      </c>
    </row>
    <row r="2563">
      <c r="A2563" s="17"/>
      <c r="H2563" s="18"/>
      <c r="K2563" s="18" t="s">
        <v>316</v>
      </c>
    </row>
    <row r="2564">
      <c r="A2564" s="17"/>
      <c r="H2564" s="18"/>
      <c r="K2564" s="18" t="s">
        <v>316</v>
      </c>
    </row>
    <row r="2565">
      <c r="A2565" s="17"/>
      <c r="H2565" s="18"/>
      <c r="K2565" s="18" t="s">
        <v>316</v>
      </c>
    </row>
    <row r="2566">
      <c r="A2566" s="17"/>
      <c r="H2566" s="18"/>
      <c r="K2566" s="18" t="s">
        <v>316</v>
      </c>
    </row>
    <row r="2567">
      <c r="A2567" s="17"/>
      <c r="H2567" s="18"/>
      <c r="K2567" s="18" t="s">
        <v>316</v>
      </c>
    </row>
    <row r="2568">
      <c r="A2568" s="17"/>
      <c r="H2568" s="18"/>
      <c r="K2568" s="18" t="s">
        <v>316</v>
      </c>
    </row>
    <row r="2569">
      <c r="A2569" s="17"/>
      <c r="H2569" s="18"/>
      <c r="K2569" s="18" t="s">
        <v>316</v>
      </c>
    </row>
    <row r="2570">
      <c r="A2570" s="17"/>
      <c r="H2570" s="18"/>
      <c r="K2570" s="18" t="s">
        <v>316</v>
      </c>
    </row>
    <row r="2571">
      <c r="A2571" s="17"/>
      <c r="H2571" s="18"/>
      <c r="K2571" s="18" t="s">
        <v>316</v>
      </c>
    </row>
    <row r="2572">
      <c r="A2572" s="17"/>
      <c r="H2572" s="18"/>
      <c r="K2572" s="18" t="s">
        <v>316</v>
      </c>
    </row>
    <row r="2573">
      <c r="A2573" s="17"/>
      <c r="H2573" s="18"/>
      <c r="K2573" s="18" t="s">
        <v>316</v>
      </c>
    </row>
    <row r="2574">
      <c r="A2574" s="17"/>
      <c r="H2574" s="18"/>
      <c r="K2574" s="18" t="s">
        <v>316</v>
      </c>
    </row>
    <row r="2575">
      <c r="A2575" s="17"/>
      <c r="H2575" s="18"/>
      <c r="K2575" s="18" t="s">
        <v>316</v>
      </c>
    </row>
    <row r="2576">
      <c r="A2576" s="17"/>
      <c r="H2576" s="18"/>
      <c r="K2576" s="18" t="s">
        <v>316</v>
      </c>
    </row>
    <row r="2577">
      <c r="A2577" s="17"/>
      <c r="H2577" s="18"/>
      <c r="K2577" s="18" t="s">
        <v>316</v>
      </c>
    </row>
    <row r="2578">
      <c r="A2578" s="17"/>
      <c r="H2578" s="18"/>
      <c r="K2578" s="18" t="s">
        <v>316</v>
      </c>
    </row>
    <row r="2579">
      <c r="A2579" s="17"/>
      <c r="H2579" s="18"/>
      <c r="K2579" s="18" t="s">
        <v>316</v>
      </c>
    </row>
    <row r="2580">
      <c r="A2580" s="17"/>
      <c r="H2580" s="18"/>
      <c r="K2580" s="18" t="s">
        <v>316</v>
      </c>
    </row>
    <row r="2581">
      <c r="A2581" s="17"/>
      <c r="H2581" s="18"/>
      <c r="K2581" s="18" t="s">
        <v>316</v>
      </c>
    </row>
    <row r="2582">
      <c r="A2582" s="17"/>
      <c r="H2582" s="18"/>
      <c r="K2582" s="18" t="s">
        <v>316</v>
      </c>
    </row>
    <row r="2583">
      <c r="A2583" s="17"/>
      <c r="H2583" s="18"/>
      <c r="K2583" s="18" t="s">
        <v>316</v>
      </c>
    </row>
    <row r="2584">
      <c r="A2584" s="17"/>
      <c r="H2584" s="18"/>
      <c r="K2584" s="18" t="s">
        <v>316</v>
      </c>
    </row>
    <row r="2585">
      <c r="A2585" s="17"/>
      <c r="H2585" s="18"/>
      <c r="K2585" s="18" t="s">
        <v>316</v>
      </c>
    </row>
    <row r="2586">
      <c r="A2586" s="17"/>
      <c r="H2586" s="18"/>
      <c r="K2586" s="18" t="s">
        <v>316</v>
      </c>
    </row>
    <row r="2587">
      <c r="A2587" s="17"/>
      <c r="H2587" s="18"/>
      <c r="K2587" s="18" t="s">
        <v>316</v>
      </c>
    </row>
    <row r="2588">
      <c r="A2588" s="17"/>
      <c r="H2588" s="18"/>
      <c r="K2588" s="18" t="s">
        <v>316</v>
      </c>
    </row>
    <row r="2589">
      <c r="A2589" s="17"/>
      <c r="H2589" s="18"/>
      <c r="K2589" s="18" t="s">
        <v>316</v>
      </c>
    </row>
    <row r="2590">
      <c r="A2590" s="17"/>
      <c r="H2590" s="18"/>
      <c r="K2590" s="18" t="s">
        <v>316</v>
      </c>
    </row>
    <row r="2591">
      <c r="A2591" s="17"/>
      <c r="H2591" s="18"/>
      <c r="K2591" s="18" t="s">
        <v>316</v>
      </c>
    </row>
    <row r="2592">
      <c r="A2592" s="17"/>
      <c r="H2592" s="18"/>
      <c r="K2592" s="18" t="s">
        <v>316</v>
      </c>
    </row>
    <row r="2593">
      <c r="A2593" s="17"/>
      <c r="H2593" s="18"/>
      <c r="K2593" s="18" t="s">
        <v>316</v>
      </c>
    </row>
    <row r="2594">
      <c r="A2594" s="17"/>
      <c r="H2594" s="18"/>
      <c r="K2594" s="18" t="s">
        <v>316</v>
      </c>
    </row>
    <row r="2595">
      <c r="A2595" s="17"/>
      <c r="H2595" s="18"/>
      <c r="K2595" s="18" t="s">
        <v>316</v>
      </c>
    </row>
    <row r="2596">
      <c r="A2596" s="17"/>
      <c r="H2596" s="18"/>
      <c r="K2596" s="18" t="s">
        <v>316</v>
      </c>
    </row>
    <row r="2597">
      <c r="A2597" s="17"/>
      <c r="H2597" s="18"/>
      <c r="K2597" s="18" t="s">
        <v>316</v>
      </c>
    </row>
    <row r="2598">
      <c r="A2598" s="17"/>
      <c r="H2598" s="18"/>
      <c r="K2598" s="18" t="s">
        <v>316</v>
      </c>
    </row>
    <row r="2599">
      <c r="A2599" s="17"/>
      <c r="H2599" s="18"/>
      <c r="K2599" s="18" t="s">
        <v>316</v>
      </c>
    </row>
    <row r="2600">
      <c r="A2600" s="17"/>
      <c r="H2600" s="18"/>
      <c r="K2600" s="18" t="s">
        <v>316</v>
      </c>
    </row>
    <row r="2601">
      <c r="A2601" s="17"/>
      <c r="H2601" s="18"/>
      <c r="K2601" s="18" t="s">
        <v>316</v>
      </c>
    </row>
    <row r="2602">
      <c r="A2602" s="17"/>
      <c r="H2602" s="18"/>
      <c r="K2602" s="18" t="s">
        <v>316</v>
      </c>
    </row>
    <row r="2603">
      <c r="A2603" s="17"/>
      <c r="H2603" s="18"/>
      <c r="K2603" s="18" t="s">
        <v>316</v>
      </c>
    </row>
    <row r="2604">
      <c r="A2604" s="17"/>
      <c r="H2604" s="18"/>
      <c r="K2604" s="18" t="s">
        <v>316</v>
      </c>
    </row>
    <row r="2605">
      <c r="A2605" s="17"/>
      <c r="H2605" s="18"/>
      <c r="K2605" s="18" t="s">
        <v>316</v>
      </c>
    </row>
    <row r="2606">
      <c r="A2606" s="17"/>
      <c r="H2606" s="18"/>
      <c r="K2606" s="18" t="s">
        <v>316</v>
      </c>
    </row>
    <row r="2607">
      <c r="A2607" s="17"/>
      <c r="H2607" s="18"/>
      <c r="K2607" s="18" t="s">
        <v>316</v>
      </c>
    </row>
    <row r="2608">
      <c r="A2608" s="17"/>
      <c r="H2608" s="18"/>
      <c r="K2608" s="18" t="s">
        <v>316</v>
      </c>
    </row>
    <row r="2609">
      <c r="A2609" s="17"/>
      <c r="H2609" s="18"/>
      <c r="K2609" s="18" t="s">
        <v>316</v>
      </c>
    </row>
    <row r="2610">
      <c r="A2610" s="17"/>
      <c r="H2610" s="18"/>
      <c r="K2610" s="18" t="s">
        <v>316</v>
      </c>
    </row>
    <row r="2611">
      <c r="A2611" s="17"/>
      <c r="H2611" s="18"/>
      <c r="K2611" s="18" t="s">
        <v>316</v>
      </c>
    </row>
    <row r="2612">
      <c r="A2612" s="17"/>
      <c r="H2612" s="18"/>
      <c r="K2612" s="18" t="s">
        <v>316</v>
      </c>
    </row>
    <row r="2613">
      <c r="A2613" s="17"/>
      <c r="H2613" s="18"/>
      <c r="K2613" s="18" t="s">
        <v>316</v>
      </c>
    </row>
    <row r="2614">
      <c r="A2614" s="17"/>
      <c r="H2614" s="18"/>
      <c r="K2614" s="18" t="s">
        <v>316</v>
      </c>
    </row>
    <row r="2615">
      <c r="A2615" s="17"/>
      <c r="H2615" s="18"/>
      <c r="K2615" s="18" t="s">
        <v>316</v>
      </c>
    </row>
    <row r="2616">
      <c r="A2616" s="17"/>
      <c r="H2616" s="18"/>
      <c r="K2616" s="18" t="s">
        <v>316</v>
      </c>
    </row>
    <row r="2617">
      <c r="A2617" s="17"/>
      <c r="H2617" s="18"/>
      <c r="K2617" s="18" t="s">
        <v>316</v>
      </c>
    </row>
    <row r="2618">
      <c r="A2618" s="17"/>
      <c r="H2618" s="18"/>
      <c r="K2618" s="18" t="s">
        <v>316</v>
      </c>
    </row>
    <row r="2619">
      <c r="A2619" s="17"/>
      <c r="H2619" s="18"/>
      <c r="K2619" s="18" t="s">
        <v>316</v>
      </c>
    </row>
    <row r="2620">
      <c r="A2620" s="17"/>
      <c r="H2620" s="18"/>
      <c r="K2620" s="18" t="s">
        <v>316</v>
      </c>
    </row>
    <row r="2621">
      <c r="A2621" s="17"/>
      <c r="H2621" s="18"/>
      <c r="K2621" s="18" t="s">
        <v>316</v>
      </c>
    </row>
    <row r="2622">
      <c r="A2622" s="17"/>
      <c r="H2622" s="18"/>
      <c r="K2622" s="18" t="s">
        <v>316</v>
      </c>
    </row>
    <row r="2623">
      <c r="A2623" s="17"/>
      <c r="H2623" s="18"/>
      <c r="K2623" s="18" t="s">
        <v>316</v>
      </c>
    </row>
    <row r="2624">
      <c r="A2624" s="17"/>
      <c r="H2624" s="18"/>
      <c r="K2624" s="18" t="s">
        <v>316</v>
      </c>
    </row>
    <row r="2625">
      <c r="A2625" s="17"/>
      <c r="H2625" s="18"/>
      <c r="K2625" s="18" t="s">
        <v>316</v>
      </c>
    </row>
    <row r="2626">
      <c r="A2626" s="17"/>
      <c r="H2626" s="18"/>
      <c r="K2626" s="18" t="s">
        <v>316</v>
      </c>
    </row>
    <row r="2627">
      <c r="A2627" s="17"/>
      <c r="H2627" s="18"/>
      <c r="K2627" s="18" t="s">
        <v>316</v>
      </c>
    </row>
    <row r="2628">
      <c r="A2628" s="17"/>
      <c r="H2628" s="18"/>
      <c r="K2628" s="18" t="s">
        <v>316</v>
      </c>
    </row>
    <row r="2629">
      <c r="A2629" s="17"/>
      <c r="H2629" s="18"/>
      <c r="K2629" s="18" t="s">
        <v>316</v>
      </c>
    </row>
    <row r="2630">
      <c r="A2630" s="17"/>
      <c r="H2630" s="18"/>
      <c r="K2630" s="18" t="s">
        <v>316</v>
      </c>
    </row>
    <row r="2631">
      <c r="A2631" s="17"/>
      <c r="H2631" s="18"/>
      <c r="K2631" s="18" t="s">
        <v>316</v>
      </c>
    </row>
    <row r="2632">
      <c r="A2632" s="17"/>
      <c r="H2632" s="18"/>
      <c r="K2632" s="18" t="s">
        <v>316</v>
      </c>
    </row>
    <row r="2633">
      <c r="A2633" s="17"/>
      <c r="H2633" s="18"/>
      <c r="K2633" s="18" t="s">
        <v>316</v>
      </c>
    </row>
    <row r="2634">
      <c r="A2634" s="17"/>
      <c r="H2634" s="18"/>
      <c r="K2634" s="18" t="s">
        <v>316</v>
      </c>
    </row>
    <row r="2635">
      <c r="A2635" s="17"/>
      <c r="H2635" s="18"/>
      <c r="K2635" s="18" t="s">
        <v>316</v>
      </c>
    </row>
    <row r="2636">
      <c r="A2636" s="17"/>
      <c r="H2636" s="18"/>
      <c r="K2636" s="18" t="s">
        <v>316</v>
      </c>
    </row>
    <row r="2637">
      <c r="A2637" s="17"/>
      <c r="H2637" s="18"/>
      <c r="K2637" s="18" t="s">
        <v>316</v>
      </c>
    </row>
    <row r="2638">
      <c r="A2638" s="17"/>
      <c r="H2638" s="18"/>
      <c r="K2638" s="18" t="s">
        <v>316</v>
      </c>
    </row>
    <row r="2639">
      <c r="A2639" s="17"/>
      <c r="H2639" s="18"/>
      <c r="K2639" s="18" t="s">
        <v>316</v>
      </c>
    </row>
    <row r="2640">
      <c r="A2640" s="17"/>
      <c r="H2640" s="18"/>
      <c r="K2640" s="18" t="s">
        <v>316</v>
      </c>
    </row>
    <row r="2641">
      <c r="A2641" s="17"/>
      <c r="H2641" s="18"/>
      <c r="K2641" s="18" t="s">
        <v>316</v>
      </c>
    </row>
    <row r="2642">
      <c r="A2642" s="17"/>
      <c r="H2642" s="18"/>
      <c r="K2642" s="18" t="s">
        <v>316</v>
      </c>
    </row>
    <row r="2643">
      <c r="A2643" s="17"/>
      <c r="H2643" s="18"/>
      <c r="K2643" s="18" t="s">
        <v>316</v>
      </c>
    </row>
    <row r="2644">
      <c r="A2644" s="17"/>
      <c r="H2644" s="18"/>
      <c r="K2644" s="18" t="s">
        <v>316</v>
      </c>
    </row>
    <row r="2645">
      <c r="A2645" s="17"/>
      <c r="H2645" s="18"/>
      <c r="K2645" s="18" t="s">
        <v>316</v>
      </c>
    </row>
    <row r="2646">
      <c r="A2646" s="17"/>
      <c r="H2646" s="18"/>
      <c r="K2646" s="18" t="s">
        <v>316</v>
      </c>
    </row>
    <row r="2647">
      <c r="A2647" s="17"/>
      <c r="H2647" s="18"/>
      <c r="K2647" s="18" t="s">
        <v>316</v>
      </c>
    </row>
    <row r="2648">
      <c r="A2648" s="17"/>
      <c r="H2648" s="18"/>
      <c r="K2648" s="18" t="s">
        <v>316</v>
      </c>
    </row>
    <row r="2649">
      <c r="A2649" s="17"/>
      <c r="H2649" s="18"/>
      <c r="K2649" s="18" t="s">
        <v>316</v>
      </c>
    </row>
    <row r="2650">
      <c r="A2650" s="17"/>
      <c r="H2650" s="18"/>
      <c r="K2650" s="18" t="s">
        <v>316</v>
      </c>
    </row>
    <row r="2651">
      <c r="A2651" s="17"/>
      <c r="H2651" s="18"/>
      <c r="K2651" s="18" t="s">
        <v>316</v>
      </c>
    </row>
    <row r="2652">
      <c r="A2652" s="17"/>
      <c r="H2652" s="18"/>
      <c r="K2652" s="18" t="s">
        <v>316</v>
      </c>
    </row>
    <row r="2653">
      <c r="A2653" s="17"/>
      <c r="H2653" s="18"/>
      <c r="K2653" s="18" t="s">
        <v>316</v>
      </c>
    </row>
    <row r="2654">
      <c r="A2654" s="17"/>
      <c r="H2654" s="18"/>
      <c r="K2654" s="18" t="s">
        <v>316</v>
      </c>
    </row>
    <row r="2655">
      <c r="A2655" s="17"/>
      <c r="H2655" s="18"/>
      <c r="K2655" s="18" t="s">
        <v>316</v>
      </c>
    </row>
    <row r="2656">
      <c r="A2656" s="17"/>
      <c r="H2656" s="18"/>
      <c r="K2656" s="18" t="s">
        <v>316</v>
      </c>
    </row>
    <row r="2657">
      <c r="A2657" s="17"/>
      <c r="H2657" s="18"/>
      <c r="K2657" s="18" t="s">
        <v>316</v>
      </c>
    </row>
    <row r="2658">
      <c r="A2658" s="17"/>
      <c r="H2658" s="18"/>
      <c r="K2658" s="18" t="s">
        <v>316</v>
      </c>
    </row>
    <row r="2659">
      <c r="A2659" s="17"/>
      <c r="H2659" s="18"/>
      <c r="K2659" s="18" t="s">
        <v>316</v>
      </c>
    </row>
    <row r="2660">
      <c r="A2660" s="17"/>
      <c r="H2660" s="18"/>
      <c r="K2660" s="18" t="s">
        <v>316</v>
      </c>
    </row>
    <row r="2661">
      <c r="A2661" s="17"/>
      <c r="H2661" s="18"/>
      <c r="K2661" s="18" t="s">
        <v>316</v>
      </c>
    </row>
    <row r="2662">
      <c r="A2662" s="17"/>
      <c r="H2662" s="18"/>
      <c r="K2662" s="18" t="s">
        <v>316</v>
      </c>
    </row>
    <row r="2663">
      <c r="A2663" s="17"/>
      <c r="H2663" s="18"/>
      <c r="K2663" s="18" t="s">
        <v>316</v>
      </c>
    </row>
    <row r="2664">
      <c r="A2664" s="17"/>
      <c r="H2664" s="18"/>
      <c r="K2664" s="18" t="s">
        <v>316</v>
      </c>
    </row>
    <row r="2665">
      <c r="A2665" s="17"/>
      <c r="H2665" s="18"/>
      <c r="K2665" s="18" t="s">
        <v>316</v>
      </c>
    </row>
    <row r="2666">
      <c r="A2666" s="17"/>
      <c r="H2666" s="18"/>
      <c r="K2666" s="18" t="s">
        <v>316</v>
      </c>
    </row>
    <row r="2667">
      <c r="A2667" s="17"/>
      <c r="H2667" s="18"/>
      <c r="K2667" s="18" t="s">
        <v>316</v>
      </c>
    </row>
    <row r="2668">
      <c r="A2668" s="17"/>
      <c r="H2668" s="18"/>
      <c r="K2668" s="18" t="s">
        <v>316</v>
      </c>
    </row>
    <row r="2669">
      <c r="A2669" s="17"/>
      <c r="H2669" s="18"/>
      <c r="K2669" s="18" t="s">
        <v>316</v>
      </c>
    </row>
    <row r="2670">
      <c r="A2670" s="17"/>
      <c r="H2670" s="18"/>
      <c r="K2670" s="18" t="s">
        <v>316</v>
      </c>
    </row>
    <row r="2671">
      <c r="A2671" s="17"/>
      <c r="H2671" s="18"/>
      <c r="K2671" s="18" t="s">
        <v>316</v>
      </c>
    </row>
    <row r="2672">
      <c r="A2672" s="17"/>
      <c r="H2672" s="18"/>
      <c r="K2672" s="18" t="s">
        <v>316</v>
      </c>
    </row>
    <row r="2673">
      <c r="A2673" s="17"/>
      <c r="H2673" s="18"/>
      <c r="K2673" s="18" t="s">
        <v>316</v>
      </c>
    </row>
    <row r="2674">
      <c r="A2674" s="17"/>
      <c r="H2674" s="18"/>
      <c r="K2674" s="18" t="s">
        <v>316</v>
      </c>
    </row>
    <row r="2675">
      <c r="A2675" s="17"/>
      <c r="H2675" s="18"/>
      <c r="K2675" s="18" t="s">
        <v>316</v>
      </c>
    </row>
    <row r="2676">
      <c r="A2676" s="17"/>
      <c r="H2676" s="18"/>
      <c r="K2676" s="18" t="s">
        <v>316</v>
      </c>
    </row>
    <row r="2677">
      <c r="A2677" s="17"/>
      <c r="H2677" s="18"/>
      <c r="K2677" s="18" t="s">
        <v>316</v>
      </c>
    </row>
    <row r="2678">
      <c r="A2678" s="17"/>
      <c r="H2678" s="18"/>
      <c r="K2678" s="18" t="s">
        <v>316</v>
      </c>
    </row>
    <row r="2679">
      <c r="A2679" s="17"/>
      <c r="H2679" s="18"/>
      <c r="K2679" s="18" t="s">
        <v>316</v>
      </c>
    </row>
    <row r="2680">
      <c r="A2680" s="17"/>
      <c r="H2680" s="18"/>
      <c r="K2680" s="18" t="s">
        <v>316</v>
      </c>
    </row>
    <row r="2681">
      <c r="A2681" s="17"/>
      <c r="H2681" s="18"/>
      <c r="K2681" s="18" t="s">
        <v>316</v>
      </c>
    </row>
    <row r="2682">
      <c r="A2682" s="17"/>
      <c r="H2682" s="18"/>
      <c r="K2682" s="18" t="s">
        <v>316</v>
      </c>
    </row>
    <row r="2683">
      <c r="A2683" s="17"/>
      <c r="H2683" s="18"/>
      <c r="K2683" s="18" t="s">
        <v>316</v>
      </c>
    </row>
    <row r="2684">
      <c r="A2684" s="17"/>
      <c r="H2684" s="18"/>
      <c r="K2684" s="18" t="s">
        <v>316</v>
      </c>
    </row>
    <row r="2685">
      <c r="A2685" s="17"/>
      <c r="H2685" s="18"/>
      <c r="K2685" s="18" t="s">
        <v>316</v>
      </c>
    </row>
    <row r="2686">
      <c r="A2686" s="17"/>
      <c r="H2686" s="18"/>
      <c r="K2686" s="18" t="s">
        <v>316</v>
      </c>
    </row>
    <row r="2687">
      <c r="A2687" s="17"/>
      <c r="H2687" s="18"/>
      <c r="K2687" s="18" t="s">
        <v>316</v>
      </c>
    </row>
    <row r="2688">
      <c r="A2688" s="17"/>
      <c r="H2688" s="18"/>
      <c r="K2688" s="18" t="s">
        <v>316</v>
      </c>
    </row>
    <row r="2689">
      <c r="A2689" s="17"/>
      <c r="H2689" s="18"/>
      <c r="K2689" s="18" t="s">
        <v>316</v>
      </c>
    </row>
    <row r="2690">
      <c r="A2690" s="17"/>
      <c r="H2690" s="18"/>
      <c r="K2690" s="18" t="s">
        <v>316</v>
      </c>
    </row>
    <row r="2691">
      <c r="A2691" s="17"/>
      <c r="H2691" s="18"/>
      <c r="K2691" s="18" t="s">
        <v>316</v>
      </c>
    </row>
    <row r="2692">
      <c r="A2692" s="17"/>
      <c r="H2692" s="18"/>
      <c r="K2692" s="18" t="s">
        <v>316</v>
      </c>
    </row>
    <row r="2693">
      <c r="A2693" s="17"/>
      <c r="H2693" s="18"/>
      <c r="K2693" s="18" t="s">
        <v>316</v>
      </c>
    </row>
    <row r="2694">
      <c r="A2694" s="17"/>
      <c r="H2694" s="18"/>
      <c r="K2694" s="18" t="s">
        <v>316</v>
      </c>
    </row>
    <row r="2695">
      <c r="A2695" s="17"/>
      <c r="H2695" s="18"/>
      <c r="K2695" s="18" t="s">
        <v>316</v>
      </c>
    </row>
    <row r="2696">
      <c r="A2696" s="17"/>
      <c r="H2696" s="18"/>
      <c r="K2696" s="18" t="s">
        <v>316</v>
      </c>
    </row>
    <row r="2697">
      <c r="A2697" s="17"/>
      <c r="H2697" s="18"/>
      <c r="K2697" s="18" t="s">
        <v>316</v>
      </c>
    </row>
    <row r="2698">
      <c r="A2698" s="17"/>
      <c r="H2698" s="18"/>
      <c r="K2698" s="18" t="s">
        <v>316</v>
      </c>
    </row>
    <row r="2699">
      <c r="A2699" s="17"/>
      <c r="H2699" s="18"/>
      <c r="K2699" s="18" t="s">
        <v>316</v>
      </c>
    </row>
    <row r="2700">
      <c r="A2700" s="17"/>
      <c r="H2700" s="18"/>
      <c r="K2700" s="18" t="s">
        <v>316</v>
      </c>
    </row>
    <row r="2701">
      <c r="A2701" s="17"/>
      <c r="H2701" s="18"/>
      <c r="K2701" s="18" t="s">
        <v>316</v>
      </c>
    </row>
    <row r="2702">
      <c r="A2702" s="17"/>
      <c r="H2702" s="18"/>
      <c r="K2702" s="18" t="s">
        <v>316</v>
      </c>
    </row>
    <row r="2703">
      <c r="A2703" s="17"/>
      <c r="H2703" s="18"/>
      <c r="K2703" s="18" t="s">
        <v>316</v>
      </c>
    </row>
    <row r="2704">
      <c r="A2704" s="17"/>
      <c r="H2704" s="18"/>
      <c r="K2704" s="18" t="s">
        <v>316</v>
      </c>
    </row>
    <row r="2705">
      <c r="A2705" s="17"/>
      <c r="H2705" s="18"/>
      <c r="K2705" s="18" t="s">
        <v>316</v>
      </c>
    </row>
    <row r="2706">
      <c r="A2706" s="17"/>
      <c r="H2706" s="18"/>
      <c r="K2706" s="18" t="s">
        <v>316</v>
      </c>
    </row>
    <row r="2707">
      <c r="A2707" s="17"/>
      <c r="H2707" s="18"/>
      <c r="K2707" s="18" t="s">
        <v>316</v>
      </c>
    </row>
    <row r="2708">
      <c r="A2708" s="17"/>
      <c r="H2708" s="18"/>
      <c r="K2708" s="18" t="s">
        <v>316</v>
      </c>
    </row>
    <row r="2709">
      <c r="A2709" s="17"/>
      <c r="H2709" s="18"/>
      <c r="K2709" s="18" t="s">
        <v>316</v>
      </c>
    </row>
    <row r="2710">
      <c r="A2710" s="17"/>
      <c r="H2710" s="18"/>
      <c r="K2710" s="18" t="s">
        <v>316</v>
      </c>
    </row>
    <row r="2711">
      <c r="A2711" s="17"/>
      <c r="H2711" s="18"/>
      <c r="K2711" s="18" t="s">
        <v>316</v>
      </c>
    </row>
    <row r="2712">
      <c r="A2712" s="17"/>
      <c r="H2712" s="18"/>
      <c r="K2712" s="18" t="s">
        <v>316</v>
      </c>
    </row>
    <row r="2713">
      <c r="A2713" s="17"/>
      <c r="H2713" s="18"/>
      <c r="K2713" s="18" t="s">
        <v>316</v>
      </c>
    </row>
    <row r="2714">
      <c r="A2714" s="17"/>
      <c r="H2714" s="18"/>
      <c r="K2714" s="18" t="s">
        <v>316</v>
      </c>
    </row>
    <row r="2715">
      <c r="A2715" s="17"/>
      <c r="H2715" s="18"/>
      <c r="K2715" s="18" t="s">
        <v>316</v>
      </c>
    </row>
    <row r="2716">
      <c r="A2716" s="17"/>
      <c r="H2716" s="18"/>
      <c r="K2716" s="18" t="s">
        <v>316</v>
      </c>
    </row>
    <row r="2717">
      <c r="A2717" s="17"/>
      <c r="H2717" s="18"/>
      <c r="K2717" s="18" t="s">
        <v>316</v>
      </c>
    </row>
    <row r="2718">
      <c r="A2718" s="17"/>
      <c r="H2718" s="18"/>
      <c r="K2718" s="18" t="s">
        <v>316</v>
      </c>
    </row>
    <row r="2719">
      <c r="A2719" s="17"/>
      <c r="H2719" s="18"/>
      <c r="K2719" s="18" t="s">
        <v>316</v>
      </c>
    </row>
    <row r="2720">
      <c r="A2720" s="17"/>
      <c r="H2720" s="18"/>
      <c r="K2720" s="18" t="s">
        <v>316</v>
      </c>
    </row>
    <row r="2721">
      <c r="A2721" s="17"/>
      <c r="H2721" s="18"/>
      <c r="K2721" s="18" t="s">
        <v>316</v>
      </c>
    </row>
    <row r="2722">
      <c r="A2722" s="17"/>
      <c r="H2722" s="18"/>
      <c r="K2722" s="18" t="s">
        <v>316</v>
      </c>
    </row>
    <row r="2723">
      <c r="A2723" s="17"/>
      <c r="H2723" s="18"/>
      <c r="K2723" s="18" t="s">
        <v>316</v>
      </c>
    </row>
    <row r="2724">
      <c r="A2724" s="17"/>
      <c r="H2724" s="18"/>
      <c r="K2724" s="18" t="s">
        <v>316</v>
      </c>
    </row>
    <row r="2725">
      <c r="A2725" s="17"/>
      <c r="H2725" s="18"/>
      <c r="K2725" s="18" t="s">
        <v>316</v>
      </c>
    </row>
    <row r="2726">
      <c r="A2726" s="17"/>
      <c r="H2726" s="18"/>
      <c r="K2726" s="18" t="s">
        <v>316</v>
      </c>
    </row>
    <row r="2727">
      <c r="A2727" s="17"/>
      <c r="H2727" s="18"/>
      <c r="K2727" s="18" t="s">
        <v>316</v>
      </c>
    </row>
    <row r="2728">
      <c r="A2728" s="17"/>
      <c r="H2728" s="18"/>
      <c r="K2728" s="18" t="s">
        <v>316</v>
      </c>
    </row>
    <row r="2729">
      <c r="A2729" s="17"/>
      <c r="H2729" s="18"/>
      <c r="K2729" s="18" t="s">
        <v>316</v>
      </c>
    </row>
    <row r="2730">
      <c r="A2730" s="17"/>
      <c r="H2730" s="18"/>
      <c r="K2730" s="18" t="s">
        <v>316</v>
      </c>
    </row>
    <row r="2731">
      <c r="A2731" s="17"/>
      <c r="H2731" s="18"/>
      <c r="K2731" s="18" t="s">
        <v>316</v>
      </c>
    </row>
    <row r="2732">
      <c r="A2732" s="17"/>
      <c r="H2732" s="18"/>
      <c r="K2732" s="18" t="s">
        <v>316</v>
      </c>
    </row>
    <row r="2733">
      <c r="A2733" s="17"/>
      <c r="H2733" s="18"/>
      <c r="K2733" s="18" t="s">
        <v>316</v>
      </c>
    </row>
    <row r="2734">
      <c r="A2734" s="17"/>
      <c r="H2734" s="18"/>
      <c r="K2734" s="18" t="s">
        <v>316</v>
      </c>
    </row>
    <row r="2735">
      <c r="A2735" s="17"/>
      <c r="H2735" s="18"/>
      <c r="K2735" s="18" t="s">
        <v>316</v>
      </c>
    </row>
    <row r="2736">
      <c r="A2736" s="17"/>
      <c r="H2736" s="18"/>
      <c r="K2736" s="18" t="s">
        <v>316</v>
      </c>
    </row>
    <row r="2737">
      <c r="A2737" s="17"/>
      <c r="H2737" s="18"/>
      <c r="K2737" s="18" t="s">
        <v>316</v>
      </c>
    </row>
    <row r="2738">
      <c r="A2738" s="17"/>
      <c r="H2738" s="18"/>
      <c r="K2738" s="18" t="s">
        <v>316</v>
      </c>
    </row>
    <row r="2739">
      <c r="A2739" s="17"/>
      <c r="H2739" s="18"/>
      <c r="K2739" s="18" t="s">
        <v>316</v>
      </c>
    </row>
    <row r="2740">
      <c r="A2740" s="17"/>
      <c r="H2740" s="18"/>
      <c r="K2740" s="18" t="s">
        <v>316</v>
      </c>
    </row>
    <row r="2741">
      <c r="A2741" s="17"/>
      <c r="H2741" s="18"/>
      <c r="K2741" s="18" t="s">
        <v>316</v>
      </c>
    </row>
    <row r="2742">
      <c r="A2742" s="17"/>
      <c r="H2742" s="18"/>
      <c r="K2742" s="18" t="s">
        <v>316</v>
      </c>
    </row>
    <row r="2743">
      <c r="A2743" s="17"/>
      <c r="H2743" s="18"/>
      <c r="K2743" s="18" t="s">
        <v>316</v>
      </c>
    </row>
    <row r="2744">
      <c r="A2744" s="17"/>
      <c r="H2744" s="18"/>
      <c r="K2744" s="18" t="s">
        <v>316</v>
      </c>
    </row>
    <row r="2745">
      <c r="A2745" s="17"/>
      <c r="H2745" s="18"/>
      <c r="K2745" s="18" t="s">
        <v>316</v>
      </c>
    </row>
    <row r="2746">
      <c r="A2746" s="17"/>
      <c r="H2746" s="18"/>
      <c r="K2746" s="18" t="s">
        <v>316</v>
      </c>
    </row>
    <row r="2747">
      <c r="A2747" s="17"/>
      <c r="H2747" s="18"/>
      <c r="K2747" s="18" t="s">
        <v>316</v>
      </c>
    </row>
    <row r="2748">
      <c r="A2748" s="17"/>
      <c r="H2748" s="18"/>
      <c r="K2748" s="18" t="s">
        <v>316</v>
      </c>
    </row>
    <row r="2749">
      <c r="A2749" s="17"/>
      <c r="H2749" s="18"/>
      <c r="K2749" s="18" t="s">
        <v>316</v>
      </c>
    </row>
    <row r="2750">
      <c r="A2750" s="17"/>
      <c r="H2750" s="18"/>
      <c r="K2750" s="18" t="s">
        <v>316</v>
      </c>
    </row>
    <row r="2751">
      <c r="A2751" s="17"/>
      <c r="H2751" s="18"/>
      <c r="K2751" s="18" t="s">
        <v>316</v>
      </c>
    </row>
    <row r="2752">
      <c r="A2752" s="17"/>
      <c r="H2752" s="18"/>
      <c r="K2752" s="18" t="s">
        <v>316</v>
      </c>
    </row>
    <row r="2753">
      <c r="A2753" s="17"/>
      <c r="H2753" s="18"/>
      <c r="K2753" s="18" t="s">
        <v>316</v>
      </c>
    </row>
    <row r="2754">
      <c r="A2754" s="17"/>
      <c r="H2754" s="18"/>
      <c r="K2754" s="18" t="s">
        <v>316</v>
      </c>
    </row>
    <row r="2755">
      <c r="A2755" s="17"/>
      <c r="H2755" s="18"/>
      <c r="K2755" s="18" t="s">
        <v>316</v>
      </c>
    </row>
    <row r="2756">
      <c r="A2756" s="17"/>
      <c r="H2756" s="18"/>
      <c r="K2756" s="18" t="s">
        <v>316</v>
      </c>
    </row>
    <row r="2757">
      <c r="A2757" s="17"/>
      <c r="H2757" s="18"/>
      <c r="K2757" s="18" t="s">
        <v>316</v>
      </c>
    </row>
    <row r="2758">
      <c r="A2758" s="17"/>
      <c r="H2758" s="18"/>
      <c r="K2758" s="18" t="s">
        <v>316</v>
      </c>
    </row>
    <row r="2759">
      <c r="A2759" s="17"/>
      <c r="H2759" s="18"/>
      <c r="K2759" s="18" t="s">
        <v>316</v>
      </c>
    </row>
    <row r="2760">
      <c r="A2760" s="17"/>
      <c r="H2760" s="18"/>
      <c r="K2760" s="18" t="s">
        <v>316</v>
      </c>
    </row>
    <row r="2761">
      <c r="A2761" s="17"/>
      <c r="H2761" s="18"/>
      <c r="K2761" s="18" t="s">
        <v>316</v>
      </c>
    </row>
    <row r="2762">
      <c r="A2762" s="17"/>
      <c r="H2762" s="18"/>
      <c r="K2762" s="18" t="s">
        <v>316</v>
      </c>
    </row>
    <row r="2763">
      <c r="A2763" s="17"/>
      <c r="H2763" s="18"/>
      <c r="K2763" s="18" t="s">
        <v>316</v>
      </c>
    </row>
    <row r="2764">
      <c r="A2764" s="17"/>
      <c r="H2764" s="18"/>
      <c r="K2764" s="18" t="s">
        <v>316</v>
      </c>
    </row>
    <row r="2765">
      <c r="A2765" s="17"/>
      <c r="H2765" s="18"/>
      <c r="K2765" s="18" t="s">
        <v>316</v>
      </c>
    </row>
    <row r="2766">
      <c r="A2766" s="17"/>
      <c r="H2766" s="18"/>
      <c r="K2766" s="18" t="s">
        <v>316</v>
      </c>
    </row>
    <row r="2767">
      <c r="A2767" s="17"/>
      <c r="H2767" s="18"/>
      <c r="K2767" s="18" t="s">
        <v>316</v>
      </c>
    </row>
    <row r="2768">
      <c r="A2768" s="17"/>
      <c r="H2768" s="18"/>
      <c r="K2768" s="18" t="s">
        <v>316</v>
      </c>
    </row>
    <row r="2769">
      <c r="A2769" s="17"/>
      <c r="H2769" s="18"/>
      <c r="K2769" s="18" t="s">
        <v>316</v>
      </c>
    </row>
    <row r="2770">
      <c r="A2770" s="17"/>
      <c r="H2770" s="18"/>
      <c r="K2770" s="18" t="s">
        <v>316</v>
      </c>
    </row>
    <row r="2771">
      <c r="A2771" s="17"/>
      <c r="H2771" s="18"/>
      <c r="K2771" s="18" t="s">
        <v>316</v>
      </c>
    </row>
    <row r="2772">
      <c r="A2772" s="17"/>
      <c r="H2772" s="18"/>
      <c r="K2772" s="18" t="s">
        <v>316</v>
      </c>
    </row>
    <row r="2773">
      <c r="A2773" s="17"/>
      <c r="H2773" s="18"/>
      <c r="K2773" s="18" t="s">
        <v>316</v>
      </c>
    </row>
    <row r="2774">
      <c r="A2774" s="17"/>
      <c r="H2774" s="18"/>
      <c r="K2774" s="18" t="s">
        <v>316</v>
      </c>
    </row>
    <row r="2775">
      <c r="A2775" s="17"/>
      <c r="H2775" s="18"/>
      <c r="K2775" s="18" t="s">
        <v>316</v>
      </c>
    </row>
    <row r="2776">
      <c r="A2776" s="17"/>
      <c r="H2776" s="18"/>
      <c r="K2776" s="18" t="s">
        <v>316</v>
      </c>
    </row>
    <row r="2777">
      <c r="A2777" s="17"/>
      <c r="H2777" s="18"/>
      <c r="K2777" s="18" t="s">
        <v>316</v>
      </c>
    </row>
    <row r="2778">
      <c r="A2778" s="17"/>
      <c r="H2778" s="18"/>
      <c r="K2778" s="18" t="s">
        <v>316</v>
      </c>
    </row>
    <row r="2779">
      <c r="A2779" s="17"/>
      <c r="H2779" s="18"/>
      <c r="K2779" s="18" t="s">
        <v>316</v>
      </c>
    </row>
    <row r="2780">
      <c r="A2780" s="17"/>
      <c r="H2780" s="18"/>
      <c r="K2780" s="18" t="s">
        <v>316</v>
      </c>
    </row>
    <row r="2781">
      <c r="A2781" s="17"/>
      <c r="H2781" s="18"/>
      <c r="K2781" s="18" t="s">
        <v>316</v>
      </c>
    </row>
    <row r="2782">
      <c r="A2782" s="17"/>
      <c r="H2782" s="18"/>
      <c r="K2782" s="18" t="s">
        <v>316</v>
      </c>
    </row>
    <row r="2783">
      <c r="A2783" s="17"/>
      <c r="H2783" s="18"/>
      <c r="K2783" s="18" t="s">
        <v>316</v>
      </c>
    </row>
    <row r="2784">
      <c r="A2784" s="17"/>
      <c r="H2784" s="18"/>
      <c r="K2784" s="18" t="s">
        <v>316</v>
      </c>
    </row>
    <row r="2785">
      <c r="A2785" s="17"/>
      <c r="H2785" s="18"/>
      <c r="K2785" s="18" t="s">
        <v>316</v>
      </c>
    </row>
    <row r="2786">
      <c r="A2786" s="17"/>
      <c r="H2786" s="18"/>
      <c r="K2786" s="18" t="s">
        <v>316</v>
      </c>
    </row>
    <row r="2787">
      <c r="A2787" s="17"/>
      <c r="H2787" s="18"/>
      <c r="K2787" s="18" t="s">
        <v>316</v>
      </c>
    </row>
    <row r="2788">
      <c r="A2788" s="17"/>
      <c r="H2788" s="18"/>
      <c r="K2788" s="18" t="s">
        <v>316</v>
      </c>
    </row>
    <row r="2789">
      <c r="A2789" s="17"/>
      <c r="H2789" s="18"/>
      <c r="K2789" s="18" t="s">
        <v>316</v>
      </c>
    </row>
    <row r="2790">
      <c r="A2790" s="17"/>
      <c r="H2790" s="18"/>
      <c r="K2790" s="18" t="s">
        <v>316</v>
      </c>
    </row>
    <row r="2791">
      <c r="A2791" s="17"/>
      <c r="H2791" s="18"/>
      <c r="K2791" s="18" t="s">
        <v>316</v>
      </c>
    </row>
    <row r="2792">
      <c r="A2792" s="17"/>
      <c r="H2792" s="18"/>
      <c r="K2792" s="18" t="s">
        <v>316</v>
      </c>
    </row>
    <row r="2793">
      <c r="A2793" s="17"/>
      <c r="H2793" s="18"/>
      <c r="K2793" s="18" t="s">
        <v>316</v>
      </c>
    </row>
    <row r="2794">
      <c r="A2794" s="17"/>
      <c r="H2794" s="18"/>
      <c r="K2794" s="18" t="s">
        <v>316</v>
      </c>
    </row>
    <row r="2795">
      <c r="A2795" s="17"/>
      <c r="H2795" s="18"/>
      <c r="K2795" s="18" t="s">
        <v>316</v>
      </c>
    </row>
    <row r="2796">
      <c r="A2796" s="17"/>
      <c r="H2796" s="18"/>
      <c r="K2796" s="18" t="s">
        <v>316</v>
      </c>
    </row>
    <row r="2797">
      <c r="A2797" s="17"/>
      <c r="H2797" s="18"/>
      <c r="K2797" s="18" t="s">
        <v>316</v>
      </c>
    </row>
    <row r="2798">
      <c r="A2798" s="17"/>
      <c r="H2798" s="18"/>
      <c r="K2798" s="18" t="s">
        <v>316</v>
      </c>
    </row>
    <row r="2799">
      <c r="A2799" s="17"/>
      <c r="H2799" s="18"/>
      <c r="K2799" s="18" t="s">
        <v>316</v>
      </c>
    </row>
    <row r="2800">
      <c r="A2800" s="17"/>
      <c r="H2800" s="18"/>
      <c r="K2800" s="18" t="s">
        <v>316</v>
      </c>
    </row>
    <row r="2801">
      <c r="A2801" s="17"/>
      <c r="H2801" s="18"/>
      <c r="K2801" s="18" t="s">
        <v>316</v>
      </c>
    </row>
    <row r="2802">
      <c r="A2802" s="17"/>
      <c r="H2802" s="18"/>
      <c r="K2802" s="18" t="s">
        <v>316</v>
      </c>
    </row>
    <row r="2803">
      <c r="A2803" s="17"/>
      <c r="H2803" s="18"/>
      <c r="K2803" s="18" t="s">
        <v>316</v>
      </c>
    </row>
    <row r="2804">
      <c r="A2804" s="17"/>
      <c r="H2804" s="18"/>
      <c r="K2804" s="18" t="s">
        <v>316</v>
      </c>
    </row>
    <row r="2805">
      <c r="A2805" s="17"/>
      <c r="H2805" s="18"/>
      <c r="K2805" s="18" t="s">
        <v>316</v>
      </c>
    </row>
    <row r="2806">
      <c r="A2806" s="17"/>
      <c r="H2806" s="18"/>
      <c r="K2806" s="18" t="s">
        <v>316</v>
      </c>
    </row>
    <row r="2807">
      <c r="A2807" s="17"/>
      <c r="H2807" s="18"/>
      <c r="K2807" s="18" t="s">
        <v>316</v>
      </c>
    </row>
    <row r="2808">
      <c r="A2808" s="17"/>
      <c r="H2808" s="18"/>
      <c r="K2808" s="18" t="s">
        <v>316</v>
      </c>
    </row>
    <row r="2809">
      <c r="A2809" s="17"/>
      <c r="H2809" s="18"/>
      <c r="K2809" s="18" t="s">
        <v>316</v>
      </c>
    </row>
    <row r="2810">
      <c r="A2810" s="17"/>
      <c r="H2810" s="18"/>
      <c r="K2810" s="18" t="s">
        <v>316</v>
      </c>
    </row>
    <row r="2811">
      <c r="A2811" s="17"/>
      <c r="H2811" s="18"/>
      <c r="K2811" s="18" t="s">
        <v>316</v>
      </c>
    </row>
    <row r="2812">
      <c r="A2812" s="17"/>
      <c r="H2812" s="18"/>
      <c r="K2812" s="18" t="s">
        <v>316</v>
      </c>
    </row>
    <row r="2813">
      <c r="A2813" s="17"/>
      <c r="H2813" s="18"/>
      <c r="K2813" s="18" t="s">
        <v>316</v>
      </c>
    </row>
    <row r="2814">
      <c r="A2814" s="17"/>
      <c r="H2814" s="18"/>
      <c r="K2814" s="18" t="s">
        <v>316</v>
      </c>
    </row>
    <row r="2815">
      <c r="A2815" s="17"/>
      <c r="H2815" s="18"/>
      <c r="K2815" s="18" t="s">
        <v>316</v>
      </c>
    </row>
    <row r="2816">
      <c r="A2816" s="17"/>
      <c r="H2816" s="18"/>
      <c r="K2816" s="18" t="s">
        <v>316</v>
      </c>
    </row>
    <row r="2817">
      <c r="A2817" s="17"/>
      <c r="H2817" s="18"/>
      <c r="K2817" s="18" t="s">
        <v>316</v>
      </c>
    </row>
    <row r="2818">
      <c r="A2818" s="17"/>
      <c r="H2818" s="18"/>
      <c r="K2818" s="18" t="s">
        <v>316</v>
      </c>
    </row>
    <row r="2819">
      <c r="A2819" s="17"/>
      <c r="H2819" s="18"/>
      <c r="K2819" s="18" t="s">
        <v>316</v>
      </c>
    </row>
    <row r="2820">
      <c r="A2820" s="17"/>
      <c r="H2820" s="18"/>
      <c r="K2820" s="18" t="s">
        <v>316</v>
      </c>
    </row>
    <row r="2821">
      <c r="A2821" s="17"/>
      <c r="H2821" s="18"/>
      <c r="K2821" s="18" t="s">
        <v>316</v>
      </c>
    </row>
    <row r="2822">
      <c r="A2822" s="17"/>
      <c r="H2822" s="18"/>
      <c r="K2822" s="18" t="s">
        <v>316</v>
      </c>
    </row>
    <row r="2823">
      <c r="A2823" s="17"/>
      <c r="H2823" s="18"/>
      <c r="K2823" s="18" t="s">
        <v>316</v>
      </c>
    </row>
    <row r="2824">
      <c r="A2824" s="17"/>
      <c r="H2824" s="18"/>
      <c r="K2824" s="18" t="s">
        <v>316</v>
      </c>
    </row>
    <row r="2825">
      <c r="A2825" s="17"/>
      <c r="H2825" s="18"/>
      <c r="K2825" s="18" t="s">
        <v>316</v>
      </c>
    </row>
    <row r="2826">
      <c r="A2826" s="17"/>
      <c r="H2826" s="18"/>
      <c r="K2826" s="18" t="s">
        <v>316</v>
      </c>
    </row>
    <row r="2827">
      <c r="A2827" s="17"/>
      <c r="H2827" s="18"/>
      <c r="K2827" s="18" t="s">
        <v>316</v>
      </c>
    </row>
    <row r="2828">
      <c r="A2828" s="17"/>
      <c r="H2828" s="18"/>
      <c r="K2828" s="18" t="s">
        <v>316</v>
      </c>
    </row>
    <row r="2829">
      <c r="A2829" s="17"/>
      <c r="H2829" s="18"/>
      <c r="K2829" s="18" t="s">
        <v>316</v>
      </c>
    </row>
    <row r="2830">
      <c r="A2830" s="17"/>
      <c r="H2830" s="18"/>
      <c r="K2830" s="18" t="s">
        <v>316</v>
      </c>
    </row>
    <row r="2831">
      <c r="A2831" s="17"/>
      <c r="H2831" s="18"/>
      <c r="K2831" s="18" t="s">
        <v>316</v>
      </c>
    </row>
    <row r="2832">
      <c r="A2832" s="17"/>
      <c r="H2832" s="18"/>
      <c r="K2832" s="18" t="s">
        <v>316</v>
      </c>
    </row>
    <row r="2833">
      <c r="A2833" s="17"/>
      <c r="H2833" s="18"/>
      <c r="K2833" s="18" t="s">
        <v>316</v>
      </c>
    </row>
    <row r="2834">
      <c r="A2834" s="17"/>
      <c r="H2834" s="18"/>
      <c r="K2834" s="18" t="s">
        <v>316</v>
      </c>
    </row>
    <row r="2835">
      <c r="A2835" s="17"/>
      <c r="H2835" s="18"/>
      <c r="K2835" s="18" t="s">
        <v>316</v>
      </c>
    </row>
    <row r="2836">
      <c r="A2836" s="17"/>
      <c r="H2836" s="18"/>
      <c r="K2836" s="18" t="s">
        <v>316</v>
      </c>
    </row>
    <row r="2837">
      <c r="A2837" s="17"/>
      <c r="H2837" s="18"/>
      <c r="K2837" s="18" t="s">
        <v>316</v>
      </c>
    </row>
    <row r="2838">
      <c r="A2838" s="17"/>
      <c r="H2838" s="18"/>
      <c r="K2838" s="18" t="s">
        <v>316</v>
      </c>
    </row>
    <row r="2839">
      <c r="A2839" s="17"/>
      <c r="H2839" s="18"/>
      <c r="K2839" s="18" t="s">
        <v>316</v>
      </c>
    </row>
    <row r="2840">
      <c r="A2840" s="17"/>
      <c r="H2840" s="18"/>
      <c r="K2840" s="18" t="s">
        <v>316</v>
      </c>
    </row>
    <row r="2841">
      <c r="A2841" s="17"/>
      <c r="H2841" s="18"/>
      <c r="K2841" s="18" t="s">
        <v>316</v>
      </c>
    </row>
    <row r="2842">
      <c r="A2842" s="17"/>
      <c r="H2842" s="18"/>
      <c r="K2842" s="18" t="s">
        <v>316</v>
      </c>
    </row>
    <row r="2843">
      <c r="A2843" s="17"/>
      <c r="H2843" s="18"/>
      <c r="K2843" s="18" t="s">
        <v>316</v>
      </c>
    </row>
    <row r="2844">
      <c r="A2844" s="17"/>
      <c r="H2844" s="18"/>
      <c r="K2844" s="18" t="s">
        <v>316</v>
      </c>
    </row>
    <row r="2845">
      <c r="A2845" s="17"/>
      <c r="H2845" s="18"/>
      <c r="K2845" s="18" t="s">
        <v>316</v>
      </c>
    </row>
    <row r="2846">
      <c r="A2846" s="17"/>
      <c r="H2846" s="18"/>
      <c r="K2846" s="18" t="s">
        <v>316</v>
      </c>
    </row>
    <row r="2847">
      <c r="A2847" s="17"/>
      <c r="H2847" s="18"/>
      <c r="K2847" s="18" t="s">
        <v>316</v>
      </c>
    </row>
    <row r="2848">
      <c r="A2848" s="17"/>
      <c r="H2848" s="18"/>
      <c r="K2848" s="18" t="s">
        <v>316</v>
      </c>
    </row>
    <row r="2849">
      <c r="A2849" s="17"/>
      <c r="H2849" s="18"/>
      <c r="K2849" s="18" t="s">
        <v>316</v>
      </c>
    </row>
    <row r="2850">
      <c r="A2850" s="17"/>
      <c r="H2850" s="18"/>
      <c r="K2850" s="18" t="s">
        <v>316</v>
      </c>
    </row>
    <row r="2851">
      <c r="A2851" s="17"/>
      <c r="H2851" s="18"/>
      <c r="K2851" s="18" t="s">
        <v>316</v>
      </c>
    </row>
    <row r="2852">
      <c r="A2852" s="17"/>
      <c r="H2852" s="18"/>
      <c r="K2852" s="18" t="s">
        <v>316</v>
      </c>
    </row>
    <row r="2853">
      <c r="A2853" s="17"/>
      <c r="H2853" s="18"/>
      <c r="K2853" s="18" t="s">
        <v>316</v>
      </c>
    </row>
    <row r="2854">
      <c r="A2854" s="17"/>
      <c r="H2854" s="18"/>
      <c r="K2854" s="18" t="s">
        <v>316</v>
      </c>
    </row>
    <row r="2855">
      <c r="A2855" s="17"/>
      <c r="H2855" s="18"/>
      <c r="K2855" s="18" t="s">
        <v>316</v>
      </c>
    </row>
    <row r="2856">
      <c r="A2856" s="17"/>
      <c r="H2856" s="18"/>
      <c r="K2856" s="18" t="s">
        <v>316</v>
      </c>
    </row>
    <row r="2857">
      <c r="A2857" s="17"/>
      <c r="H2857" s="18"/>
      <c r="K2857" s="18" t="s">
        <v>316</v>
      </c>
    </row>
    <row r="2858">
      <c r="A2858" s="17"/>
      <c r="H2858" s="18"/>
      <c r="K2858" s="18" t="s">
        <v>316</v>
      </c>
    </row>
    <row r="2859">
      <c r="A2859" s="17"/>
      <c r="H2859" s="18"/>
      <c r="K2859" s="18" t="s">
        <v>316</v>
      </c>
    </row>
    <row r="2860">
      <c r="A2860" s="17"/>
      <c r="H2860" s="18"/>
      <c r="K2860" s="18" t="s">
        <v>316</v>
      </c>
    </row>
    <row r="2861">
      <c r="A2861" s="17"/>
      <c r="H2861" s="18"/>
      <c r="K2861" s="18" t="s">
        <v>316</v>
      </c>
    </row>
    <row r="2862">
      <c r="A2862" s="17"/>
      <c r="H2862" s="18"/>
      <c r="K2862" s="18" t="s">
        <v>316</v>
      </c>
    </row>
    <row r="2863">
      <c r="A2863" s="17"/>
      <c r="H2863" s="18"/>
      <c r="K2863" s="18" t="s">
        <v>316</v>
      </c>
    </row>
    <row r="2864">
      <c r="A2864" s="17"/>
      <c r="H2864" s="18"/>
      <c r="K2864" s="18" t="s">
        <v>316</v>
      </c>
    </row>
    <row r="2865">
      <c r="A2865" s="17"/>
      <c r="H2865" s="18"/>
      <c r="K2865" s="18" t="s">
        <v>316</v>
      </c>
    </row>
    <row r="2866">
      <c r="A2866" s="17"/>
      <c r="H2866" s="18"/>
      <c r="K2866" s="18" t="s">
        <v>316</v>
      </c>
    </row>
    <row r="2867">
      <c r="A2867" s="17"/>
      <c r="H2867" s="18"/>
      <c r="K2867" s="18" t="s">
        <v>316</v>
      </c>
    </row>
    <row r="2868">
      <c r="A2868" s="17"/>
      <c r="H2868" s="18"/>
      <c r="K2868" s="18" t="s">
        <v>316</v>
      </c>
    </row>
    <row r="2869">
      <c r="A2869" s="17"/>
      <c r="H2869" s="18"/>
      <c r="K2869" s="18" t="s">
        <v>316</v>
      </c>
    </row>
    <row r="2870">
      <c r="A2870" s="17"/>
      <c r="H2870" s="18"/>
      <c r="K2870" s="18" t="s">
        <v>316</v>
      </c>
    </row>
    <row r="2871">
      <c r="A2871" s="17"/>
      <c r="H2871" s="18"/>
      <c r="K2871" s="18" t="s">
        <v>316</v>
      </c>
    </row>
    <row r="2872">
      <c r="A2872" s="17"/>
      <c r="H2872" s="18"/>
      <c r="K2872" s="18" t="s">
        <v>316</v>
      </c>
    </row>
    <row r="2873">
      <c r="A2873" s="17"/>
      <c r="H2873" s="18"/>
      <c r="K2873" s="18" t="s">
        <v>316</v>
      </c>
    </row>
    <row r="2874">
      <c r="A2874" s="17"/>
      <c r="H2874" s="18"/>
      <c r="K2874" s="18" t="s">
        <v>316</v>
      </c>
    </row>
    <row r="2875">
      <c r="A2875" s="17"/>
      <c r="H2875" s="18"/>
      <c r="K2875" s="18" t="s">
        <v>316</v>
      </c>
    </row>
    <row r="2876">
      <c r="A2876" s="17"/>
      <c r="H2876" s="18"/>
      <c r="K2876" s="18" t="s">
        <v>316</v>
      </c>
    </row>
    <row r="2877">
      <c r="A2877" s="17"/>
      <c r="H2877" s="18"/>
      <c r="K2877" s="18" t="s">
        <v>316</v>
      </c>
    </row>
    <row r="2878">
      <c r="A2878" s="17"/>
      <c r="H2878" s="18"/>
      <c r="K2878" s="18" t="s">
        <v>316</v>
      </c>
    </row>
    <row r="2879">
      <c r="A2879" s="17"/>
      <c r="H2879" s="18"/>
      <c r="K2879" s="18" t="s">
        <v>316</v>
      </c>
    </row>
    <row r="2880">
      <c r="A2880" s="17"/>
      <c r="H2880" s="18"/>
      <c r="K2880" s="18" t="s">
        <v>316</v>
      </c>
    </row>
    <row r="2881">
      <c r="A2881" s="17"/>
      <c r="H2881" s="18"/>
      <c r="K2881" s="18" t="s">
        <v>316</v>
      </c>
    </row>
    <row r="2882">
      <c r="A2882" s="17"/>
      <c r="H2882" s="18"/>
      <c r="K2882" s="18" t="s">
        <v>316</v>
      </c>
    </row>
    <row r="2883">
      <c r="A2883" s="17"/>
      <c r="H2883" s="18"/>
      <c r="K2883" s="18" t="s">
        <v>316</v>
      </c>
    </row>
    <row r="2884">
      <c r="A2884" s="17"/>
      <c r="H2884" s="18"/>
      <c r="K2884" s="18" t="s">
        <v>316</v>
      </c>
    </row>
    <row r="2885">
      <c r="A2885" s="17"/>
      <c r="H2885" s="18"/>
      <c r="K2885" s="18" t="s">
        <v>316</v>
      </c>
    </row>
    <row r="2886">
      <c r="A2886" s="17"/>
      <c r="H2886" s="18"/>
      <c r="K2886" s="18" t="s">
        <v>316</v>
      </c>
    </row>
    <row r="2887">
      <c r="A2887" s="17"/>
      <c r="H2887" s="18"/>
      <c r="K2887" s="18" t="s">
        <v>316</v>
      </c>
    </row>
    <row r="2888">
      <c r="A2888" s="17"/>
      <c r="H2888" s="18"/>
      <c r="K2888" s="18" t="s">
        <v>316</v>
      </c>
    </row>
    <row r="2889">
      <c r="A2889" s="17"/>
      <c r="H2889" s="18"/>
      <c r="K2889" s="18" t="s">
        <v>316</v>
      </c>
    </row>
    <row r="2890">
      <c r="A2890" s="17"/>
      <c r="H2890" s="18"/>
      <c r="K2890" s="18" t="s">
        <v>316</v>
      </c>
    </row>
    <row r="2891">
      <c r="A2891" s="17"/>
      <c r="H2891" s="18"/>
      <c r="K2891" s="18" t="s">
        <v>316</v>
      </c>
    </row>
    <row r="2892">
      <c r="A2892" s="17"/>
      <c r="H2892" s="18"/>
      <c r="K2892" s="18" t="s">
        <v>316</v>
      </c>
    </row>
    <row r="2893">
      <c r="A2893" s="17"/>
      <c r="H2893" s="18"/>
      <c r="K2893" s="18" t="s">
        <v>316</v>
      </c>
    </row>
    <row r="2894">
      <c r="A2894" s="17"/>
      <c r="H2894" s="18"/>
      <c r="K2894" s="18" t="s">
        <v>316</v>
      </c>
    </row>
    <row r="2895">
      <c r="A2895" s="17"/>
      <c r="H2895" s="18"/>
      <c r="K2895" s="18" t="s">
        <v>316</v>
      </c>
    </row>
    <row r="2896">
      <c r="A2896" s="17"/>
      <c r="H2896" s="18"/>
      <c r="K2896" s="18" t="s">
        <v>316</v>
      </c>
    </row>
    <row r="2897">
      <c r="A2897" s="17"/>
      <c r="H2897" s="18"/>
      <c r="K2897" s="18" t="s">
        <v>316</v>
      </c>
    </row>
    <row r="2898">
      <c r="A2898" s="17"/>
      <c r="H2898" s="18"/>
      <c r="K2898" s="18" t="s">
        <v>316</v>
      </c>
    </row>
    <row r="2899">
      <c r="A2899" s="17"/>
      <c r="H2899" s="18"/>
      <c r="K2899" s="18" t="s">
        <v>316</v>
      </c>
    </row>
    <row r="2900">
      <c r="A2900" s="17"/>
      <c r="H2900" s="18"/>
      <c r="K2900" s="18" t="s">
        <v>316</v>
      </c>
    </row>
    <row r="2901">
      <c r="A2901" s="17"/>
      <c r="H2901" s="18"/>
      <c r="K2901" s="18" t="s">
        <v>316</v>
      </c>
    </row>
    <row r="2902">
      <c r="A2902" s="17"/>
      <c r="H2902" s="18"/>
      <c r="K2902" s="18" t="s">
        <v>316</v>
      </c>
    </row>
    <row r="2903">
      <c r="A2903" s="17"/>
      <c r="H2903" s="18"/>
      <c r="K2903" s="18" t="s">
        <v>316</v>
      </c>
    </row>
    <row r="2904">
      <c r="A2904" s="17"/>
      <c r="H2904" s="18"/>
      <c r="K2904" s="18" t="s">
        <v>316</v>
      </c>
    </row>
    <row r="2905">
      <c r="A2905" s="17"/>
      <c r="H2905" s="18"/>
      <c r="K2905" s="18" t="s">
        <v>316</v>
      </c>
    </row>
    <row r="2906">
      <c r="A2906" s="17"/>
      <c r="H2906" s="18"/>
      <c r="K2906" s="18" t="s">
        <v>316</v>
      </c>
    </row>
    <row r="2907">
      <c r="A2907" s="17"/>
      <c r="H2907" s="18"/>
      <c r="K2907" s="18" t="s">
        <v>316</v>
      </c>
    </row>
    <row r="2908">
      <c r="A2908" s="17"/>
      <c r="H2908" s="18"/>
      <c r="K2908" s="18" t="s">
        <v>316</v>
      </c>
    </row>
    <row r="2909">
      <c r="A2909" s="17"/>
      <c r="H2909" s="18"/>
      <c r="K2909" s="18" t="s">
        <v>316</v>
      </c>
    </row>
    <row r="2910">
      <c r="A2910" s="17"/>
      <c r="H2910" s="18"/>
      <c r="K2910" s="18" t="s">
        <v>316</v>
      </c>
    </row>
    <row r="2911">
      <c r="A2911" s="17"/>
      <c r="H2911" s="18"/>
      <c r="K2911" s="18" t="s">
        <v>316</v>
      </c>
    </row>
    <row r="2912">
      <c r="A2912" s="17"/>
      <c r="H2912" s="18"/>
      <c r="K2912" s="18" t="s">
        <v>316</v>
      </c>
    </row>
    <row r="2913">
      <c r="A2913" s="17"/>
      <c r="H2913" s="18"/>
      <c r="K2913" s="18" t="s">
        <v>316</v>
      </c>
    </row>
    <row r="2914">
      <c r="A2914" s="17"/>
      <c r="H2914" s="18"/>
      <c r="K2914" s="18" t="s">
        <v>316</v>
      </c>
    </row>
    <row r="2915">
      <c r="A2915" s="17"/>
      <c r="H2915" s="18"/>
      <c r="K2915" s="18" t="s">
        <v>316</v>
      </c>
    </row>
    <row r="2916">
      <c r="A2916" s="17"/>
      <c r="H2916" s="18"/>
      <c r="K2916" s="18" t="s">
        <v>316</v>
      </c>
    </row>
    <row r="2917">
      <c r="A2917" s="17"/>
      <c r="H2917" s="18"/>
      <c r="K2917" s="18" t="s">
        <v>316</v>
      </c>
    </row>
    <row r="2918">
      <c r="A2918" s="17"/>
      <c r="H2918" s="18"/>
      <c r="K2918" s="18" t="s">
        <v>316</v>
      </c>
    </row>
    <row r="2919">
      <c r="A2919" s="17"/>
      <c r="H2919" s="18"/>
      <c r="K2919" s="18" t="s">
        <v>316</v>
      </c>
    </row>
    <row r="2920">
      <c r="A2920" s="17"/>
      <c r="H2920" s="18"/>
      <c r="K2920" s="18" t="s">
        <v>316</v>
      </c>
    </row>
    <row r="2921">
      <c r="A2921" s="17"/>
      <c r="H2921" s="18"/>
      <c r="K2921" s="18" t="s">
        <v>316</v>
      </c>
    </row>
    <row r="2922">
      <c r="A2922" s="17"/>
      <c r="H2922" s="18"/>
      <c r="K2922" s="18" t="s">
        <v>316</v>
      </c>
    </row>
    <row r="2923">
      <c r="A2923" s="17"/>
      <c r="H2923" s="18"/>
      <c r="K2923" s="18" t="s">
        <v>316</v>
      </c>
    </row>
    <row r="2924">
      <c r="A2924" s="17"/>
      <c r="H2924" s="18"/>
      <c r="K2924" s="18" t="s">
        <v>316</v>
      </c>
    </row>
    <row r="2925">
      <c r="A2925" s="17"/>
      <c r="H2925" s="18"/>
      <c r="K2925" s="18" t="s">
        <v>316</v>
      </c>
    </row>
    <row r="2926">
      <c r="A2926" s="17"/>
      <c r="H2926" s="18"/>
      <c r="K2926" s="18" t="s">
        <v>316</v>
      </c>
    </row>
    <row r="2927">
      <c r="A2927" s="17"/>
      <c r="H2927" s="18"/>
      <c r="K2927" s="18" t="s">
        <v>316</v>
      </c>
    </row>
    <row r="2928">
      <c r="A2928" s="17"/>
      <c r="H2928" s="18"/>
      <c r="K2928" s="18" t="s">
        <v>316</v>
      </c>
    </row>
    <row r="2929">
      <c r="A2929" s="17"/>
      <c r="H2929" s="18"/>
      <c r="K2929" s="18" t="s">
        <v>316</v>
      </c>
    </row>
    <row r="2930">
      <c r="A2930" s="17"/>
      <c r="H2930" s="18"/>
      <c r="K2930" s="18" t="s">
        <v>316</v>
      </c>
    </row>
    <row r="2931">
      <c r="A2931" s="17"/>
      <c r="H2931" s="18"/>
      <c r="K2931" s="18" t="s">
        <v>316</v>
      </c>
    </row>
    <row r="2932">
      <c r="A2932" s="17"/>
      <c r="H2932" s="18"/>
      <c r="K2932" s="18" t="s">
        <v>316</v>
      </c>
    </row>
    <row r="2933">
      <c r="A2933" s="17"/>
      <c r="H2933" s="18"/>
      <c r="K2933" s="18" t="s">
        <v>316</v>
      </c>
    </row>
    <row r="2934">
      <c r="A2934" s="17"/>
      <c r="H2934" s="18"/>
      <c r="K2934" s="18" t="s">
        <v>316</v>
      </c>
    </row>
    <row r="2935">
      <c r="A2935" s="17"/>
      <c r="H2935" s="18"/>
      <c r="K2935" s="18" t="s">
        <v>316</v>
      </c>
    </row>
    <row r="2936">
      <c r="A2936" s="17"/>
      <c r="H2936" s="18"/>
      <c r="K2936" s="18" t="s">
        <v>316</v>
      </c>
    </row>
    <row r="2937">
      <c r="A2937" s="17"/>
      <c r="H2937" s="18"/>
      <c r="K2937" s="18" t="s">
        <v>316</v>
      </c>
    </row>
    <row r="2938">
      <c r="A2938" s="17"/>
      <c r="H2938" s="18"/>
      <c r="K2938" s="18" t="s">
        <v>316</v>
      </c>
    </row>
    <row r="2939">
      <c r="A2939" s="17"/>
      <c r="H2939" s="18"/>
      <c r="K2939" s="18" t="s">
        <v>316</v>
      </c>
    </row>
    <row r="2940">
      <c r="A2940" s="17"/>
      <c r="H2940" s="18"/>
      <c r="K2940" s="18" t="s">
        <v>316</v>
      </c>
    </row>
    <row r="2941">
      <c r="A2941" s="17"/>
      <c r="H2941" s="18"/>
      <c r="K2941" s="18" t="s">
        <v>316</v>
      </c>
    </row>
    <row r="2942">
      <c r="A2942" s="17"/>
      <c r="H2942" s="18"/>
      <c r="K2942" s="18" t="s">
        <v>316</v>
      </c>
    </row>
    <row r="2943">
      <c r="A2943" s="17"/>
      <c r="H2943" s="18"/>
      <c r="K2943" s="18" t="s">
        <v>316</v>
      </c>
    </row>
    <row r="2944">
      <c r="A2944" s="17"/>
      <c r="H2944" s="18"/>
      <c r="K2944" s="18" t="s">
        <v>316</v>
      </c>
    </row>
    <row r="2945">
      <c r="A2945" s="17"/>
      <c r="H2945" s="18"/>
      <c r="K2945" s="18" t="s">
        <v>316</v>
      </c>
    </row>
    <row r="2946">
      <c r="A2946" s="17"/>
      <c r="H2946" s="18"/>
      <c r="K2946" s="18" t="s">
        <v>316</v>
      </c>
    </row>
    <row r="2947">
      <c r="A2947" s="17"/>
      <c r="H2947" s="18"/>
      <c r="K2947" s="18" t="s">
        <v>316</v>
      </c>
    </row>
    <row r="2948">
      <c r="A2948" s="17"/>
      <c r="H2948" s="18"/>
      <c r="K2948" s="18" t="s">
        <v>316</v>
      </c>
    </row>
    <row r="2949">
      <c r="A2949" s="17"/>
      <c r="H2949" s="18"/>
      <c r="K2949" s="18" t="s">
        <v>316</v>
      </c>
    </row>
    <row r="2950">
      <c r="A2950" s="17"/>
      <c r="H2950" s="18"/>
      <c r="K2950" s="18" t="s">
        <v>316</v>
      </c>
    </row>
    <row r="2951">
      <c r="A2951" s="17"/>
      <c r="H2951" s="18"/>
      <c r="K2951" s="18" t="s">
        <v>316</v>
      </c>
    </row>
    <row r="2952">
      <c r="A2952" s="17"/>
      <c r="H2952" s="18"/>
      <c r="K2952" s="18" t="s">
        <v>316</v>
      </c>
    </row>
    <row r="2953">
      <c r="A2953" s="17"/>
      <c r="H2953" s="18"/>
      <c r="K2953" s="18" t="s">
        <v>316</v>
      </c>
    </row>
    <row r="2954">
      <c r="A2954" s="17"/>
      <c r="H2954" s="18"/>
      <c r="K2954" s="18" t="s">
        <v>316</v>
      </c>
    </row>
    <row r="2955">
      <c r="A2955" s="17"/>
      <c r="H2955" s="18"/>
      <c r="K2955" s="18" t="s">
        <v>316</v>
      </c>
    </row>
    <row r="2956">
      <c r="A2956" s="17"/>
      <c r="H2956" s="18"/>
      <c r="K2956" s="18" t="s">
        <v>316</v>
      </c>
    </row>
    <row r="2957">
      <c r="A2957" s="17"/>
      <c r="H2957" s="18"/>
      <c r="K2957" s="18" t="s">
        <v>316</v>
      </c>
    </row>
    <row r="2958">
      <c r="A2958" s="17"/>
      <c r="H2958" s="18"/>
      <c r="K2958" s="18" t="s">
        <v>316</v>
      </c>
    </row>
    <row r="2959">
      <c r="A2959" s="17"/>
      <c r="H2959" s="18"/>
      <c r="K2959" s="18" t="s">
        <v>316</v>
      </c>
    </row>
    <row r="2960">
      <c r="A2960" s="17"/>
      <c r="H2960" s="18"/>
      <c r="K2960" s="18" t="s">
        <v>316</v>
      </c>
    </row>
    <row r="2961">
      <c r="A2961" s="17"/>
      <c r="H2961" s="18"/>
      <c r="K2961" s="18" t="s">
        <v>316</v>
      </c>
    </row>
    <row r="2962">
      <c r="A2962" s="17"/>
      <c r="H2962" s="18"/>
      <c r="K2962" s="18" t="s">
        <v>316</v>
      </c>
    </row>
    <row r="2963">
      <c r="A2963" s="17"/>
      <c r="H2963" s="18"/>
      <c r="K2963" s="18" t="s">
        <v>316</v>
      </c>
    </row>
    <row r="2964">
      <c r="A2964" s="17"/>
      <c r="H2964" s="18"/>
      <c r="K2964" s="18" t="s">
        <v>316</v>
      </c>
    </row>
    <row r="2965">
      <c r="A2965" s="17"/>
      <c r="H2965" s="18"/>
      <c r="K2965" s="18" t="s">
        <v>316</v>
      </c>
    </row>
    <row r="2966">
      <c r="A2966" s="17"/>
      <c r="H2966" s="18"/>
      <c r="K2966" s="18" t="s">
        <v>316</v>
      </c>
    </row>
    <row r="2967">
      <c r="A2967" s="17"/>
      <c r="H2967" s="18"/>
      <c r="K2967" s="18" t="s">
        <v>316</v>
      </c>
    </row>
    <row r="2968">
      <c r="A2968" s="17"/>
      <c r="H2968" s="18"/>
      <c r="K2968" s="18" t="s">
        <v>316</v>
      </c>
    </row>
    <row r="2969">
      <c r="A2969" s="17"/>
      <c r="H2969" s="18"/>
      <c r="K2969" s="18" t="s">
        <v>316</v>
      </c>
    </row>
    <row r="2970">
      <c r="A2970" s="17"/>
      <c r="H2970" s="18"/>
      <c r="K2970" s="18" t="s">
        <v>316</v>
      </c>
    </row>
    <row r="2971">
      <c r="A2971" s="17"/>
      <c r="H2971" s="18"/>
      <c r="K2971" s="18" t="s">
        <v>316</v>
      </c>
    </row>
    <row r="2972">
      <c r="A2972" s="17"/>
      <c r="H2972" s="18"/>
      <c r="K2972" s="18" t="s">
        <v>316</v>
      </c>
    </row>
    <row r="2973">
      <c r="A2973" s="17"/>
      <c r="H2973" s="18"/>
      <c r="K2973" s="18" t="s">
        <v>316</v>
      </c>
    </row>
    <row r="2974">
      <c r="A2974" s="17"/>
      <c r="H2974" s="18"/>
      <c r="K2974" s="18" t="s">
        <v>316</v>
      </c>
    </row>
    <row r="2975">
      <c r="A2975" s="17"/>
      <c r="H2975" s="18"/>
      <c r="K2975" s="18" t="s">
        <v>316</v>
      </c>
    </row>
    <row r="2976">
      <c r="A2976" s="17"/>
      <c r="H2976" s="18"/>
      <c r="K2976" s="18" t="s">
        <v>316</v>
      </c>
    </row>
    <row r="2977">
      <c r="A2977" s="17"/>
      <c r="H2977" s="18"/>
      <c r="K2977" s="18" t="s">
        <v>316</v>
      </c>
    </row>
    <row r="2978">
      <c r="A2978" s="17"/>
      <c r="H2978" s="18"/>
      <c r="K2978" s="18" t="s">
        <v>316</v>
      </c>
    </row>
    <row r="2979">
      <c r="A2979" s="17"/>
      <c r="H2979" s="18"/>
      <c r="K2979" s="18" t="s">
        <v>316</v>
      </c>
    </row>
    <row r="2980">
      <c r="A2980" s="17"/>
      <c r="H2980" s="18"/>
      <c r="K2980" s="18" t="s">
        <v>316</v>
      </c>
    </row>
    <row r="2981">
      <c r="A2981" s="17"/>
      <c r="H2981" s="18"/>
      <c r="K2981" s="18" t="s">
        <v>316</v>
      </c>
    </row>
    <row r="2982">
      <c r="A2982" s="17"/>
      <c r="H2982" s="18"/>
      <c r="K2982" s="18" t="s">
        <v>316</v>
      </c>
    </row>
    <row r="2983">
      <c r="A2983" s="17"/>
      <c r="H2983" s="18"/>
      <c r="K2983" s="18" t="s">
        <v>316</v>
      </c>
    </row>
    <row r="2984">
      <c r="A2984" s="17"/>
      <c r="H2984" s="18"/>
      <c r="K2984" s="18" t="s">
        <v>316</v>
      </c>
    </row>
    <row r="2985">
      <c r="A2985" s="17"/>
      <c r="H2985" s="18"/>
      <c r="K2985" s="18" t="s">
        <v>316</v>
      </c>
    </row>
    <row r="2986">
      <c r="A2986" s="17"/>
      <c r="H2986" s="18"/>
      <c r="K2986" s="18" t="s">
        <v>316</v>
      </c>
    </row>
    <row r="2987">
      <c r="A2987" s="17"/>
      <c r="H2987" s="18"/>
      <c r="K2987" s="18" t="s">
        <v>316</v>
      </c>
    </row>
    <row r="2988">
      <c r="A2988" s="17"/>
      <c r="H2988" s="18"/>
      <c r="K2988" s="18" t="s">
        <v>316</v>
      </c>
    </row>
    <row r="2989">
      <c r="A2989" s="17"/>
      <c r="H2989" s="18"/>
      <c r="K2989" s="18" t="s">
        <v>316</v>
      </c>
    </row>
    <row r="2990">
      <c r="A2990" s="17"/>
      <c r="H2990" s="18"/>
      <c r="K2990" s="18" t="s">
        <v>316</v>
      </c>
    </row>
    <row r="2991">
      <c r="A2991" s="17"/>
      <c r="H2991" s="18"/>
      <c r="K2991" s="18" t="s">
        <v>316</v>
      </c>
    </row>
    <row r="2992">
      <c r="A2992" s="17"/>
      <c r="H2992" s="18"/>
      <c r="K2992" s="18" t="s">
        <v>316</v>
      </c>
    </row>
    <row r="2993">
      <c r="A2993" s="17"/>
      <c r="H2993" s="18"/>
      <c r="K2993" s="18" t="s">
        <v>316</v>
      </c>
    </row>
    <row r="2994">
      <c r="A2994" s="17"/>
      <c r="H2994" s="18"/>
      <c r="K2994" s="18" t="s">
        <v>316</v>
      </c>
    </row>
    <row r="2995">
      <c r="A2995" s="17"/>
      <c r="H2995" s="18"/>
      <c r="K2995" s="18" t="s">
        <v>316</v>
      </c>
    </row>
    <row r="2996">
      <c r="A2996" s="17"/>
      <c r="H2996" s="18"/>
      <c r="K2996" s="18" t="s">
        <v>316</v>
      </c>
    </row>
    <row r="2997">
      <c r="A2997" s="17"/>
      <c r="H2997" s="18"/>
      <c r="K2997" s="18" t="s">
        <v>316</v>
      </c>
    </row>
    <row r="2998">
      <c r="A2998" s="17"/>
      <c r="H2998" s="18"/>
      <c r="K2998" s="18" t="s">
        <v>316</v>
      </c>
    </row>
    <row r="2999">
      <c r="A2999" s="17"/>
      <c r="H2999" s="18"/>
      <c r="K2999" s="18" t="s">
        <v>316</v>
      </c>
    </row>
    <row r="3000">
      <c r="A3000" s="17"/>
      <c r="H3000" s="18"/>
      <c r="K3000" s="18" t="s">
        <v>316</v>
      </c>
    </row>
    <row r="3001">
      <c r="A3001" s="17"/>
      <c r="H3001" s="18"/>
      <c r="K3001" s="18" t="s">
        <v>316</v>
      </c>
    </row>
    <row r="3002">
      <c r="A3002" s="17"/>
      <c r="H3002" s="18"/>
      <c r="K3002" s="18" t="s">
        <v>316</v>
      </c>
    </row>
    <row r="3003">
      <c r="A3003" s="17"/>
      <c r="H3003" s="18"/>
      <c r="K3003" s="18" t="s">
        <v>316</v>
      </c>
    </row>
    <row r="3004">
      <c r="A3004" s="17"/>
      <c r="H3004" s="18"/>
      <c r="K3004" s="18" t="s">
        <v>316</v>
      </c>
    </row>
    <row r="3005">
      <c r="A3005" s="17"/>
      <c r="H3005" s="18"/>
      <c r="K3005" s="18" t="s">
        <v>316</v>
      </c>
    </row>
    <row r="3006">
      <c r="A3006" s="17"/>
      <c r="H3006" s="18"/>
      <c r="K3006" s="18" t="s">
        <v>316</v>
      </c>
    </row>
    <row r="3007">
      <c r="A3007" s="17"/>
      <c r="H3007" s="18"/>
      <c r="K3007" s="18" t="s">
        <v>316</v>
      </c>
    </row>
    <row r="3008">
      <c r="A3008" s="17"/>
      <c r="H3008" s="18"/>
      <c r="K3008" s="18" t="s">
        <v>316</v>
      </c>
    </row>
    <row r="3009">
      <c r="A3009" s="17"/>
      <c r="H3009" s="18"/>
      <c r="K3009" s="18" t="s">
        <v>316</v>
      </c>
    </row>
    <row r="3010">
      <c r="A3010" s="17"/>
      <c r="H3010" s="18"/>
      <c r="K3010" s="18" t="s">
        <v>316</v>
      </c>
    </row>
    <row r="3011">
      <c r="A3011" s="17"/>
      <c r="H3011" s="18"/>
      <c r="K3011" s="18" t="s">
        <v>316</v>
      </c>
    </row>
    <row r="3012">
      <c r="A3012" s="17"/>
      <c r="H3012" s="18"/>
      <c r="K3012" s="18" t="s">
        <v>316</v>
      </c>
    </row>
    <row r="3013">
      <c r="A3013" s="17"/>
      <c r="H3013" s="18"/>
      <c r="K3013" s="18" t="s">
        <v>316</v>
      </c>
    </row>
    <row r="3014">
      <c r="A3014" s="17"/>
      <c r="H3014" s="18"/>
      <c r="K3014" s="18" t="s">
        <v>316</v>
      </c>
    </row>
    <row r="3015">
      <c r="A3015" s="17"/>
      <c r="H3015" s="18"/>
      <c r="K3015" s="18" t="s">
        <v>316</v>
      </c>
    </row>
    <row r="3016">
      <c r="A3016" s="17"/>
      <c r="H3016" s="18"/>
      <c r="K3016" s="18" t="s">
        <v>316</v>
      </c>
    </row>
    <row r="3017">
      <c r="A3017" s="17"/>
      <c r="H3017" s="18"/>
      <c r="K3017" s="18" t="s">
        <v>316</v>
      </c>
    </row>
    <row r="3018">
      <c r="A3018" s="17"/>
      <c r="H3018" s="18"/>
      <c r="K3018" s="18" t="s">
        <v>316</v>
      </c>
    </row>
    <row r="3019">
      <c r="A3019" s="17"/>
      <c r="H3019" s="18"/>
      <c r="K3019" s="18" t="s">
        <v>316</v>
      </c>
    </row>
    <row r="3020">
      <c r="A3020" s="17"/>
      <c r="H3020" s="18"/>
      <c r="K3020" s="18" t="s">
        <v>316</v>
      </c>
    </row>
    <row r="3021">
      <c r="A3021" s="17"/>
      <c r="H3021" s="18"/>
      <c r="K3021" s="18" t="s">
        <v>316</v>
      </c>
    </row>
    <row r="3022">
      <c r="A3022" s="17"/>
      <c r="H3022" s="18"/>
      <c r="K3022" s="18" t="s">
        <v>316</v>
      </c>
    </row>
    <row r="3023">
      <c r="A3023" s="17"/>
      <c r="H3023" s="18"/>
      <c r="K3023" s="18" t="s">
        <v>316</v>
      </c>
    </row>
    <row r="3024">
      <c r="A3024" s="17"/>
      <c r="H3024" s="18"/>
      <c r="K3024" s="18" t="s">
        <v>316</v>
      </c>
    </row>
    <row r="3025">
      <c r="A3025" s="17"/>
      <c r="H3025" s="18"/>
      <c r="K3025" s="18" t="s">
        <v>316</v>
      </c>
    </row>
    <row r="3026">
      <c r="A3026" s="17"/>
      <c r="H3026" s="18"/>
      <c r="K3026" s="18" t="s">
        <v>316</v>
      </c>
    </row>
    <row r="3027">
      <c r="A3027" s="17"/>
      <c r="H3027" s="18"/>
      <c r="K3027" s="18" t="s">
        <v>316</v>
      </c>
    </row>
    <row r="3028">
      <c r="A3028" s="17"/>
      <c r="H3028" s="18"/>
      <c r="K3028" s="18" t="s">
        <v>316</v>
      </c>
    </row>
    <row r="3029">
      <c r="A3029" s="17"/>
      <c r="H3029" s="18"/>
      <c r="K3029" s="18" t="s">
        <v>316</v>
      </c>
    </row>
    <row r="3030">
      <c r="A3030" s="17"/>
      <c r="H3030" s="18"/>
      <c r="K3030" s="18" t="s">
        <v>316</v>
      </c>
    </row>
    <row r="3031">
      <c r="A3031" s="17"/>
      <c r="H3031" s="18"/>
      <c r="K3031" s="18" t="s">
        <v>316</v>
      </c>
    </row>
    <row r="3032">
      <c r="A3032" s="17"/>
      <c r="H3032" s="18"/>
      <c r="K3032" s="18" t="s">
        <v>316</v>
      </c>
    </row>
    <row r="3033">
      <c r="A3033" s="17"/>
      <c r="H3033" s="18"/>
      <c r="K3033" s="18" t="s">
        <v>316</v>
      </c>
    </row>
    <row r="3034">
      <c r="A3034" s="17"/>
      <c r="H3034" s="18"/>
      <c r="K3034" s="18" t="s">
        <v>316</v>
      </c>
    </row>
    <row r="3035">
      <c r="A3035" s="17"/>
      <c r="H3035" s="18"/>
      <c r="K3035" s="18" t="s">
        <v>316</v>
      </c>
    </row>
    <row r="3036">
      <c r="A3036" s="17"/>
      <c r="H3036" s="18"/>
      <c r="K3036" s="18" t="s">
        <v>316</v>
      </c>
    </row>
    <row r="3037">
      <c r="A3037" s="17"/>
      <c r="H3037" s="18"/>
      <c r="K3037" s="18" t="s">
        <v>316</v>
      </c>
    </row>
    <row r="3038">
      <c r="A3038" s="17"/>
      <c r="H3038" s="18"/>
      <c r="K3038" s="18" t="s">
        <v>316</v>
      </c>
    </row>
    <row r="3039">
      <c r="A3039" s="17"/>
      <c r="H3039" s="18"/>
      <c r="K3039" s="18" t="s">
        <v>316</v>
      </c>
    </row>
    <row r="3040">
      <c r="A3040" s="17"/>
      <c r="H3040" s="18"/>
      <c r="K3040" s="18" t="s">
        <v>316</v>
      </c>
    </row>
    <row r="3041">
      <c r="A3041" s="17"/>
      <c r="H3041" s="18"/>
      <c r="K3041" s="18" t="s">
        <v>316</v>
      </c>
    </row>
    <row r="3042">
      <c r="A3042" s="17"/>
      <c r="H3042" s="18"/>
      <c r="K3042" s="18" t="s">
        <v>316</v>
      </c>
    </row>
    <row r="3043">
      <c r="A3043" s="17"/>
      <c r="H3043" s="18"/>
      <c r="K3043" s="18" t="s">
        <v>316</v>
      </c>
    </row>
    <row r="3044">
      <c r="A3044" s="17"/>
      <c r="H3044" s="18"/>
      <c r="K3044" s="18" t="s">
        <v>316</v>
      </c>
    </row>
    <row r="3045">
      <c r="A3045" s="17"/>
      <c r="H3045" s="18"/>
      <c r="K3045" s="18" t="s">
        <v>316</v>
      </c>
    </row>
    <row r="3046">
      <c r="A3046" s="17"/>
      <c r="H3046" s="18"/>
      <c r="K3046" s="18" t="s">
        <v>316</v>
      </c>
    </row>
    <row r="3047">
      <c r="A3047" s="17"/>
      <c r="H3047" s="18"/>
      <c r="K3047" s="18" t="s">
        <v>316</v>
      </c>
    </row>
    <row r="3048">
      <c r="A3048" s="17"/>
      <c r="H3048" s="18"/>
      <c r="K3048" s="18" t="s">
        <v>316</v>
      </c>
    </row>
    <row r="3049">
      <c r="A3049" s="17"/>
      <c r="H3049" s="18"/>
      <c r="K3049" s="18" t="s">
        <v>316</v>
      </c>
    </row>
    <row r="3050">
      <c r="A3050" s="17"/>
      <c r="H3050" s="18"/>
      <c r="K3050" s="18" t="s">
        <v>316</v>
      </c>
    </row>
    <row r="3051">
      <c r="A3051" s="17"/>
      <c r="H3051" s="18"/>
      <c r="K3051" s="18" t="s">
        <v>316</v>
      </c>
    </row>
    <row r="3052">
      <c r="A3052" s="17"/>
      <c r="H3052" s="18"/>
      <c r="K3052" s="18" t="s">
        <v>316</v>
      </c>
    </row>
    <row r="3053">
      <c r="A3053" s="17"/>
      <c r="H3053" s="18"/>
      <c r="K3053" s="18" t="s">
        <v>316</v>
      </c>
    </row>
    <row r="3054">
      <c r="A3054" s="17"/>
      <c r="H3054" s="18"/>
      <c r="K3054" s="18" t="s">
        <v>316</v>
      </c>
    </row>
    <row r="3055">
      <c r="A3055" s="17"/>
      <c r="H3055" s="18"/>
      <c r="K3055" s="18" t="s">
        <v>316</v>
      </c>
    </row>
    <row r="3056">
      <c r="A3056" s="17"/>
      <c r="H3056" s="18"/>
      <c r="K3056" s="18" t="s">
        <v>316</v>
      </c>
    </row>
    <row r="3057">
      <c r="A3057" s="17"/>
      <c r="H3057" s="18"/>
      <c r="K3057" s="18" t="s">
        <v>316</v>
      </c>
    </row>
    <row r="3058">
      <c r="A3058" s="17"/>
      <c r="H3058" s="18"/>
      <c r="K3058" s="18" t="s">
        <v>316</v>
      </c>
    </row>
    <row r="3059">
      <c r="A3059" s="17"/>
      <c r="H3059" s="18"/>
      <c r="K3059" s="18" t="s">
        <v>316</v>
      </c>
    </row>
    <row r="3060">
      <c r="A3060" s="17"/>
      <c r="H3060" s="18"/>
      <c r="K3060" s="18" t="s">
        <v>316</v>
      </c>
    </row>
    <row r="3061">
      <c r="A3061" s="17"/>
      <c r="H3061" s="18"/>
      <c r="K3061" s="18" t="s">
        <v>316</v>
      </c>
    </row>
    <row r="3062">
      <c r="A3062" s="17"/>
      <c r="H3062" s="18"/>
      <c r="K3062" s="18" t="s">
        <v>316</v>
      </c>
    </row>
    <row r="3063">
      <c r="A3063" s="17"/>
      <c r="H3063" s="18"/>
      <c r="K3063" s="18" t="s">
        <v>316</v>
      </c>
    </row>
    <row r="3064">
      <c r="A3064" s="17"/>
      <c r="H3064" s="18"/>
      <c r="K3064" s="18" t="s">
        <v>316</v>
      </c>
    </row>
    <row r="3065">
      <c r="A3065" s="17"/>
      <c r="H3065" s="18"/>
      <c r="K3065" s="18" t="s">
        <v>316</v>
      </c>
    </row>
    <row r="3066">
      <c r="A3066" s="17"/>
      <c r="H3066" s="18"/>
      <c r="K3066" s="18" t="s">
        <v>316</v>
      </c>
    </row>
    <row r="3067">
      <c r="A3067" s="17"/>
      <c r="H3067" s="18"/>
      <c r="K3067" s="18" t="s">
        <v>316</v>
      </c>
    </row>
    <row r="3068">
      <c r="A3068" s="17"/>
      <c r="H3068" s="18"/>
      <c r="K3068" s="18" t="s">
        <v>316</v>
      </c>
    </row>
    <row r="3069">
      <c r="A3069" s="17"/>
      <c r="H3069" s="18"/>
      <c r="K3069" s="18" t="s">
        <v>316</v>
      </c>
    </row>
    <row r="3070">
      <c r="A3070" s="17"/>
      <c r="H3070" s="18"/>
      <c r="K3070" s="18" t="s">
        <v>316</v>
      </c>
    </row>
    <row r="3071">
      <c r="A3071" s="17"/>
      <c r="H3071" s="18"/>
      <c r="K3071" s="18" t="s">
        <v>316</v>
      </c>
    </row>
    <row r="3072">
      <c r="A3072" s="17"/>
      <c r="H3072" s="18"/>
      <c r="K3072" s="18" t="s">
        <v>316</v>
      </c>
    </row>
    <row r="3073">
      <c r="A3073" s="17"/>
      <c r="H3073" s="18"/>
      <c r="K3073" s="18" t="s">
        <v>316</v>
      </c>
    </row>
    <row r="3074">
      <c r="A3074" s="17"/>
      <c r="H3074" s="18"/>
      <c r="K3074" s="18" t="s">
        <v>316</v>
      </c>
    </row>
    <row r="3075">
      <c r="A3075" s="17"/>
      <c r="H3075" s="18"/>
      <c r="K3075" s="18" t="s">
        <v>316</v>
      </c>
    </row>
    <row r="3076">
      <c r="A3076" s="17"/>
      <c r="H3076" s="18"/>
      <c r="K3076" s="18" t="s">
        <v>316</v>
      </c>
    </row>
    <row r="3077">
      <c r="A3077" s="17"/>
      <c r="H3077" s="18"/>
      <c r="K3077" s="18" t="s">
        <v>316</v>
      </c>
    </row>
    <row r="3078">
      <c r="A3078" s="17"/>
      <c r="H3078" s="18"/>
      <c r="K3078" s="18" t="s">
        <v>316</v>
      </c>
    </row>
    <row r="3079">
      <c r="A3079" s="17"/>
      <c r="H3079" s="18"/>
      <c r="K3079" s="18" t="s">
        <v>316</v>
      </c>
    </row>
    <row r="3080">
      <c r="A3080" s="17"/>
      <c r="H3080" s="18"/>
      <c r="K3080" s="18" t="s">
        <v>316</v>
      </c>
    </row>
    <row r="3081">
      <c r="A3081" s="17"/>
      <c r="H3081" s="18"/>
      <c r="K3081" s="18" t="s">
        <v>316</v>
      </c>
    </row>
    <row r="3082">
      <c r="A3082" s="17"/>
      <c r="H3082" s="18"/>
      <c r="K3082" s="18" t="s">
        <v>316</v>
      </c>
    </row>
    <row r="3083">
      <c r="A3083" s="17"/>
      <c r="H3083" s="18"/>
      <c r="K3083" s="18" t="s">
        <v>316</v>
      </c>
    </row>
    <row r="3084">
      <c r="A3084" s="17"/>
      <c r="H3084" s="18"/>
      <c r="K3084" s="18" t="s">
        <v>316</v>
      </c>
    </row>
    <row r="3085">
      <c r="A3085" s="17"/>
      <c r="H3085" s="18"/>
      <c r="K3085" s="18" t="s">
        <v>316</v>
      </c>
    </row>
    <row r="3086">
      <c r="A3086" s="17"/>
      <c r="H3086" s="18"/>
      <c r="K3086" s="18" t="s">
        <v>316</v>
      </c>
    </row>
    <row r="3087">
      <c r="A3087" s="17"/>
      <c r="H3087" s="18"/>
      <c r="K3087" s="18" t="s">
        <v>316</v>
      </c>
    </row>
    <row r="3088">
      <c r="A3088" s="17"/>
      <c r="H3088" s="18"/>
      <c r="K3088" s="18" t="s">
        <v>316</v>
      </c>
    </row>
    <row r="3089">
      <c r="A3089" s="17"/>
      <c r="H3089" s="18"/>
      <c r="K3089" s="18" t="s">
        <v>316</v>
      </c>
    </row>
    <row r="3090">
      <c r="A3090" s="17"/>
      <c r="H3090" s="18"/>
      <c r="K3090" s="18" t="s">
        <v>316</v>
      </c>
    </row>
    <row r="3091">
      <c r="A3091" s="17"/>
      <c r="H3091" s="18"/>
      <c r="K3091" s="18" t="s">
        <v>316</v>
      </c>
    </row>
    <row r="3092">
      <c r="A3092" s="17"/>
      <c r="H3092" s="18"/>
      <c r="K3092" s="18" t="s">
        <v>316</v>
      </c>
    </row>
    <row r="3093">
      <c r="A3093" s="17"/>
      <c r="H3093" s="18"/>
      <c r="K3093" s="18" t="s">
        <v>316</v>
      </c>
    </row>
    <row r="3094">
      <c r="A3094" s="17"/>
      <c r="H3094" s="18"/>
      <c r="K3094" s="18" t="s">
        <v>316</v>
      </c>
    </row>
    <row r="3095">
      <c r="A3095" s="17"/>
      <c r="H3095" s="18"/>
      <c r="K3095" s="18" t="s">
        <v>316</v>
      </c>
    </row>
    <row r="3096">
      <c r="A3096" s="17"/>
      <c r="H3096" s="18"/>
      <c r="K3096" s="18" t="s">
        <v>316</v>
      </c>
    </row>
    <row r="3097">
      <c r="A3097" s="17"/>
      <c r="H3097" s="18"/>
      <c r="K3097" s="18" t="s">
        <v>316</v>
      </c>
    </row>
    <row r="3098">
      <c r="A3098" s="17"/>
      <c r="H3098" s="18"/>
      <c r="K3098" s="18" t="s">
        <v>316</v>
      </c>
    </row>
    <row r="3099">
      <c r="A3099" s="17"/>
      <c r="H3099" s="18"/>
      <c r="K3099" s="18" t="s">
        <v>316</v>
      </c>
    </row>
    <row r="3100">
      <c r="A3100" s="17"/>
      <c r="H3100" s="18"/>
      <c r="K3100" s="18" t="s">
        <v>316</v>
      </c>
    </row>
    <row r="3101">
      <c r="A3101" s="17"/>
      <c r="H3101" s="18"/>
      <c r="K3101" s="18" t="s">
        <v>316</v>
      </c>
    </row>
    <row r="3102">
      <c r="A3102" s="17"/>
      <c r="H3102" s="18"/>
      <c r="K3102" s="18" t="s">
        <v>316</v>
      </c>
    </row>
    <row r="3103">
      <c r="A3103" s="17"/>
      <c r="H3103" s="18"/>
      <c r="K3103" s="18" t="s">
        <v>316</v>
      </c>
    </row>
    <row r="3104">
      <c r="A3104" s="17"/>
      <c r="H3104" s="18"/>
      <c r="K3104" s="18" t="s">
        <v>316</v>
      </c>
    </row>
    <row r="3105">
      <c r="A3105" s="17"/>
      <c r="H3105" s="18"/>
      <c r="K3105" s="18" t="s">
        <v>316</v>
      </c>
    </row>
    <row r="3106">
      <c r="A3106" s="17"/>
      <c r="H3106" s="18"/>
      <c r="K3106" s="18" t="s">
        <v>316</v>
      </c>
    </row>
    <row r="3107">
      <c r="A3107" s="17"/>
      <c r="H3107" s="18"/>
      <c r="K3107" s="18" t="s">
        <v>316</v>
      </c>
    </row>
    <row r="3108">
      <c r="A3108" s="17"/>
      <c r="H3108" s="18"/>
      <c r="K3108" s="18" t="s">
        <v>316</v>
      </c>
    </row>
    <row r="3109">
      <c r="A3109" s="17"/>
      <c r="H3109" s="18"/>
      <c r="K3109" s="18" t="s">
        <v>316</v>
      </c>
    </row>
    <row r="3110">
      <c r="A3110" s="17"/>
      <c r="H3110" s="18"/>
      <c r="K3110" s="18" t="s">
        <v>316</v>
      </c>
    </row>
    <row r="3111">
      <c r="A3111" s="17"/>
      <c r="H3111" s="18"/>
      <c r="K3111" s="18" t="s">
        <v>316</v>
      </c>
    </row>
    <row r="3112">
      <c r="A3112" s="17"/>
      <c r="H3112" s="18"/>
      <c r="K3112" s="18" t="s">
        <v>316</v>
      </c>
    </row>
    <row r="3113">
      <c r="A3113" s="17"/>
      <c r="H3113" s="18"/>
      <c r="K3113" s="18" t="s">
        <v>316</v>
      </c>
    </row>
    <row r="3114">
      <c r="A3114" s="17"/>
      <c r="H3114" s="18"/>
      <c r="K3114" s="18" t="s">
        <v>316</v>
      </c>
    </row>
    <row r="3115">
      <c r="A3115" s="17"/>
      <c r="H3115" s="18"/>
      <c r="K3115" s="18" t="s">
        <v>316</v>
      </c>
    </row>
    <row r="3116">
      <c r="A3116" s="17"/>
      <c r="H3116" s="18"/>
      <c r="K3116" s="18" t="s">
        <v>316</v>
      </c>
    </row>
    <row r="3117">
      <c r="A3117" s="17"/>
      <c r="H3117" s="18"/>
      <c r="K3117" s="18" t="s">
        <v>316</v>
      </c>
    </row>
    <row r="3118">
      <c r="A3118" s="17"/>
      <c r="H3118" s="18"/>
      <c r="K3118" s="18" t="s">
        <v>316</v>
      </c>
    </row>
    <row r="3119">
      <c r="A3119" s="17"/>
      <c r="H3119" s="18"/>
      <c r="K3119" s="18" t="s">
        <v>316</v>
      </c>
    </row>
    <row r="3120">
      <c r="A3120" s="17"/>
      <c r="H3120" s="18"/>
      <c r="K3120" s="18" t="s">
        <v>316</v>
      </c>
    </row>
    <row r="3121">
      <c r="A3121" s="17"/>
      <c r="H3121" s="18"/>
      <c r="K3121" s="18" t="s">
        <v>316</v>
      </c>
    </row>
    <row r="3122">
      <c r="A3122" s="17"/>
      <c r="H3122" s="18"/>
      <c r="K3122" s="18" t="s">
        <v>316</v>
      </c>
    </row>
    <row r="3123">
      <c r="A3123" s="17"/>
      <c r="H3123" s="18"/>
      <c r="K3123" s="18" t="s">
        <v>316</v>
      </c>
    </row>
    <row r="3124">
      <c r="A3124" s="17"/>
      <c r="H3124" s="18"/>
      <c r="K3124" s="18" t="s">
        <v>316</v>
      </c>
    </row>
    <row r="3125">
      <c r="A3125" s="17"/>
      <c r="H3125" s="18"/>
      <c r="K3125" s="18" t="s">
        <v>316</v>
      </c>
    </row>
    <row r="3126">
      <c r="A3126" s="17"/>
      <c r="H3126" s="18"/>
      <c r="K3126" s="18" t="s">
        <v>316</v>
      </c>
    </row>
    <row r="3127">
      <c r="A3127" s="17"/>
      <c r="H3127" s="18"/>
      <c r="K3127" s="18" t="s">
        <v>316</v>
      </c>
    </row>
    <row r="3128">
      <c r="A3128" s="17"/>
      <c r="H3128" s="18"/>
      <c r="K3128" s="18" t="s">
        <v>316</v>
      </c>
    </row>
    <row r="3129">
      <c r="A3129" s="17"/>
      <c r="H3129" s="18"/>
      <c r="K3129" s="18" t="s">
        <v>316</v>
      </c>
    </row>
    <row r="3130">
      <c r="A3130" s="17"/>
      <c r="H3130" s="18"/>
      <c r="K3130" s="18" t="s">
        <v>316</v>
      </c>
    </row>
    <row r="3131">
      <c r="A3131" s="17"/>
      <c r="H3131" s="18"/>
      <c r="K3131" s="18" t="s">
        <v>316</v>
      </c>
    </row>
    <row r="3132">
      <c r="A3132" s="17"/>
      <c r="H3132" s="18"/>
      <c r="K3132" s="18" t="s">
        <v>316</v>
      </c>
    </row>
    <row r="3133">
      <c r="A3133" s="17"/>
      <c r="H3133" s="18"/>
      <c r="K3133" s="18" t="s">
        <v>316</v>
      </c>
    </row>
    <row r="3134">
      <c r="A3134" s="17"/>
      <c r="H3134" s="18"/>
      <c r="K3134" s="18" t="s">
        <v>316</v>
      </c>
    </row>
    <row r="3135">
      <c r="A3135" s="17"/>
      <c r="H3135" s="18"/>
      <c r="K3135" s="18" t="s">
        <v>316</v>
      </c>
    </row>
    <row r="3136">
      <c r="A3136" s="17"/>
      <c r="H3136" s="18"/>
      <c r="K3136" s="18" t="s">
        <v>316</v>
      </c>
    </row>
    <row r="3137">
      <c r="A3137" s="17"/>
      <c r="H3137" s="18"/>
      <c r="K3137" s="18" t="s">
        <v>316</v>
      </c>
    </row>
    <row r="3138">
      <c r="A3138" s="17"/>
      <c r="H3138" s="18"/>
      <c r="K3138" s="18" t="s">
        <v>316</v>
      </c>
    </row>
    <row r="3139">
      <c r="A3139" s="17"/>
      <c r="H3139" s="18"/>
      <c r="K3139" s="18" t="s">
        <v>316</v>
      </c>
    </row>
    <row r="3140">
      <c r="A3140" s="17"/>
      <c r="H3140" s="18"/>
      <c r="K3140" s="18" t="s">
        <v>316</v>
      </c>
    </row>
    <row r="3141">
      <c r="A3141" s="17"/>
      <c r="H3141" s="18"/>
      <c r="K3141" s="18" t="s">
        <v>316</v>
      </c>
    </row>
    <row r="3142">
      <c r="A3142" s="17"/>
      <c r="H3142" s="18"/>
      <c r="K3142" s="18" t="s">
        <v>316</v>
      </c>
    </row>
    <row r="3143">
      <c r="A3143" s="17"/>
      <c r="H3143" s="18"/>
      <c r="K3143" s="18" t="s">
        <v>316</v>
      </c>
    </row>
    <row r="3144">
      <c r="A3144" s="17"/>
      <c r="H3144" s="18"/>
      <c r="K3144" s="18" t="s">
        <v>316</v>
      </c>
    </row>
    <row r="3145">
      <c r="A3145" s="17"/>
      <c r="H3145" s="18"/>
      <c r="K3145" s="18" t="s">
        <v>316</v>
      </c>
    </row>
    <row r="3146">
      <c r="A3146" s="17"/>
      <c r="H3146" s="18"/>
      <c r="K3146" s="18" t="s">
        <v>316</v>
      </c>
    </row>
    <row r="3147">
      <c r="A3147" s="17"/>
      <c r="H3147" s="18"/>
      <c r="K3147" s="18" t="s">
        <v>316</v>
      </c>
    </row>
    <row r="3148">
      <c r="A3148" s="17"/>
      <c r="H3148" s="18"/>
      <c r="K3148" s="18" t="s">
        <v>316</v>
      </c>
    </row>
    <row r="3149">
      <c r="A3149" s="17"/>
      <c r="H3149" s="18"/>
      <c r="K3149" s="18" t="s">
        <v>316</v>
      </c>
    </row>
    <row r="3150">
      <c r="A3150" s="17"/>
      <c r="H3150" s="18"/>
      <c r="K3150" s="18" t="s">
        <v>316</v>
      </c>
    </row>
    <row r="3151">
      <c r="A3151" s="17"/>
      <c r="H3151" s="18"/>
      <c r="K3151" s="18" t="s">
        <v>316</v>
      </c>
    </row>
    <row r="3152">
      <c r="A3152" s="17"/>
      <c r="H3152" s="18"/>
      <c r="K3152" s="18" t="s">
        <v>316</v>
      </c>
    </row>
    <row r="3153">
      <c r="A3153" s="17"/>
      <c r="H3153" s="18"/>
      <c r="K3153" s="18" t="s">
        <v>316</v>
      </c>
    </row>
    <row r="3154">
      <c r="A3154" s="17"/>
      <c r="H3154" s="18"/>
      <c r="K3154" s="18" t="s">
        <v>316</v>
      </c>
    </row>
    <row r="3155">
      <c r="A3155" s="17"/>
      <c r="H3155" s="18"/>
      <c r="K3155" s="18" t="s">
        <v>316</v>
      </c>
    </row>
    <row r="3156">
      <c r="A3156" s="17"/>
      <c r="H3156" s="18"/>
      <c r="K3156" s="18" t="s">
        <v>316</v>
      </c>
    </row>
    <row r="3157">
      <c r="A3157" s="17"/>
      <c r="H3157" s="18"/>
      <c r="K3157" s="18" t="s">
        <v>316</v>
      </c>
    </row>
    <row r="3158">
      <c r="A3158" s="17"/>
      <c r="H3158" s="18"/>
      <c r="K3158" s="18" t="s">
        <v>316</v>
      </c>
    </row>
    <row r="3159">
      <c r="A3159" s="17"/>
      <c r="H3159" s="18"/>
      <c r="K3159" s="18" t="s">
        <v>316</v>
      </c>
    </row>
    <row r="3160">
      <c r="A3160" s="17"/>
      <c r="H3160" s="18"/>
      <c r="K3160" s="18" t="s">
        <v>316</v>
      </c>
    </row>
    <row r="3161">
      <c r="A3161" s="17"/>
      <c r="H3161" s="18"/>
      <c r="K3161" s="18" t="s">
        <v>316</v>
      </c>
    </row>
    <row r="3162">
      <c r="A3162" s="17"/>
      <c r="H3162" s="18"/>
      <c r="K3162" s="18" t="s">
        <v>316</v>
      </c>
    </row>
    <row r="3163">
      <c r="A3163" s="17"/>
      <c r="H3163" s="18"/>
      <c r="K3163" s="18" t="s">
        <v>316</v>
      </c>
    </row>
    <row r="3164">
      <c r="A3164" s="17"/>
      <c r="H3164" s="18"/>
      <c r="K3164" s="18" t="s">
        <v>316</v>
      </c>
    </row>
    <row r="3165">
      <c r="A3165" s="17"/>
      <c r="H3165" s="18"/>
      <c r="K3165" s="18" t="s">
        <v>316</v>
      </c>
    </row>
    <row r="3166">
      <c r="A3166" s="17"/>
      <c r="H3166" s="18"/>
      <c r="K3166" s="18" t="s">
        <v>316</v>
      </c>
    </row>
    <row r="3167">
      <c r="A3167" s="17"/>
      <c r="H3167" s="18"/>
      <c r="K3167" s="18" t="s">
        <v>316</v>
      </c>
    </row>
    <row r="3168">
      <c r="A3168" s="17"/>
      <c r="H3168" s="18"/>
      <c r="K3168" s="18" t="s">
        <v>316</v>
      </c>
    </row>
    <row r="3169">
      <c r="A3169" s="17"/>
      <c r="H3169" s="18"/>
      <c r="K3169" s="18" t="s">
        <v>316</v>
      </c>
    </row>
    <row r="3170">
      <c r="A3170" s="17"/>
      <c r="H3170" s="18"/>
      <c r="K3170" s="18" t="s">
        <v>316</v>
      </c>
    </row>
    <row r="3171">
      <c r="A3171" s="17"/>
      <c r="H3171" s="18"/>
      <c r="K3171" s="18" t="s">
        <v>316</v>
      </c>
    </row>
    <row r="3172">
      <c r="A3172" s="17"/>
      <c r="H3172" s="18"/>
      <c r="K3172" s="18" t="s">
        <v>316</v>
      </c>
    </row>
    <row r="3173">
      <c r="A3173" s="17"/>
      <c r="H3173" s="18"/>
      <c r="K3173" s="18" t="s">
        <v>316</v>
      </c>
    </row>
    <row r="3174">
      <c r="A3174" s="17"/>
      <c r="H3174" s="18"/>
      <c r="K3174" s="18" t="s">
        <v>316</v>
      </c>
    </row>
    <row r="3175">
      <c r="A3175" s="17"/>
      <c r="H3175" s="18"/>
      <c r="K3175" s="18" t="s">
        <v>316</v>
      </c>
    </row>
    <row r="3176">
      <c r="A3176" s="17"/>
      <c r="H3176" s="18"/>
      <c r="K3176" s="18" t="s">
        <v>316</v>
      </c>
    </row>
    <row r="3177">
      <c r="A3177" s="17"/>
      <c r="H3177" s="18"/>
      <c r="K3177" s="18" t="s">
        <v>316</v>
      </c>
    </row>
    <row r="3178">
      <c r="A3178" s="17"/>
      <c r="H3178" s="18"/>
      <c r="K3178" s="18" t="s">
        <v>316</v>
      </c>
    </row>
    <row r="3179">
      <c r="A3179" s="17"/>
      <c r="H3179" s="18"/>
      <c r="K3179" s="18" t="s">
        <v>316</v>
      </c>
    </row>
    <row r="3180">
      <c r="A3180" s="17"/>
      <c r="H3180" s="18"/>
      <c r="K3180" s="18" t="s">
        <v>316</v>
      </c>
    </row>
    <row r="3181">
      <c r="A3181" s="17"/>
      <c r="H3181" s="18"/>
      <c r="K3181" s="18" t="s">
        <v>316</v>
      </c>
    </row>
    <row r="3182">
      <c r="A3182" s="17"/>
      <c r="H3182" s="18"/>
      <c r="K3182" s="18" t="s">
        <v>316</v>
      </c>
    </row>
    <row r="3183">
      <c r="A3183" s="17"/>
      <c r="H3183" s="18"/>
      <c r="K3183" s="18" t="s">
        <v>316</v>
      </c>
    </row>
    <row r="3184">
      <c r="A3184" s="17"/>
      <c r="H3184" s="18"/>
      <c r="K3184" s="18" t="s">
        <v>316</v>
      </c>
    </row>
    <row r="3185">
      <c r="A3185" s="17"/>
      <c r="H3185" s="18"/>
      <c r="K3185" s="18" t="s">
        <v>316</v>
      </c>
    </row>
    <row r="3186">
      <c r="A3186" s="17"/>
      <c r="H3186" s="18"/>
      <c r="K3186" s="18" t="s">
        <v>316</v>
      </c>
    </row>
    <row r="3187">
      <c r="A3187" s="17"/>
      <c r="H3187" s="18"/>
      <c r="K3187" s="18" t="s">
        <v>316</v>
      </c>
    </row>
    <row r="3188">
      <c r="A3188" s="17"/>
      <c r="H3188" s="18"/>
      <c r="K3188" s="18" t="s">
        <v>316</v>
      </c>
    </row>
    <row r="3189">
      <c r="A3189" s="17"/>
      <c r="H3189" s="18"/>
      <c r="K3189" s="18" t="s">
        <v>316</v>
      </c>
    </row>
    <row r="3190">
      <c r="A3190" s="17"/>
      <c r="H3190" s="18"/>
      <c r="K3190" s="18" t="s">
        <v>316</v>
      </c>
    </row>
    <row r="3191">
      <c r="A3191" s="17"/>
      <c r="H3191" s="18"/>
      <c r="K3191" s="18" t="s">
        <v>316</v>
      </c>
    </row>
    <row r="3192">
      <c r="A3192" s="17"/>
      <c r="H3192" s="18"/>
      <c r="K3192" s="18" t="s">
        <v>316</v>
      </c>
    </row>
    <row r="3193">
      <c r="A3193" s="17"/>
      <c r="H3193" s="18"/>
      <c r="K3193" s="18" t="s">
        <v>316</v>
      </c>
    </row>
    <row r="3194">
      <c r="A3194" s="17"/>
      <c r="H3194" s="18"/>
      <c r="K3194" s="18" t="s">
        <v>316</v>
      </c>
    </row>
    <row r="3195">
      <c r="A3195" s="17"/>
      <c r="H3195" s="18"/>
      <c r="K3195" s="18" t="s">
        <v>316</v>
      </c>
    </row>
    <row r="3196">
      <c r="A3196" s="17"/>
      <c r="H3196" s="18"/>
      <c r="K3196" s="18" t="s">
        <v>316</v>
      </c>
    </row>
    <row r="3197">
      <c r="A3197" s="17"/>
      <c r="H3197" s="18"/>
      <c r="K3197" s="18" t="s">
        <v>316</v>
      </c>
    </row>
    <row r="3198">
      <c r="A3198" s="17"/>
      <c r="H3198" s="18"/>
      <c r="K3198" s="18" t="s">
        <v>316</v>
      </c>
    </row>
    <row r="3199">
      <c r="A3199" s="17"/>
      <c r="H3199" s="18"/>
      <c r="K3199" s="18" t="s">
        <v>316</v>
      </c>
    </row>
    <row r="3200">
      <c r="A3200" s="17"/>
      <c r="H3200" s="18"/>
      <c r="K3200" s="18" t="s">
        <v>316</v>
      </c>
    </row>
    <row r="3201">
      <c r="A3201" s="17"/>
      <c r="H3201" s="18"/>
      <c r="K3201" s="18" t="s">
        <v>316</v>
      </c>
    </row>
    <row r="3202">
      <c r="A3202" s="17"/>
      <c r="H3202" s="18"/>
      <c r="K3202" s="18" t="s">
        <v>316</v>
      </c>
    </row>
    <row r="3203">
      <c r="A3203" s="17"/>
      <c r="H3203" s="18"/>
      <c r="K3203" s="18" t="s">
        <v>316</v>
      </c>
    </row>
    <row r="3204">
      <c r="A3204" s="17"/>
      <c r="H3204" s="18"/>
      <c r="K3204" s="18" t="s">
        <v>316</v>
      </c>
    </row>
    <row r="3205">
      <c r="A3205" s="17"/>
      <c r="H3205" s="18"/>
      <c r="K3205" s="18" t="s">
        <v>316</v>
      </c>
    </row>
    <row r="3206">
      <c r="A3206" s="17"/>
      <c r="H3206" s="18"/>
      <c r="K3206" s="18" t="s">
        <v>316</v>
      </c>
    </row>
    <row r="3207">
      <c r="A3207" s="17"/>
      <c r="H3207" s="18"/>
      <c r="K3207" s="18" t="s">
        <v>316</v>
      </c>
    </row>
    <row r="3208">
      <c r="A3208" s="17"/>
      <c r="H3208" s="18"/>
      <c r="K3208" s="18" t="s">
        <v>316</v>
      </c>
    </row>
    <row r="3209">
      <c r="A3209" s="17"/>
      <c r="H3209" s="18"/>
      <c r="K3209" s="18" t="s">
        <v>316</v>
      </c>
    </row>
    <row r="3210">
      <c r="A3210" s="17"/>
      <c r="H3210" s="18"/>
      <c r="K3210" s="18" t="s">
        <v>316</v>
      </c>
    </row>
    <row r="3211">
      <c r="A3211" s="17"/>
      <c r="H3211" s="18"/>
      <c r="K3211" s="18" t="s">
        <v>316</v>
      </c>
    </row>
    <row r="3212">
      <c r="A3212" s="17"/>
      <c r="H3212" s="18"/>
      <c r="K3212" s="18" t="s">
        <v>316</v>
      </c>
    </row>
    <row r="3213">
      <c r="A3213" s="17"/>
      <c r="H3213" s="18"/>
      <c r="K3213" s="18" t="s">
        <v>316</v>
      </c>
    </row>
    <row r="3214">
      <c r="A3214" s="17"/>
      <c r="H3214" s="18"/>
      <c r="K3214" s="18" t="s">
        <v>316</v>
      </c>
    </row>
    <row r="3215">
      <c r="A3215" s="17"/>
      <c r="H3215" s="18"/>
      <c r="K3215" s="18" t="s">
        <v>316</v>
      </c>
    </row>
    <row r="3216">
      <c r="A3216" s="17"/>
      <c r="H3216" s="18"/>
      <c r="K3216" s="18" t="s">
        <v>316</v>
      </c>
    </row>
    <row r="3217">
      <c r="A3217" s="17"/>
      <c r="H3217" s="18"/>
      <c r="K3217" s="18" t="s">
        <v>316</v>
      </c>
    </row>
    <row r="3218">
      <c r="A3218" s="17"/>
      <c r="H3218" s="18"/>
      <c r="K3218" s="18" t="s">
        <v>316</v>
      </c>
    </row>
    <row r="3219">
      <c r="A3219" s="17"/>
      <c r="H3219" s="18"/>
      <c r="K3219" s="18" t="s">
        <v>316</v>
      </c>
    </row>
    <row r="3220">
      <c r="A3220" s="17"/>
      <c r="H3220" s="18"/>
      <c r="K3220" s="18" t="s">
        <v>316</v>
      </c>
    </row>
    <row r="3221">
      <c r="A3221" s="17"/>
      <c r="H3221" s="18"/>
      <c r="K3221" s="18" t="s">
        <v>316</v>
      </c>
    </row>
    <row r="3222">
      <c r="A3222" s="17"/>
      <c r="H3222" s="18"/>
      <c r="K3222" s="18" t="s">
        <v>316</v>
      </c>
    </row>
    <row r="3223">
      <c r="A3223" s="17"/>
      <c r="H3223" s="18"/>
      <c r="K3223" s="18" t="s">
        <v>316</v>
      </c>
    </row>
    <row r="3224">
      <c r="A3224" s="17"/>
      <c r="H3224" s="18"/>
      <c r="K3224" s="18" t="s">
        <v>316</v>
      </c>
    </row>
    <row r="3225">
      <c r="A3225" s="17"/>
      <c r="H3225" s="18"/>
      <c r="K3225" s="18" t="s">
        <v>316</v>
      </c>
    </row>
    <row r="3226">
      <c r="A3226" s="17"/>
      <c r="H3226" s="18"/>
      <c r="K3226" s="18" t="s">
        <v>316</v>
      </c>
    </row>
    <row r="3227">
      <c r="A3227" s="17"/>
      <c r="H3227" s="18"/>
      <c r="K3227" s="18" t="s">
        <v>316</v>
      </c>
    </row>
    <row r="3228">
      <c r="A3228" s="17"/>
      <c r="H3228" s="18"/>
      <c r="K3228" s="18" t="s">
        <v>316</v>
      </c>
    </row>
    <row r="3229">
      <c r="A3229" s="17"/>
      <c r="H3229" s="18"/>
      <c r="K3229" s="18" t="s">
        <v>316</v>
      </c>
    </row>
    <row r="3230">
      <c r="A3230" s="17"/>
      <c r="H3230" s="18"/>
      <c r="K3230" s="18" t="s">
        <v>316</v>
      </c>
    </row>
    <row r="3231">
      <c r="A3231" s="17"/>
      <c r="H3231" s="18"/>
      <c r="K3231" s="18" t="s">
        <v>316</v>
      </c>
    </row>
    <row r="3232">
      <c r="A3232" s="17"/>
      <c r="H3232" s="18"/>
      <c r="K3232" s="18" t="s">
        <v>316</v>
      </c>
    </row>
    <row r="3233">
      <c r="A3233" s="17"/>
      <c r="H3233" s="18"/>
      <c r="K3233" s="18" t="s">
        <v>316</v>
      </c>
    </row>
    <row r="3234">
      <c r="A3234" s="17"/>
      <c r="H3234" s="18"/>
      <c r="K3234" s="18" t="s">
        <v>316</v>
      </c>
    </row>
    <row r="3235">
      <c r="A3235" s="17"/>
      <c r="H3235" s="18"/>
      <c r="K3235" s="18" t="s">
        <v>316</v>
      </c>
    </row>
    <row r="3236">
      <c r="A3236" s="17"/>
      <c r="H3236" s="18"/>
      <c r="K3236" s="18" t="s">
        <v>316</v>
      </c>
    </row>
    <row r="3237">
      <c r="A3237" s="17"/>
      <c r="H3237" s="18"/>
      <c r="K3237" s="18" t="s">
        <v>316</v>
      </c>
    </row>
    <row r="3238">
      <c r="A3238" s="17"/>
      <c r="H3238" s="18"/>
      <c r="K3238" s="18" t="s">
        <v>316</v>
      </c>
    </row>
    <row r="3239">
      <c r="A3239" s="17"/>
      <c r="H3239" s="18"/>
      <c r="K3239" s="18" t="s">
        <v>316</v>
      </c>
    </row>
    <row r="3240">
      <c r="A3240" s="17"/>
      <c r="H3240" s="18"/>
      <c r="K3240" s="18" t="s">
        <v>316</v>
      </c>
    </row>
    <row r="3241">
      <c r="A3241" s="17"/>
      <c r="H3241" s="18"/>
      <c r="K3241" s="18" t="s">
        <v>316</v>
      </c>
    </row>
    <row r="3242">
      <c r="A3242" s="17"/>
      <c r="H3242" s="18"/>
      <c r="K3242" s="18" t="s">
        <v>316</v>
      </c>
    </row>
    <row r="3243">
      <c r="A3243" s="17"/>
      <c r="H3243" s="18"/>
      <c r="K3243" s="18" t="s">
        <v>316</v>
      </c>
    </row>
    <row r="3244">
      <c r="A3244" s="17"/>
      <c r="H3244" s="18"/>
      <c r="K3244" s="18" t="s">
        <v>316</v>
      </c>
    </row>
    <row r="3245">
      <c r="A3245" s="17"/>
      <c r="H3245" s="18"/>
      <c r="K3245" s="18" t="s">
        <v>316</v>
      </c>
    </row>
    <row r="3246">
      <c r="A3246" s="17"/>
      <c r="H3246" s="18"/>
      <c r="K3246" s="18" t="s">
        <v>316</v>
      </c>
    </row>
    <row r="3247">
      <c r="A3247" s="17"/>
      <c r="H3247" s="18"/>
      <c r="K3247" s="18" t="s">
        <v>316</v>
      </c>
    </row>
    <row r="3248">
      <c r="A3248" s="17"/>
      <c r="H3248" s="18"/>
      <c r="K3248" s="18" t="s">
        <v>316</v>
      </c>
    </row>
    <row r="3249">
      <c r="A3249" s="17"/>
      <c r="H3249" s="18"/>
      <c r="K3249" s="18" t="s">
        <v>316</v>
      </c>
    </row>
    <row r="3250">
      <c r="A3250" s="17"/>
      <c r="H3250" s="18"/>
      <c r="K3250" s="18" t="s">
        <v>316</v>
      </c>
    </row>
    <row r="3251">
      <c r="A3251" s="17"/>
      <c r="H3251" s="18"/>
      <c r="K3251" s="18" t="s">
        <v>316</v>
      </c>
    </row>
    <row r="3252">
      <c r="A3252" s="17"/>
      <c r="H3252" s="18"/>
      <c r="K3252" s="18" t="s">
        <v>316</v>
      </c>
    </row>
    <row r="3253">
      <c r="A3253" s="17"/>
      <c r="H3253" s="18"/>
      <c r="K3253" s="18" t="s">
        <v>316</v>
      </c>
    </row>
    <row r="3254">
      <c r="A3254" s="17"/>
      <c r="H3254" s="18"/>
      <c r="K3254" s="18" t="s">
        <v>316</v>
      </c>
    </row>
    <row r="3255">
      <c r="A3255" s="17"/>
      <c r="H3255" s="18"/>
      <c r="K3255" s="18" t="s">
        <v>316</v>
      </c>
    </row>
    <row r="3256">
      <c r="A3256" s="17"/>
      <c r="H3256" s="18"/>
      <c r="K3256" s="18" t="s">
        <v>316</v>
      </c>
    </row>
    <row r="3257">
      <c r="A3257" s="17"/>
      <c r="H3257" s="18"/>
      <c r="K3257" s="18" t="s">
        <v>316</v>
      </c>
    </row>
    <row r="3258">
      <c r="A3258" s="17"/>
      <c r="H3258" s="18"/>
      <c r="K3258" s="18" t="s">
        <v>316</v>
      </c>
    </row>
    <row r="3259">
      <c r="A3259" s="17"/>
      <c r="H3259" s="18"/>
      <c r="K3259" s="18" t="s">
        <v>316</v>
      </c>
    </row>
    <row r="3260">
      <c r="A3260" s="17"/>
      <c r="H3260" s="18"/>
      <c r="K3260" s="18" t="s">
        <v>316</v>
      </c>
    </row>
    <row r="3261">
      <c r="A3261" s="17"/>
      <c r="H3261" s="18"/>
      <c r="K3261" s="18" t="s">
        <v>316</v>
      </c>
    </row>
    <row r="3262">
      <c r="A3262" s="17"/>
      <c r="H3262" s="18"/>
      <c r="K3262" s="18" t="s">
        <v>316</v>
      </c>
    </row>
    <row r="3263">
      <c r="A3263" s="17"/>
      <c r="H3263" s="18"/>
      <c r="K3263" s="18" t="s">
        <v>316</v>
      </c>
    </row>
    <row r="3264">
      <c r="A3264" s="17"/>
      <c r="H3264" s="18"/>
      <c r="K3264" s="18" t="s">
        <v>316</v>
      </c>
    </row>
    <row r="3265">
      <c r="A3265" s="17"/>
      <c r="H3265" s="18"/>
      <c r="K3265" s="18" t="s">
        <v>316</v>
      </c>
    </row>
    <row r="3266">
      <c r="A3266" s="17"/>
      <c r="H3266" s="18"/>
      <c r="K3266" s="18" t="s">
        <v>316</v>
      </c>
    </row>
    <row r="3267">
      <c r="A3267" s="17"/>
      <c r="H3267" s="18"/>
      <c r="K3267" s="18" t="s">
        <v>316</v>
      </c>
    </row>
    <row r="3268">
      <c r="A3268" s="17"/>
      <c r="H3268" s="18"/>
      <c r="K3268" s="18" t="s">
        <v>316</v>
      </c>
    </row>
    <row r="3269">
      <c r="A3269" s="17"/>
      <c r="H3269" s="18"/>
      <c r="K3269" s="18" t="s">
        <v>316</v>
      </c>
    </row>
    <row r="3270">
      <c r="A3270" s="17"/>
      <c r="H3270" s="18"/>
      <c r="K3270" s="18" t="s">
        <v>316</v>
      </c>
    </row>
    <row r="3271">
      <c r="A3271" s="17"/>
      <c r="H3271" s="18"/>
      <c r="K3271" s="18" t="s">
        <v>316</v>
      </c>
    </row>
    <row r="3272">
      <c r="A3272" s="17"/>
      <c r="H3272" s="18"/>
      <c r="K3272" s="18" t="s">
        <v>316</v>
      </c>
    </row>
    <row r="3273">
      <c r="A3273" s="17"/>
      <c r="H3273" s="18"/>
      <c r="K3273" s="18" t="s">
        <v>316</v>
      </c>
    </row>
    <row r="3274">
      <c r="A3274" s="17"/>
      <c r="H3274" s="18"/>
      <c r="K3274" s="18" t="s">
        <v>316</v>
      </c>
    </row>
    <row r="3275">
      <c r="A3275" s="17"/>
      <c r="H3275" s="18"/>
      <c r="K3275" s="18" t="s">
        <v>316</v>
      </c>
    </row>
    <row r="3276">
      <c r="A3276" s="17"/>
      <c r="H3276" s="18"/>
      <c r="K3276" s="18" t="s">
        <v>316</v>
      </c>
    </row>
    <row r="3277">
      <c r="A3277" s="17"/>
      <c r="H3277" s="18"/>
      <c r="K3277" s="18" t="s">
        <v>316</v>
      </c>
    </row>
    <row r="3278">
      <c r="A3278" s="17"/>
      <c r="H3278" s="18"/>
      <c r="K3278" s="18" t="s">
        <v>316</v>
      </c>
    </row>
    <row r="3279">
      <c r="A3279" s="17"/>
      <c r="H3279" s="18"/>
      <c r="K3279" s="18" t="s">
        <v>316</v>
      </c>
    </row>
    <row r="3280">
      <c r="A3280" s="17"/>
      <c r="H3280" s="18"/>
      <c r="K3280" s="18" t="s">
        <v>316</v>
      </c>
    </row>
    <row r="3281">
      <c r="A3281" s="17"/>
      <c r="H3281" s="18"/>
      <c r="K3281" s="18" t="s">
        <v>316</v>
      </c>
    </row>
    <row r="3282">
      <c r="A3282" s="17"/>
      <c r="H3282" s="18"/>
      <c r="K3282" s="18" t="s">
        <v>316</v>
      </c>
    </row>
    <row r="3283">
      <c r="A3283" s="17"/>
      <c r="H3283" s="18"/>
      <c r="K3283" s="18" t="s">
        <v>316</v>
      </c>
    </row>
    <row r="3284">
      <c r="A3284" s="17"/>
      <c r="H3284" s="18"/>
      <c r="K3284" s="18" t="s">
        <v>316</v>
      </c>
    </row>
    <row r="3285">
      <c r="A3285" s="17"/>
      <c r="H3285" s="18"/>
      <c r="K3285" s="18" t="s">
        <v>316</v>
      </c>
    </row>
    <row r="3286">
      <c r="A3286" s="17"/>
      <c r="H3286" s="18"/>
      <c r="K3286" s="18" t="s">
        <v>316</v>
      </c>
    </row>
    <row r="3287">
      <c r="A3287" s="17"/>
      <c r="H3287" s="18"/>
      <c r="K3287" s="18" t="s">
        <v>316</v>
      </c>
    </row>
    <row r="3288">
      <c r="A3288" s="17"/>
      <c r="H3288" s="18"/>
      <c r="K3288" s="18" t="s">
        <v>316</v>
      </c>
    </row>
    <row r="3289">
      <c r="A3289" s="17"/>
      <c r="H3289" s="18"/>
      <c r="K3289" s="18" t="s">
        <v>316</v>
      </c>
    </row>
    <row r="3290">
      <c r="A3290" s="17"/>
      <c r="H3290" s="18"/>
      <c r="K3290" s="18" t="s">
        <v>316</v>
      </c>
    </row>
    <row r="3291">
      <c r="A3291" s="17"/>
      <c r="H3291" s="18"/>
      <c r="K3291" s="18" t="s">
        <v>316</v>
      </c>
    </row>
    <row r="3292">
      <c r="A3292" s="17"/>
      <c r="H3292" s="18"/>
      <c r="K3292" s="18" t="s">
        <v>316</v>
      </c>
    </row>
    <row r="3293">
      <c r="A3293" s="17"/>
      <c r="H3293" s="18"/>
      <c r="K3293" s="18" t="s">
        <v>316</v>
      </c>
    </row>
    <row r="3294">
      <c r="A3294" s="17"/>
      <c r="H3294" s="18"/>
      <c r="K3294" s="18" t="s">
        <v>316</v>
      </c>
    </row>
    <row r="3295">
      <c r="A3295" s="17"/>
      <c r="H3295" s="18"/>
      <c r="K3295" s="18" t="s">
        <v>316</v>
      </c>
    </row>
    <row r="3296">
      <c r="A3296" s="17"/>
      <c r="H3296" s="18"/>
      <c r="K3296" s="18" t="s">
        <v>316</v>
      </c>
    </row>
    <row r="3297">
      <c r="A3297" s="17"/>
      <c r="H3297" s="18"/>
      <c r="K3297" s="18" t="s">
        <v>316</v>
      </c>
    </row>
    <row r="3298">
      <c r="A3298" s="17"/>
      <c r="H3298" s="18"/>
      <c r="K3298" s="18" t="s">
        <v>316</v>
      </c>
    </row>
    <row r="3299">
      <c r="A3299" s="17"/>
      <c r="H3299" s="18"/>
      <c r="K3299" s="18" t="s">
        <v>316</v>
      </c>
    </row>
    <row r="3300">
      <c r="A3300" s="17"/>
      <c r="H3300" s="18"/>
      <c r="K3300" s="18" t="s">
        <v>316</v>
      </c>
    </row>
    <row r="3301">
      <c r="A3301" s="17"/>
      <c r="H3301" s="18"/>
      <c r="K3301" s="18" t="s">
        <v>316</v>
      </c>
    </row>
    <row r="3302">
      <c r="A3302" s="17"/>
      <c r="H3302" s="18"/>
      <c r="K3302" s="18" t="s">
        <v>316</v>
      </c>
    </row>
    <row r="3303">
      <c r="A3303" s="17"/>
      <c r="H3303" s="18"/>
      <c r="K3303" s="18" t="s">
        <v>316</v>
      </c>
    </row>
    <row r="3304">
      <c r="A3304" s="17"/>
      <c r="H3304" s="18"/>
      <c r="K3304" s="18" t="s">
        <v>316</v>
      </c>
    </row>
    <row r="3305">
      <c r="A3305" s="17"/>
      <c r="H3305" s="18"/>
      <c r="K3305" s="18" t="s">
        <v>316</v>
      </c>
    </row>
    <row r="3306">
      <c r="A3306" s="17"/>
      <c r="H3306" s="18"/>
      <c r="K3306" s="18" t="s">
        <v>316</v>
      </c>
    </row>
    <row r="3307">
      <c r="A3307" s="17"/>
      <c r="H3307" s="18"/>
      <c r="K3307" s="18" t="s">
        <v>316</v>
      </c>
    </row>
    <row r="3308">
      <c r="A3308" s="17"/>
      <c r="H3308" s="18"/>
      <c r="K3308" s="18" t="s">
        <v>316</v>
      </c>
    </row>
    <row r="3309">
      <c r="A3309" s="17"/>
      <c r="H3309" s="18"/>
      <c r="K3309" s="18" t="s">
        <v>316</v>
      </c>
    </row>
    <row r="3310">
      <c r="A3310" s="17"/>
      <c r="H3310" s="18"/>
      <c r="K3310" s="18" t="s">
        <v>316</v>
      </c>
    </row>
    <row r="3311">
      <c r="A3311" s="17"/>
      <c r="H3311" s="18"/>
      <c r="K3311" s="18" t="s">
        <v>316</v>
      </c>
    </row>
    <row r="3312">
      <c r="A3312" s="17"/>
      <c r="H3312" s="18"/>
      <c r="K3312" s="18" t="s">
        <v>316</v>
      </c>
    </row>
    <row r="3313">
      <c r="A3313" s="17"/>
      <c r="H3313" s="18"/>
      <c r="K3313" s="18" t="s">
        <v>316</v>
      </c>
    </row>
    <row r="3314">
      <c r="A3314" s="17"/>
      <c r="H3314" s="18"/>
      <c r="K3314" s="18" t="s">
        <v>316</v>
      </c>
    </row>
    <row r="3315">
      <c r="A3315" s="17"/>
      <c r="H3315" s="18"/>
      <c r="K3315" s="18" t="s">
        <v>316</v>
      </c>
    </row>
    <row r="3316">
      <c r="A3316" s="17"/>
      <c r="H3316" s="18"/>
      <c r="K3316" s="18" t="s">
        <v>316</v>
      </c>
    </row>
    <row r="3317">
      <c r="A3317" s="17"/>
      <c r="H3317" s="18"/>
      <c r="K3317" s="18" t="s">
        <v>316</v>
      </c>
    </row>
    <row r="3318">
      <c r="A3318" s="17"/>
      <c r="H3318" s="18"/>
      <c r="K3318" s="18" t="s">
        <v>316</v>
      </c>
    </row>
    <row r="3319">
      <c r="A3319" s="17"/>
      <c r="H3319" s="18"/>
      <c r="K3319" s="18" t="s">
        <v>316</v>
      </c>
    </row>
    <row r="3320">
      <c r="A3320" s="17"/>
      <c r="H3320" s="18"/>
      <c r="K3320" s="18" t="s">
        <v>316</v>
      </c>
    </row>
    <row r="3321">
      <c r="A3321" s="17"/>
      <c r="H3321" s="18"/>
      <c r="K3321" s="18" t="s">
        <v>316</v>
      </c>
    </row>
    <row r="3322">
      <c r="A3322" s="17"/>
      <c r="H3322" s="18"/>
      <c r="K3322" s="18" t="s">
        <v>316</v>
      </c>
    </row>
    <row r="3323">
      <c r="A3323" s="17"/>
      <c r="H3323" s="18"/>
      <c r="K3323" s="18" t="s">
        <v>316</v>
      </c>
    </row>
    <row r="3324">
      <c r="A3324" s="17"/>
      <c r="H3324" s="18"/>
      <c r="K3324" s="18" t="s">
        <v>316</v>
      </c>
    </row>
    <row r="3325">
      <c r="A3325" s="17"/>
      <c r="H3325" s="18"/>
      <c r="K3325" s="18" t="s">
        <v>316</v>
      </c>
    </row>
    <row r="3326">
      <c r="A3326" s="17"/>
      <c r="H3326" s="18"/>
      <c r="K3326" s="18" t="s">
        <v>316</v>
      </c>
    </row>
    <row r="3327">
      <c r="A3327" s="17"/>
      <c r="H3327" s="18"/>
      <c r="K3327" s="18" t="s">
        <v>316</v>
      </c>
    </row>
    <row r="3328">
      <c r="A3328" s="17"/>
      <c r="H3328" s="18"/>
      <c r="K3328" s="18" t="s">
        <v>316</v>
      </c>
    </row>
    <row r="3329">
      <c r="A3329" s="17"/>
      <c r="H3329" s="18"/>
      <c r="K3329" s="18" t="s">
        <v>316</v>
      </c>
    </row>
    <row r="3330">
      <c r="A3330" s="17"/>
      <c r="H3330" s="18"/>
      <c r="K3330" s="18" t="s">
        <v>316</v>
      </c>
    </row>
    <row r="3331">
      <c r="A3331" s="17"/>
      <c r="H3331" s="18"/>
      <c r="K3331" s="18" t="s">
        <v>316</v>
      </c>
    </row>
    <row r="3332">
      <c r="A3332" s="17"/>
      <c r="H3332" s="18"/>
      <c r="K3332" s="18" t="s">
        <v>316</v>
      </c>
    </row>
    <row r="3333">
      <c r="A3333" s="17"/>
      <c r="H3333" s="18"/>
      <c r="K3333" s="18" t="s">
        <v>316</v>
      </c>
    </row>
    <row r="3334">
      <c r="A3334" s="17"/>
      <c r="H3334" s="18"/>
      <c r="K3334" s="18" t="s">
        <v>316</v>
      </c>
    </row>
    <row r="3335">
      <c r="A3335" s="17"/>
      <c r="H3335" s="18"/>
      <c r="K3335" s="18" t="s">
        <v>316</v>
      </c>
    </row>
    <row r="3336">
      <c r="A3336" s="17"/>
      <c r="H3336" s="18"/>
      <c r="K3336" s="18" t="s">
        <v>316</v>
      </c>
    </row>
    <row r="3337">
      <c r="A3337" s="17"/>
      <c r="H3337" s="18"/>
      <c r="K3337" s="18" t="s">
        <v>316</v>
      </c>
    </row>
    <row r="3338">
      <c r="A3338" s="17"/>
      <c r="H3338" s="18"/>
      <c r="K3338" s="18" t="s">
        <v>316</v>
      </c>
    </row>
    <row r="3339">
      <c r="A3339" s="17"/>
      <c r="H3339" s="18"/>
      <c r="K3339" s="18" t="s">
        <v>316</v>
      </c>
    </row>
    <row r="3340">
      <c r="A3340" s="17"/>
      <c r="H3340" s="18"/>
      <c r="K3340" s="18" t="s">
        <v>316</v>
      </c>
    </row>
    <row r="3341">
      <c r="A3341" s="17"/>
      <c r="H3341" s="18"/>
      <c r="K3341" s="18" t="s">
        <v>316</v>
      </c>
    </row>
    <row r="3342">
      <c r="A3342" s="17"/>
      <c r="H3342" s="18"/>
      <c r="K3342" s="18" t="s">
        <v>316</v>
      </c>
    </row>
    <row r="3343">
      <c r="A3343" s="17"/>
      <c r="H3343" s="18"/>
      <c r="K3343" s="18" t="s">
        <v>316</v>
      </c>
    </row>
    <row r="3344">
      <c r="A3344" s="17"/>
      <c r="H3344" s="18"/>
      <c r="K3344" s="18" t="s">
        <v>316</v>
      </c>
    </row>
    <row r="3345">
      <c r="A3345" s="17"/>
      <c r="H3345" s="18"/>
      <c r="K3345" s="18" t="s">
        <v>316</v>
      </c>
    </row>
    <row r="3346">
      <c r="A3346" s="17"/>
      <c r="H3346" s="18"/>
      <c r="K3346" s="18" t="s">
        <v>316</v>
      </c>
    </row>
    <row r="3347">
      <c r="A3347" s="17"/>
      <c r="H3347" s="18"/>
      <c r="K3347" s="18" t="s">
        <v>316</v>
      </c>
    </row>
    <row r="3348">
      <c r="A3348" s="17"/>
      <c r="H3348" s="18"/>
      <c r="K3348" s="18" t="s">
        <v>316</v>
      </c>
    </row>
    <row r="3349">
      <c r="A3349" s="17"/>
      <c r="H3349" s="18"/>
      <c r="K3349" s="18" t="s">
        <v>316</v>
      </c>
    </row>
    <row r="3350">
      <c r="A3350" s="17"/>
      <c r="H3350" s="18"/>
      <c r="K3350" s="18" t="s">
        <v>316</v>
      </c>
    </row>
    <row r="3351">
      <c r="A3351" s="17"/>
      <c r="H3351" s="18"/>
      <c r="K3351" s="18" t="s">
        <v>316</v>
      </c>
    </row>
    <row r="3352">
      <c r="A3352" s="17"/>
      <c r="H3352" s="18"/>
      <c r="K3352" s="18" t="s">
        <v>316</v>
      </c>
    </row>
    <row r="3353">
      <c r="A3353" s="17"/>
      <c r="H3353" s="18"/>
      <c r="K3353" s="18" t="s">
        <v>316</v>
      </c>
    </row>
    <row r="3354">
      <c r="A3354" s="17"/>
      <c r="H3354" s="18"/>
      <c r="K3354" s="18" t="s">
        <v>316</v>
      </c>
    </row>
    <row r="3355">
      <c r="A3355" s="17"/>
      <c r="H3355" s="18"/>
      <c r="K3355" s="18" t="s">
        <v>316</v>
      </c>
    </row>
    <row r="3356">
      <c r="A3356" s="17"/>
      <c r="H3356" s="18"/>
      <c r="K3356" s="18" t="s">
        <v>316</v>
      </c>
    </row>
    <row r="3357">
      <c r="A3357" s="17"/>
      <c r="H3357" s="18"/>
      <c r="K3357" s="18" t="s">
        <v>316</v>
      </c>
    </row>
    <row r="3358">
      <c r="A3358" s="17"/>
      <c r="H3358" s="18"/>
      <c r="K3358" s="18" t="s">
        <v>316</v>
      </c>
    </row>
    <row r="3359">
      <c r="A3359" s="17"/>
      <c r="H3359" s="18"/>
      <c r="K3359" s="18" t="s">
        <v>316</v>
      </c>
    </row>
    <row r="3360">
      <c r="A3360" s="17"/>
      <c r="H3360" s="18"/>
      <c r="K3360" s="18" t="s">
        <v>316</v>
      </c>
    </row>
    <row r="3361">
      <c r="A3361" s="17"/>
      <c r="H3361" s="18"/>
      <c r="K3361" s="18" t="s">
        <v>316</v>
      </c>
    </row>
    <row r="3362">
      <c r="A3362" s="17"/>
      <c r="H3362" s="18"/>
      <c r="K3362" s="18" t="s">
        <v>316</v>
      </c>
    </row>
    <row r="3363">
      <c r="A3363" s="17"/>
      <c r="H3363" s="18"/>
      <c r="K3363" s="18" t="s">
        <v>316</v>
      </c>
    </row>
    <row r="3364">
      <c r="A3364" s="17"/>
      <c r="H3364" s="18"/>
      <c r="K3364" s="18" t="s">
        <v>316</v>
      </c>
    </row>
    <row r="3365">
      <c r="A3365" s="17"/>
      <c r="H3365" s="18"/>
      <c r="K3365" s="18" t="s">
        <v>316</v>
      </c>
    </row>
    <row r="3366">
      <c r="A3366" s="17"/>
      <c r="H3366" s="18"/>
      <c r="K3366" s="18" t="s">
        <v>316</v>
      </c>
    </row>
    <row r="3367">
      <c r="A3367" s="17"/>
      <c r="H3367" s="18"/>
      <c r="K3367" s="18" t="s">
        <v>316</v>
      </c>
    </row>
    <row r="3368">
      <c r="A3368" s="17"/>
      <c r="H3368" s="18"/>
      <c r="K3368" s="18" t="s">
        <v>316</v>
      </c>
    </row>
    <row r="3369">
      <c r="A3369" s="17"/>
      <c r="H3369" s="18"/>
      <c r="K3369" s="18" t="s">
        <v>316</v>
      </c>
    </row>
    <row r="3370">
      <c r="A3370" s="17"/>
      <c r="H3370" s="18"/>
      <c r="K3370" s="18" t="s">
        <v>316</v>
      </c>
    </row>
    <row r="3371">
      <c r="A3371" s="17"/>
      <c r="H3371" s="18"/>
      <c r="K3371" s="18" t="s">
        <v>316</v>
      </c>
    </row>
    <row r="3372">
      <c r="A3372" s="17"/>
      <c r="H3372" s="18"/>
      <c r="K3372" s="18" t="s">
        <v>316</v>
      </c>
    </row>
    <row r="3373">
      <c r="A3373" s="17"/>
      <c r="H3373" s="18"/>
      <c r="K3373" s="18" t="s">
        <v>316</v>
      </c>
    </row>
    <row r="3374">
      <c r="A3374" s="17"/>
      <c r="H3374" s="18"/>
      <c r="K3374" s="18" t="s">
        <v>316</v>
      </c>
    </row>
    <row r="3375">
      <c r="A3375" s="17"/>
      <c r="H3375" s="18"/>
      <c r="K3375" s="18" t="s">
        <v>316</v>
      </c>
    </row>
    <row r="3376">
      <c r="A3376" s="17"/>
      <c r="H3376" s="18"/>
      <c r="K3376" s="18" t="s">
        <v>316</v>
      </c>
    </row>
    <row r="3377">
      <c r="A3377" s="17"/>
      <c r="H3377" s="18"/>
      <c r="K3377" s="18" t="s">
        <v>316</v>
      </c>
    </row>
    <row r="3378">
      <c r="A3378" s="17"/>
      <c r="H3378" s="18"/>
      <c r="K3378" s="18" t="s">
        <v>316</v>
      </c>
    </row>
    <row r="3379">
      <c r="A3379" s="17"/>
      <c r="H3379" s="18"/>
      <c r="K3379" s="18" t="s">
        <v>316</v>
      </c>
    </row>
    <row r="3380">
      <c r="A3380" s="17"/>
      <c r="H3380" s="18"/>
      <c r="K3380" s="18" t="s">
        <v>316</v>
      </c>
    </row>
    <row r="3381">
      <c r="A3381" s="17"/>
      <c r="H3381" s="18"/>
      <c r="K3381" s="18" t="s">
        <v>316</v>
      </c>
    </row>
    <row r="3382">
      <c r="A3382" s="17"/>
      <c r="H3382" s="18"/>
      <c r="K3382" s="18" t="s">
        <v>316</v>
      </c>
    </row>
    <row r="3383">
      <c r="A3383" s="17"/>
      <c r="H3383" s="18"/>
      <c r="K3383" s="18" t="s">
        <v>316</v>
      </c>
    </row>
    <row r="3384">
      <c r="A3384" s="17"/>
      <c r="H3384" s="18"/>
      <c r="K3384" s="18" t="s">
        <v>316</v>
      </c>
    </row>
    <row r="3385">
      <c r="A3385" s="17"/>
      <c r="H3385" s="18"/>
      <c r="K3385" s="18" t="s">
        <v>316</v>
      </c>
    </row>
    <row r="3386">
      <c r="A3386" s="17"/>
      <c r="H3386" s="18"/>
      <c r="K3386" s="18" t="s">
        <v>316</v>
      </c>
    </row>
    <row r="3387">
      <c r="A3387" s="17"/>
      <c r="H3387" s="18"/>
      <c r="K3387" s="18" t="s">
        <v>316</v>
      </c>
    </row>
    <row r="3388">
      <c r="A3388" s="17"/>
      <c r="H3388" s="18"/>
      <c r="K3388" s="18" t="s">
        <v>316</v>
      </c>
    </row>
    <row r="3389">
      <c r="A3389" s="17"/>
      <c r="H3389" s="18"/>
      <c r="K3389" s="18" t="s">
        <v>316</v>
      </c>
    </row>
    <row r="3390">
      <c r="A3390" s="17"/>
      <c r="H3390" s="18"/>
      <c r="K3390" s="18" t="s">
        <v>316</v>
      </c>
    </row>
    <row r="3391">
      <c r="A3391" s="17"/>
      <c r="H3391" s="18"/>
      <c r="K3391" s="18" t="s">
        <v>316</v>
      </c>
    </row>
    <row r="3392">
      <c r="A3392" s="17"/>
      <c r="H3392" s="18"/>
      <c r="K3392" s="18" t="s">
        <v>316</v>
      </c>
    </row>
    <row r="3393">
      <c r="A3393" s="17"/>
      <c r="H3393" s="18"/>
      <c r="K3393" s="18" t="s">
        <v>316</v>
      </c>
    </row>
    <row r="3394">
      <c r="A3394" s="17"/>
      <c r="H3394" s="18"/>
      <c r="K3394" s="18" t="s">
        <v>316</v>
      </c>
    </row>
    <row r="3395">
      <c r="A3395" s="17"/>
      <c r="H3395" s="18"/>
      <c r="K3395" s="18" t="s">
        <v>316</v>
      </c>
    </row>
    <row r="3396">
      <c r="A3396" s="17"/>
      <c r="H3396" s="18"/>
      <c r="K3396" s="18" t="s">
        <v>316</v>
      </c>
    </row>
    <row r="3397">
      <c r="A3397" s="17"/>
      <c r="H3397" s="18"/>
      <c r="K3397" s="18" t="s">
        <v>316</v>
      </c>
    </row>
    <row r="3398">
      <c r="A3398" s="17"/>
      <c r="H3398" s="18"/>
      <c r="K3398" s="18" t="s">
        <v>316</v>
      </c>
    </row>
    <row r="3399">
      <c r="A3399" s="17"/>
      <c r="H3399" s="18"/>
      <c r="K3399" s="18" t="s">
        <v>316</v>
      </c>
    </row>
    <row r="3400">
      <c r="A3400" s="17"/>
      <c r="H3400" s="18"/>
      <c r="K3400" s="18" t="s">
        <v>316</v>
      </c>
    </row>
    <row r="3401">
      <c r="A3401" s="17"/>
      <c r="H3401" s="18"/>
      <c r="K3401" s="18" t="s">
        <v>316</v>
      </c>
    </row>
    <row r="3402">
      <c r="A3402" s="17"/>
      <c r="H3402" s="18"/>
      <c r="K3402" s="18" t="s">
        <v>316</v>
      </c>
    </row>
    <row r="3403">
      <c r="A3403" s="17"/>
      <c r="H3403" s="18"/>
      <c r="K3403" s="18" t="s">
        <v>316</v>
      </c>
    </row>
    <row r="3404">
      <c r="A3404" s="17"/>
      <c r="H3404" s="18"/>
      <c r="K3404" s="18" t="s">
        <v>316</v>
      </c>
    </row>
    <row r="3405">
      <c r="A3405" s="17"/>
      <c r="H3405" s="18"/>
      <c r="K3405" s="18" t="s">
        <v>316</v>
      </c>
    </row>
    <row r="3406">
      <c r="A3406" s="17"/>
      <c r="H3406" s="18"/>
      <c r="K3406" s="18" t="s">
        <v>316</v>
      </c>
    </row>
    <row r="3407">
      <c r="A3407" s="17"/>
      <c r="H3407" s="18"/>
      <c r="K3407" s="18" t="s">
        <v>316</v>
      </c>
    </row>
    <row r="3408">
      <c r="A3408" s="17"/>
      <c r="H3408" s="18"/>
      <c r="K3408" s="18" t="s">
        <v>316</v>
      </c>
    </row>
    <row r="3409">
      <c r="A3409" s="17"/>
      <c r="H3409" s="18"/>
      <c r="K3409" s="18" t="s">
        <v>316</v>
      </c>
    </row>
    <row r="3410">
      <c r="A3410" s="17"/>
      <c r="H3410" s="18"/>
      <c r="K3410" s="18" t="s">
        <v>316</v>
      </c>
    </row>
    <row r="3411">
      <c r="A3411" s="17"/>
      <c r="H3411" s="18"/>
      <c r="K3411" s="18" t="s">
        <v>316</v>
      </c>
    </row>
    <row r="3412">
      <c r="A3412" s="17"/>
      <c r="H3412" s="18"/>
      <c r="K3412" s="18" t="s">
        <v>316</v>
      </c>
    </row>
    <row r="3413">
      <c r="A3413" s="17"/>
      <c r="H3413" s="18"/>
      <c r="K3413" s="18" t="s">
        <v>316</v>
      </c>
    </row>
    <row r="3414">
      <c r="A3414" s="17"/>
      <c r="H3414" s="18"/>
      <c r="K3414" s="18" t="s">
        <v>316</v>
      </c>
    </row>
    <row r="3415">
      <c r="A3415" s="17"/>
      <c r="H3415" s="18"/>
      <c r="K3415" s="18" t="s">
        <v>316</v>
      </c>
    </row>
    <row r="3416">
      <c r="A3416" s="17"/>
      <c r="H3416" s="18"/>
      <c r="K3416" s="18" t="s">
        <v>316</v>
      </c>
    </row>
    <row r="3417">
      <c r="A3417" s="17"/>
      <c r="H3417" s="18"/>
      <c r="K3417" s="18" t="s">
        <v>316</v>
      </c>
    </row>
    <row r="3418">
      <c r="A3418" s="17"/>
      <c r="H3418" s="18"/>
      <c r="K3418" s="18" t="s">
        <v>316</v>
      </c>
    </row>
    <row r="3419">
      <c r="A3419" s="17"/>
      <c r="H3419" s="18"/>
      <c r="K3419" s="18" t="s">
        <v>316</v>
      </c>
    </row>
    <row r="3420">
      <c r="A3420" s="17"/>
      <c r="H3420" s="18"/>
      <c r="K3420" s="18" t="s">
        <v>316</v>
      </c>
    </row>
    <row r="3421">
      <c r="A3421" s="17"/>
      <c r="H3421" s="18"/>
      <c r="K3421" s="18" t="s">
        <v>316</v>
      </c>
    </row>
    <row r="3422">
      <c r="A3422" s="17"/>
      <c r="H3422" s="18"/>
      <c r="K3422" s="18" t="s">
        <v>316</v>
      </c>
    </row>
    <row r="3423">
      <c r="A3423" s="17"/>
      <c r="H3423" s="18"/>
      <c r="K3423" s="18" t="s">
        <v>316</v>
      </c>
    </row>
    <row r="3424">
      <c r="A3424" s="17"/>
      <c r="H3424" s="18"/>
      <c r="K3424" s="18" t="s">
        <v>316</v>
      </c>
    </row>
    <row r="3425">
      <c r="A3425" s="17"/>
      <c r="H3425" s="18"/>
      <c r="K3425" s="18" t="s">
        <v>316</v>
      </c>
    </row>
    <row r="3426">
      <c r="A3426" s="17"/>
      <c r="H3426" s="18"/>
      <c r="K3426" s="18" t="s">
        <v>316</v>
      </c>
    </row>
    <row r="3427">
      <c r="A3427" s="17"/>
      <c r="H3427" s="18"/>
      <c r="K3427" s="18" t="s">
        <v>316</v>
      </c>
    </row>
    <row r="3428">
      <c r="A3428" s="17"/>
      <c r="H3428" s="18"/>
      <c r="K3428" s="18" t="s">
        <v>316</v>
      </c>
    </row>
    <row r="3429">
      <c r="A3429" s="17"/>
      <c r="H3429" s="18"/>
      <c r="K3429" s="18" t="s">
        <v>316</v>
      </c>
    </row>
    <row r="3430">
      <c r="A3430" s="17"/>
      <c r="H3430" s="18"/>
      <c r="K3430" s="18" t="s">
        <v>316</v>
      </c>
    </row>
    <row r="3431">
      <c r="A3431" s="17"/>
      <c r="H3431" s="18"/>
      <c r="K3431" s="18" t="s">
        <v>316</v>
      </c>
    </row>
    <row r="3432">
      <c r="A3432" s="17"/>
      <c r="H3432" s="18"/>
      <c r="K3432" s="18" t="s">
        <v>316</v>
      </c>
    </row>
    <row r="3433">
      <c r="A3433" s="17"/>
      <c r="H3433" s="18"/>
      <c r="K3433" s="18" t="s">
        <v>316</v>
      </c>
    </row>
    <row r="3434">
      <c r="A3434" s="17"/>
      <c r="H3434" s="18"/>
      <c r="K3434" s="18" t="s">
        <v>316</v>
      </c>
    </row>
    <row r="3435">
      <c r="A3435" s="17"/>
      <c r="H3435" s="18"/>
      <c r="K3435" s="18" t="s">
        <v>316</v>
      </c>
    </row>
    <row r="3436">
      <c r="A3436" s="17"/>
      <c r="H3436" s="18"/>
      <c r="K3436" s="18" t="s">
        <v>316</v>
      </c>
    </row>
    <row r="3437">
      <c r="A3437" s="17"/>
      <c r="H3437" s="18"/>
      <c r="K3437" s="18" t="s">
        <v>316</v>
      </c>
    </row>
    <row r="3438">
      <c r="A3438" s="17"/>
      <c r="H3438" s="18"/>
      <c r="K3438" s="18" t="s">
        <v>316</v>
      </c>
    </row>
    <row r="3439">
      <c r="A3439" s="17"/>
      <c r="H3439" s="18"/>
      <c r="K3439" s="18" t="s">
        <v>316</v>
      </c>
    </row>
    <row r="3440">
      <c r="A3440" s="17"/>
      <c r="H3440" s="18"/>
      <c r="K3440" s="18" t="s">
        <v>316</v>
      </c>
    </row>
    <row r="3441">
      <c r="A3441" s="17"/>
      <c r="H3441" s="18"/>
      <c r="K3441" s="18" t="s">
        <v>316</v>
      </c>
    </row>
    <row r="3442">
      <c r="A3442" s="17"/>
      <c r="H3442" s="18"/>
      <c r="K3442" s="18" t="s">
        <v>316</v>
      </c>
    </row>
    <row r="3443">
      <c r="A3443" s="17"/>
      <c r="H3443" s="18"/>
      <c r="K3443" s="18" t="s">
        <v>316</v>
      </c>
    </row>
    <row r="3444">
      <c r="A3444" s="17"/>
      <c r="H3444" s="18"/>
      <c r="K3444" s="18" t="s">
        <v>316</v>
      </c>
    </row>
    <row r="3445">
      <c r="A3445" s="17"/>
      <c r="H3445" s="18"/>
      <c r="K3445" s="18" t="s">
        <v>316</v>
      </c>
    </row>
    <row r="3446">
      <c r="A3446" s="17"/>
      <c r="H3446" s="18"/>
      <c r="K3446" s="18" t="s">
        <v>316</v>
      </c>
    </row>
    <row r="3447">
      <c r="A3447" s="17"/>
      <c r="H3447" s="18"/>
      <c r="K3447" s="18" t="s">
        <v>316</v>
      </c>
    </row>
    <row r="3448">
      <c r="A3448" s="17"/>
      <c r="H3448" s="18"/>
      <c r="K3448" s="18" t="s">
        <v>316</v>
      </c>
    </row>
    <row r="3449">
      <c r="A3449" s="17"/>
      <c r="H3449" s="18"/>
      <c r="K3449" s="18" t="s">
        <v>316</v>
      </c>
    </row>
    <row r="3450">
      <c r="A3450" s="17"/>
      <c r="H3450" s="18"/>
      <c r="K3450" s="18" t="s">
        <v>316</v>
      </c>
    </row>
    <row r="3451">
      <c r="A3451" s="17"/>
      <c r="H3451" s="18"/>
      <c r="K3451" s="18" t="s">
        <v>316</v>
      </c>
    </row>
    <row r="3452">
      <c r="A3452" s="17"/>
      <c r="H3452" s="18"/>
      <c r="K3452" s="18" t="s">
        <v>316</v>
      </c>
    </row>
    <row r="3453">
      <c r="A3453" s="17"/>
      <c r="H3453" s="18"/>
      <c r="K3453" s="18" t="s">
        <v>316</v>
      </c>
    </row>
    <row r="3454">
      <c r="A3454" s="17"/>
      <c r="H3454" s="18"/>
      <c r="K3454" s="18" t="s">
        <v>316</v>
      </c>
    </row>
    <row r="3455">
      <c r="A3455" s="17"/>
      <c r="H3455" s="18"/>
      <c r="K3455" s="18" t="s">
        <v>316</v>
      </c>
    </row>
    <row r="3456">
      <c r="A3456" s="17"/>
      <c r="H3456" s="18"/>
      <c r="K3456" s="18" t="s">
        <v>316</v>
      </c>
    </row>
    <row r="3457">
      <c r="A3457" s="17"/>
      <c r="H3457" s="18"/>
      <c r="K3457" s="18" t="s">
        <v>316</v>
      </c>
    </row>
    <row r="3458">
      <c r="A3458" s="17"/>
      <c r="H3458" s="18"/>
      <c r="K3458" s="18" t="s">
        <v>316</v>
      </c>
    </row>
    <row r="3459">
      <c r="A3459" s="17"/>
      <c r="H3459" s="18"/>
      <c r="K3459" s="18" t="s">
        <v>316</v>
      </c>
    </row>
    <row r="3460">
      <c r="A3460" s="17"/>
      <c r="H3460" s="18"/>
      <c r="K3460" s="18" t="s">
        <v>316</v>
      </c>
    </row>
    <row r="3461">
      <c r="A3461" s="17"/>
      <c r="H3461" s="18"/>
      <c r="K3461" s="18" t="s">
        <v>316</v>
      </c>
    </row>
    <row r="3462">
      <c r="A3462" s="17"/>
      <c r="H3462" s="18"/>
      <c r="K3462" s="18" t="s">
        <v>316</v>
      </c>
    </row>
    <row r="3463">
      <c r="A3463" s="17"/>
      <c r="H3463" s="18"/>
      <c r="K3463" s="18" t="s">
        <v>316</v>
      </c>
    </row>
    <row r="3464">
      <c r="A3464" s="17"/>
      <c r="H3464" s="18"/>
      <c r="K3464" s="18" t="s">
        <v>316</v>
      </c>
    </row>
    <row r="3465">
      <c r="A3465" s="17"/>
      <c r="H3465" s="18"/>
      <c r="K3465" s="18" t="s">
        <v>316</v>
      </c>
    </row>
    <row r="3466">
      <c r="A3466" s="17"/>
      <c r="H3466" s="18"/>
      <c r="K3466" s="18" t="s">
        <v>316</v>
      </c>
    </row>
    <row r="3467">
      <c r="A3467" s="17"/>
      <c r="H3467" s="18"/>
      <c r="K3467" s="18" t="s">
        <v>316</v>
      </c>
    </row>
    <row r="3468">
      <c r="A3468" s="17"/>
      <c r="H3468" s="18"/>
      <c r="K3468" s="18" t="s">
        <v>316</v>
      </c>
    </row>
    <row r="3469">
      <c r="A3469" s="17"/>
      <c r="H3469" s="18"/>
      <c r="K3469" s="18" t="s">
        <v>316</v>
      </c>
    </row>
    <row r="3470">
      <c r="A3470" s="17"/>
      <c r="H3470" s="18"/>
      <c r="K3470" s="18" t="s">
        <v>316</v>
      </c>
    </row>
    <row r="3471">
      <c r="A3471" s="17"/>
      <c r="H3471" s="18"/>
      <c r="K3471" s="18" t="s">
        <v>316</v>
      </c>
    </row>
    <row r="3472">
      <c r="A3472" s="17"/>
      <c r="H3472" s="18"/>
      <c r="K3472" s="18" t="s">
        <v>316</v>
      </c>
    </row>
    <row r="3473">
      <c r="A3473" s="17"/>
      <c r="H3473" s="18"/>
      <c r="K3473" s="18" t="s">
        <v>316</v>
      </c>
    </row>
    <row r="3474">
      <c r="A3474" s="17"/>
      <c r="H3474" s="18"/>
      <c r="K3474" s="18" t="s">
        <v>316</v>
      </c>
    </row>
    <row r="3475">
      <c r="A3475" s="17"/>
      <c r="H3475" s="18"/>
      <c r="K3475" s="18" t="s">
        <v>316</v>
      </c>
    </row>
    <row r="3476">
      <c r="A3476" s="17"/>
      <c r="H3476" s="18"/>
      <c r="K3476" s="18" t="s">
        <v>316</v>
      </c>
    </row>
    <row r="3477">
      <c r="A3477" s="17"/>
      <c r="H3477" s="18"/>
      <c r="K3477" s="18" t="s">
        <v>316</v>
      </c>
    </row>
    <row r="3478">
      <c r="A3478" s="17"/>
      <c r="H3478" s="18"/>
      <c r="K3478" s="18" t="s">
        <v>316</v>
      </c>
    </row>
    <row r="3479">
      <c r="A3479" s="17"/>
      <c r="H3479" s="18"/>
      <c r="K3479" s="18" t="s">
        <v>316</v>
      </c>
    </row>
    <row r="3480">
      <c r="A3480" s="17"/>
      <c r="H3480" s="18"/>
      <c r="K3480" s="18" t="s">
        <v>316</v>
      </c>
    </row>
    <row r="3481">
      <c r="A3481" s="17"/>
      <c r="H3481" s="18"/>
      <c r="K3481" s="18" t="s">
        <v>316</v>
      </c>
    </row>
    <row r="3482">
      <c r="A3482" s="17"/>
      <c r="H3482" s="18"/>
      <c r="K3482" s="18" t="s">
        <v>316</v>
      </c>
    </row>
    <row r="3483">
      <c r="A3483" s="17"/>
      <c r="H3483" s="18"/>
      <c r="K3483" s="18" t="s">
        <v>316</v>
      </c>
    </row>
    <row r="3484">
      <c r="A3484" s="17"/>
      <c r="H3484" s="18"/>
      <c r="K3484" s="18" t="s">
        <v>316</v>
      </c>
    </row>
    <row r="3485">
      <c r="A3485" s="17"/>
      <c r="H3485" s="18"/>
      <c r="K3485" s="18" t="s">
        <v>316</v>
      </c>
    </row>
    <row r="3486">
      <c r="A3486" s="17"/>
      <c r="H3486" s="18"/>
      <c r="K3486" s="18" t="s">
        <v>316</v>
      </c>
    </row>
    <row r="3487">
      <c r="A3487" s="17"/>
      <c r="H3487" s="18"/>
      <c r="K3487" s="18" t="s">
        <v>316</v>
      </c>
    </row>
    <row r="3488">
      <c r="A3488" s="17"/>
      <c r="H3488" s="18"/>
      <c r="K3488" s="18" t="s">
        <v>316</v>
      </c>
    </row>
    <row r="3489">
      <c r="A3489" s="17"/>
      <c r="H3489" s="18"/>
      <c r="K3489" s="18" t="s">
        <v>316</v>
      </c>
    </row>
    <row r="3490">
      <c r="A3490" s="17"/>
      <c r="H3490" s="18"/>
      <c r="K3490" s="18" t="s">
        <v>316</v>
      </c>
    </row>
    <row r="3491">
      <c r="A3491" s="17"/>
      <c r="H3491" s="18"/>
      <c r="K3491" s="18" t="s">
        <v>316</v>
      </c>
    </row>
    <row r="3492">
      <c r="A3492" s="17"/>
      <c r="H3492" s="18"/>
      <c r="K3492" s="18" t="s">
        <v>316</v>
      </c>
    </row>
    <row r="3493">
      <c r="A3493" s="17"/>
      <c r="H3493" s="18"/>
      <c r="K3493" s="18" t="s">
        <v>316</v>
      </c>
    </row>
    <row r="3494">
      <c r="A3494" s="17"/>
      <c r="H3494" s="18"/>
      <c r="K3494" s="18" t="s">
        <v>316</v>
      </c>
    </row>
    <row r="3495">
      <c r="A3495" s="17"/>
      <c r="H3495" s="18"/>
      <c r="K3495" s="18" t="s">
        <v>316</v>
      </c>
    </row>
    <row r="3496">
      <c r="A3496" s="17"/>
      <c r="H3496" s="18"/>
      <c r="K3496" s="18" t="s">
        <v>316</v>
      </c>
    </row>
    <row r="3497">
      <c r="A3497" s="17"/>
      <c r="H3497" s="18"/>
      <c r="K3497" s="18" t="s">
        <v>316</v>
      </c>
    </row>
    <row r="3498">
      <c r="A3498" s="17"/>
      <c r="H3498" s="18"/>
      <c r="K3498" s="18" t="s">
        <v>316</v>
      </c>
    </row>
    <row r="3499">
      <c r="A3499" s="17"/>
      <c r="H3499" s="18"/>
      <c r="K3499" s="18" t="s">
        <v>316</v>
      </c>
    </row>
    <row r="3500">
      <c r="A3500" s="17"/>
      <c r="H3500" s="18"/>
      <c r="K3500" s="18" t="s">
        <v>316</v>
      </c>
    </row>
    <row r="3501">
      <c r="A3501" s="17"/>
      <c r="H3501" s="18"/>
      <c r="K3501" s="18" t="s">
        <v>316</v>
      </c>
    </row>
    <row r="3502">
      <c r="A3502" s="17"/>
      <c r="H3502" s="18"/>
      <c r="K3502" s="18" t="s">
        <v>316</v>
      </c>
    </row>
    <row r="3503">
      <c r="A3503" s="17"/>
      <c r="H3503" s="18"/>
      <c r="K3503" s="18" t="s">
        <v>316</v>
      </c>
    </row>
    <row r="3504">
      <c r="A3504" s="17"/>
      <c r="H3504" s="18"/>
      <c r="K3504" s="18" t="s">
        <v>316</v>
      </c>
    </row>
    <row r="3505">
      <c r="A3505" s="17"/>
      <c r="H3505" s="18"/>
      <c r="K3505" s="18" t="s">
        <v>316</v>
      </c>
    </row>
    <row r="3506">
      <c r="A3506" s="17"/>
      <c r="H3506" s="18"/>
      <c r="K3506" s="18" t="s">
        <v>316</v>
      </c>
    </row>
    <row r="3507">
      <c r="A3507" s="17"/>
      <c r="H3507" s="18"/>
      <c r="K3507" s="18" t="s">
        <v>316</v>
      </c>
    </row>
    <row r="3508">
      <c r="A3508" s="17"/>
      <c r="H3508" s="18"/>
      <c r="K3508" s="18" t="s">
        <v>316</v>
      </c>
    </row>
    <row r="3509">
      <c r="A3509" s="17"/>
      <c r="H3509" s="18"/>
      <c r="K3509" s="18" t="s">
        <v>316</v>
      </c>
    </row>
    <row r="3510">
      <c r="A3510" s="17"/>
      <c r="H3510" s="18"/>
      <c r="K3510" s="18" t="s">
        <v>316</v>
      </c>
    </row>
    <row r="3511">
      <c r="A3511" s="17"/>
      <c r="H3511" s="18"/>
      <c r="K3511" s="18" t="s">
        <v>316</v>
      </c>
    </row>
    <row r="3512">
      <c r="A3512" s="17"/>
      <c r="H3512" s="18"/>
      <c r="K3512" s="18" t="s">
        <v>316</v>
      </c>
    </row>
    <row r="3513">
      <c r="A3513" s="17"/>
      <c r="H3513" s="18"/>
      <c r="K3513" s="18" t="s">
        <v>316</v>
      </c>
    </row>
    <row r="3514">
      <c r="A3514" s="17"/>
      <c r="H3514" s="18"/>
      <c r="K3514" s="18" t="s">
        <v>316</v>
      </c>
    </row>
    <row r="3515">
      <c r="A3515" s="17"/>
      <c r="H3515" s="18"/>
      <c r="K3515" s="18" t="s">
        <v>316</v>
      </c>
    </row>
    <row r="3516">
      <c r="A3516" s="17"/>
      <c r="H3516" s="18"/>
      <c r="K3516" s="18" t="s">
        <v>316</v>
      </c>
    </row>
    <row r="3517">
      <c r="A3517" s="17"/>
      <c r="H3517" s="18"/>
      <c r="K3517" s="18" t="s">
        <v>316</v>
      </c>
    </row>
    <row r="3518">
      <c r="A3518" s="17"/>
      <c r="H3518" s="18"/>
      <c r="K3518" s="18" t="s">
        <v>316</v>
      </c>
    </row>
    <row r="3519">
      <c r="A3519" s="17"/>
      <c r="H3519" s="18"/>
      <c r="K3519" s="18" t="s">
        <v>316</v>
      </c>
    </row>
    <row r="3520">
      <c r="A3520" s="17"/>
      <c r="H3520" s="18"/>
      <c r="K3520" s="18" t="s">
        <v>316</v>
      </c>
    </row>
    <row r="3521">
      <c r="A3521" s="17"/>
      <c r="H3521" s="18"/>
      <c r="K3521" s="18" t="s">
        <v>316</v>
      </c>
    </row>
    <row r="3522">
      <c r="A3522" s="17"/>
      <c r="H3522" s="18"/>
      <c r="K3522" s="18" t="s">
        <v>316</v>
      </c>
    </row>
    <row r="3523">
      <c r="A3523" s="17"/>
      <c r="H3523" s="18"/>
      <c r="K3523" s="18" t="s">
        <v>316</v>
      </c>
    </row>
    <row r="3524">
      <c r="A3524" s="17"/>
      <c r="H3524" s="18"/>
      <c r="K3524" s="18" t="s">
        <v>316</v>
      </c>
    </row>
    <row r="3525">
      <c r="A3525" s="17"/>
      <c r="H3525" s="18"/>
      <c r="K3525" s="18" t="s">
        <v>316</v>
      </c>
    </row>
    <row r="3526">
      <c r="A3526" s="17"/>
      <c r="H3526" s="18"/>
      <c r="K3526" s="18" t="s">
        <v>316</v>
      </c>
    </row>
    <row r="3527">
      <c r="A3527" s="17"/>
      <c r="H3527" s="18"/>
      <c r="K3527" s="18" t="s">
        <v>316</v>
      </c>
    </row>
    <row r="3528">
      <c r="A3528" s="17"/>
      <c r="H3528" s="18"/>
      <c r="K3528" s="18" t="s">
        <v>316</v>
      </c>
    </row>
    <row r="3529">
      <c r="A3529" s="17"/>
      <c r="H3529" s="18"/>
      <c r="K3529" s="18" t="s">
        <v>316</v>
      </c>
    </row>
    <row r="3530">
      <c r="A3530" s="17"/>
      <c r="H3530" s="18"/>
      <c r="K3530" s="18" t="s">
        <v>316</v>
      </c>
    </row>
    <row r="3531">
      <c r="A3531" s="17"/>
      <c r="H3531" s="18"/>
      <c r="K3531" s="18" t="s">
        <v>316</v>
      </c>
    </row>
    <row r="3532">
      <c r="A3532" s="17"/>
      <c r="H3532" s="18"/>
      <c r="K3532" s="18" t="s">
        <v>316</v>
      </c>
    </row>
    <row r="3533">
      <c r="A3533" s="17"/>
      <c r="H3533" s="18"/>
      <c r="K3533" s="18" t="s">
        <v>316</v>
      </c>
    </row>
    <row r="3534">
      <c r="A3534" s="17"/>
      <c r="H3534" s="18"/>
      <c r="K3534" s="18" t="s">
        <v>316</v>
      </c>
    </row>
    <row r="3535">
      <c r="A3535" s="17"/>
      <c r="H3535" s="18"/>
      <c r="K3535" s="18" t="s">
        <v>316</v>
      </c>
    </row>
    <row r="3536">
      <c r="A3536" s="17"/>
      <c r="H3536" s="18"/>
      <c r="K3536" s="18" t="s">
        <v>316</v>
      </c>
    </row>
    <row r="3537">
      <c r="A3537" s="17"/>
      <c r="H3537" s="18"/>
      <c r="K3537" s="18" t="s">
        <v>316</v>
      </c>
    </row>
    <row r="3538">
      <c r="A3538" s="17"/>
      <c r="H3538" s="18"/>
      <c r="K3538" s="18" t="s">
        <v>316</v>
      </c>
    </row>
    <row r="3539">
      <c r="A3539" s="17"/>
      <c r="H3539" s="18"/>
      <c r="K3539" s="18" t="s">
        <v>316</v>
      </c>
    </row>
    <row r="3540">
      <c r="A3540" s="17"/>
      <c r="H3540" s="18"/>
      <c r="K3540" s="18" t="s">
        <v>316</v>
      </c>
    </row>
    <row r="3541">
      <c r="A3541" s="17"/>
      <c r="H3541" s="18"/>
      <c r="K3541" s="18" t="s">
        <v>316</v>
      </c>
    </row>
    <row r="3542">
      <c r="A3542" s="17"/>
      <c r="H3542" s="18"/>
      <c r="K3542" s="18" t="s">
        <v>316</v>
      </c>
    </row>
    <row r="3543">
      <c r="A3543" s="17"/>
      <c r="H3543" s="18"/>
      <c r="K3543" s="18" t="s">
        <v>316</v>
      </c>
    </row>
    <row r="3544">
      <c r="A3544" s="17"/>
      <c r="H3544" s="18"/>
      <c r="K3544" s="18" t="s">
        <v>316</v>
      </c>
    </row>
    <row r="3545">
      <c r="A3545" s="17"/>
      <c r="H3545" s="18"/>
      <c r="K3545" s="18" t="s">
        <v>316</v>
      </c>
    </row>
    <row r="3546">
      <c r="A3546" s="17"/>
      <c r="H3546" s="18"/>
      <c r="K3546" s="18" t="s">
        <v>316</v>
      </c>
    </row>
    <row r="3547">
      <c r="A3547" s="17"/>
      <c r="H3547" s="18"/>
      <c r="K3547" s="18" t="s">
        <v>316</v>
      </c>
    </row>
    <row r="3548">
      <c r="A3548" s="17"/>
      <c r="H3548" s="18"/>
      <c r="K3548" s="18" t="s">
        <v>316</v>
      </c>
    </row>
    <row r="3549">
      <c r="A3549" s="17"/>
      <c r="H3549" s="18"/>
      <c r="K3549" s="18" t="s">
        <v>316</v>
      </c>
    </row>
    <row r="3550">
      <c r="A3550" s="17"/>
      <c r="H3550" s="18"/>
      <c r="K3550" s="18" t="s">
        <v>316</v>
      </c>
    </row>
    <row r="3551">
      <c r="A3551" s="17"/>
      <c r="H3551" s="18"/>
      <c r="K3551" s="18" t="s">
        <v>316</v>
      </c>
    </row>
    <row r="3552">
      <c r="A3552" s="17"/>
      <c r="H3552" s="18"/>
      <c r="K3552" s="18" t="s">
        <v>316</v>
      </c>
    </row>
    <row r="3553">
      <c r="A3553" s="17"/>
      <c r="H3553" s="18"/>
      <c r="K3553" s="18" t="s">
        <v>316</v>
      </c>
    </row>
    <row r="3554">
      <c r="A3554" s="17"/>
      <c r="H3554" s="18"/>
      <c r="K3554" s="18" t="s">
        <v>316</v>
      </c>
    </row>
    <row r="3555">
      <c r="A3555" s="17"/>
      <c r="H3555" s="18"/>
      <c r="K3555" s="18" t="s">
        <v>316</v>
      </c>
    </row>
    <row r="3556">
      <c r="A3556" s="17"/>
      <c r="H3556" s="18"/>
      <c r="K3556" s="18" t="s">
        <v>316</v>
      </c>
    </row>
    <row r="3557">
      <c r="A3557" s="17"/>
      <c r="H3557" s="18"/>
      <c r="K3557" s="18" t="s">
        <v>316</v>
      </c>
    </row>
    <row r="3558">
      <c r="A3558" s="17"/>
      <c r="H3558" s="18"/>
      <c r="K3558" s="18" t="s">
        <v>316</v>
      </c>
    </row>
    <row r="3559">
      <c r="A3559" s="17"/>
      <c r="H3559" s="18"/>
      <c r="K3559" s="18" t="s">
        <v>316</v>
      </c>
    </row>
    <row r="3560">
      <c r="A3560" s="17"/>
      <c r="H3560" s="18"/>
      <c r="K3560" s="18" t="s">
        <v>316</v>
      </c>
    </row>
    <row r="3561">
      <c r="A3561" s="17"/>
      <c r="H3561" s="18"/>
      <c r="K3561" s="18" t="s">
        <v>316</v>
      </c>
    </row>
    <row r="3562">
      <c r="A3562" s="17"/>
      <c r="H3562" s="18"/>
      <c r="K3562" s="18" t="s">
        <v>316</v>
      </c>
    </row>
    <row r="3563">
      <c r="A3563" s="17"/>
      <c r="H3563" s="18"/>
      <c r="K3563" s="18" t="s">
        <v>316</v>
      </c>
    </row>
    <row r="3564">
      <c r="A3564" s="17"/>
      <c r="H3564" s="18"/>
      <c r="K3564" s="18" t="s">
        <v>316</v>
      </c>
    </row>
    <row r="3565">
      <c r="A3565" s="17"/>
      <c r="H3565" s="18"/>
      <c r="K3565" s="18" t="s">
        <v>316</v>
      </c>
    </row>
    <row r="3566">
      <c r="A3566" s="17"/>
      <c r="H3566" s="18"/>
      <c r="K3566" s="18" t="s">
        <v>316</v>
      </c>
    </row>
    <row r="3567">
      <c r="A3567" s="17"/>
      <c r="H3567" s="18"/>
      <c r="K3567" s="18" t="s">
        <v>316</v>
      </c>
    </row>
    <row r="3568">
      <c r="A3568" s="17"/>
      <c r="H3568" s="18"/>
      <c r="K3568" s="18" t="s">
        <v>316</v>
      </c>
    </row>
    <row r="3569">
      <c r="A3569" s="17"/>
      <c r="H3569" s="18"/>
      <c r="K3569" s="18" t="s">
        <v>316</v>
      </c>
    </row>
    <row r="3570">
      <c r="A3570" s="17"/>
      <c r="H3570" s="18"/>
      <c r="K3570" s="18" t="s">
        <v>316</v>
      </c>
    </row>
    <row r="3571">
      <c r="A3571" s="17"/>
      <c r="H3571" s="18"/>
      <c r="K3571" s="18" t="s">
        <v>316</v>
      </c>
    </row>
    <row r="3572">
      <c r="A3572" s="17"/>
      <c r="H3572" s="18"/>
      <c r="K3572" s="18" t="s">
        <v>316</v>
      </c>
    </row>
    <row r="3573">
      <c r="A3573" s="17"/>
      <c r="H3573" s="18"/>
      <c r="K3573" s="18" t="s">
        <v>316</v>
      </c>
    </row>
    <row r="3574">
      <c r="A3574" s="17"/>
      <c r="H3574" s="18"/>
      <c r="K3574" s="18" t="s">
        <v>316</v>
      </c>
    </row>
    <row r="3575">
      <c r="A3575" s="17"/>
      <c r="H3575" s="18"/>
      <c r="K3575" s="18" t="s">
        <v>316</v>
      </c>
    </row>
    <row r="3576">
      <c r="A3576" s="17"/>
      <c r="H3576" s="18"/>
      <c r="K3576" s="18" t="s">
        <v>316</v>
      </c>
    </row>
    <row r="3577">
      <c r="A3577" s="17"/>
      <c r="H3577" s="18"/>
      <c r="K3577" s="18" t="s">
        <v>316</v>
      </c>
    </row>
    <row r="3578">
      <c r="A3578" s="17"/>
      <c r="H3578" s="18"/>
      <c r="K3578" s="18" t="s">
        <v>316</v>
      </c>
    </row>
    <row r="3579">
      <c r="A3579" s="17"/>
      <c r="H3579" s="18"/>
      <c r="K3579" s="18" t="s">
        <v>316</v>
      </c>
    </row>
    <row r="3580">
      <c r="A3580" s="17"/>
      <c r="H3580" s="18"/>
      <c r="K3580" s="18" t="s">
        <v>316</v>
      </c>
    </row>
    <row r="3581">
      <c r="A3581" s="17"/>
      <c r="H3581" s="18"/>
      <c r="K3581" s="18" t="s">
        <v>316</v>
      </c>
    </row>
    <row r="3582">
      <c r="A3582" s="17"/>
      <c r="H3582" s="18"/>
      <c r="K3582" s="18" t="s">
        <v>316</v>
      </c>
    </row>
    <row r="3583">
      <c r="A3583" s="17"/>
      <c r="H3583" s="18"/>
      <c r="K3583" s="18" t="s">
        <v>316</v>
      </c>
    </row>
    <row r="3584">
      <c r="A3584" s="17"/>
      <c r="H3584" s="18"/>
      <c r="K3584" s="18" t="s">
        <v>316</v>
      </c>
    </row>
    <row r="3585">
      <c r="A3585" s="17"/>
      <c r="H3585" s="18"/>
      <c r="K3585" s="18" t="s">
        <v>316</v>
      </c>
    </row>
    <row r="3586">
      <c r="A3586" s="17"/>
      <c r="H3586" s="18"/>
      <c r="K3586" s="18" t="s">
        <v>316</v>
      </c>
    </row>
    <row r="3587">
      <c r="A3587" s="17"/>
      <c r="H3587" s="18"/>
      <c r="K3587" s="18" t="s">
        <v>316</v>
      </c>
    </row>
    <row r="3588">
      <c r="A3588" s="17"/>
      <c r="H3588" s="18"/>
      <c r="K3588" s="18" t="s">
        <v>316</v>
      </c>
    </row>
    <row r="3589">
      <c r="A3589" s="17"/>
      <c r="H3589" s="18"/>
      <c r="K3589" s="18" t="s">
        <v>316</v>
      </c>
    </row>
    <row r="3590">
      <c r="A3590" s="17"/>
      <c r="H3590" s="18"/>
      <c r="K3590" s="18" t="s">
        <v>316</v>
      </c>
    </row>
    <row r="3591">
      <c r="A3591" s="17"/>
      <c r="H3591" s="18"/>
      <c r="K3591" s="18" t="s">
        <v>316</v>
      </c>
    </row>
    <row r="3592">
      <c r="A3592" s="17"/>
      <c r="H3592" s="18"/>
      <c r="K3592" s="18" t="s">
        <v>316</v>
      </c>
    </row>
    <row r="3593">
      <c r="A3593" s="17"/>
      <c r="H3593" s="18"/>
      <c r="K3593" s="18" t="s">
        <v>316</v>
      </c>
    </row>
    <row r="3594">
      <c r="A3594" s="17"/>
      <c r="H3594" s="18"/>
      <c r="K3594" s="18" t="s">
        <v>316</v>
      </c>
    </row>
    <row r="3595">
      <c r="A3595" s="17"/>
      <c r="H3595" s="18"/>
      <c r="K3595" s="18" t="s">
        <v>316</v>
      </c>
    </row>
    <row r="3596">
      <c r="A3596" s="17"/>
      <c r="H3596" s="18"/>
      <c r="K3596" s="18" t="s">
        <v>316</v>
      </c>
    </row>
    <row r="3597">
      <c r="A3597" s="17"/>
      <c r="H3597" s="18"/>
      <c r="K3597" s="18" t="s">
        <v>316</v>
      </c>
    </row>
    <row r="3598">
      <c r="A3598" s="17"/>
      <c r="H3598" s="18"/>
      <c r="K3598" s="18" t="s">
        <v>316</v>
      </c>
    </row>
    <row r="3599">
      <c r="A3599" s="17"/>
      <c r="H3599" s="18"/>
      <c r="K3599" s="18" t="s">
        <v>316</v>
      </c>
    </row>
    <row r="3600">
      <c r="A3600" s="17"/>
      <c r="H3600" s="18"/>
      <c r="K3600" s="18" t="s">
        <v>316</v>
      </c>
    </row>
    <row r="3601">
      <c r="A3601" s="17"/>
      <c r="H3601" s="18"/>
      <c r="K3601" s="18" t="s">
        <v>316</v>
      </c>
    </row>
    <row r="3602">
      <c r="A3602" s="17"/>
      <c r="H3602" s="18"/>
      <c r="K3602" s="18" t="s">
        <v>316</v>
      </c>
    </row>
    <row r="3603">
      <c r="A3603" s="17"/>
      <c r="H3603" s="18"/>
      <c r="K3603" s="18" t="s">
        <v>316</v>
      </c>
    </row>
    <row r="3604">
      <c r="A3604" s="17"/>
      <c r="H3604" s="18"/>
      <c r="K3604" s="18" t="s">
        <v>316</v>
      </c>
    </row>
    <row r="3605">
      <c r="A3605" s="17"/>
      <c r="H3605" s="18"/>
      <c r="K3605" s="18" t="s">
        <v>316</v>
      </c>
    </row>
    <row r="3606">
      <c r="A3606" s="17"/>
      <c r="H3606" s="18"/>
      <c r="K3606" s="18" t="s">
        <v>316</v>
      </c>
    </row>
    <row r="3607">
      <c r="A3607" s="17"/>
      <c r="H3607" s="18"/>
      <c r="K3607" s="18" t="s">
        <v>316</v>
      </c>
    </row>
    <row r="3608">
      <c r="A3608" s="17"/>
      <c r="H3608" s="18"/>
      <c r="K3608" s="18" t="s">
        <v>316</v>
      </c>
    </row>
    <row r="3609">
      <c r="A3609" s="17"/>
      <c r="H3609" s="18"/>
      <c r="K3609" s="18" t="s">
        <v>316</v>
      </c>
    </row>
    <row r="3610">
      <c r="A3610" s="17"/>
      <c r="H3610" s="18"/>
      <c r="K3610" s="18" t="s">
        <v>316</v>
      </c>
    </row>
    <row r="3611">
      <c r="A3611" s="17"/>
      <c r="H3611" s="18"/>
      <c r="K3611" s="18" t="s">
        <v>316</v>
      </c>
    </row>
    <row r="3612">
      <c r="A3612" s="17"/>
      <c r="H3612" s="18"/>
      <c r="K3612" s="18" t="s">
        <v>316</v>
      </c>
    </row>
    <row r="3613">
      <c r="A3613" s="17"/>
      <c r="H3613" s="18"/>
      <c r="K3613" s="18" t="s">
        <v>316</v>
      </c>
    </row>
    <row r="3614">
      <c r="A3614" s="17"/>
      <c r="H3614" s="18"/>
      <c r="K3614" s="18" t="s">
        <v>316</v>
      </c>
    </row>
    <row r="3615">
      <c r="A3615" s="17"/>
      <c r="H3615" s="18"/>
      <c r="K3615" s="18" t="s">
        <v>316</v>
      </c>
    </row>
    <row r="3616">
      <c r="A3616" s="17"/>
      <c r="H3616" s="18"/>
      <c r="K3616" s="18" t="s">
        <v>316</v>
      </c>
    </row>
    <row r="3617">
      <c r="A3617" s="17"/>
      <c r="H3617" s="18"/>
      <c r="K3617" s="18" t="s">
        <v>316</v>
      </c>
    </row>
    <row r="3618">
      <c r="A3618" s="17"/>
      <c r="H3618" s="18"/>
      <c r="K3618" s="18" t="s">
        <v>316</v>
      </c>
    </row>
    <row r="3619">
      <c r="A3619" s="17"/>
      <c r="H3619" s="18"/>
      <c r="K3619" s="18" t="s">
        <v>316</v>
      </c>
    </row>
    <row r="3620">
      <c r="A3620" s="17"/>
      <c r="H3620" s="18"/>
      <c r="K3620" s="18" t="s">
        <v>316</v>
      </c>
    </row>
    <row r="3621">
      <c r="A3621" s="17"/>
      <c r="H3621" s="18"/>
      <c r="K3621" s="18" t="s">
        <v>316</v>
      </c>
    </row>
    <row r="3622">
      <c r="A3622" s="17"/>
      <c r="H3622" s="18"/>
      <c r="K3622" s="18" t="s">
        <v>316</v>
      </c>
    </row>
    <row r="3623">
      <c r="A3623" s="17"/>
      <c r="H3623" s="18"/>
      <c r="K3623" s="18" t="s">
        <v>316</v>
      </c>
    </row>
    <row r="3624">
      <c r="A3624" s="17"/>
      <c r="H3624" s="18"/>
      <c r="K3624" s="18" t="s">
        <v>316</v>
      </c>
    </row>
    <row r="3625">
      <c r="A3625" s="17"/>
      <c r="H3625" s="18"/>
      <c r="K3625" s="18" t="s">
        <v>316</v>
      </c>
    </row>
    <row r="3626">
      <c r="A3626" s="17"/>
      <c r="H3626" s="18"/>
      <c r="K3626" s="18" t="s">
        <v>316</v>
      </c>
    </row>
    <row r="3627">
      <c r="A3627" s="17"/>
      <c r="H3627" s="18"/>
      <c r="K3627" s="18" t="s">
        <v>316</v>
      </c>
    </row>
    <row r="3628">
      <c r="A3628" s="17"/>
      <c r="H3628" s="18"/>
      <c r="K3628" s="18" t="s">
        <v>316</v>
      </c>
    </row>
    <row r="3629">
      <c r="A3629" s="17"/>
      <c r="H3629" s="18"/>
      <c r="K3629" s="18" t="s">
        <v>316</v>
      </c>
    </row>
    <row r="3630">
      <c r="A3630" s="17"/>
      <c r="H3630" s="18"/>
      <c r="K3630" s="18" t="s">
        <v>316</v>
      </c>
    </row>
    <row r="3631">
      <c r="A3631" s="17"/>
      <c r="H3631" s="18"/>
      <c r="K3631" s="18" t="s">
        <v>316</v>
      </c>
    </row>
    <row r="3632">
      <c r="A3632" s="17"/>
      <c r="H3632" s="18"/>
      <c r="K3632" s="18" t="s">
        <v>316</v>
      </c>
    </row>
    <row r="3633">
      <c r="A3633" s="17"/>
      <c r="H3633" s="18"/>
      <c r="K3633" s="18" t="s">
        <v>316</v>
      </c>
    </row>
    <row r="3634">
      <c r="A3634" s="17"/>
      <c r="H3634" s="18"/>
      <c r="K3634" s="18" t="s">
        <v>316</v>
      </c>
    </row>
    <row r="3635">
      <c r="A3635" s="17"/>
      <c r="H3635" s="18"/>
      <c r="K3635" s="18" t="s">
        <v>316</v>
      </c>
    </row>
    <row r="3636">
      <c r="A3636" s="17"/>
      <c r="H3636" s="18"/>
      <c r="K3636" s="18" t="s">
        <v>316</v>
      </c>
    </row>
    <row r="3637">
      <c r="A3637" s="17"/>
      <c r="H3637" s="18"/>
      <c r="K3637" s="18" t="s">
        <v>316</v>
      </c>
    </row>
    <row r="3638">
      <c r="A3638" s="17"/>
      <c r="H3638" s="18"/>
      <c r="K3638" s="18" t="s">
        <v>316</v>
      </c>
    </row>
    <row r="3639">
      <c r="A3639" s="17"/>
      <c r="H3639" s="18"/>
      <c r="K3639" s="18" t="s">
        <v>316</v>
      </c>
    </row>
    <row r="3640">
      <c r="A3640" s="17"/>
      <c r="H3640" s="18"/>
      <c r="K3640" s="18" t="s">
        <v>316</v>
      </c>
    </row>
    <row r="3641">
      <c r="A3641" s="17"/>
      <c r="H3641" s="18"/>
      <c r="K3641" s="18" t="s">
        <v>316</v>
      </c>
    </row>
    <row r="3642">
      <c r="A3642" s="17"/>
      <c r="H3642" s="18"/>
      <c r="K3642" s="18" t="s">
        <v>316</v>
      </c>
    </row>
    <row r="3643">
      <c r="A3643" s="17"/>
      <c r="H3643" s="18"/>
      <c r="K3643" s="18" t="s">
        <v>316</v>
      </c>
    </row>
    <row r="3644">
      <c r="A3644" s="17"/>
      <c r="H3644" s="18"/>
      <c r="K3644" s="18" t="s">
        <v>316</v>
      </c>
    </row>
    <row r="3645">
      <c r="A3645" s="17"/>
      <c r="H3645" s="18"/>
      <c r="K3645" s="18" t="s">
        <v>316</v>
      </c>
    </row>
    <row r="3646">
      <c r="A3646" s="17"/>
      <c r="H3646" s="18"/>
      <c r="K3646" s="18" t="s">
        <v>316</v>
      </c>
    </row>
    <row r="3647">
      <c r="A3647" s="17"/>
      <c r="H3647" s="18"/>
      <c r="K3647" s="18" t="s">
        <v>316</v>
      </c>
    </row>
    <row r="3648">
      <c r="A3648" s="17"/>
      <c r="H3648" s="18"/>
      <c r="K3648" s="18" t="s">
        <v>316</v>
      </c>
    </row>
    <row r="3649">
      <c r="A3649" s="17"/>
      <c r="H3649" s="18"/>
      <c r="K3649" s="18" t="s">
        <v>316</v>
      </c>
    </row>
    <row r="3650">
      <c r="A3650" s="17"/>
      <c r="H3650" s="18"/>
      <c r="K3650" s="18" t="s">
        <v>316</v>
      </c>
    </row>
    <row r="3651">
      <c r="A3651" s="17"/>
      <c r="H3651" s="18"/>
      <c r="K3651" s="18" t="s">
        <v>316</v>
      </c>
    </row>
    <row r="3652">
      <c r="A3652" s="17"/>
      <c r="H3652" s="18"/>
      <c r="K3652" s="18" t="s">
        <v>316</v>
      </c>
    </row>
    <row r="3653">
      <c r="A3653" s="17"/>
      <c r="H3653" s="18"/>
      <c r="K3653" s="18" t="s">
        <v>316</v>
      </c>
    </row>
    <row r="3654">
      <c r="A3654" s="17"/>
      <c r="H3654" s="18"/>
      <c r="K3654" s="18" t="s">
        <v>316</v>
      </c>
    </row>
    <row r="3655">
      <c r="A3655" s="17"/>
      <c r="H3655" s="18"/>
      <c r="K3655" s="18" t="s">
        <v>316</v>
      </c>
    </row>
    <row r="3656">
      <c r="A3656" s="17"/>
      <c r="H3656" s="18"/>
      <c r="K3656" s="18" t="s">
        <v>316</v>
      </c>
    </row>
    <row r="3657">
      <c r="A3657" s="17"/>
      <c r="H3657" s="18"/>
      <c r="K3657" s="18" t="s">
        <v>316</v>
      </c>
    </row>
    <row r="3658">
      <c r="A3658" s="17"/>
      <c r="H3658" s="18"/>
      <c r="K3658" s="18" t="s">
        <v>316</v>
      </c>
    </row>
    <row r="3659">
      <c r="A3659" s="17"/>
      <c r="H3659" s="18"/>
      <c r="K3659" s="18" t="s">
        <v>316</v>
      </c>
    </row>
    <row r="3660">
      <c r="A3660" s="17"/>
      <c r="H3660" s="18"/>
      <c r="K3660" s="18" t="s">
        <v>316</v>
      </c>
    </row>
    <row r="3661">
      <c r="A3661" s="17"/>
      <c r="H3661" s="18"/>
      <c r="K3661" s="18" t="s">
        <v>316</v>
      </c>
    </row>
    <row r="3662">
      <c r="A3662" s="17"/>
      <c r="H3662" s="18"/>
      <c r="K3662" s="18" t="s">
        <v>316</v>
      </c>
    </row>
    <row r="3663">
      <c r="A3663" s="17"/>
      <c r="H3663" s="18"/>
      <c r="K3663" s="18" t="s">
        <v>316</v>
      </c>
    </row>
    <row r="3664">
      <c r="A3664" s="17"/>
      <c r="H3664" s="18"/>
      <c r="K3664" s="18" t="s">
        <v>316</v>
      </c>
    </row>
    <row r="3665">
      <c r="A3665" s="17"/>
      <c r="H3665" s="18"/>
      <c r="K3665" s="18" t="s">
        <v>316</v>
      </c>
    </row>
    <row r="3666">
      <c r="A3666" s="17"/>
      <c r="H3666" s="18"/>
      <c r="K3666" s="18" t="s">
        <v>316</v>
      </c>
    </row>
    <row r="3667">
      <c r="A3667" s="17"/>
      <c r="H3667" s="18"/>
      <c r="K3667" s="18" t="s">
        <v>316</v>
      </c>
    </row>
    <row r="3668">
      <c r="A3668" s="17"/>
      <c r="H3668" s="18"/>
      <c r="K3668" s="18" t="s">
        <v>316</v>
      </c>
    </row>
    <row r="3669">
      <c r="A3669" s="17"/>
      <c r="H3669" s="18"/>
      <c r="K3669" s="18" t="s">
        <v>316</v>
      </c>
    </row>
    <row r="3670">
      <c r="A3670" s="17"/>
      <c r="H3670" s="18"/>
      <c r="K3670" s="18" t="s">
        <v>316</v>
      </c>
    </row>
    <row r="3671">
      <c r="A3671" s="17"/>
      <c r="H3671" s="18"/>
      <c r="K3671" s="18" t="s">
        <v>316</v>
      </c>
    </row>
    <row r="3672">
      <c r="A3672" s="17"/>
      <c r="H3672" s="18"/>
      <c r="K3672" s="18" t="s">
        <v>316</v>
      </c>
    </row>
    <row r="3673">
      <c r="A3673" s="17"/>
      <c r="H3673" s="18"/>
      <c r="K3673" s="18" t="s">
        <v>316</v>
      </c>
    </row>
    <row r="3674">
      <c r="A3674" s="17"/>
      <c r="H3674" s="18"/>
      <c r="K3674" s="18" t="s">
        <v>316</v>
      </c>
    </row>
    <row r="3675">
      <c r="A3675" s="17"/>
      <c r="H3675" s="18"/>
      <c r="K3675" s="18" t="s">
        <v>316</v>
      </c>
    </row>
    <row r="3676">
      <c r="A3676" s="17"/>
      <c r="H3676" s="18"/>
      <c r="K3676" s="18" t="s">
        <v>316</v>
      </c>
    </row>
    <row r="3677">
      <c r="A3677" s="17"/>
      <c r="H3677" s="18"/>
      <c r="K3677" s="18" t="s">
        <v>316</v>
      </c>
    </row>
    <row r="3678">
      <c r="A3678" s="17"/>
      <c r="H3678" s="18"/>
      <c r="K3678" s="18" t="s">
        <v>316</v>
      </c>
    </row>
    <row r="3679">
      <c r="A3679" s="17"/>
      <c r="H3679" s="18"/>
      <c r="K3679" s="18" t="s">
        <v>316</v>
      </c>
    </row>
    <row r="3680">
      <c r="A3680" s="17"/>
      <c r="H3680" s="18"/>
      <c r="K3680" s="18" t="s">
        <v>316</v>
      </c>
    </row>
    <row r="3681">
      <c r="A3681" s="17"/>
      <c r="H3681" s="18"/>
      <c r="K3681" s="18" t="s">
        <v>316</v>
      </c>
    </row>
    <row r="3682">
      <c r="A3682" s="17"/>
      <c r="H3682" s="18"/>
      <c r="K3682" s="18" t="s">
        <v>316</v>
      </c>
    </row>
    <row r="3683">
      <c r="A3683" s="17"/>
      <c r="H3683" s="18"/>
      <c r="K3683" s="18" t="s">
        <v>316</v>
      </c>
    </row>
    <row r="3684">
      <c r="A3684" s="17"/>
      <c r="H3684" s="18"/>
      <c r="K3684" s="18" t="s">
        <v>316</v>
      </c>
    </row>
    <row r="3685">
      <c r="A3685" s="17"/>
      <c r="H3685" s="18"/>
      <c r="K3685" s="18" t="s">
        <v>316</v>
      </c>
    </row>
    <row r="3686">
      <c r="A3686" s="17"/>
      <c r="H3686" s="18"/>
      <c r="K3686" s="18" t="s">
        <v>316</v>
      </c>
    </row>
    <row r="3687">
      <c r="A3687" s="17"/>
      <c r="H3687" s="18"/>
      <c r="K3687" s="18" t="s">
        <v>316</v>
      </c>
    </row>
    <row r="3688">
      <c r="A3688" s="17"/>
      <c r="H3688" s="18"/>
      <c r="K3688" s="18" t="s">
        <v>316</v>
      </c>
    </row>
    <row r="3689">
      <c r="A3689" s="17"/>
      <c r="H3689" s="18"/>
      <c r="K3689" s="18" t="s">
        <v>316</v>
      </c>
    </row>
    <row r="3690">
      <c r="A3690" s="17"/>
      <c r="H3690" s="18"/>
      <c r="K3690" s="18" t="s">
        <v>316</v>
      </c>
    </row>
    <row r="3691">
      <c r="A3691" s="17"/>
      <c r="H3691" s="18"/>
      <c r="K3691" s="18" t="s">
        <v>316</v>
      </c>
    </row>
    <row r="3692">
      <c r="A3692" s="17"/>
      <c r="H3692" s="18"/>
      <c r="K3692" s="18" t="s">
        <v>316</v>
      </c>
    </row>
    <row r="3693">
      <c r="A3693" s="17"/>
      <c r="H3693" s="18"/>
      <c r="K3693" s="18" t="s">
        <v>316</v>
      </c>
    </row>
    <row r="3694">
      <c r="A3694" s="17"/>
      <c r="H3694" s="18"/>
      <c r="K3694" s="18" t="s">
        <v>316</v>
      </c>
    </row>
    <row r="3695">
      <c r="A3695" s="17"/>
      <c r="H3695" s="18"/>
      <c r="K3695" s="18" t="s">
        <v>316</v>
      </c>
    </row>
    <row r="3696">
      <c r="A3696" s="17"/>
      <c r="H3696" s="18"/>
      <c r="K3696" s="18" t="s">
        <v>316</v>
      </c>
    </row>
    <row r="3697">
      <c r="A3697" s="17"/>
      <c r="H3697" s="18"/>
      <c r="K3697" s="18" t="s">
        <v>316</v>
      </c>
    </row>
    <row r="3698">
      <c r="A3698" s="17"/>
      <c r="H3698" s="18"/>
      <c r="K3698" s="18" t="s">
        <v>316</v>
      </c>
    </row>
    <row r="3699">
      <c r="A3699" s="17"/>
      <c r="H3699" s="18"/>
      <c r="K3699" s="18" t="s">
        <v>316</v>
      </c>
    </row>
    <row r="3700">
      <c r="A3700" s="17"/>
      <c r="H3700" s="18"/>
      <c r="K3700" s="18" t="s">
        <v>316</v>
      </c>
    </row>
    <row r="3701">
      <c r="A3701" s="17"/>
      <c r="H3701" s="18"/>
      <c r="K3701" s="18" t="s">
        <v>316</v>
      </c>
    </row>
    <row r="3702">
      <c r="A3702" s="17"/>
      <c r="H3702" s="18"/>
      <c r="K3702" s="18" t="s">
        <v>316</v>
      </c>
    </row>
    <row r="3703">
      <c r="A3703" s="17"/>
      <c r="H3703" s="18"/>
      <c r="K3703" s="18" t="s">
        <v>316</v>
      </c>
    </row>
    <row r="3704">
      <c r="A3704" s="17"/>
      <c r="H3704" s="18"/>
      <c r="K3704" s="18" t="s">
        <v>316</v>
      </c>
    </row>
    <row r="3705">
      <c r="A3705" s="17"/>
      <c r="H3705" s="18"/>
      <c r="K3705" s="18" t="s">
        <v>316</v>
      </c>
    </row>
    <row r="3706">
      <c r="A3706" s="17"/>
      <c r="H3706" s="18"/>
      <c r="K3706" s="18" t="s">
        <v>316</v>
      </c>
    </row>
    <row r="3707">
      <c r="A3707" s="17"/>
      <c r="H3707" s="18"/>
      <c r="K3707" s="18" t="s">
        <v>316</v>
      </c>
    </row>
    <row r="3708">
      <c r="A3708" s="17"/>
      <c r="H3708" s="18"/>
      <c r="K3708" s="18" t="s">
        <v>316</v>
      </c>
    </row>
    <row r="3709">
      <c r="A3709" s="17"/>
      <c r="H3709" s="18"/>
      <c r="K3709" s="18" t="s">
        <v>316</v>
      </c>
    </row>
    <row r="3710">
      <c r="A3710" s="17"/>
      <c r="H3710" s="18"/>
      <c r="K3710" s="18" t="s">
        <v>316</v>
      </c>
    </row>
    <row r="3711">
      <c r="A3711" s="17"/>
      <c r="H3711" s="18"/>
      <c r="K3711" s="18" t="s">
        <v>316</v>
      </c>
    </row>
    <row r="3712">
      <c r="A3712" s="17"/>
      <c r="H3712" s="18"/>
      <c r="K3712" s="18" t="s">
        <v>316</v>
      </c>
    </row>
    <row r="3713">
      <c r="A3713" s="17"/>
      <c r="H3713" s="18"/>
      <c r="K3713" s="18" t="s">
        <v>316</v>
      </c>
    </row>
    <row r="3714">
      <c r="A3714" s="17"/>
      <c r="H3714" s="18"/>
      <c r="K3714" s="18" t="s">
        <v>316</v>
      </c>
    </row>
    <row r="3715">
      <c r="A3715" s="17"/>
      <c r="H3715" s="18"/>
      <c r="K3715" s="18" t="s">
        <v>316</v>
      </c>
    </row>
    <row r="3716">
      <c r="A3716" s="17"/>
      <c r="H3716" s="18"/>
      <c r="K3716" s="18" t="s">
        <v>316</v>
      </c>
    </row>
    <row r="3717">
      <c r="A3717" s="17"/>
      <c r="H3717" s="18"/>
      <c r="K3717" s="18" t="s">
        <v>316</v>
      </c>
    </row>
    <row r="3718">
      <c r="A3718" s="17"/>
      <c r="H3718" s="18"/>
      <c r="K3718" s="18" t="s">
        <v>316</v>
      </c>
    </row>
    <row r="3719">
      <c r="A3719" s="17"/>
      <c r="H3719" s="18"/>
      <c r="K3719" s="18" t="s">
        <v>316</v>
      </c>
    </row>
    <row r="3720">
      <c r="A3720" s="17"/>
      <c r="H3720" s="18"/>
      <c r="K3720" s="18" t="s">
        <v>316</v>
      </c>
    </row>
    <row r="3721">
      <c r="A3721" s="17"/>
      <c r="H3721" s="18"/>
      <c r="K3721" s="18" t="s">
        <v>316</v>
      </c>
    </row>
    <row r="3722">
      <c r="A3722" s="17"/>
      <c r="H3722" s="18"/>
      <c r="K3722" s="18" t="s">
        <v>316</v>
      </c>
    </row>
    <row r="3723">
      <c r="A3723" s="17"/>
      <c r="H3723" s="18"/>
      <c r="K3723" s="18" t="s">
        <v>316</v>
      </c>
    </row>
    <row r="3724">
      <c r="A3724" s="17"/>
      <c r="H3724" s="18"/>
      <c r="K3724" s="18" t="s">
        <v>316</v>
      </c>
    </row>
    <row r="3725">
      <c r="A3725" s="17"/>
      <c r="H3725" s="18"/>
      <c r="K3725" s="18" t="s">
        <v>316</v>
      </c>
    </row>
    <row r="3726">
      <c r="A3726" s="17"/>
      <c r="H3726" s="18"/>
      <c r="K3726" s="18" t="s">
        <v>316</v>
      </c>
    </row>
    <row r="3727">
      <c r="A3727" s="17"/>
      <c r="H3727" s="18"/>
      <c r="K3727" s="18" t="s">
        <v>316</v>
      </c>
    </row>
    <row r="3728">
      <c r="A3728" s="17"/>
      <c r="H3728" s="18"/>
      <c r="K3728" s="18" t="s">
        <v>316</v>
      </c>
    </row>
    <row r="3729">
      <c r="A3729" s="17"/>
      <c r="H3729" s="18"/>
      <c r="K3729" s="18" t="s">
        <v>316</v>
      </c>
    </row>
    <row r="3730">
      <c r="A3730" s="17"/>
      <c r="H3730" s="18"/>
      <c r="K3730" s="18" t="s">
        <v>316</v>
      </c>
    </row>
    <row r="3731">
      <c r="A3731" s="17"/>
      <c r="H3731" s="18"/>
      <c r="K3731" s="18" t="s">
        <v>316</v>
      </c>
    </row>
    <row r="3732">
      <c r="A3732" s="17"/>
      <c r="H3732" s="18"/>
      <c r="K3732" s="18" t="s">
        <v>316</v>
      </c>
    </row>
    <row r="3733">
      <c r="A3733" s="17"/>
      <c r="H3733" s="18"/>
      <c r="K3733" s="18" t="s">
        <v>316</v>
      </c>
    </row>
    <row r="3734">
      <c r="A3734" s="17"/>
      <c r="H3734" s="18"/>
      <c r="K3734" s="18" t="s">
        <v>316</v>
      </c>
    </row>
    <row r="3735">
      <c r="A3735" s="17"/>
      <c r="H3735" s="18"/>
      <c r="K3735" s="18" t="s">
        <v>316</v>
      </c>
    </row>
    <row r="3736">
      <c r="A3736" s="17"/>
      <c r="H3736" s="18"/>
      <c r="K3736" s="18" t="s">
        <v>316</v>
      </c>
    </row>
    <row r="3737">
      <c r="A3737" s="17"/>
      <c r="H3737" s="18"/>
      <c r="K3737" s="18" t="s">
        <v>316</v>
      </c>
    </row>
    <row r="3738">
      <c r="A3738" s="17"/>
      <c r="H3738" s="18"/>
      <c r="K3738" s="18" t="s">
        <v>316</v>
      </c>
    </row>
    <row r="3739">
      <c r="A3739" s="17"/>
      <c r="H3739" s="18"/>
      <c r="K3739" s="18" t="s">
        <v>316</v>
      </c>
    </row>
    <row r="3740">
      <c r="A3740" s="17"/>
      <c r="H3740" s="18"/>
      <c r="K3740" s="18" t="s">
        <v>316</v>
      </c>
    </row>
    <row r="3741">
      <c r="A3741" s="17"/>
      <c r="H3741" s="18"/>
      <c r="K3741" s="18" t="s">
        <v>316</v>
      </c>
    </row>
    <row r="3742">
      <c r="A3742" s="17"/>
      <c r="H3742" s="18"/>
      <c r="K3742" s="18" t="s">
        <v>316</v>
      </c>
    </row>
    <row r="3743">
      <c r="A3743" s="17"/>
      <c r="H3743" s="18"/>
      <c r="K3743" s="18" t="s">
        <v>316</v>
      </c>
    </row>
    <row r="3744">
      <c r="A3744" s="17"/>
      <c r="H3744" s="18"/>
      <c r="K3744" s="18" t="s">
        <v>316</v>
      </c>
    </row>
    <row r="3745">
      <c r="A3745" s="17"/>
      <c r="H3745" s="18"/>
      <c r="K3745" s="18" t="s">
        <v>316</v>
      </c>
    </row>
    <row r="3746">
      <c r="A3746" s="17"/>
      <c r="H3746" s="18"/>
      <c r="K3746" s="18" t="s">
        <v>316</v>
      </c>
    </row>
    <row r="3747">
      <c r="A3747" s="17"/>
      <c r="H3747" s="18"/>
      <c r="K3747" s="18" t="s">
        <v>316</v>
      </c>
    </row>
    <row r="3748">
      <c r="A3748" s="17"/>
      <c r="H3748" s="18"/>
      <c r="K3748" s="18" t="s">
        <v>316</v>
      </c>
    </row>
    <row r="3749">
      <c r="A3749" s="17"/>
      <c r="H3749" s="18"/>
      <c r="K3749" s="18" t="s">
        <v>316</v>
      </c>
    </row>
    <row r="3750">
      <c r="A3750" s="17"/>
      <c r="H3750" s="18"/>
      <c r="K3750" s="18" t="s">
        <v>316</v>
      </c>
    </row>
    <row r="3751">
      <c r="A3751" s="17"/>
      <c r="H3751" s="18"/>
      <c r="K3751" s="18" t="s">
        <v>316</v>
      </c>
    </row>
    <row r="3752">
      <c r="A3752" s="17"/>
      <c r="H3752" s="18"/>
      <c r="K3752" s="18" t="s">
        <v>316</v>
      </c>
    </row>
    <row r="3753">
      <c r="A3753" s="17"/>
      <c r="H3753" s="18"/>
      <c r="K3753" s="18" t="s">
        <v>316</v>
      </c>
    </row>
    <row r="3754">
      <c r="A3754" s="17"/>
      <c r="H3754" s="18"/>
      <c r="K3754" s="18" t="s">
        <v>316</v>
      </c>
    </row>
    <row r="3755">
      <c r="A3755" s="17"/>
      <c r="H3755" s="18"/>
      <c r="K3755" s="18" t="s">
        <v>316</v>
      </c>
    </row>
    <row r="3756">
      <c r="A3756" s="17"/>
      <c r="H3756" s="18"/>
      <c r="K3756" s="18" t="s">
        <v>316</v>
      </c>
    </row>
    <row r="3757">
      <c r="A3757" s="17"/>
      <c r="H3757" s="18"/>
      <c r="K3757" s="18" t="s">
        <v>316</v>
      </c>
    </row>
    <row r="3758">
      <c r="A3758" s="17"/>
      <c r="H3758" s="18"/>
      <c r="K3758" s="18" t="s">
        <v>316</v>
      </c>
    </row>
    <row r="3759">
      <c r="A3759" s="17"/>
      <c r="H3759" s="18"/>
      <c r="K3759" s="18" t="s">
        <v>316</v>
      </c>
    </row>
    <row r="3760">
      <c r="A3760" s="17"/>
      <c r="H3760" s="18"/>
      <c r="K3760" s="18" t="s">
        <v>316</v>
      </c>
    </row>
    <row r="3761">
      <c r="A3761" s="17"/>
      <c r="H3761" s="18"/>
      <c r="K3761" s="18" t="s">
        <v>316</v>
      </c>
    </row>
    <row r="3762">
      <c r="A3762" s="17"/>
      <c r="H3762" s="18"/>
      <c r="K3762" s="18" t="s">
        <v>316</v>
      </c>
    </row>
    <row r="3763">
      <c r="A3763" s="17"/>
      <c r="H3763" s="18"/>
      <c r="K3763" s="18" t="s">
        <v>316</v>
      </c>
    </row>
    <row r="3764">
      <c r="A3764" s="17"/>
      <c r="H3764" s="18"/>
      <c r="K3764" s="18" t="s">
        <v>316</v>
      </c>
    </row>
    <row r="3765">
      <c r="A3765" s="17"/>
      <c r="H3765" s="18"/>
      <c r="K3765" s="18" t="s">
        <v>316</v>
      </c>
    </row>
    <row r="3766">
      <c r="A3766" s="17"/>
      <c r="H3766" s="18"/>
      <c r="K3766" s="18" t="s">
        <v>316</v>
      </c>
    </row>
    <row r="3767">
      <c r="A3767" s="17"/>
      <c r="H3767" s="18"/>
      <c r="K3767" s="18" t="s">
        <v>316</v>
      </c>
    </row>
    <row r="3768">
      <c r="A3768" s="17"/>
      <c r="H3768" s="18"/>
      <c r="K3768" s="18" t="s">
        <v>316</v>
      </c>
    </row>
    <row r="3769">
      <c r="A3769" s="17"/>
      <c r="H3769" s="18"/>
      <c r="K3769" s="18" t="s">
        <v>316</v>
      </c>
    </row>
    <row r="3770">
      <c r="A3770" s="17"/>
      <c r="H3770" s="18"/>
      <c r="K3770" s="18" t="s">
        <v>316</v>
      </c>
    </row>
    <row r="3771">
      <c r="A3771" s="17"/>
      <c r="H3771" s="18"/>
      <c r="K3771" s="18" t="s">
        <v>316</v>
      </c>
    </row>
    <row r="3772">
      <c r="A3772" s="17"/>
      <c r="H3772" s="18"/>
      <c r="K3772" s="18" t="s">
        <v>316</v>
      </c>
    </row>
    <row r="3773">
      <c r="A3773" s="17"/>
      <c r="H3773" s="18"/>
      <c r="K3773" s="18" t="s">
        <v>316</v>
      </c>
    </row>
    <row r="3774">
      <c r="A3774" s="17"/>
      <c r="H3774" s="18"/>
      <c r="K3774" s="18" t="s">
        <v>316</v>
      </c>
    </row>
    <row r="3775">
      <c r="A3775" s="17"/>
      <c r="H3775" s="18"/>
      <c r="K3775" s="18" t="s">
        <v>316</v>
      </c>
    </row>
    <row r="3776">
      <c r="A3776" s="17"/>
      <c r="H3776" s="18"/>
      <c r="K3776" s="18" t="s">
        <v>316</v>
      </c>
    </row>
    <row r="3777">
      <c r="A3777" s="17"/>
      <c r="H3777" s="18"/>
      <c r="K3777" s="18" t="s">
        <v>316</v>
      </c>
    </row>
    <row r="3778">
      <c r="A3778" s="17"/>
      <c r="H3778" s="18"/>
      <c r="K3778" s="18" t="s">
        <v>316</v>
      </c>
    </row>
    <row r="3779">
      <c r="A3779" s="17"/>
      <c r="H3779" s="18"/>
      <c r="K3779" s="18" t="s">
        <v>316</v>
      </c>
    </row>
    <row r="3780">
      <c r="A3780" s="17"/>
      <c r="H3780" s="18"/>
      <c r="K3780" s="18" t="s">
        <v>316</v>
      </c>
    </row>
    <row r="3781">
      <c r="A3781" s="17"/>
      <c r="H3781" s="18"/>
      <c r="K3781" s="18" t="s">
        <v>316</v>
      </c>
    </row>
    <row r="3782">
      <c r="A3782" s="17"/>
      <c r="H3782" s="18"/>
      <c r="K3782" s="18" t="s">
        <v>316</v>
      </c>
    </row>
    <row r="3783">
      <c r="A3783" s="17"/>
      <c r="H3783" s="18"/>
      <c r="K3783" s="18" t="s">
        <v>316</v>
      </c>
    </row>
    <row r="3784">
      <c r="A3784" s="17"/>
      <c r="H3784" s="18"/>
      <c r="K3784" s="18" t="s">
        <v>316</v>
      </c>
    </row>
    <row r="3785">
      <c r="A3785" s="17"/>
      <c r="H3785" s="18"/>
      <c r="K3785" s="18" t="s">
        <v>316</v>
      </c>
    </row>
    <row r="3786">
      <c r="A3786" s="17"/>
      <c r="H3786" s="18"/>
      <c r="K3786" s="18" t="s">
        <v>316</v>
      </c>
    </row>
    <row r="3787">
      <c r="A3787" s="17"/>
      <c r="H3787" s="18"/>
      <c r="K3787" s="18" t="s">
        <v>316</v>
      </c>
    </row>
    <row r="3788">
      <c r="A3788" s="17"/>
      <c r="H3788" s="18"/>
      <c r="K3788" s="18" t="s">
        <v>316</v>
      </c>
    </row>
    <row r="3789">
      <c r="A3789" s="17"/>
      <c r="H3789" s="18"/>
      <c r="K3789" s="18" t="s">
        <v>316</v>
      </c>
    </row>
    <row r="3790">
      <c r="A3790" s="17"/>
      <c r="H3790" s="18"/>
      <c r="K3790" s="18" t="s">
        <v>316</v>
      </c>
    </row>
    <row r="3791">
      <c r="A3791" s="17"/>
      <c r="H3791" s="18"/>
      <c r="K3791" s="18" t="s">
        <v>316</v>
      </c>
    </row>
    <row r="3792">
      <c r="A3792" s="17"/>
      <c r="H3792" s="18"/>
      <c r="K3792" s="18" t="s">
        <v>316</v>
      </c>
    </row>
    <row r="3793">
      <c r="A3793" s="17"/>
      <c r="H3793" s="18"/>
      <c r="K3793" s="18" t="s">
        <v>316</v>
      </c>
    </row>
    <row r="3794">
      <c r="A3794" s="17"/>
      <c r="H3794" s="18"/>
      <c r="K3794" s="18" t="s">
        <v>316</v>
      </c>
    </row>
    <row r="3795">
      <c r="A3795" s="17"/>
      <c r="H3795" s="18"/>
      <c r="K3795" s="18" t="s">
        <v>316</v>
      </c>
    </row>
    <row r="3796">
      <c r="A3796" s="17"/>
      <c r="H3796" s="18"/>
      <c r="K3796" s="18" t="s">
        <v>316</v>
      </c>
    </row>
    <row r="3797">
      <c r="A3797" s="17"/>
      <c r="H3797" s="18"/>
      <c r="K3797" s="18" t="s">
        <v>316</v>
      </c>
    </row>
    <row r="3798">
      <c r="A3798" s="17"/>
      <c r="H3798" s="18"/>
      <c r="K3798" s="18" t="s">
        <v>316</v>
      </c>
    </row>
    <row r="3799">
      <c r="A3799" s="17"/>
      <c r="H3799" s="18"/>
      <c r="K3799" s="18" t="s">
        <v>316</v>
      </c>
    </row>
    <row r="3800">
      <c r="A3800" s="17"/>
      <c r="H3800" s="18"/>
      <c r="K3800" s="18" t="s">
        <v>316</v>
      </c>
    </row>
    <row r="3801">
      <c r="A3801" s="17"/>
      <c r="H3801" s="18"/>
      <c r="K3801" s="18" t="s">
        <v>316</v>
      </c>
    </row>
    <row r="3802">
      <c r="A3802" s="17"/>
      <c r="H3802" s="18"/>
      <c r="K3802" s="18" t="s">
        <v>316</v>
      </c>
    </row>
    <row r="3803">
      <c r="A3803" s="17"/>
      <c r="H3803" s="18"/>
      <c r="K3803" s="18" t="s">
        <v>316</v>
      </c>
    </row>
    <row r="3804">
      <c r="A3804" s="17"/>
      <c r="H3804" s="18"/>
      <c r="K3804" s="18" t="s">
        <v>316</v>
      </c>
    </row>
    <row r="3805">
      <c r="A3805" s="17"/>
      <c r="H3805" s="18"/>
      <c r="K3805" s="18" t="s">
        <v>316</v>
      </c>
    </row>
    <row r="3806">
      <c r="A3806" s="17"/>
      <c r="H3806" s="18"/>
      <c r="K3806" s="18" t="s">
        <v>316</v>
      </c>
    </row>
    <row r="3807">
      <c r="A3807" s="17"/>
      <c r="H3807" s="18"/>
      <c r="K3807" s="18" t="s">
        <v>316</v>
      </c>
    </row>
    <row r="3808">
      <c r="A3808" s="17"/>
      <c r="H3808" s="18"/>
      <c r="K3808" s="18" t="s">
        <v>316</v>
      </c>
    </row>
    <row r="3809">
      <c r="A3809" s="17"/>
      <c r="H3809" s="18"/>
      <c r="K3809" s="18" t="s">
        <v>316</v>
      </c>
    </row>
    <row r="3810">
      <c r="A3810" s="17"/>
      <c r="H3810" s="18"/>
      <c r="K3810" s="18" t="s">
        <v>316</v>
      </c>
    </row>
    <row r="3811">
      <c r="A3811" s="17"/>
      <c r="H3811" s="18"/>
      <c r="K3811" s="18" t="s">
        <v>316</v>
      </c>
    </row>
    <row r="3812">
      <c r="A3812" s="17"/>
      <c r="H3812" s="18"/>
      <c r="K3812" s="18" t="s">
        <v>316</v>
      </c>
    </row>
    <row r="3813">
      <c r="A3813" s="17"/>
      <c r="H3813" s="18"/>
      <c r="K3813" s="18" t="s">
        <v>316</v>
      </c>
    </row>
    <row r="3814">
      <c r="A3814" s="17"/>
      <c r="H3814" s="18"/>
      <c r="K3814" s="18" t="s">
        <v>316</v>
      </c>
    </row>
    <row r="3815">
      <c r="A3815" s="17"/>
      <c r="H3815" s="18"/>
      <c r="K3815" s="18" t="s">
        <v>316</v>
      </c>
    </row>
    <row r="3816">
      <c r="A3816" s="17"/>
      <c r="H3816" s="18"/>
      <c r="K3816" s="18" t="s">
        <v>316</v>
      </c>
    </row>
    <row r="3817">
      <c r="A3817" s="17"/>
      <c r="H3817" s="18"/>
      <c r="K3817" s="18" t="s">
        <v>316</v>
      </c>
    </row>
    <row r="3818">
      <c r="A3818" s="17"/>
      <c r="H3818" s="18"/>
      <c r="K3818" s="18" t="s">
        <v>316</v>
      </c>
    </row>
    <row r="3819">
      <c r="A3819" s="17"/>
      <c r="H3819" s="18"/>
      <c r="K3819" s="18" t="s">
        <v>316</v>
      </c>
    </row>
    <row r="3820">
      <c r="A3820" s="17"/>
      <c r="H3820" s="18"/>
      <c r="K3820" s="18" t="s">
        <v>316</v>
      </c>
    </row>
    <row r="3821">
      <c r="A3821" s="17"/>
      <c r="H3821" s="18"/>
      <c r="K3821" s="18" t="s">
        <v>316</v>
      </c>
    </row>
    <row r="3822">
      <c r="A3822" s="17"/>
      <c r="H3822" s="18"/>
      <c r="K3822" s="18" t="s">
        <v>316</v>
      </c>
    </row>
    <row r="3823">
      <c r="A3823" s="17"/>
      <c r="H3823" s="18"/>
      <c r="K3823" s="18" t="s">
        <v>316</v>
      </c>
    </row>
    <row r="3824">
      <c r="A3824" s="17"/>
      <c r="H3824" s="18"/>
      <c r="K3824" s="18" t="s">
        <v>316</v>
      </c>
    </row>
    <row r="3825">
      <c r="A3825" s="17"/>
      <c r="H3825" s="18"/>
      <c r="K3825" s="18" t="s">
        <v>316</v>
      </c>
    </row>
    <row r="3826">
      <c r="A3826" s="17"/>
      <c r="H3826" s="18"/>
      <c r="K3826" s="18" t="s">
        <v>316</v>
      </c>
    </row>
    <row r="3827">
      <c r="A3827" s="17"/>
      <c r="H3827" s="18"/>
      <c r="K3827" s="18" t="s">
        <v>316</v>
      </c>
    </row>
    <row r="3828">
      <c r="A3828" s="17"/>
      <c r="H3828" s="18"/>
      <c r="K3828" s="18" t="s">
        <v>316</v>
      </c>
    </row>
    <row r="3829">
      <c r="A3829" s="17"/>
      <c r="H3829" s="18"/>
      <c r="K3829" s="18" t="s">
        <v>316</v>
      </c>
    </row>
    <row r="3830">
      <c r="A3830" s="17"/>
      <c r="H3830" s="18"/>
      <c r="K3830" s="18" t="s">
        <v>316</v>
      </c>
    </row>
    <row r="3831">
      <c r="A3831" s="17"/>
      <c r="H3831" s="18"/>
      <c r="K3831" s="18" t="s">
        <v>316</v>
      </c>
    </row>
    <row r="3832">
      <c r="A3832" s="17"/>
      <c r="H3832" s="18"/>
      <c r="K3832" s="18" t="s">
        <v>316</v>
      </c>
    </row>
    <row r="3833">
      <c r="A3833" s="17"/>
      <c r="H3833" s="18"/>
      <c r="K3833" s="18" t="s">
        <v>316</v>
      </c>
    </row>
    <row r="3834">
      <c r="A3834" s="17"/>
      <c r="H3834" s="18"/>
      <c r="K3834" s="18" t="s">
        <v>316</v>
      </c>
    </row>
    <row r="3835">
      <c r="A3835" s="17"/>
      <c r="H3835" s="18"/>
      <c r="K3835" s="18" t="s">
        <v>316</v>
      </c>
    </row>
    <row r="3836">
      <c r="A3836" s="17"/>
      <c r="H3836" s="18"/>
      <c r="K3836" s="18" t="s">
        <v>316</v>
      </c>
    </row>
    <row r="3837">
      <c r="A3837" s="17"/>
      <c r="H3837" s="18"/>
      <c r="K3837" s="18" t="s">
        <v>316</v>
      </c>
    </row>
    <row r="3838">
      <c r="A3838" s="17"/>
      <c r="H3838" s="18"/>
      <c r="K3838" s="18" t="s">
        <v>316</v>
      </c>
    </row>
    <row r="3839">
      <c r="A3839" s="17"/>
      <c r="H3839" s="18"/>
      <c r="K3839" s="18" t="s">
        <v>316</v>
      </c>
    </row>
    <row r="3840">
      <c r="A3840" s="17"/>
      <c r="H3840" s="18"/>
      <c r="K3840" s="18" t="s">
        <v>316</v>
      </c>
    </row>
    <row r="3841">
      <c r="A3841" s="17"/>
      <c r="H3841" s="18"/>
      <c r="K3841" s="18" t="s">
        <v>316</v>
      </c>
    </row>
    <row r="3842">
      <c r="A3842" s="17"/>
      <c r="H3842" s="18"/>
      <c r="K3842" s="18" t="s">
        <v>316</v>
      </c>
    </row>
    <row r="3843">
      <c r="A3843" s="17"/>
      <c r="H3843" s="18"/>
      <c r="K3843" s="18" t="s">
        <v>316</v>
      </c>
    </row>
    <row r="3844">
      <c r="A3844" s="17"/>
      <c r="H3844" s="18"/>
      <c r="K3844" s="18" t="s">
        <v>316</v>
      </c>
    </row>
    <row r="3845">
      <c r="A3845" s="17"/>
      <c r="H3845" s="18"/>
      <c r="K3845" s="18" t="s">
        <v>316</v>
      </c>
    </row>
    <row r="3846">
      <c r="A3846" s="17"/>
      <c r="H3846" s="18"/>
      <c r="K3846" s="18" t="s">
        <v>316</v>
      </c>
    </row>
    <row r="3847">
      <c r="A3847" s="17"/>
      <c r="H3847" s="18"/>
      <c r="K3847" s="18" t="s">
        <v>316</v>
      </c>
    </row>
    <row r="3848">
      <c r="A3848" s="17"/>
      <c r="H3848" s="18"/>
      <c r="K3848" s="18" t="s">
        <v>316</v>
      </c>
    </row>
    <row r="3849">
      <c r="A3849" s="17"/>
      <c r="H3849" s="18"/>
      <c r="K3849" s="18" t="s">
        <v>316</v>
      </c>
    </row>
    <row r="3850">
      <c r="A3850" s="17"/>
      <c r="H3850" s="18"/>
      <c r="K3850" s="18" t="s">
        <v>316</v>
      </c>
    </row>
    <row r="3851">
      <c r="A3851" s="17"/>
      <c r="H3851" s="18"/>
      <c r="K3851" s="18" t="s">
        <v>316</v>
      </c>
    </row>
    <row r="3852">
      <c r="A3852" s="17"/>
      <c r="H3852" s="18"/>
      <c r="K3852" s="18" t="s">
        <v>316</v>
      </c>
    </row>
    <row r="3853">
      <c r="A3853" s="17"/>
      <c r="H3853" s="18"/>
      <c r="K3853" s="18" t="s">
        <v>316</v>
      </c>
    </row>
    <row r="3854">
      <c r="A3854" s="17"/>
      <c r="H3854" s="18"/>
      <c r="K3854" s="18" t="s">
        <v>316</v>
      </c>
    </row>
    <row r="3855">
      <c r="A3855" s="17"/>
      <c r="H3855" s="18"/>
      <c r="K3855" s="18" t="s">
        <v>316</v>
      </c>
    </row>
    <row r="3856">
      <c r="A3856" s="17"/>
      <c r="H3856" s="18"/>
      <c r="K3856" s="18" t="s">
        <v>316</v>
      </c>
    </row>
    <row r="3857">
      <c r="A3857" s="17"/>
      <c r="H3857" s="18"/>
      <c r="K3857" s="18" t="s">
        <v>316</v>
      </c>
    </row>
    <row r="3858">
      <c r="A3858" s="17"/>
      <c r="H3858" s="18"/>
      <c r="K3858" s="18" t="s">
        <v>316</v>
      </c>
    </row>
    <row r="3859">
      <c r="A3859" s="17"/>
      <c r="H3859" s="18"/>
      <c r="K3859" s="18" t="s">
        <v>316</v>
      </c>
    </row>
    <row r="3860">
      <c r="A3860" s="17"/>
      <c r="H3860" s="18"/>
      <c r="K3860" s="18" t="s">
        <v>316</v>
      </c>
    </row>
    <row r="3861">
      <c r="A3861" s="17"/>
      <c r="H3861" s="18"/>
      <c r="K3861" s="18" t="s">
        <v>316</v>
      </c>
    </row>
    <row r="3862">
      <c r="A3862" s="17"/>
      <c r="H3862" s="18"/>
      <c r="K3862" s="18" t="s">
        <v>316</v>
      </c>
    </row>
    <row r="3863">
      <c r="A3863" s="17"/>
      <c r="H3863" s="18"/>
      <c r="K3863" s="18" t="s">
        <v>316</v>
      </c>
    </row>
    <row r="3864">
      <c r="A3864" s="17"/>
      <c r="H3864" s="18"/>
      <c r="K3864" s="18" t="s">
        <v>316</v>
      </c>
    </row>
    <row r="3865">
      <c r="A3865" s="17"/>
      <c r="H3865" s="18"/>
      <c r="K3865" s="18" t="s">
        <v>316</v>
      </c>
    </row>
    <row r="3866">
      <c r="A3866" s="17"/>
      <c r="H3866" s="18"/>
      <c r="K3866" s="18" t="s">
        <v>316</v>
      </c>
    </row>
    <row r="3867">
      <c r="A3867" s="17"/>
      <c r="H3867" s="18"/>
      <c r="K3867" s="18" t="s">
        <v>316</v>
      </c>
    </row>
    <row r="3868">
      <c r="A3868" s="17"/>
      <c r="H3868" s="18"/>
      <c r="K3868" s="18" t="s">
        <v>316</v>
      </c>
    </row>
    <row r="3869">
      <c r="A3869" s="17"/>
      <c r="H3869" s="18"/>
      <c r="K3869" s="18" t="s">
        <v>316</v>
      </c>
    </row>
    <row r="3870">
      <c r="A3870" s="17"/>
      <c r="H3870" s="18"/>
      <c r="K3870" s="18" t="s">
        <v>316</v>
      </c>
    </row>
    <row r="3871">
      <c r="A3871" s="17"/>
      <c r="H3871" s="18"/>
      <c r="K3871" s="18" t="s">
        <v>316</v>
      </c>
    </row>
    <row r="3872">
      <c r="A3872" s="17"/>
      <c r="H3872" s="18"/>
      <c r="K3872" s="18" t="s">
        <v>316</v>
      </c>
    </row>
    <row r="3873">
      <c r="A3873" s="17"/>
      <c r="H3873" s="18"/>
      <c r="K3873" s="18" t="s">
        <v>316</v>
      </c>
    </row>
    <row r="3874">
      <c r="A3874" s="17"/>
      <c r="H3874" s="18"/>
      <c r="K3874" s="18" t="s">
        <v>316</v>
      </c>
    </row>
    <row r="3875">
      <c r="A3875" s="17"/>
      <c r="H3875" s="18"/>
      <c r="K3875" s="18" t="s">
        <v>316</v>
      </c>
    </row>
    <row r="3876">
      <c r="A3876" s="17"/>
      <c r="H3876" s="18"/>
      <c r="K3876" s="18" t="s">
        <v>316</v>
      </c>
    </row>
    <row r="3877">
      <c r="A3877" s="17"/>
      <c r="H3877" s="18"/>
      <c r="K3877" s="18" t="s">
        <v>316</v>
      </c>
    </row>
    <row r="3878">
      <c r="A3878" s="17"/>
      <c r="H3878" s="18"/>
      <c r="K3878" s="18" t="s">
        <v>316</v>
      </c>
    </row>
    <row r="3879">
      <c r="A3879" s="17"/>
      <c r="H3879" s="18"/>
      <c r="K3879" s="18" t="s">
        <v>316</v>
      </c>
    </row>
    <row r="3880">
      <c r="A3880" s="17"/>
      <c r="H3880" s="18"/>
      <c r="K3880" s="18" t="s">
        <v>316</v>
      </c>
    </row>
    <row r="3881">
      <c r="A3881" s="17"/>
      <c r="H3881" s="18"/>
      <c r="K3881" s="18" t="s">
        <v>316</v>
      </c>
    </row>
    <row r="3882">
      <c r="A3882" s="17"/>
      <c r="H3882" s="18"/>
      <c r="K3882" s="18" t="s">
        <v>316</v>
      </c>
    </row>
    <row r="3883">
      <c r="A3883" s="17"/>
      <c r="H3883" s="18"/>
      <c r="K3883" s="18" t="s">
        <v>316</v>
      </c>
    </row>
    <row r="3884">
      <c r="A3884" s="17"/>
      <c r="H3884" s="18"/>
      <c r="K3884" s="18" t="s">
        <v>316</v>
      </c>
    </row>
    <row r="3885">
      <c r="A3885" s="17"/>
      <c r="H3885" s="18"/>
      <c r="K3885" s="18" t="s">
        <v>316</v>
      </c>
    </row>
    <row r="3886">
      <c r="A3886" s="17"/>
      <c r="H3886" s="18"/>
      <c r="K3886" s="18" t="s">
        <v>316</v>
      </c>
    </row>
    <row r="3887">
      <c r="A3887" s="17"/>
      <c r="H3887" s="18"/>
      <c r="K3887" s="18" t="s">
        <v>316</v>
      </c>
    </row>
    <row r="3888">
      <c r="A3888" s="17"/>
      <c r="H3888" s="18"/>
      <c r="K3888" s="18" t="s">
        <v>316</v>
      </c>
    </row>
    <row r="3889">
      <c r="A3889" s="17"/>
      <c r="H3889" s="18"/>
      <c r="K3889" s="18" t="s">
        <v>316</v>
      </c>
    </row>
    <row r="3890">
      <c r="A3890" s="17"/>
      <c r="H3890" s="18"/>
      <c r="K3890" s="18" t="s">
        <v>316</v>
      </c>
    </row>
    <row r="3891">
      <c r="A3891" s="17"/>
      <c r="H3891" s="18"/>
      <c r="K3891" s="18" t="s">
        <v>316</v>
      </c>
    </row>
    <row r="3892">
      <c r="A3892" s="17"/>
      <c r="H3892" s="18"/>
      <c r="K3892" s="18" t="s">
        <v>316</v>
      </c>
    </row>
    <row r="3893">
      <c r="A3893" s="17"/>
      <c r="H3893" s="18"/>
      <c r="K3893" s="18" t="s">
        <v>316</v>
      </c>
    </row>
    <row r="3894">
      <c r="A3894" s="17"/>
      <c r="H3894" s="18"/>
      <c r="K3894" s="18" t="s">
        <v>316</v>
      </c>
    </row>
    <row r="3895">
      <c r="A3895" s="17"/>
      <c r="H3895" s="18"/>
      <c r="K3895" s="18" t="s">
        <v>316</v>
      </c>
    </row>
    <row r="3896">
      <c r="A3896" s="17"/>
      <c r="H3896" s="18"/>
      <c r="K3896" s="18" t="s">
        <v>316</v>
      </c>
    </row>
    <row r="3897">
      <c r="A3897" s="17"/>
      <c r="H3897" s="18"/>
      <c r="K3897" s="18" t="s">
        <v>316</v>
      </c>
    </row>
    <row r="3898">
      <c r="A3898" s="17"/>
      <c r="H3898" s="18"/>
      <c r="K3898" s="18" t="s">
        <v>316</v>
      </c>
    </row>
    <row r="3899">
      <c r="A3899" s="17"/>
      <c r="H3899" s="18"/>
      <c r="K3899" s="18" t="s">
        <v>316</v>
      </c>
    </row>
    <row r="3900">
      <c r="A3900" s="17"/>
      <c r="H3900" s="18"/>
      <c r="K3900" s="18" t="s">
        <v>316</v>
      </c>
    </row>
    <row r="3901">
      <c r="A3901" s="17"/>
      <c r="H3901" s="18"/>
      <c r="K3901" s="18" t="s">
        <v>316</v>
      </c>
    </row>
    <row r="3902">
      <c r="A3902" s="17"/>
      <c r="H3902" s="18"/>
      <c r="K3902" s="18" t="s">
        <v>316</v>
      </c>
    </row>
    <row r="3903">
      <c r="A3903" s="17"/>
      <c r="H3903" s="18"/>
      <c r="K3903" s="18" t="s">
        <v>316</v>
      </c>
    </row>
    <row r="3904">
      <c r="A3904" s="17"/>
      <c r="H3904" s="18"/>
      <c r="K3904" s="18" t="s">
        <v>316</v>
      </c>
    </row>
    <row r="3905">
      <c r="A3905" s="17"/>
      <c r="H3905" s="18"/>
      <c r="K3905" s="18" t="s">
        <v>316</v>
      </c>
    </row>
    <row r="3906">
      <c r="A3906" s="17"/>
      <c r="H3906" s="18"/>
      <c r="K3906" s="18" t="s">
        <v>316</v>
      </c>
    </row>
    <row r="3907">
      <c r="A3907" s="17"/>
      <c r="H3907" s="18"/>
      <c r="K3907" s="18" t="s">
        <v>316</v>
      </c>
    </row>
    <row r="3908">
      <c r="A3908" s="17"/>
      <c r="H3908" s="18"/>
      <c r="K3908" s="18" t="s">
        <v>316</v>
      </c>
    </row>
    <row r="3909">
      <c r="A3909" s="17"/>
      <c r="H3909" s="18"/>
      <c r="K3909" s="18" t="s">
        <v>316</v>
      </c>
    </row>
    <row r="3910">
      <c r="A3910" s="17"/>
      <c r="H3910" s="18"/>
      <c r="K3910" s="18" t="s">
        <v>316</v>
      </c>
    </row>
    <row r="3911">
      <c r="A3911" s="17"/>
      <c r="H3911" s="18"/>
      <c r="K3911" s="18" t="s">
        <v>316</v>
      </c>
    </row>
    <row r="3912">
      <c r="A3912" s="17"/>
      <c r="H3912" s="18"/>
      <c r="K3912" s="18" t="s">
        <v>316</v>
      </c>
    </row>
    <row r="3913">
      <c r="A3913" s="17"/>
      <c r="H3913" s="18"/>
      <c r="K3913" s="18" t="s">
        <v>316</v>
      </c>
    </row>
    <row r="3914">
      <c r="A3914" s="17"/>
      <c r="H3914" s="18"/>
      <c r="K3914" s="18" t="s">
        <v>316</v>
      </c>
    </row>
    <row r="3915">
      <c r="A3915" s="17"/>
      <c r="H3915" s="18"/>
      <c r="K3915" s="18" t="s">
        <v>316</v>
      </c>
    </row>
    <row r="3916">
      <c r="A3916" s="17"/>
      <c r="H3916" s="18"/>
      <c r="K3916" s="18" t="s">
        <v>316</v>
      </c>
    </row>
    <row r="3917">
      <c r="A3917" s="17"/>
      <c r="H3917" s="18"/>
      <c r="K3917" s="18" t="s">
        <v>316</v>
      </c>
    </row>
    <row r="3918">
      <c r="A3918" s="17"/>
      <c r="H3918" s="18"/>
      <c r="K3918" s="18" t="s">
        <v>316</v>
      </c>
    </row>
    <row r="3919">
      <c r="A3919" s="17"/>
      <c r="H3919" s="18"/>
      <c r="K3919" s="18" t="s">
        <v>316</v>
      </c>
    </row>
    <row r="3920">
      <c r="A3920" s="17"/>
      <c r="H3920" s="18"/>
      <c r="K3920" s="18" t="s">
        <v>316</v>
      </c>
    </row>
    <row r="3921">
      <c r="A3921" s="17"/>
      <c r="H3921" s="18"/>
      <c r="K3921" s="18" t="s">
        <v>316</v>
      </c>
    </row>
    <row r="3922">
      <c r="A3922" s="17"/>
      <c r="H3922" s="18"/>
      <c r="K3922" s="18" t="s">
        <v>316</v>
      </c>
    </row>
    <row r="3923">
      <c r="A3923" s="17"/>
      <c r="H3923" s="18"/>
      <c r="K3923" s="18" t="s">
        <v>316</v>
      </c>
    </row>
    <row r="3924">
      <c r="A3924" s="17"/>
      <c r="H3924" s="18"/>
      <c r="K3924" s="18" t="s">
        <v>316</v>
      </c>
    </row>
    <row r="3925">
      <c r="A3925" s="17"/>
      <c r="H3925" s="18"/>
      <c r="K3925" s="18" t="s">
        <v>316</v>
      </c>
    </row>
    <row r="3926">
      <c r="A3926" s="17"/>
      <c r="H3926" s="18"/>
      <c r="K3926" s="18" t="s">
        <v>316</v>
      </c>
    </row>
    <row r="3927">
      <c r="A3927" s="17"/>
      <c r="H3927" s="18"/>
      <c r="K3927" s="18" t="s">
        <v>316</v>
      </c>
    </row>
    <row r="3928">
      <c r="A3928" s="17"/>
      <c r="H3928" s="18"/>
      <c r="K3928" s="18" t="s">
        <v>316</v>
      </c>
    </row>
    <row r="3929">
      <c r="A3929" s="17"/>
      <c r="H3929" s="18"/>
      <c r="K3929" s="18" t="s">
        <v>316</v>
      </c>
    </row>
    <row r="3930">
      <c r="A3930" s="17"/>
      <c r="H3930" s="18"/>
      <c r="K3930" s="18" t="s">
        <v>316</v>
      </c>
    </row>
    <row r="3931">
      <c r="A3931" s="17"/>
      <c r="H3931" s="18"/>
      <c r="K3931" s="18" t="s">
        <v>316</v>
      </c>
    </row>
    <row r="3932">
      <c r="A3932" s="17"/>
      <c r="H3932" s="18"/>
      <c r="K3932" s="18" t="s">
        <v>316</v>
      </c>
    </row>
    <row r="3933">
      <c r="A3933" s="17"/>
      <c r="H3933" s="18"/>
      <c r="K3933" s="18" t="s">
        <v>316</v>
      </c>
    </row>
    <row r="3934">
      <c r="A3934" s="17"/>
      <c r="H3934" s="18"/>
      <c r="K3934" s="18" t="s">
        <v>316</v>
      </c>
    </row>
    <row r="3935">
      <c r="A3935" s="17"/>
      <c r="H3935" s="18"/>
      <c r="K3935" s="18" t="s">
        <v>316</v>
      </c>
    </row>
    <row r="3936">
      <c r="A3936" s="17"/>
      <c r="H3936" s="18"/>
      <c r="K3936" s="18" t="s">
        <v>316</v>
      </c>
    </row>
    <row r="3937">
      <c r="A3937" s="17"/>
      <c r="H3937" s="18"/>
      <c r="K3937" s="18" t="s">
        <v>316</v>
      </c>
    </row>
    <row r="3938">
      <c r="A3938" s="17"/>
      <c r="H3938" s="18"/>
      <c r="K3938" s="18" t="s">
        <v>316</v>
      </c>
    </row>
    <row r="3939">
      <c r="A3939" s="17"/>
      <c r="H3939" s="18"/>
      <c r="K3939" s="18" t="s">
        <v>316</v>
      </c>
    </row>
    <row r="3940">
      <c r="A3940" s="17"/>
      <c r="H3940" s="18"/>
      <c r="K3940" s="18" t="s">
        <v>316</v>
      </c>
    </row>
    <row r="3941">
      <c r="A3941" s="17"/>
      <c r="H3941" s="18"/>
      <c r="K3941" s="18" t="s">
        <v>316</v>
      </c>
    </row>
    <row r="3942">
      <c r="A3942" s="17"/>
      <c r="H3942" s="18"/>
      <c r="K3942" s="18" t="s">
        <v>316</v>
      </c>
    </row>
    <row r="3943">
      <c r="A3943" s="17"/>
      <c r="H3943" s="18"/>
      <c r="K3943" s="18" t="s">
        <v>316</v>
      </c>
    </row>
    <row r="3944">
      <c r="A3944" s="17"/>
      <c r="H3944" s="18"/>
      <c r="K3944" s="18" t="s">
        <v>316</v>
      </c>
    </row>
    <row r="3945">
      <c r="A3945" s="17"/>
      <c r="H3945" s="18"/>
      <c r="K3945" s="18" t="s">
        <v>316</v>
      </c>
    </row>
    <row r="3946">
      <c r="A3946" s="17"/>
      <c r="H3946" s="18"/>
      <c r="K3946" s="18" t="s">
        <v>316</v>
      </c>
    </row>
    <row r="3947">
      <c r="A3947" s="17"/>
      <c r="H3947" s="18"/>
      <c r="K3947" s="18" t="s">
        <v>316</v>
      </c>
    </row>
    <row r="3948">
      <c r="A3948" s="17"/>
      <c r="H3948" s="18"/>
      <c r="K3948" s="18" t="s">
        <v>316</v>
      </c>
    </row>
    <row r="3949">
      <c r="A3949" s="17"/>
      <c r="H3949" s="18"/>
      <c r="K3949" s="18" t="s">
        <v>316</v>
      </c>
    </row>
    <row r="3950">
      <c r="A3950" s="17"/>
      <c r="H3950" s="18"/>
      <c r="K3950" s="18" t="s">
        <v>316</v>
      </c>
    </row>
    <row r="3951">
      <c r="A3951" s="17"/>
      <c r="H3951" s="18"/>
      <c r="K3951" s="18" t="s">
        <v>316</v>
      </c>
    </row>
    <row r="3952">
      <c r="A3952" s="17"/>
      <c r="H3952" s="18"/>
      <c r="K3952" s="18" t="s">
        <v>316</v>
      </c>
    </row>
    <row r="3953">
      <c r="A3953" s="17"/>
      <c r="H3953" s="18"/>
      <c r="K3953" s="18" t="s">
        <v>316</v>
      </c>
    </row>
    <row r="3954">
      <c r="A3954" s="17"/>
      <c r="H3954" s="18"/>
      <c r="K3954" s="18" t="s">
        <v>316</v>
      </c>
    </row>
    <row r="3955">
      <c r="A3955" s="17"/>
      <c r="H3955" s="18"/>
      <c r="K3955" s="18" t="s">
        <v>316</v>
      </c>
    </row>
    <row r="3956">
      <c r="A3956" s="17"/>
      <c r="H3956" s="18"/>
      <c r="K3956" s="18" t="s">
        <v>316</v>
      </c>
    </row>
    <row r="3957">
      <c r="A3957" s="17"/>
      <c r="H3957" s="18"/>
      <c r="K3957" s="18" t="s">
        <v>316</v>
      </c>
    </row>
    <row r="3958">
      <c r="A3958" s="17"/>
      <c r="H3958" s="18"/>
      <c r="K3958" s="18" t="s">
        <v>316</v>
      </c>
    </row>
    <row r="3959">
      <c r="A3959" s="17"/>
      <c r="H3959" s="18"/>
      <c r="K3959" s="18" t="s">
        <v>316</v>
      </c>
    </row>
    <row r="3960">
      <c r="A3960" s="17"/>
      <c r="H3960" s="18"/>
      <c r="K3960" s="18" t="s">
        <v>316</v>
      </c>
    </row>
    <row r="3961">
      <c r="A3961" s="17"/>
      <c r="H3961" s="18"/>
      <c r="K3961" s="18" t="s">
        <v>316</v>
      </c>
    </row>
    <row r="3962">
      <c r="A3962" s="17"/>
      <c r="H3962" s="18"/>
      <c r="K3962" s="18" t="s">
        <v>316</v>
      </c>
    </row>
    <row r="3963">
      <c r="A3963" s="17"/>
      <c r="H3963" s="18"/>
      <c r="K3963" s="18" t="s">
        <v>316</v>
      </c>
    </row>
    <row r="3964">
      <c r="A3964" s="17"/>
      <c r="H3964" s="18"/>
      <c r="K3964" s="18" t="s">
        <v>316</v>
      </c>
    </row>
    <row r="3965">
      <c r="A3965" s="17"/>
      <c r="H3965" s="18"/>
      <c r="K3965" s="18" t="s">
        <v>316</v>
      </c>
    </row>
    <row r="3966">
      <c r="A3966" s="17"/>
      <c r="H3966" s="18"/>
      <c r="K3966" s="18" t="s">
        <v>316</v>
      </c>
    </row>
    <row r="3967">
      <c r="A3967" s="17"/>
      <c r="H3967" s="18"/>
      <c r="K3967" s="18" t="s">
        <v>316</v>
      </c>
    </row>
    <row r="3968">
      <c r="A3968" s="17"/>
      <c r="H3968" s="18"/>
      <c r="K3968" s="18" t="s">
        <v>316</v>
      </c>
    </row>
    <row r="3969">
      <c r="A3969" s="17"/>
      <c r="H3969" s="18"/>
      <c r="K3969" s="18" t="s">
        <v>316</v>
      </c>
    </row>
    <row r="3970">
      <c r="A3970" s="17"/>
      <c r="H3970" s="18"/>
      <c r="K3970" s="18" t="s">
        <v>316</v>
      </c>
    </row>
    <row r="3971">
      <c r="A3971" s="17"/>
      <c r="H3971" s="18"/>
      <c r="K3971" s="18" t="s">
        <v>316</v>
      </c>
    </row>
    <row r="3972">
      <c r="A3972" s="17"/>
      <c r="H3972" s="18"/>
      <c r="K3972" s="18" t="s">
        <v>316</v>
      </c>
    </row>
    <row r="3973">
      <c r="A3973" s="17"/>
      <c r="H3973" s="18"/>
      <c r="K3973" s="18" t="s">
        <v>316</v>
      </c>
    </row>
    <row r="3974">
      <c r="A3974" s="17"/>
      <c r="H3974" s="18"/>
      <c r="K3974" s="18" t="s">
        <v>316</v>
      </c>
    </row>
    <row r="3975">
      <c r="A3975" s="17"/>
      <c r="H3975" s="18"/>
      <c r="K3975" s="18" t="s">
        <v>316</v>
      </c>
    </row>
    <row r="3976">
      <c r="A3976" s="17"/>
      <c r="H3976" s="18"/>
      <c r="K3976" s="18" t="s">
        <v>316</v>
      </c>
    </row>
    <row r="3977">
      <c r="A3977" s="17"/>
      <c r="H3977" s="18"/>
      <c r="K3977" s="18" t="s">
        <v>316</v>
      </c>
    </row>
    <row r="3978">
      <c r="A3978" s="17"/>
      <c r="H3978" s="18"/>
      <c r="K3978" s="18" t="s">
        <v>316</v>
      </c>
    </row>
    <row r="3979">
      <c r="A3979" s="17"/>
      <c r="H3979" s="18"/>
      <c r="K3979" s="18" t="s">
        <v>316</v>
      </c>
    </row>
    <row r="3980">
      <c r="A3980" s="17"/>
      <c r="H3980" s="18"/>
      <c r="K3980" s="18" t="s">
        <v>316</v>
      </c>
    </row>
    <row r="3981">
      <c r="A3981" s="17"/>
      <c r="H3981" s="18"/>
      <c r="K3981" s="18" t="s">
        <v>316</v>
      </c>
    </row>
    <row r="3982">
      <c r="A3982" s="17"/>
      <c r="H3982" s="18"/>
      <c r="K3982" s="18" t="s">
        <v>316</v>
      </c>
    </row>
    <row r="3983">
      <c r="A3983" s="17"/>
      <c r="H3983" s="18"/>
      <c r="K3983" s="18" t="s">
        <v>316</v>
      </c>
    </row>
    <row r="3984">
      <c r="A3984" s="17"/>
      <c r="H3984" s="18"/>
      <c r="K3984" s="18" t="s">
        <v>316</v>
      </c>
    </row>
    <row r="3985">
      <c r="A3985" s="17"/>
      <c r="H3985" s="18"/>
      <c r="K3985" s="18" t="s">
        <v>316</v>
      </c>
    </row>
    <row r="3986">
      <c r="A3986" s="17"/>
      <c r="H3986" s="18"/>
      <c r="K3986" s="18" t="s">
        <v>316</v>
      </c>
    </row>
    <row r="3987">
      <c r="A3987" s="17"/>
      <c r="H3987" s="18"/>
      <c r="K3987" s="18" t="s">
        <v>316</v>
      </c>
    </row>
    <row r="3988">
      <c r="A3988" s="17"/>
      <c r="H3988" s="18"/>
      <c r="K3988" s="18" t="s">
        <v>316</v>
      </c>
    </row>
    <row r="3989">
      <c r="A3989" s="17"/>
      <c r="H3989" s="18"/>
      <c r="K3989" s="18" t="s">
        <v>316</v>
      </c>
    </row>
    <row r="3990">
      <c r="A3990" s="17"/>
      <c r="H3990" s="18"/>
      <c r="K3990" s="18" t="s">
        <v>316</v>
      </c>
    </row>
    <row r="3991">
      <c r="A3991" s="17"/>
      <c r="H3991" s="18"/>
      <c r="K3991" s="18" t="s">
        <v>316</v>
      </c>
    </row>
    <row r="3992">
      <c r="A3992" s="17"/>
      <c r="H3992" s="18"/>
      <c r="K3992" s="18" t="s">
        <v>316</v>
      </c>
    </row>
    <row r="3993">
      <c r="A3993" s="17"/>
      <c r="H3993" s="18"/>
      <c r="K3993" s="18" t="s">
        <v>316</v>
      </c>
    </row>
    <row r="3994">
      <c r="A3994" s="17"/>
      <c r="H3994" s="18"/>
      <c r="K3994" s="18" t="s">
        <v>316</v>
      </c>
    </row>
    <row r="3995">
      <c r="A3995" s="17"/>
      <c r="H3995" s="18"/>
      <c r="K3995" s="18" t="s">
        <v>316</v>
      </c>
    </row>
    <row r="3996">
      <c r="A3996" s="17"/>
      <c r="H3996" s="18"/>
      <c r="K3996" s="18" t="s">
        <v>316</v>
      </c>
    </row>
    <row r="3997">
      <c r="A3997" s="17"/>
      <c r="H3997" s="18"/>
      <c r="K3997" s="18" t="s">
        <v>316</v>
      </c>
    </row>
    <row r="3998">
      <c r="A3998" s="17"/>
      <c r="H3998" s="18"/>
      <c r="K3998" s="18" t="s">
        <v>316</v>
      </c>
    </row>
    <row r="3999">
      <c r="A3999" s="17"/>
      <c r="H3999" s="18"/>
      <c r="K3999" s="18" t="s">
        <v>316</v>
      </c>
    </row>
    <row r="4000">
      <c r="A4000" s="17"/>
      <c r="H4000" s="18"/>
      <c r="K4000" s="18" t="s">
        <v>316</v>
      </c>
    </row>
    <row r="4001">
      <c r="A4001" s="17"/>
      <c r="H4001" s="18"/>
      <c r="K4001" s="18" t="s">
        <v>316</v>
      </c>
    </row>
    <row r="4002">
      <c r="A4002" s="17"/>
      <c r="H4002" s="18"/>
      <c r="K4002" s="18" t="s">
        <v>316</v>
      </c>
    </row>
    <row r="4003">
      <c r="A4003" s="17"/>
      <c r="H4003" s="18"/>
      <c r="K4003" s="18" t="s">
        <v>316</v>
      </c>
    </row>
    <row r="4004">
      <c r="A4004" s="17"/>
      <c r="H4004" s="18"/>
      <c r="K4004" s="18" t="s">
        <v>316</v>
      </c>
    </row>
    <row r="4005">
      <c r="A4005" s="17"/>
      <c r="H4005" s="18"/>
      <c r="K4005" s="18" t="s">
        <v>316</v>
      </c>
    </row>
    <row r="4006">
      <c r="A4006" s="17"/>
      <c r="H4006" s="18"/>
      <c r="K4006" s="18" t="s">
        <v>316</v>
      </c>
    </row>
    <row r="4007">
      <c r="A4007" s="17"/>
      <c r="H4007" s="18"/>
      <c r="K4007" s="18" t="s">
        <v>316</v>
      </c>
    </row>
    <row r="4008">
      <c r="A4008" s="17"/>
      <c r="H4008" s="18"/>
      <c r="K4008" s="18" t="s">
        <v>316</v>
      </c>
    </row>
    <row r="4009">
      <c r="A4009" s="17"/>
      <c r="H4009" s="18"/>
      <c r="K4009" s="18" t="s">
        <v>316</v>
      </c>
    </row>
    <row r="4010">
      <c r="A4010" s="17"/>
      <c r="H4010" s="18"/>
      <c r="K4010" s="18" t="s">
        <v>316</v>
      </c>
    </row>
    <row r="4011">
      <c r="A4011" s="17"/>
      <c r="H4011" s="18"/>
      <c r="K4011" s="18" t="s">
        <v>316</v>
      </c>
    </row>
    <row r="4012">
      <c r="A4012" s="17"/>
      <c r="H4012" s="18"/>
      <c r="K4012" s="18" t="s">
        <v>316</v>
      </c>
    </row>
    <row r="4013">
      <c r="A4013" s="17"/>
      <c r="H4013" s="18"/>
      <c r="K4013" s="18" t="s">
        <v>316</v>
      </c>
    </row>
    <row r="4014">
      <c r="A4014" s="17"/>
      <c r="H4014" s="18"/>
      <c r="K4014" s="18" t="s">
        <v>316</v>
      </c>
    </row>
    <row r="4015">
      <c r="A4015" s="17"/>
      <c r="H4015" s="18"/>
      <c r="K4015" s="18" t="s">
        <v>316</v>
      </c>
    </row>
    <row r="4016">
      <c r="A4016" s="17"/>
      <c r="H4016" s="18"/>
      <c r="K4016" s="18" t="s">
        <v>316</v>
      </c>
    </row>
    <row r="4017">
      <c r="A4017" s="17"/>
      <c r="H4017" s="18"/>
      <c r="K4017" s="18" t="s">
        <v>316</v>
      </c>
    </row>
    <row r="4018">
      <c r="A4018" s="17"/>
      <c r="H4018" s="18"/>
      <c r="K4018" s="18" t="s">
        <v>316</v>
      </c>
    </row>
    <row r="4019">
      <c r="A4019" s="17"/>
      <c r="H4019" s="18"/>
      <c r="K4019" s="18" t="s">
        <v>316</v>
      </c>
    </row>
    <row r="4020">
      <c r="A4020" s="17"/>
      <c r="H4020" s="18"/>
      <c r="K4020" s="18" t="s">
        <v>316</v>
      </c>
    </row>
    <row r="4021">
      <c r="A4021" s="17"/>
      <c r="H4021" s="18"/>
      <c r="K4021" s="18" t="s">
        <v>316</v>
      </c>
    </row>
    <row r="4022">
      <c r="A4022" s="17"/>
      <c r="H4022" s="18"/>
      <c r="K4022" s="18" t="s">
        <v>316</v>
      </c>
    </row>
    <row r="4023">
      <c r="A4023" s="17"/>
      <c r="H4023" s="18"/>
      <c r="K4023" s="18" t="s">
        <v>316</v>
      </c>
    </row>
    <row r="4024">
      <c r="A4024" s="17"/>
      <c r="H4024" s="18"/>
      <c r="K4024" s="18" t="s">
        <v>316</v>
      </c>
    </row>
    <row r="4025">
      <c r="A4025" s="17"/>
      <c r="H4025" s="18"/>
      <c r="K4025" s="18" t="s">
        <v>316</v>
      </c>
    </row>
    <row r="4026">
      <c r="A4026" s="17"/>
      <c r="H4026" s="18"/>
      <c r="K4026" s="18" t="s">
        <v>316</v>
      </c>
    </row>
    <row r="4027">
      <c r="A4027" s="17"/>
      <c r="H4027" s="18"/>
      <c r="K4027" s="18" t="s">
        <v>316</v>
      </c>
    </row>
    <row r="4028">
      <c r="A4028" s="17"/>
      <c r="H4028" s="18"/>
      <c r="K4028" s="18" t="s">
        <v>316</v>
      </c>
    </row>
    <row r="4029">
      <c r="A4029" s="17"/>
      <c r="H4029" s="18"/>
      <c r="K4029" s="18" t="s">
        <v>316</v>
      </c>
    </row>
    <row r="4030">
      <c r="A4030" s="17"/>
      <c r="H4030" s="18"/>
      <c r="K4030" s="18" t="s">
        <v>316</v>
      </c>
    </row>
    <row r="4031">
      <c r="A4031" s="17"/>
      <c r="H4031" s="18"/>
      <c r="K4031" s="18" t="s">
        <v>316</v>
      </c>
    </row>
    <row r="4032">
      <c r="A4032" s="17"/>
      <c r="H4032" s="18"/>
      <c r="K4032" s="18" t="s">
        <v>316</v>
      </c>
    </row>
    <row r="4033">
      <c r="A4033" s="17"/>
      <c r="H4033" s="18"/>
      <c r="K4033" s="18" t="s">
        <v>316</v>
      </c>
    </row>
    <row r="4034">
      <c r="A4034" s="17"/>
      <c r="H4034" s="18"/>
      <c r="K4034" s="18" t="s">
        <v>316</v>
      </c>
    </row>
    <row r="4035">
      <c r="A4035" s="17"/>
      <c r="H4035" s="18"/>
      <c r="K4035" s="18" t="s">
        <v>316</v>
      </c>
    </row>
    <row r="4036">
      <c r="A4036" s="17"/>
      <c r="H4036" s="18"/>
      <c r="K4036" s="18" t="s">
        <v>316</v>
      </c>
    </row>
    <row r="4037">
      <c r="A4037" s="17"/>
      <c r="H4037" s="18"/>
      <c r="K4037" s="18" t="s">
        <v>316</v>
      </c>
    </row>
    <row r="4038">
      <c r="A4038" s="17"/>
      <c r="H4038" s="18"/>
      <c r="K4038" s="18" t="s">
        <v>316</v>
      </c>
    </row>
    <row r="4039">
      <c r="A4039" s="17"/>
      <c r="H4039" s="18"/>
      <c r="K4039" s="18" t="s">
        <v>316</v>
      </c>
    </row>
    <row r="4040">
      <c r="A4040" s="17"/>
      <c r="H4040" s="18"/>
      <c r="K4040" s="18" t="s">
        <v>316</v>
      </c>
    </row>
    <row r="4041">
      <c r="A4041" s="17"/>
      <c r="H4041" s="18"/>
      <c r="K4041" s="18" t="s">
        <v>316</v>
      </c>
    </row>
    <row r="4042">
      <c r="A4042" s="17"/>
      <c r="H4042" s="18"/>
      <c r="K4042" s="18" t="s">
        <v>316</v>
      </c>
    </row>
    <row r="4043">
      <c r="A4043" s="17"/>
      <c r="H4043" s="18"/>
      <c r="K4043" s="18" t="s">
        <v>316</v>
      </c>
    </row>
    <row r="4044">
      <c r="A4044" s="17"/>
      <c r="H4044" s="18"/>
      <c r="K4044" s="18" t="s">
        <v>316</v>
      </c>
    </row>
    <row r="4045">
      <c r="A4045" s="17"/>
      <c r="H4045" s="18"/>
      <c r="K4045" s="18" t="s">
        <v>316</v>
      </c>
    </row>
    <row r="4046">
      <c r="A4046" s="17"/>
      <c r="H4046" s="18"/>
      <c r="K4046" s="18" t="s">
        <v>316</v>
      </c>
    </row>
    <row r="4047">
      <c r="A4047" s="17"/>
      <c r="H4047" s="18"/>
      <c r="K4047" s="18" t="s">
        <v>316</v>
      </c>
    </row>
    <row r="4048">
      <c r="A4048" s="17"/>
      <c r="H4048" s="18"/>
      <c r="K4048" s="18" t="s">
        <v>316</v>
      </c>
    </row>
    <row r="4049">
      <c r="A4049" s="17"/>
      <c r="H4049" s="18"/>
      <c r="K4049" s="18" t="s">
        <v>316</v>
      </c>
    </row>
    <row r="4050">
      <c r="A4050" s="17"/>
      <c r="H4050" s="18"/>
      <c r="K4050" s="18" t="s">
        <v>316</v>
      </c>
    </row>
    <row r="4051">
      <c r="A4051" s="17"/>
      <c r="H4051" s="18"/>
      <c r="K4051" s="18" t="s">
        <v>316</v>
      </c>
    </row>
    <row r="4052">
      <c r="A4052" s="17"/>
      <c r="H4052" s="18"/>
      <c r="K4052" s="18" t="s">
        <v>316</v>
      </c>
    </row>
    <row r="4053">
      <c r="A4053" s="17"/>
      <c r="H4053" s="18"/>
      <c r="K4053" s="18" t="s">
        <v>316</v>
      </c>
    </row>
    <row r="4054">
      <c r="A4054" s="17"/>
      <c r="H4054" s="18"/>
      <c r="K4054" s="18" t="s">
        <v>316</v>
      </c>
    </row>
    <row r="4055">
      <c r="A4055" s="17"/>
      <c r="H4055" s="18"/>
      <c r="K4055" s="18" t="s">
        <v>316</v>
      </c>
    </row>
    <row r="4056">
      <c r="A4056" s="17"/>
      <c r="H4056" s="18"/>
      <c r="K4056" s="18" t="s">
        <v>316</v>
      </c>
    </row>
    <row r="4057">
      <c r="A4057" s="17"/>
      <c r="H4057" s="18"/>
      <c r="K4057" s="18" t="s">
        <v>316</v>
      </c>
    </row>
    <row r="4058">
      <c r="A4058" s="17"/>
      <c r="H4058" s="18"/>
      <c r="K4058" s="18" t="s">
        <v>316</v>
      </c>
    </row>
    <row r="4059">
      <c r="A4059" s="17"/>
      <c r="H4059" s="18"/>
      <c r="K4059" s="18" t="s">
        <v>316</v>
      </c>
    </row>
    <row r="4060">
      <c r="A4060" s="17"/>
      <c r="H4060" s="18"/>
      <c r="K4060" s="18" t="s">
        <v>316</v>
      </c>
    </row>
    <row r="4061">
      <c r="A4061" s="17"/>
      <c r="H4061" s="18"/>
      <c r="K4061" s="18" t="s">
        <v>316</v>
      </c>
    </row>
    <row r="4062">
      <c r="A4062" s="17"/>
      <c r="H4062" s="18"/>
      <c r="K4062" s="18" t="s">
        <v>316</v>
      </c>
    </row>
    <row r="4063">
      <c r="A4063" s="17"/>
      <c r="H4063" s="18"/>
      <c r="K4063" s="18" t="s">
        <v>316</v>
      </c>
    </row>
    <row r="4064">
      <c r="A4064" s="17"/>
      <c r="H4064" s="18"/>
      <c r="K4064" s="18" t="s">
        <v>316</v>
      </c>
    </row>
    <row r="4065">
      <c r="A4065" s="17"/>
      <c r="H4065" s="18"/>
      <c r="K4065" s="18" t="s">
        <v>316</v>
      </c>
    </row>
    <row r="4066">
      <c r="A4066" s="17"/>
      <c r="H4066" s="18"/>
      <c r="K4066" s="18" t="s">
        <v>316</v>
      </c>
    </row>
    <row r="4067">
      <c r="A4067" s="17"/>
      <c r="H4067" s="18"/>
      <c r="K4067" s="18" t="s">
        <v>316</v>
      </c>
    </row>
    <row r="4068">
      <c r="A4068" s="17"/>
      <c r="H4068" s="18"/>
      <c r="K4068" s="18" t="s">
        <v>316</v>
      </c>
    </row>
    <row r="4069">
      <c r="A4069" s="17"/>
      <c r="H4069" s="18"/>
      <c r="K4069" s="18" t="s">
        <v>316</v>
      </c>
    </row>
    <row r="4070">
      <c r="A4070" s="17"/>
      <c r="H4070" s="18"/>
      <c r="K4070" s="18" t="s">
        <v>316</v>
      </c>
    </row>
    <row r="4071">
      <c r="A4071" s="17"/>
      <c r="H4071" s="18"/>
      <c r="K4071" s="18" t="s">
        <v>316</v>
      </c>
    </row>
    <row r="4072">
      <c r="A4072" s="17"/>
      <c r="H4072" s="18"/>
      <c r="K4072" s="18" t="s">
        <v>316</v>
      </c>
    </row>
    <row r="4073">
      <c r="A4073" s="17"/>
      <c r="H4073" s="18"/>
      <c r="K4073" s="18" t="s">
        <v>316</v>
      </c>
    </row>
    <row r="4074">
      <c r="A4074" s="17"/>
      <c r="H4074" s="18"/>
      <c r="K4074" s="18" t="s">
        <v>316</v>
      </c>
    </row>
    <row r="4075">
      <c r="A4075" s="17"/>
      <c r="H4075" s="18"/>
      <c r="K4075" s="18" t="s">
        <v>316</v>
      </c>
    </row>
    <row r="4076">
      <c r="A4076" s="17"/>
      <c r="H4076" s="18"/>
      <c r="K4076" s="18" t="s">
        <v>316</v>
      </c>
    </row>
    <row r="4077">
      <c r="A4077" s="17"/>
      <c r="H4077" s="18"/>
      <c r="K4077" s="18" t="s">
        <v>316</v>
      </c>
    </row>
    <row r="4078">
      <c r="A4078" s="17"/>
      <c r="H4078" s="18"/>
      <c r="K4078" s="18" t="s">
        <v>316</v>
      </c>
    </row>
    <row r="4079">
      <c r="A4079" s="17"/>
      <c r="H4079" s="18"/>
      <c r="K4079" s="18" t="s">
        <v>316</v>
      </c>
    </row>
    <row r="4080">
      <c r="A4080" s="17"/>
      <c r="H4080" s="18"/>
      <c r="K4080" s="18" t="s">
        <v>316</v>
      </c>
    </row>
    <row r="4081">
      <c r="A4081" s="17"/>
      <c r="H4081" s="18"/>
      <c r="K4081" s="18" t="s">
        <v>316</v>
      </c>
    </row>
    <row r="4082">
      <c r="A4082" s="17"/>
      <c r="H4082" s="18"/>
      <c r="K4082" s="18" t="s">
        <v>316</v>
      </c>
    </row>
    <row r="4083">
      <c r="A4083" s="17"/>
      <c r="H4083" s="18"/>
      <c r="K4083" s="18" t="s">
        <v>316</v>
      </c>
    </row>
    <row r="4084">
      <c r="A4084" s="17"/>
      <c r="H4084" s="18"/>
      <c r="K4084" s="18" t="s">
        <v>316</v>
      </c>
    </row>
    <row r="4085">
      <c r="A4085" s="17"/>
      <c r="H4085" s="18"/>
      <c r="K4085" s="18" t="s">
        <v>316</v>
      </c>
    </row>
    <row r="4086">
      <c r="A4086" s="17"/>
      <c r="H4086" s="18"/>
      <c r="K4086" s="18" t="s">
        <v>316</v>
      </c>
    </row>
    <row r="4087">
      <c r="A4087" s="17"/>
      <c r="H4087" s="18"/>
      <c r="K4087" s="18" t="s">
        <v>316</v>
      </c>
    </row>
    <row r="4088">
      <c r="A4088" s="17"/>
      <c r="H4088" s="18"/>
      <c r="K4088" s="18" t="s">
        <v>316</v>
      </c>
    </row>
    <row r="4089">
      <c r="A4089" s="17"/>
      <c r="H4089" s="18"/>
      <c r="K4089" s="18" t="s">
        <v>316</v>
      </c>
    </row>
    <row r="4090">
      <c r="A4090" s="17"/>
      <c r="H4090" s="18"/>
      <c r="K4090" s="18" t="s">
        <v>316</v>
      </c>
    </row>
    <row r="4091">
      <c r="A4091" s="17"/>
      <c r="H4091" s="18"/>
      <c r="K4091" s="18" t="s">
        <v>316</v>
      </c>
    </row>
    <row r="4092">
      <c r="A4092" s="17"/>
      <c r="H4092" s="18"/>
      <c r="K4092" s="18" t="s">
        <v>316</v>
      </c>
    </row>
    <row r="4093">
      <c r="A4093" s="17"/>
      <c r="H4093" s="18"/>
      <c r="K4093" s="18" t="s">
        <v>316</v>
      </c>
    </row>
    <row r="4094">
      <c r="A4094" s="17"/>
      <c r="H4094" s="18"/>
      <c r="K4094" s="18" t="s">
        <v>316</v>
      </c>
    </row>
    <row r="4095">
      <c r="A4095" s="17"/>
      <c r="H4095" s="18"/>
      <c r="K4095" s="18" t="s">
        <v>316</v>
      </c>
    </row>
    <row r="4096">
      <c r="A4096" s="17"/>
      <c r="H4096" s="18"/>
      <c r="K4096" s="18" t="s">
        <v>316</v>
      </c>
    </row>
    <row r="4097">
      <c r="A4097" s="17"/>
      <c r="H4097" s="18"/>
      <c r="K4097" s="18" t="s">
        <v>316</v>
      </c>
    </row>
    <row r="4098">
      <c r="A4098" s="17"/>
      <c r="H4098" s="18"/>
      <c r="K4098" s="18" t="s">
        <v>316</v>
      </c>
    </row>
    <row r="4099">
      <c r="A4099" s="17"/>
      <c r="H4099" s="18"/>
      <c r="K4099" s="18" t="s">
        <v>316</v>
      </c>
    </row>
    <row r="4100">
      <c r="A4100" s="17"/>
      <c r="H4100" s="18"/>
      <c r="K4100" s="18" t="s">
        <v>316</v>
      </c>
    </row>
    <row r="4101">
      <c r="A4101" s="17"/>
      <c r="H4101" s="18"/>
      <c r="K4101" s="18" t="s">
        <v>316</v>
      </c>
    </row>
    <row r="4102">
      <c r="A4102" s="17"/>
      <c r="H4102" s="18"/>
      <c r="K4102" s="18" t="s">
        <v>316</v>
      </c>
    </row>
    <row r="4103">
      <c r="A4103" s="17"/>
      <c r="H4103" s="18"/>
      <c r="K4103" s="18" t="s">
        <v>316</v>
      </c>
    </row>
    <row r="4104">
      <c r="A4104" s="17"/>
      <c r="H4104" s="18"/>
      <c r="K4104" s="18" t="s">
        <v>316</v>
      </c>
    </row>
    <row r="4105">
      <c r="A4105" s="17"/>
      <c r="H4105" s="18"/>
      <c r="K4105" s="18" t="s">
        <v>316</v>
      </c>
    </row>
    <row r="4106">
      <c r="A4106" s="17"/>
      <c r="H4106" s="18"/>
      <c r="K4106" s="18" t="s">
        <v>316</v>
      </c>
    </row>
    <row r="4107">
      <c r="A4107" s="17"/>
      <c r="H4107" s="18"/>
      <c r="K4107" s="18" t="s">
        <v>316</v>
      </c>
    </row>
    <row r="4108">
      <c r="A4108" s="17"/>
      <c r="H4108" s="18"/>
      <c r="K4108" s="18" t="s">
        <v>316</v>
      </c>
    </row>
    <row r="4109">
      <c r="A4109" s="17"/>
      <c r="H4109" s="18"/>
      <c r="K4109" s="18" t="s">
        <v>316</v>
      </c>
    </row>
    <row r="4110">
      <c r="A4110" s="17"/>
      <c r="H4110" s="18"/>
      <c r="K4110" s="18" t="s">
        <v>316</v>
      </c>
    </row>
    <row r="4111">
      <c r="A4111" s="17"/>
      <c r="H4111" s="18"/>
      <c r="K4111" s="18" t="s">
        <v>316</v>
      </c>
    </row>
    <row r="4112">
      <c r="A4112" s="17"/>
      <c r="H4112" s="18"/>
      <c r="K4112" s="18" t="s">
        <v>316</v>
      </c>
    </row>
    <row r="4113">
      <c r="A4113" s="17"/>
      <c r="H4113" s="18"/>
      <c r="K4113" s="18" t="s">
        <v>316</v>
      </c>
    </row>
    <row r="4114">
      <c r="A4114" s="17"/>
      <c r="H4114" s="18"/>
      <c r="K4114" s="18" t="s">
        <v>316</v>
      </c>
    </row>
    <row r="4115">
      <c r="A4115" s="17"/>
      <c r="H4115" s="18"/>
      <c r="K4115" s="18" t="s">
        <v>316</v>
      </c>
    </row>
    <row r="4116">
      <c r="A4116" s="17"/>
      <c r="H4116" s="18"/>
      <c r="K4116" s="18" t="s">
        <v>316</v>
      </c>
    </row>
    <row r="4117">
      <c r="A4117" s="17"/>
      <c r="H4117" s="18"/>
      <c r="K4117" s="18" t="s">
        <v>316</v>
      </c>
    </row>
    <row r="4118">
      <c r="A4118" s="17"/>
      <c r="H4118" s="18"/>
      <c r="K4118" s="18" t="s">
        <v>316</v>
      </c>
    </row>
    <row r="4119">
      <c r="A4119" s="17"/>
      <c r="H4119" s="18"/>
      <c r="K4119" s="18" t="s">
        <v>316</v>
      </c>
    </row>
    <row r="4120">
      <c r="A4120" s="17"/>
      <c r="H4120" s="18"/>
      <c r="K4120" s="18" t="s">
        <v>316</v>
      </c>
    </row>
    <row r="4121">
      <c r="A4121" s="17"/>
      <c r="H4121" s="18"/>
      <c r="K4121" s="18" t="s">
        <v>316</v>
      </c>
    </row>
    <row r="4122">
      <c r="A4122" s="17"/>
      <c r="H4122" s="18"/>
      <c r="K4122" s="18" t="s">
        <v>316</v>
      </c>
    </row>
    <row r="4123">
      <c r="A4123" s="17"/>
      <c r="H4123" s="18"/>
      <c r="K4123" s="18" t="s">
        <v>316</v>
      </c>
    </row>
    <row r="4124">
      <c r="A4124" s="17"/>
      <c r="H4124" s="18"/>
      <c r="K4124" s="18" t="s">
        <v>316</v>
      </c>
    </row>
    <row r="4125">
      <c r="A4125" s="17"/>
      <c r="H4125" s="18"/>
      <c r="K4125" s="18" t="s">
        <v>316</v>
      </c>
    </row>
    <row r="4126">
      <c r="A4126" s="17"/>
      <c r="H4126" s="18"/>
      <c r="K4126" s="18" t="s">
        <v>316</v>
      </c>
    </row>
    <row r="4127">
      <c r="A4127" s="17"/>
      <c r="H4127" s="18"/>
      <c r="K4127" s="18" t="s">
        <v>316</v>
      </c>
    </row>
    <row r="4128">
      <c r="A4128" s="17"/>
      <c r="H4128" s="18"/>
      <c r="K4128" s="18" t="s">
        <v>316</v>
      </c>
    </row>
    <row r="4129">
      <c r="A4129" s="17"/>
      <c r="H4129" s="18"/>
      <c r="K4129" s="18" t="s">
        <v>316</v>
      </c>
    </row>
    <row r="4130">
      <c r="A4130" s="17"/>
      <c r="H4130" s="18"/>
      <c r="K4130" s="18" t="s">
        <v>316</v>
      </c>
    </row>
    <row r="4131">
      <c r="A4131" s="17"/>
      <c r="H4131" s="18"/>
      <c r="K4131" s="18" t="s">
        <v>316</v>
      </c>
    </row>
    <row r="4132">
      <c r="A4132" s="17"/>
      <c r="H4132" s="18"/>
      <c r="K4132" s="18" t="s">
        <v>316</v>
      </c>
    </row>
    <row r="4133">
      <c r="A4133" s="17"/>
      <c r="H4133" s="18"/>
      <c r="K4133" s="18" t="s">
        <v>316</v>
      </c>
    </row>
    <row r="4134">
      <c r="A4134" s="17"/>
      <c r="H4134" s="18"/>
      <c r="K4134" s="18" t="s">
        <v>316</v>
      </c>
    </row>
    <row r="4135">
      <c r="A4135" s="17"/>
      <c r="H4135" s="18"/>
      <c r="K4135" s="18" t="s">
        <v>316</v>
      </c>
    </row>
    <row r="4136">
      <c r="A4136" s="17"/>
      <c r="H4136" s="18"/>
      <c r="K4136" s="18" t="s">
        <v>316</v>
      </c>
    </row>
    <row r="4137">
      <c r="A4137" s="17"/>
      <c r="H4137" s="18"/>
      <c r="K4137" s="18" t="s">
        <v>316</v>
      </c>
    </row>
    <row r="4138">
      <c r="A4138" s="17"/>
      <c r="H4138" s="18"/>
      <c r="K4138" s="18" t="s">
        <v>316</v>
      </c>
    </row>
    <row r="4139">
      <c r="A4139" s="17"/>
      <c r="H4139" s="18"/>
      <c r="K4139" s="18" t="s">
        <v>316</v>
      </c>
    </row>
    <row r="4140">
      <c r="A4140" s="17"/>
      <c r="H4140" s="18"/>
      <c r="K4140" s="18" t="s">
        <v>316</v>
      </c>
    </row>
    <row r="4141">
      <c r="A4141" s="17"/>
      <c r="H4141" s="18"/>
      <c r="K4141" s="18" t="s">
        <v>316</v>
      </c>
    </row>
    <row r="4142">
      <c r="A4142" s="17"/>
      <c r="H4142" s="18"/>
      <c r="K4142" s="18" t="s">
        <v>316</v>
      </c>
    </row>
    <row r="4143">
      <c r="A4143" s="17"/>
      <c r="H4143" s="18"/>
      <c r="K4143" s="18" t="s">
        <v>316</v>
      </c>
    </row>
    <row r="4144">
      <c r="A4144" s="17"/>
      <c r="H4144" s="18"/>
      <c r="K4144" s="18" t="s">
        <v>316</v>
      </c>
    </row>
    <row r="4145">
      <c r="A4145" s="17"/>
      <c r="H4145" s="18"/>
      <c r="K4145" s="18" t="s">
        <v>316</v>
      </c>
    </row>
    <row r="4146">
      <c r="A4146" s="17"/>
      <c r="H4146" s="18"/>
      <c r="K4146" s="18" t="s">
        <v>316</v>
      </c>
    </row>
    <row r="4147">
      <c r="A4147" s="17"/>
      <c r="H4147" s="18"/>
      <c r="K4147" s="18" t="s">
        <v>316</v>
      </c>
    </row>
    <row r="4148">
      <c r="A4148" s="17"/>
      <c r="H4148" s="18"/>
      <c r="K4148" s="18" t="s">
        <v>316</v>
      </c>
    </row>
    <row r="4149">
      <c r="A4149" s="17"/>
      <c r="H4149" s="18"/>
      <c r="K4149" s="18" t="s">
        <v>316</v>
      </c>
    </row>
    <row r="4150">
      <c r="A4150" s="17"/>
      <c r="H4150" s="18"/>
      <c r="K4150" s="18" t="s">
        <v>316</v>
      </c>
    </row>
    <row r="4151">
      <c r="A4151" s="17"/>
      <c r="H4151" s="18"/>
      <c r="K4151" s="18" t="s">
        <v>316</v>
      </c>
    </row>
    <row r="4152">
      <c r="A4152" s="17"/>
      <c r="H4152" s="18"/>
      <c r="K4152" s="18" t="s">
        <v>316</v>
      </c>
    </row>
    <row r="4153">
      <c r="A4153" s="17"/>
      <c r="H4153" s="18"/>
      <c r="K4153" s="18" t="s">
        <v>316</v>
      </c>
    </row>
    <row r="4154">
      <c r="A4154" s="17"/>
      <c r="H4154" s="18"/>
      <c r="K4154" s="18" t="s">
        <v>316</v>
      </c>
    </row>
    <row r="4155">
      <c r="A4155" s="17"/>
      <c r="H4155" s="18"/>
      <c r="K4155" s="18" t="s">
        <v>316</v>
      </c>
    </row>
    <row r="4156">
      <c r="A4156" s="17"/>
      <c r="H4156" s="18"/>
      <c r="K4156" s="18" t="s">
        <v>316</v>
      </c>
    </row>
    <row r="4157">
      <c r="A4157" s="17"/>
      <c r="H4157" s="18"/>
      <c r="K4157" s="18" t="s">
        <v>316</v>
      </c>
    </row>
    <row r="4158">
      <c r="A4158" s="17"/>
      <c r="H4158" s="18"/>
      <c r="K4158" s="18" t="s">
        <v>316</v>
      </c>
    </row>
    <row r="4159">
      <c r="A4159" s="17"/>
      <c r="H4159" s="18"/>
      <c r="K4159" s="18" t="s">
        <v>316</v>
      </c>
    </row>
    <row r="4160">
      <c r="A4160" s="17"/>
      <c r="H4160" s="18"/>
      <c r="K4160" s="18" t="s">
        <v>316</v>
      </c>
    </row>
    <row r="4161">
      <c r="A4161" s="17"/>
      <c r="H4161" s="18"/>
      <c r="K4161" s="18" t="s">
        <v>316</v>
      </c>
    </row>
    <row r="4162">
      <c r="A4162" s="17"/>
      <c r="H4162" s="18"/>
      <c r="K4162" s="18" t="s">
        <v>316</v>
      </c>
    </row>
    <row r="4163">
      <c r="A4163" s="17"/>
      <c r="H4163" s="18"/>
      <c r="K4163" s="18" t="s">
        <v>316</v>
      </c>
    </row>
    <row r="4164">
      <c r="A4164" s="17"/>
      <c r="H4164" s="18"/>
      <c r="K4164" s="18" t="s">
        <v>316</v>
      </c>
    </row>
    <row r="4165">
      <c r="A4165" s="17"/>
      <c r="H4165" s="18"/>
      <c r="K4165" s="18" t="s">
        <v>316</v>
      </c>
    </row>
    <row r="4166">
      <c r="A4166" s="17"/>
      <c r="H4166" s="18"/>
      <c r="K4166" s="18" t="s">
        <v>316</v>
      </c>
    </row>
    <row r="4167">
      <c r="A4167" s="17"/>
      <c r="H4167" s="18"/>
      <c r="K4167" s="18" t="s">
        <v>316</v>
      </c>
    </row>
    <row r="4168">
      <c r="A4168" s="17"/>
      <c r="H4168" s="18"/>
      <c r="K4168" s="18" t="s">
        <v>316</v>
      </c>
    </row>
    <row r="4169">
      <c r="A4169" s="17"/>
      <c r="H4169" s="18"/>
      <c r="K4169" s="18" t="s">
        <v>316</v>
      </c>
    </row>
    <row r="4170">
      <c r="A4170" s="17"/>
      <c r="H4170" s="18"/>
      <c r="K4170" s="18" t="s">
        <v>316</v>
      </c>
    </row>
    <row r="4171">
      <c r="A4171" s="17"/>
      <c r="H4171" s="18"/>
      <c r="K4171" s="18" t="s">
        <v>316</v>
      </c>
    </row>
    <row r="4172">
      <c r="A4172" s="17"/>
      <c r="H4172" s="18"/>
      <c r="K4172" s="18" t="s">
        <v>316</v>
      </c>
    </row>
    <row r="4173">
      <c r="A4173" s="17"/>
      <c r="H4173" s="18"/>
      <c r="K4173" s="18" t="s">
        <v>316</v>
      </c>
    </row>
    <row r="4174">
      <c r="A4174" s="17"/>
      <c r="H4174" s="18"/>
      <c r="K4174" s="18" t="s">
        <v>316</v>
      </c>
    </row>
    <row r="4175">
      <c r="A4175" s="17"/>
      <c r="H4175" s="18"/>
      <c r="K4175" s="18" t="s">
        <v>316</v>
      </c>
    </row>
    <row r="4176">
      <c r="A4176" s="17"/>
      <c r="H4176" s="18"/>
      <c r="K4176" s="18" t="s">
        <v>316</v>
      </c>
    </row>
    <row r="4177">
      <c r="A4177" s="17"/>
      <c r="H4177" s="18"/>
      <c r="K4177" s="18" t="s">
        <v>316</v>
      </c>
    </row>
    <row r="4178">
      <c r="A4178" s="17"/>
      <c r="H4178" s="18"/>
      <c r="K4178" s="18" t="s">
        <v>316</v>
      </c>
    </row>
    <row r="4179">
      <c r="A4179" s="17"/>
      <c r="H4179" s="18"/>
      <c r="K4179" s="18" t="s">
        <v>316</v>
      </c>
    </row>
    <row r="4180">
      <c r="A4180" s="17"/>
      <c r="H4180" s="18"/>
      <c r="K4180" s="18" t="s">
        <v>316</v>
      </c>
    </row>
    <row r="4181">
      <c r="A4181" s="17"/>
      <c r="H4181" s="18"/>
      <c r="K4181" s="18" t="s">
        <v>316</v>
      </c>
    </row>
    <row r="4182">
      <c r="A4182" s="17"/>
      <c r="H4182" s="18"/>
      <c r="K4182" s="18" t="s">
        <v>316</v>
      </c>
    </row>
    <row r="4183">
      <c r="A4183" s="17"/>
      <c r="H4183" s="18"/>
      <c r="K4183" s="18" t="s">
        <v>316</v>
      </c>
    </row>
    <row r="4184">
      <c r="A4184" s="17"/>
      <c r="H4184" s="18"/>
      <c r="K4184" s="18" t="s">
        <v>316</v>
      </c>
    </row>
    <row r="4185">
      <c r="A4185" s="17"/>
      <c r="H4185" s="18"/>
      <c r="K4185" s="18" t="s">
        <v>316</v>
      </c>
    </row>
    <row r="4186">
      <c r="A4186" s="17"/>
      <c r="H4186" s="18"/>
      <c r="K4186" s="18" t="s">
        <v>316</v>
      </c>
    </row>
    <row r="4187">
      <c r="A4187" s="17"/>
      <c r="H4187" s="18"/>
      <c r="K4187" s="18" t="s">
        <v>316</v>
      </c>
    </row>
    <row r="4188">
      <c r="A4188" s="17"/>
      <c r="H4188" s="18"/>
      <c r="K4188" s="18" t="s">
        <v>316</v>
      </c>
    </row>
    <row r="4189">
      <c r="A4189" s="17"/>
      <c r="H4189" s="18"/>
      <c r="K4189" s="18" t="s">
        <v>316</v>
      </c>
    </row>
    <row r="4190">
      <c r="A4190" s="17"/>
      <c r="H4190" s="18"/>
      <c r="K4190" s="18" t="s">
        <v>316</v>
      </c>
    </row>
    <row r="4191">
      <c r="A4191" s="17"/>
      <c r="H4191" s="18"/>
      <c r="K4191" s="18" t="s">
        <v>316</v>
      </c>
    </row>
    <row r="4192">
      <c r="A4192" s="17"/>
      <c r="H4192" s="18"/>
      <c r="K4192" s="18" t="s">
        <v>316</v>
      </c>
    </row>
    <row r="4193">
      <c r="A4193" s="17"/>
      <c r="H4193" s="18"/>
      <c r="K4193" s="18" t="s">
        <v>316</v>
      </c>
    </row>
    <row r="4194">
      <c r="A4194" s="17"/>
      <c r="H4194" s="18"/>
      <c r="K4194" s="18" t="s">
        <v>316</v>
      </c>
    </row>
    <row r="4195">
      <c r="A4195" s="17"/>
      <c r="H4195" s="18"/>
      <c r="K4195" s="18" t="s">
        <v>316</v>
      </c>
    </row>
    <row r="4196">
      <c r="A4196" s="17"/>
      <c r="H4196" s="18"/>
      <c r="K4196" s="18" t="s">
        <v>316</v>
      </c>
    </row>
    <row r="4197">
      <c r="A4197" s="17"/>
      <c r="H4197" s="18"/>
      <c r="K4197" s="18" t="s">
        <v>316</v>
      </c>
    </row>
    <row r="4198">
      <c r="A4198" s="17"/>
      <c r="H4198" s="18"/>
      <c r="K4198" s="18" t="s">
        <v>316</v>
      </c>
    </row>
    <row r="4199">
      <c r="A4199" s="17"/>
      <c r="H4199" s="18"/>
      <c r="K4199" s="18" t="s">
        <v>316</v>
      </c>
    </row>
    <row r="4200">
      <c r="A4200" s="17"/>
      <c r="H4200" s="18"/>
      <c r="K4200" s="18" t="s">
        <v>316</v>
      </c>
    </row>
    <row r="4201">
      <c r="A4201" s="17"/>
      <c r="H4201" s="18"/>
      <c r="K4201" s="18" t="s">
        <v>316</v>
      </c>
    </row>
    <row r="4202">
      <c r="A4202" s="17"/>
      <c r="H4202" s="18"/>
      <c r="K4202" s="18" t="s">
        <v>316</v>
      </c>
    </row>
    <row r="4203">
      <c r="A4203" s="17"/>
      <c r="H4203" s="18"/>
      <c r="K4203" s="18" t="s">
        <v>316</v>
      </c>
    </row>
    <row r="4204">
      <c r="A4204" s="17"/>
      <c r="H4204" s="18"/>
      <c r="K4204" s="18" t="s">
        <v>316</v>
      </c>
    </row>
    <row r="4205">
      <c r="A4205" s="17"/>
      <c r="H4205" s="18"/>
      <c r="K4205" s="18" t="s">
        <v>316</v>
      </c>
    </row>
    <row r="4206">
      <c r="A4206" s="17"/>
      <c r="H4206" s="18"/>
      <c r="K4206" s="18" t="s">
        <v>316</v>
      </c>
    </row>
    <row r="4207">
      <c r="A4207" s="17"/>
      <c r="H4207" s="18"/>
      <c r="K4207" s="18" t="s">
        <v>316</v>
      </c>
    </row>
    <row r="4208">
      <c r="A4208" s="17"/>
      <c r="H4208" s="18"/>
      <c r="K4208" s="18" t="s">
        <v>316</v>
      </c>
    </row>
    <row r="4209">
      <c r="A4209" s="17"/>
      <c r="H4209" s="18"/>
      <c r="K4209" s="18" t="s">
        <v>316</v>
      </c>
    </row>
    <row r="4210">
      <c r="A4210" s="17"/>
      <c r="H4210" s="18"/>
      <c r="K4210" s="18" t="s">
        <v>316</v>
      </c>
    </row>
    <row r="4211">
      <c r="A4211" s="17"/>
      <c r="H4211" s="18"/>
      <c r="K4211" s="18" t="s">
        <v>316</v>
      </c>
    </row>
    <row r="4212">
      <c r="A4212" s="17"/>
      <c r="H4212" s="18"/>
      <c r="K4212" s="18" t="s">
        <v>316</v>
      </c>
    </row>
    <row r="4213">
      <c r="A4213" s="17"/>
      <c r="H4213" s="18"/>
      <c r="K4213" s="18" t="s">
        <v>316</v>
      </c>
    </row>
    <row r="4214">
      <c r="A4214" s="17"/>
      <c r="H4214" s="18"/>
      <c r="K4214" s="18" t="s">
        <v>316</v>
      </c>
    </row>
    <row r="4215">
      <c r="A4215" s="17"/>
      <c r="H4215" s="18"/>
      <c r="K4215" s="18" t="s">
        <v>316</v>
      </c>
    </row>
    <row r="4216">
      <c r="A4216" s="17"/>
      <c r="H4216" s="18"/>
      <c r="K4216" s="18" t="s">
        <v>316</v>
      </c>
    </row>
    <row r="4217">
      <c r="A4217" s="17"/>
      <c r="H4217" s="18"/>
      <c r="K4217" s="18" t="s">
        <v>316</v>
      </c>
    </row>
    <row r="4218">
      <c r="A4218" s="17"/>
      <c r="H4218" s="18"/>
      <c r="K4218" s="18" t="s">
        <v>316</v>
      </c>
    </row>
    <row r="4219">
      <c r="A4219" s="17"/>
      <c r="H4219" s="18"/>
      <c r="K4219" s="18" t="s">
        <v>316</v>
      </c>
    </row>
    <row r="4220">
      <c r="A4220" s="17"/>
      <c r="H4220" s="18"/>
      <c r="K4220" s="18" t="s">
        <v>316</v>
      </c>
    </row>
    <row r="4221">
      <c r="A4221" s="17"/>
      <c r="H4221" s="18"/>
      <c r="K4221" s="18" t="s">
        <v>316</v>
      </c>
    </row>
    <row r="4222">
      <c r="A4222" s="17"/>
      <c r="H4222" s="18"/>
      <c r="K4222" s="18" t="s">
        <v>316</v>
      </c>
    </row>
    <row r="4223">
      <c r="A4223" s="17"/>
      <c r="H4223" s="18"/>
      <c r="K4223" s="18" t="s">
        <v>316</v>
      </c>
    </row>
    <row r="4224">
      <c r="A4224" s="17"/>
      <c r="H4224" s="18"/>
      <c r="K4224" s="18" t="s">
        <v>316</v>
      </c>
    </row>
    <row r="4225">
      <c r="A4225" s="17"/>
      <c r="H4225" s="18"/>
      <c r="K4225" s="18" t="s">
        <v>316</v>
      </c>
    </row>
    <row r="4226">
      <c r="A4226" s="17"/>
      <c r="H4226" s="18"/>
      <c r="K4226" s="18" t="s">
        <v>316</v>
      </c>
    </row>
    <row r="4227">
      <c r="A4227" s="17"/>
      <c r="H4227" s="18"/>
      <c r="K4227" s="18" t="s">
        <v>316</v>
      </c>
    </row>
    <row r="4228">
      <c r="A4228" s="17"/>
      <c r="H4228" s="18"/>
      <c r="K4228" s="18" t="s">
        <v>316</v>
      </c>
    </row>
    <row r="4229">
      <c r="A4229" s="17"/>
      <c r="H4229" s="18"/>
      <c r="K4229" s="18" t="s">
        <v>316</v>
      </c>
    </row>
    <row r="4230">
      <c r="A4230" s="17"/>
      <c r="H4230" s="18"/>
      <c r="K4230" s="18" t="s">
        <v>316</v>
      </c>
    </row>
    <row r="4231">
      <c r="A4231" s="17"/>
      <c r="H4231" s="18"/>
      <c r="K4231" s="18" t="s">
        <v>316</v>
      </c>
    </row>
    <row r="4232">
      <c r="A4232" s="17"/>
      <c r="H4232" s="18"/>
      <c r="K4232" s="18" t="s">
        <v>316</v>
      </c>
    </row>
    <row r="4233">
      <c r="A4233" s="17"/>
      <c r="H4233" s="18"/>
      <c r="K4233" s="18" t="s">
        <v>316</v>
      </c>
    </row>
    <row r="4234">
      <c r="A4234" s="17"/>
      <c r="H4234" s="18"/>
      <c r="K4234" s="18" t="s">
        <v>316</v>
      </c>
    </row>
    <row r="4235">
      <c r="A4235" s="17"/>
      <c r="H4235" s="18"/>
      <c r="K4235" s="18" t="s">
        <v>316</v>
      </c>
    </row>
    <row r="4236">
      <c r="A4236" s="17"/>
      <c r="H4236" s="18"/>
      <c r="K4236" s="18" t="s">
        <v>316</v>
      </c>
    </row>
    <row r="4237">
      <c r="A4237" s="17"/>
      <c r="H4237" s="18"/>
      <c r="K4237" s="18" t="s">
        <v>316</v>
      </c>
    </row>
    <row r="4238">
      <c r="A4238" s="17"/>
      <c r="H4238" s="18"/>
      <c r="K4238" s="18" t="s">
        <v>316</v>
      </c>
    </row>
    <row r="4239">
      <c r="A4239" s="17"/>
      <c r="H4239" s="18"/>
      <c r="K4239" s="18" t="s">
        <v>316</v>
      </c>
    </row>
    <row r="4240">
      <c r="A4240" s="17"/>
      <c r="H4240" s="18"/>
      <c r="K4240" s="18" t="s">
        <v>316</v>
      </c>
    </row>
    <row r="4241">
      <c r="A4241" s="17"/>
      <c r="H4241" s="18"/>
      <c r="K4241" s="18" t="s">
        <v>316</v>
      </c>
    </row>
    <row r="4242">
      <c r="A4242" s="17"/>
      <c r="H4242" s="18"/>
      <c r="K4242" s="18" t="s">
        <v>316</v>
      </c>
    </row>
    <row r="4243">
      <c r="A4243" s="17"/>
      <c r="H4243" s="18"/>
      <c r="K4243" s="18" t="s">
        <v>316</v>
      </c>
    </row>
    <row r="4244">
      <c r="A4244" s="17"/>
      <c r="H4244" s="18"/>
      <c r="K4244" s="18" t="s">
        <v>316</v>
      </c>
    </row>
    <row r="4245">
      <c r="A4245" s="17"/>
      <c r="H4245" s="18"/>
      <c r="K4245" s="18" t="s">
        <v>316</v>
      </c>
    </row>
    <row r="4246">
      <c r="A4246" s="17"/>
      <c r="H4246" s="18"/>
      <c r="K4246" s="18" t="s">
        <v>316</v>
      </c>
    </row>
    <row r="4247">
      <c r="A4247" s="17"/>
      <c r="H4247" s="18"/>
      <c r="K4247" s="18" t="s">
        <v>316</v>
      </c>
    </row>
    <row r="4248">
      <c r="A4248" s="17"/>
      <c r="H4248" s="18"/>
      <c r="K4248" s="18" t="s">
        <v>316</v>
      </c>
    </row>
    <row r="4249">
      <c r="A4249" s="17"/>
      <c r="H4249" s="18"/>
      <c r="K4249" s="18" t="s">
        <v>316</v>
      </c>
    </row>
    <row r="4250">
      <c r="A4250" s="17"/>
      <c r="H4250" s="18"/>
      <c r="K4250" s="18" t="s">
        <v>316</v>
      </c>
    </row>
    <row r="4251">
      <c r="A4251" s="17"/>
      <c r="H4251" s="18"/>
      <c r="K4251" s="18" t="s">
        <v>316</v>
      </c>
    </row>
    <row r="4252">
      <c r="A4252" s="17"/>
      <c r="H4252" s="18"/>
      <c r="K4252" s="18" t="s">
        <v>316</v>
      </c>
    </row>
    <row r="4253">
      <c r="A4253" s="17"/>
      <c r="H4253" s="18"/>
      <c r="K4253" s="18" t="s">
        <v>316</v>
      </c>
    </row>
    <row r="4254">
      <c r="A4254" s="17"/>
      <c r="H4254" s="18"/>
      <c r="K4254" s="18" t="s">
        <v>316</v>
      </c>
    </row>
    <row r="4255">
      <c r="A4255" s="17"/>
      <c r="H4255" s="18"/>
      <c r="K4255" s="18" t="s">
        <v>316</v>
      </c>
    </row>
    <row r="4256">
      <c r="A4256" s="17"/>
      <c r="H4256" s="18"/>
      <c r="K4256" s="18" t="s">
        <v>316</v>
      </c>
    </row>
    <row r="4257">
      <c r="A4257" s="17"/>
      <c r="H4257" s="18"/>
      <c r="K4257" s="18" t="s">
        <v>316</v>
      </c>
    </row>
    <row r="4258">
      <c r="A4258" s="17"/>
      <c r="H4258" s="18"/>
      <c r="K4258" s="18" t="s">
        <v>316</v>
      </c>
    </row>
    <row r="4259">
      <c r="A4259" s="17"/>
      <c r="H4259" s="18"/>
      <c r="K4259" s="18" t="s">
        <v>316</v>
      </c>
    </row>
    <row r="4260">
      <c r="A4260" s="17"/>
      <c r="H4260" s="18"/>
      <c r="K4260" s="18" t="s">
        <v>316</v>
      </c>
    </row>
    <row r="4261">
      <c r="A4261" s="17"/>
      <c r="H4261" s="18"/>
      <c r="K4261" s="18" t="s">
        <v>316</v>
      </c>
    </row>
    <row r="4262">
      <c r="A4262" s="17"/>
      <c r="H4262" s="18"/>
      <c r="K4262" s="18" t="s">
        <v>316</v>
      </c>
    </row>
    <row r="4263">
      <c r="A4263" s="17"/>
      <c r="H4263" s="18"/>
      <c r="K4263" s="18" t="s">
        <v>316</v>
      </c>
    </row>
    <row r="4264">
      <c r="A4264" s="17"/>
      <c r="H4264" s="18"/>
      <c r="K4264" s="18" t="s">
        <v>316</v>
      </c>
    </row>
    <row r="4265">
      <c r="A4265" s="17"/>
      <c r="H4265" s="18"/>
      <c r="K4265" s="18" t="s">
        <v>316</v>
      </c>
    </row>
    <row r="4266">
      <c r="A4266" s="17"/>
      <c r="H4266" s="18"/>
      <c r="K4266" s="18" t="s">
        <v>316</v>
      </c>
    </row>
    <row r="4267">
      <c r="A4267" s="17"/>
      <c r="H4267" s="18"/>
      <c r="K4267" s="18" t="s">
        <v>316</v>
      </c>
    </row>
    <row r="4268">
      <c r="A4268" s="17"/>
      <c r="H4268" s="18"/>
      <c r="K4268" s="18" t="s">
        <v>316</v>
      </c>
    </row>
    <row r="4269">
      <c r="A4269" s="17"/>
      <c r="H4269" s="18"/>
      <c r="K4269" s="18" t="s">
        <v>316</v>
      </c>
    </row>
    <row r="4270">
      <c r="A4270" s="17"/>
      <c r="H4270" s="18"/>
      <c r="K4270" s="18" t="s">
        <v>316</v>
      </c>
    </row>
    <row r="4271">
      <c r="A4271" s="17"/>
      <c r="H4271" s="18"/>
      <c r="K4271" s="18" t="s">
        <v>316</v>
      </c>
    </row>
    <row r="4272">
      <c r="A4272" s="17"/>
      <c r="H4272" s="18"/>
      <c r="K4272" s="18" t="s">
        <v>316</v>
      </c>
    </row>
    <row r="4273">
      <c r="A4273" s="17"/>
      <c r="H4273" s="18"/>
      <c r="K4273" s="18" t="s">
        <v>316</v>
      </c>
    </row>
    <row r="4274">
      <c r="A4274" s="17"/>
      <c r="H4274" s="18"/>
      <c r="K4274" s="18" t="s">
        <v>316</v>
      </c>
    </row>
    <row r="4275">
      <c r="A4275" s="17"/>
      <c r="H4275" s="18"/>
      <c r="K4275" s="18" t="s">
        <v>316</v>
      </c>
    </row>
    <row r="4276">
      <c r="A4276" s="17"/>
      <c r="H4276" s="18"/>
      <c r="K4276" s="18" t="s">
        <v>316</v>
      </c>
    </row>
    <row r="4277">
      <c r="A4277" s="17"/>
      <c r="H4277" s="18"/>
      <c r="K4277" s="18" t="s">
        <v>316</v>
      </c>
    </row>
    <row r="4278">
      <c r="A4278" s="17"/>
      <c r="H4278" s="18"/>
      <c r="K4278" s="18" t="s">
        <v>316</v>
      </c>
    </row>
    <row r="4279">
      <c r="A4279" s="17"/>
      <c r="H4279" s="18"/>
      <c r="K4279" s="18" t="s">
        <v>316</v>
      </c>
    </row>
    <row r="4280">
      <c r="A4280" s="17"/>
      <c r="H4280" s="18"/>
      <c r="K4280" s="18" t="s">
        <v>316</v>
      </c>
    </row>
    <row r="4281">
      <c r="A4281" s="17"/>
      <c r="H4281" s="18"/>
      <c r="K4281" s="18" t="s">
        <v>316</v>
      </c>
    </row>
    <row r="4282">
      <c r="A4282" s="17"/>
      <c r="H4282" s="18"/>
      <c r="K4282" s="18" t="s">
        <v>316</v>
      </c>
    </row>
    <row r="4283">
      <c r="A4283" s="17"/>
      <c r="H4283" s="18"/>
      <c r="K4283" s="18" t="s">
        <v>316</v>
      </c>
    </row>
    <row r="4284">
      <c r="A4284" s="17"/>
      <c r="H4284" s="18"/>
      <c r="K4284" s="18" t="s">
        <v>316</v>
      </c>
    </row>
    <row r="4285">
      <c r="A4285" s="17"/>
      <c r="H4285" s="18"/>
      <c r="K4285" s="18" t="s">
        <v>316</v>
      </c>
    </row>
    <row r="4286">
      <c r="A4286" s="17"/>
      <c r="H4286" s="18"/>
      <c r="K4286" s="18" t="s">
        <v>316</v>
      </c>
    </row>
    <row r="4287">
      <c r="A4287" s="17"/>
      <c r="H4287" s="18"/>
      <c r="K4287" s="18" t="s">
        <v>316</v>
      </c>
    </row>
    <row r="4288">
      <c r="A4288" s="17"/>
      <c r="H4288" s="18"/>
      <c r="K4288" s="18" t="s">
        <v>316</v>
      </c>
    </row>
    <row r="4289">
      <c r="A4289" s="17"/>
      <c r="H4289" s="18"/>
      <c r="K4289" s="18" t="s">
        <v>316</v>
      </c>
    </row>
    <row r="4290">
      <c r="A4290" s="17"/>
      <c r="H4290" s="18"/>
      <c r="K4290" s="18" t="s">
        <v>316</v>
      </c>
    </row>
    <row r="4291">
      <c r="A4291" s="17"/>
      <c r="H4291" s="18"/>
      <c r="K4291" s="18" t="s">
        <v>316</v>
      </c>
    </row>
    <row r="4292">
      <c r="A4292" s="17"/>
      <c r="H4292" s="18"/>
      <c r="K4292" s="18" t="s">
        <v>316</v>
      </c>
    </row>
    <row r="4293">
      <c r="A4293" s="17"/>
      <c r="H4293" s="18"/>
      <c r="K4293" s="18" t="s">
        <v>316</v>
      </c>
    </row>
    <row r="4294">
      <c r="A4294" s="17"/>
      <c r="H4294" s="18"/>
      <c r="K4294" s="18" t="s">
        <v>316</v>
      </c>
    </row>
    <row r="4295">
      <c r="A4295" s="17"/>
      <c r="H4295" s="18"/>
      <c r="K4295" s="18" t="s">
        <v>316</v>
      </c>
    </row>
    <row r="4296">
      <c r="A4296" s="17"/>
      <c r="H4296" s="18"/>
      <c r="K4296" s="18" t="s">
        <v>316</v>
      </c>
    </row>
    <row r="4297">
      <c r="A4297" s="17"/>
      <c r="H4297" s="18"/>
      <c r="K4297" s="18" t="s">
        <v>316</v>
      </c>
    </row>
    <row r="4298">
      <c r="A4298" s="17"/>
      <c r="H4298" s="18"/>
      <c r="K4298" s="18" t="s">
        <v>316</v>
      </c>
    </row>
    <row r="4299">
      <c r="A4299" s="17"/>
      <c r="H4299" s="18"/>
      <c r="K4299" s="18" t="s">
        <v>316</v>
      </c>
    </row>
    <row r="4300">
      <c r="A4300" s="17"/>
      <c r="H4300" s="18"/>
      <c r="K4300" s="18" t="s">
        <v>316</v>
      </c>
    </row>
    <row r="4301">
      <c r="A4301" s="17"/>
      <c r="H4301" s="18"/>
      <c r="K4301" s="18" t="s">
        <v>316</v>
      </c>
    </row>
    <row r="4302">
      <c r="A4302" s="17"/>
      <c r="H4302" s="18"/>
      <c r="K4302" s="18" t="s">
        <v>316</v>
      </c>
    </row>
    <row r="4303">
      <c r="A4303" s="17"/>
      <c r="H4303" s="18"/>
      <c r="K4303" s="18" t="s">
        <v>316</v>
      </c>
    </row>
    <row r="4304">
      <c r="A4304" s="17"/>
      <c r="H4304" s="18"/>
      <c r="K4304" s="18" t="s">
        <v>316</v>
      </c>
    </row>
    <row r="4305">
      <c r="A4305" s="17"/>
      <c r="H4305" s="18"/>
      <c r="K4305" s="18" t="s">
        <v>316</v>
      </c>
    </row>
    <row r="4306">
      <c r="A4306" s="17"/>
      <c r="H4306" s="18"/>
      <c r="K4306" s="18" t="s">
        <v>316</v>
      </c>
    </row>
    <row r="4307">
      <c r="A4307" s="17"/>
      <c r="H4307" s="18"/>
      <c r="K4307" s="18" t="s">
        <v>316</v>
      </c>
    </row>
    <row r="4308">
      <c r="A4308" s="17"/>
      <c r="H4308" s="18"/>
      <c r="K4308" s="18" t="s">
        <v>316</v>
      </c>
    </row>
    <row r="4309">
      <c r="A4309" s="17"/>
      <c r="H4309" s="18"/>
      <c r="K4309" s="18" t="s">
        <v>316</v>
      </c>
    </row>
    <row r="4310">
      <c r="A4310" s="17"/>
      <c r="H4310" s="18"/>
      <c r="K4310" s="18" t="s">
        <v>316</v>
      </c>
    </row>
    <row r="4311">
      <c r="A4311" s="17"/>
      <c r="H4311" s="18"/>
      <c r="K4311" s="18" t="s">
        <v>316</v>
      </c>
    </row>
    <row r="4312">
      <c r="A4312" s="17"/>
      <c r="H4312" s="18"/>
      <c r="K4312" s="18" t="s">
        <v>316</v>
      </c>
    </row>
    <row r="4313">
      <c r="A4313" s="17"/>
      <c r="H4313" s="18"/>
      <c r="K4313" s="18" t="s">
        <v>316</v>
      </c>
    </row>
    <row r="4314">
      <c r="A4314" s="17"/>
      <c r="H4314" s="18"/>
      <c r="K4314" s="18" t="s">
        <v>316</v>
      </c>
    </row>
    <row r="4315">
      <c r="A4315" s="17"/>
      <c r="H4315" s="18"/>
      <c r="K4315" s="18" t="s">
        <v>316</v>
      </c>
    </row>
    <row r="4316">
      <c r="A4316" s="17"/>
      <c r="H4316" s="18"/>
      <c r="K4316" s="18" t="s">
        <v>316</v>
      </c>
    </row>
    <row r="4317">
      <c r="A4317" s="17"/>
      <c r="H4317" s="18"/>
      <c r="K4317" s="18" t="s">
        <v>316</v>
      </c>
    </row>
    <row r="4318">
      <c r="A4318" s="17"/>
      <c r="H4318" s="18"/>
      <c r="K4318" s="18" t="s">
        <v>316</v>
      </c>
    </row>
    <row r="4319">
      <c r="A4319" s="17"/>
      <c r="H4319" s="18"/>
      <c r="K4319" s="18" t="s">
        <v>316</v>
      </c>
    </row>
    <row r="4320">
      <c r="A4320" s="17"/>
      <c r="H4320" s="18"/>
      <c r="K4320" s="18" t="s">
        <v>316</v>
      </c>
    </row>
    <row r="4321">
      <c r="A4321" s="17"/>
      <c r="H4321" s="18"/>
      <c r="K4321" s="18" t="s">
        <v>316</v>
      </c>
    </row>
    <row r="4322">
      <c r="A4322" s="17"/>
      <c r="H4322" s="18"/>
      <c r="K4322" s="18" t="s">
        <v>316</v>
      </c>
    </row>
    <row r="4323">
      <c r="A4323" s="17"/>
      <c r="H4323" s="18"/>
      <c r="K4323" s="18" t="s">
        <v>316</v>
      </c>
    </row>
    <row r="4324">
      <c r="A4324" s="17"/>
      <c r="H4324" s="18"/>
      <c r="K4324" s="18" t="s">
        <v>316</v>
      </c>
    </row>
    <row r="4325">
      <c r="A4325" s="17"/>
      <c r="H4325" s="18"/>
      <c r="K4325" s="18" t="s">
        <v>316</v>
      </c>
    </row>
    <row r="4326">
      <c r="A4326" s="17"/>
      <c r="H4326" s="18"/>
      <c r="K4326" s="18" t="s">
        <v>316</v>
      </c>
    </row>
    <row r="4327">
      <c r="A4327" s="17"/>
      <c r="H4327" s="18"/>
      <c r="K4327" s="18" t="s">
        <v>316</v>
      </c>
    </row>
    <row r="4328">
      <c r="A4328" s="17"/>
      <c r="H4328" s="18"/>
      <c r="K4328" s="18" t="s">
        <v>316</v>
      </c>
    </row>
    <row r="4329">
      <c r="A4329" s="17"/>
      <c r="H4329" s="18"/>
      <c r="K4329" s="18" t="s">
        <v>316</v>
      </c>
    </row>
    <row r="4330">
      <c r="A4330" s="17"/>
      <c r="H4330" s="18"/>
      <c r="K4330" s="18" t="s">
        <v>316</v>
      </c>
    </row>
    <row r="4331">
      <c r="A4331" s="17"/>
      <c r="H4331" s="18"/>
      <c r="K4331" s="18" t="s">
        <v>316</v>
      </c>
    </row>
    <row r="4332">
      <c r="A4332" s="17"/>
      <c r="H4332" s="18"/>
      <c r="K4332" s="18" t="s">
        <v>316</v>
      </c>
    </row>
    <row r="4333">
      <c r="A4333" s="17"/>
      <c r="H4333" s="18"/>
      <c r="K4333" s="18" t="s">
        <v>316</v>
      </c>
    </row>
    <row r="4334">
      <c r="A4334" s="17"/>
      <c r="H4334" s="18"/>
      <c r="K4334" s="18" t="s">
        <v>316</v>
      </c>
    </row>
    <row r="4335">
      <c r="A4335" s="17"/>
      <c r="H4335" s="18"/>
      <c r="K4335" s="18" t="s">
        <v>316</v>
      </c>
    </row>
    <row r="4336">
      <c r="A4336" s="17"/>
      <c r="H4336" s="18"/>
      <c r="K4336" s="18" t="s">
        <v>316</v>
      </c>
    </row>
    <row r="4337">
      <c r="A4337" s="17"/>
      <c r="H4337" s="18"/>
      <c r="K4337" s="18" t="s">
        <v>316</v>
      </c>
    </row>
    <row r="4338">
      <c r="A4338" s="17"/>
      <c r="H4338" s="18"/>
      <c r="K4338" s="18" t="s">
        <v>316</v>
      </c>
    </row>
    <row r="4339">
      <c r="A4339" s="17"/>
      <c r="H4339" s="18"/>
      <c r="K4339" s="18" t="s">
        <v>316</v>
      </c>
    </row>
    <row r="4340">
      <c r="A4340" s="17"/>
      <c r="H4340" s="18"/>
      <c r="K4340" s="18" t="s">
        <v>316</v>
      </c>
    </row>
    <row r="4341">
      <c r="A4341" s="17"/>
      <c r="H4341" s="18"/>
      <c r="K4341" s="18" t="s">
        <v>316</v>
      </c>
    </row>
    <row r="4342">
      <c r="A4342" s="17"/>
      <c r="H4342" s="18"/>
      <c r="K4342" s="18" t="s">
        <v>316</v>
      </c>
    </row>
    <row r="4343">
      <c r="A4343" s="17"/>
      <c r="H4343" s="18"/>
      <c r="K4343" s="18" t="s">
        <v>316</v>
      </c>
    </row>
    <row r="4344">
      <c r="A4344" s="17"/>
      <c r="H4344" s="18"/>
      <c r="K4344" s="18" t="s">
        <v>316</v>
      </c>
    </row>
    <row r="4345">
      <c r="A4345" s="17"/>
      <c r="H4345" s="18"/>
      <c r="K4345" s="18" t="s">
        <v>316</v>
      </c>
    </row>
    <row r="4346">
      <c r="A4346" s="17"/>
      <c r="H4346" s="18"/>
      <c r="K4346" s="18" t="s">
        <v>316</v>
      </c>
    </row>
    <row r="4347">
      <c r="A4347" s="17"/>
      <c r="H4347" s="18"/>
      <c r="K4347" s="18" t="s">
        <v>316</v>
      </c>
    </row>
    <row r="4348">
      <c r="A4348" s="17"/>
      <c r="H4348" s="18"/>
      <c r="K4348" s="18" t="s">
        <v>316</v>
      </c>
    </row>
    <row r="4349">
      <c r="A4349" s="17"/>
      <c r="H4349" s="18"/>
      <c r="K4349" s="18" t="s">
        <v>316</v>
      </c>
    </row>
    <row r="4350">
      <c r="A4350" s="17"/>
      <c r="H4350" s="18"/>
      <c r="K4350" s="18" t="s">
        <v>316</v>
      </c>
    </row>
    <row r="4351">
      <c r="A4351" s="17"/>
      <c r="H4351" s="18"/>
      <c r="K4351" s="18" t="s">
        <v>316</v>
      </c>
    </row>
    <row r="4352">
      <c r="A4352" s="17"/>
      <c r="H4352" s="18"/>
      <c r="K4352" s="18" t="s">
        <v>316</v>
      </c>
    </row>
    <row r="4353">
      <c r="A4353" s="17"/>
      <c r="H4353" s="18"/>
      <c r="K4353" s="18" t="s">
        <v>316</v>
      </c>
    </row>
    <row r="4354">
      <c r="A4354" s="17"/>
      <c r="H4354" s="18"/>
      <c r="K4354" s="18" t="s">
        <v>316</v>
      </c>
    </row>
    <row r="4355">
      <c r="A4355" s="17"/>
      <c r="H4355" s="18"/>
      <c r="K4355" s="18" t="s">
        <v>316</v>
      </c>
    </row>
    <row r="4356">
      <c r="A4356" s="17"/>
      <c r="H4356" s="18"/>
      <c r="K4356" s="18" t="s">
        <v>316</v>
      </c>
    </row>
    <row r="4357">
      <c r="A4357" s="17"/>
      <c r="H4357" s="18"/>
      <c r="K4357" s="18" t="s">
        <v>316</v>
      </c>
    </row>
    <row r="4358">
      <c r="A4358" s="17"/>
      <c r="H4358" s="18"/>
      <c r="K4358" s="18" t="s">
        <v>316</v>
      </c>
    </row>
    <row r="4359">
      <c r="A4359" s="17"/>
      <c r="H4359" s="18"/>
      <c r="K4359" s="18" t="s">
        <v>316</v>
      </c>
    </row>
    <row r="4360">
      <c r="A4360" s="17"/>
      <c r="H4360" s="18"/>
      <c r="K4360" s="18" t="s">
        <v>316</v>
      </c>
    </row>
    <row r="4361">
      <c r="A4361" s="17"/>
      <c r="H4361" s="18"/>
      <c r="K4361" s="18" t="s">
        <v>316</v>
      </c>
    </row>
    <row r="4362">
      <c r="A4362" s="17"/>
      <c r="H4362" s="18"/>
      <c r="K4362" s="18" t="s">
        <v>316</v>
      </c>
    </row>
    <row r="4363">
      <c r="A4363" s="17"/>
      <c r="H4363" s="18"/>
      <c r="K4363" s="18" t="s">
        <v>316</v>
      </c>
    </row>
    <row r="4364">
      <c r="A4364" s="17"/>
      <c r="H4364" s="18"/>
      <c r="K4364" s="18" t="s">
        <v>316</v>
      </c>
    </row>
    <row r="4365">
      <c r="A4365" s="17"/>
      <c r="H4365" s="18"/>
      <c r="K4365" s="18" t="s">
        <v>316</v>
      </c>
    </row>
    <row r="4366">
      <c r="A4366" s="17"/>
      <c r="H4366" s="18"/>
      <c r="K4366" s="18" t="s">
        <v>316</v>
      </c>
    </row>
    <row r="4367">
      <c r="A4367" s="17"/>
      <c r="H4367" s="18"/>
      <c r="K4367" s="18" t="s">
        <v>316</v>
      </c>
    </row>
    <row r="4368">
      <c r="A4368" s="17"/>
      <c r="H4368" s="18"/>
      <c r="K4368" s="18" t="s">
        <v>316</v>
      </c>
    </row>
    <row r="4369">
      <c r="A4369" s="17"/>
      <c r="H4369" s="18"/>
      <c r="K4369" s="18" t="s">
        <v>316</v>
      </c>
    </row>
    <row r="4370">
      <c r="A4370" s="17"/>
      <c r="H4370" s="18"/>
      <c r="K4370" s="18" t="s">
        <v>316</v>
      </c>
    </row>
    <row r="4371">
      <c r="A4371" s="17"/>
      <c r="H4371" s="18"/>
      <c r="K4371" s="18" t="s">
        <v>316</v>
      </c>
    </row>
    <row r="4372">
      <c r="A4372" s="17"/>
      <c r="H4372" s="18"/>
      <c r="K4372" s="18" t="s">
        <v>316</v>
      </c>
    </row>
    <row r="4373">
      <c r="A4373" s="17"/>
      <c r="H4373" s="18"/>
      <c r="K4373" s="18" t="s">
        <v>316</v>
      </c>
    </row>
    <row r="4374">
      <c r="A4374" s="17"/>
      <c r="H4374" s="18"/>
      <c r="K4374" s="18" t="s">
        <v>316</v>
      </c>
    </row>
    <row r="4375">
      <c r="A4375" s="17"/>
      <c r="H4375" s="18"/>
      <c r="K4375" s="18" t="s">
        <v>316</v>
      </c>
    </row>
    <row r="4376">
      <c r="A4376" s="17"/>
      <c r="H4376" s="18"/>
      <c r="K4376" s="18" t="s">
        <v>316</v>
      </c>
    </row>
    <row r="4377">
      <c r="A4377" s="17"/>
      <c r="H4377" s="18"/>
      <c r="K4377" s="18" t="s">
        <v>316</v>
      </c>
    </row>
    <row r="4378">
      <c r="A4378" s="17"/>
      <c r="H4378" s="18"/>
      <c r="K4378" s="18" t="s">
        <v>316</v>
      </c>
    </row>
    <row r="4379">
      <c r="A4379" s="17"/>
      <c r="H4379" s="18"/>
      <c r="K4379" s="18" t="s">
        <v>316</v>
      </c>
    </row>
    <row r="4380">
      <c r="A4380" s="17"/>
      <c r="H4380" s="18"/>
      <c r="K4380" s="18" t="s">
        <v>316</v>
      </c>
    </row>
    <row r="4381">
      <c r="A4381" s="17"/>
      <c r="H4381" s="18"/>
      <c r="K4381" s="18" t="s">
        <v>316</v>
      </c>
    </row>
    <row r="4382">
      <c r="A4382" s="17"/>
      <c r="H4382" s="18"/>
      <c r="K4382" s="18" t="s">
        <v>316</v>
      </c>
    </row>
    <row r="4383">
      <c r="A4383" s="17"/>
      <c r="H4383" s="18"/>
      <c r="K4383" s="18" t="s">
        <v>316</v>
      </c>
    </row>
    <row r="4384">
      <c r="A4384" s="17"/>
      <c r="H4384" s="18"/>
      <c r="K4384" s="18" t="s">
        <v>316</v>
      </c>
    </row>
    <row r="4385">
      <c r="A4385" s="17"/>
      <c r="H4385" s="18"/>
      <c r="K4385" s="18" t="s">
        <v>316</v>
      </c>
    </row>
    <row r="4386">
      <c r="A4386" s="17"/>
      <c r="H4386" s="18"/>
      <c r="K4386" s="18" t="s">
        <v>316</v>
      </c>
    </row>
    <row r="4387">
      <c r="A4387" s="17"/>
      <c r="H4387" s="18"/>
      <c r="K4387" s="18" t="s">
        <v>316</v>
      </c>
    </row>
    <row r="4388">
      <c r="A4388" s="17"/>
      <c r="H4388" s="18"/>
      <c r="K4388" s="18" t="s">
        <v>316</v>
      </c>
    </row>
    <row r="4389">
      <c r="A4389" s="17"/>
      <c r="H4389" s="18"/>
      <c r="K4389" s="18" t="s">
        <v>316</v>
      </c>
    </row>
    <row r="4390">
      <c r="A4390" s="17"/>
      <c r="H4390" s="18"/>
      <c r="K4390" s="18" t="s">
        <v>316</v>
      </c>
    </row>
    <row r="4391">
      <c r="A4391" s="17"/>
      <c r="H4391" s="18"/>
      <c r="K4391" s="18" t="s">
        <v>316</v>
      </c>
    </row>
    <row r="4392">
      <c r="A4392" s="17"/>
      <c r="H4392" s="18"/>
      <c r="K4392" s="18" t="s">
        <v>316</v>
      </c>
    </row>
    <row r="4393">
      <c r="A4393" s="17"/>
      <c r="H4393" s="18"/>
      <c r="K4393" s="18" t="s">
        <v>316</v>
      </c>
    </row>
    <row r="4394">
      <c r="A4394" s="17"/>
      <c r="H4394" s="18"/>
      <c r="K4394" s="18" t="s">
        <v>316</v>
      </c>
    </row>
    <row r="4395">
      <c r="A4395" s="17"/>
      <c r="H4395" s="18"/>
      <c r="K4395" s="18" t="s">
        <v>316</v>
      </c>
    </row>
    <row r="4396">
      <c r="A4396" s="17"/>
      <c r="H4396" s="18"/>
      <c r="K4396" s="18" t="s">
        <v>316</v>
      </c>
    </row>
    <row r="4397">
      <c r="A4397" s="17"/>
      <c r="H4397" s="18"/>
      <c r="K4397" s="18" t="s">
        <v>316</v>
      </c>
    </row>
    <row r="4398">
      <c r="A4398" s="17"/>
      <c r="H4398" s="18"/>
      <c r="K4398" s="18" t="s">
        <v>316</v>
      </c>
    </row>
    <row r="4399">
      <c r="A4399" s="17"/>
      <c r="H4399" s="18"/>
      <c r="K4399" s="18" t="s">
        <v>316</v>
      </c>
    </row>
    <row r="4400">
      <c r="A4400" s="17"/>
      <c r="H4400" s="18"/>
      <c r="K4400" s="18" t="s">
        <v>316</v>
      </c>
    </row>
    <row r="4401">
      <c r="A4401" s="17"/>
      <c r="H4401" s="18"/>
      <c r="K4401" s="18" t="s">
        <v>316</v>
      </c>
    </row>
    <row r="4402">
      <c r="A4402" s="17"/>
      <c r="H4402" s="18"/>
      <c r="K4402" s="18" t="s">
        <v>316</v>
      </c>
    </row>
    <row r="4403">
      <c r="A4403" s="17"/>
      <c r="H4403" s="18"/>
      <c r="K4403" s="18" t="s">
        <v>316</v>
      </c>
    </row>
    <row r="4404">
      <c r="A4404" s="17"/>
      <c r="H4404" s="18"/>
      <c r="K4404" s="18" t="s">
        <v>316</v>
      </c>
    </row>
    <row r="4405">
      <c r="A4405" s="17"/>
      <c r="H4405" s="18"/>
      <c r="K4405" s="18" t="s">
        <v>316</v>
      </c>
    </row>
    <row r="4406">
      <c r="A4406" s="17"/>
      <c r="H4406" s="18"/>
      <c r="K4406" s="18" t="s">
        <v>316</v>
      </c>
    </row>
    <row r="4407">
      <c r="A4407" s="17"/>
      <c r="H4407" s="18"/>
      <c r="K4407" s="18" t="s">
        <v>316</v>
      </c>
    </row>
    <row r="4408">
      <c r="A4408" s="17"/>
      <c r="H4408" s="18"/>
      <c r="K4408" s="18" t="s">
        <v>316</v>
      </c>
    </row>
    <row r="4409">
      <c r="A4409" s="17"/>
      <c r="H4409" s="18"/>
      <c r="K4409" s="18" t="s">
        <v>316</v>
      </c>
    </row>
    <row r="4410">
      <c r="A4410" s="17"/>
      <c r="H4410" s="18"/>
      <c r="K4410" s="18" t="s">
        <v>316</v>
      </c>
    </row>
    <row r="4411">
      <c r="A4411" s="17"/>
      <c r="H4411" s="18"/>
      <c r="K4411" s="18" t="s">
        <v>316</v>
      </c>
    </row>
    <row r="4412">
      <c r="A4412" s="17"/>
      <c r="H4412" s="18"/>
      <c r="K4412" s="18" t="s">
        <v>316</v>
      </c>
    </row>
    <row r="4413">
      <c r="A4413" s="17"/>
      <c r="H4413" s="18"/>
      <c r="K4413" s="18" t="s">
        <v>316</v>
      </c>
    </row>
    <row r="4414">
      <c r="A4414" s="17"/>
      <c r="H4414" s="18"/>
      <c r="K4414" s="18" t="s">
        <v>316</v>
      </c>
    </row>
    <row r="4415">
      <c r="A4415" s="17"/>
      <c r="H4415" s="18"/>
      <c r="K4415" s="18" t="s">
        <v>316</v>
      </c>
    </row>
    <row r="4416">
      <c r="A4416" s="17"/>
      <c r="H4416" s="18"/>
      <c r="K4416" s="18" t="s">
        <v>316</v>
      </c>
    </row>
    <row r="4417">
      <c r="A4417" s="17"/>
      <c r="H4417" s="18"/>
      <c r="K4417" s="18" t="s">
        <v>316</v>
      </c>
    </row>
    <row r="4418">
      <c r="A4418" s="17"/>
      <c r="H4418" s="18"/>
      <c r="K4418" s="18" t="s">
        <v>316</v>
      </c>
    </row>
    <row r="4419">
      <c r="A4419" s="17"/>
      <c r="H4419" s="18"/>
      <c r="K4419" s="18" t="s">
        <v>316</v>
      </c>
    </row>
    <row r="4420">
      <c r="A4420" s="17"/>
      <c r="H4420" s="18"/>
      <c r="K4420" s="18" t="s">
        <v>316</v>
      </c>
    </row>
    <row r="4421">
      <c r="A4421" s="17"/>
      <c r="H4421" s="18"/>
      <c r="K4421" s="18" t="s">
        <v>316</v>
      </c>
    </row>
    <row r="4422">
      <c r="A4422" s="17"/>
      <c r="H4422" s="18"/>
      <c r="K4422" s="18" t="s">
        <v>316</v>
      </c>
    </row>
    <row r="4423">
      <c r="A4423" s="17"/>
      <c r="H4423" s="18"/>
      <c r="K4423" s="18" t="s">
        <v>316</v>
      </c>
    </row>
    <row r="4424">
      <c r="A4424" s="17"/>
      <c r="H4424" s="18"/>
      <c r="K4424" s="18" t="s">
        <v>316</v>
      </c>
    </row>
    <row r="4425">
      <c r="A4425" s="17"/>
      <c r="H4425" s="18"/>
      <c r="K4425" s="18" t="s">
        <v>316</v>
      </c>
    </row>
    <row r="4426">
      <c r="A4426" s="17"/>
      <c r="H4426" s="18"/>
      <c r="K4426" s="18" t="s">
        <v>316</v>
      </c>
    </row>
    <row r="4427">
      <c r="A4427" s="17"/>
      <c r="H4427" s="18"/>
      <c r="K4427" s="18" t="s">
        <v>316</v>
      </c>
    </row>
    <row r="4428">
      <c r="A4428" s="17"/>
      <c r="H4428" s="18"/>
      <c r="K4428" s="18" t="s">
        <v>316</v>
      </c>
    </row>
    <row r="4429">
      <c r="A4429" s="17"/>
      <c r="H4429" s="18"/>
      <c r="K4429" s="18" t="s">
        <v>316</v>
      </c>
    </row>
    <row r="4430">
      <c r="A4430" s="17"/>
      <c r="H4430" s="18"/>
      <c r="K4430" s="18" t="s">
        <v>316</v>
      </c>
    </row>
    <row r="4431">
      <c r="A4431" s="17"/>
      <c r="H4431" s="18"/>
      <c r="K4431" s="18" t="s">
        <v>316</v>
      </c>
    </row>
    <row r="4432">
      <c r="A4432" s="17"/>
      <c r="H4432" s="18"/>
      <c r="K4432" s="18" t="s">
        <v>316</v>
      </c>
    </row>
    <row r="4433">
      <c r="A4433" s="17"/>
      <c r="H4433" s="18"/>
      <c r="K4433" s="18" t="s">
        <v>316</v>
      </c>
    </row>
    <row r="4434">
      <c r="A4434" s="17"/>
      <c r="H4434" s="18"/>
      <c r="K4434" s="18" t="s">
        <v>316</v>
      </c>
    </row>
    <row r="4435">
      <c r="A4435" s="17"/>
      <c r="H4435" s="18"/>
      <c r="K4435" s="18" t="s">
        <v>316</v>
      </c>
    </row>
    <row r="4436">
      <c r="A4436" s="17"/>
      <c r="H4436" s="18"/>
      <c r="K4436" s="18" t="s">
        <v>316</v>
      </c>
    </row>
    <row r="4437">
      <c r="A4437" s="17"/>
      <c r="H4437" s="18"/>
      <c r="K4437" s="18" t="s">
        <v>316</v>
      </c>
    </row>
    <row r="4438">
      <c r="A4438" s="17"/>
      <c r="H4438" s="18"/>
      <c r="K4438" s="18" t="s">
        <v>316</v>
      </c>
    </row>
    <row r="4439">
      <c r="A4439" s="17"/>
      <c r="H4439" s="18"/>
      <c r="K4439" s="18" t="s">
        <v>316</v>
      </c>
    </row>
    <row r="4440">
      <c r="A4440" s="17"/>
      <c r="H4440" s="18"/>
      <c r="K4440" s="18" t="s">
        <v>316</v>
      </c>
    </row>
    <row r="4441">
      <c r="A4441" s="17"/>
      <c r="H4441" s="18"/>
      <c r="K4441" s="18" t="s">
        <v>316</v>
      </c>
    </row>
    <row r="4442">
      <c r="A4442" s="17"/>
      <c r="H4442" s="18"/>
      <c r="K4442" s="18" t="s">
        <v>316</v>
      </c>
    </row>
    <row r="4443">
      <c r="A4443" s="17"/>
      <c r="H4443" s="18"/>
      <c r="K4443" s="18" t="s">
        <v>316</v>
      </c>
    </row>
    <row r="4444">
      <c r="A4444" s="17"/>
      <c r="H4444" s="18"/>
      <c r="K4444" s="18" t="s">
        <v>316</v>
      </c>
    </row>
    <row r="4445">
      <c r="A4445" s="17"/>
      <c r="H4445" s="18"/>
      <c r="K4445" s="18" t="s">
        <v>316</v>
      </c>
    </row>
    <row r="4446">
      <c r="A4446" s="17"/>
      <c r="H4446" s="18"/>
      <c r="K4446" s="18" t="s">
        <v>316</v>
      </c>
    </row>
    <row r="4447">
      <c r="A4447" s="17"/>
      <c r="H4447" s="18"/>
      <c r="K4447" s="18" t="s">
        <v>316</v>
      </c>
    </row>
    <row r="4448">
      <c r="A4448" s="17"/>
      <c r="H4448" s="18"/>
      <c r="K4448" s="18" t="s">
        <v>316</v>
      </c>
    </row>
    <row r="4449">
      <c r="A4449" s="17"/>
      <c r="H4449" s="18"/>
      <c r="K4449" s="18" t="s">
        <v>316</v>
      </c>
    </row>
    <row r="4450">
      <c r="A4450" s="17"/>
      <c r="H4450" s="18"/>
      <c r="K4450" s="18" t="s">
        <v>316</v>
      </c>
    </row>
    <row r="4451">
      <c r="A4451" s="17"/>
      <c r="H4451" s="18"/>
      <c r="K4451" s="18" t="s">
        <v>316</v>
      </c>
    </row>
    <row r="4452">
      <c r="A4452" s="17"/>
      <c r="H4452" s="18"/>
      <c r="K4452" s="18" t="s">
        <v>316</v>
      </c>
    </row>
    <row r="4453">
      <c r="A4453" s="17"/>
      <c r="H4453" s="18"/>
      <c r="K4453" s="18" t="s">
        <v>316</v>
      </c>
    </row>
    <row r="4454">
      <c r="A4454" s="17"/>
      <c r="H4454" s="18"/>
      <c r="K4454" s="18" t="s">
        <v>316</v>
      </c>
    </row>
    <row r="4455">
      <c r="A4455" s="17"/>
      <c r="H4455" s="18"/>
      <c r="K4455" s="18" t="s">
        <v>316</v>
      </c>
    </row>
    <row r="4456">
      <c r="A4456" s="17"/>
      <c r="H4456" s="18"/>
      <c r="K4456" s="18" t="s">
        <v>316</v>
      </c>
    </row>
    <row r="4457">
      <c r="A4457" s="17"/>
      <c r="H4457" s="18"/>
      <c r="K4457" s="18" t="s">
        <v>316</v>
      </c>
    </row>
    <row r="4458">
      <c r="A4458" s="17"/>
      <c r="H4458" s="18"/>
      <c r="K4458" s="18" t="s">
        <v>316</v>
      </c>
    </row>
    <row r="4459">
      <c r="A4459" s="17"/>
      <c r="H4459" s="18"/>
      <c r="K4459" s="18" t="s">
        <v>316</v>
      </c>
    </row>
    <row r="4460">
      <c r="A4460" s="17"/>
      <c r="H4460" s="18"/>
      <c r="K4460" s="18" t="s">
        <v>316</v>
      </c>
    </row>
    <row r="4461">
      <c r="A4461" s="17"/>
      <c r="H4461" s="18"/>
      <c r="K4461" s="18" t="s">
        <v>316</v>
      </c>
    </row>
    <row r="4462">
      <c r="A4462" s="17"/>
      <c r="H4462" s="18"/>
      <c r="K4462" s="18" t="s">
        <v>316</v>
      </c>
    </row>
    <row r="4463">
      <c r="A4463" s="17"/>
      <c r="H4463" s="18"/>
      <c r="K4463" s="18" t="s">
        <v>316</v>
      </c>
    </row>
    <row r="4464">
      <c r="A4464" s="17"/>
      <c r="H4464" s="18"/>
      <c r="K4464" s="18" t="s">
        <v>316</v>
      </c>
    </row>
    <row r="4465">
      <c r="A4465" s="17"/>
      <c r="H4465" s="18"/>
      <c r="K4465" s="18" t="s">
        <v>316</v>
      </c>
    </row>
    <row r="4466">
      <c r="A4466" s="17"/>
      <c r="H4466" s="18"/>
      <c r="K4466" s="18" t="s">
        <v>316</v>
      </c>
    </row>
    <row r="4467">
      <c r="A4467" s="17"/>
      <c r="H4467" s="18"/>
      <c r="K4467" s="18" t="s">
        <v>316</v>
      </c>
    </row>
    <row r="4468">
      <c r="A4468" s="17"/>
      <c r="H4468" s="18"/>
      <c r="K4468" s="18" t="s">
        <v>316</v>
      </c>
    </row>
    <row r="4469">
      <c r="A4469" s="17"/>
      <c r="H4469" s="18"/>
      <c r="K4469" s="18" t="s">
        <v>316</v>
      </c>
    </row>
    <row r="4470">
      <c r="A4470" s="17"/>
      <c r="H4470" s="18"/>
      <c r="K4470" s="18" t="s">
        <v>316</v>
      </c>
    </row>
    <row r="4471">
      <c r="A4471" s="17"/>
      <c r="H4471" s="18"/>
      <c r="K4471" s="18" t="s">
        <v>316</v>
      </c>
    </row>
    <row r="4472">
      <c r="A4472" s="17"/>
      <c r="H4472" s="18"/>
      <c r="K4472" s="18" t="s">
        <v>316</v>
      </c>
    </row>
    <row r="4473">
      <c r="A4473" s="17"/>
      <c r="H4473" s="18"/>
      <c r="K4473" s="18" t="s">
        <v>316</v>
      </c>
    </row>
    <row r="4474">
      <c r="A4474" s="17"/>
      <c r="H4474" s="18"/>
      <c r="K4474" s="18" t="s">
        <v>316</v>
      </c>
    </row>
    <row r="4475">
      <c r="A4475" s="17"/>
      <c r="H4475" s="18"/>
      <c r="K4475" s="18" t="s">
        <v>316</v>
      </c>
    </row>
    <row r="4476">
      <c r="A4476" s="17"/>
      <c r="H4476" s="18"/>
      <c r="K4476" s="18" t="s">
        <v>316</v>
      </c>
    </row>
    <row r="4477">
      <c r="A4477" s="17"/>
      <c r="H4477" s="18"/>
      <c r="K4477" s="18" t="s">
        <v>316</v>
      </c>
    </row>
    <row r="4478">
      <c r="A4478" s="17"/>
      <c r="H4478" s="18"/>
      <c r="K4478" s="18" t="s">
        <v>316</v>
      </c>
    </row>
    <row r="4479">
      <c r="A4479" s="17"/>
      <c r="H4479" s="18"/>
      <c r="K4479" s="18" t="s">
        <v>316</v>
      </c>
    </row>
    <row r="4480">
      <c r="A4480" s="17"/>
      <c r="H4480" s="18"/>
      <c r="K4480" s="18" t="s">
        <v>316</v>
      </c>
    </row>
    <row r="4481">
      <c r="A4481" s="17"/>
      <c r="H4481" s="18"/>
      <c r="K4481" s="18" t="s">
        <v>316</v>
      </c>
    </row>
    <row r="4482">
      <c r="A4482" s="17"/>
      <c r="H4482" s="18"/>
      <c r="K4482" s="18" t="s">
        <v>316</v>
      </c>
    </row>
    <row r="4483">
      <c r="A4483" s="17"/>
      <c r="H4483" s="18"/>
      <c r="K4483" s="18" t="s">
        <v>316</v>
      </c>
    </row>
    <row r="4484">
      <c r="A4484" s="17"/>
      <c r="H4484" s="18"/>
      <c r="K4484" s="18" t="s">
        <v>316</v>
      </c>
    </row>
    <row r="4485">
      <c r="A4485" s="17"/>
      <c r="H4485" s="18"/>
      <c r="K4485" s="18" t="s">
        <v>316</v>
      </c>
    </row>
    <row r="4486">
      <c r="A4486" s="17"/>
      <c r="H4486" s="18"/>
      <c r="K4486" s="18" t="s">
        <v>316</v>
      </c>
    </row>
    <row r="4487">
      <c r="A4487" s="17"/>
      <c r="H4487" s="18"/>
      <c r="K4487" s="18" t="s">
        <v>316</v>
      </c>
    </row>
    <row r="4488">
      <c r="A4488" s="17"/>
      <c r="H4488" s="18"/>
      <c r="K4488" s="18" t="s">
        <v>316</v>
      </c>
    </row>
    <row r="4489">
      <c r="A4489" s="17"/>
      <c r="H4489" s="18"/>
      <c r="K4489" s="18" t="s">
        <v>316</v>
      </c>
    </row>
    <row r="4490">
      <c r="A4490" s="17"/>
      <c r="H4490" s="18"/>
      <c r="K4490" s="18" t="s">
        <v>316</v>
      </c>
    </row>
    <row r="4491">
      <c r="A4491" s="17"/>
      <c r="H4491" s="18"/>
      <c r="K4491" s="18" t="s">
        <v>316</v>
      </c>
    </row>
    <row r="4492">
      <c r="A4492" s="17"/>
      <c r="H4492" s="18"/>
      <c r="K4492" s="18" t="s">
        <v>316</v>
      </c>
    </row>
    <row r="4493">
      <c r="A4493" s="17"/>
      <c r="H4493" s="18"/>
      <c r="K4493" s="18" t="s">
        <v>316</v>
      </c>
    </row>
    <row r="4494">
      <c r="A4494" s="17"/>
      <c r="H4494" s="18"/>
      <c r="K4494" s="18" t="s">
        <v>316</v>
      </c>
    </row>
    <row r="4495">
      <c r="A4495" s="17"/>
      <c r="H4495" s="18"/>
      <c r="K4495" s="18" t="s">
        <v>316</v>
      </c>
    </row>
    <row r="4496">
      <c r="A4496" s="17"/>
      <c r="H4496" s="18"/>
      <c r="K4496" s="18" t="s">
        <v>316</v>
      </c>
    </row>
    <row r="4497">
      <c r="A4497" s="17"/>
      <c r="H4497" s="18"/>
      <c r="K4497" s="18" t="s">
        <v>316</v>
      </c>
    </row>
    <row r="4498">
      <c r="A4498" s="17"/>
      <c r="H4498" s="18"/>
      <c r="K4498" s="18" t="s">
        <v>316</v>
      </c>
    </row>
    <row r="4499">
      <c r="A4499" s="17"/>
      <c r="H4499" s="18"/>
      <c r="K4499" s="18" t="s">
        <v>316</v>
      </c>
    </row>
    <row r="4500">
      <c r="A4500" s="17"/>
      <c r="H4500" s="18"/>
      <c r="K4500" s="18" t="s">
        <v>316</v>
      </c>
    </row>
    <row r="4501">
      <c r="A4501" s="17"/>
      <c r="H4501" s="18"/>
      <c r="K4501" s="18" t="s">
        <v>316</v>
      </c>
    </row>
    <row r="4502">
      <c r="A4502" s="17"/>
      <c r="H4502" s="18"/>
      <c r="K4502" s="18" t="s">
        <v>316</v>
      </c>
    </row>
    <row r="4503">
      <c r="A4503" s="17"/>
      <c r="H4503" s="18"/>
      <c r="K4503" s="18" t="s">
        <v>316</v>
      </c>
    </row>
    <row r="4504">
      <c r="A4504" s="17"/>
      <c r="H4504" s="18"/>
      <c r="K4504" s="18" t="s">
        <v>316</v>
      </c>
    </row>
    <row r="4505">
      <c r="A4505" s="17"/>
      <c r="H4505" s="18"/>
      <c r="K4505" s="18" t="s">
        <v>316</v>
      </c>
    </row>
    <row r="4506">
      <c r="A4506" s="17"/>
      <c r="H4506" s="18"/>
      <c r="K4506" s="18" t="s">
        <v>316</v>
      </c>
    </row>
    <row r="4507">
      <c r="A4507" s="17"/>
      <c r="H4507" s="18"/>
      <c r="K4507" s="18" t="s">
        <v>316</v>
      </c>
    </row>
    <row r="4508">
      <c r="A4508" s="17"/>
      <c r="H4508" s="18"/>
      <c r="K4508" s="18" t="s">
        <v>316</v>
      </c>
    </row>
    <row r="4509">
      <c r="A4509" s="17"/>
      <c r="H4509" s="18"/>
      <c r="K4509" s="18" t="s">
        <v>316</v>
      </c>
    </row>
    <row r="4510">
      <c r="A4510" s="17"/>
      <c r="H4510" s="18"/>
      <c r="K4510" s="18" t="s">
        <v>316</v>
      </c>
    </row>
    <row r="4511">
      <c r="A4511" s="17"/>
      <c r="H4511" s="18"/>
      <c r="K4511" s="18" t="s">
        <v>316</v>
      </c>
    </row>
    <row r="4512">
      <c r="A4512" s="17"/>
      <c r="H4512" s="18"/>
      <c r="K4512" s="18" t="s">
        <v>316</v>
      </c>
    </row>
    <row r="4513">
      <c r="A4513" s="17"/>
      <c r="H4513" s="18"/>
      <c r="K4513" s="18" t="s">
        <v>316</v>
      </c>
    </row>
    <row r="4514">
      <c r="A4514" s="17"/>
      <c r="H4514" s="18"/>
      <c r="K4514" s="18" t="s">
        <v>316</v>
      </c>
    </row>
    <row r="4515">
      <c r="A4515" s="17"/>
      <c r="H4515" s="18"/>
      <c r="K4515" s="18" t="s">
        <v>316</v>
      </c>
    </row>
    <row r="4516">
      <c r="A4516" s="17"/>
      <c r="H4516" s="18"/>
      <c r="K4516" s="18" t="s">
        <v>316</v>
      </c>
    </row>
    <row r="4517">
      <c r="A4517" s="17"/>
      <c r="H4517" s="18"/>
      <c r="K4517" s="18" t="s">
        <v>316</v>
      </c>
    </row>
    <row r="4518">
      <c r="A4518" s="17"/>
      <c r="H4518" s="18"/>
      <c r="K4518" s="18" t="s">
        <v>316</v>
      </c>
    </row>
    <row r="4519">
      <c r="A4519" s="17"/>
      <c r="H4519" s="18"/>
      <c r="K4519" s="18" t="s">
        <v>316</v>
      </c>
    </row>
    <row r="4520">
      <c r="A4520" s="17"/>
      <c r="H4520" s="18"/>
      <c r="K4520" s="18" t="s">
        <v>316</v>
      </c>
    </row>
    <row r="4521">
      <c r="A4521" s="17"/>
      <c r="H4521" s="18"/>
      <c r="K4521" s="18" t="s">
        <v>316</v>
      </c>
    </row>
    <row r="4522">
      <c r="A4522" s="17"/>
      <c r="H4522" s="18"/>
      <c r="K4522" s="18" t="s">
        <v>316</v>
      </c>
    </row>
    <row r="4523">
      <c r="A4523" s="17"/>
      <c r="H4523" s="18"/>
      <c r="K4523" s="18" t="s">
        <v>316</v>
      </c>
    </row>
    <row r="4524">
      <c r="A4524" s="17"/>
      <c r="H4524" s="18"/>
      <c r="K4524" s="18" t="s">
        <v>316</v>
      </c>
    </row>
    <row r="4525">
      <c r="A4525" s="17"/>
      <c r="H4525" s="18"/>
      <c r="K4525" s="18" t="s">
        <v>316</v>
      </c>
    </row>
    <row r="4526">
      <c r="A4526" s="17"/>
      <c r="H4526" s="18"/>
      <c r="K4526" s="18" t="s">
        <v>316</v>
      </c>
    </row>
    <row r="4527">
      <c r="A4527" s="17"/>
      <c r="H4527" s="18"/>
      <c r="K4527" s="18" t="s">
        <v>316</v>
      </c>
    </row>
    <row r="4528">
      <c r="A4528" s="17"/>
      <c r="H4528" s="18"/>
      <c r="K4528" s="18" t="s">
        <v>316</v>
      </c>
    </row>
    <row r="4529">
      <c r="A4529" s="17"/>
      <c r="H4529" s="18"/>
      <c r="K4529" s="18" t="s">
        <v>316</v>
      </c>
    </row>
    <row r="4530">
      <c r="A4530" s="17"/>
      <c r="H4530" s="18"/>
      <c r="K4530" s="18" t="s">
        <v>316</v>
      </c>
    </row>
    <row r="4531">
      <c r="A4531" s="17"/>
      <c r="H4531" s="18"/>
      <c r="K4531" s="18" t="s">
        <v>316</v>
      </c>
    </row>
    <row r="4532">
      <c r="A4532" s="17"/>
      <c r="H4532" s="18"/>
      <c r="K4532" s="18" t="s">
        <v>316</v>
      </c>
    </row>
    <row r="4533">
      <c r="A4533" s="17"/>
      <c r="H4533" s="18"/>
      <c r="K4533" s="18" t="s">
        <v>316</v>
      </c>
    </row>
    <row r="4534">
      <c r="A4534" s="17"/>
      <c r="H4534" s="18"/>
      <c r="K4534" s="18" t="s">
        <v>316</v>
      </c>
    </row>
    <row r="4535">
      <c r="A4535" s="17"/>
      <c r="H4535" s="18"/>
      <c r="K4535" s="18" t="s">
        <v>316</v>
      </c>
    </row>
    <row r="4536">
      <c r="A4536" s="17"/>
      <c r="H4536" s="18"/>
      <c r="K4536" s="18" t="s">
        <v>316</v>
      </c>
    </row>
    <row r="4537">
      <c r="A4537" s="17"/>
      <c r="H4537" s="18"/>
      <c r="K4537" s="18" t="s">
        <v>316</v>
      </c>
    </row>
    <row r="4538">
      <c r="A4538" s="17"/>
      <c r="H4538" s="18"/>
      <c r="K4538" s="18" t="s">
        <v>316</v>
      </c>
    </row>
    <row r="4539">
      <c r="A4539" s="17"/>
      <c r="H4539" s="18"/>
      <c r="K4539" s="18" t="s">
        <v>316</v>
      </c>
    </row>
    <row r="4540">
      <c r="A4540" s="17"/>
      <c r="H4540" s="18"/>
      <c r="K4540" s="18" t="s">
        <v>316</v>
      </c>
    </row>
    <row r="4541">
      <c r="A4541" s="17"/>
      <c r="H4541" s="18"/>
      <c r="K4541" s="18" t="s">
        <v>316</v>
      </c>
    </row>
    <row r="4542">
      <c r="A4542" s="17"/>
      <c r="H4542" s="18"/>
      <c r="K4542" s="18" t="s">
        <v>316</v>
      </c>
    </row>
    <row r="4543">
      <c r="A4543" s="17"/>
      <c r="H4543" s="18"/>
      <c r="K4543" s="18" t="s">
        <v>316</v>
      </c>
    </row>
    <row r="4544">
      <c r="A4544" s="17"/>
      <c r="H4544" s="18"/>
      <c r="K4544" s="18" t="s">
        <v>316</v>
      </c>
    </row>
    <row r="4545">
      <c r="A4545" s="17"/>
      <c r="H4545" s="18"/>
      <c r="K4545" s="18" t="s">
        <v>316</v>
      </c>
    </row>
    <row r="4546">
      <c r="A4546" s="17"/>
      <c r="H4546" s="18"/>
      <c r="K4546" s="18" t="s">
        <v>316</v>
      </c>
    </row>
    <row r="4547">
      <c r="A4547" s="17"/>
      <c r="H4547" s="18"/>
      <c r="K4547" s="18" t="s">
        <v>316</v>
      </c>
    </row>
    <row r="4548">
      <c r="A4548" s="17"/>
      <c r="H4548" s="18"/>
      <c r="K4548" s="18" t="s">
        <v>316</v>
      </c>
    </row>
    <row r="4549">
      <c r="A4549" s="17"/>
      <c r="H4549" s="18"/>
      <c r="K4549" s="18" t="s">
        <v>316</v>
      </c>
    </row>
    <row r="4550">
      <c r="A4550" s="17"/>
      <c r="H4550" s="18"/>
      <c r="K4550" s="18" t="s">
        <v>316</v>
      </c>
    </row>
    <row r="4551">
      <c r="A4551" s="17"/>
      <c r="H4551" s="18"/>
      <c r="K4551" s="18" t="s">
        <v>316</v>
      </c>
    </row>
    <row r="4552">
      <c r="A4552" s="17"/>
      <c r="H4552" s="18"/>
      <c r="K4552" s="18" t="s">
        <v>316</v>
      </c>
    </row>
    <row r="4553">
      <c r="A4553" s="17"/>
      <c r="H4553" s="18"/>
      <c r="K4553" s="18" t="s">
        <v>316</v>
      </c>
    </row>
    <row r="4554">
      <c r="A4554" s="17"/>
      <c r="H4554" s="18"/>
      <c r="K4554" s="18" t="s">
        <v>316</v>
      </c>
    </row>
    <row r="4555">
      <c r="A4555" s="17"/>
      <c r="H4555" s="18"/>
      <c r="K4555" s="18" t="s">
        <v>316</v>
      </c>
    </row>
    <row r="4556">
      <c r="A4556" s="17"/>
      <c r="H4556" s="18"/>
      <c r="K4556" s="18" t="s">
        <v>316</v>
      </c>
    </row>
    <row r="4557">
      <c r="A4557" s="17"/>
      <c r="H4557" s="18"/>
      <c r="K4557" s="18" t="s">
        <v>316</v>
      </c>
    </row>
    <row r="4558">
      <c r="A4558" s="17"/>
      <c r="H4558" s="18"/>
      <c r="K4558" s="18" t="s">
        <v>316</v>
      </c>
    </row>
    <row r="4559">
      <c r="A4559" s="17"/>
      <c r="H4559" s="18"/>
      <c r="K4559" s="18" t="s">
        <v>316</v>
      </c>
    </row>
    <row r="4560">
      <c r="A4560" s="17"/>
      <c r="H4560" s="18"/>
      <c r="K4560" s="18" t="s">
        <v>316</v>
      </c>
    </row>
    <row r="4561">
      <c r="A4561" s="17"/>
      <c r="H4561" s="18"/>
      <c r="K4561" s="18" t="s">
        <v>316</v>
      </c>
    </row>
    <row r="4562">
      <c r="A4562" s="17"/>
      <c r="H4562" s="18"/>
      <c r="K4562" s="18" t="s">
        <v>316</v>
      </c>
    </row>
    <row r="4563">
      <c r="A4563" s="17"/>
      <c r="H4563" s="18"/>
      <c r="K4563" s="18" t="s">
        <v>316</v>
      </c>
    </row>
    <row r="4564">
      <c r="A4564" s="17"/>
      <c r="H4564" s="18"/>
      <c r="K4564" s="18" t="s">
        <v>316</v>
      </c>
    </row>
    <row r="4565">
      <c r="A4565" s="17"/>
      <c r="H4565" s="18"/>
      <c r="K4565" s="18" t="s">
        <v>316</v>
      </c>
    </row>
    <row r="4566">
      <c r="A4566" s="17"/>
      <c r="H4566" s="18"/>
      <c r="K4566" s="18" t="s">
        <v>316</v>
      </c>
    </row>
    <row r="4567">
      <c r="A4567" s="17"/>
      <c r="H4567" s="18"/>
      <c r="K4567" s="18" t="s">
        <v>316</v>
      </c>
    </row>
    <row r="4568">
      <c r="A4568" s="17"/>
      <c r="H4568" s="18"/>
      <c r="K4568" s="18" t="s">
        <v>316</v>
      </c>
    </row>
    <row r="4569">
      <c r="A4569" s="17"/>
      <c r="H4569" s="18"/>
      <c r="K4569" s="18" t="s">
        <v>316</v>
      </c>
    </row>
    <row r="4570">
      <c r="A4570" s="17"/>
      <c r="H4570" s="18"/>
      <c r="K4570" s="18" t="s">
        <v>316</v>
      </c>
    </row>
    <row r="4571">
      <c r="A4571" s="17"/>
      <c r="H4571" s="18"/>
      <c r="K4571" s="18" t="s">
        <v>316</v>
      </c>
    </row>
    <row r="4572">
      <c r="A4572" s="17"/>
      <c r="H4572" s="18"/>
      <c r="K4572" s="18" t="s">
        <v>316</v>
      </c>
    </row>
    <row r="4573">
      <c r="A4573" s="17"/>
      <c r="H4573" s="18"/>
      <c r="K4573" s="18" t="s">
        <v>316</v>
      </c>
    </row>
    <row r="4574">
      <c r="A4574" s="17"/>
      <c r="H4574" s="18"/>
      <c r="K4574" s="18" t="s">
        <v>316</v>
      </c>
    </row>
    <row r="4575">
      <c r="A4575" s="17"/>
      <c r="H4575" s="18"/>
      <c r="K4575" s="18" t="s">
        <v>316</v>
      </c>
    </row>
    <row r="4576">
      <c r="A4576" s="17"/>
      <c r="H4576" s="18"/>
      <c r="K4576" s="18" t="s">
        <v>316</v>
      </c>
    </row>
    <row r="4577">
      <c r="A4577" s="17"/>
      <c r="H4577" s="18"/>
      <c r="K4577" s="18" t="s">
        <v>316</v>
      </c>
    </row>
    <row r="4578">
      <c r="A4578" s="17"/>
      <c r="H4578" s="18"/>
      <c r="K4578" s="18" t="s">
        <v>316</v>
      </c>
    </row>
    <row r="4579">
      <c r="A4579" s="17"/>
      <c r="H4579" s="18"/>
      <c r="K4579" s="18" t="s">
        <v>316</v>
      </c>
    </row>
    <row r="4580">
      <c r="A4580" s="17"/>
      <c r="H4580" s="18"/>
      <c r="K4580" s="18" t="s">
        <v>316</v>
      </c>
    </row>
    <row r="4581">
      <c r="A4581" s="17"/>
      <c r="H4581" s="18"/>
      <c r="K4581" s="18" t="s">
        <v>316</v>
      </c>
    </row>
    <row r="4582">
      <c r="A4582" s="17"/>
      <c r="H4582" s="18"/>
      <c r="K4582" s="18" t="s">
        <v>316</v>
      </c>
    </row>
    <row r="4583">
      <c r="A4583" s="17"/>
      <c r="H4583" s="18"/>
      <c r="K4583" s="18" t="s">
        <v>316</v>
      </c>
    </row>
    <row r="4584">
      <c r="A4584" s="17"/>
      <c r="H4584" s="18"/>
      <c r="K4584" s="18" t="s">
        <v>316</v>
      </c>
    </row>
    <row r="4585">
      <c r="A4585" s="17"/>
      <c r="H4585" s="18"/>
      <c r="K4585" s="18" t="s">
        <v>316</v>
      </c>
    </row>
    <row r="4586">
      <c r="A4586" s="17"/>
      <c r="H4586" s="18"/>
      <c r="K4586" s="18" t="s">
        <v>316</v>
      </c>
    </row>
    <row r="4587">
      <c r="A4587" s="17"/>
      <c r="H4587" s="18"/>
      <c r="K4587" s="18" t="s">
        <v>316</v>
      </c>
    </row>
    <row r="4588">
      <c r="A4588" s="17"/>
      <c r="H4588" s="18"/>
      <c r="K4588" s="18" t="s">
        <v>316</v>
      </c>
    </row>
    <row r="4589">
      <c r="A4589" s="17"/>
      <c r="H4589" s="18"/>
      <c r="K4589" s="18" t="s">
        <v>316</v>
      </c>
    </row>
    <row r="4590">
      <c r="A4590" s="17"/>
      <c r="H4590" s="18"/>
      <c r="K4590" s="18" t="s">
        <v>316</v>
      </c>
    </row>
    <row r="4591">
      <c r="A4591" s="17"/>
      <c r="H4591" s="18"/>
      <c r="K4591" s="18" t="s">
        <v>316</v>
      </c>
    </row>
    <row r="4592">
      <c r="A4592" s="17"/>
      <c r="H4592" s="18"/>
      <c r="K4592" s="18" t="s">
        <v>316</v>
      </c>
    </row>
    <row r="4593">
      <c r="A4593" s="17"/>
      <c r="H4593" s="18"/>
      <c r="K4593" s="18" t="s">
        <v>316</v>
      </c>
    </row>
    <row r="4594">
      <c r="A4594" s="17"/>
      <c r="H4594" s="18"/>
      <c r="K4594" s="18" t="s">
        <v>316</v>
      </c>
    </row>
    <row r="4595">
      <c r="A4595" s="17"/>
      <c r="H4595" s="18"/>
      <c r="K4595" s="18" t="s">
        <v>316</v>
      </c>
    </row>
    <row r="4596">
      <c r="A4596" s="17"/>
      <c r="H4596" s="18"/>
      <c r="K4596" s="18" t="s">
        <v>316</v>
      </c>
    </row>
    <row r="4597">
      <c r="A4597" s="17"/>
      <c r="H4597" s="18"/>
      <c r="K4597" s="18" t="s">
        <v>316</v>
      </c>
    </row>
    <row r="4598">
      <c r="A4598" s="17"/>
      <c r="H4598" s="18"/>
      <c r="K4598" s="18" t="s">
        <v>316</v>
      </c>
    </row>
    <row r="4599">
      <c r="A4599" s="17"/>
      <c r="H4599" s="18"/>
      <c r="K4599" s="18" t="s">
        <v>316</v>
      </c>
    </row>
    <row r="4600">
      <c r="A4600" s="17"/>
      <c r="H4600" s="18"/>
      <c r="K4600" s="18" t="s">
        <v>316</v>
      </c>
    </row>
    <row r="4601">
      <c r="A4601" s="17"/>
      <c r="H4601" s="18"/>
      <c r="K4601" s="18" t="s">
        <v>316</v>
      </c>
    </row>
    <row r="4602">
      <c r="A4602" s="17"/>
      <c r="H4602" s="18"/>
      <c r="K4602" s="18" t="s">
        <v>316</v>
      </c>
    </row>
    <row r="4603">
      <c r="A4603" s="17"/>
      <c r="H4603" s="18"/>
      <c r="K4603" s="18" t="s">
        <v>316</v>
      </c>
    </row>
    <row r="4604">
      <c r="A4604" s="17"/>
      <c r="H4604" s="18"/>
      <c r="K4604" s="18" t="s">
        <v>316</v>
      </c>
    </row>
    <row r="4605">
      <c r="A4605" s="17"/>
      <c r="H4605" s="18"/>
      <c r="K4605" s="18" t="s">
        <v>316</v>
      </c>
    </row>
    <row r="4606">
      <c r="A4606" s="17"/>
      <c r="H4606" s="18"/>
      <c r="K4606" s="18" t="s">
        <v>316</v>
      </c>
    </row>
    <row r="4607">
      <c r="A4607" s="17"/>
      <c r="H4607" s="18"/>
      <c r="K4607" s="18" t="s">
        <v>316</v>
      </c>
    </row>
    <row r="4608">
      <c r="A4608" s="17"/>
      <c r="H4608" s="18"/>
      <c r="K4608" s="18" t="s">
        <v>316</v>
      </c>
    </row>
    <row r="4609">
      <c r="A4609" s="17"/>
      <c r="H4609" s="18"/>
      <c r="K4609" s="18" t="s">
        <v>316</v>
      </c>
    </row>
    <row r="4610">
      <c r="A4610" s="17"/>
      <c r="H4610" s="18"/>
      <c r="K4610" s="18" t="s">
        <v>316</v>
      </c>
    </row>
    <row r="4611">
      <c r="A4611" s="17"/>
      <c r="H4611" s="18"/>
      <c r="K4611" s="18" t="s">
        <v>316</v>
      </c>
    </row>
    <row r="4612">
      <c r="A4612" s="17"/>
      <c r="H4612" s="18"/>
      <c r="K4612" s="18" t="s">
        <v>316</v>
      </c>
    </row>
    <row r="4613">
      <c r="A4613" s="17"/>
      <c r="H4613" s="18"/>
      <c r="K4613" s="18" t="s">
        <v>316</v>
      </c>
    </row>
    <row r="4614">
      <c r="A4614" s="17"/>
      <c r="H4614" s="18"/>
      <c r="K4614" s="18" t="s">
        <v>316</v>
      </c>
    </row>
    <row r="4615">
      <c r="A4615" s="17"/>
      <c r="H4615" s="18"/>
      <c r="K4615" s="18" t="s">
        <v>316</v>
      </c>
    </row>
    <row r="4616">
      <c r="A4616" s="17"/>
      <c r="H4616" s="18"/>
      <c r="K4616" s="18" t="s">
        <v>316</v>
      </c>
    </row>
    <row r="4617">
      <c r="A4617" s="17"/>
      <c r="H4617" s="18"/>
      <c r="K4617" s="18" t="s">
        <v>316</v>
      </c>
    </row>
    <row r="4618">
      <c r="A4618" s="17"/>
      <c r="H4618" s="18"/>
      <c r="K4618" s="18" t="s">
        <v>316</v>
      </c>
    </row>
    <row r="4619">
      <c r="A4619" s="17"/>
      <c r="H4619" s="18"/>
      <c r="K4619" s="18" t="s">
        <v>316</v>
      </c>
    </row>
    <row r="4620">
      <c r="A4620" s="17"/>
      <c r="H4620" s="18"/>
      <c r="K4620" s="18" t="s">
        <v>316</v>
      </c>
    </row>
    <row r="4621">
      <c r="A4621" s="17"/>
      <c r="H4621" s="18"/>
      <c r="K4621" s="18" t="s">
        <v>316</v>
      </c>
    </row>
    <row r="4622">
      <c r="A4622" s="17"/>
      <c r="H4622" s="18"/>
      <c r="K4622" s="18" t="s">
        <v>316</v>
      </c>
    </row>
    <row r="4623">
      <c r="A4623" s="17"/>
      <c r="H4623" s="18"/>
      <c r="K4623" s="18" t="s">
        <v>316</v>
      </c>
    </row>
    <row r="4624">
      <c r="A4624" s="17"/>
      <c r="H4624" s="18"/>
      <c r="K4624" s="18" t="s">
        <v>316</v>
      </c>
    </row>
    <row r="4625">
      <c r="A4625" s="17"/>
      <c r="H4625" s="18"/>
      <c r="K4625" s="18" t="s">
        <v>316</v>
      </c>
    </row>
    <row r="4626">
      <c r="A4626" s="17"/>
      <c r="H4626" s="18"/>
      <c r="K4626" s="18" t="s">
        <v>316</v>
      </c>
    </row>
    <row r="4627">
      <c r="A4627" s="17"/>
      <c r="H4627" s="18"/>
      <c r="K4627" s="18" t="s">
        <v>316</v>
      </c>
    </row>
    <row r="4628">
      <c r="A4628" s="17"/>
      <c r="H4628" s="18"/>
      <c r="K4628" s="18" t="s">
        <v>316</v>
      </c>
    </row>
    <row r="4629">
      <c r="A4629" s="17"/>
      <c r="H4629" s="18"/>
      <c r="K4629" s="18" t="s">
        <v>316</v>
      </c>
    </row>
    <row r="4630">
      <c r="A4630" s="17"/>
      <c r="H4630" s="18"/>
      <c r="K4630" s="18" t="s">
        <v>316</v>
      </c>
    </row>
    <row r="4631">
      <c r="A4631" s="17"/>
      <c r="H4631" s="18"/>
      <c r="K4631" s="18" t="s">
        <v>316</v>
      </c>
    </row>
    <row r="4632">
      <c r="A4632" s="17"/>
      <c r="H4632" s="18"/>
      <c r="K4632" s="18" t="s">
        <v>316</v>
      </c>
    </row>
    <row r="4633">
      <c r="A4633" s="17"/>
      <c r="H4633" s="18"/>
      <c r="K4633" s="18" t="s">
        <v>316</v>
      </c>
    </row>
    <row r="4634">
      <c r="A4634" s="17"/>
      <c r="H4634" s="18"/>
      <c r="K4634" s="18" t="s">
        <v>316</v>
      </c>
    </row>
    <row r="4635">
      <c r="A4635" s="17"/>
      <c r="H4635" s="18"/>
      <c r="K4635" s="18" t="s">
        <v>316</v>
      </c>
    </row>
    <row r="4636">
      <c r="A4636" s="17"/>
      <c r="H4636" s="18"/>
      <c r="K4636" s="18" t="s">
        <v>316</v>
      </c>
    </row>
    <row r="4637">
      <c r="A4637" s="17"/>
      <c r="H4637" s="18"/>
      <c r="K4637" s="18" t="s">
        <v>316</v>
      </c>
    </row>
    <row r="4638">
      <c r="A4638" s="17"/>
      <c r="H4638" s="18"/>
      <c r="K4638" s="18" t="s">
        <v>316</v>
      </c>
    </row>
    <row r="4639">
      <c r="A4639" s="17"/>
      <c r="H4639" s="18"/>
      <c r="K4639" s="18" t="s">
        <v>316</v>
      </c>
    </row>
    <row r="4640">
      <c r="A4640" s="17"/>
      <c r="H4640" s="18"/>
      <c r="K4640" s="18" t="s">
        <v>316</v>
      </c>
    </row>
    <row r="4641">
      <c r="A4641" s="17"/>
      <c r="H4641" s="18"/>
      <c r="K4641" s="18" t="s">
        <v>316</v>
      </c>
    </row>
    <row r="4642">
      <c r="A4642" s="17"/>
      <c r="H4642" s="18"/>
      <c r="K4642" s="18" t="s">
        <v>316</v>
      </c>
    </row>
    <row r="4643">
      <c r="A4643" s="17"/>
      <c r="H4643" s="18"/>
      <c r="K4643" s="18" t="s">
        <v>316</v>
      </c>
    </row>
    <row r="4644">
      <c r="A4644" s="17"/>
      <c r="H4644" s="18"/>
      <c r="K4644" s="18" t="s">
        <v>316</v>
      </c>
    </row>
    <row r="4645">
      <c r="A4645" s="17"/>
      <c r="H4645" s="18"/>
      <c r="K4645" s="18" t="s">
        <v>316</v>
      </c>
    </row>
    <row r="4646">
      <c r="A4646" s="17"/>
      <c r="H4646" s="18"/>
      <c r="K4646" s="18" t="s">
        <v>316</v>
      </c>
    </row>
    <row r="4647">
      <c r="A4647" s="17"/>
      <c r="H4647" s="18"/>
      <c r="K4647" s="18" t="s">
        <v>316</v>
      </c>
    </row>
    <row r="4648">
      <c r="A4648" s="17"/>
      <c r="H4648" s="18"/>
      <c r="K4648" s="18" t="s">
        <v>316</v>
      </c>
    </row>
    <row r="4649">
      <c r="A4649" s="17"/>
      <c r="H4649" s="18"/>
      <c r="K4649" s="18" t="s">
        <v>316</v>
      </c>
    </row>
    <row r="4650">
      <c r="A4650" s="17"/>
      <c r="H4650" s="18"/>
      <c r="K4650" s="18" t="s">
        <v>316</v>
      </c>
    </row>
    <row r="4651">
      <c r="A4651" s="17"/>
      <c r="H4651" s="18"/>
      <c r="K4651" s="18" t="s">
        <v>316</v>
      </c>
    </row>
    <row r="4652">
      <c r="A4652" s="17"/>
      <c r="H4652" s="18"/>
      <c r="K4652" s="18" t="s">
        <v>316</v>
      </c>
    </row>
    <row r="4653">
      <c r="A4653" s="17"/>
      <c r="H4653" s="18"/>
      <c r="K4653" s="18" t="s">
        <v>316</v>
      </c>
    </row>
    <row r="4654">
      <c r="A4654" s="17"/>
      <c r="H4654" s="18"/>
      <c r="K4654" s="18" t="s">
        <v>316</v>
      </c>
    </row>
    <row r="4655">
      <c r="A4655" s="17"/>
      <c r="H4655" s="18"/>
      <c r="K4655" s="18" t="s">
        <v>316</v>
      </c>
    </row>
    <row r="4656">
      <c r="A4656" s="17"/>
      <c r="H4656" s="18"/>
      <c r="K4656" s="18" t="s">
        <v>316</v>
      </c>
    </row>
    <row r="4657">
      <c r="A4657" s="17"/>
      <c r="H4657" s="18"/>
      <c r="K4657" s="18" t="s">
        <v>316</v>
      </c>
    </row>
    <row r="4658">
      <c r="A4658" s="17"/>
      <c r="H4658" s="18"/>
      <c r="K4658" s="18" t="s">
        <v>316</v>
      </c>
    </row>
    <row r="4659">
      <c r="A4659" s="17"/>
      <c r="H4659" s="18"/>
      <c r="K4659" s="18" t="s">
        <v>316</v>
      </c>
    </row>
    <row r="4660">
      <c r="A4660" s="17"/>
      <c r="H4660" s="18"/>
      <c r="K4660" s="18" t="s">
        <v>316</v>
      </c>
    </row>
    <row r="4661">
      <c r="A4661" s="17"/>
      <c r="H4661" s="18"/>
      <c r="K4661" s="18" t="s">
        <v>316</v>
      </c>
    </row>
    <row r="4662">
      <c r="A4662" s="17"/>
      <c r="H4662" s="18"/>
      <c r="K4662" s="18" t="s">
        <v>316</v>
      </c>
    </row>
    <row r="4663">
      <c r="A4663" s="17"/>
      <c r="H4663" s="18"/>
      <c r="K4663" s="18" t="s">
        <v>316</v>
      </c>
    </row>
    <row r="4664">
      <c r="A4664" s="17"/>
      <c r="H4664" s="18"/>
      <c r="K4664" s="18" t="s">
        <v>316</v>
      </c>
    </row>
    <row r="4665">
      <c r="A4665" s="17"/>
      <c r="H4665" s="18"/>
      <c r="K4665" s="18" t="s">
        <v>316</v>
      </c>
    </row>
    <row r="4666">
      <c r="A4666" s="17"/>
      <c r="H4666" s="18"/>
      <c r="K4666" s="18" t="s">
        <v>316</v>
      </c>
    </row>
    <row r="4667">
      <c r="A4667" s="17"/>
      <c r="H4667" s="18"/>
      <c r="K4667" s="18" t="s">
        <v>316</v>
      </c>
    </row>
    <row r="4668">
      <c r="A4668" s="17"/>
      <c r="H4668" s="18"/>
      <c r="K4668" s="18" t="s">
        <v>316</v>
      </c>
    </row>
    <row r="4669">
      <c r="A4669" s="17"/>
      <c r="H4669" s="18"/>
      <c r="K4669" s="18" t="s">
        <v>316</v>
      </c>
    </row>
    <row r="4670">
      <c r="A4670" s="17"/>
      <c r="H4670" s="18"/>
      <c r="K4670" s="18" t="s">
        <v>316</v>
      </c>
    </row>
    <row r="4671">
      <c r="A4671" s="17"/>
      <c r="H4671" s="18"/>
      <c r="K4671" s="18" t="s">
        <v>316</v>
      </c>
    </row>
    <row r="4672">
      <c r="A4672" s="17"/>
      <c r="H4672" s="18"/>
      <c r="K4672" s="18" t="s">
        <v>316</v>
      </c>
    </row>
    <row r="4673">
      <c r="A4673" s="17"/>
      <c r="H4673" s="18"/>
      <c r="K4673" s="18" t="s">
        <v>316</v>
      </c>
    </row>
    <row r="4674">
      <c r="A4674" s="17"/>
      <c r="H4674" s="18"/>
      <c r="K4674" s="18" t="s">
        <v>316</v>
      </c>
    </row>
    <row r="4675">
      <c r="A4675" s="17"/>
      <c r="H4675" s="18"/>
      <c r="K4675" s="18" t="s">
        <v>316</v>
      </c>
    </row>
    <row r="4676">
      <c r="A4676" s="17"/>
      <c r="H4676" s="18"/>
      <c r="K4676" s="18" t="s">
        <v>316</v>
      </c>
    </row>
    <row r="4677">
      <c r="A4677" s="17"/>
      <c r="H4677" s="18"/>
      <c r="K4677" s="18" t="s">
        <v>316</v>
      </c>
    </row>
    <row r="4678">
      <c r="A4678" s="17"/>
      <c r="H4678" s="18"/>
      <c r="K4678" s="18" t="s">
        <v>316</v>
      </c>
    </row>
    <row r="4679">
      <c r="A4679" s="17"/>
      <c r="H4679" s="18"/>
      <c r="K4679" s="18" t="s">
        <v>316</v>
      </c>
    </row>
    <row r="4680">
      <c r="A4680" s="17"/>
      <c r="H4680" s="18"/>
      <c r="K4680" s="18" t="s">
        <v>316</v>
      </c>
    </row>
    <row r="4681">
      <c r="A4681" s="17"/>
      <c r="H4681" s="18"/>
      <c r="K4681" s="18" t="s">
        <v>316</v>
      </c>
    </row>
    <row r="4682">
      <c r="A4682" s="17"/>
      <c r="H4682" s="18"/>
      <c r="K4682" s="18" t="s">
        <v>316</v>
      </c>
    </row>
    <row r="4683">
      <c r="A4683" s="17"/>
      <c r="H4683" s="18"/>
      <c r="K4683" s="18" t="s">
        <v>316</v>
      </c>
    </row>
    <row r="4684">
      <c r="A4684" s="17"/>
      <c r="H4684" s="18"/>
      <c r="K4684" s="18" t="s">
        <v>316</v>
      </c>
    </row>
    <row r="4685">
      <c r="A4685" s="17"/>
      <c r="H4685" s="18"/>
      <c r="K4685" s="18" t="s">
        <v>316</v>
      </c>
    </row>
    <row r="4686">
      <c r="A4686" s="17"/>
      <c r="H4686" s="18"/>
      <c r="K4686" s="18" t="s">
        <v>316</v>
      </c>
    </row>
    <row r="4687">
      <c r="A4687" s="17"/>
      <c r="H4687" s="18"/>
      <c r="K4687" s="18" t="s">
        <v>316</v>
      </c>
    </row>
    <row r="4688">
      <c r="A4688" s="17"/>
      <c r="H4688" s="18"/>
      <c r="K4688" s="18" t="s">
        <v>316</v>
      </c>
    </row>
    <row r="4689">
      <c r="A4689" s="17"/>
      <c r="H4689" s="18"/>
      <c r="K4689" s="18" t="s">
        <v>316</v>
      </c>
    </row>
    <row r="4690">
      <c r="A4690" s="17"/>
      <c r="H4690" s="18"/>
      <c r="K4690" s="18" t="s">
        <v>316</v>
      </c>
    </row>
    <row r="4691">
      <c r="A4691" s="17"/>
      <c r="H4691" s="18"/>
      <c r="K4691" s="18" t="s">
        <v>316</v>
      </c>
    </row>
    <row r="4692">
      <c r="A4692" s="17"/>
      <c r="H4692" s="18"/>
      <c r="K4692" s="18" t="s">
        <v>316</v>
      </c>
    </row>
    <row r="4693">
      <c r="A4693" s="17"/>
      <c r="H4693" s="18"/>
      <c r="K4693" s="18" t="s">
        <v>316</v>
      </c>
    </row>
    <row r="4694">
      <c r="A4694" s="17"/>
      <c r="H4694" s="18"/>
      <c r="K4694" s="18" t="s">
        <v>316</v>
      </c>
    </row>
    <row r="4695">
      <c r="A4695" s="17"/>
      <c r="H4695" s="18"/>
      <c r="K4695" s="18" t="s">
        <v>316</v>
      </c>
    </row>
    <row r="4696">
      <c r="A4696" s="17"/>
      <c r="H4696" s="18"/>
      <c r="K4696" s="18" t="s">
        <v>316</v>
      </c>
    </row>
    <row r="4697">
      <c r="A4697" s="17"/>
      <c r="H4697" s="18"/>
      <c r="K4697" s="18" t="s">
        <v>316</v>
      </c>
    </row>
    <row r="4698">
      <c r="A4698" s="17"/>
      <c r="H4698" s="18"/>
      <c r="K4698" s="18" t="s">
        <v>316</v>
      </c>
    </row>
    <row r="4699">
      <c r="A4699" s="17"/>
      <c r="H4699" s="18"/>
      <c r="K4699" s="18" t="s">
        <v>316</v>
      </c>
    </row>
    <row r="4700">
      <c r="A4700" s="17"/>
      <c r="H4700" s="18"/>
      <c r="K4700" s="18" t="s">
        <v>316</v>
      </c>
    </row>
    <row r="4701">
      <c r="A4701" s="17"/>
      <c r="H4701" s="18"/>
      <c r="K4701" s="18" t="s">
        <v>316</v>
      </c>
    </row>
    <row r="4702">
      <c r="A4702" s="17"/>
      <c r="H4702" s="18"/>
      <c r="K4702" s="18" t="s">
        <v>316</v>
      </c>
    </row>
    <row r="4703">
      <c r="A4703" s="17"/>
      <c r="H4703" s="18"/>
      <c r="K4703" s="18" t="s">
        <v>316</v>
      </c>
    </row>
    <row r="4704">
      <c r="A4704" s="17"/>
      <c r="H4704" s="18"/>
      <c r="K4704" s="18" t="s">
        <v>316</v>
      </c>
    </row>
    <row r="4705">
      <c r="A4705" s="17"/>
      <c r="H4705" s="18"/>
      <c r="K4705" s="18" t="s">
        <v>316</v>
      </c>
    </row>
    <row r="4706">
      <c r="A4706" s="17"/>
      <c r="H4706" s="18"/>
      <c r="K4706" s="18" t="s">
        <v>316</v>
      </c>
    </row>
    <row r="4707">
      <c r="A4707" s="17"/>
      <c r="H4707" s="18"/>
      <c r="K4707" s="18" t="s">
        <v>316</v>
      </c>
    </row>
    <row r="4708">
      <c r="A4708" s="17"/>
      <c r="H4708" s="18"/>
      <c r="K4708" s="18" t="s">
        <v>316</v>
      </c>
    </row>
    <row r="4709">
      <c r="A4709" s="17"/>
      <c r="H4709" s="18"/>
      <c r="K4709" s="18" t="s">
        <v>316</v>
      </c>
    </row>
    <row r="4710">
      <c r="A4710" s="17"/>
      <c r="H4710" s="18"/>
      <c r="K4710" s="18" t="s">
        <v>316</v>
      </c>
    </row>
    <row r="4711">
      <c r="A4711" s="17"/>
      <c r="H4711" s="18"/>
      <c r="K4711" s="18" t="s">
        <v>316</v>
      </c>
    </row>
    <row r="4712">
      <c r="A4712" s="17"/>
      <c r="H4712" s="18"/>
      <c r="K4712" s="18" t="s">
        <v>316</v>
      </c>
    </row>
    <row r="4713">
      <c r="A4713" s="17"/>
      <c r="H4713" s="18"/>
      <c r="K4713" s="18" t="s">
        <v>316</v>
      </c>
    </row>
    <row r="4714">
      <c r="A4714" s="17"/>
      <c r="H4714" s="18"/>
      <c r="K4714" s="18" t="s">
        <v>316</v>
      </c>
    </row>
    <row r="4715">
      <c r="A4715" s="17"/>
      <c r="H4715" s="18"/>
      <c r="K4715" s="18" t="s">
        <v>316</v>
      </c>
    </row>
    <row r="4716">
      <c r="A4716" s="17"/>
      <c r="H4716" s="18"/>
      <c r="K4716" s="18" t="s">
        <v>316</v>
      </c>
    </row>
    <row r="4717">
      <c r="A4717" s="17"/>
      <c r="H4717" s="18"/>
      <c r="K4717" s="18" t="s">
        <v>316</v>
      </c>
    </row>
    <row r="4718">
      <c r="A4718" s="17"/>
      <c r="H4718" s="18"/>
      <c r="K4718" s="18" t="s">
        <v>316</v>
      </c>
    </row>
    <row r="4719">
      <c r="A4719" s="17"/>
      <c r="H4719" s="18"/>
      <c r="K4719" s="18" t="s">
        <v>316</v>
      </c>
    </row>
    <row r="4720">
      <c r="A4720" s="17"/>
      <c r="H4720" s="18"/>
      <c r="K4720" s="18" t="s">
        <v>316</v>
      </c>
    </row>
    <row r="4721">
      <c r="A4721" s="17"/>
      <c r="H4721" s="18"/>
      <c r="K4721" s="18" t="s">
        <v>316</v>
      </c>
    </row>
    <row r="4722">
      <c r="A4722" s="17"/>
      <c r="H4722" s="18"/>
      <c r="K4722" s="18" t="s">
        <v>316</v>
      </c>
    </row>
    <row r="4723">
      <c r="A4723" s="17"/>
      <c r="H4723" s="18"/>
      <c r="K4723" s="18" t="s">
        <v>316</v>
      </c>
    </row>
    <row r="4724">
      <c r="A4724" s="17"/>
      <c r="H4724" s="18"/>
      <c r="K4724" s="18" t="s">
        <v>316</v>
      </c>
    </row>
    <row r="4725">
      <c r="A4725" s="17"/>
      <c r="H4725" s="18"/>
      <c r="K4725" s="18" t="s">
        <v>316</v>
      </c>
    </row>
    <row r="4726">
      <c r="A4726" s="17"/>
      <c r="H4726" s="18"/>
      <c r="K4726" s="18" t="s">
        <v>316</v>
      </c>
    </row>
    <row r="4727">
      <c r="A4727" s="17"/>
      <c r="H4727" s="18"/>
      <c r="K4727" s="18" t="s">
        <v>316</v>
      </c>
    </row>
    <row r="4728">
      <c r="A4728" s="17"/>
      <c r="H4728" s="18"/>
      <c r="K4728" s="18" t="s">
        <v>316</v>
      </c>
    </row>
    <row r="4729">
      <c r="A4729" s="17"/>
      <c r="H4729" s="18"/>
      <c r="K4729" s="18" t="s">
        <v>316</v>
      </c>
    </row>
    <row r="4730">
      <c r="A4730" s="17"/>
      <c r="H4730" s="18"/>
      <c r="K4730" s="18" t="s">
        <v>316</v>
      </c>
    </row>
    <row r="4731">
      <c r="A4731" s="17"/>
      <c r="H4731" s="18"/>
      <c r="K4731" s="18" t="s">
        <v>316</v>
      </c>
    </row>
    <row r="4732">
      <c r="A4732" s="17"/>
      <c r="H4732" s="18"/>
      <c r="K4732" s="18" t="s">
        <v>316</v>
      </c>
    </row>
    <row r="4733">
      <c r="A4733" s="17"/>
      <c r="H4733" s="18"/>
      <c r="K4733" s="18" t="s">
        <v>316</v>
      </c>
    </row>
    <row r="4734">
      <c r="A4734" s="17"/>
      <c r="H4734" s="18"/>
      <c r="K4734" s="18" t="s">
        <v>316</v>
      </c>
    </row>
    <row r="4735">
      <c r="A4735" s="17"/>
      <c r="H4735" s="18"/>
      <c r="K4735" s="18" t="s">
        <v>316</v>
      </c>
    </row>
    <row r="4736">
      <c r="A4736" s="17"/>
      <c r="H4736" s="18"/>
      <c r="K4736" s="18" t="s">
        <v>316</v>
      </c>
    </row>
    <row r="4737">
      <c r="A4737" s="17"/>
      <c r="H4737" s="18"/>
      <c r="K4737" s="18" t="s">
        <v>316</v>
      </c>
    </row>
    <row r="4738">
      <c r="A4738" s="17"/>
      <c r="H4738" s="18"/>
      <c r="K4738" s="18" t="s">
        <v>316</v>
      </c>
    </row>
    <row r="4739">
      <c r="A4739" s="17"/>
      <c r="H4739" s="18"/>
      <c r="K4739" s="18" t="s">
        <v>316</v>
      </c>
    </row>
    <row r="4740">
      <c r="A4740" s="17"/>
      <c r="H4740" s="18"/>
      <c r="K4740" s="18" t="s">
        <v>316</v>
      </c>
    </row>
    <row r="4741">
      <c r="A4741" s="17"/>
      <c r="H4741" s="18"/>
      <c r="K4741" s="18" t="s">
        <v>316</v>
      </c>
    </row>
    <row r="4742">
      <c r="A4742" s="17"/>
      <c r="H4742" s="18"/>
      <c r="K4742" s="18" t="s">
        <v>316</v>
      </c>
    </row>
    <row r="4743">
      <c r="A4743" s="17"/>
      <c r="H4743" s="18"/>
      <c r="K4743" s="18" t="s">
        <v>316</v>
      </c>
    </row>
    <row r="4744">
      <c r="A4744" s="17"/>
      <c r="H4744" s="18"/>
      <c r="K4744" s="18" t="s">
        <v>316</v>
      </c>
    </row>
    <row r="4745">
      <c r="A4745" s="17"/>
      <c r="H4745" s="18"/>
      <c r="K4745" s="18" t="s">
        <v>316</v>
      </c>
    </row>
    <row r="4746">
      <c r="A4746" s="17"/>
      <c r="H4746" s="18"/>
      <c r="K4746" s="18" t="s">
        <v>316</v>
      </c>
    </row>
    <row r="4747">
      <c r="A4747" s="17"/>
      <c r="H4747" s="18"/>
      <c r="K4747" s="18" t="s">
        <v>316</v>
      </c>
    </row>
    <row r="4748">
      <c r="A4748" s="17"/>
      <c r="H4748" s="18"/>
      <c r="K4748" s="18" t="s">
        <v>316</v>
      </c>
    </row>
    <row r="4749">
      <c r="A4749" s="17"/>
      <c r="H4749" s="18"/>
      <c r="K4749" s="18" t="s">
        <v>316</v>
      </c>
    </row>
    <row r="4750">
      <c r="A4750" s="17"/>
      <c r="H4750" s="18"/>
      <c r="K4750" s="18" t="s">
        <v>316</v>
      </c>
    </row>
    <row r="4751">
      <c r="A4751" s="17"/>
      <c r="H4751" s="18"/>
      <c r="K4751" s="18" t="s">
        <v>316</v>
      </c>
    </row>
    <row r="4752">
      <c r="A4752" s="17"/>
      <c r="H4752" s="18"/>
      <c r="K4752" s="18" t="s">
        <v>316</v>
      </c>
    </row>
    <row r="4753">
      <c r="A4753" s="17"/>
      <c r="H4753" s="18"/>
      <c r="K4753" s="18" t="s">
        <v>316</v>
      </c>
    </row>
    <row r="4754">
      <c r="A4754" s="17"/>
      <c r="H4754" s="18"/>
      <c r="K4754" s="18" t="s">
        <v>316</v>
      </c>
    </row>
    <row r="4755">
      <c r="A4755" s="17"/>
      <c r="H4755" s="18"/>
      <c r="K4755" s="18" t="s">
        <v>316</v>
      </c>
    </row>
    <row r="4756">
      <c r="A4756" s="17"/>
      <c r="H4756" s="18"/>
      <c r="K4756" s="18" t="s">
        <v>316</v>
      </c>
    </row>
    <row r="4757">
      <c r="A4757" s="17"/>
      <c r="H4757" s="18"/>
      <c r="K4757" s="18" t="s">
        <v>316</v>
      </c>
    </row>
    <row r="4758">
      <c r="A4758" s="17"/>
      <c r="H4758" s="18"/>
      <c r="K4758" s="18" t="s">
        <v>316</v>
      </c>
    </row>
    <row r="4759">
      <c r="A4759" s="17"/>
      <c r="H4759" s="18"/>
      <c r="K4759" s="18" t="s">
        <v>316</v>
      </c>
    </row>
    <row r="4760">
      <c r="A4760" s="17"/>
      <c r="H4760" s="18"/>
      <c r="K4760" s="18" t="s">
        <v>316</v>
      </c>
    </row>
    <row r="4761">
      <c r="A4761" s="17"/>
      <c r="H4761" s="18"/>
      <c r="K4761" s="18" t="s">
        <v>316</v>
      </c>
    </row>
    <row r="4762">
      <c r="A4762" s="17"/>
      <c r="H4762" s="18"/>
      <c r="K4762" s="18" t="s">
        <v>316</v>
      </c>
    </row>
    <row r="4763">
      <c r="A4763" s="17"/>
      <c r="H4763" s="18"/>
      <c r="K4763" s="18" t="s">
        <v>316</v>
      </c>
    </row>
    <row r="4764">
      <c r="A4764" s="17"/>
      <c r="H4764" s="18"/>
      <c r="K4764" s="18" t="s">
        <v>316</v>
      </c>
    </row>
    <row r="4765">
      <c r="A4765" s="17"/>
      <c r="H4765" s="18"/>
      <c r="K4765" s="18" t="s">
        <v>316</v>
      </c>
    </row>
    <row r="4766">
      <c r="A4766" s="17"/>
      <c r="H4766" s="18"/>
      <c r="K4766" s="18" t="s">
        <v>316</v>
      </c>
    </row>
    <row r="4767">
      <c r="A4767" s="17"/>
      <c r="H4767" s="18"/>
      <c r="K4767" s="18" t="s">
        <v>316</v>
      </c>
    </row>
    <row r="4768">
      <c r="A4768" s="17"/>
      <c r="H4768" s="18"/>
      <c r="K4768" s="18" t="s">
        <v>316</v>
      </c>
    </row>
    <row r="4769">
      <c r="A4769" s="17"/>
      <c r="H4769" s="18"/>
      <c r="K4769" s="18" t="s">
        <v>316</v>
      </c>
    </row>
    <row r="4770">
      <c r="A4770" s="17"/>
      <c r="H4770" s="18"/>
      <c r="K4770" s="18" t="s">
        <v>316</v>
      </c>
    </row>
    <row r="4771">
      <c r="A4771" s="17"/>
      <c r="H4771" s="18"/>
      <c r="K4771" s="18" t="s">
        <v>316</v>
      </c>
    </row>
    <row r="4772">
      <c r="A4772" s="17"/>
      <c r="H4772" s="18"/>
      <c r="K4772" s="18" t="s">
        <v>316</v>
      </c>
    </row>
    <row r="4773">
      <c r="A4773" s="17"/>
      <c r="H4773" s="18"/>
      <c r="K4773" s="18" t="s">
        <v>316</v>
      </c>
    </row>
    <row r="4774">
      <c r="A4774" s="17"/>
      <c r="H4774" s="18"/>
      <c r="K4774" s="18" t="s">
        <v>316</v>
      </c>
    </row>
    <row r="4775">
      <c r="A4775" s="17"/>
      <c r="H4775" s="18"/>
      <c r="K4775" s="18" t="s">
        <v>316</v>
      </c>
    </row>
    <row r="4776">
      <c r="A4776" s="17"/>
      <c r="H4776" s="18"/>
      <c r="K4776" s="18" t="s">
        <v>316</v>
      </c>
    </row>
    <row r="4777">
      <c r="A4777" s="17"/>
      <c r="H4777" s="18"/>
      <c r="K4777" s="18" t="s">
        <v>316</v>
      </c>
    </row>
    <row r="4778">
      <c r="A4778" s="17"/>
      <c r="H4778" s="18"/>
      <c r="K4778" s="18" t="s">
        <v>316</v>
      </c>
    </row>
    <row r="4779">
      <c r="A4779" s="17"/>
      <c r="H4779" s="18"/>
      <c r="K4779" s="18" t="s">
        <v>316</v>
      </c>
    </row>
    <row r="4780">
      <c r="A4780" s="17"/>
      <c r="H4780" s="18"/>
      <c r="K4780" s="18" t="s">
        <v>316</v>
      </c>
    </row>
    <row r="4781">
      <c r="A4781" s="17"/>
      <c r="H4781" s="18"/>
      <c r="K4781" s="18" t="s">
        <v>316</v>
      </c>
    </row>
    <row r="4782">
      <c r="A4782" s="17"/>
      <c r="H4782" s="18"/>
      <c r="K4782" s="18" t="s">
        <v>316</v>
      </c>
    </row>
    <row r="4783">
      <c r="A4783" s="17"/>
      <c r="H4783" s="18"/>
      <c r="K4783" s="18" t="s">
        <v>316</v>
      </c>
    </row>
    <row r="4784">
      <c r="A4784" s="17"/>
      <c r="H4784" s="18"/>
      <c r="K4784" s="18" t="s">
        <v>316</v>
      </c>
    </row>
    <row r="4785">
      <c r="A4785" s="17"/>
      <c r="H4785" s="18"/>
      <c r="K4785" s="18" t="s">
        <v>316</v>
      </c>
    </row>
    <row r="4786">
      <c r="A4786" s="17"/>
      <c r="H4786" s="18"/>
      <c r="K4786" s="18" t="s">
        <v>316</v>
      </c>
    </row>
    <row r="4787">
      <c r="A4787" s="17"/>
      <c r="H4787" s="18"/>
      <c r="K4787" s="18" t="s">
        <v>316</v>
      </c>
    </row>
    <row r="4788">
      <c r="A4788" s="17"/>
      <c r="H4788" s="18"/>
      <c r="K4788" s="18" t="s">
        <v>316</v>
      </c>
    </row>
    <row r="4789">
      <c r="A4789" s="17"/>
      <c r="H4789" s="18"/>
      <c r="K4789" s="18" t="s">
        <v>316</v>
      </c>
    </row>
    <row r="4790">
      <c r="A4790" s="17"/>
      <c r="H4790" s="18"/>
      <c r="K4790" s="18" t="s">
        <v>316</v>
      </c>
    </row>
    <row r="4791">
      <c r="A4791" s="17"/>
      <c r="H4791" s="18"/>
      <c r="K4791" s="18" t="s">
        <v>316</v>
      </c>
    </row>
    <row r="4792">
      <c r="A4792" s="17"/>
      <c r="H4792" s="18"/>
      <c r="K4792" s="18" t="s">
        <v>316</v>
      </c>
    </row>
    <row r="4793">
      <c r="A4793" s="17"/>
      <c r="H4793" s="18"/>
      <c r="K4793" s="18" t="s">
        <v>316</v>
      </c>
    </row>
    <row r="4794">
      <c r="A4794" s="17"/>
      <c r="H4794" s="18"/>
      <c r="K4794" s="18" t="s">
        <v>316</v>
      </c>
    </row>
    <row r="4795">
      <c r="A4795" s="17"/>
      <c r="H4795" s="18"/>
      <c r="K4795" s="18" t="s">
        <v>316</v>
      </c>
    </row>
    <row r="4796">
      <c r="A4796" s="17"/>
      <c r="H4796" s="18"/>
      <c r="K4796" s="18" t="s">
        <v>316</v>
      </c>
    </row>
    <row r="4797">
      <c r="A4797" s="17"/>
      <c r="H4797" s="18"/>
      <c r="K4797" s="18" t="s">
        <v>316</v>
      </c>
    </row>
    <row r="4798">
      <c r="A4798" s="17"/>
      <c r="H4798" s="18"/>
      <c r="K4798" s="18" t="s">
        <v>316</v>
      </c>
    </row>
    <row r="4799">
      <c r="A4799" s="17"/>
      <c r="H4799" s="18"/>
      <c r="K4799" s="18" t="s">
        <v>316</v>
      </c>
    </row>
    <row r="4800">
      <c r="A4800" s="17"/>
      <c r="H4800" s="18"/>
      <c r="K4800" s="18" t="s">
        <v>316</v>
      </c>
    </row>
    <row r="4801">
      <c r="A4801" s="17"/>
      <c r="H4801" s="18"/>
      <c r="K4801" s="18" t="s">
        <v>316</v>
      </c>
    </row>
    <row r="4802">
      <c r="A4802" s="17"/>
      <c r="H4802" s="18"/>
      <c r="K4802" s="18" t="s">
        <v>316</v>
      </c>
    </row>
    <row r="4803">
      <c r="A4803" s="17"/>
      <c r="H4803" s="18"/>
      <c r="K4803" s="18" t="s">
        <v>316</v>
      </c>
    </row>
    <row r="4804">
      <c r="A4804" s="17"/>
      <c r="H4804" s="18"/>
      <c r="K4804" s="18" t="s">
        <v>316</v>
      </c>
    </row>
    <row r="4805">
      <c r="A4805" s="17"/>
      <c r="H4805" s="18"/>
      <c r="K4805" s="18" t="s">
        <v>316</v>
      </c>
    </row>
    <row r="4806">
      <c r="A4806" s="17"/>
      <c r="H4806" s="18"/>
      <c r="K4806" s="18" t="s">
        <v>316</v>
      </c>
    </row>
    <row r="4807">
      <c r="A4807" s="17"/>
      <c r="H4807" s="18"/>
      <c r="K4807" s="18" t="s">
        <v>316</v>
      </c>
    </row>
    <row r="4808">
      <c r="A4808" s="17"/>
      <c r="H4808" s="18"/>
      <c r="K4808" s="18" t="s">
        <v>316</v>
      </c>
    </row>
    <row r="4809">
      <c r="A4809" s="17"/>
      <c r="H4809" s="18"/>
      <c r="K4809" s="18" t="s">
        <v>316</v>
      </c>
    </row>
    <row r="4810">
      <c r="A4810" s="17"/>
      <c r="H4810" s="18"/>
      <c r="K4810" s="18" t="s">
        <v>316</v>
      </c>
    </row>
    <row r="4811">
      <c r="A4811" s="17"/>
      <c r="H4811" s="18"/>
      <c r="K4811" s="18" t="s">
        <v>316</v>
      </c>
    </row>
    <row r="4812">
      <c r="A4812" s="17"/>
      <c r="H4812" s="18"/>
      <c r="K4812" s="18" t="s">
        <v>316</v>
      </c>
    </row>
    <row r="4813">
      <c r="A4813" s="17"/>
      <c r="H4813" s="18"/>
      <c r="K4813" s="18" t="s">
        <v>316</v>
      </c>
    </row>
    <row r="4814">
      <c r="A4814" s="17"/>
      <c r="H4814" s="18"/>
      <c r="K4814" s="18" t="s">
        <v>316</v>
      </c>
    </row>
    <row r="4815">
      <c r="A4815" s="17"/>
      <c r="H4815" s="18"/>
      <c r="K4815" s="18" t="s">
        <v>316</v>
      </c>
    </row>
    <row r="4816">
      <c r="A4816" s="17"/>
      <c r="H4816" s="18"/>
      <c r="K4816" s="18" t="s">
        <v>316</v>
      </c>
    </row>
    <row r="4817">
      <c r="A4817" s="17"/>
      <c r="H4817" s="18"/>
      <c r="K4817" s="18" t="s">
        <v>316</v>
      </c>
    </row>
    <row r="4818">
      <c r="A4818" s="17"/>
      <c r="H4818" s="18"/>
      <c r="K4818" s="18" t="s">
        <v>316</v>
      </c>
    </row>
    <row r="4819">
      <c r="A4819" s="17"/>
      <c r="H4819" s="18"/>
      <c r="K4819" s="18" t="s">
        <v>316</v>
      </c>
    </row>
    <row r="4820">
      <c r="A4820" s="17"/>
      <c r="H4820" s="18"/>
      <c r="K4820" s="18" t="s">
        <v>316</v>
      </c>
    </row>
    <row r="4821">
      <c r="A4821" s="17"/>
      <c r="H4821" s="18"/>
      <c r="K4821" s="18" t="s">
        <v>316</v>
      </c>
    </row>
    <row r="4822">
      <c r="A4822" s="17"/>
      <c r="H4822" s="18"/>
      <c r="K4822" s="18" t="s">
        <v>316</v>
      </c>
    </row>
    <row r="4823">
      <c r="A4823" s="17"/>
      <c r="H4823" s="18"/>
      <c r="K4823" s="18" t="s">
        <v>316</v>
      </c>
    </row>
    <row r="4824">
      <c r="A4824" s="17"/>
      <c r="H4824" s="18"/>
      <c r="K4824" s="18" t="s">
        <v>316</v>
      </c>
    </row>
    <row r="4825">
      <c r="A4825" s="17"/>
      <c r="H4825" s="18"/>
      <c r="K4825" s="18" t="s">
        <v>316</v>
      </c>
    </row>
    <row r="4826">
      <c r="A4826" s="17"/>
      <c r="H4826" s="18"/>
      <c r="K4826" s="18" t="s">
        <v>316</v>
      </c>
    </row>
    <row r="4827">
      <c r="A4827" s="17"/>
      <c r="H4827" s="18"/>
      <c r="K4827" s="18" t="s">
        <v>316</v>
      </c>
    </row>
    <row r="4828">
      <c r="A4828" s="17"/>
      <c r="H4828" s="18"/>
      <c r="K4828" s="18" t="s">
        <v>316</v>
      </c>
    </row>
    <row r="4829">
      <c r="A4829" s="17"/>
      <c r="H4829" s="18"/>
      <c r="K4829" s="18" t="s">
        <v>316</v>
      </c>
    </row>
    <row r="4830">
      <c r="A4830" s="17"/>
      <c r="H4830" s="18"/>
      <c r="K4830" s="18" t="s">
        <v>316</v>
      </c>
    </row>
    <row r="4831">
      <c r="A4831" s="17"/>
      <c r="H4831" s="18"/>
      <c r="K4831" s="18" t="s">
        <v>316</v>
      </c>
    </row>
    <row r="4832">
      <c r="A4832" s="17"/>
      <c r="H4832" s="18"/>
      <c r="K4832" s="18" t="s">
        <v>316</v>
      </c>
    </row>
    <row r="4833">
      <c r="A4833" s="17"/>
      <c r="H4833" s="18"/>
      <c r="K4833" s="18" t="s">
        <v>316</v>
      </c>
    </row>
    <row r="4834">
      <c r="A4834" s="17"/>
      <c r="H4834" s="18"/>
      <c r="K4834" s="18" t="s">
        <v>316</v>
      </c>
    </row>
    <row r="4835">
      <c r="A4835" s="17"/>
      <c r="H4835" s="18"/>
      <c r="K4835" s="18" t="s">
        <v>316</v>
      </c>
    </row>
    <row r="4836">
      <c r="A4836" s="17"/>
      <c r="H4836" s="18"/>
      <c r="K4836" s="18" t="s">
        <v>316</v>
      </c>
    </row>
    <row r="4837">
      <c r="A4837" s="17"/>
      <c r="H4837" s="18"/>
      <c r="K4837" s="18" t="s">
        <v>316</v>
      </c>
    </row>
    <row r="4838">
      <c r="A4838" s="17"/>
      <c r="H4838" s="18"/>
      <c r="K4838" s="18" t="s">
        <v>316</v>
      </c>
    </row>
    <row r="4839">
      <c r="A4839" s="17"/>
      <c r="H4839" s="18"/>
      <c r="K4839" s="18" t="s">
        <v>316</v>
      </c>
    </row>
    <row r="4840">
      <c r="A4840" s="17"/>
      <c r="H4840" s="18"/>
      <c r="K4840" s="18" t="s">
        <v>316</v>
      </c>
    </row>
    <row r="4841">
      <c r="A4841" s="17"/>
      <c r="H4841" s="18"/>
      <c r="K4841" s="18" t="s">
        <v>316</v>
      </c>
    </row>
    <row r="4842">
      <c r="A4842" s="17"/>
      <c r="H4842" s="18"/>
      <c r="K4842" s="18" t="s">
        <v>316</v>
      </c>
    </row>
    <row r="4843">
      <c r="A4843" s="17"/>
      <c r="H4843" s="18"/>
      <c r="K4843" s="18" t="s">
        <v>316</v>
      </c>
    </row>
    <row r="4844">
      <c r="A4844" s="17"/>
      <c r="H4844" s="18"/>
      <c r="K4844" s="18" t="s">
        <v>316</v>
      </c>
    </row>
    <row r="4845">
      <c r="A4845" s="17"/>
      <c r="H4845" s="18"/>
      <c r="K4845" s="18" t="s">
        <v>316</v>
      </c>
    </row>
    <row r="4846">
      <c r="A4846" s="17"/>
      <c r="H4846" s="18"/>
      <c r="K4846" s="18" t="s">
        <v>316</v>
      </c>
    </row>
    <row r="4847">
      <c r="A4847" s="17"/>
      <c r="H4847" s="18"/>
      <c r="K4847" s="18" t="s">
        <v>316</v>
      </c>
    </row>
    <row r="4848">
      <c r="A4848" s="17"/>
      <c r="H4848" s="18"/>
      <c r="K4848" s="18" t="s">
        <v>316</v>
      </c>
    </row>
    <row r="4849">
      <c r="A4849" s="17"/>
      <c r="H4849" s="18"/>
      <c r="K4849" s="18" t="s">
        <v>316</v>
      </c>
    </row>
    <row r="4850">
      <c r="A4850" s="17"/>
      <c r="H4850" s="18"/>
      <c r="K4850" s="18" t="s">
        <v>316</v>
      </c>
    </row>
    <row r="4851">
      <c r="A4851" s="17"/>
      <c r="H4851" s="18"/>
      <c r="K4851" s="18" t="s">
        <v>316</v>
      </c>
    </row>
    <row r="4852">
      <c r="A4852" s="17"/>
      <c r="H4852" s="18"/>
      <c r="K4852" s="18" t="s">
        <v>316</v>
      </c>
    </row>
    <row r="4853">
      <c r="A4853" s="17"/>
      <c r="H4853" s="18"/>
      <c r="K4853" s="18" t="s">
        <v>316</v>
      </c>
    </row>
    <row r="4854">
      <c r="A4854" s="17"/>
      <c r="H4854" s="18"/>
      <c r="K4854" s="18" t="s">
        <v>316</v>
      </c>
    </row>
    <row r="4855">
      <c r="A4855" s="17"/>
      <c r="H4855" s="18"/>
      <c r="K4855" s="18" t="s">
        <v>316</v>
      </c>
    </row>
    <row r="4856">
      <c r="A4856" s="17"/>
      <c r="H4856" s="18"/>
      <c r="K4856" s="18" t="s">
        <v>316</v>
      </c>
    </row>
    <row r="4857">
      <c r="A4857" s="17"/>
      <c r="H4857" s="18"/>
      <c r="K4857" s="18" t="s">
        <v>316</v>
      </c>
    </row>
    <row r="4858">
      <c r="A4858" s="17"/>
      <c r="H4858" s="18"/>
      <c r="K4858" s="18" t="s">
        <v>316</v>
      </c>
    </row>
    <row r="4859">
      <c r="A4859" s="17"/>
      <c r="H4859" s="18"/>
      <c r="K4859" s="18" t="s">
        <v>316</v>
      </c>
    </row>
    <row r="4860">
      <c r="A4860" s="17"/>
      <c r="H4860" s="18"/>
      <c r="K4860" s="18" t="s">
        <v>316</v>
      </c>
    </row>
    <row r="4861">
      <c r="A4861" s="17"/>
      <c r="H4861" s="18"/>
      <c r="K4861" s="18" t="s">
        <v>316</v>
      </c>
    </row>
    <row r="4862">
      <c r="A4862" s="17"/>
      <c r="H4862" s="18"/>
      <c r="K4862" s="18" t="s">
        <v>316</v>
      </c>
    </row>
    <row r="4863">
      <c r="A4863" s="17"/>
      <c r="H4863" s="18"/>
      <c r="K4863" s="18" t="s">
        <v>316</v>
      </c>
    </row>
    <row r="4864">
      <c r="A4864" s="17"/>
      <c r="H4864" s="18"/>
      <c r="K4864" s="18" t="s">
        <v>316</v>
      </c>
    </row>
    <row r="4865">
      <c r="A4865" s="17"/>
      <c r="H4865" s="18"/>
      <c r="K4865" s="18" t="s">
        <v>316</v>
      </c>
    </row>
    <row r="4866">
      <c r="A4866" s="17"/>
      <c r="H4866" s="18"/>
      <c r="K4866" s="18" t="s">
        <v>316</v>
      </c>
    </row>
    <row r="4867">
      <c r="A4867" s="17"/>
      <c r="H4867" s="18"/>
      <c r="K4867" s="18" t="s">
        <v>316</v>
      </c>
    </row>
    <row r="4868">
      <c r="A4868" s="17"/>
      <c r="H4868" s="18"/>
      <c r="K4868" s="18" t="s">
        <v>316</v>
      </c>
    </row>
    <row r="4869">
      <c r="A4869" s="17"/>
      <c r="H4869" s="18"/>
      <c r="K4869" s="18" t="s">
        <v>316</v>
      </c>
    </row>
    <row r="4870">
      <c r="A4870" s="17"/>
      <c r="H4870" s="18"/>
      <c r="K4870" s="18" t="s">
        <v>316</v>
      </c>
    </row>
    <row r="4871">
      <c r="A4871" s="17"/>
      <c r="H4871" s="18"/>
      <c r="K4871" s="18" t="s">
        <v>316</v>
      </c>
    </row>
    <row r="4872">
      <c r="A4872" s="17"/>
      <c r="H4872" s="18"/>
      <c r="K4872" s="18" t="s">
        <v>316</v>
      </c>
    </row>
    <row r="4873">
      <c r="A4873" s="17"/>
      <c r="H4873" s="18"/>
      <c r="K4873" s="18" t="s">
        <v>316</v>
      </c>
    </row>
    <row r="4874">
      <c r="A4874" s="17"/>
      <c r="H4874" s="18"/>
      <c r="K4874" s="18" t="s">
        <v>316</v>
      </c>
    </row>
    <row r="4875">
      <c r="A4875" s="17"/>
      <c r="H4875" s="18"/>
      <c r="K4875" s="18" t="s">
        <v>316</v>
      </c>
    </row>
    <row r="4876">
      <c r="A4876" s="17"/>
      <c r="H4876" s="18"/>
      <c r="K4876" s="18" t="s">
        <v>316</v>
      </c>
    </row>
    <row r="4877">
      <c r="A4877" s="17"/>
      <c r="H4877" s="18"/>
      <c r="K4877" s="18" t="s">
        <v>316</v>
      </c>
    </row>
    <row r="4878">
      <c r="A4878" s="17"/>
      <c r="H4878" s="18"/>
      <c r="K4878" s="18" t="s">
        <v>316</v>
      </c>
    </row>
    <row r="4879">
      <c r="A4879" s="17"/>
      <c r="H4879" s="18"/>
      <c r="K4879" s="18" t="s">
        <v>316</v>
      </c>
    </row>
    <row r="4880">
      <c r="A4880" s="17"/>
      <c r="H4880" s="18"/>
      <c r="K4880" s="18" t="s">
        <v>316</v>
      </c>
    </row>
    <row r="4881">
      <c r="A4881" s="17"/>
      <c r="H4881" s="18"/>
      <c r="K4881" s="18" t="s">
        <v>316</v>
      </c>
    </row>
    <row r="4882">
      <c r="A4882" s="17"/>
      <c r="H4882" s="18"/>
      <c r="K4882" s="18" t="s">
        <v>316</v>
      </c>
    </row>
    <row r="4883">
      <c r="A4883" s="17"/>
      <c r="H4883" s="18"/>
      <c r="K4883" s="18" t="s">
        <v>316</v>
      </c>
    </row>
    <row r="4884">
      <c r="A4884" s="17"/>
      <c r="H4884" s="18"/>
      <c r="K4884" s="18" t="s">
        <v>316</v>
      </c>
    </row>
    <row r="4885">
      <c r="A4885" s="17"/>
      <c r="H4885" s="18"/>
      <c r="K4885" s="18" t="s">
        <v>316</v>
      </c>
    </row>
    <row r="4886">
      <c r="A4886" s="17"/>
      <c r="H4886" s="18"/>
      <c r="K4886" s="18" t="s">
        <v>316</v>
      </c>
    </row>
    <row r="4887">
      <c r="A4887" s="17"/>
      <c r="H4887" s="18"/>
      <c r="K4887" s="18" t="s">
        <v>316</v>
      </c>
    </row>
    <row r="4888">
      <c r="A4888" s="17"/>
      <c r="H4888" s="18"/>
      <c r="K4888" s="18" t="s">
        <v>316</v>
      </c>
    </row>
    <row r="4889">
      <c r="A4889" s="17"/>
      <c r="H4889" s="18"/>
      <c r="K4889" s="18" t="s">
        <v>316</v>
      </c>
    </row>
    <row r="4890">
      <c r="A4890" s="17"/>
      <c r="H4890" s="18"/>
      <c r="K4890" s="18" t="s">
        <v>316</v>
      </c>
    </row>
    <row r="4891">
      <c r="A4891" s="17"/>
      <c r="H4891" s="18"/>
      <c r="K4891" s="18" t="s">
        <v>316</v>
      </c>
    </row>
    <row r="4892">
      <c r="A4892" s="17"/>
      <c r="H4892" s="18"/>
      <c r="K4892" s="18" t="s">
        <v>316</v>
      </c>
    </row>
    <row r="4893">
      <c r="A4893" s="17"/>
      <c r="H4893" s="18"/>
      <c r="K4893" s="18" t="s">
        <v>316</v>
      </c>
    </row>
    <row r="4894">
      <c r="A4894" s="17"/>
      <c r="H4894" s="18"/>
      <c r="K4894" s="18" t="s">
        <v>316</v>
      </c>
    </row>
    <row r="4895">
      <c r="A4895" s="17"/>
      <c r="H4895" s="18"/>
      <c r="K4895" s="18" t="s">
        <v>316</v>
      </c>
    </row>
    <row r="4896">
      <c r="A4896" s="17"/>
      <c r="H4896" s="18"/>
      <c r="K4896" s="18" t="s">
        <v>316</v>
      </c>
    </row>
    <row r="4897">
      <c r="A4897" s="17"/>
      <c r="H4897" s="18"/>
      <c r="K4897" s="18" t="s">
        <v>316</v>
      </c>
    </row>
    <row r="4898">
      <c r="A4898" s="17"/>
      <c r="H4898" s="18"/>
      <c r="K4898" s="18" t="s">
        <v>316</v>
      </c>
    </row>
    <row r="4899">
      <c r="A4899" s="17"/>
      <c r="H4899" s="18"/>
      <c r="K4899" s="18" t="s">
        <v>316</v>
      </c>
    </row>
    <row r="4900">
      <c r="A4900" s="17"/>
      <c r="H4900" s="18"/>
      <c r="K4900" s="18" t="s">
        <v>316</v>
      </c>
    </row>
    <row r="4901">
      <c r="A4901" s="17"/>
      <c r="H4901" s="18"/>
      <c r="K4901" s="18" t="s">
        <v>316</v>
      </c>
    </row>
    <row r="4902">
      <c r="A4902" s="17"/>
      <c r="H4902" s="18"/>
      <c r="K4902" s="18" t="s">
        <v>316</v>
      </c>
    </row>
    <row r="4903">
      <c r="A4903" s="17"/>
      <c r="H4903" s="18"/>
      <c r="K4903" s="18" t="s">
        <v>316</v>
      </c>
    </row>
    <row r="4904">
      <c r="A4904" s="17"/>
      <c r="H4904" s="18"/>
      <c r="K4904" s="18" t="s">
        <v>316</v>
      </c>
    </row>
    <row r="4905">
      <c r="A4905" s="17"/>
      <c r="H4905" s="18"/>
      <c r="K4905" s="18" t="s">
        <v>316</v>
      </c>
    </row>
    <row r="4906">
      <c r="A4906" s="17"/>
      <c r="H4906" s="18"/>
      <c r="K4906" s="18" t="s">
        <v>316</v>
      </c>
    </row>
    <row r="4907">
      <c r="A4907" s="17"/>
      <c r="H4907" s="18"/>
      <c r="K4907" s="18" t="s">
        <v>316</v>
      </c>
    </row>
    <row r="4908">
      <c r="A4908" s="17"/>
      <c r="H4908" s="18"/>
      <c r="K4908" s="18" t="s">
        <v>316</v>
      </c>
    </row>
    <row r="4909">
      <c r="A4909" s="17"/>
      <c r="H4909" s="18"/>
      <c r="K4909" s="18" t="s">
        <v>316</v>
      </c>
    </row>
    <row r="4910">
      <c r="A4910" s="17"/>
      <c r="H4910" s="18"/>
      <c r="K4910" s="18" t="s">
        <v>316</v>
      </c>
    </row>
    <row r="4911">
      <c r="A4911" s="17"/>
      <c r="H4911" s="18"/>
      <c r="K4911" s="18" t="s">
        <v>316</v>
      </c>
    </row>
    <row r="4912">
      <c r="A4912" s="17"/>
      <c r="H4912" s="18"/>
      <c r="K4912" s="18" t="s">
        <v>316</v>
      </c>
    </row>
    <row r="4913">
      <c r="A4913" s="17"/>
      <c r="H4913" s="18"/>
      <c r="K4913" s="18" t="s">
        <v>316</v>
      </c>
    </row>
    <row r="4914">
      <c r="A4914" s="17"/>
      <c r="H4914" s="18"/>
      <c r="K4914" s="18" t="s">
        <v>316</v>
      </c>
    </row>
    <row r="4915">
      <c r="A4915" s="17"/>
      <c r="H4915" s="18"/>
      <c r="K4915" s="18" t="s">
        <v>316</v>
      </c>
    </row>
    <row r="4916">
      <c r="A4916" s="17"/>
      <c r="H4916" s="18"/>
      <c r="K4916" s="18" t="s">
        <v>316</v>
      </c>
    </row>
    <row r="4917">
      <c r="A4917" s="17"/>
      <c r="H4917" s="18"/>
      <c r="K4917" s="18" t="s">
        <v>316</v>
      </c>
    </row>
    <row r="4918">
      <c r="A4918" s="17"/>
      <c r="H4918" s="18"/>
      <c r="K4918" s="18" t="s">
        <v>316</v>
      </c>
    </row>
    <row r="4919">
      <c r="A4919" s="17"/>
      <c r="H4919" s="18"/>
      <c r="K4919" s="18" t="s">
        <v>316</v>
      </c>
    </row>
    <row r="4920">
      <c r="A4920" s="17"/>
      <c r="H4920" s="18"/>
      <c r="K4920" s="18" t="s">
        <v>316</v>
      </c>
    </row>
    <row r="4921">
      <c r="A4921" s="17"/>
      <c r="H4921" s="18"/>
      <c r="K4921" s="18" t="s">
        <v>316</v>
      </c>
    </row>
    <row r="4922">
      <c r="A4922" s="17"/>
      <c r="H4922" s="18"/>
      <c r="K4922" s="18" t="s">
        <v>316</v>
      </c>
    </row>
    <row r="4923">
      <c r="A4923" s="17"/>
      <c r="H4923" s="18"/>
      <c r="K4923" s="18" t="s">
        <v>316</v>
      </c>
    </row>
    <row r="4924">
      <c r="A4924" s="17"/>
      <c r="H4924" s="18"/>
      <c r="K4924" s="18" t="s">
        <v>316</v>
      </c>
    </row>
    <row r="4925">
      <c r="A4925" s="17"/>
      <c r="H4925" s="18"/>
      <c r="K4925" s="18" t="s">
        <v>316</v>
      </c>
    </row>
    <row r="4926">
      <c r="A4926" s="17"/>
      <c r="H4926" s="18"/>
      <c r="K4926" s="18" t="s">
        <v>316</v>
      </c>
    </row>
    <row r="4927">
      <c r="A4927" s="17"/>
      <c r="H4927" s="18"/>
      <c r="K4927" s="18" t="s">
        <v>316</v>
      </c>
    </row>
    <row r="4928">
      <c r="A4928" s="17"/>
      <c r="H4928" s="18"/>
      <c r="K4928" s="18" t="s">
        <v>316</v>
      </c>
    </row>
    <row r="4929">
      <c r="A4929" s="17"/>
      <c r="H4929" s="18"/>
      <c r="K4929" s="18" t="s">
        <v>316</v>
      </c>
    </row>
    <row r="4930">
      <c r="A4930" s="17"/>
      <c r="H4930" s="18"/>
      <c r="K4930" s="18" t="s">
        <v>316</v>
      </c>
    </row>
    <row r="4931">
      <c r="A4931" s="17"/>
      <c r="H4931" s="18"/>
      <c r="K4931" s="18" t="s">
        <v>316</v>
      </c>
    </row>
    <row r="4932">
      <c r="A4932" s="17"/>
      <c r="H4932" s="18"/>
      <c r="K4932" s="18" t="s">
        <v>316</v>
      </c>
    </row>
    <row r="4933">
      <c r="A4933" s="17"/>
      <c r="H4933" s="18"/>
      <c r="K4933" s="18" t="s">
        <v>316</v>
      </c>
    </row>
    <row r="4934">
      <c r="A4934" s="17"/>
      <c r="H4934" s="18"/>
      <c r="K4934" s="18" t="s">
        <v>316</v>
      </c>
    </row>
    <row r="4935">
      <c r="A4935" s="17"/>
      <c r="H4935" s="18"/>
      <c r="K4935" s="18" t="s">
        <v>316</v>
      </c>
    </row>
    <row r="4936">
      <c r="A4936" s="17"/>
      <c r="H4936" s="18"/>
      <c r="K4936" s="18" t="s">
        <v>316</v>
      </c>
    </row>
    <row r="4937">
      <c r="A4937" s="17"/>
      <c r="H4937" s="18"/>
      <c r="K4937" s="18" t="s">
        <v>316</v>
      </c>
    </row>
    <row r="4938">
      <c r="A4938" s="17"/>
      <c r="H4938" s="18"/>
      <c r="K4938" s="18" t="s">
        <v>316</v>
      </c>
    </row>
    <row r="4939">
      <c r="A4939" s="17"/>
      <c r="H4939" s="18"/>
      <c r="K4939" s="18" t="s">
        <v>316</v>
      </c>
    </row>
    <row r="4940">
      <c r="A4940" s="17"/>
      <c r="H4940" s="18"/>
      <c r="K4940" s="18" t="s">
        <v>316</v>
      </c>
    </row>
    <row r="4941">
      <c r="A4941" s="17"/>
      <c r="H4941" s="18"/>
      <c r="K4941" s="18" t="s">
        <v>316</v>
      </c>
    </row>
    <row r="4942">
      <c r="A4942" s="17"/>
      <c r="H4942" s="18"/>
      <c r="K4942" s="18" t="s">
        <v>316</v>
      </c>
    </row>
    <row r="4943">
      <c r="A4943" s="17"/>
      <c r="H4943" s="18"/>
      <c r="K4943" s="18" t="s">
        <v>316</v>
      </c>
    </row>
    <row r="4944">
      <c r="A4944" s="17"/>
      <c r="H4944" s="18"/>
      <c r="K4944" s="18" t="s">
        <v>316</v>
      </c>
    </row>
    <row r="4945">
      <c r="A4945" s="17"/>
      <c r="H4945" s="18"/>
      <c r="K4945" s="18" t="s">
        <v>316</v>
      </c>
    </row>
    <row r="4946">
      <c r="A4946" s="17"/>
      <c r="H4946" s="18"/>
      <c r="K4946" s="18" t="s">
        <v>316</v>
      </c>
    </row>
    <row r="4947">
      <c r="A4947" s="17"/>
      <c r="H4947" s="18"/>
      <c r="K4947" s="18" t="s">
        <v>316</v>
      </c>
    </row>
    <row r="4948">
      <c r="A4948" s="17"/>
      <c r="H4948" s="18"/>
      <c r="K4948" s="18" t="s">
        <v>316</v>
      </c>
    </row>
    <row r="4949">
      <c r="A4949" s="17"/>
      <c r="H4949" s="18"/>
      <c r="K4949" s="18" t="s">
        <v>316</v>
      </c>
    </row>
    <row r="4950">
      <c r="A4950" s="17"/>
      <c r="H4950" s="18"/>
      <c r="K4950" s="18" t="s">
        <v>316</v>
      </c>
    </row>
    <row r="4951">
      <c r="A4951" s="17"/>
      <c r="H4951" s="18"/>
      <c r="K4951" s="18" t="s">
        <v>316</v>
      </c>
    </row>
    <row r="4952">
      <c r="A4952" s="17"/>
      <c r="H4952" s="18"/>
      <c r="K4952" s="18" t="s">
        <v>316</v>
      </c>
    </row>
    <row r="4953">
      <c r="A4953" s="17"/>
      <c r="H4953" s="18"/>
      <c r="K4953" s="18" t="s">
        <v>316</v>
      </c>
    </row>
    <row r="4954">
      <c r="A4954" s="17"/>
      <c r="H4954" s="18"/>
      <c r="K4954" s="18" t="s">
        <v>316</v>
      </c>
    </row>
    <row r="4955">
      <c r="A4955" s="17"/>
      <c r="H4955" s="18"/>
      <c r="K4955" s="18" t="s">
        <v>316</v>
      </c>
    </row>
    <row r="4956">
      <c r="A4956" s="17"/>
      <c r="H4956" s="18"/>
      <c r="K4956" s="18" t="s">
        <v>316</v>
      </c>
    </row>
    <row r="4957">
      <c r="A4957" s="17"/>
      <c r="H4957" s="18"/>
      <c r="K4957" s="18" t="s">
        <v>316</v>
      </c>
    </row>
    <row r="4958">
      <c r="A4958" s="17"/>
      <c r="H4958" s="18"/>
      <c r="K4958" s="18" t="s">
        <v>316</v>
      </c>
    </row>
    <row r="4959">
      <c r="A4959" s="17"/>
      <c r="H4959" s="18"/>
      <c r="K4959" s="18" t="s">
        <v>316</v>
      </c>
    </row>
    <row r="4960">
      <c r="A4960" s="17"/>
      <c r="H4960" s="18"/>
      <c r="K4960" s="18" t="s">
        <v>316</v>
      </c>
    </row>
    <row r="4961">
      <c r="A4961" s="17"/>
      <c r="H4961" s="18"/>
      <c r="K4961" s="18" t="s">
        <v>316</v>
      </c>
    </row>
    <row r="4962">
      <c r="A4962" s="17"/>
      <c r="H4962" s="18"/>
      <c r="K4962" s="18" t="s">
        <v>316</v>
      </c>
    </row>
    <row r="4963">
      <c r="A4963" s="17"/>
      <c r="H4963" s="18"/>
      <c r="K4963" s="18" t="s">
        <v>316</v>
      </c>
    </row>
    <row r="4964">
      <c r="A4964" s="17"/>
      <c r="H4964" s="18"/>
      <c r="K4964" s="18" t="s">
        <v>316</v>
      </c>
    </row>
    <row r="4965">
      <c r="A4965" s="17"/>
      <c r="H4965" s="18"/>
      <c r="K4965" s="18" t="s">
        <v>316</v>
      </c>
    </row>
    <row r="4966">
      <c r="A4966" s="17"/>
      <c r="H4966" s="18"/>
      <c r="K4966" s="18" t="s">
        <v>316</v>
      </c>
    </row>
    <row r="4967">
      <c r="A4967" s="17"/>
      <c r="H4967" s="18"/>
      <c r="K4967" s="18" t="s">
        <v>316</v>
      </c>
    </row>
    <row r="4968">
      <c r="A4968" s="17"/>
      <c r="H4968" s="18"/>
      <c r="K4968" s="18" t="s">
        <v>316</v>
      </c>
    </row>
    <row r="4969">
      <c r="A4969" s="17"/>
      <c r="H4969" s="18"/>
      <c r="K4969" s="18" t="s">
        <v>316</v>
      </c>
    </row>
    <row r="4970">
      <c r="A4970" s="17"/>
      <c r="H4970" s="18"/>
      <c r="K4970" s="18" t="s">
        <v>316</v>
      </c>
    </row>
    <row r="4971">
      <c r="A4971" s="17"/>
      <c r="H4971" s="18"/>
      <c r="K4971" s="18" t="s">
        <v>316</v>
      </c>
    </row>
    <row r="4972">
      <c r="A4972" s="17"/>
      <c r="H4972" s="18"/>
      <c r="K4972" s="18" t="s">
        <v>316</v>
      </c>
    </row>
    <row r="4973">
      <c r="A4973" s="17"/>
      <c r="H4973" s="18"/>
      <c r="K4973" s="18" t="s">
        <v>316</v>
      </c>
    </row>
    <row r="4974">
      <c r="A4974" s="17"/>
      <c r="H4974" s="18"/>
      <c r="K4974" s="18" t="s">
        <v>316</v>
      </c>
    </row>
    <row r="4975">
      <c r="A4975" s="17"/>
      <c r="H4975" s="18"/>
      <c r="K4975" s="18" t="s">
        <v>316</v>
      </c>
    </row>
    <row r="4976">
      <c r="A4976" s="17"/>
      <c r="H4976" s="18"/>
      <c r="K4976" s="18" t="s">
        <v>316</v>
      </c>
    </row>
    <row r="4977">
      <c r="A4977" s="17"/>
      <c r="H4977" s="18"/>
      <c r="K4977" s="18" t="s">
        <v>316</v>
      </c>
    </row>
    <row r="4978">
      <c r="A4978" s="17"/>
      <c r="H4978" s="18"/>
      <c r="K4978" s="18" t="s">
        <v>316</v>
      </c>
    </row>
    <row r="4979">
      <c r="A4979" s="17"/>
      <c r="H4979" s="18"/>
      <c r="K4979" s="18" t="s">
        <v>316</v>
      </c>
    </row>
    <row r="4980">
      <c r="A4980" s="17"/>
      <c r="H4980" s="18"/>
      <c r="K4980" s="18" t="s">
        <v>316</v>
      </c>
    </row>
    <row r="4981">
      <c r="A4981" s="17"/>
      <c r="H4981" s="18"/>
      <c r="K4981" s="18" t="s">
        <v>316</v>
      </c>
    </row>
    <row r="4982">
      <c r="A4982" s="17"/>
      <c r="H4982" s="18"/>
      <c r="K4982" s="18" t="s">
        <v>316</v>
      </c>
    </row>
    <row r="4983">
      <c r="A4983" s="17"/>
      <c r="H4983" s="18"/>
      <c r="K4983" s="18" t="s">
        <v>316</v>
      </c>
    </row>
    <row r="4984">
      <c r="A4984" s="17"/>
      <c r="H4984" s="18"/>
      <c r="K4984" s="18" t="s">
        <v>316</v>
      </c>
    </row>
    <row r="4985">
      <c r="A4985" s="17"/>
      <c r="H4985" s="18"/>
      <c r="K4985" s="18" t="s">
        <v>316</v>
      </c>
    </row>
    <row r="4986">
      <c r="A4986" s="17"/>
      <c r="H4986" s="18"/>
      <c r="K4986" s="18" t="s">
        <v>316</v>
      </c>
    </row>
    <row r="4987">
      <c r="A4987" s="17"/>
      <c r="H4987" s="18"/>
      <c r="K4987" s="18" t="s">
        <v>316</v>
      </c>
    </row>
    <row r="4988">
      <c r="A4988" s="17"/>
      <c r="H4988" s="18"/>
      <c r="K4988" s="18" t="s">
        <v>316</v>
      </c>
    </row>
    <row r="4989">
      <c r="A4989" s="17"/>
      <c r="H4989" s="18"/>
      <c r="K4989" s="18" t="s">
        <v>316</v>
      </c>
    </row>
    <row r="4990">
      <c r="A4990" s="17"/>
      <c r="H4990" s="18"/>
      <c r="K4990" s="18" t="s">
        <v>316</v>
      </c>
    </row>
    <row r="4991">
      <c r="A4991" s="17"/>
      <c r="H4991" s="18"/>
      <c r="K4991" s="18" t="s">
        <v>316</v>
      </c>
    </row>
    <row r="4992">
      <c r="A4992" s="17"/>
      <c r="H4992" s="18"/>
      <c r="K4992" s="18" t="s">
        <v>316</v>
      </c>
    </row>
    <row r="4993">
      <c r="A4993" s="17"/>
      <c r="H4993" s="18"/>
      <c r="K4993" s="18" t="s">
        <v>316</v>
      </c>
    </row>
    <row r="4994">
      <c r="A4994" s="17"/>
      <c r="H4994" s="18"/>
      <c r="K4994" s="18" t="s">
        <v>316</v>
      </c>
    </row>
    <row r="4995">
      <c r="A4995" s="17"/>
      <c r="H4995" s="18"/>
      <c r="K4995" s="18" t="s">
        <v>316</v>
      </c>
    </row>
    <row r="4996">
      <c r="A4996" s="17"/>
      <c r="H4996" s="18"/>
      <c r="K4996" s="18" t="s">
        <v>316</v>
      </c>
    </row>
    <row r="4997">
      <c r="A4997" s="17"/>
      <c r="H4997" s="18"/>
      <c r="K4997" s="18" t="s">
        <v>316</v>
      </c>
    </row>
    <row r="4998">
      <c r="A4998" s="17"/>
      <c r="H4998" s="18"/>
      <c r="K4998" s="18" t="s">
        <v>316</v>
      </c>
    </row>
    <row r="4999">
      <c r="A4999" s="17"/>
      <c r="H4999" s="18"/>
      <c r="K4999" s="18" t="s">
        <v>316</v>
      </c>
    </row>
    <row r="5000">
      <c r="A5000" s="17"/>
      <c r="H5000" s="18"/>
      <c r="K5000" s="18" t="s">
        <v>316</v>
      </c>
    </row>
    <row r="5001">
      <c r="A5001" s="17"/>
      <c r="H5001" s="18"/>
      <c r="K5001" s="18" t="s">
        <v>316</v>
      </c>
    </row>
    <row r="5002">
      <c r="A5002" s="17"/>
      <c r="H5002" s="18"/>
      <c r="K5002" s="18" t="s">
        <v>316</v>
      </c>
    </row>
    <row r="5003">
      <c r="A5003" s="17"/>
      <c r="H5003" s="18"/>
      <c r="K5003" s="18" t="s">
        <v>316</v>
      </c>
    </row>
    <row r="5004">
      <c r="A5004" s="17"/>
      <c r="H5004" s="18"/>
      <c r="K5004" s="18" t="s">
        <v>316</v>
      </c>
    </row>
    <row r="5005">
      <c r="A5005" s="17"/>
      <c r="H5005" s="18"/>
      <c r="K5005" s="18" t="s">
        <v>316</v>
      </c>
    </row>
    <row r="5006">
      <c r="A5006" s="17"/>
      <c r="H5006" s="18"/>
      <c r="K5006" s="18" t="s">
        <v>316</v>
      </c>
    </row>
    <row r="5007">
      <c r="A5007" s="17"/>
      <c r="H5007" s="18"/>
      <c r="K5007" s="18" t="s">
        <v>316</v>
      </c>
    </row>
    <row r="5008">
      <c r="A5008" s="17"/>
      <c r="H5008" s="18"/>
      <c r="K5008" s="18" t="s">
        <v>316</v>
      </c>
    </row>
    <row r="5009">
      <c r="A5009" s="17"/>
      <c r="H5009" s="18"/>
      <c r="K5009" s="18" t="s">
        <v>316</v>
      </c>
    </row>
    <row r="5010">
      <c r="A5010" s="17"/>
      <c r="H5010" s="18"/>
      <c r="K5010" s="18" t="s">
        <v>316</v>
      </c>
    </row>
    <row r="5011">
      <c r="A5011" s="17"/>
      <c r="H5011" s="18"/>
      <c r="K5011" s="18" t="s">
        <v>316</v>
      </c>
    </row>
    <row r="5012">
      <c r="A5012" s="17"/>
      <c r="H5012" s="18"/>
      <c r="K5012" s="18" t="s">
        <v>316</v>
      </c>
    </row>
    <row r="5013">
      <c r="A5013" s="17"/>
      <c r="H5013" s="18"/>
      <c r="K5013" s="18" t="s">
        <v>316</v>
      </c>
    </row>
    <row r="5014">
      <c r="A5014" s="17"/>
      <c r="H5014" s="18"/>
      <c r="K5014" s="18" t="s">
        <v>316</v>
      </c>
    </row>
    <row r="5015">
      <c r="A5015" s="17"/>
      <c r="H5015" s="18"/>
      <c r="K5015" s="18" t="s">
        <v>316</v>
      </c>
    </row>
    <row r="5016">
      <c r="A5016" s="17"/>
      <c r="H5016" s="18"/>
      <c r="K5016" s="18" t="s">
        <v>316</v>
      </c>
    </row>
    <row r="5017">
      <c r="A5017" s="17"/>
      <c r="H5017" s="18"/>
      <c r="K5017" s="18" t="s">
        <v>316</v>
      </c>
    </row>
    <row r="5018">
      <c r="A5018" s="17"/>
      <c r="H5018" s="18"/>
      <c r="K5018" s="18" t="s">
        <v>316</v>
      </c>
    </row>
    <row r="5019">
      <c r="A5019" s="17"/>
      <c r="H5019" s="18"/>
      <c r="K5019" s="18" t="s">
        <v>316</v>
      </c>
    </row>
    <row r="5020">
      <c r="A5020" s="17"/>
      <c r="H5020" s="18"/>
      <c r="K5020" s="18" t="s">
        <v>316</v>
      </c>
    </row>
    <row r="5021">
      <c r="A5021" s="17"/>
      <c r="H5021" s="18"/>
      <c r="K5021" s="18" t="s">
        <v>316</v>
      </c>
    </row>
    <row r="5022">
      <c r="A5022" s="17"/>
      <c r="H5022" s="18"/>
      <c r="K5022" s="18" t="s">
        <v>316</v>
      </c>
    </row>
    <row r="5023">
      <c r="A5023" s="17"/>
      <c r="H5023" s="18"/>
      <c r="K5023" s="18" t="s">
        <v>316</v>
      </c>
    </row>
    <row r="5024">
      <c r="A5024" s="17"/>
      <c r="H5024" s="18"/>
      <c r="K5024" s="18" t="s">
        <v>316</v>
      </c>
    </row>
    <row r="5025">
      <c r="A5025" s="17"/>
      <c r="H5025" s="18"/>
      <c r="K5025" s="18" t="s">
        <v>316</v>
      </c>
    </row>
    <row r="5026">
      <c r="A5026" s="17"/>
      <c r="H5026" s="18"/>
      <c r="K5026" s="18" t="s">
        <v>316</v>
      </c>
    </row>
    <row r="5027">
      <c r="A5027" s="17"/>
      <c r="H5027" s="18"/>
      <c r="K5027" s="18" t="s">
        <v>316</v>
      </c>
    </row>
    <row r="5028">
      <c r="A5028" s="17"/>
      <c r="H5028" s="18"/>
      <c r="K5028" s="18" t="s">
        <v>316</v>
      </c>
    </row>
    <row r="5029">
      <c r="A5029" s="17"/>
      <c r="H5029" s="18"/>
      <c r="K5029" s="18" t="s">
        <v>316</v>
      </c>
    </row>
    <row r="5030">
      <c r="A5030" s="17"/>
      <c r="H5030" s="18"/>
      <c r="K5030" s="18" t="s">
        <v>316</v>
      </c>
    </row>
    <row r="5031">
      <c r="A5031" s="17"/>
      <c r="H5031" s="18"/>
      <c r="K5031" s="18" t="s">
        <v>316</v>
      </c>
    </row>
    <row r="5032">
      <c r="A5032" s="17"/>
      <c r="H5032" s="18"/>
      <c r="K5032" s="18" t="s">
        <v>316</v>
      </c>
    </row>
    <row r="5033">
      <c r="A5033" s="17"/>
      <c r="H5033" s="18"/>
      <c r="K5033" s="18" t="s">
        <v>316</v>
      </c>
    </row>
    <row r="5034">
      <c r="A5034" s="17"/>
      <c r="H5034" s="18"/>
      <c r="K5034" s="18" t="s">
        <v>316</v>
      </c>
    </row>
    <row r="5035">
      <c r="A5035" s="17"/>
      <c r="H5035" s="18"/>
      <c r="K5035" s="18" t="s">
        <v>316</v>
      </c>
    </row>
    <row r="5036">
      <c r="A5036" s="17"/>
      <c r="H5036" s="18"/>
      <c r="K5036" s="18" t="s">
        <v>316</v>
      </c>
    </row>
    <row r="5037">
      <c r="A5037" s="17"/>
      <c r="H5037" s="18"/>
      <c r="K5037" s="18" t="s">
        <v>316</v>
      </c>
    </row>
    <row r="5038">
      <c r="A5038" s="17"/>
      <c r="H5038" s="18"/>
      <c r="K5038" s="18" t="s">
        <v>316</v>
      </c>
    </row>
    <row r="5039">
      <c r="A5039" s="17"/>
      <c r="H5039" s="18"/>
      <c r="K5039" s="18" t="s">
        <v>316</v>
      </c>
    </row>
    <row r="5040">
      <c r="A5040" s="17"/>
      <c r="H5040" s="18"/>
      <c r="K5040" s="18" t="s">
        <v>316</v>
      </c>
    </row>
    <row r="5041">
      <c r="A5041" s="17"/>
      <c r="H5041" s="18"/>
      <c r="K5041" s="18" t="s">
        <v>316</v>
      </c>
    </row>
    <row r="5042">
      <c r="A5042" s="17"/>
      <c r="H5042" s="18"/>
      <c r="K5042" s="18" t="s">
        <v>316</v>
      </c>
    </row>
    <row r="5043">
      <c r="A5043" s="17"/>
      <c r="H5043" s="18"/>
      <c r="K5043" s="18" t="s">
        <v>316</v>
      </c>
    </row>
    <row r="5044">
      <c r="A5044" s="17"/>
      <c r="H5044" s="18"/>
      <c r="K5044" s="18" t="s">
        <v>316</v>
      </c>
    </row>
    <row r="5045">
      <c r="A5045" s="17"/>
      <c r="H5045" s="18"/>
      <c r="K5045" s="18" t="s">
        <v>316</v>
      </c>
    </row>
    <row r="5046">
      <c r="A5046" s="17"/>
      <c r="H5046" s="18"/>
      <c r="K5046" s="18" t="s">
        <v>316</v>
      </c>
    </row>
    <row r="5047">
      <c r="A5047" s="17"/>
      <c r="H5047" s="18"/>
      <c r="K5047" s="18" t="s">
        <v>316</v>
      </c>
    </row>
    <row r="5048">
      <c r="A5048" s="17"/>
      <c r="H5048" s="18"/>
      <c r="K5048" s="18" t="s">
        <v>316</v>
      </c>
    </row>
    <row r="5049">
      <c r="A5049" s="17"/>
      <c r="H5049" s="18"/>
      <c r="K5049" s="18" t="s">
        <v>316</v>
      </c>
    </row>
    <row r="5050">
      <c r="A5050" s="17"/>
      <c r="H5050" s="18"/>
      <c r="K5050" s="18" t="s">
        <v>316</v>
      </c>
    </row>
    <row r="5051">
      <c r="A5051" s="17"/>
      <c r="H5051" s="18"/>
      <c r="K5051" s="18" t="s">
        <v>316</v>
      </c>
    </row>
    <row r="5052">
      <c r="A5052" s="17"/>
      <c r="H5052" s="18"/>
      <c r="K5052" s="18" t="s">
        <v>316</v>
      </c>
    </row>
    <row r="5053">
      <c r="A5053" s="17"/>
      <c r="H5053" s="18"/>
      <c r="K5053" s="18" t="s">
        <v>316</v>
      </c>
    </row>
    <row r="5054">
      <c r="A5054" s="17"/>
      <c r="H5054" s="18"/>
      <c r="K5054" s="18" t="s">
        <v>316</v>
      </c>
    </row>
    <row r="5055">
      <c r="A5055" s="17"/>
      <c r="H5055" s="18"/>
      <c r="K5055" s="18" t="s">
        <v>316</v>
      </c>
    </row>
    <row r="5056">
      <c r="A5056" s="17"/>
      <c r="H5056" s="18"/>
      <c r="K5056" s="18" t="s">
        <v>316</v>
      </c>
    </row>
    <row r="5057">
      <c r="A5057" s="17"/>
      <c r="H5057" s="18"/>
      <c r="K5057" s="18" t="s">
        <v>316</v>
      </c>
    </row>
    <row r="5058">
      <c r="A5058" s="17"/>
      <c r="H5058" s="18"/>
      <c r="K5058" s="18" t="s">
        <v>316</v>
      </c>
    </row>
    <row r="5059">
      <c r="A5059" s="17"/>
      <c r="H5059" s="18"/>
      <c r="K5059" s="18" t="s">
        <v>316</v>
      </c>
    </row>
    <row r="5060">
      <c r="A5060" s="17"/>
      <c r="H5060" s="18"/>
      <c r="K5060" s="18" t="s">
        <v>316</v>
      </c>
    </row>
    <row r="5061">
      <c r="A5061" s="17"/>
      <c r="H5061" s="18"/>
      <c r="K5061" s="18" t="s">
        <v>316</v>
      </c>
    </row>
    <row r="5062">
      <c r="A5062" s="17"/>
      <c r="H5062" s="18"/>
      <c r="K5062" s="18" t="s">
        <v>316</v>
      </c>
    </row>
    <row r="5063">
      <c r="A5063" s="17"/>
      <c r="H5063" s="18"/>
      <c r="K5063" s="18" t="s">
        <v>316</v>
      </c>
    </row>
    <row r="5064">
      <c r="A5064" s="17"/>
      <c r="H5064" s="18"/>
      <c r="K5064" s="18" t="s">
        <v>316</v>
      </c>
    </row>
    <row r="5065">
      <c r="A5065" s="17"/>
      <c r="H5065" s="18"/>
      <c r="K5065" s="18" t="s">
        <v>316</v>
      </c>
    </row>
    <row r="5066">
      <c r="A5066" s="17"/>
      <c r="H5066" s="18"/>
      <c r="K5066" s="18" t="s">
        <v>316</v>
      </c>
    </row>
    <row r="5067">
      <c r="A5067" s="17"/>
      <c r="H5067" s="18"/>
      <c r="K5067" s="18" t="s">
        <v>316</v>
      </c>
    </row>
    <row r="5068">
      <c r="A5068" s="17"/>
      <c r="H5068" s="18"/>
      <c r="K5068" s="18" t="s">
        <v>316</v>
      </c>
    </row>
    <row r="5069">
      <c r="A5069" s="17"/>
      <c r="H5069" s="18"/>
      <c r="K5069" s="18" t="s">
        <v>316</v>
      </c>
    </row>
    <row r="5070">
      <c r="A5070" s="17"/>
      <c r="H5070" s="18"/>
      <c r="K5070" s="18" t="s">
        <v>316</v>
      </c>
    </row>
    <row r="5071">
      <c r="A5071" s="17"/>
      <c r="H5071" s="18"/>
      <c r="K5071" s="18" t="s">
        <v>316</v>
      </c>
    </row>
    <row r="5072">
      <c r="A5072" s="17"/>
      <c r="H5072" s="18"/>
      <c r="K5072" s="18" t="s">
        <v>316</v>
      </c>
    </row>
    <row r="5073">
      <c r="A5073" s="17"/>
      <c r="H5073" s="18"/>
      <c r="K5073" s="18" t="s">
        <v>316</v>
      </c>
    </row>
    <row r="5074">
      <c r="A5074" s="17"/>
      <c r="H5074" s="18"/>
      <c r="K5074" s="18" t="s">
        <v>316</v>
      </c>
    </row>
    <row r="5075">
      <c r="A5075" s="17"/>
      <c r="H5075" s="18"/>
      <c r="K5075" s="18" t="s">
        <v>316</v>
      </c>
    </row>
    <row r="5076">
      <c r="A5076" s="17"/>
      <c r="H5076" s="18"/>
      <c r="K5076" s="18" t="s">
        <v>316</v>
      </c>
    </row>
    <row r="5077">
      <c r="A5077" s="17"/>
      <c r="H5077" s="18"/>
      <c r="K5077" s="18" t="s">
        <v>316</v>
      </c>
    </row>
    <row r="5078">
      <c r="A5078" s="17"/>
      <c r="H5078" s="18"/>
      <c r="K5078" s="18" t="s">
        <v>316</v>
      </c>
    </row>
    <row r="5079">
      <c r="A5079" s="17"/>
      <c r="H5079" s="18"/>
      <c r="K5079" s="18" t="s">
        <v>316</v>
      </c>
    </row>
    <row r="5080">
      <c r="A5080" s="17"/>
      <c r="H5080" s="18"/>
      <c r="K5080" s="18" t="s">
        <v>316</v>
      </c>
    </row>
    <row r="5081">
      <c r="A5081" s="17"/>
      <c r="H5081" s="18"/>
      <c r="K5081" s="18" t="s">
        <v>316</v>
      </c>
    </row>
    <row r="5082">
      <c r="A5082" s="17"/>
      <c r="H5082" s="18"/>
      <c r="K5082" s="18" t="s">
        <v>316</v>
      </c>
    </row>
    <row r="5083">
      <c r="A5083" s="17"/>
      <c r="H5083" s="18"/>
      <c r="K5083" s="18" t="s">
        <v>316</v>
      </c>
    </row>
    <row r="5084">
      <c r="A5084" s="17"/>
      <c r="H5084" s="18"/>
      <c r="K5084" s="18" t="s">
        <v>316</v>
      </c>
    </row>
    <row r="5085">
      <c r="A5085" s="17"/>
      <c r="H5085" s="18"/>
      <c r="K5085" s="18" t="s">
        <v>316</v>
      </c>
    </row>
    <row r="5086">
      <c r="A5086" s="17"/>
      <c r="H5086" s="18"/>
      <c r="K5086" s="18" t="s">
        <v>316</v>
      </c>
    </row>
    <row r="5087">
      <c r="A5087" s="17"/>
      <c r="H5087" s="18"/>
      <c r="K5087" s="18" t="s">
        <v>316</v>
      </c>
    </row>
    <row r="5088">
      <c r="A5088" s="17"/>
      <c r="H5088" s="18"/>
      <c r="K5088" s="18" t="s">
        <v>316</v>
      </c>
    </row>
    <row r="5089">
      <c r="A5089" s="17"/>
      <c r="H5089" s="18"/>
      <c r="K5089" s="18" t="s">
        <v>316</v>
      </c>
    </row>
    <row r="5090">
      <c r="A5090" s="17"/>
      <c r="H5090" s="18"/>
      <c r="K5090" s="18" t="s">
        <v>316</v>
      </c>
    </row>
    <row r="5091">
      <c r="A5091" s="17"/>
      <c r="H5091" s="18"/>
      <c r="K5091" s="18" t="s">
        <v>316</v>
      </c>
    </row>
    <row r="5092">
      <c r="A5092" s="17"/>
      <c r="H5092" s="18"/>
      <c r="K5092" s="18" t="s">
        <v>316</v>
      </c>
    </row>
    <row r="5093">
      <c r="A5093" s="17"/>
      <c r="H5093" s="18"/>
      <c r="K5093" s="18" t="s">
        <v>316</v>
      </c>
    </row>
    <row r="5094">
      <c r="A5094" s="17"/>
      <c r="H5094" s="18"/>
      <c r="K5094" s="18" t="s">
        <v>316</v>
      </c>
    </row>
    <row r="5095">
      <c r="A5095" s="17"/>
      <c r="H5095" s="18"/>
      <c r="K5095" s="18" t="s">
        <v>316</v>
      </c>
    </row>
    <row r="5096">
      <c r="A5096" s="17"/>
      <c r="H5096" s="18"/>
      <c r="K5096" s="18" t="s">
        <v>316</v>
      </c>
    </row>
    <row r="5097">
      <c r="A5097" s="17"/>
      <c r="H5097" s="18"/>
      <c r="K5097" s="18" t="s">
        <v>316</v>
      </c>
    </row>
    <row r="5098">
      <c r="A5098" s="17"/>
      <c r="H5098" s="18"/>
      <c r="K5098" s="18" t="s">
        <v>316</v>
      </c>
    </row>
    <row r="5099">
      <c r="A5099" s="17"/>
      <c r="H5099" s="18"/>
      <c r="K5099" s="18" t="s">
        <v>316</v>
      </c>
    </row>
    <row r="5100">
      <c r="A5100" s="17"/>
      <c r="H5100" s="18"/>
      <c r="K5100" s="18" t="s">
        <v>316</v>
      </c>
    </row>
    <row r="5101">
      <c r="A5101" s="17"/>
      <c r="H5101" s="18"/>
      <c r="K5101" s="18" t="s">
        <v>316</v>
      </c>
    </row>
    <row r="5102">
      <c r="A5102" s="17"/>
      <c r="H5102" s="18"/>
      <c r="K5102" s="18" t="s">
        <v>316</v>
      </c>
    </row>
    <row r="5103">
      <c r="A5103" s="17"/>
      <c r="H5103" s="18"/>
      <c r="K5103" s="18" t="s">
        <v>316</v>
      </c>
    </row>
    <row r="5104">
      <c r="A5104" s="17"/>
      <c r="H5104" s="18"/>
      <c r="K5104" s="18" t="s">
        <v>316</v>
      </c>
    </row>
    <row r="5105">
      <c r="A5105" s="17"/>
      <c r="H5105" s="18"/>
      <c r="K5105" s="18" t="s">
        <v>316</v>
      </c>
    </row>
    <row r="5106">
      <c r="A5106" s="17"/>
      <c r="H5106" s="18"/>
      <c r="K5106" s="18" t="s">
        <v>316</v>
      </c>
    </row>
    <row r="5107">
      <c r="A5107" s="17"/>
      <c r="H5107" s="18"/>
      <c r="K5107" s="18" t="s">
        <v>316</v>
      </c>
    </row>
    <row r="5108">
      <c r="A5108" s="17"/>
      <c r="H5108" s="18"/>
      <c r="K5108" s="18" t="s">
        <v>316</v>
      </c>
    </row>
    <row r="5109">
      <c r="A5109" s="17"/>
      <c r="H5109" s="18"/>
      <c r="K5109" s="18" t="s">
        <v>316</v>
      </c>
    </row>
    <row r="5110">
      <c r="A5110" s="17"/>
      <c r="H5110" s="18"/>
      <c r="K5110" s="18" t="s">
        <v>316</v>
      </c>
    </row>
    <row r="5111">
      <c r="A5111" s="17"/>
      <c r="H5111" s="18"/>
      <c r="K5111" s="18" t="s">
        <v>316</v>
      </c>
    </row>
    <row r="5112">
      <c r="A5112" s="17"/>
      <c r="H5112" s="18"/>
      <c r="K5112" s="18" t="s">
        <v>316</v>
      </c>
    </row>
    <row r="5113">
      <c r="A5113" s="17"/>
      <c r="H5113" s="18"/>
      <c r="K5113" s="18" t="s">
        <v>316</v>
      </c>
    </row>
    <row r="5114">
      <c r="A5114" s="17"/>
      <c r="H5114" s="18"/>
      <c r="K5114" s="18" t="s">
        <v>316</v>
      </c>
    </row>
    <row r="5115">
      <c r="A5115" s="17"/>
      <c r="H5115" s="18"/>
      <c r="K5115" s="18" t="s">
        <v>316</v>
      </c>
    </row>
    <row r="5116">
      <c r="A5116" s="17"/>
      <c r="H5116" s="18"/>
      <c r="K5116" s="18" t="s">
        <v>316</v>
      </c>
    </row>
    <row r="5117">
      <c r="A5117" s="17"/>
      <c r="H5117" s="18"/>
      <c r="K5117" s="18" t="s">
        <v>316</v>
      </c>
    </row>
    <row r="5118">
      <c r="A5118" s="17"/>
      <c r="H5118" s="18"/>
      <c r="K5118" s="18" t="s">
        <v>316</v>
      </c>
    </row>
    <row r="5119">
      <c r="A5119" s="17"/>
      <c r="H5119" s="18"/>
      <c r="K5119" s="18" t="s">
        <v>316</v>
      </c>
    </row>
    <row r="5120">
      <c r="A5120" s="17"/>
      <c r="H5120" s="18"/>
      <c r="K5120" s="18" t="s">
        <v>316</v>
      </c>
    </row>
    <row r="5121">
      <c r="A5121" s="17"/>
      <c r="H5121" s="18"/>
      <c r="K5121" s="18" t="s">
        <v>316</v>
      </c>
    </row>
    <row r="5122">
      <c r="A5122" s="17"/>
      <c r="H5122" s="18"/>
      <c r="K5122" s="18" t="s">
        <v>316</v>
      </c>
    </row>
    <row r="5123">
      <c r="A5123" s="17"/>
      <c r="H5123" s="18"/>
      <c r="K5123" s="18" t="s">
        <v>316</v>
      </c>
    </row>
    <row r="5124">
      <c r="A5124" s="17"/>
      <c r="H5124" s="18"/>
      <c r="K5124" s="18" t="s">
        <v>316</v>
      </c>
    </row>
    <row r="5125">
      <c r="A5125" s="17"/>
      <c r="H5125" s="18"/>
      <c r="K5125" s="18" t="s">
        <v>316</v>
      </c>
    </row>
    <row r="5126">
      <c r="A5126" s="17"/>
      <c r="H5126" s="18"/>
      <c r="K5126" s="18" t="s">
        <v>316</v>
      </c>
    </row>
    <row r="5127">
      <c r="A5127" s="17"/>
      <c r="H5127" s="18"/>
      <c r="K5127" s="18" t="s">
        <v>316</v>
      </c>
    </row>
    <row r="5128">
      <c r="A5128" s="17"/>
      <c r="H5128" s="18"/>
      <c r="K5128" s="18" t="s">
        <v>316</v>
      </c>
    </row>
    <row r="5129">
      <c r="A5129" s="17"/>
      <c r="H5129" s="18"/>
      <c r="K5129" s="18" t="s">
        <v>316</v>
      </c>
    </row>
    <row r="5130">
      <c r="A5130" s="17"/>
      <c r="H5130" s="18"/>
      <c r="K5130" s="18" t="s">
        <v>316</v>
      </c>
    </row>
    <row r="5131">
      <c r="A5131" s="17"/>
      <c r="H5131" s="18"/>
      <c r="K5131" s="18" t="s">
        <v>316</v>
      </c>
    </row>
    <row r="5132">
      <c r="A5132" s="17"/>
      <c r="H5132" s="18"/>
      <c r="K5132" s="18" t="s">
        <v>316</v>
      </c>
    </row>
    <row r="5133">
      <c r="A5133" s="17"/>
      <c r="H5133" s="18"/>
      <c r="K5133" s="18" t="s">
        <v>316</v>
      </c>
    </row>
    <row r="5134">
      <c r="A5134" s="17"/>
      <c r="H5134" s="18"/>
      <c r="K5134" s="18" t="s">
        <v>316</v>
      </c>
    </row>
    <row r="5135">
      <c r="A5135" s="17"/>
      <c r="H5135" s="18"/>
      <c r="K5135" s="18" t="s">
        <v>316</v>
      </c>
    </row>
    <row r="5136">
      <c r="A5136" s="17"/>
      <c r="H5136" s="18"/>
      <c r="K5136" s="18" t="s">
        <v>316</v>
      </c>
    </row>
    <row r="5137">
      <c r="A5137" s="17"/>
      <c r="H5137" s="18"/>
      <c r="K5137" s="18" t="s">
        <v>316</v>
      </c>
    </row>
    <row r="5138">
      <c r="A5138" s="17"/>
      <c r="H5138" s="18"/>
      <c r="K5138" s="18" t="s">
        <v>316</v>
      </c>
    </row>
    <row r="5139">
      <c r="A5139" s="17"/>
      <c r="H5139" s="18"/>
      <c r="K5139" s="18" t="s">
        <v>316</v>
      </c>
    </row>
    <row r="5140">
      <c r="A5140" s="17"/>
      <c r="H5140" s="18"/>
      <c r="K5140" s="18" t="s">
        <v>316</v>
      </c>
    </row>
    <row r="5141">
      <c r="A5141" s="17"/>
      <c r="H5141" s="18"/>
      <c r="K5141" s="18" t="s">
        <v>316</v>
      </c>
    </row>
    <row r="5142">
      <c r="A5142" s="17"/>
      <c r="H5142" s="18"/>
      <c r="K5142" s="18" t="s">
        <v>316</v>
      </c>
    </row>
    <row r="5143">
      <c r="A5143" s="17"/>
      <c r="H5143" s="18"/>
      <c r="K5143" s="18" t="s">
        <v>316</v>
      </c>
    </row>
    <row r="5144">
      <c r="A5144" s="17"/>
      <c r="H5144" s="18"/>
      <c r="K5144" s="18" t="s">
        <v>316</v>
      </c>
    </row>
    <row r="5145">
      <c r="A5145" s="17"/>
      <c r="H5145" s="18"/>
      <c r="K5145" s="18" t="s">
        <v>316</v>
      </c>
    </row>
    <row r="5146">
      <c r="A5146" s="17"/>
      <c r="H5146" s="18"/>
      <c r="K5146" s="18" t="s">
        <v>316</v>
      </c>
    </row>
    <row r="5147">
      <c r="A5147" s="17"/>
      <c r="H5147" s="18"/>
      <c r="K5147" s="18" t="s">
        <v>316</v>
      </c>
    </row>
    <row r="5148">
      <c r="A5148" s="17"/>
      <c r="H5148" s="18"/>
      <c r="K5148" s="18" t="s">
        <v>316</v>
      </c>
    </row>
    <row r="5149">
      <c r="A5149" s="17"/>
      <c r="H5149" s="18"/>
      <c r="K5149" s="18" t="s">
        <v>316</v>
      </c>
    </row>
    <row r="5150">
      <c r="A5150" s="17"/>
      <c r="H5150" s="18"/>
      <c r="K5150" s="18" t="s">
        <v>316</v>
      </c>
    </row>
    <row r="5151">
      <c r="A5151" s="17"/>
      <c r="H5151" s="18"/>
      <c r="K5151" s="18" t="s">
        <v>316</v>
      </c>
    </row>
    <row r="5152">
      <c r="A5152" s="17"/>
      <c r="H5152" s="18"/>
      <c r="K5152" s="18" t="s">
        <v>316</v>
      </c>
    </row>
    <row r="5153">
      <c r="A5153" s="17"/>
      <c r="H5153" s="18"/>
      <c r="K5153" s="18" t="s">
        <v>316</v>
      </c>
    </row>
    <row r="5154">
      <c r="A5154" s="17"/>
      <c r="H5154" s="18"/>
      <c r="K5154" s="18" t="s">
        <v>316</v>
      </c>
    </row>
    <row r="5155">
      <c r="A5155" s="17"/>
      <c r="H5155" s="18"/>
      <c r="K5155" s="18" t="s">
        <v>316</v>
      </c>
    </row>
    <row r="5156">
      <c r="A5156" s="17"/>
      <c r="H5156" s="18"/>
      <c r="K5156" s="18" t="s">
        <v>316</v>
      </c>
    </row>
    <row r="5157">
      <c r="A5157" s="17"/>
      <c r="H5157" s="18"/>
      <c r="K5157" s="18" t="s">
        <v>316</v>
      </c>
    </row>
    <row r="5158">
      <c r="A5158" s="17"/>
      <c r="H5158" s="18"/>
      <c r="K5158" s="18" t="s">
        <v>316</v>
      </c>
    </row>
    <row r="5159">
      <c r="A5159" s="17"/>
      <c r="H5159" s="18"/>
      <c r="K5159" s="18" t="s">
        <v>316</v>
      </c>
    </row>
    <row r="5160">
      <c r="A5160" s="17"/>
      <c r="H5160" s="18"/>
      <c r="K5160" s="18" t="s">
        <v>316</v>
      </c>
    </row>
    <row r="5161">
      <c r="A5161" s="17"/>
      <c r="H5161" s="18"/>
      <c r="K5161" s="18" t="s">
        <v>316</v>
      </c>
    </row>
    <row r="5162">
      <c r="A5162" s="17"/>
      <c r="H5162" s="18"/>
      <c r="K5162" s="18" t="s">
        <v>316</v>
      </c>
    </row>
    <row r="5163">
      <c r="A5163" s="17"/>
      <c r="H5163" s="18"/>
      <c r="K5163" s="18" t="s">
        <v>316</v>
      </c>
    </row>
    <row r="5164">
      <c r="A5164" s="17"/>
      <c r="H5164" s="18"/>
      <c r="K5164" s="18" t="s">
        <v>316</v>
      </c>
    </row>
    <row r="5165">
      <c r="A5165" s="17"/>
      <c r="H5165" s="18"/>
      <c r="K5165" s="18" t="s">
        <v>316</v>
      </c>
    </row>
    <row r="5166">
      <c r="A5166" s="17"/>
      <c r="H5166" s="18"/>
      <c r="K5166" s="18" t="s">
        <v>316</v>
      </c>
    </row>
    <row r="5167">
      <c r="A5167" s="17"/>
      <c r="H5167" s="18"/>
      <c r="K5167" s="18" t="s">
        <v>316</v>
      </c>
    </row>
    <row r="5168">
      <c r="A5168" s="17"/>
      <c r="H5168" s="18"/>
      <c r="K5168" s="18" t="s">
        <v>316</v>
      </c>
    </row>
    <row r="5169">
      <c r="A5169" s="17"/>
      <c r="H5169" s="18"/>
      <c r="K5169" s="18" t="s">
        <v>316</v>
      </c>
    </row>
    <row r="5170">
      <c r="A5170" s="17"/>
      <c r="H5170" s="18"/>
      <c r="K5170" s="18" t="s">
        <v>316</v>
      </c>
    </row>
    <row r="5171">
      <c r="A5171" s="17"/>
      <c r="H5171" s="18"/>
      <c r="K5171" s="18" t="s">
        <v>316</v>
      </c>
    </row>
    <row r="5172">
      <c r="A5172" s="17"/>
      <c r="H5172" s="18"/>
      <c r="K5172" s="18" t="s">
        <v>316</v>
      </c>
    </row>
    <row r="5173">
      <c r="A5173" s="17"/>
      <c r="H5173" s="18"/>
      <c r="K5173" s="18" t="s">
        <v>316</v>
      </c>
    </row>
    <row r="5174">
      <c r="A5174" s="17"/>
      <c r="H5174" s="18"/>
      <c r="K5174" s="18" t="s">
        <v>316</v>
      </c>
    </row>
    <row r="5175">
      <c r="A5175" s="17"/>
      <c r="H5175" s="18"/>
      <c r="K5175" s="18" t="s">
        <v>316</v>
      </c>
    </row>
    <row r="5176">
      <c r="A5176" s="17"/>
      <c r="H5176" s="18"/>
      <c r="K5176" s="18" t="s">
        <v>316</v>
      </c>
    </row>
    <row r="5177">
      <c r="A5177" s="17"/>
      <c r="H5177" s="18"/>
      <c r="K5177" s="18" t="s">
        <v>316</v>
      </c>
    </row>
    <row r="5178">
      <c r="A5178" s="17"/>
      <c r="H5178" s="18"/>
      <c r="K5178" s="18" t="s">
        <v>316</v>
      </c>
    </row>
    <row r="5179">
      <c r="A5179" s="17"/>
      <c r="H5179" s="18"/>
      <c r="K5179" s="18" t="s">
        <v>316</v>
      </c>
    </row>
    <row r="5180">
      <c r="A5180" s="17"/>
      <c r="H5180" s="18"/>
      <c r="K5180" s="18" t="s">
        <v>316</v>
      </c>
    </row>
    <row r="5181">
      <c r="A5181" s="17"/>
      <c r="H5181" s="18"/>
      <c r="K5181" s="18" t="s">
        <v>316</v>
      </c>
    </row>
    <row r="5182">
      <c r="A5182" s="17"/>
      <c r="H5182" s="18"/>
      <c r="K5182" s="18" t="s">
        <v>316</v>
      </c>
    </row>
    <row r="5183">
      <c r="A5183" s="17"/>
      <c r="H5183" s="18"/>
      <c r="K5183" s="18" t="s">
        <v>316</v>
      </c>
    </row>
    <row r="5184">
      <c r="A5184" s="17"/>
      <c r="H5184" s="18"/>
      <c r="K5184" s="18" t="s">
        <v>316</v>
      </c>
    </row>
    <row r="5185">
      <c r="A5185" s="17"/>
      <c r="H5185" s="18"/>
      <c r="K5185" s="18" t="s">
        <v>316</v>
      </c>
    </row>
    <row r="5186">
      <c r="A5186" s="17"/>
      <c r="H5186" s="18"/>
      <c r="K5186" s="18" t="s">
        <v>316</v>
      </c>
    </row>
    <row r="5187">
      <c r="A5187" s="17"/>
      <c r="H5187" s="18"/>
      <c r="K5187" s="18" t="s">
        <v>316</v>
      </c>
    </row>
    <row r="5188">
      <c r="A5188" s="17"/>
      <c r="H5188" s="18"/>
      <c r="K5188" s="18" t="s">
        <v>316</v>
      </c>
    </row>
    <row r="5189">
      <c r="A5189" s="17"/>
      <c r="H5189" s="18"/>
      <c r="K5189" s="18" t="s">
        <v>316</v>
      </c>
    </row>
    <row r="5190">
      <c r="A5190" s="17"/>
      <c r="H5190" s="18"/>
      <c r="K5190" s="18" t="s">
        <v>316</v>
      </c>
    </row>
    <row r="5191">
      <c r="A5191" s="17"/>
      <c r="H5191" s="18"/>
      <c r="K5191" s="18" t="s">
        <v>316</v>
      </c>
    </row>
    <row r="5192">
      <c r="A5192" s="17"/>
      <c r="H5192" s="18"/>
      <c r="K5192" s="18" t="s">
        <v>316</v>
      </c>
    </row>
    <row r="5193">
      <c r="A5193" s="17"/>
      <c r="H5193" s="18"/>
      <c r="K5193" s="18" t="s">
        <v>316</v>
      </c>
    </row>
    <row r="5194">
      <c r="A5194" s="17"/>
      <c r="H5194" s="18"/>
      <c r="K5194" s="18" t="s">
        <v>316</v>
      </c>
    </row>
    <row r="5195">
      <c r="A5195" s="17"/>
      <c r="H5195" s="18"/>
      <c r="K5195" s="18" t="s">
        <v>316</v>
      </c>
    </row>
    <row r="5196">
      <c r="A5196" s="17"/>
      <c r="H5196" s="18"/>
      <c r="K5196" s="18" t="s">
        <v>316</v>
      </c>
    </row>
    <row r="5197">
      <c r="A5197" s="17"/>
      <c r="H5197" s="18"/>
      <c r="K5197" s="18" t="s">
        <v>316</v>
      </c>
    </row>
    <row r="5198">
      <c r="A5198" s="17"/>
      <c r="H5198" s="18"/>
      <c r="K5198" s="18" t="s">
        <v>316</v>
      </c>
    </row>
    <row r="5199">
      <c r="A5199" s="17"/>
      <c r="H5199" s="18"/>
      <c r="K5199" s="18" t="s">
        <v>316</v>
      </c>
    </row>
    <row r="5200">
      <c r="A5200" s="17"/>
      <c r="H5200" s="18"/>
      <c r="K5200" s="18" t="s">
        <v>316</v>
      </c>
    </row>
    <row r="5201">
      <c r="A5201" s="17"/>
      <c r="H5201" s="18"/>
      <c r="K5201" s="18" t="s">
        <v>316</v>
      </c>
    </row>
    <row r="5202">
      <c r="A5202" s="17"/>
      <c r="H5202" s="18"/>
      <c r="K5202" s="18" t="s">
        <v>316</v>
      </c>
    </row>
    <row r="5203">
      <c r="A5203" s="17"/>
      <c r="H5203" s="18"/>
      <c r="K5203" s="18" t="s">
        <v>316</v>
      </c>
    </row>
    <row r="5204">
      <c r="A5204" s="17"/>
      <c r="H5204" s="18"/>
      <c r="K5204" s="18" t="s">
        <v>316</v>
      </c>
    </row>
    <row r="5205">
      <c r="A5205" s="17"/>
      <c r="H5205" s="18"/>
      <c r="K5205" s="18" t="s">
        <v>316</v>
      </c>
    </row>
    <row r="5206">
      <c r="A5206" s="17"/>
      <c r="H5206" s="18"/>
      <c r="K5206" s="18" t="s">
        <v>316</v>
      </c>
    </row>
    <row r="5207">
      <c r="A5207" s="17"/>
      <c r="H5207" s="18"/>
      <c r="K5207" s="18" t="s">
        <v>316</v>
      </c>
    </row>
    <row r="5208">
      <c r="A5208" s="17"/>
      <c r="H5208" s="18"/>
      <c r="K5208" s="18" t="s">
        <v>316</v>
      </c>
    </row>
    <row r="5209">
      <c r="A5209" s="17"/>
      <c r="H5209" s="18"/>
      <c r="K5209" s="18" t="s">
        <v>316</v>
      </c>
    </row>
    <row r="5210">
      <c r="A5210" s="17"/>
      <c r="H5210" s="18"/>
      <c r="K5210" s="18" t="s">
        <v>316</v>
      </c>
    </row>
    <row r="5211">
      <c r="A5211" s="17"/>
      <c r="H5211" s="18"/>
      <c r="K5211" s="18" t="s">
        <v>316</v>
      </c>
    </row>
    <row r="5212">
      <c r="A5212" s="17"/>
      <c r="H5212" s="18"/>
      <c r="K5212" s="18" t="s">
        <v>316</v>
      </c>
    </row>
    <row r="5213">
      <c r="A5213" s="17"/>
      <c r="H5213" s="18"/>
      <c r="K5213" s="18" t="s">
        <v>316</v>
      </c>
    </row>
    <row r="5214">
      <c r="A5214" s="17"/>
      <c r="H5214" s="18"/>
      <c r="K5214" s="18" t="s">
        <v>316</v>
      </c>
    </row>
    <row r="5215">
      <c r="A5215" s="17"/>
      <c r="H5215" s="18"/>
      <c r="K5215" s="18" t="s">
        <v>316</v>
      </c>
    </row>
    <row r="5216">
      <c r="A5216" s="17"/>
      <c r="H5216" s="18"/>
      <c r="K5216" s="18" t="s">
        <v>316</v>
      </c>
    </row>
    <row r="5217">
      <c r="A5217" s="17"/>
      <c r="H5217" s="18"/>
      <c r="K5217" s="18" t="s">
        <v>316</v>
      </c>
    </row>
    <row r="5218">
      <c r="A5218" s="17"/>
      <c r="H5218" s="18"/>
      <c r="K5218" s="18" t="s">
        <v>316</v>
      </c>
    </row>
    <row r="5219">
      <c r="A5219" s="17"/>
      <c r="H5219" s="18"/>
      <c r="K5219" s="18" t="s">
        <v>316</v>
      </c>
    </row>
    <row r="5220">
      <c r="A5220" s="17"/>
      <c r="H5220" s="18"/>
      <c r="K5220" s="18" t="s">
        <v>316</v>
      </c>
    </row>
    <row r="5221">
      <c r="A5221" s="17"/>
      <c r="H5221" s="18"/>
      <c r="K5221" s="18" t="s">
        <v>316</v>
      </c>
    </row>
    <row r="5222">
      <c r="A5222" s="17"/>
      <c r="H5222" s="18"/>
      <c r="K5222" s="18" t="s">
        <v>316</v>
      </c>
    </row>
    <row r="5223">
      <c r="A5223" s="17"/>
      <c r="H5223" s="18"/>
      <c r="K5223" s="18" t="s">
        <v>316</v>
      </c>
    </row>
    <row r="5224">
      <c r="A5224" s="17"/>
      <c r="H5224" s="18"/>
      <c r="K5224" s="18" t="s">
        <v>316</v>
      </c>
    </row>
    <row r="5225">
      <c r="A5225" s="17"/>
      <c r="H5225" s="18"/>
      <c r="K5225" s="18" t="s">
        <v>316</v>
      </c>
    </row>
    <row r="5226">
      <c r="A5226" s="17"/>
      <c r="H5226" s="18"/>
      <c r="K5226" s="18" t="s">
        <v>316</v>
      </c>
    </row>
    <row r="5227">
      <c r="A5227" s="17"/>
      <c r="H5227" s="18"/>
      <c r="K5227" s="18" t="s">
        <v>316</v>
      </c>
    </row>
    <row r="5228">
      <c r="A5228" s="17"/>
      <c r="H5228" s="18"/>
      <c r="K5228" s="18" t="s">
        <v>316</v>
      </c>
    </row>
    <row r="5229">
      <c r="A5229" s="17"/>
      <c r="H5229" s="18"/>
      <c r="K5229" s="18" t="s">
        <v>316</v>
      </c>
    </row>
    <row r="5230">
      <c r="A5230" s="17"/>
      <c r="H5230" s="18"/>
      <c r="K5230" s="18" t="s">
        <v>316</v>
      </c>
    </row>
    <row r="5231">
      <c r="A5231" s="17"/>
      <c r="H5231" s="18"/>
      <c r="K5231" s="18" t="s">
        <v>316</v>
      </c>
    </row>
    <row r="5232">
      <c r="A5232" s="17"/>
      <c r="H5232" s="18"/>
      <c r="K5232" s="18" t="s">
        <v>316</v>
      </c>
    </row>
    <row r="5233">
      <c r="A5233" s="17"/>
      <c r="H5233" s="18"/>
      <c r="K5233" s="18" t="s">
        <v>316</v>
      </c>
    </row>
    <row r="5234">
      <c r="A5234" s="17"/>
      <c r="H5234" s="18"/>
      <c r="K5234" s="18" t="s">
        <v>316</v>
      </c>
    </row>
    <row r="5235">
      <c r="A5235" s="17"/>
      <c r="H5235" s="18"/>
      <c r="K5235" s="18" t="s">
        <v>316</v>
      </c>
    </row>
    <row r="5236">
      <c r="A5236" s="17"/>
      <c r="H5236" s="18"/>
      <c r="K5236" s="18" t="s">
        <v>316</v>
      </c>
    </row>
    <row r="5237">
      <c r="A5237" s="17"/>
      <c r="H5237" s="18"/>
      <c r="K5237" s="18" t="s">
        <v>316</v>
      </c>
    </row>
    <row r="5238">
      <c r="A5238" s="17"/>
      <c r="H5238" s="18"/>
      <c r="K5238" s="18" t="s">
        <v>316</v>
      </c>
    </row>
    <row r="5239">
      <c r="A5239" s="17"/>
      <c r="H5239" s="18"/>
      <c r="K5239" s="18" t="s">
        <v>316</v>
      </c>
    </row>
    <row r="5240">
      <c r="A5240" s="17"/>
      <c r="H5240" s="18"/>
      <c r="K5240" s="18" t="s">
        <v>316</v>
      </c>
    </row>
    <row r="5241">
      <c r="A5241" s="17"/>
      <c r="H5241" s="18"/>
      <c r="K5241" s="18" t="s">
        <v>316</v>
      </c>
    </row>
    <row r="5242">
      <c r="A5242" s="17"/>
      <c r="H5242" s="18"/>
      <c r="K5242" s="18" t="s">
        <v>316</v>
      </c>
    </row>
    <row r="5243">
      <c r="A5243" s="17"/>
      <c r="H5243" s="18"/>
      <c r="K5243" s="18" t="s">
        <v>316</v>
      </c>
    </row>
    <row r="5244">
      <c r="A5244" s="17"/>
      <c r="H5244" s="18"/>
      <c r="K5244" s="18" t="s">
        <v>316</v>
      </c>
    </row>
    <row r="5245">
      <c r="A5245" s="17"/>
      <c r="H5245" s="18"/>
      <c r="K5245" s="18" t="s">
        <v>316</v>
      </c>
    </row>
    <row r="5246">
      <c r="A5246" s="17"/>
      <c r="H5246" s="18"/>
      <c r="K5246" s="18" t="s">
        <v>316</v>
      </c>
    </row>
    <row r="5247">
      <c r="A5247" s="17"/>
      <c r="H5247" s="18"/>
      <c r="K5247" s="18" t="s">
        <v>316</v>
      </c>
    </row>
    <row r="5248">
      <c r="A5248" s="17"/>
      <c r="H5248" s="18"/>
      <c r="K5248" s="18" t="s">
        <v>316</v>
      </c>
    </row>
    <row r="5249">
      <c r="A5249" s="17"/>
      <c r="H5249" s="18"/>
      <c r="K5249" s="18" t="s">
        <v>316</v>
      </c>
    </row>
    <row r="5250">
      <c r="A5250" s="17"/>
      <c r="H5250" s="18"/>
      <c r="K5250" s="18" t="s">
        <v>316</v>
      </c>
    </row>
    <row r="5251">
      <c r="A5251" s="17"/>
      <c r="H5251" s="18"/>
      <c r="K5251" s="18" t="s">
        <v>316</v>
      </c>
    </row>
    <row r="5252">
      <c r="A5252" s="17"/>
      <c r="H5252" s="18"/>
      <c r="K5252" s="18" t="s">
        <v>316</v>
      </c>
    </row>
    <row r="5253">
      <c r="A5253" s="17"/>
      <c r="H5253" s="18"/>
      <c r="K5253" s="18" t="s">
        <v>316</v>
      </c>
    </row>
    <row r="5254">
      <c r="A5254" s="17"/>
      <c r="H5254" s="18"/>
      <c r="K5254" s="18" t="s">
        <v>316</v>
      </c>
    </row>
    <row r="5255">
      <c r="A5255" s="17"/>
      <c r="H5255" s="18"/>
      <c r="K5255" s="18" t="s">
        <v>316</v>
      </c>
    </row>
    <row r="5256">
      <c r="A5256" s="17"/>
      <c r="H5256" s="18"/>
      <c r="K5256" s="18" t="s">
        <v>316</v>
      </c>
    </row>
    <row r="5257">
      <c r="A5257" s="17"/>
      <c r="H5257" s="18"/>
      <c r="K5257" s="18" t="s">
        <v>316</v>
      </c>
    </row>
    <row r="5258">
      <c r="A5258" s="17"/>
      <c r="H5258" s="18"/>
      <c r="K5258" s="18" t="s">
        <v>316</v>
      </c>
    </row>
    <row r="5259">
      <c r="A5259" s="17"/>
      <c r="H5259" s="18"/>
      <c r="K5259" s="18" t="s">
        <v>316</v>
      </c>
    </row>
    <row r="5260">
      <c r="A5260" s="17"/>
      <c r="H5260" s="18"/>
      <c r="K5260" s="18" t="s">
        <v>316</v>
      </c>
    </row>
    <row r="5261">
      <c r="A5261" s="17"/>
      <c r="H5261" s="18"/>
      <c r="K5261" s="18" t="s">
        <v>316</v>
      </c>
    </row>
    <row r="5262">
      <c r="A5262" s="17"/>
      <c r="H5262" s="18"/>
      <c r="K5262" s="18" t="s">
        <v>316</v>
      </c>
    </row>
    <row r="5263">
      <c r="A5263" s="17"/>
      <c r="H5263" s="18"/>
      <c r="K5263" s="18" t="s">
        <v>316</v>
      </c>
    </row>
    <row r="5264">
      <c r="A5264" s="17"/>
      <c r="H5264" s="18"/>
      <c r="K5264" s="18" t="s">
        <v>316</v>
      </c>
    </row>
    <row r="5265">
      <c r="A5265" s="17"/>
      <c r="H5265" s="18"/>
      <c r="K5265" s="18" t="s">
        <v>316</v>
      </c>
    </row>
    <row r="5266">
      <c r="A5266" s="17"/>
      <c r="H5266" s="18"/>
      <c r="K5266" s="18" t="s">
        <v>316</v>
      </c>
    </row>
    <row r="5267">
      <c r="A5267" s="17"/>
      <c r="H5267" s="18"/>
      <c r="K5267" s="18" t="s">
        <v>316</v>
      </c>
    </row>
    <row r="5268">
      <c r="A5268" s="17"/>
      <c r="H5268" s="18"/>
      <c r="K5268" s="18" t="s">
        <v>316</v>
      </c>
    </row>
    <row r="5269">
      <c r="A5269" s="17"/>
      <c r="H5269" s="18"/>
      <c r="K5269" s="18" t="s">
        <v>316</v>
      </c>
    </row>
    <row r="5270">
      <c r="A5270" s="17"/>
      <c r="H5270" s="18"/>
      <c r="K5270" s="18" t="s">
        <v>316</v>
      </c>
    </row>
    <row r="5271">
      <c r="A5271" s="17"/>
      <c r="H5271" s="18"/>
      <c r="K5271" s="18" t="s">
        <v>316</v>
      </c>
    </row>
    <row r="5272">
      <c r="A5272" s="17"/>
      <c r="H5272" s="18"/>
      <c r="K5272" s="18" t="s">
        <v>316</v>
      </c>
    </row>
    <row r="5273">
      <c r="A5273" s="17"/>
      <c r="H5273" s="18"/>
      <c r="K5273" s="18" t="s">
        <v>316</v>
      </c>
    </row>
    <row r="5274">
      <c r="A5274" s="17"/>
      <c r="H5274" s="18"/>
      <c r="K5274" s="18" t="s">
        <v>316</v>
      </c>
    </row>
    <row r="5275">
      <c r="A5275" s="17"/>
      <c r="H5275" s="18"/>
      <c r="K5275" s="18" t="s">
        <v>316</v>
      </c>
    </row>
    <row r="5276">
      <c r="A5276" s="17"/>
      <c r="H5276" s="18"/>
      <c r="K5276" s="18" t="s">
        <v>316</v>
      </c>
    </row>
    <row r="5277">
      <c r="A5277" s="17"/>
      <c r="H5277" s="18"/>
      <c r="K5277" s="18" t="s">
        <v>316</v>
      </c>
    </row>
    <row r="5278">
      <c r="A5278" s="17"/>
      <c r="H5278" s="18"/>
      <c r="K5278" s="18" t="s">
        <v>316</v>
      </c>
    </row>
    <row r="5279">
      <c r="A5279" s="17"/>
      <c r="H5279" s="18"/>
      <c r="K5279" s="18" t="s">
        <v>316</v>
      </c>
    </row>
    <row r="5280">
      <c r="A5280" s="17"/>
      <c r="H5280" s="18"/>
      <c r="K5280" s="18" t="s">
        <v>316</v>
      </c>
    </row>
    <row r="5281">
      <c r="A5281" s="17"/>
      <c r="H5281" s="18"/>
      <c r="K5281" s="18" t="s">
        <v>316</v>
      </c>
    </row>
    <row r="5282">
      <c r="A5282" s="17"/>
      <c r="H5282" s="18"/>
      <c r="K5282" s="18" t="s">
        <v>316</v>
      </c>
    </row>
    <row r="5283">
      <c r="A5283" s="17"/>
      <c r="H5283" s="18"/>
      <c r="K5283" s="18" t="s">
        <v>316</v>
      </c>
    </row>
    <row r="5284">
      <c r="A5284" s="17"/>
      <c r="H5284" s="18"/>
      <c r="K5284" s="18" t="s">
        <v>316</v>
      </c>
    </row>
    <row r="5285">
      <c r="A5285" s="17"/>
      <c r="H5285" s="18"/>
      <c r="K5285" s="18" t="s">
        <v>316</v>
      </c>
    </row>
    <row r="5286">
      <c r="A5286" s="17"/>
      <c r="H5286" s="18"/>
      <c r="K5286" s="18" t="s">
        <v>316</v>
      </c>
    </row>
    <row r="5287">
      <c r="A5287" s="17"/>
      <c r="H5287" s="18"/>
      <c r="K5287" s="18" t="s">
        <v>316</v>
      </c>
    </row>
    <row r="5288">
      <c r="A5288" s="17"/>
      <c r="H5288" s="18"/>
      <c r="K5288" s="18" t="s">
        <v>316</v>
      </c>
    </row>
    <row r="5289">
      <c r="A5289" s="17"/>
      <c r="H5289" s="18"/>
      <c r="K5289" s="18" t="s">
        <v>316</v>
      </c>
    </row>
    <row r="5290">
      <c r="A5290" s="17"/>
      <c r="H5290" s="18"/>
      <c r="K5290" s="18" t="s">
        <v>316</v>
      </c>
    </row>
    <row r="5291">
      <c r="A5291" s="17"/>
      <c r="H5291" s="18"/>
      <c r="K5291" s="18" t="s">
        <v>316</v>
      </c>
    </row>
    <row r="5292">
      <c r="A5292" s="17"/>
      <c r="H5292" s="18"/>
      <c r="K5292" s="18" t="s">
        <v>316</v>
      </c>
    </row>
    <row r="5293">
      <c r="A5293" s="17"/>
      <c r="H5293" s="18"/>
      <c r="K5293" s="18" t="s">
        <v>316</v>
      </c>
    </row>
    <row r="5294">
      <c r="A5294" s="17"/>
      <c r="H5294" s="18"/>
      <c r="K5294" s="18" t="s">
        <v>316</v>
      </c>
    </row>
    <row r="5295">
      <c r="A5295" s="17"/>
      <c r="H5295" s="18"/>
      <c r="K5295" s="18" t="s">
        <v>316</v>
      </c>
    </row>
    <row r="5296">
      <c r="A5296" s="17"/>
      <c r="H5296" s="18"/>
      <c r="K5296" s="18" t="s">
        <v>316</v>
      </c>
    </row>
    <row r="5297">
      <c r="A5297" s="17"/>
      <c r="H5297" s="18"/>
      <c r="K5297" s="18" t="s">
        <v>316</v>
      </c>
    </row>
    <row r="5298">
      <c r="A5298" s="17"/>
      <c r="H5298" s="18"/>
      <c r="K5298" s="18" t="s">
        <v>316</v>
      </c>
    </row>
    <row r="5299">
      <c r="A5299" s="17"/>
      <c r="H5299" s="18"/>
      <c r="K5299" s="18" t="s">
        <v>316</v>
      </c>
    </row>
    <row r="5300">
      <c r="A5300" s="17"/>
      <c r="H5300" s="18"/>
      <c r="K5300" s="18" t="s">
        <v>316</v>
      </c>
    </row>
    <row r="5301">
      <c r="A5301" s="17"/>
      <c r="H5301" s="18"/>
      <c r="K5301" s="18" t="s">
        <v>316</v>
      </c>
    </row>
    <row r="5302">
      <c r="A5302" s="17"/>
      <c r="H5302" s="18"/>
      <c r="K5302" s="18" t="s">
        <v>316</v>
      </c>
    </row>
    <row r="5303">
      <c r="A5303" s="17"/>
      <c r="H5303" s="18"/>
      <c r="K5303" s="18" t="s">
        <v>316</v>
      </c>
    </row>
    <row r="5304">
      <c r="A5304" s="17"/>
      <c r="H5304" s="18"/>
      <c r="K5304" s="18" t="s">
        <v>316</v>
      </c>
    </row>
    <row r="5305">
      <c r="A5305" s="17"/>
      <c r="H5305" s="18"/>
      <c r="K5305" s="18" t="s">
        <v>316</v>
      </c>
    </row>
    <row r="5306">
      <c r="A5306" s="17"/>
      <c r="H5306" s="18"/>
      <c r="K5306" s="18" t="s">
        <v>316</v>
      </c>
    </row>
    <row r="5307">
      <c r="A5307" s="17"/>
      <c r="H5307" s="18"/>
      <c r="K5307" s="18" t="s">
        <v>316</v>
      </c>
    </row>
    <row r="5308">
      <c r="A5308" s="17"/>
      <c r="H5308" s="18"/>
      <c r="K5308" s="18" t="s">
        <v>316</v>
      </c>
    </row>
    <row r="5309">
      <c r="A5309" s="17"/>
      <c r="H5309" s="18"/>
      <c r="K5309" s="18" t="s">
        <v>316</v>
      </c>
    </row>
    <row r="5310">
      <c r="A5310" s="17"/>
      <c r="H5310" s="18"/>
      <c r="K5310" s="18" t="s">
        <v>316</v>
      </c>
    </row>
    <row r="5311">
      <c r="A5311" s="17"/>
      <c r="H5311" s="18"/>
      <c r="K5311" s="18" t="s">
        <v>316</v>
      </c>
    </row>
    <row r="5312">
      <c r="A5312" s="17"/>
      <c r="H5312" s="18"/>
      <c r="K5312" s="18" t="s">
        <v>316</v>
      </c>
    </row>
    <row r="5313">
      <c r="A5313" s="17"/>
      <c r="H5313" s="18"/>
      <c r="K5313" s="18" t="s">
        <v>316</v>
      </c>
    </row>
    <row r="5314">
      <c r="A5314" s="17"/>
      <c r="H5314" s="18"/>
      <c r="K5314" s="18" t="s">
        <v>316</v>
      </c>
    </row>
    <row r="5315">
      <c r="A5315" s="17"/>
      <c r="H5315" s="18"/>
      <c r="K5315" s="18" t="s">
        <v>316</v>
      </c>
    </row>
    <row r="5316">
      <c r="A5316" s="17"/>
      <c r="H5316" s="18"/>
      <c r="K5316" s="18" t="s">
        <v>316</v>
      </c>
    </row>
    <row r="5317">
      <c r="A5317" s="17"/>
      <c r="H5317" s="18"/>
      <c r="K5317" s="18" t="s">
        <v>316</v>
      </c>
    </row>
    <row r="5318">
      <c r="A5318" s="17"/>
      <c r="H5318" s="18"/>
      <c r="K5318" s="18" t="s">
        <v>316</v>
      </c>
    </row>
    <row r="5319">
      <c r="A5319" s="17"/>
      <c r="H5319" s="18"/>
      <c r="K5319" s="18" t="s">
        <v>316</v>
      </c>
    </row>
    <row r="5320">
      <c r="A5320" s="17"/>
      <c r="H5320" s="18"/>
      <c r="K5320" s="18" t="s">
        <v>316</v>
      </c>
    </row>
    <row r="5321">
      <c r="A5321" s="17"/>
      <c r="H5321" s="18"/>
      <c r="K5321" s="18" t="s">
        <v>316</v>
      </c>
    </row>
    <row r="5322">
      <c r="A5322" s="17"/>
      <c r="H5322" s="18"/>
      <c r="K5322" s="18" t="s">
        <v>316</v>
      </c>
    </row>
    <row r="5323">
      <c r="A5323" s="17"/>
      <c r="H5323" s="18"/>
      <c r="K5323" s="18" t="s">
        <v>316</v>
      </c>
    </row>
    <row r="5324">
      <c r="A5324" s="17"/>
      <c r="H5324" s="18"/>
      <c r="K5324" s="18" t="s">
        <v>316</v>
      </c>
    </row>
    <row r="5325">
      <c r="A5325" s="17"/>
      <c r="H5325" s="18"/>
      <c r="K5325" s="18" t="s">
        <v>316</v>
      </c>
    </row>
    <row r="5326">
      <c r="A5326" s="17"/>
      <c r="H5326" s="18"/>
      <c r="K5326" s="18" t="s">
        <v>316</v>
      </c>
    </row>
    <row r="5327">
      <c r="A5327" s="17"/>
      <c r="H5327" s="18"/>
      <c r="K5327" s="18" t="s">
        <v>316</v>
      </c>
    </row>
    <row r="5328">
      <c r="A5328" s="17"/>
      <c r="H5328" s="18"/>
      <c r="K5328" s="18" t="s">
        <v>316</v>
      </c>
    </row>
    <row r="5329">
      <c r="A5329" s="17"/>
      <c r="H5329" s="18"/>
      <c r="K5329" s="18" t="s">
        <v>316</v>
      </c>
    </row>
    <row r="5330">
      <c r="A5330" s="17"/>
      <c r="H5330" s="18"/>
      <c r="K5330" s="18" t="s">
        <v>316</v>
      </c>
    </row>
    <row r="5331">
      <c r="A5331" s="17"/>
      <c r="H5331" s="18"/>
      <c r="K5331" s="18" t="s">
        <v>316</v>
      </c>
    </row>
    <row r="5332">
      <c r="A5332" s="17"/>
      <c r="H5332" s="18"/>
      <c r="K5332" s="18" t="s">
        <v>316</v>
      </c>
    </row>
    <row r="5333">
      <c r="A5333" s="17"/>
      <c r="H5333" s="18"/>
      <c r="K5333" s="18" t="s">
        <v>316</v>
      </c>
    </row>
    <row r="5334">
      <c r="A5334" s="17"/>
      <c r="H5334" s="18"/>
      <c r="K5334" s="18" t="s">
        <v>316</v>
      </c>
    </row>
    <row r="5335">
      <c r="A5335" s="17"/>
      <c r="H5335" s="18"/>
      <c r="K5335" s="18" t="s">
        <v>316</v>
      </c>
    </row>
    <row r="5336">
      <c r="A5336" s="17"/>
      <c r="H5336" s="18"/>
      <c r="K5336" s="18" t="s">
        <v>316</v>
      </c>
    </row>
    <row r="5337">
      <c r="A5337" s="17"/>
      <c r="H5337" s="18"/>
      <c r="K5337" s="18" t="s">
        <v>316</v>
      </c>
    </row>
    <row r="5338">
      <c r="A5338" s="17"/>
      <c r="H5338" s="18"/>
      <c r="K5338" s="18" t="s">
        <v>316</v>
      </c>
    </row>
    <row r="5339">
      <c r="A5339" s="17"/>
      <c r="H5339" s="18"/>
      <c r="K5339" s="18" t="s">
        <v>316</v>
      </c>
    </row>
    <row r="5340">
      <c r="A5340" s="17"/>
      <c r="H5340" s="18"/>
      <c r="K5340" s="18" t="s">
        <v>316</v>
      </c>
    </row>
    <row r="5341">
      <c r="A5341" s="17"/>
      <c r="H5341" s="18"/>
      <c r="K5341" s="18" t="s">
        <v>316</v>
      </c>
    </row>
    <row r="5342">
      <c r="A5342" s="17"/>
      <c r="H5342" s="18"/>
      <c r="K5342" s="18" t="s">
        <v>316</v>
      </c>
    </row>
    <row r="5343">
      <c r="A5343" s="17"/>
      <c r="H5343" s="18"/>
      <c r="K5343" s="18" t="s">
        <v>316</v>
      </c>
    </row>
    <row r="5344">
      <c r="A5344" s="17"/>
      <c r="H5344" s="18"/>
      <c r="K5344" s="18" t="s">
        <v>316</v>
      </c>
    </row>
    <row r="5345">
      <c r="A5345" s="17"/>
      <c r="H5345" s="18"/>
      <c r="K5345" s="18" t="s">
        <v>316</v>
      </c>
    </row>
    <row r="5346">
      <c r="A5346" s="17"/>
      <c r="H5346" s="18"/>
      <c r="K5346" s="18" t="s">
        <v>316</v>
      </c>
    </row>
    <row r="5347">
      <c r="A5347" s="17"/>
      <c r="H5347" s="18"/>
      <c r="K5347" s="18" t="s">
        <v>316</v>
      </c>
    </row>
    <row r="5348">
      <c r="A5348" s="17"/>
      <c r="H5348" s="18"/>
      <c r="K5348" s="18" t="s">
        <v>316</v>
      </c>
    </row>
    <row r="5349">
      <c r="A5349" s="17"/>
      <c r="H5349" s="18"/>
      <c r="K5349" s="18" t="s">
        <v>316</v>
      </c>
    </row>
    <row r="5350">
      <c r="A5350" s="17"/>
      <c r="H5350" s="18"/>
      <c r="K5350" s="18" t="s">
        <v>316</v>
      </c>
    </row>
    <row r="5351">
      <c r="A5351" s="17"/>
      <c r="H5351" s="18"/>
      <c r="K5351" s="18" t="s">
        <v>316</v>
      </c>
    </row>
    <row r="5352">
      <c r="A5352" s="17"/>
      <c r="H5352" s="18"/>
      <c r="K5352" s="18" t="s">
        <v>316</v>
      </c>
    </row>
    <row r="5353">
      <c r="A5353" s="17"/>
      <c r="H5353" s="18"/>
      <c r="K5353" s="18" t="s">
        <v>316</v>
      </c>
    </row>
    <row r="5354">
      <c r="A5354" s="17"/>
      <c r="H5354" s="18"/>
      <c r="K5354" s="18" t="s">
        <v>316</v>
      </c>
    </row>
    <row r="5355">
      <c r="A5355" s="17"/>
      <c r="H5355" s="18"/>
      <c r="K5355" s="18" t="s">
        <v>316</v>
      </c>
    </row>
    <row r="5356">
      <c r="A5356" s="17"/>
      <c r="H5356" s="18"/>
      <c r="K5356" s="18" t="s">
        <v>316</v>
      </c>
    </row>
    <row r="5357">
      <c r="A5357" s="17"/>
      <c r="H5357" s="18"/>
      <c r="K5357" s="18" t="s">
        <v>316</v>
      </c>
    </row>
    <row r="5358">
      <c r="A5358" s="17"/>
      <c r="H5358" s="18"/>
      <c r="K5358" s="18" t="s">
        <v>316</v>
      </c>
    </row>
    <row r="5359">
      <c r="A5359" s="17"/>
      <c r="H5359" s="18"/>
      <c r="K5359" s="18" t="s">
        <v>316</v>
      </c>
    </row>
    <row r="5360">
      <c r="A5360" s="17"/>
      <c r="H5360" s="18"/>
      <c r="K5360" s="18" t="s">
        <v>316</v>
      </c>
    </row>
    <row r="5361">
      <c r="A5361" s="17"/>
      <c r="H5361" s="18"/>
      <c r="K5361" s="18" t="s">
        <v>316</v>
      </c>
    </row>
    <row r="5362">
      <c r="A5362" s="17"/>
      <c r="H5362" s="18"/>
      <c r="K5362" s="18" t="s">
        <v>316</v>
      </c>
    </row>
    <row r="5363">
      <c r="A5363" s="17"/>
      <c r="H5363" s="18"/>
      <c r="K5363" s="18" t="s">
        <v>316</v>
      </c>
    </row>
    <row r="5364">
      <c r="A5364" s="17"/>
      <c r="H5364" s="18"/>
      <c r="K5364" s="18" t="s">
        <v>316</v>
      </c>
    </row>
    <row r="5365">
      <c r="A5365" s="17"/>
      <c r="H5365" s="18"/>
      <c r="K5365" s="18" t="s">
        <v>316</v>
      </c>
    </row>
    <row r="5366">
      <c r="A5366" s="17"/>
      <c r="H5366" s="18"/>
      <c r="K5366" s="18" t="s">
        <v>316</v>
      </c>
    </row>
    <row r="5367">
      <c r="A5367" s="17"/>
      <c r="H5367" s="18"/>
      <c r="K5367" s="18" t="s">
        <v>316</v>
      </c>
    </row>
    <row r="5368">
      <c r="A5368" s="17"/>
      <c r="H5368" s="18"/>
      <c r="K5368" s="18" t="s">
        <v>316</v>
      </c>
    </row>
    <row r="5369">
      <c r="A5369" s="17"/>
      <c r="H5369" s="18"/>
      <c r="K5369" s="18" t="s">
        <v>316</v>
      </c>
    </row>
    <row r="5370">
      <c r="A5370" s="17"/>
      <c r="H5370" s="18"/>
      <c r="K5370" s="18" t="s">
        <v>316</v>
      </c>
    </row>
    <row r="5371">
      <c r="A5371" s="17"/>
      <c r="H5371" s="18"/>
      <c r="K5371" s="18" t="s">
        <v>316</v>
      </c>
    </row>
    <row r="5372">
      <c r="A5372" s="17"/>
      <c r="H5372" s="18"/>
      <c r="K5372" s="18" t="s">
        <v>316</v>
      </c>
    </row>
    <row r="5373">
      <c r="A5373" s="17"/>
      <c r="H5373" s="18"/>
      <c r="K5373" s="18" t="s">
        <v>316</v>
      </c>
    </row>
    <row r="5374">
      <c r="A5374" s="17"/>
      <c r="H5374" s="18"/>
      <c r="K5374" s="18" t="s">
        <v>316</v>
      </c>
    </row>
    <row r="5375">
      <c r="A5375" s="17"/>
      <c r="H5375" s="18"/>
      <c r="K5375" s="18" t="s">
        <v>316</v>
      </c>
    </row>
    <row r="5376">
      <c r="A5376" s="17"/>
      <c r="H5376" s="18"/>
      <c r="K5376" s="18" t="s">
        <v>316</v>
      </c>
    </row>
    <row r="5377">
      <c r="A5377" s="17"/>
      <c r="H5377" s="18"/>
      <c r="K5377" s="18" t="s">
        <v>316</v>
      </c>
    </row>
    <row r="5378">
      <c r="A5378" s="17"/>
      <c r="H5378" s="18"/>
      <c r="K5378" s="18" t="s">
        <v>316</v>
      </c>
    </row>
    <row r="5379">
      <c r="A5379" s="17"/>
      <c r="H5379" s="18"/>
      <c r="K5379" s="18" t="s">
        <v>316</v>
      </c>
    </row>
    <row r="5380">
      <c r="A5380" s="17"/>
      <c r="H5380" s="18"/>
      <c r="K5380" s="18" t="s">
        <v>316</v>
      </c>
    </row>
    <row r="5381">
      <c r="A5381" s="17"/>
      <c r="H5381" s="18"/>
      <c r="K5381" s="18" t="s">
        <v>316</v>
      </c>
    </row>
    <row r="5382">
      <c r="A5382" s="17"/>
      <c r="H5382" s="18"/>
      <c r="K5382" s="18" t="s">
        <v>316</v>
      </c>
    </row>
    <row r="5383">
      <c r="A5383" s="17"/>
      <c r="H5383" s="18"/>
      <c r="K5383" s="18" t="s">
        <v>316</v>
      </c>
    </row>
    <row r="5384">
      <c r="A5384" s="17"/>
      <c r="H5384" s="18"/>
      <c r="K5384" s="18" t="s">
        <v>316</v>
      </c>
    </row>
    <row r="5385">
      <c r="A5385" s="17"/>
      <c r="H5385" s="18"/>
      <c r="K5385" s="18" t="s">
        <v>316</v>
      </c>
    </row>
    <row r="5386">
      <c r="A5386" s="17"/>
      <c r="H5386" s="18"/>
      <c r="K5386" s="18" t="s">
        <v>316</v>
      </c>
    </row>
    <row r="5387">
      <c r="A5387" s="17"/>
      <c r="H5387" s="18"/>
      <c r="K5387" s="18" t="s">
        <v>316</v>
      </c>
    </row>
    <row r="5388">
      <c r="A5388" s="17"/>
      <c r="H5388" s="18"/>
      <c r="K5388" s="18" t="s">
        <v>316</v>
      </c>
    </row>
    <row r="5389">
      <c r="A5389" s="17"/>
      <c r="H5389" s="18"/>
      <c r="K5389" s="18" t="s">
        <v>316</v>
      </c>
    </row>
    <row r="5390">
      <c r="A5390" s="17"/>
      <c r="H5390" s="18"/>
      <c r="K5390" s="18" t="s">
        <v>316</v>
      </c>
    </row>
    <row r="5391">
      <c r="A5391" s="17"/>
      <c r="H5391" s="18"/>
      <c r="K5391" s="18" t="s">
        <v>316</v>
      </c>
    </row>
    <row r="5392">
      <c r="A5392" s="17"/>
      <c r="H5392" s="18"/>
      <c r="K5392" s="18" t="s">
        <v>316</v>
      </c>
    </row>
    <row r="5393">
      <c r="A5393" s="17"/>
      <c r="H5393" s="18"/>
      <c r="K5393" s="18" t="s">
        <v>316</v>
      </c>
    </row>
    <row r="5394">
      <c r="A5394" s="17"/>
      <c r="H5394" s="18"/>
      <c r="K5394" s="18" t="s">
        <v>316</v>
      </c>
    </row>
    <row r="5395">
      <c r="A5395" s="17"/>
      <c r="H5395" s="18"/>
      <c r="K5395" s="18" t="s">
        <v>316</v>
      </c>
    </row>
    <row r="5396">
      <c r="A5396" s="17"/>
      <c r="H5396" s="18"/>
      <c r="K5396" s="18" t="s">
        <v>316</v>
      </c>
    </row>
    <row r="5397">
      <c r="A5397" s="17"/>
      <c r="H5397" s="18"/>
      <c r="K5397" s="18" t="s">
        <v>316</v>
      </c>
    </row>
    <row r="5398">
      <c r="A5398" s="17"/>
      <c r="H5398" s="18"/>
      <c r="K5398" s="18" t="s">
        <v>316</v>
      </c>
    </row>
    <row r="5399">
      <c r="A5399" s="17"/>
      <c r="H5399" s="18"/>
      <c r="K5399" s="18" t="s">
        <v>316</v>
      </c>
    </row>
    <row r="5400">
      <c r="A5400" s="17"/>
      <c r="H5400" s="18"/>
      <c r="K5400" s="18" t="s">
        <v>316</v>
      </c>
    </row>
    <row r="5401">
      <c r="A5401" s="17"/>
      <c r="H5401" s="18"/>
      <c r="K5401" s="18" t="s">
        <v>316</v>
      </c>
    </row>
    <row r="5402">
      <c r="A5402" s="17"/>
      <c r="H5402" s="18"/>
      <c r="K5402" s="18" t="s">
        <v>316</v>
      </c>
    </row>
    <row r="5403">
      <c r="A5403" s="17"/>
      <c r="H5403" s="18"/>
      <c r="K5403" s="18" t="s">
        <v>316</v>
      </c>
    </row>
    <row r="5404">
      <c r="A5404" s="17"/>
      <c r="H5404" s="18"/>
      <c r="K5404" s="18" t="s">
        <v>316</v>
      </c>
    </row>
    <row r="5405">
      <c r="A5405" s="17"/>
      <c r="H5405" s="18"/>
      <c r="K5405" s="18" t="s">
        <v>316</v>
      </c>
    </row>
    <row r="5406">
      <c r="A5406" s="17"/>
      <c r="H5406" s="18"/>
      <c r="K5406" s="18" t="s">
        <v>316</v>
      </c>
    </row>
    <row r="5407">
      <c r="A5407" s="17"/>
      <c r="H5407" s="18"/>
      <c r="K5407" s="18" t="s">
        <v>316</v>
      </c>
    </row>
    <row r="5408">
      <c r="A5408" s="17"/>
      <c r="H5408" s="18"/>
      <c r="K5408" s="18" t="s">
        <v>316</v>
      </c>
    </row>
    <row r="5409">
      <c r="A5409" s="17"/>
      <c r="H5409" s="18"/>
      <c r="K5409" s="18" t="s">
        <v>316</v>
      </c>
    </row>
    <row r="5410">
      <c r="A5410" s="17"/>
      <c r="H5410" s="18"/>
      <c r="K5410" s="18" t="s">
        <v>316</v>
      </c>
    </row>
    <row r="5411">
      <c r="A5411" s="17"/>
      <c r="H5411" s="18"/>
      <c r="K5411" s="18" t="s">
        <v>316</v>
      </c>
    </row>
    <row r="5412">
      <c r="A5412" s="17"/>
      <c r="H5412" s="18"/>
      <c r="K5412" s="18" t="s">
        <v>316</v>
      </c>
    </row>
    <row r="5413">
      <c r="A5413" s="17"/>
      <c r="H5413" s="18"/>
      <c r="K5413" s="18" t="s">
        <v>316</v>
      </c>
    </row>
    <row r="5414">
      <c r="A5414" s="17"/>
      <c r="H5414" s="18"/>
      <c r="K5414" s="18" t="s">
        <v>316</v>
      </c>
    </row>
    <row r="5415">
      <c r="A5415" s="17"/>
      <c r="H5415" s="18"/>
      <c r="K5415" s="18" t="s">
        <v>316</v>
      </c>
    </row>
    <row r="5416">
      <c r="A5416" s="17"/>
      <c r="H5416" s="18"/>
      <c r="K5416" s="18" t="s">
        <v>316</v>
      </c>
    </row>
    <row r="5417">
      <c r="A5417" s="17"/>
      <c r="H5417" s="18"/>
      <c r="K5417" s="18" t="s">
        <v>316</v>
      </c>
    </row>
    <row r="5418">
      <c r="A5418" s="17"/>
      <c r="H5418" s="18"/>
      <c r="K5418" s="18" t="s">
        <v>316</v>
      </c>
    </row>
    <row r="5419">
      <c r="A5419" s="17"/>
      <c r="H5419" s="18"/>
      <c r="K5419" s="18" t="s">
        <v>316</v>
      </c>
    </row>
    <row r="5420">
      <c r="A5420" s="17"/>
      <c r="H5420" s="18"/>
      <c r="K5420" s="18" t="s">
        <v>316</v>
      </c>
    </row>
    <row r="5421">
      <c r="A5421" s="17"/>
      <c r="H5421" s="18"/>
      <c r="K5421" s="18" t="s">
        <v>316</v>
      </c>
    </row>
    <row r="5422">
      <c r="A5422" s="17"/>
      <c r="H5422" s="18"/>
      <c r="K5422" s="18" t="s">
        <v>316</v>
      </c>
    </row>
    <row r="5423">
      <c r="A5423" s="17"/>
      <c r="H5423" s="18"/>
      <c r="K5423" s="18" t="s">
        <v>316</v>
      </c>
    </row>
    <row r="5424">
      <c r="A5424" s="17"/>
      <c r="H5424" s="18"/>
      <c r="K5424" s="18" t="s">
        <v>316</v>
      </c>
    </row>
    <row r="5425">
      <c r="A5425" s="17"/>
      <c r="H5425" s="18"/>
      <c r="K5425" s="18" t="s">
        <v>316</v>
      </c>
    </row>
    <row r="5426">
      <c r="A5426" s="17"/>
      <c r="H5426" s="18"/>
      <c r="K5426" s="18" t="s">
        <v>316</v>
      </c>
    </row>
    <row r="5427">
      <c r="A5427" s="17"/>
      <c r="H5427" s="18"/>
      <c r="K5427" s="18" t="s">
        <v>316</v>
      </c>
    </row>
    <row r="5428">
      <c r="A5428" s="17"/>
      <c r="H5428" s="18"/>
      <c r="K5428" s="18" t="s">
        <v>316</v>
      </c>
    </row>
    <row r="5429">
      <c r="A5429" s="17"/>
      <c r="H5429" s="18"/>
      <c r="K5429" s="18" t="s">
        <v>316</v>
      </c>
    </row>
    <row r="5430">
      <c r="A5430" s="17"/>
      <c r="H5430" s="18"/>
      <c r="K5430" s="18" t="s">
        <v>316</v>
      </c>
    </row>
    <row r="5431">
      <c r="A5431" s="17"/>
      <c r="H5431" s="18"/>
      <c r="K5431" s="18" t="s">
        <v>316</v>
      </c>
    </row>
    <row r="5432">
      <c r="A5432" s="17"/>
      <c r="H5432" s="18"/>
      <c r="K5432" s="18" t="s">
        <v>316</v>
      </c>
    </row>
    <row r="5433">
      <c r="A5433" s="17"/>
      <c r="H5433" s="18"/>
      <c r="K5433" s="18" t="s">
        <v>316</v>
      </c>
    </row>
    <row r="5434">
      <c r="A5434" s="17"/>
      <c r="H5434" s="18"/>
      <c r="K5434" s="18" t="s">
        <v>316</v>
      </c>
    </row>
    <row r="5435">
      <c r="A5435" s="17"/>
      <c r="H5435" s="18"/>
      <c r="K5435" s="18" t="s">
        <v>316</v>
      </c>
    </row>
    <row r="5436">
      <c r="A5436" s="17"/>
      <c r="H5436" s="18"/>
      <c r="K5436" s="18" t="s">
        <v>316</v>
      </c>
    </row>
    <row r="5437">
      <c r="A5437" s="17"/>
      <c r="H5437" s="18"/>
      <c r="K5437" s="18" t="s">
        <v>316</v>
      </c>
    </row>
    <row r="5438">
      <c r="A5438" s="17"/>
      <c r="H5438" s="18"/>
      <c r="K5438" s="18" t="s">
        <v>316</v>
      </c>
    </row>
    <row r="5439">
      <c r="A5439" s="17"/>
      <c r="H5439" s="18"/>
      <c r="K5439" s="18" t="s">
        <v>316</v>
      </c>
    </row>
    <row r="5440">
      <c r="A5440" s="17"/>
      <c r="H5440" s="18"/>
      <c r="K5440" s="18" t="s">
        <v>316</v>
      </c>
    </row>
    <row r="5441">
      <c r="A5441" s="17"/>
      <c r="H5441" s="18"/>
      <c r="K5441" s="18" t="s">
        <v>316</v>
      </c>
    </row>
    <row r="5442">
      <c r="A5442" s="17"/>
      <c r="H5442" s="18"/>
      <c r="K5442" s="18" t="s">
        <v>316</v>
      </c>
    </row>
    <row r="5443">
      <c r="A5443" s="17"/>
      <c r="H5443" s="18"/>
      <c r="K5443" s="18" t="s">
        <v>316</v>
      </c>
    </row>
    <row r="5444">
      <c r="A5444" s="17"/>
      <c r="H5444" s="18"/>
      <c r="K5444" s="18" t="s">
        <v>316</v>
      </c>
    </row>
    <row r="5445">
      <c r="A5445" s="17"/>
      <c r="H5445" s="18"/>
      <c r="K5445" s="18" t="s">
        <v>316</v>
      </c>
    </row>
    <row r="5446">
      <c r="A5446" s="17"/>
      <c r="H5446" s="18"/>
      <c r="K5446" s="18" t="s">
        <v>316</v>
      </c>
    </row>
    <row r="5447">
      <c r="A5447" s="17"/>
      <c r="H5447" s="18"/>
      <c r="K5447" s="18" t="s">
        <v>316</v>
      </c>
    </row>
    <row r="5448">
      <c r="A5448" s="17"/>
      <c r="H5448" s="18"/>
      <c r="K5448" s="18" t="s">
        <v>316</v>
      </c>
    </row>
    <row r="5449">
      <c r="A5449" s="17"/>
      <c r="H5449" s="18"/>
      <c r="K5449" s="18" t="s">
        <v>316</v>
      </c>
    </row>
    <row r="5450">
      <c r="A5450" s="17"/>
      <c r="H5450" s="18"/>
      <c r="K5450" s="18" t="s">
        <v>316</v>
      </c>
    </row>
    <row r="5451">
      <c r="A5451" s="17"/>
      <c r="H5451" s="18"/>
      <c r="K5451" s="18" t="s">
        <v>316</v>
      </c>
    </row>
    <row r="5452">
      <c r="A5452" s="17"/>
      <c r="H5452" s="18"/>
      <c r="K5452" s="18" t="s">
        <v>316</v>
      </c>
    </row>
    <row r="5453">
      <c r="A5453" s="17"/>
      <c r="H5453" s="18"/>
      <c r="K5453" s="18" t="s">
        <v>316</v>
      </c>
    </row>
    <row r="5454">
      <c r="A5454" s="17"/>
      <c r="H5454" s="18"/>
      <c r="K5454" s="18" t="s">
        <v>316</v>
      </c>
    </row>
    <row r="5455">
      <c r="A5455" s="17"/>
      <c r="H5455" s="18"/>
      <c r="K5455" s="18" t="s">
        <v>316</v>
      </c>
    </row>
    <row r="5456">
      <c r="A5456" s="17"/>
      <c r="H5456" s="18"/>
      <c r="K5456" s="18" t="s">
        <v>316</v>
      </c>
    </row>
    <row r="5457">
      <c r="A5457" s="17"/>
      <c r="H5457" s="18"/>
      <c r="K5457" s="18" t="s">
        <v>316</v>
      </c>
    </row>
    <row r="5458">
      <c r="A5458" s="17"/>
      <c r="H5458" s="18"/>
      <c r="K5458" s="18" t="s">
        <v>316</v>
      </c>
    </row>
    <row r="5459">
      <c r="A5459" s="17"/>
      <c r="H5459" s="18"/>
      <c r="K5459" s="18" t="s">
        <v>316</v>
      </c>
    </row>
    <row r="5460">
      <c r="A5460" s="17"/>
      <c r="H5460" s="18"/>
      <c r="K5460" s="18" t="s">
        <v>316</v>
      </c>
    </row>
    <row r="5461">
      <c r="A5461" s="17"/>
      <c r="H5461" s="18"/>
      <c r="K5461" s="18" t="s">
        <v>316</v>
      </c>
    </row>
    <row r="5462">
      <c r="A5462" s="17"/>
      <c r="H5462" s="18"/>
      <c r="K5462" s="18" t="s">
        <v>316</v>
      </c>
    </row>
    <row r="5463">
      <c r="A5463" s="17"/>
      <c r="H5463" s="18"/>
      <c r="K5463" s="18" t="s">
        <v>316</v>
      </c>
    </row>
    <row r="5464">
      <c r="A5464" s="17"/>
      <c r="H5464" s="18"/>
      <c r="K5464" s="18" t="s">
        <v>316</v>
      </c>
    </row>
    <row r="5465">
      <c r="A5465" s="17"/>
      <c r="H5465" s="18"/>
      <c r="K5465" s="18" t="s">
        <v>316</v>
      </c>
    </row>
    <row r="5466">
      <c r="A5466" s="17"/>
      <c r="H5466" s="18"/>
      <c r="K5466" s="18" t="s">
        <v>316</v>
      </c>
    </row>
    <row r="5467">
      <c r="A5467" s="17"/>
      <c r="H5467" s="18"/>
      <c r="K5467" s="18" t="s">
        <v>316</v>
      </c>
    </row>
    <row r="5468">
      <c r="A5468" s="17"/>
      <c r="H5468" s="18"/>
      <c r="K5468" s="18" t="s">
        <v>316</v>
      </c>
    </row>
    <row r="5469">
      <c r="A5469" s="17"/>
      <c r="H5469" s="18"/>
      <c r="K5469" s="18" t="s">
        <v>316</v>
      </c>
    </row>
    <row r="5470">
      <c r="A5470" s="17"/>
      <c r="H5470" s="18"/>
      <c r="K5470" s="18" t="s">
        <v>316</v>
      </c>
    </row>
    <row r="5471">
      <c r="A5471" s="17"/>
      <c r="H5471" s="18"/>
      <c r="K5471" s="18" t="s">
        <v>316</v>
      </c>
    </row>
    <row r="5472">
      <c r="A5472" s="17"/>
      <c r="H5472" s="18"/>
      <c r="K5472" s="18" t="s">
        <v>316</v>
      </c>
    </row>
    <row r="5473">
      <c r="A5473" s="17"/>
      <c r="H5473" s="18"/>
      <c r="K5473" s="18" t="s">
        <v>316</v>
      </c>
    </row>
    <row r="5474">
      <c r="A5474" s="17"/>
      <c r="H5474" s="18"/>
      <c r="K5474" s="18" t="s">
        <v>316</v>
      </c>
    </row>
    <row r="5475">
      <c r="A5475" s="17"/>
      <c r="H5475" s="18"/>
      <c r="K5475" s="18" t="s">
        <v>316</v>
      </c>
    </row>
    <row r="5476">
      <c r="A5476" s="17"/>
      <c r="H5476" s="18"/>
      <c r="K5476" s="18" t="s">
        <v>316</v>
      </c>
    </row>
    <row r="5477">
      <c r="A5477" s="17"/>
      <c r="H5477" s="18"/>
      <c r="K5477" s="18" t="s">
        <v>316</v>
      </c>
    </row>
    <row r="5478">
      <c r="A5478" s="17"/>
      <c r="H5478" s="18"/>
      <c r="K5478" s="18" t="s">
        <v>316</v>
      </c>
    </row>
    <row r="5479">
      <c r="A5479" s="17"/>
      <c r="H5479" s="18"/>
      <c r="K5479" s="18" t="s">
        <v>316</v>
      </c>
    </row>
    <row r="5480">
      <c r="A5480" s="17"/>
      <c r="H5480" s="18"/>
      <c r="K5480" s="18" t="s">
        <v>316</v>
      </c>
    </row>
    <row r="5481">
      <c r="A5481" s="17"/>
      <c r="H5481" s="18"/>
      <c r="K5481" s="18" t="s">
        <v>316</v>
      </c>
    </row>
    <row r="5482">
      <c r="A5482" s="17"/>
      <c r="H5482" s="18"/>
      <c r="K5482" s="18" t="s">
        <v>316</v>
      </c>
    </row>
    <row r="5483">
      <c r="A5483" s="17"/>
      <c r="H5483" s="18"/>
      <c r="K5483" s="18" t="s">
        <v>316</v>
      </c>
    </row>
    <row r="5484">
      <c r="A5484" s="17"/>
      <c r="H5484" s="18"/>
      <c r="K5484" s="18" t="s">
        <v>316</v>
      </c>
    </row>
    <row r="5485">
      <c r="A5485" s="17"/>
      <c r="H5485" s="18"/>
      <c r="K5485" s="18" t="s">
        <v>316</v>
      </c>
    </row>
    <row r="5486">
      <c r="A5486" s="17"/>
      <c r="H5486" s="18"/>
      <c r="K5486" s="18" t="s">
        <v>316</v>
      </c>
    </row>
    <row r="5487">
      <c r="A5487" s="17"/>
      <c r="H5487" s="18"/>
      <c r="K5487" s="18" t="s">
        <v>316</v>
      </c>
    </row>
    <row r="5488">
      <c r="A5488" s="17"/>
      <c r="H5488" s="18"/>
      <c r="K5488" s="18" t="s">
        <v>316</v>
      </c>
    </row>
    <row r="5489">
      <c r="A5489" s="17"/>
      <c r="H5489" s="18"/>
      <c r="K5489" s="18" t="s">
        <v>316</v>
      </c>
    </row>
    <row r="5490">
      <c r="A5490" s="17"/>
      <c r="H5490" s="18"/>
      <c r="K5490" s="18" t="s">
        <v>316</v>
      </c>
    </row>
    <row r="5491">
      <c r="A5491" s="17"/>
      <c r="H5491" s="18"/>
      <c r="K5491" s="18" t="s">
        <v>316</v>
      </c>
    </row>
    <row r="5492">
      <c r="A5492" s="17"/>
      <c r="H5492" s="18"/>
      <c r="K5492" s="18" t="s">
        <v>316</v>
      </c>
    </row>
    <row r="5493">
      <c r="A5493" s="17"/>
      <c r="H5493" s="18"/>
      <c r="K5493" s="18" t="s">
        <v>316</v>
      </c>
    </row>
    <row r="5494">
      <c r="A5494" s="17"/>
      <c r="H5494" s="18"/>
      <c r="K5494" s="18" t="s">
        <v>316</v>
      </c>
    </row>
    <row r="5495">
      <c r="A5495" s="17"/>
      <c r="H5495" s="18"/>
      <c r="K5495" s="18" t="s">
        <v>316</v>
      </c>
    </row>
    <row r="5496">
      <c r="A5496" s="17"/>
      <c r="H5496" s="18"/>
      <c r="K5496" s="18" t="s">
        <v>316</v>
      </c>
    </row>
    <row r="5497">
      <c r="A5497" s="17"/>
      <c r="H5497" s="18"/>
      <c r="K5497" s="18" t="s">
        <v>316</v>
      </c>
    </row>
    <row r="5498">
      <c r="A5498" s="17"/>
      <c r="H5498" s="18"/>
      <c r="K5498" s="18" t="s">
        <v>316</v>
      </c>
    </row>
    <row r="5499">
      <c r="A5499" s="17"/>
      <c r="H5499" s="18"/>
      <c r="K5499" s="18" t="s">
        <v>316</v>
      </c>
    </row>
    <row r="5500">
      <c r="A5500" s="17"/>
      <c r="H5500" s="18"/>
      <c r="K5500" s="18" t="s">
        <v>316</v>
      </c>
    </row>
    <row r="5501">
      <c r="A5501" s="17"/>
      <c r="H5501" s="18"/>
      <c r="K5501" s="18" t="s">
        <v>316</v>
      </c>
    </row>
    <row r="5502">
      <c r="A5502" s="17"/>
      <c r="H5502" s="18"/>
      <c r="K5502" s="18" t="s">
        <v>316</v>
      </c>
    </row>
    <row r="5503">
      <c r="A5503" s="17"/>
      <c r="H5503" s="18"/>
      <c r="K5503" s="18" t="s">
        <v>316</v>
      </c>
    </row>
    <row r="5504">
      <c r="A5504" s="17"/>
      <c r="H5504" s="18"/>
      <c r="K5504" s="18" t="s">
        <v>316</v>
      </c>
    </row>
    <row r="5505">
      <c r="A5505" s="17"/>
      <c r="H5505" s="18"/>
      <c r="K5505" s="18" t="s">
        <v>316</v>
      </c>
    </row>
    <row r="5506">
      <c r="A5506" s="17"/>
      <c r="H5506" s="18"/>
      <c r="K5506" s="18" t="s">
        <v>316</v>
      </c>
    </row>
    <row r="5507">
      <c r="A5507" s="17"/>
      <c r="H5507" s="18"/>
      <c r="K5507" s="18" t="s">
        <v>316</v>
      </c>
    </row>
    <row r="5508">
      <c r="A5508" s="17"/>
      <c r="H5508" s="18"/>
      <c r="K5508" s="18" t="s">
        <v>316</v>
      </c>
    </row>
    <row r="5509">
      <c r="A5509" s="17"/>
      <c r="H5509" s="18"/>
      <c r="K5509" s="18" t="s">
        <v>316</v>
      </c>
    </row>
    <row r="5510">
      <c r="A5510" s="17"/>
      <c r="H5510" s="18"/>
      <c r="K5510" s="18" t="s">
        <v>316</v>
      </c>
    </row>
    <row r="5511">
      <c r="A5511" s="17"/>
      <c r="H5511" s="18"/>
      <c r="K5511" s="18" t="s">
        <v>316</v>
      </c>
    </row>
    <row r="5512">
      <c r="A5512" s="17"/>
      <c r="H5512" s="18"/>
      <c r="K5512" s="18" t="s">
        <v>316</v>
      </c>
    </row>
    <row r="5513">
      <c r="A5513" s="17"/>
      <c r="H5513" s="18"/>
      <c r="K5513" s="18" t="s">
        <v>316</v>
      </c>
    </row>
    <row r="5514">
      <c r="A5514" s="17"/>
      <c r="H5514" s="18"/>
      <c r="K5514" s="18" t="s">
        <v>316</v>
      </c>
    </row>
    <row r="5515">
      <c r="A5515" s="17"/>
      <c r="H5515" s="18"/>
      <c r="K5515" s="18" t="s">
        <v>316</v>
      </c>
    </row>
    <row r="5516">
      <c r="A5516" s="17"/>
      <c r="H5516" s="18"/>
      <c r="K5516" s="18" t="s">
        <v>316</v>
      </c>
    </row>
    <row r="5517">
      <c r="A5517" s="17"/>
      <c r="H5517" s="18"/>
      <c r="K5517" s="18" t="s">
        <v>316</v>
      </c>
    </row>
    <row r="5518">
      <c r="A5518" s="17"/>
      <c r="H5518" s="18"/>
      <c r="K5518" s="18" t="s">
        <v>316</v>
      </c>
    </row>
    <row r="5519">
      <c r="A5519" s="17"/>
      <c r="H5519" s="18"/>
      <c r="K5519" s="18" t="s">
        <v>316</v>
      </c>
    </row>
    <row r="5520">
      <c r="A5520" s="17"/>
      <c r="H5520" s="18"/>
      <c r="K5520" s="18" t="s">
        <v>316</v>
      </c>
    </row>
    <row r="5521">
      <c r="A5521" s="17"/>
      <c r="H5521" s="18"/>
      <c r="K5521" s="18" t="s">
        <v>316</v>
      </c>
    </row>
    <row r="5522">
      <c r="A5522" s="17"/>
      <c r="H5522" s="18"/>
      <c r="K5522" s="18" t="s">
        <v>316</v>
      </c>
    </row>
    <row r="5523">
      <c r="A5523" s="17"/>
      <c r="H5523" s="18"/>
      <c r="K5523" s="18" t="s">
        <v>316</v>
      </c>
    </row>
    <row r="5524">
      <c r="A5524" s="17"/>
      <c r="H5524" s="18"/>
      <c r="K5524" s="18" t="s">
        <v>316</v>
      </c>
    </row>
    <row r="5525">
      <c r="A5525" s="17"/>
      <c r="H5525" s="18"/>
      <c r="K5525" s="18" t="s">
        <v>316</v>
      </c>
    </row>
    <row r="5526">
      <c r="A5526" s="17"/>
      <c r="H5526" s="18"/>
      <c r="K5526" s="18" t="s">
        <v>316</v>
      </c>
    </row>
    <row r="5527">
      <c r="A5527" s="17"/>
      <c r="H5527" s="18"/>
      <c r="K5527" s="18" t="s">
        <v>316</v>
      </c>
    </row>
    <row r="5528">
      <c r="A5528" s="17"/>
      <c r="H5528" s="18"/>
      <c r="K5528" s="18" t="s">
        <v>316</v>
      </c>
    </row>
    <row r="5529">
      <c r="A5529" s="17"/>
      <c r="H5529" s="18"/>
      <c r="K5529" s="18" t="s">
        <v>316</v>
      </c>
    </row>
    <row r="5530">
      <c r="A5530" s="17"/>
      <c r="H5530" s="18"/>
      <c r="K5530" s="18" t="s">
        <v>316</v>
      </c>
    </row>
    <row r="5531">
      <c r="A5531" s="17"/>
      <c r="H5531" s="18"/>
      <c r="K5531" s="18" t="s">
        <v>316</v>
      </c>
    </row>
    <row r="5532">
      <c r="A5532" s="17"/>
      <c r="H5532" s="18"/>
      <c r="K5532" s="18" t="s">
        <v>316</v>
      </c>
    </row>
    <row r="5533">
      <c r="A5533" s="17"/>
      <c r="H5533" s="18"/>
      <c r="K5533" s="18" t="s">
        <v>316</v>
      </c>
    </row>
    <row r="5534">
      <c r="A5534" s="17"/>
      <c r="H5534" s="18"/>
      <c r="K5534" s="18" t="s">
        <v>316</v>
      </c>
    </row>
    <row r="5535">
      <c r="A5535" s="17"/>
      <c r="H5535" s="18"/>
      <c r="K5535" s="18" t="s">
        <v>316</v>
      </c>
    </row>
    <row r="5536">
      <c r="A5536" s="17"/>
      <c r="H5536" s="18"/>
      <c r="K5536" s="18" t="s">
        <v>316</v>
      </c>
    </row>
    <row r="5537">
      <c r="A5537" s="17"/>
      <c r="H5537" s="18"/>
      <c r="K5537" s="18" t="s">
        <v>316</v>
      </c>
    </row>
    <row r="5538">
      <c r="A5538" s="17"/>
      <c r="H5538" s="18"/>
      <c r="K5538" s="18" t="s">
        <v>316</v>
      </c>
    </row>
    <row r="5539">
      <c r="A5539" s="17"/>
      <c r="H5539" s="18"/>
      <c r="K5539" s="18" t="s">
        <v>316</v>
      </c>
    </row>
    <row r="5540">
      <c r="A5540" s="17"/>
      <c r="H5540" s="18"/>
      <c r="K5540" s="18" t="s">
        <v>316</v>
      </c>
    </row>
    <row r="5541">
      <c r="A5541" s="17"/>
      <c r="H5541" s="18"/>
      <c r="K5541" s="18" t="s">
        <v>316</v>
      </c>
    </row>
    <row r="5542">
      <c r="A5542" s="17"/>
      <c r="H5542" s="18"/>
      <c r="K5542" s="18" t="s">
        <v>316</v>
      </c>
    </row>
    <row r="5543">
      <c r="A5543" s="17"/>
      <c r="H5543" s="18"/>
      <c r="K5543" s="18" t="s">
        <v>316</v>
      </c>
    </row>
    <row r="5544">
      <c r="A5544" s="17"/>
      <c r="H5544" s="18"/>
      <c r="K5544" s="18" t="s">
        <v>316</v>
      </c>
    </row>
    <row r="5545">
      <c r="A5545" s="17"/>
      <c r="H5545" s="18"/>
      <c r="K5545" s="18" t="s">
        <v>316</v>
      </c>
    </row>
    <row r="5546">
      <c r="A5546" s="17"/>
      <c r="H5546" s="18"/>
      <c r="K5546" s="18" t="s">
        <v>316</v>
      </c>
    </row>
    <row r="5547">
      <c r="A5547" s="17"/>
      <c r="H5547" s="18"/>
      <c r="K5547" s="18" t="s">
        <v>316</v>
      </c>
    </row>
    <row r="5548">
      <c r="A5548" s="17"/>
      <c r="H5548" s="18"/>
      <c r="K5548" s="18" t="s">
        <v>316</v>
      </c>
    </row>
    <row r="5549">
      <c r="A5549" s="17"/>
      <c r="H5549" s="18"/>
      <c r="K5549" s="18" t="s">
        <v>316</v>
      </c>
    </row>
    <row r="5550">
      <c r="A5550" s="17"/>
      <c r="H5550" s="18"/>
      <c r="K5550" s="18" t="s">
        <v>316</v>
      </c>
    </row>
    <row r="5551">
      <c r="A5551" s="17"/>
      <c r="H5551" s="18"/>
      <c r="K5551" s="18" t="s">
        <v>316</v>
      </c>
    </row>
    <row r="5552">
      <c r="A5552" s="17"/>
      <c r="H5552" s="18"/>
      <c r="K5552" s="18" t="s">
        <v>316</v>
      </c>
    </row>
    <row r="5553">
      <c r="A5553" s="17"/>
      <c r="H5553" s="18"/>
      <c r="K5553" s="18" t="s">
        <v>316</v>
      </c>
    </row>
    <row r="5554">
      <c r="A5554" s="17"/>
      <c r="H5554" s="18"/>
      <c r="K5554" s="18" t="s">
        <v>316</v>
      </c>
    </row>
    <row r="5555">
      <c r="A5555" s="17"/>
      <c r="H5555" s="18"/>
      <c r="K5555" s="18" t="s">
        <v>316</v>
      </c>
    </row>
    <row r="5556">
      <c r="A5556" s="17"/>
      <c r="H5556" s="18"/>
      <c r="K5556" s="18" t="s">
        <v>316</v>
      </c>
    </row>
    <row r="5557">
      <c r="A5557" s="17"/>
      <c r="H5557" s="18"/>
      <c r="K5557" s="18" t="s">
        <v>316</v>
      </c>
    </row>
    <row r="5558">
      <c r="A5558" s="17"/>
      <c r="H5558" s="18"/>
      <c r="K5558" s="18" t="s">
        <v>316</v>
      </c>
    </row>
    <row r="5559">
      <c r="A5559" s="17"/>
      <c r="H5559" s="18"/>
      <c r="K5559" s="18" t="s">
        <v>316</v>
      </c>
    </row>
    <row r="5560">
      <c r="A5560" s="17"/>
      <c r="H5560" s="18"/>
      <c r="K5560" s="18" t="s">
        <v>316</v>
      </c>
    </row>
    <row r="5561">
      <c r="A5561" s="17"/>
      <c r="H5561" s="18"/>
      <c r="K5561" s="18" t="s">
        <v>316</v>
      </c>
    </row>
    <row r="5562">
      <c r="A5562" s="17"/>
      <c r="H5562" s="18"/>
      <c r="K5562" s="18" t="s">
        <v>316</v>
      </c>
    </row>
    <row r="5563">
      <c r="A5563" s="17"/>
      <c r="H5563" s="18"/>
      <c r="K5563" s="18" t="s">
        <v>316</v>
      </c>
    </row>
    <row r="5564">
      <c r="A5564" s="17"/>
      <c r="H5564" s="18"/>
      <c r="K5564" s="18" t="s">
        <v>316</v>
      </c>
    </row>
    <row r="5565">
      <c r="A5565" s="17"/>
      <c r="H5565" s="18"/>
      <c r="K5565" s="18" t="s">
        <v>316</v>
      </c>
    </row>
    <row r="5566">
      <c r="A5566" s="17"/>
      <c r="H5566" s="18"/>
      <c r="K5566" s="18" t="s">
        <v>316</v>
      </c>
    </row>
    <row r="5567">
      <c r="A5567" s="17"/>
      <c r="H5567" s="18"/>
      <c r="K5567" s="18" t="s">
        <v>316</v>
      </c>
    </row>
    <row r="5568">
      <c r="A5568" s="17"/>
      <c r="H5568" s="18"/>
      <c r="K5568" s="18" t="s">
        <v>316</v>
      </c>
    </row>
    <row r="5569">
      <c r="A5569" s="17"/>
      <c r="H5569" s="18"/>
      <c r="K5569" s="18" t="s">
        <v>316</v>
      </c>
    </row>
    <row r="5570">
      <c r="A5570" s="17"/>
      <c r="H5570" s="18"/>
      <c r="K5570" s="18" t="s">
        <v>316</v>
      </c>
    </row>
    <row r="5571">
      <c r="A5571" s="17"/>
      <c r="H5571" s="18"/>
      <c r="K5571" s="18" t="s">
        <v>316</v>
      </c>
    </row>
    <row r="5572">
      <c r="A5572" s="17"/>
      <c r="H5572" s="18"/>
      <c r="K5572" s="18" t="s">
        <v>316</v>
      </c>
    </row>
    <row r="5573">
      <c r="A5573" s="17"/>
      <c r="H5573" s="18"/>
      <c r="K5573" s="18" t="s">
        <v>316</v>
      </c>
    </row>
    <row r="5574">
      <c r="A5574" s="17"/>
      <c r="H5574" s="18"/>
      <c r="K5574" s="18" t="s">
        <v>316</v>
      </c>
    </row>
    <row r="5575">
      <c r="A5575" s="17"/>
      <c r="H5575" s="18"/>
      <c r="K5575" s="18" t="s">
        <v>316</v>
      </c>
    </row>
    <row r="5576">
      <c r="A5576" s="17"/>
      <c r="H5576" s="18"/>
      <c r="K5576" s="18" t="s">
        <v>316</v>
      </c>
    </row>
    <row r="5577">
      <c r="A5577" s="17"/>
      <c r="H5577" s="18"/>
      <c r="K5577" s="18" t="s">
        <v>316</v>
      </c>
    </row>
    <row r="5578">
      <c r="A5578" s="17"/>
      <c r="H5578" s="18"/>
      <c r="K5578" s="18" t="s">
        <v>316</v>
      </c>
    </row>
    <row r="5579">
      <c r="A5579" s="17"/>
      <c r="H5579" s="18"/>
      <c r="K5579" s="18" t="s">
        <v>316</v>
      </c>
    </row>
    <row r="5580">
      <c r="A5580" s="17"/>
      <c r="H5580" s="18"/>
      <c r="K5580" s="18" t="s">
        <v>316</v>
      </c>
    </row>
    <row r="5581">
      <c r="A5581" s="17"/>
      <c r="H5581" s="18"/>
      <c r="K5581" s="18" t="s">
        <v>316</v>
      </c>
    </row>
    <row r="5582">
      <c r="A5582" s="17"/>
      <c r="H5582" s="18"/>
      <c r="K5582" s="18" t="s">
        <v>316</v>
      </c>
    </row>
    <row r="5583">
      <c r="A5583" s="17"/>
      <c r="H5583" s="18"/>
      <c r="K5583" s="18" t="s">
        <v>316</v>
      </c>
    </row>
    <row r="5584">
      <c r="A5584" s="17"/>
      <c r="H5584" s="18"/>
      <c r="K5584" s="18" t="s">
        <v>316</v>
      </c>
    </row>
    <row r="5585">
      <c r="A5585" s="17"/>
      <c r="H5585" s="18"/>
      <c r="K5585" s="18" t="s">
        <v>316</v>
      </c>
    </row>
    <row r="5586">
      <c r="A5586" s="17"/>
      <c r="H5586" s="18"/>
      <c r="K5586" s="18" t="s">
        <v>316</v>
      </c>
    </row>
    <row r="5587">
      <c r="A5587" s="17"/>
      <c r="H5587" s="18"/>
      <c r="K5587" s="18" t="s">
        <v>316</v>
      </c>
    </row>
    <row r="5588">
      <c r="A5588" s="17"/>
      <c r="H5588" s="18"/>
      <c r="K5588" s="18" t="s">
        <v>316</v>
      </c>
    </row>
    <row r="5589">
      <c r="A5589" s="17"/>
      <c r="H5589" s="18"/>
      <c r="K5589" s="18" t="s">
        <v>316</v>
      </c>
    </row>
    <row r="5590">
      <c r="A5590" s="17"/>
      <c r="H5590" s="18"/>
      <c r="K5590" s="18" t="s">
        <v>316</v>
      </c>
    </row>
    <row r="5591">
      <c r="A5591" s="17"/>
      <c r="H5591" s="18"/>
      <c r="K5591" s="18" t="s">
        <v>316</v>
      </c>
    </row>
    <row r="5592">
      <c r="A5592" s="17"/>
      <c r="H5592" s="18"/>
      <c r="K5592" s="18" t="s">
        <v>316</v>
      </c>
    </row>
    <row r="5593">
      <c r="A5593" s="17"/>
      <c r="H5593" s="18"/>
      <c r="K5593" s="18" t="s">
        <v>316</v>
      </c>
    </row>
    <row r="5594">
      <c r="A5594" s="17"/>
      <c r="H5594" s="18"/>
      <c r="K5594" s="18" t="s">
        <v>316</v>
      </c>
    </row>
    <row r="5595">
      <c r="A5595" s="17"/>
      <c r="H5595" s="18"/>
      <c r="K5595" s="18" t="s">
        <v>316</v>
      </c>
    </row>
    <row r="5596">
      <c r="A5596" s="17"/>
      <c r="H5596" s="18"/>
      <c r="K5596" s="18" t="s">
        <v>316</v>
      </c>
    </row>
    <row r="5597">
      <c r="A5597" s="17"/>
      <c r="H5597" s="18"/>
      <c r="K5597" s="18" t="s">
        <v>316</v>
      </c>
    </row>
    <row r="5598">
      <c r="A5598" s="17"/>
      <c r="H5598" s="18"/>
      <c r="K5598" s="18" t="s">
        <v>316</v>
      </c>
    </row>
    <row r="5599">
      <c r="A5599" s="17"/>
      <c r="H5599" s="18"/>
      <c r="K5599" s="18" t="s">
        <v>316</v>
      </c>
    </row>
    <row r="5600">
      <c r="A5600" s="17"/>
      <c r="H5600" s="18"/>
      <c r="K5600" s="18" t="s">
        <v>316</v>
      </c>
    </row>
    <row r="5601">
      <c r="A5601" s="17"/>
      <c r="H5601" s="18"/>
      <c r="K5601" s="18" t="s">
        <v>316</v>
      </c>
    </row>
    <row r="5602">
      <c r="A5602" s="17"/>
      <c r="H5602" s="18"/>
      <c r="K5602" s="18" t="s">
        <v>316</v>
      </c>
    </row>
    <row r="5603">
      <c r="A5603" s="17"/>
      <c r="H5603" s="18"/>
      <c r="K5603" s="18" t="s">
        <v>316</v>
      </c>
    </row>
    <row r="5604">
      <c r="A5604" s="17"/>
      <c r="H5604" s="18"/>
      <c r="K5604" s="18" t="s">
        <v>316</v>
      </c>
    </row>
    <row r="5605">
      <c r="A5605" s="17"/>
      <c r="H5605" s="18"/>
      <c r="K5605" s="18" t="s">
        <v>316</v>
      </c>
    </row>
    <row r="5606">
      <c r="A5606" s="17"/>
      <c r="H5606" s="18"/>
      <c r="K5606" s="18" t="s">
        <v>316</v>
      </c>
    </row>
    <row r="5607">
      <c r="A5607" s="17"/>
      <c r="H5607" s="18"/>
      <c r="K5607" s="18" t="s">
        <v>316</v>
      </c>
    </row>
    <row r="5608">
      <c r="A5608" s="17"/>
      <c r="H5608" s="18"/>
      <c r="K5608" s="18" t="s">
        <v>316</v>
      </c>
    </row>
    <row r="5609">
      <c r="A5609" s="17"/>
      <c r="H5609" s="18"/>
      <c r="K5609" s="18" t="s">
        <v>316</v>
      </c>
    </row>
    <row r="5610">
      <c r="A5610" s="17"/>
      <c r="H5610" s="18"/>
      <c r="K5610" s="18" t="s">
        <v>316</v>
      </c>
    </row>
    <row r="5611">
      <c r="A5611" s="17"/>
      <c r="H5611" s="18"/>
      <c r="K5611" s="18" t="s">
        <v>316</v>
      </c>
    </row>
    <row r="5612">
      <c r="A5612" s="17"/>
      <c r="H5612" s="18"/>
      <c r="K5612" s="18" t="s">
        <v>316</v>
      </c>
    </row>
    <row r="5613">
      <c r="A5613" s="17"/>
      <c r="H5613" s="18"/>
      <c r="K5613" s="18" t="s">
        <v>316</v>
      </c>
    </row>
    <row r="5614">
      <c r="A5614" s="17"/>
      <c r="H5614" s="18"/>
      <c r="K5614" s="18" t="s">
        <v>316</v>
      </c>
    </row>
    <row r="5615">
      <c r="A5615" s="17"/>
      <c r="H5615" s="18"/>
      <c r="K5615" s="18" t="s">
        <v>316</v>
      </c>
    </row>
    <row r="5616">
      <c r="A5616" s="17"/>
      <c r="H5616" s="18"/>
      <c r="K5616" s="18" t="s">
        <v>316</v>
      </c>
    </row>
    <row r="5617">
      <c r="A5617" s="17"/>
      <c r="H5617" s="18"/>
      <c r="K5617" s="18" t="s">
        <v>316</v>
      </c>
    </row>
    <row r="5618">
      <c r="A5618" s="17"/>
      <c r="H5618" s="18"/>
      <c r="K5618" s="18" t="s">
        <v>316</v>
      </c>
    </row>
    <row r="5619">
      <c r="A5619" s="17"/>
      <c r="H5619" s="18"/>
      <c r="K5619" s="18" t="s">
        <v>316</v>
      </c>
    </row>
    <row r="5620">
      <c r="A5620" s="17"/>
      <c r="H5620" s="18"/>
      <c r="K5620" s="18" t="s">
        <v>316</v>
      </c>
    </row>
    <row r="5621">
      <c r="A5621" s="17"/>
      <c r="H5621" s="18"/>
      <c r="K5621" s="18" t="s">
        <v>316</v>
      </c>
    </row>
    <row r="5622">
      <c r="A5622" s="17"/>
      <c r="H5622" s="18"/>
      <c r="K5622" s="18" t="s">
        <v>316</v>
      </c>
    </row>
    <row r="5623">
      <c r="A5623" s="17"/>
      <c r="H5623" s="18"/>
      <c r="K5623" s="18" t="s">
        <v>316</v>
      </c>
    </row>
    <row r="5624">
      <c r="A5624" s="17"/>
      <c r="H5624" s="18"/>
      <c r="K5624" s="18" t="s">
        <v>316</v>
      </c>
    </row>
    <row r="5625">
      <c r="A5625" s="17"/>
      <c r="H5625" s="18"/>
      <c r="K5625" s="18" t="s">
        <v>316</v>
      </c>
    </row>
    <row r="5626">
      <c r="A5626" s="17"/>
      <c r="H5626" s="18"/>
      <c r="K5626" s="18" t="s">
        <v>316</v>
      </c>
    </row>
    <row r="5627">
      <c r="A5627" s="17"/>
      <c r="H5627" s="18"/>
      <c r="K5627" s="18" t="s">
        <v>316</v>
      </c>
    </row>
    <row r="5628">
      <c r="A5628" s="17"/>
      <c r="H5628" s="18"/>
      <c r="K5628" s="18" t="s">
        <v>316</v>
      </c>
    </row>
    <row r="5629">
      <c r="A5629" s="17"/>
      <c r="H5629" s="18"/>
      <c r="K5629" s="18" t="s">
        <v>316</v>
      </c>
    </row>
    <row r="5630">
      <c r="A5630" s="17"/>
      <c r="H5630" s="18"/>
      <c r="K5630" s="18" t="s">
        <v>316</v>
      </c>
    </row>
    <row r="5631">
      <c r="A5631" s="17"/>
      <c r="H5631" s="18"/>
      <c r="K5631" s="18" t="s">
        <v>316</v>
      </c>
    </row>
    <row r="5632">
      <c r="A5632" s="17"/>
      <c r="H5632" s="18"/>
      <c r="K5632" s="18" t="s">
        <v>316</v>
      </c>
    </row>
    <row r="5633">
      <c r="A5633" s="17"/>
      <c r="H5633" s="18"/>
      <c r="K5633" s="18" t="s">
        <v>316</v>
      </c>
    </row>
    <row r="5634">
      <c r="A5634" s="17"/>
      <c r="H5634" s="18"/>
      <c r="K5634" s="18" t="s">
        <v>316</v>
      </c>
    </row>
    <row r="5635">
      <c r="A5635" s="17"/>
      <c r="H5635" s="18"/>
      <c r="K5635" s="18" t="s">
        <v>316</v>
      </c>
    </row>
    <row r="5636">
      <c r="A5636" s="17"/>
      <c r="H5636" s="18"/>
      <c r="K5636" s="18" t="s">
        <v>316</v>
      </c>
    </row>
    <row r="5637">
      <c r="A5637" s="17"/>
      <c r="H5637" s="18"/>
      <c r="K5637" s="18" t="s">
        <v>316</v>
      </c>
    </row>
    <row r="5638">
      <c r="A5638" s="17"/>
      <c r="H5638" s="18"/>
      <c r="K5638" s="18" t="s">
        <v>316</v>
      </c>
    </row>
    <row r="5639">
      <c r="A5639" s="17"/>
      <c r="H5639" s="18"/>
      <c r="K5639" s="18" t="s">
        <v>316</v>
      </c>
    </row>
    <row r="5640">
      <c r="A5640" s="17"/>
      <c r="H5640" s="18"/>
      <c r="K5640" s="18" t="s">
        <v>316</v>
      </c>
    </row>
    <row r="5641">
      <c r="A5641" s="17"/>
      <c r="H5641" s="18"/>
      <c r="K5641" s="18" t="s">
        <v>316</v>
      </c>
    </row>
    <row r="5642">
      <c r="A5642" s="17"/>
      <c r="H5642" s="18"/>
      <c r="K5642" s="18" t="s">
        <v>316</v>
      </c>
    </row>
    <row r="5643">
      <c r="A5643" s="17"/>
      <c r="H5643" s="18"/>
      <c r="K5643" s="18" t="s">
        <v>316</v>
      </c>
    </row>
    <row r="5644">
      <c r="A5644" s="17"/>
      <c r="H5644" s="18"/>
      <c r="K5644" s="18" t="s">
        <v>316</v>
      </c>
    </row>
    <row r="5645">
      <c r="A5645" s="17"/>
      <c r="H5645" s="18"/>
      <c r="K5645" s="18" t="s">
        <v>316</v>
      </c>
    </row>
    <row r="5646">
      <c r="A5646" s="17"/>
      <c r="H5646" s="18"/>
      <c r="K5646" s="18" t="s">
        <v>316</v>
      </c>
    </row>
    <row r="5647">
      <c r="A5647" s="17"/>
      <c r="H5647" s="18"/>
      <c r="K5647" s="18" t="s">
        <v>316</v>
      </c>
    </row>
    <row r="5648">
      <c r="A5648" s="17"/>
      <c r="H5648" s="18"/>
      <c r="K5648" s="18" t="s">
        <v>316</v>
      </c>
    </row>
    <row r="5649">
      <c r="A5649" s="17"/>
      <c r="H5649" s="18"/>
      <c r="K5649" s="18" t="s">
        <v>316</v>
      </c>
    </row>
    <row r="5650">
      <c r="A5650" s="17"/>
      <c r="H5650" s="18"/>
      <c r="K5650" s="18" t="s">
        <v>316</v>
      </c>
    </row>
    <row r="5651">
      <c r="A5651" s="17"/>
      <c r="H5651" s="18"/>
      <c r="K5651" s="18" t="s">
        <v>316</v>
      </c>
    </row>
    <row r="5652">
      <c r="A5652" s="17"/>
      <c r="H5652" s="18"/>
      <c r="K5652" s="18" t="s">
        <v>316</v>
      </c>
    </row>
    <row r="5653">
      <c r="A5653" s="17"/>
      <c r="H5653" s="18"/>
      <c r="K5653" s="18" t="s">
        <v>316</v>
      </c>
    </row>
    <row r="5654">
      <c r="A5654" s="17"/>
      <c r="H5654" s="18"/>
      <c r="K5654" s="18" t="s">
        <v>316</v>
      </c>
    </row>
    <row r="5655">
      <c r="A5655" s="17"/>
      <c r="H5655" s="18"/>
      <c r="K5655" s="18" t="s">
        <v>316</v>
      </c>
    </row>
    <row r="5656">
      <c r="A5656" s="17"/>
      <c r="H5656" s="18"/>
      <c r="K5656" s="18" t="s">
        <v>316</v>
      </c>
    </row>
    <row r="5657">
      <c r="A5657" s="17"/>
      <c r="H5657" s="18"/>
      <c r="K5657" s="18" t="s">
        <v>316</v>
      </c>
    </row>
    <row r="5658">
      <c r="A5658" s="17"/>
      <c r="H5658" s="18"/>
      <c r="K5658" s="18" t="s">
        <v>316</v>
      </c>
    </row>
    <row r="5659">
      <c r="A5659" s="17"/>
      <c r="H5659" s="18"/>
      <c r="K5659" s="18" t="s">
        <v>316</v>
      </c>
    </row>
    <row r="5660">
      <c r="A5660" s="17"/>
      <c r="H5660" s="18"/>
      <c r="K5660" s="18" t="s">
        <v>316</v>
      </c>
    </row>
    <row r="5661">
      <c r="A5661" s="17"/>
      <c r="H5661" s="18"/>
      <c r="K5661" s="18" t="s">
        <v>316</v>
      </c>
    </row>
    <row r="5662">
      <c r="A5662" s="17"/>
      <c r="H5662" s="18"/>
      <c r="K5662" s="18" t="s">
        <v>316</v>
      </c>
    </row>
    <row r="5663">
      <c r="A5663" s="17"/>
      <c r="H5663" s="18"/>
      <c r="K5663" s="18" t="s">
        <v>316</v>
      </c>
    </row>
    <row r="5664">
      <c r="A5664" s="17"/>
      <c r="H5664" s="18"/>
      <c r="K5664" s="18" t="s">
        <v>316</v>
      </c>
    </row>
    <row r="5665">
      <c r="A5665" s="17"/>
      <c r="H5665" s="18"/>
      <c r="K5665" s="18" t="s">
        <v>316</v>
      </c>
    </row>
    <row r="5666">
      <c r="A5666" s="17"/>
      <c r="H5666" s="18"/>
      <c r="K5666" s="18" t="s">
        <v>316</v>
      </c>
    </row>
    <row r="5667">
      <c r="A5667" s="17"/>
      <c r="H5667" s="18"/>
      <c r="K5667" s="18" t="s">
        <v>316</v>
      </c>
    </row>
    <row r="5668">
      <c r="A5668" s="17"/>
      <c r="H5668" s="18"/>
      <c r="K5668" s="18" t="s">
        <v>316</v>
      </c>
    </row>
    <row r="5669">
      <c r="A5669" s="17"/>
      <c r="H5669" s="18"/>
      <c r="K5669" s="18" t="s">
        <v>316</v>
      </c>
    </row>
    <row r="5670">
      <c r="A5670" s="17"/>
      <c r="H5670" s="18"/>
      <c r="K5670" s="18" t="s">
        <v>316</v>
      </c>
    </row>
    <row r="5671">
      <c r="A5671" s="17"/>
      <c r="H5671" s="18"/>
      <c r="K5671" s="18" t="s">
        <v>316</v>
      </c>
    </row>
    <row r="5672">
      <c r="A5672" s="17"/>
      <c r="H5672" s="18"/>
      <c r="K5672" s="18" t="s">
        <v>316</v>
      </c>
    </row>
    <row r="5673">
      <c r="A5673" s="17"/>
      <c r="H5673" s="18"/>
      <c r="K5673" s="18" t="s">
        <v>316</v>
      </c>
    </row>
    <row r="5674">
      <c r="A5674" s="17"/>
      <c r="H5674" s="18"/>
      <c r="K5674" s="18" t="s">
        <v>316</v>
      </c>
    </row>
    <row r="5675">
      <c r="A5675" s="17"/>
      <c r="H5675" s="18"/>
      <c r="K5675" s="18" t="s">
        <v>316</v>
      </c>
    </row>
    <row r="5676">
      <c r="A5676" s="17"/>
      <c r="H5676" s="18"/>
      <c r="K5676" s="18" t="s">
        <v>316</v>
      </c>
    </row>
    <row r="5677">
      <c r="A5677" s="17"/>
      <c r="H5677" s="18"/>
      <c r="K5677" s="18" t="s">
        <v>316</v>
      </c>
    </row>
    <row r="5678">
      <c r="A5678" s="17"/>
      <c r="H5678" s="18"/>
      <c r="K5678" s="18" t="s">
        <v>316</v>
      </c>
    </row>
    <row r="5679">
      <c r="A5679" s="17"/>
      <c r="H5679" s="18"/>
      <c r="K5679" s="18" t="s">
        <v>316</v>
      </c>
    </row>
    <row r="5680">
      <c r="A5680" s="17"/>
      <c r="H5680" s="18"/>
      <c r="K5680" s="18" t="s">
        <v>316</v>
      </c>
    </row>
    <row r="5681">
      <c r="A5681" s="17"/>
      <c r="H5681" s="18"/>
      <c r="K5681" s="18" t="s">
        <v>316</v>
      </c>
    </row>
    <row r="5682">
      <c r="A5682" s="17"/>
      <c r="H5682" s="18"/>
      <c r="K5682" s="18" t="s">
        <v>316</v>
      </c>
    </row>
    <row r="5683">
      <c r="A5683" s="17"/>
      <c r="H5683" s="18"/>
      <c r="K5683" s="18" t="s">
        <v>316</v>
      </c>
    </row>
    <row r="5684">
      <c r="A5684" s="17"/>
      <c r="H5684" s="18"/>
      <c r="K5684" s="18" t="s">
        <v>316</v>
      </c>
    </row>
    <row r="5685">
      <c r="A5685" s="17"/>
      <c r="H5685" s="18"/>
      <c r="K5685" s="18" t="s">
        <v>316</v>
      </c>
    </row>
    <row r="5686">
      <c r="A5686" s="17"/>
      <c r="H5686" s="18"/>
      <c r="K5686" s="18" t="s">
        <v>316</v>
      </c>
    </row>
    <row r="5687">
      <c r="A5687" s="17"/>
      <c r="H5687" s="18"/>
      <c r="K5687" s="18" t="s">
        <v>316</v>
      </c>
    </row>
    <row r="5688">
      <c r="A5688" s="17"/>
      <c r="H5688" s="18"/>
      <c r="K5688" s="18" t="s">
        <v>316</v>
      </c>
    </row>
    <row r="5689">
      <c r="A5689" s="17"/>
      <c r="H5689" s="18"/>
      <c r="K5689" s="18" t="s">
        <v>316</v>
      </c>
    </row>
    <row r="5690">
      <c r="A5690" s="17"/>
      <c r="H5690" s="18"/>
      <c r="K5690" s="18" t="s">
        <v>316</v>
      </c>
    </row>
    <row r="5691">
      <c r="A5691" s="17"/>
      <c r="H5691" s="18"/>
      <c r="K5691" s="18" t="s">
        <v>316</v>
      </c>
    </row>
    <row r="5692">
      <c r="A5692" s="17"/>
      <c r="H5692" s="18"/>
      <c r="K5692" s="18" t="s">
        <v>316</v>
      </c>
    </row>
    <row r="5693">
      <c r="A5693" s="17"/>
      <c r="H5693" s="18"/>
      <c r="K5693" s="18" t="s">
        <v>316</v>
      </c>
    </row>
    <row r="5694">
      <c r="A5694" s="17"/>
      <c r="H5694" s="18"/>
      <c r="K5694" s="18" t="s">
        <v>316</v>
      </c>
    </row>
    <row r="5695">
      <c r="A5695" s="17"/>
      <c r="H5695" s="18"/>
      <c r="K5695" s="18" t="s">
        <v>316</v>
      </c>
    </row>
    <row r="5696">
      <c r="A5696" s="17"/>
      <c r="H5696" s="18"/>
      <c r="K5696" s="18" t="s">
        <v>316</v>
      </c>
    </row>
    <row r="5697">
      <c r="A5697" s="17"/>
      <c r="H5697" s="18"/>
      <c r="K5697" s="18" t="s">
        <v>316</v>
      </c>
    </row>
    <row r="5698">
      <c r="A5698" s="17"/>
      <c r="H5698" s="18"/>
      <c r="K5698" s="18" t="s">
        <v>316</v>
      </c>
    </row>
    <row r="5699">
      <c r="A5699" s="17"/>
      <c r="H5699" s="18"/>
      <c r="K5699" s="18" t="s">
        <v>316</v>
      </c>
    </row>
    <row r="5700">
      <c r="A5700" s="17"/>
      <c r="H5700" s="18"/>
      <c r="K5700" s="18" t="s">
        <v>316</v>
      </c>
    </row>
    <row r="5701">
      <c r="A5701" s="17"/>
      <c r="H5701" s="18"/>
      <c r="K5701" s="18" t="s">
        <v>316</v>
      </c>
    </row>
    <row r="5702">
      <c r="A5702" s="17"/>
      <c r="H5702" s="18"/>
      <c r="K5702" s="18" t="s">
        <v>316</v>
      </c>
    </row>
    <row r="5703">
      <c r="A5703" s="17"/>
      <c r="H5703" s="18"/>
      <c r="K5703" s="18" t="s">
        <v>316</v>
      </c>
    </row>
    <row r="5704">
      <c r="A5704" s="17"/>
      <c r="H5704" s="18"/>
      <c r="K5704" s="18" t="s">
        <v>316</v>
      </c>
    </row>
    <row r="5705">
      <c r="A5705" s="17"/>
      <c r="H5705" s="18"/>
      <c r="K5705" s="18" t="s">
        <v>316</v>
      </c>
    </row>
    <row r="5706">
      <c r="A5706" s="17"/>
      <c r="H5706" s="18"/>
      <c r="K5706" s="18" t="s">
        <v>316</v>
      </c>
    </row>
    <row r="5707">
      <c r="A5707" s="17"/>
      <c r="H5707" s="18"/>
      <c r="K5707" s="18" t="s">
        <v>316</v>
      </c>
    </row>
    <row r="5708">
      <c r="A5708" s="17"/>
      <c r="H5708" s="18"/>
      <c r="K5708" s="18" t="s">
        <v>316</v>
      </c>
    </row>
    <row r="5709">
      <c r="A5709" s="17"/>
      <c r="H5709" s="18"/>
      <c r="K5709" s="18" t="s">
        <v>316</v>
      </c>
    </row>
    <row r="5710">
      <c r="A5710" s="17"/>
      <c r="H5710" s="18"/>
      <c r="K5710" s="18" t="s">
        <v>316</v>
      </c>
    </row>
    <row r="5711">
      <c r="A5711" s="17"/>
      <c r="H5711" s="18"/>
      <c r="K5711" s="18" t="s">
        <v>316</v>
      </c>
    </row>
    <row r="5712">
      <c r="A5712" s="17"/>
      <c r="H5712" s="18"/>
      <c r="K5712" s="18" t="s">
        <v>316</v>
      </c>
    </row>
    <row r="5713">
      <c r="A5713" s="17"/>
      <c r="H5713" s="18"/>
      <c r="K5713" s="18" t="s">
        <v>316</v>
      </c>
    </row>
    <row r="5714">
      <c r="A5714" s="17"/>
      <c r="H5714" s="18"/>
      <c r="K5714" s="18" t="s">
        <v>316</v>
      </c>
    </row>
    <row r="5715">
      <c r="A5715" s="17"/>
      <c r="H5715" s="18"/>
      <c r="K5715" s="18" t="s">
        <v>316</v>
      </c>
    </row>
    <row r="5716">
      <c r="A5716" s="17"/>
      <c r="H5716" s="18"/>
      <c r="K5716" s="18" t="s">
        <v>316</v>
      </c>
    </row>
    <row r="5717">
      <c r="A5717" s="17"/>
      <c r="H5717" s="18"/>
      <c r="K5717" s="18" t="s">
        <v>316</v>
      </c>
    </row>
    <row r="5718">
      <c r="A5718" s="17"/>
      <c r="H5718" s="18"/>
      <c r="K5718" s="18" t="s">
        <v>316</v>
      </c>
    </row>
    <row r="5719">
      <c r="A5719" s="17"/>
      <c r="H5719" s="18"/>
      <c r="K5719" s="18" t="s">
        <v>316</v>
      </c>
    </row>
    <row r="5720">
      <c r="A5720" s="17"/>
      <c r="H5720" s="18"/>
      <c r="K5720" s="18" t="s">
        <v>316</v>
      </c>
    </row>
    <row r="5721">
      <c r="A5721" s="17"/>
      <c r="H5721" s="18"/>
      <c r="K5721" s="18" t="s">
        <v>316</v>
      </c>
    </row>
    <row r="5722">
      <c r="A5722" s="17"/>
      <c r="H5722" s="18"/>
      <c r="K5722" s="18" t="s">
        <v>316</v>
      </c>
    </row>
    <row r="5723">
      <c r="A5723" s="17"/>
      <c r="H5723" s="18"/>
      <c r="K5723" s="18" t="s">
        <v>316</v>
      </c>
    </row>
    <row r="5724">
      <c r="A5724" s="17"/>
      <c r="H5724" s="18"/>
      <c r="K5724" s="18" t="s">
        <v>316</v>
      </c>
    </row>
    <row r="5725">
      <c r="A5725" s="17"/>
      <c r="H5725" s="18"/>
      <c r="K5725" s="18" t="s">
        <v>316</v>
      </c>
    </row>
    <row r="5726">
      <c r="A5726" s="17"/>
      <c r="H5726" s="18"/>
      <c r="K5726" s="18" t="s">
        <v>316</v>
      </c>
    </row>
    <row r="5727">
      <c r="A5727" s="17"/>
      <c r="H5727" s="18"/>
      <c r="K5727" s="18" t="s">
        <v>316</v>
      </c>
    </row>
    <row r="5728">
      <c r="A5728" s="17"/>
      <c r="H5728" s="18"/>
      <c r="K5728" s="18" t="s">
        <v>316</v>
      </c>
    </row>
    <row r="5729">
      <c r="A5729" s="17"/>
      <c r="H5729" s="18"/>
      <c r="K5729" s="18" t="s">
        <v>316</v>
      </c>
    </row>
    <row r="5730">
      <c r="A5730" s="17"/>
      <c r="H5730" s="18"/>
      <c r="K5730" s="18" t="s">
        <v>316</v>
      </c>
    </row>
    <row r="5731">
      <c r="A5731" s="17"/>
      <c r="H5731" s="18"/>
      <c r="K5731" s="18" t="s">
        <v>316</v>
      </c>
    </row>
    <row r="5732">
      <c r="A5732" s="17"/>
      <c r="H5732" s="18"/>
      <c r="K5732" s="18" t="s">
        <v>316</v>
      </c>
    </row>
    <row r="5733">
      <c r="A5733" s="17"/>
      <c r="H5733" s="18"/>
      <c r="K5733" s="18" t="s">
        <v>316</v>
      </c>
    </row>
    <row r="5734">
      <c r="A5734" s="17"/>
      <c r="H5734" s="18"/>
      <c r="K5734" s="18" t="s">
        <v>316</v>
      </c>
    </row>
    <row r="5735">
      <c r="A5735" s="17"/>
      <c r="H5735" s="18"/>
      <c r="K5735" s="18" t="s">
        <v>316</v>
      </c>
    </row>
    <row r="5736">
      <c r="A5736" s="17"/>
      <c r="H5736" s="18"/>
      <c r="K5736" s="18" t="s">
        <v>316</v>
      </c>
    </row>
    <row r="5737">
      <c r="A5737" s="17"/>
      <c r="H5737" s="18"/>
      <c r="K5737" s="18" t="s">
        <v>316</v>
      </c>
    </row>
    <row r="5738">
      <c r="A5738" s="17"/>
      <c r="H5738" s="18"/>
      <c r="K5738" s="18" t="s">
        <v>316</v>
      </c>
    </row>
    <row r="5739">
      <c r="A5739" s="17"/>
      <c r="H5739" s="18"/>
      <c r="K5739" s="18" t="s">
        <v>316</v>
      </c>
    </row>
    <row r="5740">
      <c r="A5740" s="17"/>
      <c r="H5740" s="18"/>
      <c r="K5740" s="18" t="s">
        <v>316</v>
      </c>
    </row>
    <row r="5741">
      <c r="A5741" s="17"/>
      <c r="H5741" s="18"/>
      <c r="K5741" s="18" t="s">
        <v>316</v>
      </c>
    </row>
    <row r="5742">
      <c r="A5742" s="17"/>
      <c r="H5742" s="18"/>
      <c r="K5742" s="18" t="s">
        <v>316</v>
      </c>
    </row>
    <row r="5743">
      <c r="A5743" s="17"/>
      <c r="H5743" s="18"/>
      <c r="K5743" s="18" t="s">
        <v>316</v>
      </c>
    </row>
    <row r="5744">
      <c r="A5744" s="17"/>
      <c r="H5744" s="18"/>
      <c r="K5744" s="18" t="s">
        <v>316</v>
      </c>
    </row>
    <row r="5745">
      <c r="A5745" s="17"/>
      <c r="H5745" s="18"/>
      <c r="K5745" s="18" t="s">
        <v>316</v>
      </c>
    </row>
    <row r="5746">
      <c r="A5746" s="17"/>
      <c r="H5746" s="18"/>
      <c r="K5746" s="18" t="s">
        <v>316</v>
      </c>
    </row>
    <row r="5747">
      <c r="A5747" s="17"/>
      <c r="H5747" s="18"/>
      <c r="K5747" s="18" t="s">
        <v>316</v>
      </c>
    </row>
    <row r="5748">
      <c r="A5748" s="17"/>
      <c r="H5748" s="18"/>
      <c r="K5748" s="18" t="s">
        <v>316</v>
      </c>
    </row>
    <row r="5749">
      <c r="A5749" s="17"/>
      <c r="H5749" s="18"/>
      <c r="K5749" s="18" t="s">
        <v>316</v>
      </c>
    </row>
    <row r="5750">
      <c r="A5750" s="17"/>
      <c r="H5750" s="18"/>
      <c r="K5750" s="18" t="s">
        <v>316</v>
      </c>
    </row>
    <row r="5751">
      <c r="A5751" s="17"/>
      <c r="H5751" s="18"/>
      <c r="K5751" s="18" t="s">
        <v>316</v>
      </c>
    </row>
    <row r="5752">
      <c r="A5752" s="17"/>
      <c r="H5752" s="18"/>
      <c r="K5752" s="18" t="s">
        <v>316</v>
      </c>
    </row>
    <row r="5753">
      <c r="A5753" s="17"/>
      <c r="H5753" s="18"/>
      <c r="K5753" s="18" t="s">
        <v>316</v>
      </c>
    </row>
    <row r="5754">
      <c r="A5754" s="17"/>
      <c r="H5754" s="18"/>
      <c r="K5754" s="18" t="s">
        <v>316</v>
      </c>
    </row>
    <row r="5755">
      <c r="A5755" s="17"/>
      <c r="H5755" s="18"/>
      <c r="K5755" s="18" t="s">
        <v>316</v>
      </c>
    </row>
    <row r="5756">
      <c r="A5756" s="17"/>
      <c r="H5756" s="18"/>
      <c r="K5756" s="18" t="s">
        <v>316</v>
      </c>
    </row>
    <row r="5757">
      <c r="A5757" s="17"/>
      <c r="H5757" s="18"/>
      <c r="K5757" s="18" t="s">
        <v>316</v>
      </c>
    </row>
    <row r="5758">
      <c r="A5758" s="17"/>
      <c r="H5758" s="18"/>
      <c r="K5758" s="18" t="s">
        <v>316</v>
      </c>
    </row>
    <row r="5759">
      <c r="A5759" s="17"/>
      <c r="H5759" s="18"/>
      <c r="K5759" s="18" t="s">
        <v>316</v>
      </c>
    </row>
    <row r="5760">
      <c r="A5760" s="17"/>
      <c r="H5760" s="18"/>
      <c r="K5760" s="18" t="s">
        <v>316</v>
      </c>
    </row>
    <row r="5761">
      <c r="A5761" s="17"/>
      <c r="H5761" s="18"/>
      <c r="K5761" s="18" t="s">
        <v>316</v>
      </c>
    </row>
    <row r="5762">
      <c r="A5762" s="17"/>
      <c r="H5762" s="18"/>
      <c r="K5762" s="18" t="s">
        <v>316</v>
      </c>
    </row>
    <row r="5763">
      <c r="A5763" s="17"/>
      <c r="H5763" s="18"/>
      <c r="K5763" s="18" t="s">
        <v>316</v>
      </c>
    </row>
    <row r="5764">
      <c r="A5764" s="17"/>
      <c r="H5764" s="18"/>
      <c r="K5764" s="18" t="s">
        <v>316</v>
      </c>
    </row>
    <row r="5765">
      <c r="A5765" s="17"/>
      <c r="H5765" s="18"/>
      <c r="K5765" s="18" t="s">
        <v>316</v>
      </c>
    </row>
    <row r="5766">
      <c r="A5766" s="17"/>
      <c r="H5766" s="18"/>
      <c r="K5766" s="18" t="s">
        <v>316</v>
      </c>
    </row>
    <row r="5767">
      <c r="A5767" s="17"/>
      <c r="H5767" s="18"/>
      <c r="K5767" s="18" t="s">
        <v>316</v>
      </c>
    </row>
    <row r="5768">
      <c r="A5768" s="17"/>
      <c r="H5768" s="18"/>
      <c r="K5768" s="18" t="s">
        <v>316</v>
      </c>
    </row>
    <row r="5769">
      <c r="A5769" s="17"/>
      <c r="H5769" s="18"/>
      <c r="K5769" s="18" t="s">
        <v>316</v>
      </c>
    </row>
    <row r="5770">
      <c r="A5770" s="17"/>
      <c r="H5770" s="18"/>
      <c r="K5770" s="18" t="s">
        <v>316</v>
      </c>
    </row>
    <row r="5771">
      <c r="A5771" s="17"/>
      <c r="H5771" s="18"/>
      <c r="K5771" s="18" t="s">
        <v>316</v>
      </c>
    </row>
    <row r="5772">
      <c r="A5772" s="17"/>
      <c r="H5772" s="18"/>
      <c r="K5772" s="18" t="s">
        <v>316</v>
      </c>
    </row>
    <row r="5773">
      <c r="A5773" s="17"/>
      <c r="H5773" s="18"/>
      <c r="K5773" s="18" t="s">
        <v>316</v>
      </c>
    </row>
    <row r="5774">
      <c r="A5774" s="17"/>
      <c r="H5774" s="18"/>
      <c r="K5774" s="18" t="s">
        <v>316</v>
      </c>
    </row>
    <row r="5775">
      <c r="A5775" s="17"/>
      <c r="H5775" s="18"/>
      <c r="K5775" s="18" t="s">
        <v>316</v>
      </c>
    </row>
    <row r="5776">
      <c r="A5776" s="17"/>
      <c r="H5776" s="18"/>
      <c r="K5776" s="18" t="s">
        <v>316</v>
      </c>
    </row>
    <row r="5777">
      <c r="A5777" s="17"/>
      <c r="H5777" s="18"/>
      <c r="K5777" s="18" t="s">
        <v>316</v>
      </c>
    </row>
    <row r="5778">
      <c r="A5778" s="17"/>
      <c r="H5778" s="18"/>
      <c r="K5778" s="18" t="s">
        <v>316</v>
      </c>
    </row>
    <row r="5779">
      <c r="A5779" s="17"/>
      <c r="H5779" s="18"/>
      <c r="K5779" s="18" t="s">
        <v>316</v>
      </c>
    </row>
    <row r="5780">
      <c r="A5780" s="17"/>
      <c r="H5780" s="18"/>
      <c r="K5780" s="18" t="s">
        <v>316</v>
      </c>
    </row>
    <row r="5781">
      <c r="A5781" s="17"/>
      <c r="H5781" s="18"/>
      <c r="K5781" s="18" t="s">
        <v>316</v>
      </c>
    </row>
    <row r="5782">
      <c r="A5782" s="17"/>
      <c r="H5782" s="18"/>
      <c r="K5782" s="18" t="s">
        <v>316</v>
      </c>
    </row>
    <row r="5783">
      <c r="A5783" s="17"/>
      <c r="H5783" s="18"/>
      <c r="K5783" s="18" t="s">
        <v>316</v>
      </c>
    </row>
    <row r="5784">
      <c r="A5784" s="17"/>
      <c r="H5784" s="18"/>
      <c r="K5784" s="18" t="s">
        <v>316</v>
      </c>
    </row>
    <row r="5785">
      <c r="A5785" s="17"/>
      <c r="H5785" s="18"/>
      <c r="K5785" s="18" t="s">
        <v>316</v>
      </c>
    </row>
    <row r="5786">
      <c r="A5786" s="17"/>
      <c r="H5786" s="18"/>
      <c r="K5786" s="18" t="s">
        <v>316</v>
      </c>
    </row>
    <row r="5787">
      <c r="A5787" s="17"/>
      <c r="H5787" s="18"/>
      <c r="K5787" s="18" t="s">
        <v>316</v>
      </c>
    </row>
    <row r="5788">
      <c r="A5788" s="17"/>
      <c r="H5788" s="18"/>
      <c r="K5788" s="18" t="s">
        <v>316</v>
      </c>
    </row>
    <row r="5789">
      <c r="A5789" s="17"/>
      <c r="H5789" s="18"/>
      <c r="K5789" s="18" t="s">
        <v>316</v>
      </c>
    </row>
    <row r="5790">
      <c r="A5790" s="17"/>
      <c r="H5790" s="18"/>
      <c r="K5790" s="18" t="s">
        <v>316</v>
      </c>
    </row>
    <row r="5791">
      <c r="A5791" s="17"/>
      <c r="H5791" s="18"/>
      <c r="K5791" s="18" t="s">
        <v>316</v>
      </c>
    </row>
    <row r="5792">
      <c r="A5792" s="17"/>
      <c r="H5792" s="18"/>
      <c r="K5792" s="18" t="s">
        <v>316</v>
      </c>
    </row>
    <row r="5793">
      <c r="A5793" s="17"/>
      <c r="H5793" s="18"/>
      <c r="K5793" s="18" t="s">
        <v>316</v>
      </c>
    </row>
    <row r="5794">
      <c r="A5794" s="17"/>
      <c r="H5794" s="18"/>
      <c r="K5794" s="18" t="s">
        <v>316</v>
      </c>
    </row>
    <row r="5795">
      <c r="A5795" s="17"/>
      <c r="H5795" s="18"/>
      <c r="K5795" s="18" t="s">
        <v>316</v>
      </c>
    </row>
    <row r="5796">
      <c r="A5796" s="17"/>
      <c r="H5796" s="18"/>
      <c r="K5796" s="18" t="s">
        <v>316</v>
      </c>
    </row>
    <row r="5797">
      <c r="A5797" s="17"/>
      <c r="H5797" s="18"/>
      <c r="K5797" s="18" t="s">
        <v>316</v>
      </c>
    </row>
    <row r="5798">
      <c r="A5798" s="17"/>
      <c r="H5798" s="18"/>
      <c r="K5798" s="18" t="s">
        <v>316</v>
      </c>
    </row>
    <row r="5799">
      <c r="A5799" s="17"/>
      <c r="H5799" s="18"/>
      <c r="K5799" s="18" t="s">
        <v>316</v>
      </c>
    </row>
    <row r="5800">
      <c r="A5800" s="17"/>
      <c r="H5800" s="18"/>
      <c r="K5800" s="18" t="s">
        <v>316</v>
      </c>
    </row>
    <row r="5801">
      <c r="A5801" s="17"/>
      <c r="H5801" s="18"/>
      <c r="K5801" s="18" t="s">
        <v>316</v>
      </c>
    </row>
    <row r="5802">
      <c r="A5802" s="17"/>
      <c r="H5802" s="18"/>
      <c r="K5802" s="18" t="s">
        <v>316</v>
      </c>
    </row>
    <row r="5803">
      <c r="A5803" s="17"/>
      <c r="H5803" s="18"/>
      <c r="K5803" s="18" t="s">
        <v>316</v>
      </c>
    </row>
    <row r="5804">
      <c r="A5804" s="17"/>
      <c r="H5804" s="18"/>
      <c r="K5804" s="18" t="s">
        <v>316</v>
      </c>
    </row>
    <row r="5805">
      <c r="A5805" s="17"/>
      <c r="H5805" s="18"/>
      <c r="K5805" s="18" t="s">
        <v>316</v>
      </c>
    </row>
    <row r="5806">
      <c r="A5806" s="17"/>
      <c r="H5806" s="18"/>
      <c r="K5806" s="18" t="s">
        <v>316</v>
      </c>
    </row>
    <row r="5807">
      <c r="A5807" s="17"/>
      <c r="H5807" s="18"/>
      <c r="K5807" s="18" t="s">
        <v>316</v>
      </c>
    </row>
    <row r="5808">
      <c r="A5808" s="17"/>
      <c r="H5808" s="18"/>
      <c r="K5808" s="18" t="s">
        <v>316</v>
      </c>
    </row>
    <row r="5809">
      <c r="A5809" s="17"/>
      <c r="H5809" s="18"/>
      <c r="K5809" s="18" t="s">
        <v>316</v>
      </c>
    </row>
    <row r="5810">
      <c r="A5810" s="17"/>
      <c r="H5810" s="18"/>
      <c r="K5810" s="18" t="s">
        <v>316</v>
      </c>
    </row>
    <row r="5811">
      <c r="A5811" s="17"/>
      <c r="H5811" s="18"/>
      <c r="K5811" s="18" t="s">
        <v>316</v>
      </c>
    </row>
    <row r="5812">
      <c r="A5812" s="17"/>
      <c r="H5812" s="18"/>
      <c r="K5812" s="18" t="s">
        <v>316</v>
      </c>
    </row>
    <row r="5813">
      <c r="A5813" s="17"/>
      <c r="H5813" s="18"/>
      <c r="K5813" s="18" t="s">
        <v>316</v>
      </c>
    </row>
    <row r="5814">
      <c r="A5814" s="17"/>
      <c r="H5814" s="18"/>
      <c r="K5814" s="18" t="s">
        <v>316</v>
      </c>
    </row>
    <row r="5815">
      <c r="A5815" s="17"/>
      <c r="H5815" s="18"/>
      <c r="K5815" s="18" t="s">
        <v>316</v>
      </c>
    </row>
    <row r="5816">
      <c r="A5816" s="17"/>
      <c r="H5816" s="18"/>
      <c r="K5816" s="18" t="s">
        <v>316</v>
      </c>
    </row>
    <row r="5817">
      <c r="A5817" s="17"/>
      <c r="H5817" s="18"/>
      <c r="K5817" s="18" t="s">
        <v>316</v>
      </c>
    </row>
    <row r="5818">
      <c r="A5818" s="17"/>
      <c r="H5818" s="18"/>
      <c r="K5818" s="18" t="s">
        <v>316</v>
      </c>
    </row>
    <row r="5819">
      <c r="A5819" s="17"/>
      <c r="H5819" s="18"/>
      <c r="K5819" s="18" t="s">
        <v>316</v>
      </c>
    </row>
    <row r="5820">
      <c r="A5820" s="17"/>
      <c r="H5820" s="18"/>
      <c r="K5820" s="18" t="s">
        <v>316</v>
      </c>
    </row>
    <row r="5821">
      <c r="A5821" s="17"/>
      <c r="H5821" s="18"/>
      <c r="K5821" s="18" t="s">
        <v>316</v>
      </c>
    </row>
    <row r="5822">
      <c r="A5822" s="17"/>
      <c r="H5822" s="18"/>
      <c r="K5822" s="18" t="s">
        <v>316</v>
      </c>
    </row>
    <row r="5823">
      <c r="A5823" s="17"/>
      <c r="H5823" s="18"/>
      <c r="K5823" s="18" t="s">
        <v>316</v>
      </c>
    </row>
    <row r="5824">
      <c r="A5824" s="17"/>
      <c r="H5824" s="18"/>
      <c r="K5824" s="18" t="s">
        <v>316</v>
      </c>
    </row>
    <row r="5825">
      <c r="A5825" s="17"/>
      <c r="H5825" s="18"/>
      <c r="K5825" s="18" t="s">
        <v>316</v>
      </c>
    </row>
    <row r="5826">
      <c r="A5826" s="17"/>
      <c r="H5826" s="18"/>
      <c r="K5826" s="18" t="s">
        <v>316</v>
      </c>
    </row>
    <row r="5827">
      <c r="A5827" s="17"/>
      <c r="H5827" s="18"/>
      <c r="K5827" s="18" t="s">
        <v>316</v>
      </c>
    </row>
    <row r="5828">
      <c r="A5828" s="17"/>
      <c r="H5828" s="18"/>
      <c r="K5828" s="18" t="s">
        <v>316</v>
      </c>
    </row>
    <row r="5829">
      <c r="A5829" s="17"/>
      <c r="H5829" s="18"/>
      <c r="K5829" s="18" t="s">
        <v>316</v>
      </c>
    </row>
    <row r="5830">
      <c r="A5830" s="17"/>
      <c r="H5830" s="18"/>
      <c r="K5830" s="18" t="s">
        <v>316</v>
      </c>
    </row>
    <row r="5831">
      <c r="A5831" s="17"/>
      <c r="H5831" s="18"/>
      <c r="K5831" s="18" t="s">
        <v>316</v>
      </c>
    </row>
    <row r="5832">
      <c r="A5832" s="17"/>
      <c r="H5832" s="18"/>
      <c r="K5832" s="18" t="s">
        <v>316</v>
      </c>
    </row>
    <row r="5833">
      <c r="A5833" s="17"/>
      <c r="H5833" s="18"/>
      <c r="K5833" s="18" t="s">
        <v>316</v>
      </c>
    </row>
    <row r="5834">
      <c r="A5834" s="17"/>
      <c r="H5834" s="18"/>
      <c r="K5834" s="18" t="s">
        <v>316</v>
      </c>
    </row>
    <row r="5835">
      <c r="A5835" s="17"/>
      <c r="H5835" s="18"/>
      <c r="K5835" s="18" t="s">
        <v>316</v>
      </c>
    </row>
    <row r="5836">
      <c r="A5836" s="17"/>
      <c r="H5836" s="18"/>
      <c r="K5836" s="18" t="s">
        <v>316</v>
      </c>
    </row>
    <row r="5837">
      <c r="A5837" s="17"/>
      <c r="H5837" s="18"/>
      <c r="K5837" s="18" t="s">
        <v>316</v>
      </c>
    </row>
    <row r="5838">
      <c r="A5838" s="17"/>
      <c r="H5838" s="18"/>
      <c r="K5838" s="18" t="s">
        <v>316</v>
      </c>
    </row>
    <row r="5839">
      <c r="A5839" s="17"/>
      <c r="H5839" s="18"/>
      <c r="K5839" s="18" t="s">
        <v>316</v>
      </c>
    </row>
    <row r="5840">
      <c r="A5840" s="17"/>
      <c r="H5840" s="18"/>
      <c r="K5840" s="18" t="s">
        <v>316</v>
      </c>
    </row>
    <row r="5841">
      <c r="A5841" s="17"/>
      <c r="H5841" s="18"/>
      <c r="K5841" s="18" t="s">
        <v>316</v>
      </c>
    </row>
    <row r="5842">
      <c r="A5842" s="17"/>
      <c r="H5842" s="18"/>
      <c r="K5842" s="18" t="s">
        <v>316</v>
      </c>
    </row>
    <row r="5843">
      <c r="A5843" s="17"/>
      <c r="H5843" s="18"/>
      <c r="K5843" s="18" t="s">
        <v>316</v>
      </c>
    </row>
    <row r="5844">
      <c r="A5844" s="17"/>
      <c r="H5844" s="18"/>
      <c r="K5844" s="18" t="s">
        <v>316</v>
      </c>
    </row>
    <row r="5845">
      <c r="A5845" s="17"/>
      <c r="H5845" s="18"/>
      <c r="K5845" s="18" t="s">
        <v>316</v>
      </c>
    </row>
    <row r="5846">
      <c r="A5846" s="17"/>
      <c r="H5846" s="18"/>
      <c r="K5846" s="18" t="s">
        <v>316</v>
      </c>
    </row>
    <row r="5847">
      <c r="A5847" s="17"/>
      <c r="H5847" s="18"/>
      <c r="K5847" s="18" t="s">
        <v>316</v>
      </c>
    </row>
    <row r="5848">
      <c r="A5848" s="17"/>
      <c r="H5848" s="18"/>
      <c r="K5848" s="18" t="s">
        <v>316</v>
      </c>
    </row>
    <row r="5849">
      <c r="A5849" s="17"/>
      <c r="H5849" s="18"/>
      <c r="K5849" s="18" t="s">
        <v>316</v>
      </c>
    </row>
    <row r="5850">
      <c r="A5850" s="17"/>
      <c r="H5850" s="18"/>
      <c r="K5850" s="18" t="s">
        <v>316</v>
      </c>
    </row>
    <row r="5851">
      <c r="A5851" s="17"/>
      <c r="H5851" s="18"/>
      <c r="K5851" s="18" t="s">
        <v>316</v>
      </c>
    </row>
    <row r="5852">
      <c r="A5852" s="17"/>
      <c r="H5852" s="18"/>
      <c r="K5852" s="18" t="s">
        <v>316</v>
      </c>
    </row>
    <row r="5853">
      <c r="A5853" s="17"/>
      <c r="H5853" s="18"/>
      <c r="K5853" s="18" t="s">
        <v>316</v>
      </c>
    </row>
    <row r="5854">
      <c r="A5854" s="17"/>
      <c r="H5854" s="18"/>
      <c r="K5854" s="18" t="s">
        <v>316</v>
      </c>
    </row>
    <row r="5855">
      <c r="A5855" s="17"/>
      <c r="H5855" s="18"/>
      <c r="K5855" s="18" t="s">
        <v>316</v>
      </c>
    </row>
    <row r="5856">
      <c r="A5856" s="17"/>
      <c r="H5856" s="18"/>
      <c r="K5856" s="18" t="s">
        <v>316</v>
      </c>
    </row>
    <row r="5857">
      <c r="A5857" s="17"/>
      <c r="H5857" s="18"/>
      <c r="K5857" s="18" t="s">
        <v>316</v>
      </c>
    </row>
    <row r="5858">
      <c r="A5858" s="17"/>
      <c r="H5858" s="18"/>
      <c r="K5858" s="18" t="s">
        <v>316</v>
      </c>
    </row>
    <row r="5859">
      <c r="A5859" s="17"/>
      <c r="H5859" s="18"/>
      <c r="K5859" s="18" t="s">
        <v>316</v>
      </c>
    </row>
    <row r="5860">
      <c r="A5860" s="17"/>
      <c r="H5860" s="18"/>
      <c r="K5860" s="18" t="s">
        <v>316</v>
      </c>
    </row>
    <row r="5861">
      <c r="A5861" s="17"/>
      <c r="H5861" s="18"/>
      <c r="K5861" s="18" t="s">
        <v>316</v>
      </c>
    </row>
    <row r="5862">
      <c r="A5862" s="17"/>
      <c r="H5862" s="18"/>
      <c r="K5862" s="18" t="s">
        <v>316</v>
      </c>
    </row>
    <row r="5863">
      <c r="A5863" s="17"/>
      <c r="H5863" s="18"/>
      <c r="K5863" s="18" t="s">
        <v>316</v>
      </c>
    </row>
    <row r="5864">
      <c r="A5864" s="17"/>
      <c r="H5864" s="18"/>
      <c r="K5864" s="18" t="s">
        <v>316</v>
      </c>
    </row>
    <row r="5865">
      <c r="A5865" s="17"/>
      <c r="H5865" s="18"/>
      <c r="K5865" s="18" t="s">
        <v>316</v>
      </c>
    </row>
    <row r="5866">
      <c r="A5866" s="17"/>
      <c r="H5866" s="18"/>
      <c r="K5866" s="18" t="s">
        <v>316</v>
      </c>
    </row>
    <row r="5867">
      <c r="A5867" s="17"/>
      <c r="H5867" s="18"/>
      <c r="K5867" s="18" t="s">
        <v>316</v>
      </c>
    </row>
    <row r="5868">
      <c r="A5868" s="17"/>
      <c r="H5868" s="18"/>
      <c r="K5868" s="18" t="s">
        <v>316</v>
      </c>
    </row>
    <row r="5869">
      <c r="A5869" s="17"/>
      <c r="H5869" s="18"/>
      <c r="K5869" s="18" t="s">
        <v>316</v>
      </c>
    </row>
    <row r="5870">
      <c r="A5870" s="17"/>
      <c r="H5870" s="18"/>
      <c r="K5870" s="18" t="s">
        <v>316</v>
      </c>
    </row>
    <row r="5871">
      <c r="A5871" s="17"/>
      <c r="H5871" s="18"/>
      <c r="K5871" s="18" t="s">
        <v>316</v>
      </c>
    </row>
    <row r="5872">
      <c r="A5872" s="17"/>
      <c r="H5872" s="18"/>
      <c r="K5872" s="18" t="s">
        <v>316</v>
      </c>
    </row>
    <row r="5873">
      <c r="A5873" s="17"/>
      <c r="H5873" s="18"/>
      <c r="K5873" s="18" t="s">
        <v>316</v>
      </c>
    </row>
    <row r="5874">
      <c r="A5874" s="17"/>
      <c r="H5874" s="18"/>
      <c r="K5874" s="18" t="s">
        <v>316</v>
      </c>
    </row>
    <row r="5875">
      <c r="A5875" s="17"/>
      <c r="H5875" s="18"/>
      <c r="K5875" s="18" t="s">
        <v>316</v>
      </c>
    </row>
    <row r="5876">
      <c r="A5876" s="17"/>
      <c r="H5876" s="18"/>
      <c r="K5876" s="18" t="s">
        <v>316</v>
      </c>
    </row>
    <row r="5877">
      <c r="A5877" s="17"/>
      <c r="H5877" s="18"/>
      <c r="K5877" s="18" t="s">
        <v>316</v>
      </c>
    </row>
    <row r="5878">
      <c r="A5878" s="17"/>
      <c r="H5878" s="18"/>
      <c r="K5878" s="18" t="s">
        <v>316</v>
      </c>
    </row>
    <row r="5879">
      <c r="A5879" s="17"/>
      <c r="H5879" s="18"/>
      <c r="K5879" s="18" t="s">
        <v>316</v>
      </c>
    </row>
    <row r="5880">
      <c r="A5880" s="17"/>
      <c r="H5880" s="18"/>
      <c r="K5880" s="18" t="s">
        <v>316</v>
      </c>
    </row>
    <row r="5881">
      <c r="A5881" s="17"/>
      <c r="H5881" s="18"/>
      <c r="K5881" s="18" t="s">
        <v>316</v>
      </c>
    </row>
    <row r="5882">
      <c r="A5882" s="17"/>
      <c r="H5882" s="18"/>
      <c r="K5882" s="18" t="s">
        <v>316</v>
      </c>
    </row>
    <row r="5883">
      <c r="A5883" s="17"/>
      <c r="H5883" s="18"/>
      <c r="K5883" s="18" t="s">
        <v>316</v>
      </c>
    </row>
    <row r="5884">
      <c r="A5884" s="17"/>
      <c r="H5884" s="18"/>
      <c r="K5884" s="18" t="s">
        <v>316</v>
      </c>
    </row>
    <row r="5885">
      <c r="A5885" s="17"/>
      <c r="H5885" s="18"/>
      <c r="K5885" s="18" t="s">
        <v>316</v>
      </c>
    </row>
    <row r="5886">
      <c r="A5886" s="17"/>
      <c r="H5886" s="18"/>
      <c r="K5886" s="18" t="s">
        <v>316</v>
      </c>
    </row>
    <row r="5887">
      <c r="A5887" s="17"/>
      <c r="H5887" s="18"/>
      <c r="K5887" s="18" t="s">
        <v>316</v>
      </c>
    </row>
    <row r="5888">
      <c r="A5888" s="17"/>
      <c r="H5888" s="18"/>
      <c r="K5888" s="18" t="s">
        <v>316</v>
      </c>
    </row>
    <row r="5889">
      <c r="A5889" s="17"/>
      <c r="H5889" s="18"/>
      <c r="K5889" s="18" t="s">
        <v>316</v>
      </c>
    </row>
    <row r="5890">
      <c r="A5890" s="17"/>
      <c r="H5890" s="18"/>
      <c r="K5890" s="18" t="s">
        <v>316</v>
      </c>
    </row>
    <row r="5891">
      <c r="A5891" s="17"/>
      <c r="H5891" s="18"/>
      <c r="K5891" s="18" t="s">
        <v>316</v>
      </c>
    </row>
    <row r="5892">
      <c r="A5892" s="17"/>
      <c r="H5892" s="18"/>
      <c r="K5892" s="18" t="s">
        <v>316</v>
      </c>
    </row>
    <row r="5893">
      <c r="A5893" s="17"/>
      <c r="H5893" s="18"/>
      <c r="K5893" s="18" t="s">
        <v>316</v>
      </c>
    </row>
    <row r="5894">
      <c r="A5894" s="17"/>
      <c r="H5894" s="18"/>
      <c r="K5894" s="18" t="s">
        <v>316</v>
      </c>
    </row>
    <row r="5895">
      <c r="A5895" s="17"/>
      <c r="H5895" s="18"/>
      <c r="K5895" s="18" t="s">
        <v>316</v>
      </c>
    </row>
    <row r="5896">
      <c r="A5896" s="17"/>
      <c r="H5896" s="18"/>
      <c r="K5896" s="18" t="s">
        <v>316</v>
      </c>
    </row>
    <row r="5897">
      <c r="A5897" s="17"/>
      <c r="H5897" s="18"/>
      <c r="K5897" s="18" t="s">
        <v>316</v>
      </c>
    </row>
    <row r="5898">
      <c r="A5898" s="17"/>
      <c r="H5898" s="18"/>
      <c r="K5898" s="18" t="s">
        <v>316</v>
      </c>
    </row>
    <row r="5899">
      <c r="A5899" s="17"/>
      <c r="H5899" s="18"/>
      <c r="K5899" s="18" t="s">
        <v>316</v>
      </c>
    </row>
    <row r="5900">
      <c r="A5900" s="17"/>
      <c r="H5900" s="18"/>
      <c r="K5900" s="18" t="s">
        <v>316</v>
      </c>
    </row>
    <row r="5901">
      <c r="A5901" s="17"/>
      <c r="H5901" s="18"/>
      <c r="K5901" s="18" t="s">
        <v>316</v>
      </c>
    </row>
    <row r="5902">
      <c r="A5902" s="17"/>
      <c r="H5902" s="18"/>
      <c r="K5902" s="18" t="s">
        <v>316</v>
      </c>
    </row>
    <row r="5903">
      <c r="A5903" s="17"/>
      <c r="H5903" s="18"/>
      <c r="K5903" s="18" t="s">
        <v>316</v>
      </c>
    </row>
    <row r="5904">
      <c r="A5904" s="17"/>
      <c r="H5904" s="18"/>
      <c r="K5904" s="18" t="s">
        <v>316</v>
      </c>
    </row>
    <row r="5905">
      <c r="A5905" s="17"/>
      <c r="H5905" s="18"/>
      <c r="K5905" s="18" t="s">
        <v>316</v>
      </c>
    </row>
    <row r="5906">
      <c r="A5906" s="17"/>
      <c r="H5906" s="18"/>
      <c r="K5906" s="18" t="s">
        <v>316</v>
      </c>
    </row>
    <row r="5907">
      <c r="A5907" s="17"/>
      <c r="H5907" s="18"/>
      <c r="K5907" s="18" t="s">
        <v>316</v>
      </c>
    </row>
    <row r="5908">
      <c r="A5908" s="17"/>
      <c r="H5908" s="18"/>
      <c r="K5908" s="18" t="s">
        <v>316</v>
      </c>
    </row>
    <row r="5909">
      <c r="A5909" s="17"/>
      <c r="H5909" s="18"/>
      <c r="K5909" s="18" t="s">
        <v>316</v>
      </c>
    </row>
    <row r="5910">
      <c r="A5910" s="17"/>
      <c r="H5910" s="18"/>
      <c r="K5910" s="18" t="s">
        <v>316</v>
      </c>
    </row>
    <row r="5911">
      <c r="A5911" s="17"/>
      <c r="H5911" s="18"/>
      <c r="K5911" s="18" t="s">
        <v>316</v>
      </c>
    </row>
    <row r="5912">
      <c r="A5912" s="17"/>
      <c r="H5912" s="18"/>
      <c r="K5912" s="18" t="s">
        <v>316</v>
      </c>
    </row>
    <row r="5913">
      <c r="A5913" s="17"/>
      <c r="H5913" s="18"/>
      <c r="K5913" s="18" t="s">
        <v>316</v>
      </c>
    </row>
    <row r="5914">
      <c r="A5914" s="17"/>
      <c r="H5914" s="18"/>
      <c r="K5914" s="18" t="s">
        <v>316</v>
      </c>
    </row>
    <row r="5915">
      <c r="A5915" s="17"/>
      <c r="H5915" s="18"/>
      <c r="K5915" s="18" t="s">
        <v>316</v>
      </c>
    </row>
    <row r="5916">
      <c r="A5916" s="17"/>
      <c r="H5916" s="18"/>
      <c r="K5916" s="18" t="s">
        <v>316</v>
      </c>
    </row>
    <row r="5917">
      <c r="A5917" s="17"/>
      <c r="H5917" s="18"/>
      <c r="K5917" s="18" t="s">
        <v>316</v>
      </c>
    </row>
    <row r="5918">
      <c r="A5918" s="17"/>
      <c r="H5918" s="18"/>
      <c r="K5918" s="18" t="s">
        <v>316</v>
      </c>
    </row>
    <row r="5919">
      <c r="A5919" s="17"/>
      <c r="H5919" s="18"/>
      <c r="K5919" s="18" t="s">
        <v>316</v>
      </c>
    </row>
    <row r="5920">
      <c r="A5920" s="17"/>
      <c r="H5920" s="18"/>
      <c r="K5920" s="18" t="s">
        <v>316</v>
      </c>
    </row>
    <row r="5921">
      <c r="A5921" s="17"/>
      <c r="H5921" s="18"/>
      <c r="K5921" s="18" t="s">
        <v>316</v>
      </c>
    </row>
    <row r="5922">
      <c r="A5922" s="17"/>
      <c r="H5922" s="18"/>
      <c r="K5922" s="18" t="s">
        <v>316</v>
      </c>
    </row>
    <row r="5923">
      <c r="A5923" s="17"/>
      <c r="H5923" s="18"/>
      <c r="K5923" s="18" t="s">
        <v>316</v>
      </c>
    </row>
    <row r="5924">
      <c r="A5924" s="17"/>
      <c r="H5924" s="18"/>
      <c r="K5924" s="18" t="s">
        <v>316</v>
      </c>
    </row>
    <row r="5925">
      <c r="A5925" s="17"/>
      <c r="H5925" s="18"/>
      <c r="K5925" s="18" t="s">
        <v>316</v>
      </c>
    </row>
    <row r="5926">
      <c r="A5926" s="17"/>
      <c r="H5926" s="18"/>
      <c r="K5926" s="18" t="s">
        <v>316</v>
      </c>
    </row>
    <row r="5927">
      <c r="A5927" s="17"/>
      <c r="H5927" s="18"/>
      <c r="K5927" s="18" t="s">
        <v>316</v>
      </c>
    </row>
    <row r="5928">
      <c r="A5928" s="17"/>
      <c r="H5928" s="18"/>
      <c r="K5928" s="18" t="s">
        <v>316</v>
      </c>
    </row>
    <row r="5929">
      <c r="A5929" s="17"/>
      <c r="H5929" s="18"/>
      <c r="K5929" s="18" t="s">
        <v>316</v>
      </c>
    </row>
    <row r="5930">
      <c r="A5930" s="17"/>
      <c r="H5930" s="18"/>
      <c r="K5930" s="18" t="s">
        <v>316</v>
      </c>
    </row>
    <row r="5931">
      <c r="A5931" s="17"/>
      <c r="H5931" s="18"/>
      <c r="K5931" s="18" t="s">
        <v>316</v>
      </c>
    </row>
    <row r="5932">
      <c r="A5932" s="17"/>
      <c r="H5932" s="18"/>
      <c r="K5932" s="18" t="s">
        <v>316</v>
      </c>
    </row>
    <row r="5933">
      <c r="A5933" s="17"/>
      <c r="H5933" s="18"/>
      <c r="K5933" s="18" t="s">
        <v>316</v>
      </c>
    </row>
    <row r="5934">
      <c r="A5934" s="17"/>
      <c r="H5934" s="18"/>
      <c r="K5934" s="18" t="s">
        <v>316</v>
      </c>
    </row>
    <row r="5935">
      <c r="A5935" s="17"/>
      <c r="H5935" s="18"/>
      <c r="K5935" s="18" t="s">
        <v>316</v>
      </c>
    </row>
    <row r="5936">
      <c r="A5936" s="17"/>
      <c r="H5936" s="18"/>
      <c r="K5936" s="18" t="s">
        <v>316</v>
      </c>
    </row>
    <row r="5937">
      <c r="A5937" s="17"/>
      <c r="H5937" s="18"/>
      <c r="K5937" s="18" t="s">
        <v>316</v>
      </c>
    </row>
    <row r="5938">
      <c r="A5938" s="17"/>
      <c r="H5938" s="18"/>
      <c r="K5938" s="18" t="s">
        <v>316</v>
      </c>
    </row>
    <row r="5939">
      <c r="A5939" s="17"/>
      <c r="H5939" s="18"/>
      <c r="K5939" s="18" t="s">
        <v>316</v>
      </c>
    </row>
    <row r="5940">
      <c r="A5940" s="17"/>
      <c r="H5940" s="18"/>
      <c r="K5940" s="18" t="s">
        <v>316</v>
      </c>
    </row>
    <row r="5941">
      <c r="A5941" s="17"/>
      <c r="H5941" s="18"/>
      <c r="K5941" s="18" t="s">
        <v>316</v>
      </c>
    </row>
    <row r="5942">
      <c r="A5942" s="17"/>
      <c r="H5942" s="18"/>
      <c r="K5942" s="18" t="s">
        <v>316</v>
      </c>
    </row>
    <row r="5943">
      <c r="A5943" s="17"/>
      <c r="H5943" s="18"/>
      <c r="K5943" s="18" t="s">
        <v>316</v>
      </c>
    </row>
    <row r="5944">
      <c r="A5944" s="17"/>
      <c r="H5944" s="18"/>
      <c r="K5944" s="18" t="s">
        <v>316</v>
      </c>
    </row>
    <row r="5945">
      <c r="A5945" s="17"/>
      <c r="H5945" s="18"/>
      <c r="K5945" s="18" t="s">
        <v>316</v>
      </c>
    </row>
    <row r="5946">
      <c r="A5946" s="17"/>
      <c r="H5946" s="18"/>
      <c r="K5946" s="18" t="s">
        <v>316</v>
      </c>
    </row>
    <row r="5947">
      <c r="A5947" s="17"/>
      <c r="H5947" s="18"/>
      <c r="K5947" s="18" t="s">
        <v>316</v>
      </c>
    </row>
    <row r="5948">
      <c r="A5948" s="17"/>
      <c r="H5948" s="18"/>
      <c r="K5948" s="18" t="s">
        <v>316</v>
      </c>
    </row>
    <row r="5949">
      <c r="A5949" s="17"/>
      <c r="H5949" s="18"/>
      <c r="K5949" s="18" t="s">
        <v>316</v>
      </c>
    </row>
    <row r="5950">
      <c r="A5950" s="17"/>
      <c r="H5950" s="18"/>
      <c r="K5950" s="18" t="s">
        <v>316</v>
      </c>
    </row>
    <row r="5951">
      <c r="A5951" s="17"/>
      <c r="H5951" s="18"/>
      <c r="K5951" s="18" t="s">
        <v>316</v>
      </c>
    </row>
    <row r="5952">
      <c r="A5952" s="17"/>
      <c r="H5952" s="18"/>
      <c r="K5952" s="18" t="s">
        <v>316</v>
      </c>
    </row>
    <row r="5953">
      <c r="A5953" s="17"/>
      <c r="H5953" s="18"/>
      <c r="K5953" s="18" t="s">
        <v>316</v>
      </c>
    </row>
    <row r="5954">
      <c r="A5954" s="17"/>
      <c r="H5954" s="18"/>
      <c r="K5954" s="18" t="s">
        <v>316</v>
      </c>
    </row>
    <row r="5955">
      <c r="A5955" s="17"/>
      <c r="H5955" s="18"/>
      <c r="K5955" s="18" t="s">
        <v>316</v>
      </c>
    </row>
    <row r="5956">
      <c r="A5956" s="17"/>
      <c r="H5956" s="18"/>
      <c r="K5956" s="18" t="s">
        <v>316</v>
      </c>
    </row>
    <row r="5957">
      <c r="A5957" s="17"/>
      <c r="H5957" s="18"/>
      <c r="K5957" s="18" t="s">
        <v>316</v>
      </c>
    </row>
    <row r="5958">
      <c r="A5958" s="17"/>
      <c r="H5958" s="18"/>
      <c r="K5958" s="18" t="s">
        <v>316</v>
      </c>
    </row>
    <row r="5959">
      <c r="A5959" s="17"/>
      <c r="H5959" s="18"/>
      <c r="K5959" s="18" t="s">
        <v>316</v>
      </c>
    </row>
    <row r="5960">
      <c r="A5960" s="17"/>
      <c r="H5960" s="18"/>
      <c r="K5960" s="18" t="s">
        <v>316</v>
      </c>
    </row>
    <row r="5961">
      <c r="A5961" s="17"/>
      <c r="H5961" s="18"/>
      <c r="K5961" s="18" t="s">
        <v>316</v>
      </c>
    </row>
    <row r="5962">
      <c r="A5962" s="17"/>
      <c r="H5962" s="18"/>
      <c r="K5962" s="18" t="s">
        <v>316</v>
      </c>
    </row>
    <row r="5963">
      <c r="A5963" s="17"/>
      <c r="H5963" s="18"/>
      <c r="K5963" s="18" t="s">
        <v>316</v>
      </c>
    </row>
    <row r="5964">
      <c r="A5964" s="17"/>
      <c r="H5964" s="18"/>
      <c r="K5964" s="18" t="s">
        <v>316</v>
      </c>
    </row>
    <row r="5965">
      <c r="A5965" s="17"/>
      <c r="H5965" s="18"/>
      <c r="K5965" s="18" t="s">
        <v>316</v>
      </c>
    </row>
    <row r="5966">
      <c r="A5966" s="17"/>
      <c r="H5966" s="18"/>
      <c r="K5966" s="18" t="s">
        <v>316</v>
      </c>
    </row>
    <row r="5967">
      <c r="A5967" s="17"/>
      <c r="H5967" s="18"/>
      <c r="K5967" s="18" t="s">
        <v>316</v>
      </c>
    </row>
    <row r="5968">
      <c r="A5968" s="17"/>
      <c r="H5968" s="18"/>
      <c r="K5968" s="18" t="s">
        <v>316</v>
      </c>
    </row>
    <row r="5969">
      <c r="A5969" s="17"/>
      <c r="H5969" s="18"/>
      <c r="K5969" s="18" t="s">
        <v>316</v>
      </c>
    </row>
    <row r="5970">
      <c r="A5970" s="17"/>
      <c r="H5970" s="18"/>
      <c r="K5970" s="18" t="s">
        <v>316</v>
      </c>
    </row>
    <row r="5971">
      <c r="A5971" s="17"/>
      <c r="H5971" s="18"/>
      <c r="K5971" s="18" t="s">
        <v>316</v>
      </c>
    </row>
    <row r="5972">
      <c r="A5972" s="17"/>
      <c r="H5972" s="18"/>
      <c r="K5972" s="18" t="s">
        <v>316</v>
      </c>
    </row>
    <row r="5973">
      <c r="A5973" s="17"/>
      <c r="H5973" s="18"/>
      <c r="K5973" s="18" t="s">
        <v>316</v>
      </c>
    </row>
    <row r="5974">
      <c r="A5974" s="17"/>
      <c r="H5974" s="18"/>
      <c r="K5974" s="18" t="s">
        <v>316</v>
      </c>
    </row>
    <row r="5975">
      <c r="A5975" s="17"/>
      <c r="H5975" s="18"/>
      <c r="K5975" s="18" t="s">
        <v>316</v>
      </c>
    </row>
    <row r="5976">
      <c r="A5976" s="17"/>
      <c r="H5976" s="18"/>
      <c r="K5976" s="18" t="s">
        <v>316</v>
      </c>
    </row>
    <row r="5977">
      <c r="A5977" s="17"/>
      <c r="H5977" s="18"/>
      <c r="K5977" s="18" t="s">
        <v>316</v>
      </c>
    </row>
    <row r="5978">
      <c r="A5978" s="17"/>
      <c r="H5978" s="18"/>
      <c r="K5978" s="18" t="s">
        <v>316</v>
      </c>
    </row>
    <row r="5979">
      <c r="A5979" s="17"/>
      <c r="H5979" s="18"/>
      <c r="K5979" s="18" t="s">
        <v>316</v>
      </c>
    </row>
    <row r="5980">
      <c r="A5980" s="17"/>
      <c r="H5980" s="18"/>
      <c r="K5980" s="18" t="s">
        <v>316</v>
      </c>
    </row>
    <row r="5981">
      <c r="A5981" s="17"/>
      <c r="H5981" s="18"/>
      <c r="K5981" s="18" t="s">
        <v>316</v>
      </c>
    </row>
    <row r="5982">
      <c r="A5982" s="17"/>
      <c r="H5982" s="18"/>
      <c r="K5982" s="18" t="s">
        <v>316</v>
      </c>
    </row>
    <row r="5983">
      <c r="A5983" s="17"/>
      <c r="H5983" s="18"/>
      <c r="K5983" s="18" t="s">
        <v>316</v>
      </c>
    </row>
    <row r="5984">
      <c r="A5984" s="17"/>
      <c r="H5984" s="18"/>
      <c r="K5984" s="18" t="s">
        <v>316</v>
      </c>
    </row>
    <row r="5985">
      <c r="A5985" s="17"/>
      <c r="H5985" s="18"/>
      <c r="K5985" s="18" t="s">
        <v>316</v>
      </c>
    </row>
    <row r="5986">
      <c r="A5986" s="17"/>
      <c r="H5986" s="18"/>
      <c r="K5986" s="18" t="s">
        <v>316</v>
      </c>
    </row>
    <row r="5987">
      <c r="A5987" s="17"/>
      <c r="H5987" s="18"/>
      <c r="K5987" s="18" t="s">
        <v>316</v>
      </c>
    </row>
    <row r="5988">
      <c r="A5988" s="17"/>
      <c r="H5988" s="18"/>
      <c r="K5988" s="18" t="s">
        <v>316</v>
      </c>
    </row>
    <row r="5989">
      <c r="A5989" s="17"/>
      <c r="H5989" s="18"/>
      <c r="K5989" s="18" t="s">
        <v>316</v>
      </c>
    </row>
    <row r="5990">
      <c r="A5990" s="17"/>
      <c r="H5990" s="18"/>
      <c r="K5990" s="18" t="s">
        <v>316</v>
      </c>
    </row>
    <row r="5991">
      <c r="A5991" s="17"/>
      <c r="H5991" s="18"/>
      <c r="K5991" s="18" t="s">
        <v>316</v>
      </c>
    </row>
    <row r="5992">
      <c r="A5992" s="17"/>
      <c r="H5992" s="18"/>
      <c r="K5992" s="18" t="s">
        <v>316</v>
      </c>
    </row>
    <row r="5993">
      <c r="A5993" s="17"/>
      <c r="H5993" s="18"/>
      <c r="K5993" s="18" t="s">
        <v>316</v>
      </c>
    </row>
    <row r="5994">
      <c r="A5994" s="17"/>
      <c r="H5994" s="18"/>
      <c r="K5994" s="18" t="s">
        <v>316</v>
      </c>
    </row>
    <row r="5995">
      <c r="A5995" s="17"/>
      <c r="H5995" s="18"/>
      <c r="K5995" s="18" t="s">
        <v>316</v>
      </c>
    </row>
    <row r="5996">
      <c r="A5996" s="17"/>
      <c r="H5996" s="18"/>
      <c r="K5996" s="18" t="s">
        <v>316</v>
      </c>
    </row>
    <row r="5997">
      <c r="A5997" s="17"/>
      <c r="H5997" s="18"/>
      <c r="K5997" s="18" t="s">
        <v>316</v>
      </c>
    </row>
    <row r="5998">
      <c r="A5998" s="17"/>
      <c r="H5998" s="18"/>
      <c r="K5998" s="18" t="s">
        <v>316</v>
      </c>
    </row>
    <row r="5999">
      <c r="A5999" s="17"/>
      <c r="H5999" s="18"/>
      <c r="K5999" s="18" t="s">
        <v>316</v>
      </c>
    </row>
    <row r="6000">
      <c r="A6000" s="17"/>
      <c r="H6000" s="18"/>
      <c r="K6000" s="18" t="s">
        <v>316</v>
      </c>
    </row>
    <row r="6001">
      <c r="A6001" s="17"/>
      <c r="H6001" s="18"/>
      <c r="K6001" s="18" t="s">
        <v>316</v>
      </c>
    </row>
    <row r="6002">
      <c r="A6002" s="17"/>
      <c r="H6002" s="18"/>
      <c r="K6002" s="18" t="s">
        <v>316</v>
      </c>
    </row>
    <row r="6003">
      <c r="A6003" s="17"/>
      <c r="H6003" s="18"/>
      <c r="K6003" s="18" t="s">
        <v>316</v>
      </c>
    </row>
    <row r="6004">
      <c r="A6004" s="17"/>
      <c r="H6004" s="18"/>
      <c r="K6004" s="18" t="s">
        <v>316</v>
      </c>
    </row>
    <row r="6005">
      <c r="A6005" s="17"/>
      <c r="H6005" s="18"/>
      <c r="K6005" s="18" t="s">
        <v>316</v>
      </c>
    </row>
    <row r="6006">
      <c r="A6006" s="17"/>
      <c r="H6006" s="18"/>
      <c r="K6006" s="18" t="s">
        <v>316</v>
      </c>
    </row>
    <row r="6007">
      <c r="A6007" s="17"/>
      <c r="H6007" s="18"/>
      <c r="K6007" s="18" t="s">
        <v>316</v>
      </c>
    </row>
    <row r="6008">
      <c r="A6008" s="17"/>
      <c r="H6008" s="18"/>
      <c r="K6008" s="18" t="s">
        <v>316</v>
      </c>
    </row>
    <row r="6009">
      <c r="A6009" s="17"/>
      <c r="H6009" s="18"/>
      <c r="K6009" s="18" t="s">
        <v>316</v>
      </c>
    </row>
    <row r="6010">
      <c r="A6010" s="17"/>
      <c r="H6010" s="18"/>
      <c r="K6010" s="18" t="s">
        <v>316</v>
      </c>
    </row>
    <row r="6011">
      <c r="A6011" s="17"/>
      <c r="H6011" s="18"/>
      <c r="K6011" s="18" t="s">
        <v>316</v>
      </c>
    </row>
    <row r="6012">
      <c r="A6012" s="17"/>
      <c r="H6012" s="18"/>
      <c r="K6012" s="18" t="s">
        <v>316</v>
      </c>
    </row>
    <row r="6013">
      <c r="A6013" s="17"/>
      <c r="H6013" s="18"/>
      <c r="K6013" s="18" t="s">
        <v>316</v>
      </c>
    </row>
    <row r="6014">
      <c r="A6014" s="17"/>
      <c r="H6014" s="18"/>
      <c r="K6014" s="18" t="s">
        <v>316</v>
      </c>
    </row>
    <row r="6015">
      <c r="A6015" s="17"/>
      <c r="H6015" s="18"/>
      <c r="K6015" s="18" t="s">
        <v>316</v>
      </c>
    </row>
    <row r="6016">
      <c r="A6016" s="17"/>
      <c r="H6016" s="18"/>
      <c r="K6016" s="18" t="s">
        <v>316</v>
      </c>
    </row>
    <row r="6017">
      <c r="A6017" s="17"/>
      <c r="H6017" s="18"/>
      <c r="K6017" s="18" t="s">
        <v>316</v>
      </c>
    </row>
    <row r="6018">
      <c r="A6018" s="17"/>
      <c r="H6018" s="18"/>
      <c r="K6018" s="18" t="s">
        <v>316</v>
      </c>
    </row>
    <row r="6019">
      <c r="A6019" s="17"/>
      <c r="H6019" s="18"/>
      <c r="K6019" s="18" t="s">
        <v>316</v>
      </c>
    </row>
    <row r="6020">
      <c r="A6020" s="17"/>
      <c r="H6020" s="18"/>
      <c r="K6020" s="18" t="s">
        <v>316</v>
      </c>
    </row>
    <row r="6021">
      <c r="A6021" s="17"/>
      <c r="H6021" s="18"/>
      <c r="K6021" s="18" t="s">
        <v>316</v>
      </c>
    </row>
    <row r="6022">
      <c r="A6022" s="17"/>
      <c r="H6022" s="18"/>
      <c r="K6022" s="18" t="s">
        <v>316</v>
      </c>
    </row>
    <row r="6023">
      <c r="A6023" s="17"/>
      <c r="H6023" s="18"/>
      <c r="K6023" s="18" t="s">
        <v>316</v>
      </c>
    </row>
    <row r="6024">
      <c r="A6024" s="17"/>
      <c r="H6024" s="18"/>
      <c r="K6024" s="18" t="s">
        <v>316</v>
      </c>
    </row>
    <row r="6025">
      <c r="A6025" s="17"/>
      <c r="H6025" s="18"/>
      <c r="K6025" s="18" t="s">
        <v>316</v>
      </c>
    </row>
    <row r="6026">
      <c r="A6026" s="17"/>
      <c r="H6026" s="18"/>
      <c r="K6026" s="18" t="s">
        <v>316</v>
      </c>
    </row>
    <row r="6027">
      <c r="A6027" s="17"/>
      <c r="H6027" s="18"/>
      <c r="K6027" s="18" t="s">
        <v>316</v>
      </c>
    </row>
    <row r="6028">
      <c r="A6028" s="17"/>
      <c r="H6028" s="18"/>
      <c r="K6028" s="18" t="s">
        <v>316</v>
      </c>
    </row>
    <row r="6029">
      <c r="A6029" s="17"/>
      <c r="H6029" s="18"/>
      <c r="K6029" s="18" t="s">
        <v>316</v>
      </c>
    </row>
    <row r="6030">
      <c r="A6030" s="17"/>
      <c r="H6030" s="18"/>
      <c r="K6030" s="18" t="s">
        <v>316</v>
      </c>
    </row>
    <row r="6031">
      <c r="A6031" s="17"/>
      <c r="H6031" s="18"/>
      <c r="K6031" s="18" t="s">
        <v>316</v>
      </c>
    </row>
    <row r="6032">
      <c r="A6032" s="17"/>
      <c r="H6032" s="18"/>
      <c r="K6032" s="18" t="s">
        <v>316</v>
      </c>
    </row>
    <row r="6033">
      <c r="A6033" s="17"/>
      <c r="H6033" s="18"/>
      <c r="K6033" s="18" t="s">
        <v>316</v>
      </c>
    </row>
    <row r="6034">
      <c r="A6034" s="17"/>
      <c r="H6034" s="18"/>
      <c r="K6034" s="18" t="s">
        <v>316</v>
      </c>
    </row>
    <row r="6035">
      <c r="A6035" s="17"/>
      <c r="H6035" s="18"/>
      <c r="K6035" s="18" t="s">
        <v>316</v>
      </c>
    </row>
    <row r="6036">
      <c r="A6036" s="17"/>
      <c r="H6036" s="18"/>
      <c r="K6036" s="18" t="s">
        <v>316</v>
      </c>
    </row>
    <row r="6037">
      <c r="A6037" s="17"/>
      <c r="H6037" s="18"/>
      <c r="K6037" s="18" t="s">
        <v>316</v>
      </c>
    </row>
    <row r="6038">
      <c r="A6038" s="17"/>
      <c r="H6038" s="18"/>
      <c r="K6038" s="18" t="s">
        <v>316</v>
      </c>
    </row>
    <row r="6039">
      <c r="A6039" s="17"/>
      <c r="H6039" s="18"/>
      <c r="K6039" s="18" t="s">
        <v>316</v>
      </c>
    </row>
    <row r="6040">
      <c r="A6040" s="17"/>
      <c r="H6040" s="18"/>
      <c r="K6040" s="18" t="s">
        <v>316</v>
      </c>
    </row>
    <row r="6041">
      <c r="A6041" s="17"/>
      <c r="H6041" s="18"/>
      <c r="K6041" s="18" t="s">
        <v>316</v>
      </c>
    </row>
    <row r="6042">
      <c r="A6042" s="17"/>
      <c r="H6042" s="18"/>
      <c r="K6042" s="18" t="s">
        <v>316</v>
      </c>
    </row>
    <row r="6043">
      <c r="A6043" s="17"/>
      <c r="H6043" s="18"/>
      <c r="K6043" s="18" t="s">
        <v>316</v>
      </c>
    </row>
    <row r="6044">
      <c r="A6044" s="17"/>
      <c r="H6044" s="18"/>
      <c r="K6044" s="18" t="s">
        <v>316</v>
      </c>
    </row>
    <row r="6045">
      <c r="A6045" s="17"/>
      <c r="H6045" s="18"/>
      <c r="K6045" s="18" t="s">
        <v>316</v>
      </c>
    </row>
    <row r="6046">
      <c r="A6046" s="17"/>
      <c r="H6046" s="18"/>
      <c r="K6046" s="18" t="s">
        <v>316</v>
      </c>
    </row>
    <row r="6047">
      <c r="A6047" s="17"/>
      <c r="H6047" s="18"/>
      <c r="K6047" s="18" t="s">
        <v>316</v>
      </c>
    </row>
    <row r="6048">
      <c r="A6048" s="17"/>
      <c r="H6048" s="18"/>
      <c r="K6048" s="18" t="s">
        <v>316</v>
      </c>
    </row>
    <row r="6049">
      <c r="A6049" s="17"/>
      <c r="H6049" s="18"/>
      <c r="K6049" s="18" t="s">
        <v>316</v>
      </c>
    </row>
    <row r="6050">
      <c r="A6050" s="17"/>
      <c r="H6050" s="18"/>
      <c r="K6050" s="18" t="s">
        <v>316</v>
      </c>
    </row>
    <row r="6051">
      <c r="A6051" s="17"/>
      <c r="H6051" s="18"/>
      <c r="K6051" s="18" t="s">
        <v>316</v>
      </c>
    </row>
    <row r="6052">
      <c r="A6052" s="17"/>
      <c r="H6052" s="18"/>
      <c r="K6052" s="18" t="s">
        <v>316</v>
      </c>
    </row>
    <row r="6053">
      <c r="A6053" s="17"/>
      <c r="H6053" s="18"/>
      <c r="K6053" s="18" t="s">
        <v>316</v>
      </c>
    </row>
    <row r="6054">
      <c r="A6054" s="17"/>
      <c r="H6054" s="18"/>
      <c r="K6054" s="18" t="s">
        <v>316</v>
      </c>
    </row>
    <row r="6055">
      <c r="A6055" s="17"/>
      <c r="H6055" s="18"/>
      <c r="K6055" s="18" t="s">
        <v>316</v>
      </c>
    </row>
    <row r="6056">
      <c r="A6056" s="17"/>
      <c r="H6056" s="18"/>
      <c r="K6056" s="18" t="s">
        <v>316</v>
      </c>
    </row>
    <row r="6057">
      <c r="A6057" s="17"/>
      <c r="H6057" s="18"/>
      <c r="K6057" s="18" t="s">
        <v>316</v>
      </c>
    </row>
    <row r="6058">
      <c r="A6058" s="17"/>
      <c r="H6058" s="18"/>
      <c r="K6058" s="18" t="s">
        <v>316</v>
      </c>
    </row>
    <row r="6059">
      <c r="A6059" s="17"/>
      <c r="H6059" s="18"/>
      <c r="K6059" s="18" t="s">
        <v>316</v>
      </c>
    </row>
    <row r="6060">
      <c r="A6060" s="17"/>
      <c r="H6060" s="18"/>
      <c r="K6060" s="18" t="s">
        <v>316</v>
      </c>
    </row>
    <row r="6061">
      <c r="A6061" s="17"/>
      <c r="H6061" s="18"/>
      <c r="K6061" s="18" t="s">
        <v>316</v>
      </c>
    </row>
    <row r="6062">
      <c r="A6062" s="17"/>
      <c r="H6062" s="18"/>
      <c r="K6062" s="18" t="s">
        <v>316</v>
      </c>
    </row>
    <row r="6063">
      <c r="A6063" s="17"/>
      <c r="H6063" s="18"/>
      <c r="K6063" s="18" t="s">
        <v>316</v>
      </c>
    </row>
    <row r="6064">
      <c r="A6064" s="17"/>
      <c r="H6064" s="18"/>
      <c r="K6064" s="18" t="s">
        <v>316</v>
      </c>
    </row>
    <row r="6065">
      <c r="A6065" s="17"/>
      <c r="H6065" s="18"/>
      <c r="K6065" s="18" t="s">
        <v>316</v>
      </c>
    </row>
    <row r="6066">
      <c r="A6066" s="17"/>
      <c r="H6066" s="18"/>
      <c r="K6066" s="18" t="s">
        <v>316</v>
      </c>
    </row>
    <row r="6067">
      <c r="A6067" s="17"/>
      <c r="H6067" s="18"/>
      <c r="K6067" s="18" t="s">
        <v>316</v>
      </c>
    </row>
    <row r="6068">
      <c r="A6068" s="17"/>
      <c r="H6068" s="18"/>
      <c r="K6068" s="18" t="s">
        <v>316</v>
      </c>
    </row>
    <row r="6069">
      <c r="A6069" s="17"/>
      <c r="H6069" s="18"/>
      <c r="K6069" s="18" t="s">
        <v>316</v>
      </c>
    </row>
    <row r="6070">
      <c r="A6070" s="17"/>
      <c r="H6070" s="18"/>
      <c r="K6070" s="18" t="s">
        <v>316</v>
      </c>
    </row>
    <row r="6071">
      <c r="A6071" s="17"/>
      <c r="H6071" s="18"/>
      <c r="K6071" s="18" t="s">
        <v>316</v>
      </c>
    </row>
    <row r="6072">
      <c r="A6072" s="17"/>
      <c r="H6072" s="18"/>
      <c r="K6072" s="18" t="s">
        <v>316</v>
      </c>
    </row>
    <row r="6073">
      <c r="A6073" s="17"/>
      <c r="H6073" s="18"/>
      <c r="K6073" s="18" t="s">
        <v>316</v>
      </c>
    </row>
    <row r="6074">
      <c r="A6074" s="17"/>
      <c r="H6074" s="18"/>
      <c r="K6074" s="18" t="s">
        <v>316</v>
      </c>
    </row>
    <row r="6075">
      <c r="A6075" s="17"/>
      <c r="H6075" s="18"/>
      <c r="K6075" s="18" t="s">
        <v>316</v>
      </c>
    </row>
    <row r="6076">
      <c r="A6076" s="17"/>
      <c r="H6076" s="18"/>
      <c r="K6076" s="18" t="s">
        <v>316</v>
      </c>
    </row>
    <row r="6077">
      <c r="A6077" s="17"/>
      <c r="H6077" s="18"/>
      <c r="K6077" s="18" t="s">
        <v>316</v>
      </c>
    </row>
    <row r="6078">
      <c r="A6078" s="17"/>
      <c r="H6078" s="18"/>
      <c r="K6078" s="18" t="s">
        <v>316</v>
      </c>
    </row>
    <row r="6079">
      <c r="A6079" s="17"/>
      <c r="H6079" s="18"/>
      <c r="K6079" s="18" t="s">
        <v>316</v>
      </c>
    </row>
    <row r="6080">
      <c r="A6080" s="17"/>
      <c r="H6080" s="18"/>
      <c r="K6080" s="18" t="s">
        <v>316</v>
      </c>
    </row>
    <row r="6081">
      <c r="A6081" s="17"/>
      <c r="H6081" s="18"/>
      <c r="K6081" s="18" t="s">
        <v>316</v>
      </c>
    </row>
    <row r="6082">
      <c r="A6082" s="17"/>
      <c r="H6082" s="18"/>
      <c r="K6082" s="18" t="s">
        <v>316</v>
      </c>
    </row>
    <row r="6083">
      <c r="A6083" s="17"/>
      <c r="H6083" s="18"/>
      <c r="K6083" s="18" t="s">
        <v>316</v>
      </c>
    </row>
    <row r="6084">
      <c r="A6084" s="17"/>
      <c r="H6084" s="18"/>
      <c r="K6084" s="18" t="s">
        <v>316</v>
      </c>
    </row>
    <row r="6085">
      <c r="A6085" s="17"/>
      <c r="H6085" s="18"/>
      <c r="K6085" s="18" t="s">
        <v>316</v>
      </c>
    </row>
    <row r="6086">
      <c r="A6086" s="17"/>
      <c r="H6086" s="18"/>
      <c r="K6086" s="18" t="s">
        <v>316</v>
      </c>
    </row>
    <row r="6087">
      <c r="A6087" s="17"/>
      <c r="H6087" s="18"/>
      <c r="K6087" s="18" t="s">
        <v>316</v>
      </c>
    </row>
    <row r="6088">
      <c r="A6088" s="17"/>
      <c r="H6088" s="18"/>
      <c r="K6088" s="18" t="s">
        <v>316</v>
      </c>
    </row>
    <row r="6089">
      <c r="A6089" s="17"/>
      <c r="H6089" s="18"/>
      <c r="K6089" s="18" t="s">
        <v>316</v>
      </c>
    </row>
    <row r="6090">
      <c r="A6090" s="17"/>
      <c r="H6090" s="18"/>
      <c r="K6090" s="18" t="s">
        <v>316</v>
      </c>
    </row>
    <row r="6091">
      <c r="A6091" s="17"/>
      <c r="H6091" s="18"/>
      <c r="K6091" s="18" t="s">
        <v>316</v>
      </c>
    </row>
    <row r="6092">
      <c r="A6092" s="17"/>
      <c r="H6092" s="18"/>
      <c r="K6092" s="18" t="s">
        <v>316</v>
      </c>
    </row>
    <row r="6093">
      <c r="A6093" s="17"/>
      <c r="H6093" s="18"/>
      <c r="K6093" s="18" t="s">
        <v>316</v>
      </c>
    </row>
    <row r="6094">
      <c r="A6094" s="17"/>
      <c r="H6094" s="18"/>
      <c r="K6094" s="18" t="s">
        <v>316</v>
      </c>
    </row>
    <row r="6095">
      <c r="A6095" s="17"/>
      <c r="H6095" s="18"/>
      <c r="K6095" s="18" t="s">
        <v>316</v>
      </c>
    </row>
    <row r="6096">
      <c r="A6096" s="17"/>
      <c r="H6096" s="18"/>
      <c r="K6096" s="18" t="s">
        <v>316</v>
      </c>
    </row>
    <row r="6097">
      <c r="A6097" s="17"/>
      <c r="H6097" s="18"/>
      <c r="K6097" s="18" t="s">
        <v>316</v>
      </c>
    </row>
    <row r="6098">
      <c r="A6098" s="17"/>
      <c r="H6098" s="18"/>
      <c r="K6098" s="18" t="s">
        <v>316</v>
      </c>
    </row>
    <row r="6099">
      <c r="A6099" s="17"/>
      <c r="H6099" s="18"/>
      <c r="K6099" s="18" t="s">
        <v>316</v>
      </c>
    </row>
    <row r="6100">
      <c r="A6100" s="17"/>
      <c r="H6100" s="18"/>
      <c r="K6100" s="18" t="s">
        <v>316</v>
      </c>
    </row>
    <row r="6101">
      <c r="A6101" s="17"/>
      <c r="H6101" s="18"/>
      <c r="K6101" s="18" t="s">
        <v>316</v>
      </c>
    </row>
    <row r="6102">
      <c r="A6102" s="17"/>
      <c r="H6102" s="18"/>
      <c r="K6102" s="18" t="s">
        <v>316</v>
      </c>
    </row>
    <row r="6103">
      <c r="A6103" s="17"/>
      <c r="H6103" s="18"/>
      <c r="K6103" s="18" t="s">
        <v>316</v>
      </c>
    </row>
    <row r="6104">
      <c r="A6104" s="17"/>
      <c r="H6104" s="18"/>
      <c r="K6104" s="18" t="s">
        <v>316</v>
      </c>
    </row>
    <row r="6105">
      <c r="A6105" s="17"/>
      <c r="H6105" s="18"/>
      <c r="K6105" s="18" t="s">
        <v>316</v>
      </c>
    </row>
    <row r="6106">
      <c r="A6106" s="17"/>
      <c r="H6106" s="18"/>
      <c r="K6106" s="18" t="s">
        <v>316</v>
      </c>
    </row>
    <row r="6107">
      <c r="A6107" s="17"/>
      <c r="H6107" s="18"/>
      <c r="K6107" s="18" t="s">
        <v>316</v>
      </c>
    </row>
    <row r="6108">
      <c r="A6108" s="17"/>
      <c r="H6108" s="18"/>
      <c r="K6108" s="18" t="s">
        <v>316</v>
      </c>
    </row>
    <row r="6109">
      <c r="A6109" s="17"/>
      <c r="H6109" s="18"/>
      <c r="K6109" s="18" t="s">
        <v>316</v>
      </c>
    </row>
    <row r="6110">
      <c r="A6110" s="17"/>
      <c r="H6110" s="18"/>
      <c r="K6110" s="18" t="s">
        <v>316</v>
      </c>
    </row>
    <row r="6111">
      <c r="A6111" s="17"/>
      <c r="H6111" s="18"/>
      <c r="K6111" s="18" t="s">
        <v>316</v>
      </c>
    </row>
    <row r="6112">
      <c r="A6112" s="17"/>
      <c r="H6112" s="18"/>
      <c r="K6112" s="18" t="s">
        <v>316</v>
      </c>
    </row>
    <row r="6113">
      <c r="A6113" s="17"/>
      <c r="H6113" s="18"/>
      <c r="K6113" s="18" t="s">
        <v>316</v>
      </c>
    </row>
    <row r="6114">
      <c r="A6114" s="17"/>
      <c r="H6114" s="18"/>
      <c r="K6114" s="18" t="s">
        <v>316</v>
      </c>
    </row>
    <row r="6115">
      <c r="A6115" s="17"/>
      <c r="H6115" s="18"/>
      <c r="K6115" s="18" t="s">
        <v>316</v>
      </c>
    </row>
    <row r="6116">
      <c r="A6116" s="17"/>
      <c r="H6116" s="18"/>
      <c r="K6116" s="18" t="s">
        <v>316</v>
      </c>
    </row>
    <row r="6117">
      <c r="A6117" s="17"/>
      <c r="H6117" s="18"/>
      <c r="K6117" s="18" t="s">
        <v>316</v>
      </c>
    </row>
    <row r="6118">
      <c r="A6118" s="17"/>
      <c r="H6118" s="18"/>
      <c r="K6118" s="18" t="s">
        <v>316</v>
      </c>
    </row>
    <row r="6119">
      <c r="A6119" s="17"/>
      <c r="H6119" s="18"/>
      <c r="K6119" s="18" t="s">
        <v>316</v>
      </c>
    </row>
    <row r="6120">
      <c r="A6120" s="17"/>
      <c r="H6120" s="18"/>
      <c r="K6120" s="18" t="s">
        <v>316</v>
      </c>
    </row>
    <row r="6121">
      <c r="A6121" s="17"/>
      <c r="H6121" s="18"/>
      <c r="K6121" s="18" t="s">
        <v>316</v>
      </c>
    </row>
    <row r="6122">
      <c r="A6122" s="17"/>
      <c r="H6122" s="18"/>
      <c r="K6122" s="18" t="s">
        <v>316</v>
      </c>
    </row>
    <row r="6123">
      <c r="A6123" s="17"/>
      <c r="H6123" s="18"/>
      <c r="K6123" s="18" t="s">
        <v>316</v>
      </c>
    </row>
    <row r="6124">
      <c r="A6124" s="17"/>
      <c r="H6124" s="18"/>
      <c r="K6124" s="18" t="s">
        <v>316</v>
      </c>
    </row>
    <row r="6125">
      <c r="A6125" s="17"/>
      <c r="H6125" s="18"/>
      <c r="K6125" s="18" t="s">
        <v>316</v>
      </c>
    </row>
    <row r="6126">
      <c r="A6126" s="17"/>
      <c r="H6126" s="18"/>
      <c r="K6126" s="18" t="s">
        <v>316</v>
      </c>
    </row>
    <row r="6127">
      <c r="A6127" s="17"/>
      <c r="H6127" s="18"/>
      <c r="K6127" s="18" t="s">
        <v>316</v>
      </c>
    </row>
    <row r="6128">
      <c r="A6128" s="17"/>
      <c r="H6128" s="18"/>
      <c r="K6128" s="18" t="s">
        <v>316</v>
      </c>
    </row>
    <row r="6129">
      <c r="A6129" s="17"/>
      <c r="H6129" s="18"/>
      <c r="K6129" s="18" t="s">
        <v>316</v>
      </c>
    </row>
    <row r="6130">
      <c r="A6130" s="17"/>
      <c r="H6130" s="18"/>
      <c r="K6130" s="18" t="s">
        <v>316</v>
      </c>
    </row>
    <row r="6131">
      <c r="A6131" s="17"/>
      <c r="H6131" s="18"/>
      <c r="K6131" s="18" t="s">
        <v>316</v>
      </c>
    </row>
    <row r="6132">
      <c r="A6132" s="17"/>
      <c r="H6132" s="18"/>
      <c r="K6132" s="18" t="s">
        <v>316</v>
      </c>
    </row>
    <row r="6133">
      <c r="A6133" s="17"/>
      <c r="H6133" s="18"/>
      <c r="K6133" s="18" t="s">
        <v>316</v>
      </c>
    </row>
    <row r="6134">
      <c r="A6134" s="17"/>
      <c r="H6134" s="18"/>
      <c r="K6134" s="18" t="s">
        <v>316</v>
      </c>
    </row>
    <row r="6135">
      <c r="A6135" s="17"/>
      <c r="H6135" s="18"/>
      <c r="K6135" s="18" t="s">
        <v>316</v>
      </c>
    </row>
    <row r="6136">
      <c r="A6136" s="17"/>
      <c r="H6136" s="18"/>
      <c r="K6136" s="18" t="s">
        <v>316</v>
      </c>
    </row>
    <row r="6137">
      <c r="A6137" s="17"/>
      <c r="H6137" s="18"/>
      <c r="K6137" s="18" t="s">
        <v>316</v>
      </c>
    </row>
    <row r="6138">
      <c r="A6138" s="17"/>
      <c r="H6138" s="18"/>
      <c r="K6138" s="18" t="s">
        <v>316</v>
      </c>
    </row>
    <row r="6139">
      <c r="A6139" s="17"/>
      <c r="H6139" s="18"/>
      <c r="K6139" s="18" t="s">
        <v>316</v>
      </c>
    </row>
    <row r="6140">
      <c r="A6140" s="17"/>
      <c r="H6140" s="18"/>
      <c r="K6140" s="18" t="s">
        <v>316</v>
      </c>
    </row>
    <row r="6141">
      <c r="A6141" s="17"/>
      <c r="H6141" s="18"/>
      <c r="K6141" s="18" t="s">
        <v>316</v>
      </c>
    </row>
    <row r="6142">
      <c r="A6142" s="17"/>
      <c r="H6142" s="18"/>
      <c r="K6142" s="18" t="s">
        <v>316</v>
      </c>
    </row>
    <row r="6143">
      <c r="A6143" s="17"/>
      <c r="H6143" s="18"/>
      <c r="K6143" s="18" t="s">
        <v>316</v>
      </c>
    </row>
    <row r="6144">
      <c r="A6144" s="17"/>
      <c r="H6144" s="18"/>
      <c r="K6144" s="18" t="s">
        <v>316</v>
      </c>
    </row>
    <row r="6145">
      <c r="A6145" s="17"/>
      <c r="H6145" s="18"/>
      <c r="K6145" s="18" t="s">
        <v>316</v>
      </c>
    </row>
    <row r="6146">
      <c r="A6146" s="17"/>
      <c r="H6146" s="18"/>
      <c r="K6146" s="18" t="s">
        <v>316</v>
      </c>
    </row>
    <row r="6147">
      <c r="A6147" s="17"/>
      <c r="H6147" s="18"/>
      <c r="K6147" s="18" t="s">
        <v>316</v>
      </c>
    </row>
    <row r="6148">
      <c r="A6148" s="17"/>
      <c r="H6148" s="18"/>
      <c r="K6148" s="18" t="s">
        <v>316</v>
      </c>
    </row>
    <row r="6149">
      <c r="A6149" s="17"/>
      <c r="H6149" s="18"/>
      <c r="K6149" s="18" t="s">
        <v>316</v>
      </c>
    </row>
    <row r="6150">
      <c r="A6150" s="17"/>
      <c r="H6150" s="18"/>
      <c r="K6150" s="18" t="s">
        <v>316</v>
      </c>
    </row>
    <row r="6151">
      <c r="A6151" s="17"/>
      <c r="H6151" s="18"/>
      <c r="K6151" s="18" t="s">
        <v>316</v>
      </c>
    </row>
    <row r="6152">
      <c r="A6152" s="17"/>
      <c r="H6152" s="18"/>
      <c r="K6152" s="18" t="s">
        <v>316</v>
      </c>
    </row>
    <row r="6153">
      <c r="A6153" s="17"/>
      <c r="H6153" s="18"/>
      <c r="K6153" s="18" t="s">
        <v>316</v>
      </c>
    </row>
    <row r="6154">
      <c r="A6154" s="17"/>
      <c r="H6154" s="18"/>
      <c r="K6154" s="18" t="s">
        <v>316</v>
      </c>
    </row>
    <row r="6155">
      <c r="A6155" s="17"/>
      <c r="H6155" s="18"/>
      <c r="K6155" s="18" t="s">
        <v>316</v>
      </c>
    </row>
    <row r="6156">
      <c r="A6156" s="17"/>
      <c r="H6156" s="18"/>
      <c r="K6156" s="18" t="s">
        <v>316</v>
      </c>
    </row>
    <row r="6157">
      <c r="A6157" s="17"/>
      <c r="H6157" s="18"/>
      <c r="K6157" s="18" t="s">
        <v>316</v>
      </c>
    </row>
    <row r="6158">
      <c r="A6158" s="17"/>
      <c r="H6158" s="18"/>
      <c r="K6158" s="18" t="s">
        <v>316</v>
      </c>
    </row>
    <row r="6159">
      <c r="A6159" s="17"/>
      <c r="H6159" s="18"/>
      <c r="K6159" s="18" t="s">
        <v>316</v>
      </c>
    </row>
    <row r="6160">
      <c r="A6160" s="17"/>
      <c r="H6160" s="18"/>
      <c r="K6160" s="18" t="s">
        <v>316</v>
      </c>
    </row>
    <row r="6161">
      <c r="A6161" s="17"/>
      <c r="H6161" s="18"/>
      <c r="K6161" s="18" t="s">
        <v>316</v>
      </c>
    </row>
    <row r="6162">
      <c r="A6162" s="17"/>
      <c r="H6162" s="18"/>
      <c r="K6162" s="18" t="s">
        <v>316</v>
      </c>
    </row>
    <row r="6163">
      <c r="A6163" s="17"/>
      <c r="H6163" s="18"/>
      <c r="K6163" s="18" t="s">
        <v>316</v>
      </c>
    </row>
    <row r="6164">
      <c r="A6164" s="17"/>
      <c r="H6164" s="18"/>
      <c r="K6164" s="18" t="s">
        <v>316</v>
      </c>
    </row>
    <row r="6165">
      <c r="A6165" s="17"/>
      <c r="H6165" s="18"/>
      <c r="K6165" s="18" t="s">
        <v>316</v>
      </c>
    </row>
    <row r="6166">
      <c r="A6166" s="17"/>
      <c r="H6166" s="18"/>
      <c r="K6166" s="18" t="s">
        <v>316</v>
      </c>
    </row>
    <row r="6167">
      <c r="A6167" s="17"/>
      <c r="H6167" s="18"/>
      <c r="K6167" s="18" t="s">
        <v>316</v>
      </c>
    </row>
    <row r="6168">
      <c r="A6168" s="17"/>
      <c r="H6168" s="18"/>
      <c r="K6168" s="18" t="s">
        <v>316</v>
      </c>
    </row>
    <row r="6169">
      <c r="A6169" s="17"/>
      <c r="H6169" s="18"/>
      <c r="K6169" s="18" t="s">
        <v>316</v>
      </c>
    </row>
    <row r="6170">
      <c r="A6170" s="17"/>
      <c r="H6170" s="18"/>
      <c r="K6170" s="18" t="s">
        <v>316</v>
      </c>
    </row>
    <row r="6171">
      <c r="A6171" s="17"/>
      <c r="H6171" s="18"/>
      <c r="K6171" s="18" t="s">
        <v>316</v>
      </c>
    </row>
    <row r="6172">
      <c r="A6172" s="17"/>
      <c r="H6172" s="18"/>
      <c r="K6172" s="18" t="s">
        <v>316</v>
      </c>
    </row>
    <row r="6173">
      <c r="A6173" s="17"/>
      <c r="H6173" s="18"/>
      <c r="K6173" s="18" t="s">
        <v>316</v>
      </c>
    </row>
    <row r="6174">
      <c r="A6174" s="17"/>
      <c r="H6174" s="18"/>
      <c r="K6174" s="18" t="s">
        <v>316</v>
      </c>
    </row>
    <row r="6175">
      <c r="A6175" s="17"/>
      <c r="H6175" s="18"/>
      <c r="K6175" s="18" t="s">
        <v>316</v>
      </c>
    </row>
    <row r="6176">
      <c r="A6176" s="17"/>
      <c r="H6176" s="18"/>
      <c r="K6176" s="18" t="s">
        <v>316</v>
      </c>
    </row>
    <row r="6177">
      <c r="A6177" s="17"/>
      <c r="H6177" s="18"/>
      <c r="K6177" s="18" t="s">
        <v>316</v>
      </c>
    </row>
    <row r="6178">
      <c r="A6178" s="17"/>
      <c r="H6178" s="18"/>
      <c r="K6178" s="18" t="s">
        <v>316</v>
      </c>
    </row>
    <row r="6179">
      <c r="A6179" s="17"/>
      <c r="H6179" s="18"/>
      <c r="K6179" s="18" t="s">
        <v>316</v>
      </c>
    </row>
    <row r="6180">
      <c r="A6180" s="17"/>
      <c r="H6180" s="18"/>
      <c r="K6180" s="18" t="s">
        <v>316</v>
      </c>
    </row>
    <row r="6181">
      <c r="A6181" s="17"/>
      <c r="H6181" s="18"/>
      <c r="K6181" s="18" t="s">
        <v>316</v>
      </c>
    </row>
    <row r="6182">
      <c r="A6182" s="17"/>
      <c r="H6182" s="18"/>
      <c r="K6182" s="18" t="s">
        <v>316</v>
      </c>
    </row>
    <row r="6183">
      <c r="A6183" s="17"/>
      <c r="H6183" s="18"/>
      <c r="K6183" s="18" t="s">
        <v>316</v>
      </c>
    </row>
    <row r="6184">
      <c r="A6184" s="17"/>
      <c r="H6184" s="18"/>
      <c r="K6184" s="18" t="s">
        <v>316</v>
      </c>
    </row>
    <row r="6185">
      <c r="A6185" s="17"/>
      <c r="H6185" s="18"/>
      <c r="K6185" s="18" t="s">
        <v>316</v>
      </c>
    </row>
    <row r="6186">
      <c r="A6186" s="17"/>
      <c r="H6186" s="18"/>
      <c r="K6186" s="18" t="s">
        <v>316</v>
      </c>
    </row>
    <row r="6187">
      <c r="A6187" s="17"/>
      <c r="H6187" s="18"/>
      <c r="K6187" s="18" t="s">
        <v>316</v>
      </c>
    </row>
    <row r="6188">
      <c r="A6188" s="17"/>
      <c r="H6188" s="18"/>
      <c r="K6188" s="18" t="s">
        <v>316</v>
      </c>
    </row>
    <row r="6189">
      <c r="A6189" s="17"/>
      <c r="H6189" s="18"/>
      <c r="K6189" s="18" t="s">
        <v>316</v>
      </c>
    </row>
    <row r="6190">
      <c r="A6190" s="17"/>
      <c r="H6190" s="18"/>
      <c r="K6190" s="18" t="s">
        <v>316</v>
      </c>
    </row>
    <row r="6191">
      <c r="A6191" s="17"/>
      <c r="H6191" s="18"/>
      <c r="K6191" s="18" t="s">
        <v>316</v>
      </c>
    </row>
    <row r="6192">
      <c r="A6192" s="17"/>
      <c r="H6192" s="18"/>
      <c r="K6192" s="18" t="s">
        <v>316</v>
      </c>
    </row>
    <row r="6193">
      <c r="A6193" s="17"/>
      <c r="H6193" s="18"/>
      <c r="K6193" s="18" t="s">
        <v>316</v>
      </c>
    </row>
    <row r="6194">
      <c r="A6194" s="17"/>
      <c r="H6194" s="18"/>
      <c r="K6194" s="18" t="s">
        <v>316</v>
      </c>
    </row>
    <row r="6195">
      <c r="A6195" s="17"/>
      <c r="H6195" s="18"/>
      <c r="K6195" s="18" t="s">
        <v>316</v>
      </c>
    </row>
    <row r="6196">
      <c r="A6196" s="17"/>
      <c r="H6196" s="18"/>
      <c r="K6196" s="18" t="s">
        <v>316</v>
      </c>
    </row>
    <row r="6197">
      <c r="A6197" s="17"/>
      <c r="H6197" s="18"/>
      <c r="K6197" s="18" t="s">
        <v>316</v>
      </c>
    </row>
    <row r="6198">
      <c r="A6198" s="17"/>
      <c r="H6198" s="18"/>
      <c r="K6198" s="18" t="s">
        <v>316</v>
      </c>
    </row>
    <row r="6199">
      <c r="A6199" s="17"/>
      <c r="H6199" s="18"/>
      <c r="K6199" s="18" t="s">
        <v>316</v>
      </c>
    </row>
    <row r="6200">
      <c r="A6200" s="17"/>
      <c r="H6200" s="18"/>
      <c r="K6200" s="18" t="s">
        <v>316</v>
      </c>
    </row>
    <row r="6201">
      <c r="A6201" s="17"/>
      <c r="H6201" s="18"/>
      <c r="K6201" s="18" t="s">
        <v>316</v>
      </c>
    </row>
    <row r="6202">
      <c r="A6202" s="17"/>
      <c r="H6202" s="18"/>
      <c r="K6202" s="18" t="s">
        <v>316</v>
      </c>
    </row>
    <row r="6203">
      <c r="A6203" s="17"/>
      <c r="H6203" s="18"/>
      <c r="K6203" s="18" t="s">
        <v>316</v>
      </c>
    </row>
    <row r="6204">
      <c r="A6204" s="17"/>
      <c r="H6204" s="18"/>
      <c r="K6204" s="18" t="s">
        <v>316</v>
      </c>
    </row>
    <row r="6205">
      <c r="A6205" s="17"/>
      <c r="H6205" s="18"/>
      <c r="K6205" s="18" t="s">
        <v>316</v>
      </c>
    </row>
    <row r="6206">
      <c r="A6206" s="17"/>
      <c r="H6206" s="18"/>
      <c r="K6206" s="18" t="s">
        <v>316</v>
      </c>
    </row>
    <row r="6207">
      <c r="A6207" s="17"/>
      <c r="H6207" s="18"/>
      <c r="K6207" s="18" t="s">
        <v>316</v>
      </c>
    </row>
    <row r="6208">
      <c r="A6208" s="17"/>
      <c r="H6208" s="18"/>
      <c r="K6208" s="18" t="s">
        <v>316</v>
      </c>
    </row>
    <row r="6209">
      <c r="A6209" s="17"/>
      <c r="H6209" s="18"/>
      <c r="K6209" s="18" t="s">
        <v>316</v>
      </c>
    </row>
    <row r="6210">
      <c r="A6210" s="17"/>
      <c r="H6210" s="18"/>
      <c r="K6210" s="18" t="s">
        <v>316</v>
      </c>
    </row>
    <row r="6211">
      <c r="A6211" s="17"/>
      <c r="H6211" s="18"/>
      <c r="K6211" s="18" t="s">
        <v>316</v>
      </c>
    </row>
    <row r="6212">
      <c r="A6212" s="17"/>
      <c r="H6212" s="18"/>
      <c r="K6212" s="18" t="s">
        <v>316</v>
      </c>
    </row>
    <row r="6213">
      <c r="A6213" s="17"/>
      <c r="H6213" s="18"/>
      <c r="K6213" s="18" t="s">
        <v>316</v>
      </c>
    </row>
    <row r="6214">
      <c r="A6214" s="17"/>
      <c r="H6214" s="18"/>
      <c r="K6214" s="18" t="s">
        <v>316</v>
      </c>
    </row>
    <row r="6215">
      <c r="A6215" s="17"/>
      <c r="H6215" s="18"/>
      <c r="K6215" s="18" t="s">
        <v>316</v>
      </c>
    </row>
    <row r="6216">
      <c r="A6216" s="17"/>
      <c r="H6216" s="18"/>
      <c r="K6216" s="18" t="s">
        <v>316</v>
      </c>
    </row>
    <row r="6217">
      <c r="A6217" s="17"/>
      <c r="H6217" s="18"/>
      <c r="K6217" s="18" t="s">
        <v>316</v>
      </c>
    </row>
    <row r="6218">
      <c r="A6218" s="17"/>
      <c r="H6218" s="18"/>
      <c r="K6218" s="18" t="s">
        <v>316</v>
      </c>
    </row>
    <row r="6219">
      <c r="A6219" s="17"/>
      <c r="H6219" s="18"/>
      <c r="K6219" s="18" t="s">
        <v>316</v>
      </c>
    </row>
    <row r="6220">
      <c r="A6220" s="17"/>
      <c r="H6220" s="18"/>
      <c r="K6220" s="18" t="s">
        <v>316</v>
      </c>
    </row>
    <row r="6221">
      <c r="A6221" s="17"/>
      <c r="H6221" s="18"/>
      <c r="K6221" s="18" t="s">
        <v>316</v>
      </c>
    </row>
    <row r="6222">
      <c r="A6222" s="17"/>
      <c r="H6222" s="18"/>
      <c r="K6222" s="18" t="s">
        <v>316</v>
      </c>
    </row>
    <row r="6223">
      <c r="A6223" s="17"/>
      <c r="H6223" s="18"/>
      <c r="K6223" s="18" t="s">
        <v>316</v>
      </c>
    </row>
    <row r="6224">
      <c r="A6224" s="17"/>
      <c r="H6224" s="18"/>
      <c r="K6224" s="18" t="s">
        <v>316</v>
      </c>
    </row>
    <row r="6225">
      <c r="A6225" s="17"/>
      <c r="H6225" s="18"/>
      <c r="K6225" s="18" t="s">
        <v>316</v>
      </c>
    </row>
    <row r="6226">
      <c r="A6226" s="17"/>
      <c r="H6226" s="18"/>
      <c r="K6226" s="18" t="s">
        <v>316</v>
      </c>
    </row>
    <row r="6227">
      <c r="A6227" s="17"/>
      <c r="H6227" s="18"/>
      <c r="K6227" s="18" t="s">
        <v>316</v>
      </c>
    </row>
    <row r="6228">
      <c r="A6228" s="17"/>
      <c r="H6228" s="18"/>
      <c r="K6228" s="18" t="s">
        <v>316</v>
      </c>
    </row>
    <row r="6229">
      <c r="A6229" s="17"/>
      <c r="H6229" s="18"/>
      <c r="K6229" s="18" t="s">
        <v>316</v>
      </c>
    </row>
    <row r="6230">
      <c r="A6230" s="17"/>
      <c r="H6230" s="18"/>
      <c r="K6230" s="18" t="s">
        <v>316</v>
      </c>
    </row>
    <row r="6231">
      <c r="A6231" s="17"/>
      <c r="H6231" s="18"/>
      <c r="K6231" s="18" t="s">
        <v>316</v>
      </c>
    </row>
    <row r="6232">
      <c r="A6232" s="17"/>
      <c r="H6232" s="18"/>
      <c r="K6232" s="18" t="s">
        <v>316</v>
      </c>
    </row>
    <row r="6233">
      <c r="A6233" s="17"/>
      <c r="H6233" s="18"/>
      <c r="K6233" s="18" t="s">
        <v>316</v>
      </c>
    </row>
    <row r="6234">
      <c r="A6234" s="17"/>
      <c r="H6234" s="18"/>
      <c r="K6234" s="18" t="s">
        <v>316</v>
      </c>
    </row>
    <row r="6235">
      <c r="A6235" s="17"/>
      <c r="H6235" s="18"/>
      <c r="K6235" s="18" t="s">
        <v>316</v>
      </c>
    </row>
    <row r="6236">
      <c r="A6236" s="17"/>
      <c r="H6236" s="18"/>
      <c r="K6236" s="18" t="s">
        <v>316</v>
      </c>
    </row>
    <row r="6237">
      <c r="A6237" s="17"/>
      <c r="H6237" s="18"/>
      <c r="K6237" s="18" t="s">
        <v>316</v>
      </c>
    </row>
    <row r="6238">
      <c r="A6238" s="17"/>
      <c r="H6238" s="18"/>
      <c r="K6238" s="18" t="s">
        <v>316</v>
      </c>
    </row>
    <row r="6239">
      <c r="A6239" s="17"/>
      <c r="H6239" s="18"/>
      <c r="K6239" s="18" t="s">
        <v>316</v>
      </c>
    </row>
    <row r="6240">
      <c r="A6240" s="17"/>
      <c r="H6240" s="18"/>
      <c r="K6240" s="18" t="s">
        <v>316</v>
      </c>
    </row>
    <row r="6241">
      <c r="A6241" s="17"/>
      <c r="H6241" s="18"/>
      <c r="K6241" s="18" t="s">
        <v>316</v>
      </c>
    </row>
    <row r="6242">
      <c r="A6242" s="17"/>
      <c r="H6242" s="18"/>
      <c r="K6242" s="18" t="s">
        <v>316</v>
      </c>
    </row>
    <row r="6243">
      <c r="A6243" s="17"/>
      <c r="H6243" s="18"/>
      <c r="K6243" s="18" t="s">
        <v>316</v>
      </c>
    </row>
    <row r="6244">
      <c r="A6244" s="17"/>
      <c r="H6244" s="18"/>
      <c r="K6244" s="18" t="s">
        <v>316</v>
      </c>
    </row>
    <row r="6245">
      <c r="A6245" s="17"/>
      <c r="H6245" s="18"/>
      <c r="K6245" s="18" t="s">
        <v>316</v>
      </c>
    </row>
    <row r="6246">
      <c r="A6246" s="17"/>
      <c r="H6246" s="18"/>
      <c r="K6246" s="18" t="s">
        <v>316</v>
      </c>
    </row>
    <row r="6247">
      <c r="A6247" s="17"/>
      <c r="H6247" s="18"/>
      <c r="K6247" s="18" t="s">
        <v>316</v>
      </c>
    </row>
    <row r="6248">
      <c r="A6248" s="17"/>
      <c r="H6248" s="18"/>
      <c r="K6248" s="18" t="s">
        <v>316</v>
      </c>
    </row>
    <row r="6249">
      <c r="A6249" s="17"/>
      <c r="H6249" s="18"/>
      <c r="K6249" s="18" t="s">
        <v>316</v>
      </c>
    </row>
    <row r="6250">
      <c r="A6250" s="17"/>
      <c r="H6250" s="18"/>
      <c r="K6250" s="18" t="s">
        <v>316</v>
      </c>
    </row>
    <row r="6251">
      <c r="A6251" s="17"/>
      <c r="H6251" s="18"/>
      <c r="K6251" s="18" t="s">
        <v>316</v>
      </c>
    </row>
    <row r="6252">
      <c r="A6252" s="17"/>
      <c r="H6252" s="18"/>
      <c r="K6252" s="18" t="s">
        <v>316</v>
      </c>
    </row>
    <row r="6253">
      <c r="A6253" s="17"/>
      <c r="H6253" s="18"/>
      <c r="K6253" s="18" t="s">
        <v>316</v>
      </c>
    </row>
    <row r="6254">
      <c r="A6254" s="17"/>
      <c r="H6254" s="18"/>
      <c r="K6254" s="18" t="s">
        <v>316</v>
      </c>
    </row>
    <row r="6255">
      <c r="A6255" s="17"/>
      <c r="H6255" s="18"/>
      <c r="K6255" s="18" t="s">
        <v>316</v>
      </c>
    </row>
    <row r="6256">
      <c r="A6256" s="17"/>
      <c r="H6256" s="18"/>
      <c r="K6256" s="18" t="s">
        <v>316</v>
      </c>
    </row>
    <row r="6257">
      <c r="A6257" s="17"/>
      <c r="H6257" s="18"/>
      <c r="K6257" s="18" t="s">
        <v>316</v>
      </c>
    </row>
    <row r="6258">
      <c r="A6258" s="17"/>
      <c r="H6258" s="18"/>
      <c r="K6258" s="18" t="s">
        <v>316</v>
      </c>
    </row>
    <row r="6259">
      <c r="A6259" s="17"/>
      <c r="H6259" s="18"/>
      <c r="K6259" s="18" t="s">
        <v>316</v>
      </c>
    </row>
    <row r="6260">
      <c r="A6260" s="17"/>
      <c r="H6260" s="18"/>
      <c r="K6260" s="18" t="s">
        <v>316</v>
      </c>
    </row>
    <row r="6261">
      <c r="A6261" s="17"/>
      <c r="H6261" s="18"/>
      <c r="K6261" s="18" t="s">
        <v>316</v>
      </c>
    </row>
    <row r="6262">
      <c r="A6262" s="17"/>
      <c r="H6262" s="18"/>
      <c r="K6262" s="18" t="s">
        <v>316</v>
      </c>
    </row>
    <row r="6263">
      <c r="A6263" s="17"/>
      <c r="H6263" s="18"/>
      <c r="K6263" s="18" t="s">
        <v>316</v>
      </c>
    </row>
    <row r="6264">
      <c r="A6264" s="17"/>
      <c r="H6264" s="18"/>
      <c r="K6264" s="18" t="s">
        <v>316</v>
      </c>
    </row>
    <row r="6265">
      <c r="A6265" s="17"/>
      <c r="H6265" s="18"/>
      <c r="K6265" s="18" t="s">
        <v>316</v>
      </c>
    </row>
    <row r="6266">
      <c r="A6266" s="17"/>
      <c r="H6266" s="18"/>
      <c r="K6266" s="18" t="s">
        <v>316</v>
      </c>
    </row>
    <row r="6267">
      <c r="A6267" s="17"/>
      <c r="H6267" s="18"/>
      <c r="K6267" s="18" t="s">
        <v>316</v>
      </c>
    </row>
    <row r="6268">
      <c r="A6268" s="17"/>
      <c r="H6268" s="18"/>
      <c r="K6268" s="18" t="s">
        <v>316</v>
      </c>
    </row>
    <row r="6269">
      <c r="A6269" s="17"/>
      <c r="H6269" s="18"/>
      <c r="K6269" s="18" t="s">
        <v>316</v>
      </c>
    </row>
    <row r="6270">
      <c r="A6270" s="17"/>
      <c r="H6270" s="18"/>
      <c r="K6270" s="18" t="s">
        <v>316</v>
      </c>
    </row>
    <row r="6271">
      <c r="A6271" s="17"/>
      <c r="H6271" s="18"/>
      <c r="K6271" s="18" t="s">
        <v>316</v>
      </c>
    </row>
    <row r="6272">
      <c r="A6272" s="17"/>
      <c r="H6272" s="18"/>
      <c r="K6272" s="18" t="s">
        <v>316</v>
      </c>
    </row>
    <row r="6273">
      <c r="A6273" s="17"/>
      <c r="H6273" s="18"/>
      <c r="K6273" s="18" t="s">
        <v>316</v>
      </c>
    </row>
    <row r="6274">
      <c r="A6274" s="17"/>
      <c r="H6274" s="18"/>
      <c r="K6274" s="18" t="s">
        <v>316</v>
      </c>
    </row>
    <row r="6275">
      <c r="A6275" s="17"/>
      <c r="H6275" s="18"/>
      <c r="K6275" s="18" t="s">
        <v>316</v>
      </c>
    </row>
    <row r="6276">
      <c r="A6276" s="17"/>
      <c r="H6276" s="18"/>
      <c r="K6276" s="18" t="s">
        <v>316</v>
      </c>
    </row>
    <row r="6277">
      <c r="A6277" s="17"/>
      <c r="H6277" s="18"/>
      <c r="K6277" s="18" t="s">
        <v>316</v>
      </c>
    </row>
    <row r="6278">
      <c r="A6278" s="17"/>
      <c r="H6278" s="18"/>
      <c r="K6278" s="18" t="s">
        <v>316</v>
      </c>
    </row>
    <row r="6279">
      <c r="A6279" s="17"/>
      <c r="H6279" s="18"/>
      <c r="K6279" s="18" t="s">
        <v>316</v>
      </c>
    </row>
    <row r="6280">
      <c r="A6280" s="17"/>
      <c r="H6280" s="18"/>
      <c r="K6280" s="18" t="s">
        <v>316</v>
      </c>
    </row>
    <row r="6281">
      <c r="A6281" s="17"/>
      <c r="H6281" s="18"/>
      <c r="K6281" s="18" t="s">
        <v>316</v>
      </c>
    </row>
    <row r="6282">
      <c r="A6282" s="17"/>
      <c r="H6282" s="18"/>
      <c r="K6282" s="18" t="s">
        <v>316</v>
      </c>
    </row>
    <row r="6283">
      <c r="A6283" s="17"/>
      <c r="H6283" s="18"/>
      <c r="K6283" s="18" t="s">
        <v>316</v>
      </c>
    </row>
    <row r="6284">
      <c r="A6284" s="17"/>
      <c r="H6284" s="18"/>
      <c r="K6284" s="18" t="s">
        <v>316</v>
      </c>
    </row>
    <row r="6285">
      <c r="A6285" s="17"/>
      <c r="H6285" s="18"/>
      <c r="K6285" s="18" t="s">
        <v>316</v>
      </c>
    </row>
    <row r="6286">
      <c r="A6286" s="17"/>
      <c r="H6286" s="18"/>
      <c r="K6286" s="18" t="s">
        <v>316</v>
      </c>
    </row>
    <row r="6287">
      <c r="A6287" s="17"/>
      <c r="H6287" s="18"/>
      <c r="K6287" s="18" t="s">
        <v>316</v>
      </c>
    </row>
    <row r="6288">
      <c r="A6288" s="17"/>
      <c r="H6288" s="18"/>
      <c r="K6288" s="18" t="s">
        <v>316</v>
      </c>
    </row>
    <row r="6289">
      <c r="A6289" s="17"/>
      <c r="H6289" s="18"/>
      <c r="K6289" s="18" t="s">
        <v>316</v>
      </c>
    </row>
    <row r="6290">
      <c r="A6290" s="17"/>
      <c r="H6290" s="18"/>
      <c r="K6290" s="18" t="s">
        <v>316</v>
      </c>
    </row>
    <row r="6291">
      <c r="A6291" s="17"/>
      <c r="H6291" s="18"/>
      <c r="K6291" s="18" t="s">
        <v>316</v>
      </c>
    </row>
    <row r="6292">
      <c r="A6292" s="17"/>
      <c r="H6292" s="18"/>
      <c r="K6292" s="18" t="s">
        <v>316</v>
      </c>
    </row>
    <row r="6293">
      <c r="A6293" s="17"/>
      <c r="H6293" s="18"/>
      <c r="K6293" s="18" t="s">
        <v>316</v>
      </c>
    </row>
    <row r="6294">
      <c r="A6294" s="17"/>
      <c r="H6294" s="18"/>
      <c r="K6294" s="18" t="s">
        <v>316</v>
      </c>
    </row>
    <row r="6295">
      <c r="A6295" s="17"/>
      <c r="H6295" s="18"/>
      <c r="K6295" s="18" t="s">
        <v>316</v>
      </c>
    </row>
    <row r="6296">
      <c r="A6296" s="17"/>
      <c r="H6296" s="18"/>
      <c r="K6296" s="18" t="s">
        <v>316</v>
      </c>
    </row>
    <row r="6297">
      <c r="A6297" s="17"/>
      <c r="H6297" s="18"/>
      <c r="K6297" s="18" t="s">
        <v>316</v>
      </c>
    </row>
    <row r="6298">
      <c r="A6298" s="17"/>
      <c r="H6298" s="18"/>
      <c r="K6298" s="18" t="s">
        <v>316</v>
      </c>
    </row>
    <row r="6299">
      <c r="A6299" s="17"/>
      <c r="H6299" s="18"/>
      <c r="K6299" s="18" t="s">
        <v>316</v>
      </c>
    </row>
    <row r="6300">
      <c r="A6300" s="17"/>
      <c r="H6300" s="18"/>
      <c r="K6300" s="18" t="s">
        <v>316</v>
      </c>
    </row>
    <row r="6301">
      <c r="A6301" s="17"/>
      <c r="H6301" s="18"/>
      <c r="K6301" s="18" t="s">
        <v>316</v>
      </c>
    </row>
    <row r="6302">
      <c r="A6302" s="17"/>
      <c r="H6302" s="18"/>
      <c r="K6302" s="18" t="s">
        <v>316</v>
      </c>
    </row>
    <row r="6303">
      <c r="A6303" s="17"/>
      <c r="H6303" s="18"/>
      <c r="K6303" s="18" t="s">
        <v>316</v>
      </c>
    </row>
    <row r="6304">
      <c r="A6304" s="17"/>
      <c r="H6304" s="18"/>
      <c r="K6304" s="18" t="s">
        <v>316</v>
      </c>
    </row>
    <row r="6305">
      <c r="A6305" s="17"/>
      <c r="H6305" s="18"/>
      <c r="K6305" s="18" t="s">
        <v>316</v>
      </c>
    </row>
    <row r="6306">
      <c r="A6306" s="17"/>
      <c r="H6306" s="18"/>
      <c r="K6306" s="18" t="s">
        <v>316</v>
      </c>
    </row>
    <row r="6307">
      <c r="A6307" s="17"/>
      <c r="H6307" s="18"/>
      <c r="K6307" s="18" t="s">
        <v>316</v>
      </c>
    </row>
    <row r="6308">
      <c r="A6308" s="17"/>
      <c r="H6308" s="18"/>
      <c r="K6308" s="18" t="s">
        <v>316</v>
      </c>
    </row>
    <row r="6309">
      <c r="A6309" s="17"/>
      <c r="H6309" s="18"/>
      <c r="K6309" s="18" t="s">
        <v>316</v>
      </c>
    </row>
    <row r="6310">
      <c r="A6310" s="17"/>
      <c r="H6310" s="18"/>
      <c r="K6310" s="18" t="s">
        <v>316</v>
      </c>
    </row>
    <row r="6311">
      <c r="A6311" s="17"/>
      <c r="H6311" s="18"/>
      <c r="K6311" s="18" t="s">
        <v>316</v>
      </c>
    </row>
    <row r="6312">
      <c r="A6312" s="17"/>
      <c r="H6312" s="18"/>
      <c r="K6312" s="18" t="s">
        <v>316</v>
      </c>
    </row>
    <row r="6313">
      <c r="A6313" s="17"/>
      <c r="H6313" s="18"/>
      <c r="K6313" s="18" t="s">
        <v>316</v>
      </c>
    </row>
    <row r="6314">
      <c r="A6314" s="17"/>
      <c r="H6314" s="18"/>
      <c r="K6314" s="18" t="s">
        <v>316</v>
      </c>
    </row>
    <row r="6315">
      <c r="A6315" s="17"/>
      <c r="H6315" s="18"/>
      <c r="K6315" s="18" t="s">
        <v>316</v>
      </c>
    </row>
    <row r="6316">
      <c r="A6316" s="17"/>
      <c r="H6316" s="18"/>
      <c r="K6316" s="18" t="s">
        <v>316</v>
      </c>
    </row>
    <row r="6317">
      <c r="A6317" s="17"/>
      <c r="H6317" s="18"/>
      <c r="K6317" s="18" t="s">
        <v>316</v>
      </c>
    </row>
    <row r="6318">
      <c r="A6318" s="17"/>
      <c r="H6318" s="18"/>
      <c r="K6318" s="18" t="s">
        <v>316</v>
      </c>
    </row>
    <row r="6319">
      <c r="A6319" s="17"/>
      <c r="H6319" s="18"/>
      <c r="K6319" s="18" t="s">
        <v>316</v>
      </c>
    </row>
    <row r="6320">
      <c r="A6320" s="17"/>
      <c r="H6320" s="18"/>
      <c r="K6320" s="18" t="s">
        <v>316</v>
      </c>
    </row>
    <row r="6321">
      <c r="A6321" s="17"/>
      <c r="H6321" s="18"/>
      <c r="K6321" s="18" t="s">
        <v>316</v>
      </c>
    </row>
    <row r="6322">
      <c r="A6322" s="17"/>
      <c r="H6322" s="18"/>
      <c r="K6322" s="18" t="s">
        <v>316</v>
      </c>
    </row>
    <row r="6323">
      <c r="A6323" s="17"/>
      <c r="H6323" s="18"/>
      <c r="K6323" s="18" t="s">
        <v>316</v>
      </c>
    </row>
    <row r="6324">
      <c r="A6324" s="17"/>
      <c r="H6324" s="18"/>
      <c r="K6324" s="18" t="s">
        <v>316</v>
      </c>
    </row>
    <row r="6325">
      <c r="A6325" s="17"/>
      <c r="H6325" s="18"/>
      <c r="K6325" s="18" t="s">
        <v>316</v>
      </c>
    </row>
    <row r="6326">
      <c r="A6326" s="17"/>
      <c r="H6326" s="18"/>
      <c r="K6326" s="18" t="s">
        <v>316</v>
      </c>
    </row>
    <row r="6327">
      <c r="A6327" s="17"/>
      <c r="H6327" s="18"/>
      <c r="K6327" s="18" t="s">
        <v>316</v>
      </c>
    </row>
    <row r="6328">
      <c r="A6328" s="17"/>
      <c r="H6328" s="18"/>
      <c r="K6328" s="18" t="s">
        <v>316</v>
      </c>
    </row>
    <row r="6329">
      <c r="A6329" s="17"/>
      <c r="H6329" s="18"/>
      <c r="K6329" s="18" t="s">
        <v>316</v>
      </c>
    </row>
    <row r="6330">
      <c r="A6330" s="17"/>
      <c r="H6330" s="18"/>
      <c r="K6330" s="18" t="s">
        <v>316</v>
      </c>
    </row>
    <row r="6331">
      <c r="A6331" s="17"/>
      <c r="H6331" s="18"/>
      <c r="K6331" s="18" t="s">
        <v>316</v>
      </c>
    </row>
    <row r="6332">
      <c r="A6332" s="17"/>
      <c r="H6332" s="18"/>
      <c r="K6332" s="18" t="s">
        <v>316</v>
      </c>
    </row>
    <row r="6333">
      <c r="A6333" s="17"/>
      <c r="H6333" s="18"/>
      <c r="K6333" s="18" t="s">
        <v>316</v>
      </c>
    </row>
    <row r="6334">
      <c r="A6334" s="17"/>
      <c r="H6334" s="18"/>
      <c r="K6334" s="18" t="s">
        <v>316</v>
      </c>
    </row>
    <row r="6335">
      <c r="A6335" s="17"/>
      <c r="H6335" s="18"/>
      <c r="K6335" s="18" t="s">
        <v>316</v>
      </c>
    </row>
    <row r="6336">
      <c r="A6336" s="17"/>
      <c r="H6336" s="18"/>
      <c r="K6336" s="18" t="s">
        <v>316</v>
      </c>
    </row>
    <row r="6337">
      <c r="A6337" s="17"/>
      <c r="H6337" s="18"/>
      <c r="K6337" s="18" t="s">
        <v>316</v>
      </c>
    </row>
    <row r="6338">
      <c r="A6338" s="17"/>
      <c r="H6338" s="18"/>
      <c r="K6338" s="18" t="s">
        <v>316</v>
      </c>
    </row>
    <row r="6339">
      <c r="A6339" s="17"/>
      <c r="H6339" s="18"/>
      <c r="K6339" s="18" t="s">
        <v>316</v>
      </c>
    </row>
    <row r="6340">
      <c r="A6340" s="17"/>
      <c r="H6340" s="18"/>
      <c r="K6340" s="18" t="s">
        <v>316</v>
      </c>
    </row>
    <row r="6341">
      <c r="A6341" s="17"/>
      <c r="H6341" s="18"/>
      <c r="K6341" s="18" t="s">
        <v>316</v>
      </c>
    </row>
    <row r="6342">
      <c r="A6342" s="17"/>
      <c r="H6342" s="18"/>
      <c r="K6342" s="18" t="s">
        <v>316</v>
      </c>
    </row>
    <row r="6343">
      <c r="A6343" s="17"/>
      <c r="H6343" s="18"/>
      <c r="K6343" s="18" t="s">
        <v>316</v>
      </c>
    </row>
    <row r="6344">
      <c r="A6344" s="17"/>
      <c r="H6344" s="18"/>
      <c r="K6344" s="18" t="s">
        <v>316</v>
      </c>
    </row>
    <row r="6345">
      <c r="A6345" s="17"/>
      <c r="H6345" s="18"/>
      <c r="K6345" s="18" t="s">
        <v>316</v>
      </c>
    </row>
    <row r="6346">
      <c r="A6346" s="17"/>
      <c r="H6346" s="18"/>
      <c r="K6346" s="18" t="s">
        <v>316</v>
      </c>
    </row>
    <row r="6347">
      <c r="A6347" s="17"/>
      <c r="H6347" s="18"/>
      <c r="K6347" s="18" t="s">
        <v>316</v>
      </c>
    </row>
    <row r="6348">
      <c r="A6348" s="17"/>
      <c r="H6348" s="18"/>
      <c r="K6348" s="18" t="s">
        <v>316</v>
      </c>
    </row>
    <row r="6349">
      <c r="A6349" s="17"/>
      <c r="H6349" s="18"/>
      <c r="K6349" s="18" t="s">
        <v>316</v>
      </c>
    </row>
    <row r="6350">
      <c r="A6350" s="17"/>
      <c r="H6350" s="18"/>
      <c r="K6350" s="18" t="s">
        <v>316</v>
      </c>
    </row>
    <row r="6351">
      <c r="A6351" s="17"/>
      <c r="H6351" s="18"/>
      <c r="K6351" s="18" t="s">
        <v>316</v>
      </c>
    </row>
    <row r="6352">
      <c r="A6352" s="17"/>
      <c r="H6352" s="18"/>
      <c r="K6352" s="18" t="s">
        <v>316</v>
      </c>
    </row>
    <row r="6353">
      <c r="A6353" s="17"/>
      <c r="H6353" s="18"/>
      <c r="K6353" s="18" t="s">
        <v>316</v>
      </c>
    </row>
    <row r="6354">
      <c r="A6354" s="17"/>
      <c r="H6354" s="18"/>
      <c r="K6354" s="18" t="s">
        <v>316</v>
      </c>
    </row>
    <row r="6355">
      <c r="A6355" s="17"/>
      <c r="H6355" s="18"/>
      <c r="K6355" s="18" t="s">
        <v>316</v>
      </c>
    </row>
    <row r="6356">
      <c r="A6356" s="17"/>
      <c r="H6356" s="18"/>
      <c r="K6356" s="18" t="s">
        <v>316</v>
      </c>
    </row>
    <row r="6357">
      <c r="A6357" s="17"/>
      <c r="H6357" s="18"/>
      <c r="K6357" s="18" t="s">
        <v>316</v>
      </c>
    </row>
    <row r="6358">
      <c r="A6358" s="17"/>
      <c r="H6358" s="18"/>
      <c r="K6358" s="18" t="s">
        <v>316</v>
      </c>
    </row>
    <row r="6359">
      <c r="A6359" s="17"/>
      <c r="H6359" s="18"/>
      <c r="K6359" s="18" t="s">
        <v>316</v>
      </c>
    </row>
    <row r="6360">
      <c r="A6360" s="17"/>
      <c r="H6360" s="18"/>
      <c r="K6360" s="18" t="s">
        <v>316</v>
      </c>
    </row>
    <row r="6361">
      <c r="A6361" s="17"/>
      <c r="H6361" s="18"/>
      <c r="K6361" s="18" t="s">
        <v>316</v>
      </c>
    </row>
    <row r="6362">
      <c r="A6362" s="17"/>
      <c r="H6362" s="18"/>
      <c r="K6362" s="18" t="s">
        <v>316</v>
      </c>
    </row>
    <row r="6363">
      <c r="A6363" s="17"/>
      <c r="H6363" s="18"/>
      <c r="K6363" s="18" t="s">
        <v>316</v>
      </c>
    </row>
    <row r="6364">
      <c r="A6364" s="17"/>
      <c r="H6364" s="18"/>
      <c r="K6364" s="18" t="s">
        <v>316</v>
      </c>
    </row>
    <row r="6365">
      <c r="A6365" s="17"/>
      <c r="H6365" s="18"/>
      <c r="K6365" s="18" t="s">
        <v>316</v>
      </c>
    </row>
    <row r="6366">
      <c r="A6366" s="17"/>
      <c r="H6366" s="18"/>
      <c r="K6366" s="18" t="s">
        <v>316</v>
      </c>
    </row>
    <row r="6367">
      <c r="A6367" s="17"/>
      <c r="H6367" s="18"/>
      <c r="K6367" s="18" t="s">
        <v>316</v>
      </c>
    </row>
    <row r="6368">
      <c r="A6368" s="17"/>
      <c r="H6368" s="18"/>
      <c r="K6368" s="18" t="s">
        <v>316</v>
      </c>
    </row>
    <row r="6369">
      <c r="A6369" s="17"/>
      <c r="H6369" s="18"/>
      <c r="K6369" s="18" t="s">
        <v>316</v>
      </c>
    </row>
    <row r="6370">
      <c r="A6370" s="17"/>
      <c r="H6370" s="18"/>
      <c r="K6370" s="18" t="s">
        <v>316</v>
      </c>
    </row>
    <row r="6371">
      <c r="A6371" s="17"/>
      <c r="H6371" s="18"/>
      <c r="K6371" s="18" t="s">
        <v>316</v>
      </c>
    </row>
    <row r="6372">
      <c r="A6372" s="17"/>
      <c r="H6372" s="18"/>
      <c r="K6372" s="18" t="s">
        <v>316</v>
      </c>
    </row>
    <row r="6373">
      <c r="A6373" s="17"/>
      <c r="H6373" s="18"/>
      <c r="K6373" s="18" t="s">
        <v>316</v>
      </c>
    </row>
    <row r="6374">
      <c r="A6374" s="17"/>
      <c r="H6374" s="18"/>
      <c r="K6374" s="18" t="s">
        <v>316</v>
      </c>
    </row>
    <row r="6375">
      <c r="A6375" s="17"/>
      <c r="H6375" s="18"/>
      <c r="K6375" s="18" t="s">
        <v>316</v>
      </c>
    </row>
    <row r="6376">
      <c r="A6376" s="17"/>
      <c r="H6376" s="18"/>
      <c r="K6376" s="18" t="s">
        <v>316</v>
      </c>
    </row>
    <row r="6377">
      <c r="A6377" s="17"/>
      <c r="H6377" s="18"/>
      <c r="K6377" s="18" t="s">
        <v>316</v>
      </c>
    </row>
    <row r="6378">
      <c r="A6378" s="17"/>
      <c r="H6378" s="18"/>
      <c r="K6378" s="18" t="s">
        <v>316</v>
      </c>
    </row>
    <row r="6379">
      <c r="A6379" s="17"/>
      <c r="H6379" s="18"/>
      <c r="K6379" s="18" t="s">
        <v>316</v>
      </c>
    </row>
    <row r="6380">
      <c r="A6380" s="17"/>
      <c r="H6380" s="18"/>
      <c r="K6380" s="18" t="s">
        <v>316</v>
      </c>
    </row>
    <row r="6381">
      <c r="A6381" s="17"/>
      <c r="H6381" s="18"/>
      <c r="K6381" s="18" t="s">
        <v>316</v>
      </c>
    </row>
    <row r="6382">
      <c r="A6382" s="17"/>
      <c r="H6382" s="18"/>
      <c r="K6382" s="18" t="s">
        <v>316</v>
      </c>
    </row>
    <row r="6383">
      <c r="A6383" s="17"/>
      <c r="H6383" s="18"/>
      <c r="K6383" s="18" t="s">
        <v>316</v>
      </c>
    </row>
    <row r="6384">
      <c r="A6384" s="17"/>
      <c r="H6384" s="18"/>
      <c r="K6384" s="18" t="s">
        <v>316</v>
      </c>
    </row>
    <row r="6385">
      <c r="A6385" s="17"/>
      <c r="H6385" s="18"/>
      <c r="K6385" s="18" t="s">
        <v>316</v>
      </c>
    </row>
    <row r="6386">
      <c r="A6386" s="17"/>
      <c r="H6386" s="18"/>
      <c r="K6386" s="18" t="s">
        <v>316</v>
      </c>
    </row>
    <row r="6387">
      <c r="A6387" s="17"/>
      <c r="H6387" s="18"/>
      <c r="K6387" s="18" t="s">
        <v>316</v>
      </c>
    </row>
    <row r="6388">
      <c r="A6388" s="17"/>
      <c r="H6388" s="18"/>
      <c r="K6388" s="18" t="s">
        <v>316</v>
      </c>
    </row>
    <row r="6389">
      <c r="A6389" s="17"/>
      <c r="H6389" s="18"/>
      <c r="K6389" s="18" t="s">
        <v>316</v>
      </c>
    </row>
    <row r="6390">
      <c r="A6390" s="17"/>
      <c r="H6390" s="18"/>
      <c r="K6390" s="18" t="s">
        <v>316</v>
      </c>
    </row>
    <row r="6391">
      <c r="A6391" s="17"/>
      <c r="H6391" s="18"/>
      <c r="K6391" s="18" t="s">
        <v>316</v>
      </c>
    </row>
    <row r="6392">
      <c r="A6392" s="17"/>
      <c r="H6392" s="18"/>
      <c r="K6392" s="18" t="s">
        <v>316</v>
      </c>
    </row>
    <row r="6393">
      <c r="A6393" s="17"/>
      <c r="H6393" s="18"/>
      <c r="K6393" s="18" t="s">
        <v>316</v>
      </c>
    </row>
    <row r="6394">
      <c r="A6394" s="17"/>
      <c r="H6394" s="18"/>
      <c r="K6394" s="18" t="s">
        <v>316</v>
      </c>
    </row>
    <row r="6395">
      <c r="A6395" s="17"/>
      <c r="H6395" s="18"/>
      <c r="K6395" s="18" t="s">
        <v>316</v>
      </c>
    </row>
    <row r="6396">
      <c r="A6396" s="17"/>
      <c r="H6396" s="18"/>
      <c r="K6396" s="18" t="s">
        <v>316</v>
      </c>
    </row>
    <row r="6397">
      <c r="A6397" s="17"/>
      <c r="H6397" s="18"/>
      <c r="K6397" s="18" t="s">
        <v>316</v>
      </c>
    </row>
    <row r="6398">
      <c r="A6398" s="17"/>
      <c r="H6398" s="18"/>
      <c r="K6398" s="18" t="s">
        <v>316</v>
      </c>
    </row>
    <row r="6399">
      <c r="A6399" s="17"/>
      <c r="H6399" s="18"/>
      <c r="K6399" s="18" t="s">
        <v>316</v>
      </c>
    </row>
    <row r="6400">
      <c r="A6400" s="17"/>
      <c r="H6400" s="18"/>
      <c r="K6400" s="18" t="s">
        <v>316</v>
      </c>
    </row>
    <row r="6401">
      <c r="A6401" s="17"/>
      <c r="H6401" s="18"/>
      <c r="K6401" s="18" t="s">
        <v>316</v>
      </c>
    </row>
    <row r="6402">
      <c r="A6402" s="17"/>
      <c r="H6402" s="18"/>
      <c r="K6402" s="18" t="s">
        <v>316</v>
      </c>
    </row>
    <row r="6403">
      <c r="A6403" s="17"/>
      <c r="H6403" s="18"/>
      <c r="K6403" s="18" t="s">
        <v>316</v>
      </c>
    </row>
    <row r="6404">
      <c r="A6404" s="17"/>
      <c r="H6404" s="18"/>
      <c r="K6404" s="18" t="s">
        <v>316</v>
      </c>
    </row>
    <row r="6405">
      <c r="A6405" s="17"/>
      <c r="H6405" s="18"/>
      <c r="K6405" s="18" t="s">
        <v>316</v>
      </c>
    </row>
    <row r="6406">
      <c r="A6406" s="17"/>
      <c r="H6406" s="18"/>
      <c r="K6406" s="18" t="s">
        <v>316</v>
      </c>
    </row>
    <row r="6407">
      <c r="A6407" s="17"/>
      <c r="H6407" s="18"/>
      <c r="K6407" s="18" t="s">
        <v>316</v>
      </c>
    </row>
    <row r="6408">
      <c r="A6408" s="17"/>
      <c r="H6408" s="18"/>
      <c r="K6408" s="18" t="s">
        <v>316</v>
      </c>
    </row>
    <row r="6409">
      <c r="A6409" s="17"/>
      <c r="H6409" s="18"/>
      <c r="K6409" s="18" t="s">
        <v>316</v>
      </c>
    </row>
    <row r="6410">
      <c r="A6410" s="17"/>
      <c r="H6410" s="18"/>
      <c r="K6410" s="18" t="s">
        <v>316</v>
      </c>
    </row>
    <row r="6411">
      <c r="A6411" s="17"/>
      <c r="H6411" s="18"/>
      <c r="K6411" s="18" t="s">
        <v>316</v>
      </c>
    </row>
    <row r="6412">
      <c r="A6412" s="17"/>
      <c r="H6412" s="18"/>
      <c r="K6412" s="18" t="s">
        <v>316</v>
      </c>
    </row>
    <row r="6413">
      <c r="A6413" s="17"/>
      <c r="H6413" s="18"/>
      <c r="K6413" s="18" t="s">
        <v>316</v>
      </c>
    </row>
    <row r="6414">
      <c r="A6414" s="17"/>
      <c r="H6414" s="18"/>
      <c r="K6414" s="18" t="s">
        <v>316</v>
      </c>
    </row>
    <row r="6415">
      <c r="A6415" s="17"/>
      <c r="H6415" s="18"/>
      <c r="K6415" s="18" t="s">
        <v>316</v>
      </c>
    </row>
    <row r="6416">
      <c r="A6416" s="17"/>
      <c r="H6416" s="18"/>
      <c r="K6416" s="18" t="s">
        <v>316</v>
      </c>
    </row>
    <row r="6417">
      <c r="A6417" s="17"/>
      <c r="H6417" s="18"/>
      <c r="K6417" s="18" t="s">
        <v>316</v>
      </c>
    </row>
    <row r="6418">
      <c r="A6418" s="17"/>
      <c r="H6418" s="18"/>
      <c r="K6418" s="18" t="s">
        <v>316</v>
      </c>
    </row>
    <row r="6419">
      <c r="A6419" s="17"/>
      <c r="H6419" s="18"/>
      <c r="K6419" s="18" t="s">
        <v>316</v>
      </c>
    </row>
    <row r="6420">
      <c r="A6420" s="17"/>
      <c r="H6420" s="18"/>
      <c r="K6420" s="18" t="s">
        <v>316</v>
      </c>
    </row>
    <row r="6421">
      <c r="A6421" s="17"/>
      <c r="H6421" s="18"/>
      <c r="K6421" s="18" t="s">
        <v>316</v>
      </c>
    </row>
    <row r="6422">
      <c r="A6422" s="17"/>
      <c r="H6422" s="18"/>
      <c r="K6422" s="18" t="s">
        <v>316</v>
      </c>
    </row>
    <row r="6423">
      <c r="A6423" s="17"/>
      <c r="H6423" s="18"/>
      <c r="K6423" s="18" t="s">
        <v>316</v>
      </c>
    </row>
    <row r="6424">
      <c r="A6424" s="17"/>
      <c r="H6424" s="18"/>
      <c r="K6424" s="18" t="s">
        <v>316</v>
      </c>
    </row>
    <row r="6425">
      <c r="A6425" s="17"/>
      <c r="H6425" s="18"/>
      <c r="K6425" s="18" t="s">
        <v>316</v>
      </c>
    </row>
    <row r="6426">
      <c r="A6426" s="17"/>
      <c r="H6426" s="18"/>
      <c r="K6426" s="18" t="s">
        <v>316</v>
      </c>
    </row>
    <row r="6427">
      <c r="A6427" s="17"/>
      <c r="H6427" s="18"/>
      <c r="K6427" s="18" t="s">
        <v>316</v>
      </c>
    </row>
    <row r="6428">
      <c r="A6428" s="17"/>
      <c r="H6428" s="18"/>
      <c r="K6428" s="18" t="s">
        <v>316</v>
      </c>
    </row>
    <row r="6429">
      <c r="A6429" s="17"/>
      <c r="H6429" s="18"/>
      <c r="K6429" s="18" t="s">
        <v>316</v>
      </c>
    </row>
    <row r="6430">
      <c r="A6430" s="17"/>
      <c r="H6430" s="18"/>
      <c r="K6430" s="18" t="s">
        <v>316</v>
      </c>
    </row>
    <row r="6431">
      <c r="A6431" s="17"/>
      <c r="H6431" s="18"/>
      <c r="K6431" s="18" t="s">
        <v>316</v>
      </c>
    </row>
    <row r="6432">
      <c r="A6432" s="17"/>
      <c r="H6432" s="18"/>
      <c r="K6432" s="18" t="s">
        <v>316</v>
      </c>
    </row>
    <row r="6433">
      <c r="A6433" s="17"/>
      <c r="H6433" s="18"/>
      <c r="K6433" s="18" t="s">
        <v>316</v>
      </c>
    </row>
    <row r="6434">
      <c r="A6434" s="17"/>
      <c r="H6434" s="18"/>
      <c r="K6434" s="18" t="s">
        <v>316</v>
      </c>
    </row>
    <row r="6435">
      <c r="A6435" s="17"/>
      <c r="H6435" s="18"/>
      <c r="K6435" s="18" t="s">
        <v>316</v>
      </c>
    </row>
    <row r="6436">
      <c r="A6436" s="17"/>
      <c r="H6436" s="18"/>
      <c r="K6436" s="18" t="s">
        <v>316</v>
      </c>
    </row>
    <row r="6437">
      <c r="A6437" s="17"/>
      <c r="H6437" s="18"/>
      <c r="K6437" s="18" t="s">
        <v>316</v>
      </c>
    </row>
    <row r="6438">
      <c r="A6438" s="17"/>
      <c r="H6438" s="18"/>
      <c r="K6438" s="18" t="s">
        <v>316</v>
      </c>
    </row>
    <row r="6439">
      <c r="A6439" s="17"/>
      <c r="H6439" s="18"/>
      <c r="K6439" s="18" t="s">
        <v>316</v>
      </c>
    </row>
    <row r="6440">
      <c r="A6440" s="17"/>
      <c r="H6440" s="18"/>
      <c r="K6440" s="18" t="s">
        <v>316</v>
      </c>
    </row>
    <row r="6441">
      <c r="A6441" s="17"/>
      <c r="H6441" s="18"/>
      <c r="K6441" s="18" t="s">
        <v>316</v>
      </c>
    </row>
    <row r="6442">
      <c r="A6442" s="17"/>
      <c r="H6442" s="18"/>
      <c r="K6442" s="18" t="s">
        <v>316</v>
      </c>
    </row>
    <row r="6443">
      <c r="A6443" s="17"/>
      <c r="H6443" s="18"/>
      <c r="K6443" s="18" t="s">
        <v>316</v>
      </c>
    </row>
    <row r="6444">
      <c r="A6444" s="17"/>
      <c r="H6444" s="18"/>
      <c r="K6444" s="18" t="s">
        <v>316</v>
      </c>
    </row>
    <row r="6445">
      <c r="A6445" s="17"/>
      <c r="H6445" s="18"/>
      <c r="K6445" s="18" t="s">
        <v>316</v>
      </c>
    </row>
    <row r="6446">
      <c r="A6446" s="17"/>
      <c r="H6446" s="18"/>
      <c r="K6446" s="18" t="s">
        <v>316</v>
      </c>
    </row>
    <row r="6447">
      <c r="A6447" s="17"/>
      <c r="H6447" s="18"/>
      <c r="K6447" s="18" t="s">
        <v>316</v>
      </c>
    </row>
    <row r="6448">
      <c r="A6448" s="17"/>
      <c r="H6448" s="18"/>
      <c r="K6448" s="18" t="s">
        <v>316</v>
      </c>
    </row>
    <row r="6449">
      <c r="A6449" s="17"/>
      <c r="H6449" s="18"/>
      <c r="K6449" s="18" t="s">
        <v>316</v>
      </c>
    </row>
    <row r="6450">
      <c r="A6450" s="17"/>
      <c r="H6450" s="18"/>
      <c r="K6450" s="18" t="s">
        <v>316</v>
      </c>
    </row>
    <row r="6451">
      <c r="A6451" s="17"/>
      <c r="H6451" s="18"/>
      <c r="K6451" s="18" t="s">
        <v>316</v>
      </c>
    </row>
    <row r="6452">
      <c r="A6452" s="17"/>
      <c r="H6452" s="18"/>
      <c r="K6452" s="18" t="s">
        <v>316</v>
      </c>
    </row>
    <row r="6453">
      <c r="A6453" s="17"/>
      <c r="H6453" s="18"/>
      <c r="K6453" s="18" t="s">
        <v>316</v>
      </c>
    </row>
    <row r="6454">
      <c r="A6454" s="17"/>
      <c r="H6454" s="18"/>
      <c r="K6454" s="18" t="s">
        <v>316</v>
      </c>
    </row>
    <row r="6455">
      <c r="A6455" s="17"/>
      <c r="H6455" s="18"/>
      <c r="K6455" s="18" t="s">
        <v>316</v>
      </c>
    </row>
    <row r="6456">
      <c r="A6456" s="17"/>
      <c r="H6456" s="18"/>
      <c r="K6456" s="18" t="s">
        <v>316</v>
      </c>
    </row>
    <row r="6457">
      <c r="A6457" s="17"/>
      <c r="H6457" s="18"/>
      <c r="K6457" s="18" t="s">
        <v>316</v>
      </c>
    </row>
    <row r="6458">
      <c r="A6458" s="17"/>
      <c r="H6458" s="18"/>
      <c r="K6458" s="18" t="s">
        <v>316</v>
      </c>
    </row>
    <row r="6459">
      <c r="A6459" s="17"/>
      <c r="H6459" s="18"/>
      <c r="K6459" s="18" t="s">
        <v>316</v>
      </c>
    </row>
    <row r="6460">
      <c r="A6460" s="17"/>
      <c r="H6460" s="18"/>
      <c r="K6460" s="18" t="s">
        <v>316</v>
      </c>
    </row>
    <row r="6461">
      <c r="A6461" s="17"/>
      <c r="H6461" s="18"/>
      <c r="K6461" s="18" t="s">
        <v>316</v>
      </c>
    </row>
    <row r="6462">
      <c r="A6462" s="17"/>
      <c r="H6462" s="18"/>
      <c r="K6462" s="18" t="s">
        <v>316</v>
      </c>
    </row>
    <row r="6463">
      <c r="A6463" s="17"/>
      <c r="H6463" s="18"/>
      <c r="K6463" s="18" t="s">
        <v>316</v>
      </c>
    </row>
    <row r="6464">
      <c r="A6464" s="17"/>
      <c r="H6464" s="18"/>
      <c r="K6464" s="18" t="s">
        <v>316</v>
      </c>
    </row>
    <row r="6465">
      <c r="A6465" s="17"/>
      <c r="H6465" s="18"/>
      <c r="K6465" s="18" t="s">
        <v>316</v>
      </c>
    </row>
    <row r="6466">
      <c r="A6466" s="17"/>
      <c r="H6466" s="18"/>
      <c r="K6466" s="18" t="s">
        <v>316</v>
      </c>
    </row>
    <row r="6467">
      <c r="A6467" s="17"/>
      <c r="H6467" s="18"/>
      <c r="K6467" s="18" t="s">
        <v>316</v>
      </c>
    </row>
    <row r="6468">
      <c r="A6468" s="17"/>
      <c r="H6468" s="18"/>
      <c r="K6468" s="18" t="s">
        <v>316</v>
      </c>
    </row>
    <row r="6469">
      <c r="A6469" s="17"/>
      <c r="H6469" s="18"/>
      <c r="K6469" s="18" t="s">
        <v>316</v>
      </c>
    </row>
    <row r="6470">
      <c r="A6470" s="17"/>
      <c r="H6470" s="18"/>
      <c r="K6470" s="18" t="s">
        <v>316</v>
      </c>
    </row>
    <row r="6471">
      <c r="A6471" s="17"/>
      <c r="H6471" s="18"/>
      <c r="K6471" s="18" t="s">
        <v>316</v>
      </c>
    </row>
    <row r="6472">
      <c r="A6472" s="17"/>
      <c r="H6472" s="18"/>
      <c r="K6472" s="18" t="s">
        <v>316</v>
      </c>
    </row>
    <row r="6473">
      <c r="A6473" s="17"/>
      <c r="H6473" s="18"/>
      <c r="K6473" s="18" t="s">
        <v>316</v>
      </c>
    </row>
    <row r="6474">
      <c r="A6474" s="17"/>
      <c r="H6474" s="18"/>
      <c r="K6474" s="18" t="s">
        <v>316</v>
      </c>
    </row>
    <row r="6475">
      <c r="A6475" s="17"/>
      <c r="H6475" s="18"/>
      <c r="K6475" s="18" t="s">
        <v>316</v>
      </c>
    </row>
    <row r="6476">
      <c r="A6476" s="17"/>
      <c r="H6476" s="18"/>
      <c r="K6476" s="18" t="s">
        <v>316</v>
      </c>
    </row>
    <row r="6477">
      <c r="A6477" s="17"/>
      <c r="H6477" s="18"/>
      <c r="K6477" s="18" t="s">
        <v>316</v>
      </c>
    </row>
    <row r="6478">
      <c r="A6478" s="17"/>
      <c r="H6478" s="18"/>
      <c r="K6478" s="18" t="s">
        <v>316</v>
      </c>
    </row>
    <row r="6479">
      <c r="A6479" s="17"/>
      <c r="H6479" s="18"/>
      <c r="K6479" s="18" t="s">
        <v>316</v>
      </c>
    </row>
    <row r="6480">
      <c r="A6480" s="17"/>
      <c r="H6480" s="18"/>
      <c r="K6480" s="18" t="s">
        <v>316</v>
      </c>
    </row>
    <row r="6481">
      <c r="A6481" s="17"/>
      <c r="H6481" s="18"/>
      <c r="K6481" s="18" t="s">
        <v>316</v>
      </c>
    </row>
    <row r="6482">
      <c r="A6482" s="17"/>
      <c r="H6482" s="18"/>
      <c r="K6482" s="18" t="s">
        <v>316</v>
      </c>
    </row>
    <row r="6483">
      <c r="A6483" s="17"/>
      <c r="H6483" s="18"/>
      <c r="K6483" s="18" t="s">
        <v>316</v>
      </c>
    </row>
    <row r="6484">
      <c r="A6484" s="17"/>
      <c r="H6484" s="18"/>
      <c r="K6484" s="18" t="s">
        <v>316</v>
      </c>
    </row>
    <row r="6485">
      <c r="A6485" s="17"/>
      <c r="H6485" s="18"/>
      <c r="K6485" s="18" t="s">
        <v>316</v>
      </c>
    </row>
    <row r="6486">
      <c r="A6486" s="17"/>
      <c r="H6486" s="18"/>
      <c r="K6486" s="18" t="s">
        <v>316</v>
      </c>
    </row>
    <row r="6487">
      <c r="A6487" s="17"/>
      <c r="H6487" s="18"/>
      <c r="K6487" s="18" t="s">
        <v>316</v>
      </c>
    </row>
    <row r="6488">
      <c r="A6488" s="17"/>
      <c r="H6488" s="18"/>
      <c r="K6488" s="18" t="s">
        <v>316</v>
      </c>
    </row>
    <row r="6489">
      <c r="A6489" s="17"/>
      <c r="H6489" s="18"/>
      <c r="K6489" s="18" t="s">
        <v>316</v>
      </c>
    </row>
    <row r="6490">
      <c r="A6490" s="17"/>
      <c r="H6490" s="18"/>
      <c r="K6490" s="18" t="s">
        <v>316</v>
      </c>
    </row>
    <row r="6491">
      <c r="A6491" s="17"/>
      <c r="H6491" s="18"/>
      <c r="K6491" s="18" t="s">
        <v>316</v>
      </c>
    </row>
    <row r="6492">
      <c r="A6492" s="17"/>
      <c r="H6492" s="18"/>
      <c r="K6492" s="18" t="s">
        <v>316</v>
      </c>
    </row>
    <row r="6493">
      <c r="A6493" s="17"/>
      <c r="H6493" s="18"/>
      <c r="K6493" s="18" t="s">
        <v>316</v>
      </c>
    </row>
    <row r="6494">
      <c r="A6494" s="17"/>
      <c r="H6494" s="18"/>
      <c r="K6494" s="18" t="s">
        <v>316</v>
      </c>
    </row>
    <row r="6495">
      <c r="A6495" s="17"/>
      <c r="H6495" s="18"/>
      <c r="K6495" s="18" t="s">
        <v>316</v>
      </c>
    </row>
    <row r="6496">
      <c r="A6496" s="17"/>
      <c r="H6496" s="18"/>
      <c r="K6496" s="18" t="s">
        <v>316</v>
      </c>
    </row>
    <row r="6497">
      <c r="A6497" s="17"/>
      <c r="H6497" s="18"/>
      <c r="K6497" s="18" t="s">
        <v>316</v>
      </c>
    </row>
    <row r="6498">
      <c r="A6498" s="17"/>
      <c r="H6498" s="18"/>
      <c r="K6498" s="18" t="s">
        <v>316</v>
      </c>
    </row>
    <row r="6499">
      <c r="A6499" s="17"/>
      <c r="H6499" s="18"/>
      <c r="K6499" s="18" t="s">
        <v>316</v>
      </c>
    </row>
    <row r="6500">
      <c r="A6500" s="17"/>
      <c r="H6500" s="18"/>
      <c r="K6500" s="18" t="s">
        <v>316</v>
      </c>
    </row>
    <row r="6501">
      <c r="A6501" s="17"/>
      <c r="H6501" s="18"/>
      <c r="K6501" s="18" t="s">
        <v>316</v>
      </c>
    </row>
    <row r="6502">
      <c r="A6502" s="17"/>
      <c r="H6502" s="18"/>
      <c r="K6502" s="18" t="s">
        <v>316</v>
      </c>
    </row>
    <row r="6503">
      <c r="A6503" s="17"/>
      <c r="H6503" s="18"/>
      <c r="K6503" s="18" t="s">
        <v>316</v>
      </c>
    </row>
    <row r="6504">
      <c r="A6504" s="17"/>
      <c r="H6504" s="18"/>
      <c r="K6504" s="18" t="s">
        <v>316</v>
      </c>
    </row>
    <row r="6505">
      <c r="A6505" s="17"/>
      <c r="H6505" s="18"/>
      <c r="K6505" s="18" t="s">
        <v>316</v>
      </c>
    </row>
    <row r="6506">
      <c r="A6506" s="17"/>
      <c r="H6506" s="18"/>
      <c r="K6506" s="18" t="s">
        <v>316</v>
      </c>
    </row>
    <row r="6507">
      <c r="A6507" s="17"/>
      <c r="H6507" s="18"/>
      <c r="K6507" s="18" t="s">
        <v>316</v>
      </c>
    </row>
    <row r="6508">
      <c r="A6508" s="17"/>
      <c r="H6508" s="18"/>
      <c r="K6508" s="18" t="s">
        <v>316</v>
      </c>
    </row>
    <row r="6509">
      <c r="A6509" s="17"/>
      <c r="H6509" s="18"/>
      <c r="K6509" s="18" t="s">
        <v>316</v>
      </c>
    </row>
    <row r="6510">
      <c r="A6510" s="17"/>
      <c r="H6510" s="18"/>
      <c r="K6510" s="18" t="s">
        <v>316</v>
      </c>
    </row>
    <row r="6511">
      <c r="A6511" s="17"/>
      <c r="H6511" s="18"/>
      <c r="K6511" s="18" t="s">
        <v>316</v>
      </c>
    </row>
    <row r="6512">
      <c r="A6512" s="17"/>
      <c r="H6512" s="18"/>
      <c r="K6512" s="18" t="s">
        <v>316</v>
      </c>
    </row>
    <row r="6513">
      <c r="A6513" s="17"/>
      <c r="H6513" s="18"/>
      <c r="K6513" s="18" t="s">
        <v>316</v>
      </c>
    </row>
    <row r="6514">
      <c r="A6514" s="17"/>
      <c r="H6514" s="18"/>
      <c r="K6514" s="18" t="s">
        <v>316</v>
      </c>
    </row>
    <row r="6515">
      <c r="A6515" s="17"/>
      <c r="H6515" s="18"/>
      <c r="K6515" s="18" t="s">
        <v>316</v>
      </c>
    </row>
    <row r="6516">
      <c r="A6516" s="17"/>
      <c r="H6516" s="18"/>
      <c r="K6516" s="18" t="s">
        <v>316</v>
      </c>
    </row>
    <row r="6517">
      <c r="A6517" s="17"/>
      <c r="H6517" s="18"/>
      <c r="K6517" s="18" t="s">
        <v>316</v>
      </c>
    </row>
    <row r="6518">
      <c r="A6518" s="17"/>
      <c r="H6518" s="18"/>
      <c r="K6518" s="18" t="s">
        <v>316</v>
      </c>
    </row>
    <row r="6519">
      <c r="A6519" s="17"/>
      <c r="H6519" s="18"/>
      <c r="K6519" s="18" t="s">
        <v>316</v>
      </c>
    </row>
    <row r="6520">
      <c r="A6520" s="17"/>
      <c r="H6520" s="18"/>
      <c r="K6520" s="18" t="s">
        <v>316</v>
      </c>
    </row>
    <row r="6521">
      <c r="A6521" s="17"/>
      <c r="H6521" s="18"/>
      <c r="K6521" s="18" t="s">
        <v>316</v>
      </c>
    </row>
    <row r="6522">
      <c r="A6522" s="17"/>
      <c r="H6522" s="18"/>
      <c r="K6522" s="18" t="s">
        <v>316</v>
      </c>
    </row>
    <row r="6523">
      <c r="A6523" s="17"/>
      <c r="H6523" s="18"/>
      <c r="K6523" s="18" t="s">
        <v>316</v>
      </c>
    </row>
    <row r="6524">
      <c r="A6524" s="17"/>
      <c r="H6524" s="18"/>
      <c r="K6524" s="18" t="s">
        <v>316</v>
      </c>
    </row>
    <row r="6525">
      <c r="A6525" s="17"/>
      <c r="H6525" s="18"/>
      <c r="K6525" s="18" t="s">
        <v>316</v>
      </c>
    </row>
    <row r="6526">
      <c r="A6526" s="17"/>
      <c r="H6526" s="18"/>
      <c r="K6526" s="18" t="s">
        <v>316</v>
      </c>
    </row>
    <row r="6527">
      <c r="A6527" s="17"/>
      <c r="H6527" s="18"/>
      <c r="K6527" s="18" t="s">
        <v>316</v>
      </c>
    </row>
    <row r="6528">
      <c r="A6528" s="17"/>
      <c r="H6528" s="18"/>
      <c r="K6528" s="18" t="s">
        <v>316</v>
      </c>
    </row>
    <row r="6529">
      <c r="A6529" s="17"/>
      <c r="H6529" s="18"/>
      <c r="K6529" s="18" t="s">
        <v>316</v>
      </c>
    </row>
    <row r="6530">
      <c r="A6530" s="17"/>
      <c r="H6530" s="18"/>
      <c r="K6530" s="18" t="s">
        <v>316</v>
      </c>
    </row>
    <row r="6531">
      <c r="A6531" s="17"/>
      <c r="H6531" s="18"/>
      <c r="K6531" s="18" t="s">
        <v>316</v>
      </c>
    </row>
    <row r="6532">
      <c r="A6532" s="17"/>
      <c r="H6532" s="18"/>
      <c r="K6532" s="18" t="s">
        <v>316</v>
      </c>
    </row>
    <row r="6533">
      <c r="A6533" s="17"/>
      <c r="H6533" s="18"/>
      <c r="K6533" s="18" t="s">
        <v>316</v>
      </c>
    </row>
    <row r="6534">
      <c r="A6534" s="17"/>
      <c r="H6534" s="18"/>
      <c r="K6534" s="18" t="s">
        <v>316</v>
      </c>
    </row>
    <row r="6535">
      <c r="A6535" s="17"/>
      <c r="H6535" s="18"/>
      <c r="K6535" s="18" t="s">
        <v>316</v>
      </c>
    </row>
    <row r="6536">
      <c r="A6536" s="17"/>
      <c r="H6536" s="18"/>
      <c r="K6536" s="18" t="s">
        <v>316</v>
      </c>
    </row>
    <row r="6537">
      <c r="A6537" s="17"/>
      <c r="H6537" s="18"/>
      <c r="K6537" s="18" t="s">
        <v>316</v>
      </c>
    </row>
    <row r="6538">
      <c r="A6538" s="17"/>
      <c r="H6538" s="18"/>
      <c r="K6538" s="18" t="s">
        <v>316</v>
      </c>
    </row>
    <row r="6539">
      <c r="A6539" s="17"/>
      <c r="H6539" s="18"/>
      <c r="K6539" s="18" t="s">
        <v>316</v>
      </c>
    </row>
    <row r="6540">
      <c r="A6540" s="17"/>
      <c r="H6540" s="18"/>
      <c r="K6540" s="18" t="s">
        <v>316</v>
      </c>
    </row>
    <row r="6541">
      <c r="A6541" s="17"/>
      <c r="H6541" s="18"/>
      <c r="K6541" s="18" t="s">
        <v>316</v>
      </c>
    </row>
    <row r="6542">
      <c r="A6542" s="17"/>
      <c r="H6542" s="18"/>
      <c r="K6542" s="18" t="s">
        <v>316</v>
      </c>
    </row>
    <row r="6543">
      <c r="A6543" s="17"/>
      <c r="H6543" s="18"/>
      <c r="K6543" s="18" t="s">
        <v>316</v>
      </c>
    </row>
    <row r="6544">
      <c r="A6544" s="17"/>
      <c r="H6544" s="18"/>
      <c r="K6544" s="18" t="s">
        <v>316</v>
      </c>
    </row>
    <row r="6545">
      <c r="A6545" s="17"/>
      <c r="H6545" s="18"/>
      <c r="K6545" s="18" t="s">
        <v>316</v>
      </c>
    </row>
    <row r="6546">
      <c r="A6546" s="17"/>
      <c r="H6546" s="18"/>
      <c r="K6546" s="18" t="s">
        <v>316</v>
      </c>
    </row>
    <row r="6547">
      <c r="A6547" s="17"/>
      <c r="H6547" s="18"/>
      <c r="K6547" s="18" t="s">
        <v>316</v>
      </c>
    </row>
    <row r="6548">
      <c r="A6548" s="17"/>
      <c r="H6548" s="18"/>
      <c r="K6548" s="18" t="s">
        <v>316</v>
      </c>
    </row>
    <row r="6549">
      <c r="A6549" s="17"/>
      <c r="H6549" s="18"/>
      <c r="K6549" s="18" t="s">
        <v>316</v>
      </c>
    </row>
    <row r="6550">
      <c r="A6550" s="17"/>
      <c r="H6550" s="18"/>
      <c r="K6550" s="18" t="s">
        <v>316</v>
      </c>
    </row>
    <row r="6551">
      <c r="A6551" s="17"/>
      <c r="H6551" s="18"/>
      <c r="K6551" s="18" t="s">
        <v>316</v>
      </c>
    </row>
    <row r="6552">
      <c r="A6552" s="17"/>
      <c r="H6552" s="18"/>
      <c r="K6552" s="18" t="s">
        <v>316</v>
      </c>
    </row>
    <row r="6553">
      <c r="A6553" s="17"/>
      <c r="H6553" s="18"/>
      <c r="K6553" s="18" t="s">
        <v>316</v>
      </c>
    </row>
    <row r="6554">
      <c r="A6554" s="17"/>
      <c r="H6554" s="18"/>
      <c r="K6554" s="18" t="s">
        <v>316</v>
      </c>
    </row>
    <row r="6555">
      <c r="A6555" s="17"/>
      <c r="H6555" s="18"/>
      <c r="K6555" s="18" t="s">
        <v>316</v>
      </c>
    </row>
    <row r="6556">
      <c r="A6556" s="17"/>
      <c r="H6556" s="18"/>
      <c r="K6556" s="18" t="s">
        <v>316</v>
      </c>
    </row>
    <row r="6557">
      <c r="A6557" s="17"/>
      <c r="H6557" s="18"/>
      <c r="K6557" s="18" t="s">
        <v>316</v>
      </c>
    </row>
    <row r="6558">
      <c r="A6558" s="17"/>
      <c r="H6558" s="18"/>
      <c r="K6558" s="18" t="s">
        <v>316</v>
      </c>
    </row>
    <row r="6559">
      <c r="A6559" s="17"/>
      <c r="H6559" s="18"/>
      <c r="K6559" s="18" t="s">
        <v>316</v>
      </c>
    </row>
    <row r="6560">
      <c r="A6560" s="17"/>
      <c r="H6560" s="18"/>
      <c r="K6560" s="18" t="s">
        <v>316</v>
      </c>
    </row>
    <row r="6561">
      <c r="A6561" s="17"/>
      <c r="H6561" s="18"/>
      <c r="K6561" s="18" t="s">
        <v>316</v>
      </c>
    </row>
    <row r="6562">
      <c r="A6562" s="17"/>
      <c r="H6562" s="18"/>
      <c r="K6562" s="18" t="s">
        <v>316</v>
      </c>
    </row>
    <row r="6563">
      <c r="A6563" s="17"/>
      <c r="H6563" s="18"/>
      <c r="K6563" s="18" t="s">
        <v>316</v>
      </c>
    </row>
    <row r="6564">
      <c r="A6564" s="17"/>
      <c r="H6564" s="18"/>
      <c r="K6564" s="18" t="s">
        <v>316</v>
      </c>
    </row>
    <row r="6565">
      <c r="A6565" s="17"/>
      <c r="H6565" s="18"/>
      <c r="K6565" s="18" t="s">
        <v>316</v>
      </c>
    </row>
    <row r="6566">
      <c r="A6566" s="17"/>
      <c r="H6566" s="18"/>
      <c r="K6566" s="18" t="s">
        <v>316</v>
      </c>
    </row>
    <row r="6567">
      <c r="A6567" s="17"/>
      <c r="H6567" s="18"/>
      <c r="K6567" s="18" t="s">
        <v>316</v>
      </c>
    </row>
    <row r="6568">
      <c r="A6568" s="17"/>
      <c r="H6568" s="18"/>
      <c r="K6568" s="18" t="s">
        <v>316</v>
      </c>
    </row>
    <row r="6569">
      <c r="A6569" s="17"/>
      <c r="H6569" s="18"/>
      <c r="K6569" s="18" t="s">
        <v>316</v>
      </c>
    </row>
    <row r="6570">
      <c r="A6570" s="17"/>
      <c r="H6570" s="18"/>
      <c r="K6570" s="18" t="s">
        <v>316</v>
      </c>
    </row>
    <row r="6571">
      <c r="A6571" s="17"/>
      <c r="H6571" s="18"/>
      <c r="K6571" s="18" t="s">
        <v>316</v>
      </c>
    </row>
    <row r="6572">
      <c r="A6572" s="17"/>
      <c r="H6572" s="18"/>
      <c r="K6572" s="18" t="s">
        <v>316</v>
      </c>
    </row>
    <row r="6573">
      <c r="A6573" s="17"/>
      <c r="H6573" s="18"/>
      <c r="K6573" s="18" t="s">
        <v>316</v>
      </c>
    </row>
    <row r="6574">
      <c r="A6574" s="17"/>
      <c r="H6574" s="18"/>
      <c r="K6574" s="18" t="s">
        <v>316</v>
      </c>
    </row>
    <row r="6575">
      <c r="A6575" s="17"/>
      <c r="H6575" s="18"/>
      <c r="K6575" s="18" t="s">
        <v>316</v>
      </c>
    </row>
    <row r="6576">
      <c r="A6576" s="17"/>
      <c r="H6576" s="18"/>
      <c r="K6576" s="18" t="s">
        <v>316</v>
      </c>
    </row>
    <row r="6577">
      <c r="A6577" s="17"/>
      <c r="H6577" s="18"/>
      <c r="K6577" s="18" t="s">
        <v>316</v>
      </c>
    </row>
    <row r="6578">
      <c r="A6578" s="17"/>
      <c r="H6578" s="18"/>
      <c r="K6578" s="18" t="s">
        <v>316</v>
      </c>
    </row>
    <row r="6579">
      <c r="A6579" s="17"/>
      <c r="H6579" s="18"/>
      <c r="K6579" s="18" t="s">
        <v>316</v>
      </c>
    </row>
    <row r="6580">
      <c r="A6580" s="17"/>
      <c r="H6580" s="18"/>
      <c r="K6580" s="18" t="s">
        <v>316</v>
      </c>
    </row>
    <row r="6581">
      <c r="A6581" s="17"/>
      <c r="H6581" s="18"/>
      <c r="K6581" s="18" t="s">
        <v>316</v>
      </c>
    </row>
    <row r="6582">
      <c r="A6582" s="17"/>
      <c r="H6582" s="18"/>
      <c r="K6582" s="18" t="s">
        <v>316</v>
      </c>
    </row>
    <row r="6583">
      <c r="A6583" s="17"/>
      <c r="H6583" s="18"/>
      <c r="K6583" s="18" t="s">
        <v>316</v>
      </c>
    </row>
    <row r="6584">
      <c r="A6584" s="17"/>
      <c r="H6584" s="18"/>
      <c r="K6584" s="18" t="s">
        <v>316</v>
      </c>
    </row>
    <row r="6585">
      <c r="A6585" s="17"/>
      <c r="H6585" s="18"/>
      <c r="K6585" s="18" t="s">
        <v>316</v>
      </c>
    </row>
    <row r="6586">
      <c r="A6586" s="17"/>
      <c r="H6586" s="18"/>
      <c r="K6586" s="18" t="s">
        <v>316</v>
      </c>
    </row>
    <row r="6587">
      <c r="A6587" s="17"/>
      <c r="H6587" s="18"/>
      <c r="K6587" s="18" t="s">
        <v>316</v>
      </c>
    </row>
    <row r="6588">
      <c r="A6588" s="17"/>
      <c r="H6588" s="18"/>
      <c r="K6588" s="18" t="s">
        <v>316</v>
      </c>
    </row>
    <row r="6589">
      <c r="A6589" s="17"/>
      <c r="H6589" s="18"/>
      <c r="K6589" s="18" t="s">
        <v>316</v>
      </c>
    </row>
    <row r="6590">
      <c r="A6590" s="17"/>
      <c r="H6590" s="18"/>
      <c r="K6590" s="18" t="s">
        <v>316</v>
      </c>
    </row>
    <row r="6591">
      <c r="A6591" s="17"/>
      <c r="H6591" s="18"/>
      <c r="K6591" s="18" t="s">
        <v>316</v>
      </c>
    </row>
    <row r="6592">
      <c r="A6592" s="17"/>
      <c r="H6592" s="18"/>
      <c r="K6592" s="18" t="s">
        <v>316</v>
      </c>
    </row>
    <row r="6593">
      <c r="A6593" s="17"/>
      <c r="H6593" s="18"/>
      <c r="K6593" s="18" t="s">
        <v>316</v>
      </c>
    </row>
    <row r="6594">
      <c r="A6594" s="17"/>
      <c r="H6594" s="18"/>
      <c r="K6594" s="18" t="s">
        <v>316</v>
      </c>
    </row>
    <row r="6595">
      <c r="A6595" s="17"/>
      <c r="H6595" s="18"/>
      <c r="K6595" s="18" t="s">
        <v>316</v>
      </c>
    </row>
    <row r="6596">
      <c r="A6596" s="17"/>
      <c r="H6596" s="18"/>
      <c r="K6596" s="18" t="s">
        <v>316</v>
      </c>
    </row>
    <row r="6597">
      <c r="A6597" s="17"/>
      <c r="H6597" s="18"/>
      <c r="K6597" s="18" t="s">
        <v>316</v>
      </c>
    </row>
    <row r="6598">
      <c r="A6598" s="17"/>
      <c r="H6598" s="18"/>
      <c r="K6598" s="18" t="s">
        <v>316</v>
      </c>
    </row>
    <row r="6599">
      <c r="A6599" s="17"/>
      <c r="H6599" s="18"/>
      <c r="K6599" s="18" t="s">
        <v>316</v>
      </c>
    </row>
    <row r="6600">
      <c r="A6600" s="17"/>
      <c r="H6600" s="18"/>
      <c r="K6600" s="18" t="s">
        <v>316</v>
      </c>
    </row>
    <row r="6601">
      <c r="A6601" s="17"/>
      <c r="H6601" s="18"/>
      <c r="K6601" s="18" t="s">
        <v>316</v>
      </c>
    </row>
    <row r="6602">
      <c r="A6602" s="17"/>
      <c r="H6602" s="18"/>
      <c r="K6602" s="18" t="s">
        <v>316</v>
      </c>
    </row>
    <row r="6603">
      <c r="A6603" s="17"/>
      <c r="H6603" s="18"/>
      <c r="K6603" s="18" t="s">
        <v>316</v>
      </c>
    </row>
    <row r="6604">
      <c r="A6604" s="17"/>
      <c r="H6604" s="18"/>
      <c r="K6604" s="18" t="s">
        <v>316</v>
      </c>
    </row>
    <row r="6605">
      <c r="A6605" s="17"/>
      <c r="H6605" s="18"/>
      <c r="K6605" s="18" t="s">
        <v>316</v>
      </c>
    </row>
    <row r="6606">
      <c r="A6606" s="17"/>
      <c r="H6606" s="18"/>
      <c r="K6606" s="18" t="s">
        <v>316</v>
      </c>
    </row>
    <row r="6607">
      <c r="A6607" s="17"/>
      <c r="H6607" s="18"/>
      <c r="K6607" s="18" t="s">
        <v>316</v>
      </c>
    </row>
    <row r="6608">
      <c r="A6608" s="17"/>
      <c r="H6608" s="18"/>
      <c r="K6608" s="18" t="s">
        <v>316</v>
      </c>
    </row>
    <row r="6609">
      <c r="A6609" s="17"/>
      <c r="H6609" s="18"/>
      <c r="K6609" s="18" t="s">
        <v>316</v>
      </c>
    </row>
    <row r="6610">
      <c r="A6610" s="17"/>
      <c r="H6610" s="18"/>
      <c r="K6610" s="18" t="s">
        <v>316</v>
      </c>
    </row>
    <row r="6611">
      <c r="A6611" s="17"/>
      <c r="H6611" s="18"/>
      <c r="K6611" s="18" t="s">
        <v>316</v>
      </c>
    </row>
    <row r="6612">
      <c r="A6612" s="17"/>
      <c r="H6612" s="18"/>
      <c r="K6612" s="18" t="s">
        <v>316</v>
      </c>
    </row>
    <row r="6613">
      <c r="A6613" s="17"/>
      <c r="H6613" s="18"/>
      <c r="K6613" s="18" t="s">
        <v>316</v>
      </c>
    </row>
    <row r="6614">
      <c r="A6614" s="17"/>
      <c r="H6614" s="18"/>
      <c r="K6614" s="18" t="s">
        <v>316</v>
      </c>
    </row>
    <row r="6615">
      <c r="A6615" s="17"/>
      <c r="H6615" s="18"/>
      <c r="K6615" s="18" t="s">
        <v>316</v>
      </c>
    </row>
    <row r="6616">
      <c r="A6616" s="17"/>
      <c r="H6616" s="18"/>
      <c r="K6616" s="18" t="s">
        <v>316</v>
      </c>
    </row>
    <row r="6617">
      <c r="A6617" s="17"/>
      <c r="H6617" s="18"/>
      <c r="K6617" s="18" t="s">
        <v>316</v>
      </c>
    </row>
    <row r="6618">
      <c r="A6618" s="17"/>
      <c r="H6618" s="18"/>
      <c r="K6618" s="18" t="s">
        <v>316</v>
      </c>
    </row>
    <row r="6619">
      <c r="A6619" s="17"/>
      <c r="H6619" s="18"/>
      <c r="K6619" s="18" t="s">
        <v>316</v>
      </c>
    </row>
    <row r="6620">
      <c r="A6620" s="17"/>
      <c r="H6620" s="18"/>
      <c r="K6620" s="18" t="s">
        <v>316</v>
      </c>
    </row>
    <row r="6621">
      <c r="A6621" s="17"/>
      <c r="H6621" s="18"/>
      <c r="K6621" s="18" t="s">
        <v>316</v>
      </c>
    </row>
    <row r="6622">
      <c r="A6622" s="17"/>
      <c r="H6622" s="18"/>
      <c r="K6622" s="18" t="s">
        <v>316</v>
      </c>
    </row>
    <row r="6623">
      <c r="A6623" s="17"/>
      <c r="H6623" s="18"/>
      <c r="K6623" s="18" t="s">
        <v>316</v>
      </c>
    </row>
    <row r="6624">
      <c r="A6624" s="17"/>
      <c r="H6624" s="18"/>
      <c r="K6624" s="18" t="s">
        <v>316</v>
      </c>
    </row>
    <row r="6625">
      <c r="A6625" s="17"/>
      <c r="H6625" s="18"/>
      <c r="K6625" s="18" t="s">
        <v>316</v>
      </c>
    </row>
    <row r="6626">
      <c r="A6626" s="17"/>
      <c r="H6626" s="18"/>
      <c r="K6626" s="18" t="s">
        <v>316</v>
      </c>
    </row>
    <row r="6627">
      <c r="A6627" s="17"/>
      <c r="H6627" s="18"/>
      <c r="K6627" s="18" t="s">
        <v>316</v>
      </c>
    </row>
    <row r="6628">
      <c r="A6628" s="17"/>
      <c r="H6628" s="18"/>
      <c r="K6628" s="18" t="s">
        <v>316</v>
      </c>
    </row>
    <row r="6629">
      <c r="A6629" s="17"/>
      <c r="H6629" s="18"/>
      <c r="K6629" s="18" t="s">
        <v>316</v>
      </c>
    </row>
    <row r="6630">
      <c r="A6630" s="17"/>
      <c r="H6630" s="18"/>
      <c r="K6630" s="18" t="s">
        <v>316</v>
      </c>
    </row>
    <row r="6631">
      <c r="A6631" s="17"/>
      <c r="H6631" s="18"/>
      <c r="K6631" s="18" t="s">
        <v>316</v>
      </c>
    </row>
    <row r="6632">
      <c r="A6632" s="17"/>
      <c r="H6632" s="18"/>
      <c r="K6632" s="18" t="s">
        <v>316</v>
      </c>
    </row>
    <row r="6633">
      <c r="A6633" s="17"/>
      <c r="H6633" s="18"/>
      <c r="K6633" s="18" t="s">
        <v>316</v>
      </c>
    </row>
    <row r="6634">
      <c r="A6634" s="17"/>
      <c r="H6634" s="18"/>
      <c r="K6634" s="18" t="s">
        <v>316</v>
      </c>
    </row>
    <row r="6635">
      <c r="A6635" s="17"/>
      <c r="H6635" s="18"/>
      <c r="K6635" s="18" t="s">
        <v>316</v>
      </c>
    </row>
    <row r="6636">
      <c r="A6636" s="17"/>
      <c r="H6636" s="18"/>
      <c r="K6636" s="18" t="s">
        <v>316</v>
      </c>
    </row>
    <row r="6637">
      <c r="A6637" s="17"/>
      <c r="H6637" s="18"/>
      <c r="K6637" s="18" t="s">
        <v>316</v>
      </c>
    </row>
    <row r="6638">
      <c r="A6638" s="17"/>
      <c r="H6638" s="18"/>
      <c r="K6638" s="18" t="s">
        <v>316</v>
      </c>
    </row>
    <row r="6639">
      <c r="A6639" s="17"/>
      <c r="H6639" s="18"/>
      <c r="K6639" s="18" t="s">
        <v>316</v>
      </c>
    </row>
    <row r="6640">
      <c r="A6640" s="17"/>
      <c r="H6640" s="18"/>
      <c r="K6640" s="18" t="s">
        <v>316</v>
      </c>
    </row>
    <row r="6641">
      <c r="A6641" s="17"/>
      <c r="H6641" s="18"/>
      <c r="K6641" s="18" t="s">
        <v>316</v>
      </c>
    </row>
    <row r="6642">
      <c r="A6642" s="17"/>
      <c r="H6642" s="18"/>
      <c r="K6642" s="18" t="s">
        <v>316</v>
      </c>
    </row>
    <row r="6643">
      <c r="A6643" s="17"/>
      <c r="H6643" s="18"/>
      <c r="K6643" s="18" t="s">
        <v>316</v>
      </c>
    </row>
    <row r="6644">
      <c r="A6644" s="17"/>
      <c r="H6644" s="18"/>
      <c r="K6644" s="18" t="s">
        <v>316</v>
      </c>
    </row>
    <row r="6645">
      <c r="A6645" s="17"/>
      <c r="H6645" s="18"/>
      <c r="K6645" s="18" t="s">
        <v>316</v>
      </c>
    </row>
    <row r="6646">
      <c r="A6646" s="17"/>
      <c r="H6646" s="18"/>
      <c r="K6646" s="18" t="s">
        <v>316</v>
      </c>
    </row>
    <row r="6647">
      <c r="A6647" s="17"/>
      <c r="H6647" s="18"/>
      <c r="K6647" s="18" t="s">
        <v>316</v>
      </c>
    </row>
    <row r="6648">
      <c r="A6648" s="17"/>
      <c r="H6648" s="18"/>
      <c r="K6648" s="18" t="s">
        <v>316</v>
      </c>
    </row>
    <row r="6649">
      <c r="A6649" s="17"/>
      <c r="H6649" s="18"/>
      <c r="K6649" s="18" t="s">
        <v>316</v>
      </c>
    </row>
    <row r="6650">
      <c r="A6650" s="17"/>
      <c r="H6650" s="18"/>
      <c r="K6650" s="18" t="s">
        <v>316</v>
      </c>
    </row>
    <row r="6651">
      <c r="A6651" s="17"/>
      <c r="H6651" s="18"/>
      <c r="K6651" s="18" t="s">
        <v>316</v>
      </c>
    </row>
    <row r="6652">
      <c r="A6652" s="17"/>
      <c r="H6652" s="18"/>
      <c r="K6652" s="18" t="s">
        <v>316</v>
      </c>
    </row>
    <row r="6653">
      <c r="A6653" s="17"/>
      <c r="H6653" s="18"/>
      <c r="K6653" s="18" t="s">
        <v>316</v>
      </c>
    </row>
    <row r="6654">
      <c r="A6654" s="17"/>
      <c r="H6654" s="18"/>
      <c r="K6654" s="18" t="s">
        <v>316</v>
      </c>
    </row>
    <row r="6655">
      <c r="A6655" s="17"/>
      <c r="H6655" s="18"/>
      <c r="K6655" s="18" t="s">
        <v>316</v>
      </c>
    </row>
    <row r="6656">
      <c r="A6656" s="17"/>
      <c r="H6656" s="18"/>
      <c r="K6656" s="18" t="s">
        <v>316</v>
      </c>
    </row>
    <row r="6657">
      <c r="A6657" s="17"/>
      <c r="H6657" s="18"/>
      <c r="K6657" s="18" t="s">
        <v>316</v>
      </c>
    </row>
    <row r="6658">
      <c r="A6658" s="17"/>
      <c r="H6658" s="18"/>
      <c r="K6658" s="18" t="s">
        <v>316</v>
      </c>
    </row>
    <row r="6659">
      <c r="A6659" s="17"/>
      <c r="H6659" s="18"/>
      <c r="K6659" s="18" t="s">
        <v>316</v>
      </c>
    </row>
    <row r="6660">
      <c r="A6660" s="17"/>
      <c r="H6660" s="18"/>
      <c r="K6660" s="18" t="s">
        <v>316</v>
      </c>
    </row>
    <row r="6661">
      <c r="A6661" s="17"/>
      <c r="H6661" s="18"/>
      <c r="K6661" s="18" t="s">
        <v>316</v>
      </c>
    </row>
    <row r="6662">
      <c r="A6662" s="17"/>
      <c r="H6662" s="18"/>
      <c r="K6662" s="18" t="s">
        <v>316</v>
      </c>
    </row>
    <row r="6663">
      <c r="A6663" s="17"/>
      <c r="H6663" s="18"/>
      <c r="K6663" s="18" t="s">
        <v>316</v>
      </c>
    </row>
    <row r="6664">
      <c r="A6664" s="17"/>
      <c r="H6664" s="18"/>
      <c r="K6664" s="18" t="s">
        <v>316</v>
      </c>
    </row>
    <row r="6665">
      <c r="A6665" s="17"/>
      <c r="H6665" s="18"/>
      <c r="K6665" s="18" t="s">
        <v>316</v>
      </c>
    </row>
    <row r="6666">
      <c r="A6666" s="17"/>
      <c r="H6666" s="18"/>
      <c r="K6666" s="18" t="s">
        <v>316</v>
      </c>
    </row>
    <row r="6667">
      <c r="A6667" s="17"/>
      <c r="H6667" s="18"/>
      <c r="K6667" s="18" t="s">
        <v>316</v>
      </c>
    </row>
    <row r="6668">
      <c r="A6668" s="17"/>
      <c r="H6668" s="18"/>
      <c r="K6668" s="18" t="s">
        <v>316</v>
      </c>
    </row>
    <row r="6669">
      <c r="A6669" s="17"/>
      <c r="H6669" s="18"/>
      <c r="K6669" s="18" t="s">
        <v>316</v>
      </c>
    </row>
    <row r="6670">
      <c r="A6670" s="17"/>
      <c r="H6670" s="18"/>
      <c r="K6670" s="18" t="s">
        <v>316</v>
      </c>
    </row>
    <row r="6671">
      <c r="A6671" s="17"/>
      <c r="H6671" s="18"/>
      <c r="K6671" s="18" t="s">
        <v>316</v>
      </c>
    </row>
    <row r="6672">
      <c r="A6672" s="17"/>
      <c r="H6672" s="18"/>
      <c r="K6672" s="18" t="s">
        <v>316</v>
      </c>
    </row>
    <row r="6673">
      <c r="A6673" s="17"/>
      <c r="H6673" s="18"/>
      <c r="K6673" s="18" t="s">
        <v>316</v>
      </c>
    </row>
    <row r="6674">
      <c r="A6674" s="17"/>
      <c r="H6674" s="18"/>
      <c r="K6674" s="18" t="s">
        <v>316</v>
      </c>
    </row>
    <row r="6675">
      <c r="A6675" s="17"/>
      <c r="H6675" s="18"/>
      <c r="K6675" s="18" t="s">
        <v>316</v>
      </c>
    </row>
    <row r="6676">
      <c r="A6676" s="17"/>
      <c r="H6676" s="18"/>
      <c r="K6676" s="18" t="s">
        <v>316</v>
      </c>
    </row>
    <row r="6677">
      <c r="A6677" s="17"/>
      <c r="H6677" s="18"/>
      <c r="K6677" s="18" t="s">
        <v>316</v>
      </c>
    </row>
    <row r="6678">
      <c r="A6678" s="17"/>
      <c r="H6678" s="18"/>
      <c r="K6678" s="18" t="s">
        <v>316</v>
      </c>
    </row>
    <row r="6679">
      <c r="A6679" s="17"/>
      <c r="H6679" s="18"/>
      <c r="K6679" s="18" t="s">
        <v>316</v>
      </c>
    </row>
    <row r="6680">
      <c r="A6680" s="17"/>
      <c r="H6680" s="18"/>
      <c r="K6680" s="18" t="s">
        <v>316</v>
      </c>
    </row>
    <row r="6681">
      <c r="A6681" s="17"/>
      <c r="H6681" s="18"/>
      <c r="K6681" s="18" t="s">
        <v>316</v>
      </c>
    </row>
    <row r="6682">
      <c r="A6682" s="17"/>
      <c r="H6682" s="18"/>
      <c r="K6682" s="18" t="s">
        <v>316</v>
      </c>
    </row>
    <row r="6683">
      <c r="A6683" s="17"/>
      <c r="H6683" s="18"/>
      <c r="K6683" s="18" t="s">
        <v>316</v>
      </c>
    </row>
    <row r="6684">
      <c r="A6684" s="17"/>
      <c r="H6684" s="18"/>
      <c r="K6684" s="18" t="s">
        <v>316</v>
      </c>
    </row>
    <row r="6685">
      <c r="A6685" s="17"/>
      <c r="H6685" s="18"/>
      <c r="K6685" s="18" t="s">
        <v>316</v>
      </c>
    </row>
    <row r="6686">
      <c r="A6686" s="17"/>
      <c r="H6686" s="18"/>
      <c r="K6686" s="18" t="s">
        <v>316</v>
      </c>
    </row>
    <row r="6687">
      <c r="A6687" s="17"/>
      <c r="H6687" s="18"/>
      <c r="K6687" s="18" t="s">
        <v>316</v>
      </c>
    </row>
    <row r="6688">
      <c r="A6688" s="17"/>
      <c r="H6688" s="18"/>
      <c r="K6688" s="18" t="s">
        <v>316</v>
      </c>
    </row>
    <row r="6689">
      <c r="A6689" s="17"/>
      <c r="H6689" s="18"/>
      <c r="K6689" s="18" t="s">
        <v>316</v>
      </c>
    </row>
    <row r="6690">
      <c r="A6690" s="17"/>
      <c r="H6690" s="18"/>
      <c r="K6690" s="18" t="s">
        <v>316</v>
      </c>
    </row>
    <row r="6691">
      <c r="A6691" s="17"/>
      <c r="H6691" s="18"/>
      <c r="K6691" s="18" t="s">
        <v>316</v>
      </c>
    </row>
    <row r="6692">
      <c r="A6692" s="17"/>
      <c r="H6692" s="18"/>
      <c r="K6692" s="18" t="s">
        <v>316</v>
      </c>
    </row>
    <row r="6693">
      <c r="A6693" s="17"/>
      <c r="H6693" s="18"/>
      <c r="K6693" s="18" t="s">
        <v>316</v>
      </c>
    </row>
    <row r="6694">
      <c r="A6694" s="17"/>
      <c r="H6694" s="18"/>
      <c r="K6694" s="18" t="s">
        <v>316</v>
      </c>
    </row>
    <row r="6695">
      <c r="A6695" s="17"/>
      <c r="H6695" s="18"/>
      <c r="K6695" s="18" t="s">
        <v>316</v>
      </c>
    </row>
    <row r="6696">
      <c r="A6696" s="17"/>
      <c r="H6696" s="18"/>
      <c r="K6696" s="18" t="s">
        <v>316</v>
      </c>
    </row>
    <row r="6697">
      <c r="A6697" s="17"/>
      <c r="H6697" s="18"/>
      <c r="K6697" s="18" t="s">
        <v>316</v>
      </c>
    </row>
    <row r="6698">
      <c r="A6698" s="17"/>
      <c r="H6698" s="18"/>
      <c r="K6698" s="18" t="s">
        <v>316</v>
      </c>
    </row>
    <row r="6699">
      <c r="A6699" s="17"/>
      <c r="H6699" s="18"/>
      <c r="K6699" s="18" t="s">
        <v>316</v>
      </c>
    </row>
    <row r="6700">
      <c r="A6700" s="17"/>
      <c r="H6700" s="18"/>
      <c r="K6700" s="18" t="s">
        <v>316</v>
      </c>
    </row>
    <row r="6701">
      <c r="A6701" s="17"/>
      <c r="H6701" s="18"/>
      <c r="K6701" s="18" t="s">
        <v>316</v>
      </c>
    </row>
    <row r="6702">
      <c r="A6702" s="17"/>
      <c r="H6702" s="18"/>
      <c r="K6702" s="18" t="s">
        <v>316</v>
      </c>
    </row>
    <row r="6703">
      <c r="A6703" s="17"/>
      <c r="H6703" s="18"/>
      <c r="K6703" s="18" t="s">
        <v>316</v>
      </c>
    </row>
    <row r="6704">
      <c r="A6704" s="17"/>
      <c r="H6704" s="18"/>
      <c r="K6704" s="18" t="s">
        <v>316</v>
      </c>
    </row>
    <row r="6705">
      <c r="A6705" s="17"/>
      <c r="H6705" s="18"/>
      <c r="K6705" s="18" t="s">
        <v>316</v>
      </c>
    </row>
    <row r="6706">
      <c r="A6706" s="17"/>
      <c r="H6706" s="18"/>
      <c r="K6706" s="18" t="s">
        <v>316</v>
      </c>
    </row>
    <row r="6707">
      <c r="A6707" s="17"/>
      <c r="H6707" s="18"/>
      <c r="K6707" s="18" t="s">
        <v>316</v>
      </c>
    </row>
    <row r="6708">
      <c r="A6708" s="17"/>
      <c r="H6708" s="18"/>
      <c r="K6708" s="18" t="s">
        <v>316</v>
      </c>
    </row>
    <row r="6709">
      <c r="A6709" s="17"/>
      <c r="H6709" s="18"/>
      <c r="K6709" s="18" t="s">
        <v>316</v>
      </c>
    </row>
    <row r="6710">
      <c r="A6710" s="17"/>
      <c r="H6710" s="18"/>
      <c r="K6710" s="18" t="s">
        <v>316</v>
      </c>
    </row>
    <row r="6711">
      <c r="A6711" s="17"/>
      <c r="H6711" s="18"/>
      <c r="K6711" s="18" t="s">
        <v>316</v>
      </c>
    </row>
    <row r="6712">
      <c r="A6712" s="17"/>
      <c r="H6712" s="18"/>
      <c r="K6712" s="18" t="s">
        <v>316</v>
      </c>
    </row>
    <row r="6713">
      <c r="A6713" s="17"/>
      <c r="H6713" s="18"/>
      <c r="K6713" s="18" t="s">
        <v>316</v>
      </c>
    </row>
    <row r="6714">
      <c r="A6714" s="17"/>
      <c r="H6714" s="18"/>
      <c r="K6714" s="18" t="s">
        <v>316</v>
      </c>
    </row>
    <row r="6715">
      <c r="A6715" s="17"/>
      <c r="H6715" s="18"/>
      <c r="K6715" s="18" t="s">
        <v>316</v>
      </c>
    </row>
    <row r="6716">
      <c r="A6716" s="17"/>
      <c r="H6716" s="18"/>
      <c r="K6716" s="18" t="s">
        <v>316</v>
      </c>
    </row>
    <row r="6717">
      <c r="A6717" s="17"/>
      <c r="H6717" s="18"/>
      <c r="K6717" s="18" t="s">
        <v>316</v>
      </c>
    </row>
    <row r="6718">
      <c r="A6718" s="17"/>
      <c r="H6718" s="18"/>
      <c r="K6718" s="18" t="s">
        <v>316</v>
      </c>
    </row>
    <row r="6719">
      <c r="A6719" s="17"/>
      <c r="H6719" s="18"/>
      <c r="K6719" s="18" t="s">
        <v>316</v>
      </c>
    </row>
    <row r="6720">
      <c r="A6720" s="17"/>
      <c r="H6720" s="18"/>
      <c r="K6720" s="18" t="s">
        <v>316</v>
      </c>
    </row>
    <row r="6721">
      <c r="A6721" s="17"/>
      <c r="H6721" s="18"/>
      <c r="K6721" s="18" t="s">
        <v>316</v>
      </c>
    </row>
    <row r="6722">
      <c r="A6722" s="17"/>
      <c r="H6722" s="18"/>
      <c r="K6722" s="18" t="s">
        <v>316</v>
      </c>
    </row>
    <row r="6723">
      <c r="A6723" s="17"/>
      <c r="H6723" s="18"/>
      <c r="K6723" s="18" t="s">
        <v>316</v>
      </c>
    </row>
    <row r="6724">
      <c r="A6724" s="17"/>
      <c r="H6724" s="18"/>
      <c r="K6724" s="18" t="s">
        <v>316</v>
      </c>
    </row>
    <row r="6725">
      <c r="A6725" s="17"/>
      <c r="H6725" s="18"/>
      <c r="K6725" s="18" t="s">
        <v>316</v>
      </c>
    </row>
    <row r="6726">
      <c r="A6726" s="17"/>
      <c r="H6726" s="18"/>
      <c r="K6726" s="18" t="s">
        <v>316</v>
      </c>
    </row>
    <row r="6727">
      <c r="A6727" s="17"/>
      <c r="H6727" s="18"/>
      <c r="K6727" s="18" t="s">
        <v>316</v>
      </c>
    </row>
    <row r="6728">
      <c r="A6728" s="17"/>
      <c r="H6728" s="18"/>
      <c r="K6728" s="18" t="s">
        <v>316</v>
      </c>
    </row>
    <row r="6729">
      <c r="A6729" s="17"/>
      <c r="H6729" s="18"/>
      <c r="K6729" s="18" t="s">
        <v>316</v>
      </c>
    </row>
    <row r="6730">
      <c r="A6730" s="17"/>
      <c r="H6730" s="18"/>
      <c r="K6730" s="18" t="s">
        <v>316</v>
      </c>
    </row>
    <row r="6731">
      <c r="A6731" s="17"/>
      <c r="H6731" s="18"/>
      <c r="K6731" s="18" t="s">
        <v>316</v>
      </c>
    </row>
    <row r="6732">
      <c r="A6732" s="17"/>
      <c r="H6732" s="18"/>
      <c r="K6732" s="18" t="s">
        <v>316</v>
      </c>
    </row>
    <row r="6733">
      <c r="A6733" s="17"/>
      <c r="H6733" s="18"/>
      <c r="K6733" s="18" t="s">
        <v>316</v>
      </c>
    </row>
    <row r="6734">
      <c r="A6734" s="17"/>
      <c r="H6734" s="18"/>
      <c r="K6734" s="18" t="s">
        <v>316</v>
      </c>
    </row>
    <row r="6735">
      <c r="A6735" s="17"/>
      <c r="H6735" s="18"/>
      <c r="K6735" s="18" t="s">
        <v>316</v>
      </c>
    </row>
    <row r="6736">
      <c r="A6736" s="17"/>
      <c r="H6736" s="18"/>
      <c r="K6736" s="18" t="s">
        <v>316</v>
      </c>
    </row>
    <row r="6737">
      <c r="A6737" s="17"/>
      <c r="H6737" s="18"/>
      <c r="K6737" s="18" t="s">
        <v>316</v>
      </c>
    </row>
    <row r="6738">
      <c r="A6738" s="17"/>
      <c r="H6738" s="18"/>
      <c r="K6738" s="18" t="s">
        <v>316</v>
      </c>
    </row>
    <row r="6739">
      <c r="A6739" s="17"/>
      <c r="H6739" s="18"/>
      <c r="K6739" s="18" t="s">
        <v>316</v>
      </c>
    </row>
    <row r="6740">
      <c r="A6740" s="17"/>
      <c r="H6740" s="18"/>
      <c r="K6740" s="18" t="s">
        <v>316</v>
      </c>
    </row>
    <row r="6741">
      <c r="A6741" s="17"/>
      <c r="H6741" s="18"/>
      <c r="K6741" s="18" t="s">
        <v>316</v>
      </c>
    </row>
    <row r="6742">
      <c r="A6742" s="17"/>
      <c r="H6742" s="18"/>
      <c r="K6742" s="18" t="s">
        <v>316</v>
      </c>
    </row>
    <row r="6743">
      <c r="A6743" s="17"/>
      <c r="H6743" s="18"/>
      <c r="K6743" s="18" t="s">
        <v>316</v>
      </c>
    </row>
    <row r="6744">
      <c r="A6744" s="17"/>
      <c r="H6744" s="18"/>
      <c r="K6744" s="18" t="s">
        <v>316</v>
      </c>
    </row>
    <row r="6745">
      <c r="A6745" s="17"/>
      <c r="H6745" s="18"/>
      <c r="K6745" s="18" t="s">
        <v>316</v>
      </c>
    </row>
    <row r="6746">
      <c r="A6746" s="17"/>
      <c r="H6746" s="18"/>
      <c r="K6746" s="18" t="s">
        <v>316</v>
      </c>
    </row>
    <row r="6747">
      <c r="A6747" s="17"/>
      <c r="H6747" s="18"/>
      <c r="K6747" s="18" t="s">
        <v>316</v>
      </c>
    </row>
    <row r="6748">
      <c r="A6748" s="17"/>
      <c r="H6748" s="18"/>
      <c r="K6748" s="18" t="s">
        <v>316</v>
      </c>
    </row>
    <row r="6749">
      <c r="A6749" s="17"/>
      <c r="H6749" s="18"/>
      <c r="K6749" s="18" t="s">
        <v>316</v>
      </c>
    </row>
    <row r="6750">
      <c r="A6750" s="17"/>
      <c r="H6750" s="18"/>
      <c r="K6750" s="18" t="s">
        <v>316</v>
      </c>
    </row>
    <row r="6751">
      <c r="A6751" s="17"/>
      <c r="H6751" s="18"/>
      <c r="K6751" s="18" t="s">
        <v>316</v>
      </c>
    </row>
    <row r="6752">
      <c r="A6752" s="17"/>
      <c r="H6752" s="18"/>
      <c r="K6752" s="18" t="s">
        <v>316</v>
      </c>
    </row>
    <row r="6753">
      <c r="A6753" s="17"/>
      <c r="H6753" s="18"/>
      <c r="K6753" s="18" t="s">
        <v>316</v>
      </c>
    </row>
    <row r="6754">
      <c r="A6754" s="17"/>
      <c r="H6754" s="18"/>
      <c r="K6754" s="18" t="s">
        <v>316</v>
      </c>
    </row>
    <row r="6755">
      <c r="A6755" s="17"/>
      <c r="H6755" s="18"/>
      <c r="K6755" s="18" t="s">
        <v>316</v>
      </c>
    </row>
    <row r="6756">
      <c r="A6756" s="17"/>
      <c r="H6756" s="18"/>
      <c r="K6756" s="18" t="s">
        <v>316</v>
      </c>
    </row>
    <row r="6757">
      <c r="A6757" s="17"/>
      <c r="H6757" s="18"/>
      <c r="K6757" s="18" t="s">
        <v>316</v>
      </c>
    </row>
    <row r="6758">
      <c r="A6758" s="17"/>
      <c r="H6758" s="18"/>
      <c r="K6758" s="18" t="s">
        <v>316</v>
      </c>
    </row>
    <row r="6759">
      <c r="A6759" s="17"/>
      <c r="H6759" s="18"/>
      <c r="K6759" s="18" t="s">
        <v>316</v>
      </c>
    </row>
    <row r="6760">
      <c r="A6760" s="17"/>
      <c r="H6760" s="18"/>
      <c r="K6760" s="18" t="s">
        <v>316</v>
      </c>
    </row>
    <row r="6761">
      <c r="A6761" s="17"/>
      <c r="H6761" s="18"/>
      <c r="K6761" s="18" t="s">
        <v>316</v>
      </c>
    </row>
    <row r="6762">
      <c r="A6762" s="17"/>
      <c r="H6762" s="18"/>
      <c r="K6762" s="18" t="s">
        <v>316</v>
      </c>
    </row>
    <row r="6763">
      <c r="A6763" s="17"/>
      <c r="H6763" s="18"/>
      <c r="K6763" s="18" t="s">
        <v>316</v>
      </c>
    </row>
    <row r="6764">
      <c r="A6764" s="17"/>
      <c r="H6764" s="18"/>
      <c r="K6764" s="18" t="s">
        <v>316</v>
      </c>
    </row>
    <row r="6765">
      <c r="A6765" s="17"/>
      <c r="H6765" s="18"/>
      <c r="K6765" s="18" t="s">
        <v>316</v>
      </c>
    </row>
    <row r="6766">
      <c r="A6766" s="17"/>
      <c r="H6766" s="18"/>
      <c r="K6766" s="18" t="s">
        <v>316</v>
      </c>
    </row>
    <row r="6767">
      <c r="A6767" s="17"/>
      <c r="H6767" s="18"/>
      <c r="K6767" s="18" t="s">
        <v>316</v>
      </c>
    </row>
    <row r="6768">
      <c r="A6768" s="17"/>
      <c r="H6768" s="18"/>
      <c r="K6768" s="18" t="s">
        <v>316</v>
      </c>
    </row>
    <row r="6769">
      <c r="A6769" s="17"/>
      <c r="H6769" s="18"/>
      <c r="K6769" s="18" t="s">
        <v>316</v>
      </c>
    </row>
    <row r="6770">
      <c r="A6770" s="17"/>
      <c r="H6770" s="18"/>
      <c r="K6770" s="18" t="s">
        <v>316</v>
      </c>
    </row>
    <row r="6771">
      <c r="A6771" s="17"/>
      <c r="H6771" s="18"/>
      <c r="K6771" s="18" t="s">
        <v>316</v>
      </c>
    </row>
    <row r="6772">
      <c r="A6772" s="17"/>
      <c r="H6772" s="18"/>
      <c r="K6772" s="18" t="s">
        <v>316</v>
      </c>
    </row>
    <row r="6773">
      <c r="A6773" s="17"/>
      <c r="H6773" s="18"/>
      <c r="K6773" s="18" t="s">
        <v>316</v>
      </c>
    </row>
    <row r="6774">
      <c r="A6774" s="17"/>
      <c r="H6774" s="18"/>
      <c r="K6774" s="18" t="s">
        <v>316</v>
      </c>
    </row>
    <row r="6775">
      <c r="A6775" s="17"/>
      <c r="H6775" s="18"/>
      <c r="K6775" s="18" t="s">
        <v>316</v>
      </c>
    </row>
    <row r="6776">
      <c r="A6776" s="17"/>
      <c r="H6776" s="18"/>
      <c r="K6776" s="18" t="s">
        <v>316</v>
      </c>
    </row>
    <row r="6777">
      <c r="A6777" s="17"/>
      <c r="H6777" s="18"/>
      <c r="K6777" s="18" t="s">
        <v>316</v>
      </c>
    </row>
    <row r="6778">
      <c r="A6778" s="17"/>
      <c r="H6778" s="18"/>
      <c r="K6778" s="18" t="s">
        <v>316</v>
      </c>
    </row>
    <row r="6779">
      <c r="A6779" s="17"/>
      <c r="H6779" s="18"/>
      <c r="K6779" s="18" t="s">
        <v>316</v>
      </c>
    </row>
    <row r="6780">
      <c r="A6780" s="17"/>
      <c r="H6780" s="18"/>
      <c r="K6780" s="18" t="s">
        <v>316</v>
      </c>
    </row>
    <row r="6781">
      <c r="A6781" s="17"/>
      <c r="H6781" s="18"/>
      <c r="K6781" s="18" t="s">
        <v>316</v>
      </c>
    </row>
    <row r="6782">
      <c r="A6782" s="17"/>
      <c r="H6782" s="18"/>
      <c r="K6782" s="18" t="s">
        <v>316</v>
      </c>
    </row>
    <row r="6783">
      <c r="A6783" s="17"/>
      <c r="H6783" s="18"/>
      <c r="K6783" s="18" t="s">
        <v>316</v>
      </c>
    </row>
    <row r="6784">
      <c r="A6784" s="17"/>
      <c r="H6784" s="18"/>
      <c r="K6784" s="18" t="s">
        <v>316</v>
      </c>
    </row>
    <row r="6785">
      <c r="A6785" s="17"/>
      <c r="H6785" s="18"/>
      <c r="K6785" s="18" t="s">
        <v>316</v>
      </c>
    </row>
    <row r="6786">
      <c r="A6786" s="17"/>
      <c r="H6786" s="18"/>
      <c r="K6786" s="18" t="s">
        <v>316</v>
      </c>
    </row>
    <row r="6787">
      <c r="A6787" s="17"/>
      <c r="H6787" s="18"/>
      <c r="K6787" s="18" t="s">
        <v>316</v>
      </c>
    </row>
    <row r="6788">
      <c r="A6788" s="17"/>
      <c r="H6788" s="18"/>
      <c r="K6788" s="18" t="s">
        <v>316</v>
      </c>
    </row>
    <row r="6789">
      <c r="A6789" s="17"/>
      <c r="H6789" s="18"/>
      <c r="K6789" s="18" t="s">
        <v>316</v>
      </c>
    </row>
    <row r="6790">
      <c r="A6790" s="17"/>
      <c r="H6790" s="18"/>
      <c r="K6790" s="18" t="s">
        <v>316</v>
      </c>
    </row>
    <row r="6791">
      <c r="A6791" s="17"/>
      <c r="H6791" s="18"/>
      <c r="K6791" s="18" t="s">
        <v>316</v>
      </c>
    </row>
    <row r="6792">
      <c r="A6792" s="17"/>
      <c r="H6792" s="18"/>
      <c r="K6792" s="18" t="s">
        <v>316</v>
      </c>
    </row>
    <row r="6793">
      <c r="A6793" s="17"/>
      <c r="H6793" s="18"/>
      <c r="K6793" s="18" t="s">
        <v>316</v>
      </c>
    </row>
    <row r="6794">
      <c r="A6794" s="17"/>
      <c r="H6794" s="18"/>
      <c r="K6794" s="18" t="s">
        <v>316</v>
      </c>
    </row>
    <row r="6795">
      <c r="A6795" s="17"/>
      <c r="H6795" s="18"/>
      <c r="K6795" s="18" t="s">
        <v>316</v>
      </c>
    </row>
    <row r="6796">
      <c r="A6796" s="17"/>
      <c r="H6796" s="18"/>
      <c r="K6796" s="18" t="s">
        <v>316</v>
      </c>
    </row>
    <row r="6797">
      <c r="A6797" s="17"/>
      <c r="H6797" s="18"/>
      <c r="K6797" s="18" t="s">
        <v>316</v>
      </c>
    </row>
    <row r="6798">
      <c r="A6798" s="17"/>
      <c r="H6798" s="18"/>
      <c r="K6798" s="18" t="s">
        <v>316</v>
      </c>
    </row>
    <row r="6799">
      <c r="A6799" s="17"/>
      <c r="H6799" s="18"/>
      <c r="K6799" s="18" t="s">
        <v>316</v>
      </c>
    </row>
    <row r="6800">
      <c r="A6800" s="17"/>
      <c r="H6800" s="18"/>
      <c r="K6800" s="18" t="s">
        <v>316</v>
      </c>
    </row>
    <row r="6801">
      <c r="A6801" s="17"/>
      <c r="H6801" s="18"/>
      <c r="K6801" s="18" t="s">
        <v>316</v>
      </c>
    </row>
    <row r="6802">
      <c r="A6802" s="17"/>
      <c r="H6802" s="18"/>
      <c r="K6802" s="18" t="s">
        <v>316</v>
      </c>
    </row>
    <row r="6803">
      <c r="A6803" s="17"/>
      <c r="H6803" s="18"/>
      <c r="K6803" s="18" t="s">
        <v>316</v>
      </c>
    </row>
    <row r="6804">
      <c r="A6804" s="17"/>
      <c r="H6804" s="18"/>
      <c r="K6804" s="18" t="s">
        <v>316</v>
      </c>
    </row>
    <row r="6805">
      <c r="A6805" s="17"/>
      <c r="H6805" s="18"/>
      <c r="K6805" s="18" t="s">
        <v>316</v>
      </c>
    </row>
    <row r="6806">
      <c r="A6806" s="17"/>
      <c r="H6806" s="18"/>
      <c r="K6806" s="18" t="s">
        <v>316</v>
      </c>
    </row>
    <row r="6807">
      <c r="A6807" s="17"/>
      <c r="H6807" s="18"/>
      <c r="K6807" s="18" t="s">
        <v>316</v>
      </c>
    </row>
    <row r="6808">
      <c r="A6808" s="17"/>
      <c r="H6808" s="18"/>
      <c r="K6808" s="18" t="s">
        <v>316</v>
      </c>
    </row>
    <row r="6809">
      <c r="A6809" s="17"/>
      <c r="H6809" s="18"/>
      <c r="K6809" s="18" t="s">
        <v>316</v>
      </c>
    </row>
    <row r="6810">
      <c r="A6810" s="17"/>
      <c r="H6810" s="18"/>
      <c r="K6810" s="18" t="s">
        <v>316</v>
      </c>
    </row>
    <row r="6811">
      <c r="A6811" s="17"/>
      <c r="H6811" s="18"/>
      <c r="K6811" s="18" t="s">
        <v>316</v>
      </c>
    </row>
    <row r="6812">
      <c r="A6812" s="17"/>
      <c r="H6812" s="18"/>
      <c r="K6812" s="18" t="s">
        <v>316</v>
      </c>
    </row>
    <row r="6813">
      <c r="A6813" s="17"/>
      <c r="H6813" s="18"/>
      <c r="K6813" s="18" t="s">
        <v>316</v>
      </c>
    </row>
    <row r="6814">
      <c r="A6814" s="17"/>
      <c r="H6814" s="18"/>
      <c r="K6814" s="18" t="s">
        <v>316</v>
      </c>
    </row>
    <row r="6815">
      <c r="A6815" s="17"/>
      <c r="H6815" s="18"/>
      <c r="K6815" s="18" t="s">
        <v>316</v>
      </c>
    </row>
    <row r="6816">
      <c r="A6816" s="17"/>
      <c r="H6816" s="18"/>
      <c r="K6816" s="18" t="s">
        <v>316</v>
      </c>
    </row>
    <row r="6817">
      <c r="A6817" s="17"/>
      <c r="H6817" s="18"/>
      <c r="K6817" s="18" t="s">
        <v>316</v>
      </c>
    </row>
    <row r="6818">
      <c r="A6818" s="17"/>
      <c r="H6818" s="18"/>
      <c r="K6818" s="18" t="s">
        <v>316</v>
      </c>
    </row>
    <row r="6819">
      <c r="A6819" s="17"/>
      <c r="H6819" s="18"/>
      <c r="K6819" s="18" t="s">
        <v>316</v>
      </c>
    </row>
    <row r="6820">
      <c r="A6820" s="17"/>
      <c r="H6820" s="18"/>
      <c r="K6820" s="18" t="s">
        <v>316</v>
      </c>
    </row>
    <row r="6821">
      <c r="A6821" s="17"/>
      <c r="H6821" s="18"/>
      <c r="K6821" s="18" t="s">
        <v>316</v>
      </c>
    </row>
    <row r="6822">
      <c r="A6822" s="17"/>
      <c r="H6822" s="18"/>
      <c r="K6822" s="18" t="s">
        <v>316</v>
      </c>
    </row>
    <row r="6823">
      <c r="A6823" s="17"/>
      <c r="H6823" s="18"/>
      <c r="K6823" s="18" t="s">
        <v>316</v>
      </c>
    </row>
    <row r="6824">
      <c r="A6824" s="17"/>
      <c r="H6824" s="18"/>
      <c r="K6824" s="18" t="s">
        <v>316</v>
      </c>
    </row>
    <row r="6825">
      <c r="A6825" s="17"/>
      <c r="H6825" s="18"/>
      <c r="K6825" s="18" t="s">
        <v>316</v>
      </c>
    </row>
    <row r="6826">
      <c r="A6826" s="17"/>
      <c r="H6826" s="18"/>
      <c r="K6826" s="18" t="s">
        <v>316</v>
      </c>
    </row>
    <row r="6827">
      <c r="A6827" s="17"/>
      <c r="H6827" s="18"/>
      <c r="K6827" s="18" t="s">
        <v>316</v>
      </c>
    </row>
    <row r="6828">
      <c r="A6828" s="17"/>
      <c r="H6828" s="18"/>
      <c r="K6828" s="18" t="s">
        <v>316</v>
      </c>
    </row>
    <row r="6829">
      <c r="A6829" s="17"/>
      <c r="H6829" s="18"/>
      <c r="K6829" s="18" t="s">
        <v>316</v>
      </c>
    </row>
    <row r="6830">
      <c r="A6830" s="17"/>
      <c r="H6830" s="18"/>
      <c r="K6830" s="18" t="s">
        <v>316</v>
      </c>
    </row>
    <row r="6831">
      <c r="A6831" s="17"/>
      <c r="H6831" s="18"/>
      <c r="K6831" s="18" t="s">
        <v>316</v>
      </c>
    </row>
    <row r="6832">
      <c r="A6832" s="17"/>
      <c r="H6832" s="18"/>
      <c r="K6832" s="18" t="s">
        <v>316</v>
      </c>
    </row>
    <row r="6833">
      <c r="A6833" s="17"/>
      <c r="H6833" s="18"/>
      <c r="K6833" s="18" t="s">
        <v>316</v>
      </c>
    </row>
    <row r="6834">
      <c r="A6834" s="17"/>
      <c r="H6834" s="18"/>
      <c r="K6834" s="18" t="s">
        <v>316</v>
      </c>
    </row>
    <row r="6835">
      <c r="A6835" s="17"/>
      <c r="H6835" s="18"/>
      <c r="K6835" s="18" t="s">
        <v>316</v>
      </c>
    </row>
    <row r="6836">
      <c r="A6836" s="17"/>
      <c r="H6836" s="18"/>
      <c r="K6836" s="18" t="s">
        <v>316</v>
      </c>
    </row>
    <row r="6837">
      <c r="A6837" s="17"/>
      <c r="H6837" s="18"/>
      <c r="K6837" s="18" t="s">
        <v>316</v>
      </c>
    </row>
    <row r="6838">
      <c r="A6838" s="17"/>
      <c r="H6838" s="18"/>
      <c r="K6838" s="18" t="s">
        <v>316</v>
      </c>
    </row>
    <row r="6839">
      <c r="A6839" s="17"/>
      <c r="H6839" s="18"/>
      <c r="K6839" s="18" t="s">
        <v>316</v>
      </c>
    </row>
    <row r="6840">
      <c r="A6840" s="17"/>
      <c r="H6840" s="18"/>
      <c r="K6840" s="18" t="s">
        <v>316</v>
      </c>
    </row>
    <row r="6841">
      <c r="A6841" s="17"/>
      <c r="H6841" s="18"/>
      <c r="K6841" s="18" t="s">
        <v>316</v>
      </c>
    </row>
    <row r="6842">
      <c r="A6842" s="17"/>
      <c r="H6842" s="18"/>
      <c r="K6842" s="18" t="s">
        <v>316</v>
      </c>
    </row>
    <row r="6843">
      <c r="A6843" s="17"/>
      <c r="H6843" s="18"/>
      <c r="K6843" s="18" t="s">
        <v>316</v>
      </c>
    </row>
    <row r="6844">
      <c r="A6844" s="17"/>
      <c r="H6844" s="18"/>
      <c r="K6844" s="18" t="s">
        <v>316</v>
      </c>
    </row>
    <row r="6845">
      <c r="A6845" s="17"/>
      <c r="H6845" s="18"/>
      <c r="K6845" s="18" t="s">
        <v>316</v>
      </c>
    </row>
    <row r="6846">
      <c r="A6846" s="17"/>
      <c r="H6846" s="18"/>
      <c r="K6846" s="18" t="s">
        <v>316</v>
      </c>
    </row>
    <row r="6847">
      <c r="A6847" s="17"/>
      <c r="H6847" s="18"/>
      <c r="K6847" s="18" t="s">
        <v>316</v>
      </c>
    </row>
    <row r="6848">
      <c r="A6848" s="17"/>
      <c r="H6848" s="18"/>
      <c r="K6848" s="18" t="s">
        <v>316</v>
      </c>
    </row>
    <row r="6849">
      <c r="A6849" s="17"/>
      <c r="H6849" s="18"/>
      <c r="K6849" s="18" t="s">
        <v>316</v>
      </c>
    </row>
    <row r="6850">
      <c r="A6850" s="17"/>
      <c r="H6850" s="18"/>
      <c r="K6850" s="18" t="s">
        <v>316</v>
      </c>
    </row>
    <row r="6851">
      <c r="A6851" s="17"/>
      <c r="H6851" s="18"/>
      <c r="K6851" s="18" t="s">
        <v>316</v>
      </c>
    </row>
    <row r="6852">
      <c r="A6852" s="17"/>
      <c r="H6852" s="18"/>
      <c r="K6852" s="18" t="s">
        <v>316</v>
      </c>
    </row>
    <row r="6853">
      <c r="A6853" s="17"/>
      <c r="H6853" s="18"/>
      <c r="K6853" s="18" t="s">
        <v>316</v>
      </c>
    </row>
    <row r="6854">
      <c r="A6854" s="17"/>
      <c r="H6854" s="18"/>
      <c r="K6854" s="18" t="s">
        <v>316</v>
      </c>
    </row>
    <row r="6855">
      <c r="A6855" s="17"/>
      <c r="H6855" s="18"/>
      <c r="K6855" s="18" t="s">
        <v>316</v>
      </c>
    </row>
    <row r="6856">
      <c r="A6856" s="17"/>
      <c r="H6856" s="18"/>
      <c r="K6856" s="18" t="s">
        <v>316</v>
      </c>
    </row>
    <row r="6857">
      <c r="A6857" s="17"/>
      <c r="H6857" s="18"/>
      <c r="K6857" s="18" t="s">
        <v>316</v>
      </c>
    </row>
    <row r="6858">
      <c r="A6858" s="17"/>
      <c r="H6858" s="18"/>
      <c r="K6858" s="18" t="s">
        <v>316</v>
      </c>
    </row>
    <row r="6859">
      <c r="A6859" s="17"/>
      <c r="H6859" s="18"/>
      <c r="K6859" s="18" t="s">
        <v>316</v>
      </c>
    </row>
    <row r="6860">
      <c r="A6860" s="17"/>
      <c r="H6860" s="18"/>
      <c r="K6860" s="18" t="s">
        <v>316</v>
      </c>
    </row>
    <row r="6861">
      <c r="A6861" s="17"/>
      <c r="H6861" s="18"/>
      <c r="K6861" s="18" t="s">
        <v>316</v>
      </c>
    </row>
    <row r="6862">
      <c r="A6862" s="17"/>
      <c r="H6862" s="18"/>
      <c r="K6862" s="18" t="s">
        <v>316</v>
      </c>
    </row>
    <row r="6863">
      <c r="A6863" s="17"/>
      <c r="H6863" s="18"/>
      <c r="K6863" s="18" t="s">
        <v>316</v>
      </c>
    </row>
    <row r="6864">
      <c r="A6864" s="17"/>
      <c r="H6864" s="18"/>
      <c r="K6864" s="18" t="s">
        <v>316</v>
      </c>
    </row>
    <row r="6865">
      <c r="A6865" s="17"/>
      <c r="H6865" s="18"/>
      <c r="K6865" s="18" t="s">
        <v>316</v>
      </c>
    </row>
    <row r="6866">
      <c r="A6866" s="17"/>
      <c r="H6866" s="18"/>
      <c r="K6866" s="18" t="s">
        <v>316</v>
      </c>
    </row>
    <row r="6867">
      <c r="A6867" s="17"/>
      <c r="H6867" s="18"/>
      <c r="K6867" s="18" t="s">
        <v>316</v>
      </c>
    </row>
    <row r="6868">
      <c r="A6868" s="17"/>
      <c r="H6868" s="18"/>
      <c r="K6868" s="18" t="s">
        <v>316</v>
      </c>
    </row>
    <row r="6869">
      <c r="A6869" s="17"/>
      <c r="H6869" s="18"/>
      <c r="K6869" s="18" t="s">
        <v>316</v>
      </c>
    </row>
    <row r="6870">
      <c r="A6870" s="17"/>
      <c r="H6870" s="18"/>
      <c r="K6870" s="18" t="s">
        <v>316</v>
      </c>
    </row>
    <row r="6871">
      <c r="A6871" s="17"/>
      <c r="H6871" s="18"/>
      <c r="K6871" s="18" t="s">
        <v>316</v>
      </c>
    </row>
    <row r="6872">
      <c r="A6872" s="17"/>
      <c r="H6872" s="18"/>
      <c r="K6872" s="18" t="s">
        <v>316</v>
      </c>
    </row>
    <row r="6873">
      <c r="A6873" s="17"/>
      <c r="H6873" s="18"/>
      <c r="K6873" s="18" t="s">
        <v>316</v>
      </c>
    </row>
    <row r="6874">
      <c r="A6874" s="17"/>
      <c r="H6874" s="18"/>
      <c r="K6874" s="18" t="s">
        <v>316</v>
      </c>
    </row>
    <row r="6875">
      <c r="A6875" s="17"/>
      <c r="H6875" s="18"/>
      <c r="K6875" s="18" t="s">
        <v>316</v>
      </c>
    </row>
    <row r="6876">
      <c r="A6876" s="17"/>
      <c r="H6876" s="18"/>
      <c r="K6876" s="18" t="s">
        <v>316</v>
      </c>
    </row>
    <row r="6877">
      <c r="A6877" s="17"/>
      <c r="H6877" s="18"/>
      <c r="K6877" s="18" t="s">
        <v>316</v>
      </c>
    </row>
    <row r="6878">
      <c r="A6878" s="17"/>
      <c r="H6878" s="18"/>
      <c r="K6878" s="18" t="s">
        <v>316</v>
      </c>
    </row>
    <row r="6879">
      <c r="A6879" s="17"/>
      <c r="H6879" s="18"/>
      <c r="K6879" s="18" t="s">
        <v>316</v>
      </c>
    </row>
    <row r="6880">
      <c r="A6880" s="17"/>
      <c r="H6880" s="18"/>
      <c r="K6880" s="18" t="s">
        <v>316</v>
      </c>
    </row>
    <row r="6881">
      <c r="A6881" s="17"/>
      <c r="H6881" s="18"/>
      <c r="K6881" s="18" t="s">
        <v>316</v>
      </c>
    </row>
    <row r="6882">
      <c r="A6882" s="17"/>
      <c r="H6882" s="18"/>
      <c r="K6882" s="18" t="s">
        <v>316</v>
      </c>
    </row>
    <row r="6883">
      <c r="A6883" s="17"/>
      <c r="H6883" s="18"/>
      <c r="K6883" s="18" t="s">
        <v>316</v>
      </c>
    </row>
    <row r="6884">
      <c r="A6884" s="17"/>
      <c r="H6884" s="18"/>
      <c r="K6884" s="18" t="s">
        <v>316</v>
      </c>
    </row>
    <row r="6885">
      <c r="A6885" s="17"/>
      <c r="H6885" s="18"/>
      <c r="K6885" s="18" t="s">
        <v>316</v>
      </c>
    </row>
    <row r="6886">
      <c r="A6886" s="17"/>
      <c r="H6886" s="18"/>
      <c r="K6886" s="18" t="s">
        <v>316</v>
      </c>
    </row>
    <row r="6887">
      <c r="A6887" s="17"/>
      <c r="H6887" s="18"/>
      <c r="K6887" s="18" t="s">
        <v>316</v>
      </c>
    </row>
    <row r="6888">
      <c r="A6888" s="17"/>
      <c r="H6888" s="18"/>
      <c r="K6888" s="18" t="s">
        <v>316</v>
      </c>
    </row>
    <row r="6889">
      <c r="A6889" s="17"/>
      <c r="H6889" s="18"/>
      <c r="K6889" s="18" t="s">
        <v>316</v>
      </c>
    </row>
    <row r="6890">
      <c r="A6890" s="17"/>
      <c r="H6890" s="18"/>
      <c r="K6890" s="18" t="s">
        <v>316</v>
      </c>
    </row>
    <row r="6891">
      <c r="A6891" s="17"/>
      <c r="H6891" s="18"/>
      <c r="K6891" s="18" t="s">
        <v>316</v>
      </c>
    </row>
    <row r="6892">
      <c r="A6892" s="17"/>
      <c r="H6892" s="18"/>
      <c r="K6892" s="18" t="s">
        <v>316</v>
      </c>
    </row>
    <row r="6893">
      <c r="A6893" s="17"/>
      <c r="H6893" s="18"/>
      <c r="K6893" s="18" t="s">
        <v>316</v>
      </c>
    </row>
    <row r="6894">
      <c r="A6894" s="17"/>
      <c r="H6894" s="18"/>
      <c r="K6894" s="18" t="s">
        <v>316</v>
      </c>
    </row>
    <row r="6895">
      <c r="A6895" s="17"/>
      <c r="H6895" s="18"/>
      <c r="K6895" s="18" t="s">
        <v>316</v>
      </c>
    </row>
    <row r="6896">
      <c r="A6896" s="17"/>
      <c r="H6896" s="18"/>
      <c r="K6896" s="18" t="s">
        <v>316</v>
      </c>
    </row>
    <row r="6897">
      <c r="A6897" s="17"/>
      <c r="H6897" s="18"/>
      <c r="K6897" s="18" t="s">
        <v>316</v>
      </c>
    </row>
    <row r="6898">
      <c r="A6898" s="17"/>
      <c r="H6898" s="18"/>
      <c r="K6898" s="18" t="s">
        <v>316</v>
      </c>
    </row>
    <row r="6899">
      <c r="A6899" s="17"/>
      <c r="H6899" s="18"/>
      <c r="K6899" s="18" t="s">
        <v>316</v>
      </c>
    </row>
    <row r="6900">
      <c r="A6900" s="17"/>
      <c r="H6900" s="18"/>
      <c r="K6900" s="18" t="s">
        <v>316</v>
      </c>
    </row>
    <row r="6901">
      <c r="A6901" s="17"/>
      <c r="H6901" s="18"/>
      <c r="K6901" s="18" t="s">
        <v>316</v>
      </c>
    </row>
    <row r="6902">
      <c r="A6902" s="17"/>
      <c r="H6902" s="18"/>
      <c r="K6902" s="18" t="s">
        <v>316</v>
      </c>
    </row>
    <row r="6903">
      <c r="A6903" s="17"/>
      <c r="H6903" s="18"/>
      <c r="K6903" s="18" t="s">
        <v>316</v>
      </c>
    </row>
    <row r="6904">
      <c r="A6904" s="17"/>
      <c r="H6904" s="18"/>
      <c r="K6904" s="18" t="s">
        <v>316</v>
      </c>
    </row>
    <row r="6905">
      <c r="A6905" s="17"/>
      <c r="H6905" s="18"/>
      <c r="K6905" s="18" t="s">
        <v>316</v>
      </c>
    </row>
    <row r="6906">
      <c r="A6906" s="17"/>
      <c r="H6906" s="18"/>
      <c r="K6906" s="18" t="s">
        <v>316</v>
      </c>
    </row>
    <row r="6907">
      <c r="A6907" s="17"/>
      <c r="H6907" s="18"/>
      <c r="K6907" s="18" t="s">
        <v>316</v>
      </c>
    </row>
    <row r="6908">
      <c r="A6908" s="17"/>
      <c r="H6908" s="18"/>
      <c r="K6908" s="18" t="s">
        <v>316</v>
      </c>
    </row>
    <row r="6909">
      <c r="A6909" s="17"/>
      <c r="H6909" s="18"/>
      <c r="K6909" s="18" t="s">
        <v>316</v>
      </c>
    </row>
    <row r="6910">
      <c r="A6910" s="17"/>
      <c r="H6910" s="18"/>
      <c r="K6910" s="18" t="s">
        <v>316</v>
      </c>
    </row>
    <row r="6911">
      <c r="A6911" s="17"/>
      <c r="H6911" s="18"/>
      <c r="K6911" s="18" t="s">
        <v>316</v>
      </c>
    </row>
    <row r="6912">
      <c r="A6912" s="17"/>
      <c r="H6912" s="18"/>
      <c r="K6912" s="18" t="s">
        <v>316</v>
      </c>
    </row>
    <row r="6913">
      <c r="A6913" s="17"/>
      <c r="H6913" s="18"/>
      <c r="K6913" s="18" t="s">
        <v>316</v>
      </c>
    </row>
    <row r="6914">
      <c r="A6914" s="17"/>
      <c r="H6914" s="18"/>
      <c r="K6914" s="18" t="s">
        <v>316</v>
      </c>
    </row>
    <row r="6915">
      <c r="A6915" s="17"/>
      <c r="H6915" s="18"/>
      <c r="K6915" s="18" t="s">
        <v>316</v>
      </c>
    </row>
    <row r="6916">
      <c r="A6916" s="17"/>
      <c r="H6916" s="18"/>
      <c r="K6916" s="18" t="s">
        <v>316</v>
      </c>
    </row>
    <row r="6917">
      <c r="A6917" s="17"/>
      <c r="H6917" s="18"/>
      <c r="K6917" s="18" t="s">
        <v>316</v>
      </c>
    </row>
    <row r="6918">
      <c r="A6918" s="17"/>
      <c r="H6918" s="18"/>
      <c r="K6918" s="18" t="s">
        <v>316</v>
      </c>
    </row>
    <row r="6919">
      <c r="A6919" s="17"/>
      <c r="H6919" s="18"/>
      <c r="K6919" s="18" t="s">
        <v>316</v>
      </c>
    </row>
    <row r="6920">
      <c r="A6920" s="17"/>
      <c r="H6920" s="18"/>
      <c r="K6920" s="18" t="s">
        <v>316</v>
      </c>
    </row>
    <row r="6921">
      <c r="A6921" s="17"/>
      <c r="H6921" s="18"/>
      <c r="K6921" s="18" t="s">
        <v>316</v>
      </c>
    </row>
    <row r="6922">
      <c r="A6922" s="17"/>
      <c r="H6922" s="18"/>
      <c r="K6922" s="18" t="s">
        <v>316</v>
      </c>
    </row>
    <row r="6923">
      <c r="A6923" s="17"/>
      <c r="H6923" s="18"/>
      <c r="K6923" s="18" t="s">
        <v>316</v>
      </c>
    </row>
    <row r="6924">
      <c r="A6924" s="17"/>
      <c r="H6924" s="18"/>
      <c r="K6924" s="18" t="s">
        <v>316</v>
      </c>
    </row>
    <row r="6925">
      <c r="A6925" s="17"/>
      <c r="H6925" s="18"/>
      <c r="K6925" s="18" t="s">
        <v>316</v>
      </c>
    </row>
    <row r="6926">
      <c r="A6926" s="17"/>
      <c r="H6926" s="18"/>
      <c r="K6926" s="18" t="s">
        <v>316</v>
      </c>
    </row>
    <row r="6927">
      <c r="A6927" s="17"/>
      <c r="H6927" s="18"/>
      <c r="K6927" s="18" t="s">
        <v>316</v>
      </c>
    </row>
    <row r="6928">
      <c r="A6928" s="17"/>
      <c r="H6928" s="18"/>
      <c r="K6928" s="18" t="s">
        <v>316</v>
      </c>
    </row>
    <row r="6929">
      <c r="A6929" s="17"/>
      <c r="H6929" s="18"/>
      <c r="K6929" s="18" t="s">
        <v>316</v>
      </c>
    </row>
    <row r="6930">
      <c r="A6930" s="17"/>
      <c r="H6930" s="18"/>
      <c r="K6930" s="18" t="s">
        <v>316</v>
      </c>
    </row>
    <row r="6931">
      <c r="A6931" s="17"/>
      <c r="H6931" s="18"/>
      <c r="K6931" s="18" t="s">
        <v>316</v>
      </c>
    </row>
    <row r="6932">
      <c r="A6932" s="17"/>
      <c r="H6932" s="18"/>
      <c r="K6932" s="18" t="s">
        <v>316</v>
      </c>
    </row>
    <row r="6933">
      <c r="A6933" s="17"/>
      <c r="H6933" s="18"/>
      <c r="K6933" s="18" t="s">
        <v>316</v>
      </c>
    </row>
    <row r="6934">
      <c r="A6934" s="17"/>
      <c r="H6934" s="18"/>
      <c r="K6934" s="18" t="s">
        <v>316</v>
      </c>
    </row>
    <row r="6935">
      <c r="A6935" s="17"/>
      <c r="H6935" s="18"/>
      <c r="K6935" s="18" t="s">
        <v>316</v>
      </c>
    </row>
    <row r="6936">
      <c r="A6936" s="17"/>
      <c r="H6936" s="18"/>
      <c r="K6936" s="18" t="s">
        <v>316</v>
      </c>
    </row>
    <row r="6937">
      <c r="A6937" s="17"/>
      <c r="H6937" s="18"/>
      <c r="K6937" s="18" t="s">
        <v>316</v>
      </c>
    </row>
    <row r="6938">
      <c r="A6938" s="17"/>
      <c r="H6938" s="18"/>
      <c r="K6938" s="18" t="s">
        <v>316</v>
      </c>
    </row>
    <row r="6939">
      <c r="A6939" s="17"/>
      <c r="H6939" s="18"/>
      <c r="K6939" s="18" t="s">
        <v>316</v>
      </c>
    </row>
    <row r="6940">
      <c r="A6940" s="17"/>
      <c r="H6940" s="18"/>
      <c r="K6940" s="18" t="s">
        <v>316</v>
      </c>
    </row>
    <row r="6941">
      <c r="A6941" s="17"/>
      <c r="H6941" s="18"/>
      <c r="K6941" s="18" t="s">
        <v>316</v>
      </c>
    </row>
    <row r="6942">
      <c r="A6942" s="17"/>
      <c r="H6942" s="18"/>
      <c r="K6942" s="18" t="s">
        <v>316</v>
      </c>
    </row>
    <row r="6943">
      <c r="A6943" s="17"/>
      <c r="H6943" s="18"/>
      <c r="K6943" s="18" t="s">
        <v>316</v>
      </c>
    </row>
    <row r="6944">
      <c r="A6944" s="17"/>
      <c r="H6944" s="18"/>
      <c r="K6944" s="18" t="s">
        <v>316</v>
      </c>
    </row>
    <row r="6945">
      <c r="A6945" s="17"/>
      <c r="H6945" s="18"/>
      <c r="K6945" s="18" t="s">
        <v>316</v>
      </c>
    </row>
    <row r="6946">
      <c r="A6946" s="17"/>
      <c r="H6946" s="18"/>
      <c r="K6946" s="18" t="s">
        <v>316</v>
      </c>
    </row>
    <row r="6947">
      <c r="A6947" s="17"/>
      <c r="H6947" s="18"/>
      <c r="K6947" s="18" t="s">
        <v>316</v>
      </c>
    </row>
    <row r="6948">
      <c r="A6948" s="17"/>
      <c r="H6948" s="18"/>
      <c r="K6948" s="18" t="s">
        <v>316</v>
      </c>
    </row>
    <row r="6949">
      <c r="A6949" s="17"/>
      <c r="H6949" s="18"/>
      <c r="K6949" s="18" t="s">
        <v>316</v>
      </c>
    </row>
    <row r="6950">
      <c r="A6950" s="17"/>
      <c r="H6950" s="18"/>
      <c r="K6950" s="18" t="s">
        <v>316</v>
      </c>
    </row>
    <row r="6951">
      <c r="A6951" s="17"/>
      <c r="H6951" s="18"/>
      <c r="K6951" s="18" t="s">
        <v>316</v>
      </c>
    </row>
    <row r="6952">
      <c r="A6952" s="17"/>
      <c r="H6952" s="18"/>
      <c r="K6952" s="18" t="s">
        <v>316</v>
      </c>
    </row>
    <row r="6953">
      <c r="A6953" s="17"/>
      <c r="H6953" s="18"/>
      <c r="K6953" s="18" t="s">
        <v>316</v>
      </c>
    </row>
    <row r="6954">
      <c r="A6954" s="17"/>
      <c r="H6954" s="18"/>
      <c r="K6954" s="18" t="s">
        <v>316</v>
      </c>
    </row>
    <row r="6955">
      <c r="A6955" s="17"/>
      <c r="H6955" s="18"/>
      <c r="K6955" s="18" t="s">
        <v>316</v>
      </c>
    </row>
    <row r="6956">
      <c r="A6956" s="17"/>
      <c r="H6956" s="18"/>
      <c r="K6956" s="18" t="s">
        <v>316</v>
      </c>
    </row>
    <row r="6957">
      <c r="A6957" s="17"/>
      <c r="H6957" s="18"/>
      <c r="K6957" s="18" t="s">
        <v>316</v>
      </c>
    </row>
    <row r="6958">
      <c r="A6958" s="17"/>
      <c r="H6958" s="18"/>
      <c r="K6958" s="18" t="s">
        <v>316</v>
      </c>
    </row>
    <row r="6959">
      <c r="A6959" s="17"/>
      <c r="H6959" s="18"/>
      <c r="K6959" s="18" t="s">
        <v>316</v>
      </c>
    </row>
    <row r="6960">
      <c r="A6960" s="17"/>
      <c r="H6960" s="18"/>
      <c r="K6960" s="18" t="s">
        <v>316</v>
      </c>
    </row>
    <row r="6961">
      <c r="A6961" s="17"/>
      <c r="H6961" s="18"/>
      <c r="K6961" s="18" t="s">
        <v>316</v>
      </c>
    </row>
    <row r="6962">
      <c r="A6962" s="17"/>
      <c r="H6962" s="18"/>
      <c r="K6962" s="18" t="s">
        <v>316</v>
      </c>
    </row>
    <row r="6963">
      <c r="A6963" s="17"/>
      <c r="H6963" s="18"/>
      <c r="K6963" s="18" t="s">
        <v>316</v>
      </c>
    </row>
    <row r="6964">
      <c r="A6964" s="17"/>
      <c r="H6964" s="18"/>
      <c r="K6964" s="18" t="s">
        <v>316</v>
      </c>
    </row>
    <row r="6965">
      <c r="A6965" s="17"/>
      <c r="H6965" s="18"/>
      <c r="K6965" s="18" t="s">
        <v>316</v>
      </c>
    </row>
    <row r="6966">
      <c r="A6966" s="17"/>
      <c r="H6966" s="18"/>
      <c r="K6966" s="18" t="s">
        <v>316</v>
      </c>
    </row>
    <row r="6967">
      <c r="A6967" s="17"/>
      <c r="H6967" s="18"/>
      <c r="K6967" s="18" t="s">
        <v>316</v>
      </c>
    </row>
    <row r="6968">
      <c r="A6968" s="17"/>
      <c r="H6968" s="18"/>
      <c r="K6968" s="18" t="s">
        <v>316</v>
      </c>
    </row>
    <row r="6969">
      <c r="A6969" s="17"/>
      <c r="H6969" s="18"/>
      <c r="K6969" s="18" t="s">
        <v>316</v>
      </c>
    </row>
    <row r="6970">
      <c r="A6970" s="17"/>
      <c r="H6970" s="18"/>
      <c r="K6970" s="18" t="s">
        <v>316</v>
      </c>
    </row>
    <row r="6971">
      <c r="A6971" s="17"/>
      <c r="H6971" s="18"/>
      <c r="K6971" s="18" t="s">
        <v>316</v>
      </c>
    </row>
    <row r="6972">
      <c r="A6972" s="17"/>
      <c r="H6972" s="18"/>
      <c r="K6972" s="18" t="s">
        <v>316</v>
      </c>
    </row>
    <row r="6973">
      <c r="A6973" s="17"/>
      <c r="H6973" s="18"/>
      <c r="K6973" s="18" t="s">
        <v>316</v>
      </c>
    </row>
    <row r="6974">
      <c r="A6974" s="17"/>
      <c r="H6974" s="18"/>
      <c r="K6974" s="18" t="s">
        <v>316</v>
      </c>
    </row>
    <row r="6975">
      <c r="A6975" s="17"/>
      <c r="H6975" s="18"/>
      <c r="K6975" s="18" t="s">
        <v>316</v>
      </c>
    </row>
    <row r="6976">
      <c r="A6976" s="17"/>
      <c r="H6976" s="18"/>
      <c r="K6976" s="18" t="s">
        <v>316</v>
      </c>
    </row>
    <row r="6977">
      <c r="A6977" s="17"/>
      <c r="H6977" s="18"/>
      <c r="K6977" s="18" t="s">
        <v>316</v>
      </c>
    </row>
    <row r="6978">
      <c r="A6978" s="17"/>
      <c r="H6978" s="18"/>
      <c r="K6978" s="18" t="s">
        <v>316</v>
      </c>
    </row>
    <row r="6979">
      <c r="A6979" s="17"/>
      <c r="H6979" s="18"/>
      <c r="K6979" s="18" t="s">
        <v>316</v>
      </c>
    </row>
    <row r="6980">
      <c r="A6980" s="17"/>
      <c r="H6980" s="18"/>
      <c r="K6980" s="18" t="s">
        <v>316</v>
      </c>
    </row>
    <row r="6981">
      <c r="A6981" s="17"/>
      <c r="H6981" s="18"/>
      <c r="K6981" s="18" t="s">
        <v>316</v>
      </c>
    </row>
    <row r="6982">
      <c r="A6982" s="17"/>
      <c r="H6982" s="18"/>
      <c r="K6982" s="18" t="s">
        <v>316</v>
      </c>
    </row>
    <row r="6983">
      <c r="A6983" s="17"/>
      <c r="H6983" s="18"/>
      <c r="K6983" s="18" t="s">
        <v>316</v>
      </c>
    </row>
    <row r="6984">
      <c r="A6984" s="17"/>
      <c r="H6984" s="18"/>
      <c r="K6984" s="18" t="s">
        <v>316</v>
      </c>
    </row>
    <row r="6985">
      <c r="A6985" s="17"/>
      <c r="H6985" s="18"/>
      <c r="K6985" s="18" t="s">
        <v>316</v>
      </c>
    </row>
    <row r="6986">
      <c r="A6986" s="17"/>
      <c r="H6986" s="18"/>
      <c r="K6986" s="18" t="s">
        <v>316</v>
      </c>
    </row>
    <row r="6987">
      <c r="A6987" s="17"/>
      <c r="H6987" s="18"/>
      <c r="K6987" s="18" t="s">
        <v>316</v>
      </c>
    </row>
    <row r="6988">
      <c r="A6988" s="17"/>
      <c r="H6988" s="18"/>
      <c r="K6988" s="18" t="s">
        <v>316</v>
      </c>
    </row>
    <row r="6989">
      <c r="A6989" s="17"/>
      <c r="H6989" s="18"/>
      <c r="K6989" s="18" t="s">
        <v>316</v>
      </c>
    </row>
    <row r="6990">
      <c r="A6990" s="17"/>
      <c r="H6990" s="18"/>
      <c r="K6990" s="18" t="s">
        <v>316</v>
      </c>
    </row>
    <row r="6991">
      <c r="A6991" s="17"/>
      <c r="H6991" s="18"/>
      <c r="K6991" s="18" t="s">
        <v>316</v>
      </c>
    </row>
    <row r="6992">
      <c r="A6992" s="17"/>
      <c r="H6992" s="18"/>
      <c r="K6992" s="18" t="s">
        <v>316</v>
      </c>
    </row>
    <row r="6993">
      <c r="A6993" s="17"/>
      <c r="H6993" s="18"/>
      <c r="K6993" s="18" t="s">
        <v>316</v>
      </c>
    </row>
    <row r="6994">
      <c r="A6994" s="17"/>
      <c r="H6994" s="18"/>
      <c r="K6994" s="18" t="s">
        <v>316</v>
      </c>
    </row>
    <row r="6995">
      <c r="A6995" s="17"/>
      <c r="H6995" s="18"/>
      <c r="K6995" s="18" t="s">
        <v>316</v>
      </c>
    </row>
    <row r="6996">
      <c r="A6996" s="17"/>
      <c r="H6996" s="18"/>
      <c r="K6996" s="18" t="s">
        <v>316</v>
      </c>
    </row>
    <row r="6997">
      <c r="A6997" s="17"/>
      <c r="H6997" s="18"/>
      <c r="K6997" s="18" t="s">
        <v>316</v>
      </c>
    </row>
    <row r="6998">
      <c r="A6998" s="17"/>
      <c r="H6998" s="18"/>
      <c r="K6998" s="18" t="s">
        <v>316</v>
      </c>
    </row>
    <row r="6999">
      <c r="A6999" s="17"/>
      <c r="H6999" s="18"/>
      <c r="K6999" s="18" t="s">
        <v>316</v>
      </c>
    </row>
    <row r="7000">
      <c r="A7000" s="17"/>
      <c r="H7000" s="18"/>
      <c r="K7000" s="18" t="s">
        <v>316</v>
      </c>
    </row>
    <row r="7001">
      <c r="A7001" s="17"/>
      <c r="H7001" s="18"/>
      <c r="K7001" s="18" t="s">
        <v>316</v>
      </c>
    </row>
    <row r="7002">
      <c r="A7002" s="17"/>
      <c r="H7002" s="18"/>
      <c r="K7002" s="18" t="s">
        <v>316</v>
      </c>
    </row>
    <row r="7003">
      <c r="A7003" s="17"/>
      <c r="H7003" s="18"/>
      <c r="K7003" s="18" t="s">
        <v>316</v>
      </c>
    </row>
    <row r="7004">
      <c r="A7004" s="17"/>
      <c r="H7004" s="18"/>
      <c r="K7004" s="18" t="s">
        <v>316</v>
      </c>
    </row>
    <row r="7005">
      <c r="A7005" s="17"/>
      <c r="H7005" s="18"/>
      <c r="K7005" s="18" t="s">
        <v>316</v>
      </c>
    </row>
    <row r="7006">
      <c r="A7006" s="17"/>
      <c r="H7006" s="18"/>
      <c r="K7006" s="18" t="s">
        <v>316</v>
      </c>
    </row>
    <row r="7007">
      <c r="A7007" s="17"/>
      <c r="H7007" s="18"/>
      <c r="K7007" s="18" t="s">
        <v>316</v>
      </c>
    </row>
    <row r="7008">
      <c r="A7008" s="17"/>
      <c r="H7008" s="18"/>
      <c r="K7008" s="18" t="s">
        <v>316</v>
      </c>
    </row>
    <row r="7009">
      <c r="A7009" s="17"/>
      <c r="H7009" s="18"/>
      <c r="K7009" s="18" t="s">
        <v>316</v>
      </c>
    </row>
    <row r="7010">
      <c r="A7010" s="17"/>
      <c r="H7010" s="18"/>
      <c r="K7010" s="18" t="s">
        <v>316</v>
      </c>
    </row>
    <row r="7011">
      <c r="A7011" s="17"/>
      <c r="H7011" s="18"/>
      <c r="K7011" s="18" t="s">
        <v>316</v>
      </c>
    </row>
    <row r="7012">
      <c r="A7012" s="17"/>
      <c r="H7012" s="18"/>
      <c r="K7012" s="18" t="s">
        <v>316</v>
      </c>
    </row>
    <row r="7013">
      <c r="A7013" s="17"/>
      <c r="H7013" s="18"/>
      <c r="K7013" s="18" t="s">
        <v>316</v>
      </c>
    </row>
    <row r="7014">
      <c r="A7014" s="17"/>
      <c r="H7014" s="18"/>
      <c r="K7014" s="18" t="s">
        <v>316</v>
      </c>
    </row>
    <row r="7015">
      <c r="A7015" s="17"/>
      <c r="H7015" s="18"/>
      <c r="K7015" s="18" t="s">
        <v>316</v>
      </c>
    </row>
    <row r="7016">
      <c r="A7016" s="17"/>
      <c r="H7016" s="18"/>
      <c r="K7016" s="18" t="s">
        <v>316</v>
      </c>
    </row>
    <row r="7017">
      <c r="A7017" s="17"/>
      <c r="H7017" s="18"/>
      <c r="K7017" s="18" t="s">
        <v>316</v>
      </c>
    </row>
    <row r="7018">
      <c r="A7018" s="17"/>
      <c r="H7018" s="18"/>
      <c r="K7018" s="18" t="s">
        <v>316</v>
      </c>
    </row>
    <row r="7019">
      <c r="A7019" s="17"/>
      <c r="H7019" s="18"/>
      <c r="K7019" s="18" t="s">
        <v>316</v>
      </c>
    </row>
    <row r="7020">
      <c r="A7020" s="17"/>
      <c r="H7020" s="18"/>
      <c r="K7020" s="18" t="s">
        <v>316</v>
      </c>
    </row>
    <row r="7021">
      <c r="A7021" s="17"/>
      <c r="H7021" s="18"/>
      <c r="K7021" s="18" t="s">
        <v>316</v>
      </c>
    </row>
    <row r="7022">
      <c r="A7022" s="17"/>
      <c r="H7022" s="18"/>
      <c r="K7022" s="18" t="s">
        <v>316</v>
      </c>
    </row>
    <row r="7023">
      <c r="A7023" s="17"/>
      <c r="H7023" s="18"/>
      <c r="K7023" s="18" t="s">
        <v>316</v>
      </c>
    </row>
    <row r="7024">
      <c r="A7024" s="17"/>
      <c r="H7024" s="18"/>
      <c r="K7024" s="18" t="s">
        <v>316</v>
      </c>
    </row>
    <row r="7025">
      <c r="A7025" s="17"/>
      <c r="H7025" s="18"/>
      <c r="K7025" s="18" t="s">
        <v>316</v>
      </c>
    </row>
    <row r="7026">
      <c r="A7026" s="17"/>
      <c r="H7026" s="18"/>
      <c r="K7026" s="18" t="s">
        <v>316</v>
      </c>
    </row>
    <row r="7027">
      <c r="A7027" s="17"/>
      <c r="H7027" s="18"/>
      <c r="K7027" s="18" t="s">
        <v>316</v>
      </c>
    </row>
    <row r="7028">
      <c r="A7028" s="17"/>
      <c r="H7028" s="18"/>
      <c r="K7028" s="18" t="s">
        <v>316</v>
      </c>
    </row>
    <row r="7029">
      <c r="A7029" s="17"/>
      <c r="H7029" s="18"/>
      <c r="K7029" s="18" t="s">
        <v>316</v>
      </c>
    </row>
    <row r="7030">
      <c r="A7030" s="17"/>
      <c r="H7030" s="18"/>
      <c r="K7030" s="18" t="s">
        <v>316</v>
      </c>
    </row>
    <row r="7031">
      <c r="A7031" s="17"/>
      <c r="H7031" s="18"/>
      <c r="K7031" s="18" t="s">
        <v>316</v>
      </c>
    </row>
    <row r="7032">
      <c r="A7032" s="17"/>
      <c r="H7032" s="18"/>
      <c r="K7032" s="18" t="s">
        <v>316</v>
      </c>
    </row>
    <row r="7033">
      <c r="A7033" s="17"/>
      <c r="H7033" s="18"/>
      <c r="K7033" s="18" t="s">
        <v>316</v>
      </c>
    </row>
    <row r="7034">
      <c r="A7034" s="17"/>
      <c r="H7034" s="18"/>
      <c r="K7034" s="18" t="s">
        <v>316</v>
      </c>
    </row>
    <row r="7035">
      <c r="A7035" s="17"/>
      <c r="H7035" s="18"/>
      <c r="K7035" s="18" t="s">
        <v>316</v>
      </c>
    </row>
    <row r="7036">
      <c r="A7036" s="17"/>
      <c r="H7036" s="18"/>
      <c r="K7036" s="18" t="s">
        <v>316</v>
      </c>
    </row>
    <row r="7037">
      <c r="A7037" s="17"/>
      <c r="H7037" s="18"/>
      <c r="K7037" s="18" t="s">
        <v>316</v>
      </c>
    </row>
    <row r="7038">
      <c r="A7038" s="17"/>
      <c r="H7038" s="18"/>
      <c r="K7038" s="18" t="s">
        <v>316</v>
      </c>
    </row>
    <row r="7039">
      <c r="A7039" s="17"/>
      <c r="H7039" s="18"/>
      <c r="K7039" s="18" t="s">
        <v>316</v>
      </c>
    </row>
    <row r="7040">
      <c r="A7040" s="17"/>
      <c r="H7040" s="18"/>
      <c r="K7040" s="18" t="s">
        <v>316</v>
      </c>
    </row>
    <row r="7041">
      <c r="A7041" s="17"/>
      <c r="H7041" s="18"/>
      <c r="K7041" s="18" t="s">
        <v>316</v>
      </c>
    </row>
    <row r="7042">
      <c r="A7042" s="17"/>
      <c r="H7042" s="18"/>
      <c r="K7042" s="18" t="s">
        <v>316</v>
      </c>
    </row>
    <row r="7043">
      <c r="A7043" s="17"/>
      <c r="H7043" s="18"/>
      <c r="K7043" s="18" t="s">
        <v>316</v>
      </c>
    </row>
    <row r="7044">
      <c r="A7044" s="17"/>
      <c r="H7044" s="18"/>
      <c r="K7044" s="18" t="s">
        <v>316</v>
      </c>
    </row>
    <row r="7045">
      <c r="A7045" s="17"/>
      <c r="H7045" s="18"/>
      <c r="K7045" s="18" t="s">
        <v>316</v>
      </c>
    </row>
    <row r="7046">
      <c r="A7046" s="17"/>
      <c r="H7046" s="18"/>
      <c r="K7046" s="18" t="s">
        <v>316</v>
      </c>
    </row>
    <row r="7047">
      <c r="A7047" s="17"/>
      <c r="H7047" s="18"/>
      <c r="K7047" s="18" t="s">
        <v>316</v>
      </c>
    </row>
    <row r="7048">
      <c r="A7048" s="17"/>
      <c r="H7048" s="18"/>
      <c r="K7048" s="18" t="s">
        <v>316</v>
      </c>
    </row>
    <row r="7049">
      <c r="A7049" s="17"/>
      <c r="H7049" s="18"/>
      <c r="K7049" s="18" t="s">
        <v>316</v>
      </c>
    </row>
    <row r="7050">
      <c r="A7050" s="17"/>
      <c r="H7050" s="18"/>
      <c r="K7050" s="18" t="s">
        <v>316</v>
      </c>
    </row>
    <row r="7051">
      <c r="A7051" s="17"/>
      <c r="H7051" s="18"/>
      <c r="K7051" s="18" t="s">
        <v>316</v>
      </c>
    </row>
    <row r="7052">
      <c r="A7052" s="17"/>
      <c r="H7052" s="18"/>
      <c r="K7052" s="18" t="s">
        <v>316</v>
      </c>
    </row>
    <row r="7053">
      <c r="A7053" s="17"/>
      <c r="H7053" s="18"/>
      <c r="K7053" s="18" t="s">
        <v>316</v>
      </c>
    </row>
    <row r="7054">
      <c r="A7054" s="17"/>
      <c r="H7054" s="18"/>
      <c r="K7054" s="18" t="s">
        <v>316</v>
      </c>
    </row>
    <row r="7055">
      <c r="A7055" s="17"/>
      <c r="H7055" s="18"/>
      <c r="K7055" s="18" t="s">
        <v>316</v>
      </c>
    </row>
    <row r="7056">
      <c r="A7056" s="17"/>
      <c r="H7056" s="18"/>
      <c r="K7056" s="18" t="s">
        <v>316</v>
      </c>
    </row>
    <row r="7057">
      <c r="A7057" s="17"/>
      <c r="H7057" s="18"/>
      <c r="K7057" s="18" t="s">
        <v>316</v>
      </c>
    </row>
    <row r="7058">
      <c r="A7058" s="17"/>
      <c r="H7058" s="18"/>
      <c r="K7058" s="18" t="s">
        <v>316</v>
      </c>
    </row>
    <row r="7059">
      <c r="A7059" s="17"/>
      <c r="H7059" s="18"/>
      <c r="K7059" s="18" t="s">
        <v>316</v>
      </c>
    </row>
    <row r="7060">
      <c r="A7060" s="17"/>
      <c r="H7060" s="18"/>
      <c r="K7060" s="18" t="s">
        <v>316</v>
      </c>
    </row>
    <row r="7061">
      <c r="A7061" s="17"/>
      <c r="H7061" s="18"/>
      <c r="K7061" s="18" t="s">
        <v>316</v>
      </c>
    </row>
    <row r="7062">
      <c r="A7062" s="17"/>
      <c r="H7062" s="18"/>
      <c r="K7062" s="18" t="s">
        <v>316</v>
      </c>
    </row>
    <row r="7063">
      <c r="A7063" s="17"/>
      <c r="H7063" s="18"/>
      <c r="K7063" s="18" t="s">
        <v>316</v>
      </c>
    </row>
    <row r="7064">
      <c r="A7064" s="17"/>
      <c r="H7064" s="18"/>
      <c r="K7064" s="18" t="s">
        <v>316</v>
      </c>
    </row>
    <row r="7065">
      <c r="A7065" s="17"/>
      <c r="H7065" s="18"/>
      <c r="K7065" s="18" t="s">
        <v>316</v>
      </c>
    </row>
    <row r="7066">
      <c r="A7066" s="17"/>
      <c r="H7066" s="18"/>
      <c r="K7066" s="18" t="s">
        <v>316</v>
      </c>
    </row>
    <row r="7067">
      <c r="A7067" s="17"/>
      <c r="H7067" s="18"/>
      <c r="K7067" s="18" t="s">
        <v>316</v>
      </c>
    </row>
    <row r="7068">
      <c r="A7068" s="17"/>
      <c r="H7068" s="18"/>
      <c r="K7068" s="18" t="s">
        <v>316</v>
      </c>
    </row>
    <row r="7069">
      <c r="A7069" s="17"/>
      <c r="H7069" s="18"/>
      <c r="K7069" s="18" t="s">
        <v>316</v>
      </c>
    </row>
    <row r="7070">
      <c r="A7070" s="17"/>
      <c r="H7070" s="18"/>
      <c r="K7070" s="18" t="s">
        <v>316</v>
      </c>
    </row>
    <row r="7071">
      <c r="A7071" s="17"/>
      <c r="H7071" s="18"/>
      <c r="K7071" s="18" t="s">
        <v>316</v>
      </c>
    </row>
    <row r="7072">
      <c r="A7072" s="17"/>
      <c r="H7072" s="18"/>
      <c r="K7072" s="18" t="s">
        <v>316</v>
      </c>
    </row>
    <row r="7073">
      <c r="A7073" s="17"/>
      <c r="H7073" s="18"/>
      <c r="K7073" s="18" t="s">
        <v>316</v>
      </c>
    </row>
    <row r="7074">
      <c r="A7074" s="17"/>
      <c r="H7074" s="18"/>
      <c r="K7074" s="18" t="s">
        <v>316</v>
      </c>
    </row>
    <row r="7075">
      <c r="A7075" s="17"/>
      <c r="H7075" s="18"/>
      <c r="K7075" s="18" t="s">
        <v>316</v>
      </c>
    </row>
    <row r="7076">
      <c r="A7076" s="17"/>
      <c r="H7076" s="18"/>
      <c r="K7076" s="18" t="s">
        <v>316</v>
      </c>
    </row>
    <row r="7077">
      <c r="A7077" s="17"/>
      <c r="H7077" s="18"/>
      <c r="K7077" s="18" t="s">
        <v>316</v>
      </c>
    </row>
    <row r="7078">
      <c r="A7078" s="17"/>
      <c r="H7078" s="18"/>
      <c r="K7078" s="18" t="s">
        <v>316</v>
      </c>
    </row>
    <row r="7079">
      <c r="A7079" s="17"/>
      <c r="H7079" s="18"/>
      <c r="K7079" s="18" t="s">
        <v>316</v>
      </c>
    </row>
    <row r="7080">
      <c r="A7080" s="17"/>
      <c r="H7080" s="18"/>
      <c r="K7080" s="18" t="s">
        <v>316</v>
      </c>
    </row>
    <row r="7081">
      <c r="A7081" s="17"/>
      <c r="H7081" s="18"/>
      <c r="K7081" s="18" t="s">
        <v>316</v>
      </c>
    </row>
    <row r="7082">
      <c r="A7082" s="17"/>
      <c r="H7082" s="18"/>
      <c r="K7082" s="18" t="s">
        <v>316</v>
      </c>
    </row>
    <row r="7083">
      <c r="A7083" s="17"/>
      <c r="H7083" s="18"/>
      <c r="K7083" s="18" t="s">
        <v>316</v>
      </c>
    </row>
    <row r="7084">
      <c r="A7084" s="17"/>
      <c r="H7084" s="18"/>
      <c r="K7084" s="18" t="s">
        <v>316</v>
      </c>
    </row>
    <row r="7085">
      <c r="A7085" s="17"/>
      <c r="H7085" s="18"/>
      <c r="K7085" s="18" t="s">
        <v>316</v>
      </c>
    </row>
    <row r="7086">
      <c r="A7086" s="17"/>
      <c r="H7086" s="18"/>
      <c r="K7086" s="18" t="s">
        <v>316</v>
      </c>
    </row>
    <row r="7087">
      <c r="A7087" s="17"/>
      <c r="H7087" s="18"/>
      <c r="K7087" s="18" t="s">
        <v>316</v>
      </c>
    </row>
    <row r="7088">
      <c r="A7088" s="17"/>
      <c r="H7088" s="18"/>
      <c r="K7088" s="18" t="s">
        <v>316</v>
      </c>
    </row>
    <row r="7089">
      <c r="A7089" s="17"/>
      <c r="H7089" s="18"/>
      <c r="K7089" s="18" t="s">
        <v>316</v>
      </c>
    </row>
    <row r="7090">
      <c r="A7090" s="17"/>
      <c r="H7090" s="18"/>
      <c r="K7090" s="18" t="s">
        <v>316</v>
      </c>
    </row>
    <row r="7091">
      <c r="A7091" s="17"/>
      <c r="H7091" s="18"/>
      <c r="K7091" s="18" t="s">
        <v>316</v>
      </c>
    </row>
    <row r="7092">
      <c r="A7092" s="17"/>
      <c r="H7092" s="18"/>
      <c r="K7092" s="18" t="s">
        <v>316</v>
      </c>
    </row>
    <row r="7093">
      <c r="A7093" s="17"/>
      <c r="H7093" s="18"/>
      <c r="K7093" s="18" t="s">
        <v>316</v>
      </c>
    </row>
    <row r="7094">
      <c r="A7094" s="17"/>
      <c r="H7094" s="18"/>
      <c r="K7094" s="18" t="s">
        <v>316</v>
      </c>
    </row>
    <row r="7095">
      <c r="A7095" s="17"/>
      <c r="H7095" s="18"/>
      <c r="K7095" s="18" t="s">
        <v>316</v>
      </c>
    </row>
    <row r="7096">
      <c r="A7096" s="17"/>
      <c r="H7096" s="18"/>
      <c r="K7096" s="18" t="s">
        <v>316</v>
      </c>
    </row>
    <row r="7097">
      <c r="A7097" s="17"/>
      <c r="H7097" s="18"/>
      <c r="K7097" s="18" t="s">
        <v>316</v>
      </c>
    </row>
    <row r="7098">
      <c r="A7098" s="17"/>
      <c r="H7098" s="18"/>
      <c r="K7098" s="18" t="s">
        <v>316</v>
      </c>
    </row>
    <row r="7099">
      <c r="A7099" s="17"/>
      <c r="H7099" s="18"/>
      <c r="K7099" s="18" t="s">
        <v>316</v>
      </c>
    </row>
    <row r="7100">
      <c r="A7100" s="17"/>
      <c r="H7100" s="18"/>
      <c r="K7100" s="18" t="s">
        <v>316</v>
      </c>
    </row>
    <row r="7101">
      <c r="A7101" s="17"/>
      <c r="H7101" s="18"/>
      <c r="K7101" s="18" t="s">
        <v>316</v>
      </c>
    </row>
    <row r="7102">
      <c r="A7102" s="17"/>
      <c r="H7102" s="18"/>
      <c r="K7102" s="18" t="s">
        <v>316</v>
      </c>
    </row>
    <row r="7103">
      <c r="A7103" s="17"/>
      <c r="H7103" s="18"/>
      <c r="K7103" s="18" t="s">
        <v>316</v>
      </c>
    </row>
    <row r="7104">
      <c r="A7104" s="17"/>
      <c r="H7104" s="18"/>
      <c r="K7104" s="18" t="s">
        <v>316</v>
      </c>
    </row>
    <row r="7105">
      <c r="A7105" s="17"/>
      <c r="H7105" s="18"/>
      <c r="K7105" s="18" t="s">
        <v>316</v>
      </c>
    </row>
    <row r="7106">
      <c r="A7106" s="17"/>
      <c r="H7106" s="18"/>
      <c r="K7106" s="18" t="s">
        <v>316</v>
      </c>
    </row>
    <row r="7107">
      <c r="A7107" s="17"/>
      <c r="H7107" s="18"/>
      <c r="K7107" s="18" t="s">
        <v>316</v>
      </c>
    </row>
    <row r="7108">
      <c r="A7108" s="17"/>
      <c r="H7108" s="18"/>
      <c r="K7108" s="18" t="s">
        <v>316</v>
      </c>
    </row>
    <row r="7109">
      <c r="A7109" s="17"/>
      <c r="H7109" s="18"/>
      <c r="K7109" s="18" t="s">
        <v>316</v>
      </c>
    </row>
    <row r="7110">
      <c r="A7110" s="17"/>
      <c r="H7110" s="18"/>
      <c r="K7110" s="18" t="s">
        <v>316</v>
      </c>
    </row>
    <row r="7111">
      <c r="A7111" s="17"/>
      <c r="H7111" s="18"/>
      <c r="K7111" s="18" t="s">
        <v>316</v>
      </c>
    </row>
    <row r="7112">
      <c r="A7112" s="17"/>
      <c r="H7112" s="18"/>
      <c r="K7112" s="18" t="s">
        <v>316</v>
      </c>
    </row>
    <row r="7113">
      <c r="A7113" s="17"/>
      <c r="H7113" s="18"/>
      <c r="K7113" s="18" t="s">
        <v>316</v>
      </c>
    </row>
    <row r="7114">
      <c r="A7114" s="17"/>
      <c r="H7114" s="18"/>
      <c r="K7114" s="18" t="s">
        <v>316</v>
      </c>
    </row>
    <row r="7115">
      <c r="A7115" s="17"/>
      <c r="H7115" s="18"/>
      <c r="K7115" s="18" t="s">
        <v>316</v>
      </c>
    </row>
    <row r="7116">
      <c r="A7116" s="17"/>
      <c r="H7116" s="18"/>
      <c r="K7116" s="18" t="s">
        <v>316</v>
      </c>
    </row>
    <row r="7117">
      <c r="A7117" s="17"/>
      <c r="H7117" s="18"/>
      <c r="K7117" s="18" t="s">
        <v>316</v>
      </c>
    </row>
    <row r="7118">
      <c r="A7118" s="17"/>
      <c r="H7118" s="18"/>
      <c r="K7118" s="18" t="s">
        <v>316</v>
      </c>
    </row>
    <row r="7119">
      <c r="A7119" s="17"/>
      <c r="H7119" s="18"/>
      <c r="K7119" s="18" t="s">
        <v>316</v>
      </c>
    </row>
    <row r="7120">
      <c r="A7120" s="17"/>
      <c r="H7120" s="18"/>
      <c r="K7120" s="18" t="s">
        <v>316</v>
      </c>
    </row>
    <row r="7121">
      <c r="A7121" s="17"/>
      <c r="H7121" s="18"/>
      <c r="K7121" s="18" t="s">
        <v>316</v>
      </c>
    </row>
    <row r="7122">
      <c r="A7122" s="17"/>
      <c r="H7122" s="18"/>
      <c r="K7122" s="18" t="s">
        <v>316</v>
      </c>
    </row>
    <row r="7123">
      <c r="A7123" s="17"/>
      <c r="H7123" s="18"/>
      <c r="K7123" s="18" t="s">
        <v>316</v>
      </c>
    </row>
    <row r="7124">
      <c r="A7124" s="17"/>
      <c r="H7124" s="18"/>
      <c r="K7124" s="18" t="s">
        <v>316</v>
      </c>
    </row>
    <row r="7125">
      <c r="A7125" s="17"/>
      <c r="H7125" s="18"/>
      <c r="K7125" s="18" t="s">
        <v>316</v>
      </c>
    </row>
    <row r="7126">
      <c r="A7126" s="17"/>
      <c r="H7126" s="18"/>
      <c r="K7126" s="18" t="s">
        <v>316</v>
      </c>
    </row>
    <row r="7127">
      <c r="A7127" s="17"/>
      <c r="H7127" s="18"/>
      <c r="K7127" s="18" t="s">
        <v>316</v>
      </c>
    </row>
    <row r="7128">
      <c r="A7128" s="17"/>
      <c r="H7128" s="18"/>
      <c r="K7128" s="18" t="s">
        <v>316</v>
      </c>
    </row>
    <row r="7129">
      <c r="A7129" s="17"/>
      <c r="H7129" s="18"/>
      <c r="K7129" s="18" t="s">
        <v>316</v>
      </c>
    </row>
    <row r="7130">
      <c r="A7130" s="17"/>
      <c r="H7130" s="18"/>
      <c r="K7130" s="18" t="s">
        <v>316</v>
      </c>
    </row>
    <row r="7131">
      <c r="A7131" s="17"/>
      <c r="H7131" s="18"/>
      <c r="K7131" s="18" t="s">
        <v>316</v>
      </c>
    </row>
    <row r="7132">
      <c r="A7132" s="17"/>
      <c r="H7132" s="18"/>
      <c r="K7132" s="18" t="s">
        <v>316</v>
      </c>
    </row>
    <row r="7133">
      <c r="A7133" s="17"/>
      <c r="H7133" s="18"/>
      <c r="K7133" s="18" t="s">
        <v>316</v>
      </c>
    </row>
    <row r="7134">
      <c r="A7134" s="17"/>
      <c r="H7134" s="18"/>
      <c r="K7134" s="18" t="s">
        <v>316</v>
      </c>
    </row>
    <row r="7135">
      <c r="A7135" s="17"/>
      <c r="H7135" s="18"/>
      <c r="K7135" s="18" t="s">
        <v>316</v>
      </c>
    </row>
    <row r="7136">
      <c r="A7136" s="17"/>
      <c r="H7136" s="18"/>
      <c r="K7136" s="18" t="s">
        <v>316</v>
      </c>
    </row>
    <row r="7137">
      <c r="A7137" s="17"/>
      <c r="H7137" s="18"/>
      <c r="K7137" s="18" t="s">
        <v>316</v>
      </c>
    </row>
    <row r="7138">
      <c r="A7138" s="17"/>
      <c r="H7138" s="18"/>
      <c r="K7138" s="18" t="s">
        <v>316</v>
      </c>
    </row>
    <row r="7139">
      <c r="A7139" s="17"/>
      <c r="H7139" s="18"/>
      <c r="K7139" s="18" t="s">
        <v>316</v>
      </c>
    </row>
    <row r="7140">
      <c r="A7140" s="17"/>
      <c r="H7140" s="18"/>
      <c r="K7140" s="18" t="s">
        <v>316</v>
      </c>
    </row>
    <row r="7141">
      <c r="A7141" s="17"/>
      <c r="H7141" s="18"/>
      <c r="K7141" s="18" t="s">
        <v>316</v>
      </c>
    </row>
    <row r="7142">
      <c r="A7142" s="17"/>
      <c r="H7142" s="18"/>
      <c r="K7142" s="18" t="s">
        <v>316</v>
      </c>
    </row>
    <row r="7143">
      <c r="A7143" s="17"/>
      <c r="H7143" s="18"/>
      <c r="K7143" s="18" t="s">
        <v>316</v>
      </c>
    </row>
    <row r="7144">
      <c r="A7144" s="17"/>
      <c r="H7144" s="18"/>
      <c r="K7144" s="18" t="s">
        <v>316</v>
      </c>
    </row>
    <row r="7145">
      <c r="A7145" s="17"/>
      <c r="H7145" s="18"/>
      <c r="K7145" s="18" t="s">
        <v>316</v>
      </c>
    </row>
    <row r="7146">
      <c r="A7146" s="17"/>
      <c r="H7146" s="18"/>
      <c r="K7146" s="18" t="s">
        <v>316</v>
      </c>
    </row>
    <row r="7147">
      <c r="A7147" s="17"/>
      <c r="H7147" s="18"/>
      <c r="K7147" s="18" t="s">
        <v>316</v>
      </c>
    </row>
    <row r="7148">
      <c r="A7148" s="17"/>
      <c r="H7148" s="18"/>
      <c r="K7148" s="18" t="s">
        <v>316</v>
      </c>
    </row>
    <row r="7149">
      <c r="A7149" s="17"/>
      <c r="H7149" s="18"/>
      <c r="K7149" s="18" t="s">
        <v>316</v>
      </c>
    </row>
    <row r="7150">
      <c r="A7150" s="17"/>
      <c r="H7150" s="18"/>
      <c r="K7150" s="18" t="s">
        <v>316</v>
      </c>
    </row>
    <row r="7151">
      <c r="A7151" s="17"/>
      <c r="H7151" s="18"/>
      <c r="K7151" s="18" t="s">
        <v>316</v>
      </c>
    </row>
    <row r="7152">
      <c r="A7152" s="17"/>
      <c r="H7152" s="18"/>
      <c r="K7152" s="18" t="s">
        <v>316</v>
      </c>
    </row>
    <row r="7153">
      <c r="A7153" s="17"/>
      <c r="H7153" s="18"/>
      <c r="K7153" s="18" t="s">
        <v>316</v>
      </c>
    </row>
    <row r="7154">
      <c r="A7154" s="17"/>
      <c r="H7154" s="18"/>
      <c r="K7154" s="18" t="s">
        <v>316</v>
      </c>
    </row>
    <row r="7155">
      <c r="A7155" s="17"/>
      <c r="H7155" s="18"/>
      <c r="K7155" s="18" t="s">
        <v>316</v>
      </c>
    </row>
    <row r="7156">
      <c r="A7156" s="17"/>
      <c r="H7156" s="18"/>
      <c r="K7156" s="18" t="s">
        <v>316</v>
      </c>
    </row>
    <row r="7157">
      <c r="A7157" s="17"/>
      <c r="H7157" s="18"/>
      <c r="K7157" s="18" t="s">
        <v>316</v>
      </c>
    </row>
    <row r="7158">
      <c r="A7158" s="17"/>
      <c r="H7158" s="18"/>
      <c r="K7158" s="18" t="s">
        <v>316</v>
      </c>
    </row>
    <row r="7159">
      <c r="A7159" s="17"/>
      <c r="H7159" s="18"/>
      <c r="K7159" s="18" t="s">
        <v>316</v>
      </c>
    </row>
    <row r="7160">
      <c r="A7160" s="17"/>
      <c r="H7160" s="18"/>
      <c r="K7160" s="18" t="s">
        <v>316</v>
      </c>
    </row>
    <row r="7161">
      <c r="A7161" s="17"/>
      <c r="H7161" s="18"/>
      <c r="K7161" s="18" t="s">
        <v>316</v>
      </c>
    </row>
    <row r="7162">
      <c r="A7162" s="17"/>
      <c r="H7162" s="18"/>
      <c r="K7162" s="18" t="s">
        <v>316</v>
      </c>
    </row>
    <row r="7163">
      <c r="A7163" s="17"/>
      <c r="H7163" s="18"/>
      <c r="K7163" s="18" t="s">
        <v>316</v>
      </c>
    </row>
    <row r="7164">
      <c r="A7164" s="17"/>
      <c r="H7164" s="18"/>
      <c r="K7164" s="18" t="s">
        <v>316</v>
      </c>
    </row>
    <row r="7165">
      <c r="A7165" s="17"/>
      <c r="H7165" s="18"/>
      <c r="K7165" s="18" t="s">
        <v>316</v>
      </c>
    </row>
    <row r="7166">
      <c r="A7166" s="17"/>
      <c r="H7166" s="18"/>
      <c r="K7166" s="18" t="s">
        <v>316</v>
      </c>
    </row>
    <row r="7167">
      <c r="A7167" s="17"/>
      <c r="H7167" s="18"/>
      <c r="K7167" s="18" t="s">
        <v>316</v>
      </c>
    </row>
    <row r="7168">
      <c r="A7168" s="17"/>
      <c r="H7168" s="18"/>
      <c r="K7168" s="18" t="s">
        <v>316</v>
      </c>
    </row>
    <row r="7169">
      <c r="A7169" s="17"/>
      <c r="H7169" s="18"/>
      <c r="K7169" s="18" t="s">
        <v>316</v>
      </c>
    </row>
    <row r="7170">
      <c r="A7170" s="17"/>
      <c r="H7170" s="18"/>
      <c r="K7170" s="18" t="s">
        <v>316</v>
      </c>
    </row>
    <row r="7171">
      <c r="A7171" s="17"/>
      <c r="H7171" s="18"/>
      <c r="K7171" s="18" t="s">
        <v>316</v>
      </c>
    </row>
    <row r="7172">
      <c r="A7172" s="17"/>
      <c r="H7172" s="18"/>
      <c r="K7172" s="18" t="s">
        <v>316</v>
      </c>
    </row>
    <row r="7173">
      <c r="A7173" s="17"/>
      <c r="H7173" s="18"/>
      <c r="K7173" s="18" t="s">
        <v>316</v>
      </c>
    </row>
    <row r="7174">
      <c r="A7174" s="17"/>
      <c r="H7174" s="18"/>
      <c r="K7174" s="18" t="s">
        <v>316</v>
      </c>
    </row>
    <row r="7175">
      <c r="A7175" s="17"/>
      <c r="H7175" s="18"/>
      <c r="K7175" s="18" t="s">
        <v>316</v>
      </c>
    </row>
    <row r="7176">
      <c r="A7176" s="17"/>
      <c r="H7176" s="18"/>
      <c r="K7176" s="18" t="s">
        <v>316</v>
      </c>
    </row>
    <row r="7177">
      <c r="A7177" s="17"/>
      <c r="H7177" s="18"/>
      <c r="K7177" s="18" t="s">
        <v>316</v>
      </c>
    </row>
    <row r="7178">
      <c r="A7178" s="17"/>
      <c r="H7178" s="18"/>
      <c r="K7178" s="18" t="s">
        <v>316</v>
      </c>
    </row>
    <row r="7179">
      <c r="A7179" s="17"/>
      <c r="H7179" s="18"/>
      <c r="K7179" s="18" t="s">
        <v>316</v>
      </c>
    </row>
    <row r="7180">
      <c r="A7180" s="17"/>
      <c r="H7180" s="18"/>
      <c r="K7180" s="18" t="s">
        <v>316</v>
      </c>
    </row>
    <row r="7181">
      <c r="A7181" s="17"/>
      <c r="H7181" s="18"/>
      <c r="K7181" s="18" t="s">
        <v>316</v>
      </c>
    </row>
    <row r="7182">
      <c r="A7182" s="17"/>
      <c r="H7182" s="18"/>
      <c r="K7182" s="18" t="s">
        <v>316</v>
      </c>
    </row>
    <row r="7183">
      <c r="A7183" s="17"/>
      <c r="H7183" s="18"/>
      <c r="K7183" s="18" t="s">
        <v>316</v>
      </c>
    </row>
    <row r="7184">
      <c r="A7184" s="17"/>
      <c r="H7184" s="18"/>
      <c r="K7184" s="18" t="s">
        <v>316</v>
      </c>
    </row>
    <row r="7185">
      <c r="A7185" s="17"/>
      <c r="H7185" s="18"/>
      <c r="K7185" s="18" t="s">
        <v>316</v>
      </c>
    </row>
    <row r="7186">
      <c r="A7186" s="17"/>
      <c r="H7186" s="18"/>
      <c r="K7186" s="18" t="s">
        <v>316</v>
      </c>
    </row>
    <row r="7187">
      <c r="A7187" s="17"/>
      <c r="H7187" s="18"/>
      <c r="K7187" s="18" t="s">
        <v>316</v>
      </c>
    </row>
    <row r="7188">
      <c r="A7188" s="17"/>
      <c r="H7188" s="18"/>
      <c r="K7188" s="18" t="s">
        <v>316</v>
      </c>
    </row>
    <row r="7189">
      <c r="A7189" s="17"/>
      <c r="H7189" s="18"/>
      <c r="K7189" s="18" t="s">
        <v>316</v>
      </c>
    </row>
    <row r="7190">
      <c r="A7190" s="17"/>
      <c r="H7190" s="18"/>
      <c r="K7190" s="18" t="s">
        <v>316</v>
      </c>
    </row>
    <row r="7191">
      <c r="A7191" s="17"/>
      <c r="H7191" s="18"/>
      <c r="K7191" s="18" t="s">
        <v>316</v>
      </c>
    </row>
    <row r="7192">
      <c r="A7192" s="17"/>
      <c r="H7192" s="18"/>
      <c r="K7192" s="18" t="s">
        <v>316</v>
      </c>
    </row>
    <row r="7193">
      <c r="A7193" s="17"/>
      <c r="H7193" s="18"/>
      <c r="K7193" s="18" t="s">
        <v>316</v>
      </c>
    </row>
    <row r="7194">
      <c r="A7194" s="17"/>
      <c r="H7194" s="18"/>
      <c r="K7194" s="18" t="s">
        <v>316</v>
      </c>
    </row>
    <row r="7195">
      <c r="A7195" s="17"/>
      <c r="H7195" s="18"/>
      <c r="K7195" s="18" t="s">
        <v>316</v>
      </c>
    </row>
    <row r="7196">
      <c r="A7196" s="17"/>
      <c r="H7196" s="18"/>
      <c r="K7196" s="18" t="s">
        <v>316</v>
      </c>
    </row>
    <row r="7197">
      <c r="A7197" s="17"/>
      <c r="H7197" s="18"/>
      <c r="K7197" s="18" t="s">
        <v>316</v>
      </c>
    </row>
    <row r="7198">
      <c r="A7198" s="17"/>
      <c r="H7198" s="18"/>
      <c r="K7198" s="18" t="s">
        <v>316</v>
      </c>
    </row>
    <row r="7199">
      <c r="A7199" s="17"/>
      <c r="H7199" s="18"/>
      <c r="K7199" s="18" t="s">
        <v>316</v>
      </c>
    </row>
    <row r="7200">
      <c r="A7200" s="17"/>
      <c r="H7200" s="18"/>
      <c r="K7200" s="18" t="s">
        <v>316</v>
      </c>
    </row>
    <row r="7201">
      <c r="A7201" s="17"/>
      <c r="H7201" s="18"/>
      <c r="K7201" s="18" t="s">
        <v>316</v>
      </c>
    </row>
    <row r="7202">
      <c r="A7202" s="17"/>
      <c r="H7202" s="18"/>
      <c r="K7202" s="18" t="s">
        <v>316</v>
      </c>
    </row>
    <row r="7203">
      <c r="A7203" s="17"/>
      <c r="H7203" s="18"/>
      <c r="K7203" s="18" t="s">
        <v>316</v>
      </c>
    </row>
    <row r="7204">
      <c r="A7204" s="17"/>
      <c r="H7204" s="18"/>
      <c r="K7204" s="18" t="s">
        <v>316</v>
      </c>
    </row>
    <row r="7205">
      <c r="A7205" s="17"/>
      <c r="H7205" s="18"/>
      <c r="K7205" s="18" t="s">
        <v>316</v>
      </c>
    </row>
    <row r="7206">
      <c r="A7206" s="17"/>
      <c r="H7206" s="18"/>
      <c r="K7206" s="18" t="s">
        <v>316</v>
      </c>
    </row>
    <row r="7207">
      <c r="A7207" s="17"/>
      <c r="H7207" s="18"/>
      <c r="K7207" s="18" t="s">
        <v>316</v>
      </c>
    </row>
    <row r="7208">
      <c r="A7208" s="17"/>
      <c r="H7208" s="18"/>
      <c r="K7208" s="18" t="s">
        <v>316</v>
      </c>
    </row>
    <row r="7209">
      <c r="A7209" s="17"/>
      <c r="H7209" s="18"/>
      <c r="K7209" s="18" t="s">
        <v>316</v>
      </c>
    </row>
    <row r="7210">
      <c r="A7210" s="17"/>
      <c r="H7210" s="18"/>
      <c r="K7210" s="18" t="s">
        <v>316</v>
      </c>
    </row>
    <row r="7211">
      <c r="A7211" s="17"/>
      <c r="H7211" s="18"/>
      <c r="K7211" s="18" t="s">
        <v>316</v>
      </c>
    </row>
    <row r="7212">
      <c r="A7212" s="17"/>
      <c r="H7212" s="18"/>
      <c r="K7212" s="18" t="s">
        <v>316</v>
      </c>
    </row>
    <row r="7213">
      <c r="A7213" s="17"/>
      <c r="H7213" s="18"/>
      <c r="K7213" s="18" t="s">
        <v>316</v>
      </c>
    </row>
    <row r="7214">
      <c r="A7214" s="17"/>
      <c r="H7214" s="18"/>
      <c r="K7214" s="18" t="s">
        <v>316</v>
      </c>
    </row>
    <row r="7215">
      <c r="A7215" s="17"/>
      <c r="H7215" s="18"/>
      <c r="K7215" s="18" t="s">
        <v>316</v>
      </c>
    </row>
    <row r="7216">
      <c r="A7216" s="17"/>
      <c r="H7216" s="18"/>
      <c r="K7216" s="18" t="s">
        <v>316</v>
      </c>
    </row>
    <row r="7217">
      <c r="A7217" s="17"/>
      <c r="H7217" s="18"/>
      <c r="K7217" s="18" t="s">
        <v>316</v>
      </c>
    </row>
    <row r="7218">
      <c r="A7218" s="17"/>
      <c r="H7218" s="18"/>
      <c r="K7218" s="18" t="s">
        <v>316</v>
      </c>
    </row>
    <row r="7219">
      <c r="A7219" s="17"/>
      <c r="H7219" s="18"/>
      <c r="K7219" s="18" t="s">
        <v>316</v>
      </c>
    </row>
    <row r="7220">
      <c r="A7220" s="17"/>
      <c r="H7220" s="18"/>
      <c r="K7220" s="18" t="s">
        <v>316</v>
      </c>
    </row>
    <row r="7221">
      <c r="A7221" s="17"/>
      <c r="H7221" s="18"/>
      <c r="K7221" s="18" t="s">
        <v>316</v>
      </c>
    </row>
    <row r="7222">
      <c r="A7222" s="17"/>
      <c r="H7222" s="18"/>
      <c r="K7222" s="18" t="s">
        <v>316</v>
      </c>
    </row>
    <row r="7223">
      <c r="A7223" s="17"/>
      <c r="H7223" s="18"/>
      <c r="K7223" s="18" t="s">
        <v>316</v>
      </c>
    </row>
    <row r="7224">
      <c r="A7224" s="17"/>
      <c r="H7224" s="18"/>
      <c r="K7224" s="18" t="s">
        <v>316</v>
      </c>
    </row>
    <row r="7225">
      <c r="A7225" s="17"/>
      <c r="H7225" s="18"/>
      <c r="K7225" s="18" t="s">
        <v>316</v>
      </c>
    </row>
    <row r="7226">
      <c r="A7226" s="17"/>
      <c r="H7226" s="18"/>
      <c r="K7226" s="18" t="s">
        <v>316</v>
      </c>
    </row>
    <row r="7227">
      <c r="A7227" s="17"/>
      <c r="H7227" s="18"/>
      <c r="K7227" s="18" t="s">
        <v>316</v>
      </c>
    </row>
    <row r="7228">
      <c r="A7228" s="17"/>
      <c r="H7228" s="18"/>
      <c r="K7228" s="18" t="s">
        <v>316</v>
      </c>
    </row>
    <row r="7229">
      <c r="A7229" s="17"/>
      <c r="H7229" s="18"/>
      <c r="K7229" s="18" t="s">
        <v>316</v>
      </c>
    </row>
    <row r="7230">
      <c r="A7230" s="17"/>
      <c r="H7230" s="18"/>
      <c r="K7230" s="18" t="s">
        <v>316</v>
      </c>
    </row>
    <row r="7231">
      <c r="A7231" s="17"/>
      <c r="H7231" s="18"/>
      <c r="K7231" s="18" t="s">
        <v>316</v>
      </c>
    </row>
    <row r="7232">
      <c r="A7232" s="17"/>
      <c r="H7232" s="18"/>
      <c r="K7232" s="18" t="s">
        <v>316</v>
      </c>
    </row>
    <row r="7233">
      <c r="A7233" s="17"/>
      <c r="H7233" s="18"/>
      <c r="K7233" s="18" t="s">
        <v>316</v>
      </c>
    </row>
    <row r="7234">
      <c r="A7234" s="17"/>
      <c r="H7234" s="18"/>
      <c r="K7234" s="18" t="s">
        <v>316</v>
      </c>
    </row>
    <row r="7235">
      <c r="A7235" s="17"/>
      <c r="H7235" s="18"/>
      <c r="K7235" s="18" t="s">
        <v>316</v>
      </c>
    </row>
    <row r="7236">
      <c r="A7236" s="17"/>
      <c r="H7236" s="18"/>
      <c r="K7236" s="18" t="s">
        <v>316</v>
      </c>
    </row>
    <row r="7237">
      <c r="A7237" s="17"/>
      <c r="H7237" s="18"/>
      <c r="K7237" s="18" t="s">
        <v>316</v>
      </c>
    </row>
    <row r="7238">
      <c r="A7238" s="17"/>
      <c r="H7238" s="18"/>
      <c r="K7238" s="18" t="s">
        <v>316</v>
      </c>
    </row>
    <row r="7239">
      <c r="A7239" s="17"/>
      <c r="H7239" s="18"/>
      <c r="K7239" s="18" t="s">
        <v>316</v>
      </c>
    </row>
    <row r="7240">
      <c r="A7240" s="17"/>
      <c r="H7240" s="18"/>
      <c r="K7240" s="18" t="s">
        <v>316</v>
      </c>
    </row>
    <row r="7241">
      <c r="A7241" s="17"/>
      <c r="H7241" s="18"/>
      <c r="K7241" s="18" t="s">
        <v>316</v>
      </c>
    </row>
    <row r="7242">
      <c r="A7242" s="17"/>
      <c r="H7242" s="18"/>
      <c r="K7242" s="18" t="s">
        <v>316</v>
      </c>
    </row>
    <row r="7243">
      <c r="A7243" s="17"/>
      <c r="H7243" s="18"/>
      <c r="K7243" s="18" t="s">
        <v>316</v>
      </c>
    </row>
    <row r="7244">
      <c r="A7244" s="17"/>
      <c r="H7244" s="18"/>
      <c r="K7244" s="18" t="s">
        <v>316</v>
      </c>
    </row>
    <row r="7245">
      <c r="A7245" s="17"/>
      <c r="H7245" s="18"/>
      <c r="K7245" s="18" t="s">
        <v>316</v>
      </c>
    </row>
    <row r="7246">
      <c r="A7246" s="17"/>
      <c r="H7246" s="18"/>
      <c r="K7246" s="18" t="s">
        <v>316</v>
      </c>
    </row>
    <row r="7247">
      <c r="A7247" s="17"/>
      <c r="H7247" s="18"/>
      <c r="K7247" s="18" t="s">
        <v>316</v>
      </c>
    </row>
    <row r="7248">
      <c r="A7248" s="17"/>
      <c r="H7248" s="18"/>
      <c r="K7248" s="18" t="s">
        <v>316</v>
      </c>
    </row>
    <row r="7249">
      <c r="A7249" s="17"/>
      <c r="H7249" s="18"/>
      <c r="K7249" s="18" t="s">
        <v>316</v>
      </c>
    </row>
    <row r="7250">
      <c r="A7250" s="17"/>
      <c r="H7250" s="18"/>
      <c r="K7250" s="18" t="s">
        <v>316</v>
      </c>
    </row>
    <row r="7251">
      <c r="A7251" s="17"/>
      <c r="H7251" s="18"/>
      <c r="K7251" s="18" t="s">
        <v>316</v>
      </c>
    </row>
    <row r="7252">
      <c r="A7252" s="17"/>
      <c r="H7252" s="18"/>
      <c r="K7252" s="18" t="s">
        <v>316</v>
      </c>
    </row>
    <row r="7253">
      <c r="A7253" s="17"/>
      <c r="H7253" s="18"/>
      <c r="K7253" s="18" t="s">
        <v>316</v>
      </c>
    </row>
    <row r="7254">
      <c r="A7254" s="17"/>
      <c r="H7254" s="18"/>
      <c r="K7254" s="18" t="s">
        <v>316</v>
      </c>
    </row>
    <row r="7255">
      <c r="A7255" s="17"/>
      <c r="H7255" s="18"/>
      <c r="K7255" s="18" t="s">
        <v>316</v>
      </c>
    </row>
    <row r="7256">
      <c r="A7256" s="17"/>
      <c r="H7256" s="18"/>
      <c r="K7256" s="18" t="s">
        <v>316</v>
      </c>
    </row>
    <row r="7257">
      <c r="A7257" s="17"/>
      <c r="H7257" s="18"/>
      <c r="K7257" s="18" t="s">
        <v>316</v>
      </c>
    </row>
    <row r="7258">
      <c r="A7258" s="17"/>
      <c r="H7258" s="18"/>
      <c r="K7258" s="18" t="s">
        <v>316</v>
      </c>
    </row>
    <row r="7259">
      <c r="A7259" s="17"/>
      <c r="H7259" s="18"/>
      <c r="K7259" s="18" t="s">
        <v>316</v>
      </c>
    </row>
    <row r="7260">
      <c r="A7260" s="17"/>
      <c r="H7260" s="18"/>
      <c r="K7260" s="18" t="s">
        <v>316</v>
      </c>
    </row>
    <row r="7261">
      <c r="A7261" s="17"/>
      <c r="H7261" s="18"/>
      <c r="K7261" s="18" t="s">
        <v>316</v>
      </c>
    </row>
    <row r="7262">
      <c r="A7262" s="17"/>
      <c r="H7262" s="18"/>
      <c r="K7262" s="18" t="s">
        <v>316</v>
      </c>
    </row>
    <row r="7263">
      <c r="A7263" s="17"/>
      <c r="H7263" s="18"/>
      <c r="K7263" s="18" t="s">
        <v>316</v>
      </c>
    </row>
    <row r="7264">
      <c r="A7264" s="17"/>
      <c r="H7264" s="18"/>
      <c r="K7264" s="18" t="s">
        <v>316</v>
      </c>
    </row>
    <row r="7265">
      <c r="A7265" s="17"/>
      <c r="H7265" s="18"/>
      <c r="K7265" s="18" t="s">
        <v>316</v>
      </c>
    </row>
    <row r="7266">
      <c r="A7266" s="17"/>
      <c r="H7266" s="18"/>
      <c r="K7266" s="18" t="s">
        <v>316</v>
      </c>
    </row>
    <row r="7267">
      <c r="A7267" s="17"/>
      <c r="H7267" s="18"/>
      <c r="K7267" s="18" t="s">
        <v>316</v>
      </c>
    </row>
    <row r="7268">
      <c r="A7268" s="17"/>
      <c r="H7268" s="18"/>
      <c r="K7268" s="18" t="s">
        <v>316</v>
      </c>
    </row>
    <row r="7269">
      <c r="A7269" s="17"/>
      <c r="H7269" s="18"/>
      <c r="K7269" s="18" t="s">
        <v>316</v>
      </c>
    </row>
    <row r="7270">
      <c r="A7270" s="17"/>
      <c r="H7270" s="18"/>
      <c r="K7270" s="18" t="s">
        <v>316</v>
      </c>
    </row>
    <row r="7271">
      <c r="A7271" s="17"/>
      <c r="H7271" s="18"/>
      <c r="K7271" s="18" t="s">
        <v>316</v>
      </c>
    </row>
    <row r="7272">
      <c r="A7272" s="17"/>
      <c r="H7272" s="18"/>
      <c r="K7272" s="18" t="s">
        <v>316</v>
      </c>
    </row>
    <row r="7273">
      <c r="A7273" s="17"/>
      <c r="H7273" s="18"/>
      <c r="K7273" s="18" t="s">
        <v>316</v>
      </c>
    </row>
    <row r="7274">
      <c r="A7274" s="17"/>
      <c r="H7274" s="18"/>
      <c r="K7274" s="18" t="s">
        <v>316</v>
      </c>
    </row>
    <row r="7275">
      <c r="A7275" s="17"/>
      <c r="H7275" s="18"/>
      <c r="K7275" s="18" t="s">
        <v>316</v>
      </c>
    </row>
    <row r="7276">
      <c r="A7276" s="17"/>
      <c r="H7276" s="18"/>
      <c r="K7276" s="18" t="s">
        <v>316</v>
      </c>
    </row>
    <row r="7277">
      <c r="A7277" s="17"/>
      <c r="H7277" s="18"/>
      <c r="K7277" s="18" t="s">
        <v>316</v>
      </c>
    </row>
    <row r="7278">
      <c r="A7278" s="17"/>
      <c r="H7278" s="18"/>
      <c r="K7278" s="18" t="s">
        <v>316</v>
      </c>
    </row>
    <row r="7279">
      <c r="A7279" s="17"/>
      <c r="H7279" s="18"/>
      <c r="K7279" s="18" t="s">
        <v>316</v>
      </c>
    </row>
    <row r="7280">
      <c r="A7280" s="17"/>
      <c r="H7280" s="18"/>
      <c r="K7280" s="18" t="s">
        <v>316</v>
      </c>
    </row>
    <row r="7281">
      <c r="A7281" s="17"/>
      <c r="H7281" s="18"/>
      <c r="K7281" s="18" t="s">
        <v>316</v>
      </c>
    </row>
    <row r="7282">
      <c r="A7282" s="17"/>
      <c r="H7282" s="18"/>
      <c r="K7282" s="18" t="s">
        <v>316</v>
      </c>
    </row>
    <row r="7283">
      <c r="A7283" s="17"/>
      <c r="H7283" s="18"/>
      <c r="K7283" s="18" t="s">
        <v>316</v>
      </c>
    </row>
    <row r="7284">
      <c r="A7284" s="17"/>
      <c r="H7284" s="18"/>
      <c r="K7284" s="18" t="s">
        <v>316</v>
      </c>
    </row>
    <row r="7285">
      <c r="A7285" s="17"/>
      <c r="H7285" s="18"/>
      <c r="K7285" s="18" t="s">
        <v>316</v>
      </c>
    </row>
    <row r="7286">
      <c r="A7286" s="17"/>
      <c r="H7286" s="18"/>
      <c r="K7286" s="18" t="s">
        <v>316</v>
      </c>
    </row>
    <row r="7287">
      <c r="A7287" s="17"/>
      <c r="H7287" s="18"/>
      <c r="K7287" s="18" t="s">
        <v>316</v>
      </c>
    </row>
    <row r="7288">
      <c r="A7288" s="17"/>
      <c r="H7288" s="18"/>
      <c r="K7288" s="18" t="s">
        <v>316</v>
      </c>
    </row>
    <row r="7289">
      <c r="A7289" s="17"/>
      <c r="H7289" s="18"/>
      <c r="K7289" s="18" t="s">
        <v>316</v>
      </c>
    </row>
    <row r="7290">
      <c r="A7290" s="17"/>
      <c r="H7290" s="18"/>
      <c r="K7290" s="18" t="s">
        <v>316</v>
      </c>
    </row>
    <row r="7291">
      <c r="A7291" s="17"/>
      <c r="H7291" s="18"/>
      <c r="K7291" s="18" t="s">
        <v>316</v>
      </c>
    </row>
    <row r="7292">
      <c r="A7292" s="17"/>
      <c r="H7292" s="18"/>
      <c r="K7292" s="18" t="s">
        <v>316</v>
      </c>
    </row>
    <row r="7293">
      <c r="A7293" s="17"/>
      <c r="H7293" s="18"/>
      <c r="K7293" s="18" t="s">
        <v>316</v>
      </c>
    </row>
    <row r="7294">
      <c r="A7294" s="17"/>
      <c r="H7294" s="18"/>
      <c r="K7294" s="18" t="s">
        <v>316</v>
      </c>
    </row>
    <row r="7295">
      <c r="A7295" s="17"/>
      <c r="H7295" s="18"/>
      <c r="K7295" s="18" t="s">
        <v>316</v>
      </c>
    </row>
    <row r="7296">
      <c r="A7296" s="17"/>
      <c r="H7296" s="18"/>
      <c r="K7296" s="18" t="s">
        <v>316</v>
      </c>
    </row>
    <row r="7297">
      <c r="A7297" s="17"/>
      <c r="H7297" s="18"/>
      <c r="K7297" s="18" t="s">
        <v>316</v>
      </c>
    </row>
    <row r="7298">
      <c r="A7298" s="17"/>
      <c r="H7298" s="18"/>
      <c r="K7298" s="18" t="s">
        <v>316</v>
      </c>
    </row>
    <row r="7299">
      <c r="A7299" s="17"/>
      <c r="H7299" s="18"/>
      <c r="K7299" s="18" t="s">
        <v>316</v>
      </c>
    </row>
    <row r="7300">
      <c r="A7300" s="17"/>
      <c r="H7300" s="18"/>
      <c r="K7300" s="18" t="s">
        <v>316</v>
      </c>
    </row>
    <row r="7301">
      <c r="A7301" s="17"/>
      <c r="H7301" s="18"/>
      <c r="K7301" s="18" t="s">
        <v>316</v>
      </c>
    </row>
    <row r="7302">
      <c r="A7302" s="17"/>
      <c r="H7302" s="18"/>
      <c r="K7302" s="18" t="s">
        <v>316</v>
      </c>
    </row>
    <row r="7303">
      <c r="A7303" s="17"/>
      <c r="H7303" s="18"/>
      <c r="K7303" s="18" t="s">
        <v>316</v>
      </c>
    </row>
    <row r="7304">
      <c r="A7304" s="17"/>
      <c r="H7304" s="18"/>
      <c r="K7304" s="18" t="s">
        <v>316</v>
      </c>
    </row>
    <row r="7305">
      <c r="A7305" s="17"/>
      <c r="H7305" s="18"/>
      <c r="K7305" s="18" t="s">
        <v>316</v>
      </c>
    </row>
    <row r="7306">
      <c r="A7306" s="17"/>
      <c r="H7306" s="18"/>
      <c r="K7306" s="18" t="s">
        <v>316</v>
      </c>
    </row>
    <row r="7307">
      <c r="A7307" s="17"/>
      <c r="H7307" s="18"/>
      <c r="K7307" s="18" t="s">
        <v>316</v>
      </c>
    </row>
    <row r="7308">
      <c r="A7308" s="17"/>
      <c r="H7308" s="18"/>
      <c r="K7308" s="18" t="s">
        <v>316</v>
      </c>
    </row>
    <row r="7309">
      <c r="A7309" s="17"/>
      <c r="H7309" s="18"/>
      <c r="K7309" s="18" t="s">
        <v>316</v>
      </c>
    </row>
    <row r="7310">
      <c r="A7310" s="17"/>
      <c r="H7310" s="18"/>
      <c r="K7310" s="18" t="s">
        <v>316</v>
      </c>
    </row>
    <row r="7311">
      <c r="A7311" s="17"/>
      <c r="H7311" s="18"/>
      <c r="K7311" s="18" t="s">
        <v>316</v>
      </c>
    </row>
    <row r="7312">
      <c r="A7312" s="17"/>
      <c r="H7312" s="18"/>
      <c r="K7312" s="18" t="s">
        <v>316</v>
      </c>
    </row>
    <row r="7313">
      <c r="A7313" s="17"/>
      <c r="H7313" s="18"/>
      <c r="K7313" s="18" t="s">
        <v>316</v>
      </c>
    </row>
    <row r="7314">
      <c r="A7314" s="17"/>
      <c r="H7314" s="18"/>
      <c r="K7314" s="18" t="s">
        <v>316</v>
      </c>
    </row>
    <row r="7315">
      <c r="A7315" s="17"/>
      <c r="H7315" s="18"/>
      <c r="K7315" s="18" t="s">
        <v>316</v>
      </c>
    </row>
    <row r="7316">
      <c r="A7316" s="17"/>
      <c r="H7316" s="18"/>
      <c r="K7316" s="18" t="s">
        <v>316</v>
      </c>
    </row>
    <row r="7317">
      <c r="A7317" s="17"/>
      <c r="H7317" s="18"/>
      <c r="K7317" s="18" t="s">
        <v>316</v>
      </c>
    </row>
    <row r="7318">
      <c r="A7318" s="17"/>
      <c r="H7318" s="18"/>
      <c r="K7318" s="18" t="s">
        <v>316</v>
      </c>
    </row>
    <row r="7319">
      <c r="A7319" s="17"/>
      <c r="H7319" s="18"/>
      <c r="K7319" s="18" t="s">
        <v>316</v>
      </c>
    </row>
    <row r="7320">
      <c r="A7320" s="17"/>
      <c r="H7320" s="18"/>
      <c r="K7320" s="18" t="s">
        <v>316</v>
      </c>
    </row>
    <row r="7321">
      <c r="A7321" s="17"/>
      <c r="H7321" s="18"/>
      <c r="K7321" s="18" t="s">
        <v>316</v>
      </c>
    </row>
    <row r="7322">
      <c r="A7322" s="17"/>
      <c r="H7322" s="18"/>
      <c r="K7322" s="18" t="s">
        <v>316</v>
      </c>
    </row>
    <row r="7323">
      <c r="A7323" s="17"/>
      <c r="H7323" s="18"/>
      <c r="K7323" s="18" t="s">
        <v>316</v>
      </c>
    </row>
    <row r="7324">
      <c r="A7324" s="17"/>
      <c r="H7324" s="18"/>
      <c r="K7324" s="18" t="s">
        <v>316</v>
      </c>
    </row>
    <row r="7325">
      <c r="A7325" s="17"/>
      <c r="H7325" s="18"/>
      <c r="K7325" s="18" t="s">
        <v>316</v>
      </c>
    </row>
    <row r="7326">
      <c r="A7326" s="17"/>
      <c r="H7326" s="18"/>
      <c r="K7326" s="18" t="s">
        <v>316</v>
      </c>
    </row>
    <row r="7327">
      <c r="A7327" s="17"/>
      <c r="H7327" s="18"/>
      <c r="K7327" s="18" t="s">
        <v>316</v>
      </c>
    </row>
    <row r="7328">
      <c r="A7328" s="17"/>
      <c r="H7328" s="18"/>
      <c r="K7328" s="18" t="s">
        <v>316</v>
      </c>
    </row>
    <row r="7329">
      <c r="A7329" s="17"/>
      <c r="H7329" s="18"/>
      <c r="K7329" s="18" t="s">
        <v>316</v>
      </c>
    </row>
    <row r="7330">
      <c r="A7330" s="17"/>
      <c r="H7330" s="18"/>
      <c r="K7330" s="18" t="s">
        <v>316</v>
      </c>
    </row>
    <row r="7331">
      <c r="A7331" s="17"/>
      <c r="H7331" s="18"/>
      <c r="K7331" s="18" t="s">
        <v>316</v>
      </c>
    </row>
    <row r="7332">
      <c r="A7332" s="17"/>
      <c r="H7332" s="18"/>
      <c r="K7332" s="18" t="s">
        <v>316</v>
      </c>
    </row>
    <row r="7333">
      <c r="A7333" s="17"/>
      <c r="H7333" s="18"/>
      <c r="K7333" s="18" t="s">
        <v>316</v>
      </c>
    </row>
    <row r="7334">
      <c r="A7334" s="17"/>
      <c r="H7334" s="18"/>
      <c r="K7334" s="18" t="s">
        <v>316</v>
      </c>
    </row>
    <row r="7335">
      <c r="A7335" s="17"/>
      <c r="H7335" s="18"/>
      <c r="K7335" s="18" t="s">
        <v>316</v>
      </c>
    </row>
    <row r="7336">
      <c r="A7336" s="17"/>
      <c r="H7336" s="18"/>
      <c r="K7336" s="18" t="s">
        <v>316</v>
      </c>
    </row>
    <row r="7337">
      <c r="A7337" s="17"/>
      <c r="H7337" s="18"/>
      <c r="K7337" s="18" t="s">
        <v>316</v>
      </c>
    </row>
    <row r="7338">
      <c r="A7338" s="17"/>
      <c r="H7338" s="18"/>
      <c r="K7338" s="18" t="s">
        <v>316</v>
      </c>
    </row>
    <row r="7339">
      <c r="A7339" s="17"/>
      <c r="H7339" s="18"/>
      <c r="K7339" s="18" t="s">
        <v>316</v>
      </c>
    </row>
    <row r="7340">
      <c r="A7340" s="17"/>
      <c r="H7340" s="18"/>
      <c r="K7340" s="18" t="s">
        <v>316</v>
      </c>
    </row>
    <row r="7341">
      <c r="A7341" s="17"/>
      <c r="H7341" s="18"/>
      <c r="K7341" s="18" t="s">
        <v>316</v>
      </c>
    </row>
    <row r="7342">
      <c r="A7342" s="17"/>
      <c r="H7342" s="18"/>
      <c r="K7342" s="18" t="s">
        <v>316</v>
      </c>
    </row>
    <row r="7343">
      <c r="A7343" s="17"/>
      <c r="H7343" s="18"/>
      <c r="K7343" s="18" t="s">
        <v>316</v>
      </c>
    </row>
    <row r="7344">
      <c r="A7344" s="17"/>
      <c r="H7344" s="18"/>
      <c r="K7344" s="18" t="s">
        <v>316</v>
      </c>
    </row>
    <row r="7345">
      <c r="A7345" s="17"/>
      <c r="H7345" s="18"/>
      <c r="K7345" s="18" t="s">
        <v>316</v>
      </c>
    </row>
    <row r="7346">
      <c r="A7346" s="17"/>
      <c r="H7346" s="18"/>
      <c r="K7346" s="18" t="s">
        <v>316</v>
      </c>
    </row>
    <row r="7347">
      <c r="A7347" s="17"/>
      <c r="H7347" s="18"/>
      <c r="K7347" s="18" t="s">
        <v>316</v>
      </c>
    </row>
    <row r="7348">
      <c r="A7348" s="17"/>
      <c r="H7348" s="18"/>
      <c r="K7348" s="18" t="s">
        <v>316</v>
      </c>
    </row>
    <row r="7349">
      <c r="A7349" s="17"/>
      <c r="H7349" s="18"/>
      <c r="K7349" s="18" t="s">
        <v>316</v>
      </c>
    </row>
    <row r="7350">
      <c r="A7350" s="17"/>
      <c r="H7350" s="18"/>
      <c r="K7350" s="18" t="s">
        <v>316</v>
      </c>
    </row>
    <row r="7351">
      <c r="A7351" s="17"/>
      <c r="H7351" s="18"/>
      <c r="K7351" s="18" t="s">
        <v>316</v>
      </c>
    </row>
    <row r="7352">
      <c r="A7352" s="17"/>
      <c r="H7352" s="18"/>
      <c r="K7352" s="18" t="s">
        <v>316</v>
      </c>
    </row>
    <row r="7353">
      <c r="A7353" s="17"/>
      <c r="H7353" s="18"/>
      <c r="K7353" s="18" t="s">
        <v>316</v>
      </c>
    </row>
    <row r="7354">
      <c r="A7354" s="17"/>
      <c r="H7354" s="18"/>
      <c r="K7354" s="18" t="s">
        <v>316</v>
      </c>
    </row>
    <row r="7355">
      <c r="A7355" s="17"/>
      <c r="H7355" s="18"/>
      <c r="K7355" s="18" t="s">
        <v>316</v>
      </c>
    </row>
    <row r="7356">
      <c r="A7356" s="17"/>
      <c r="H7356" s="18"/>
      <c r="K7356" s="18" t="s">
        <v>316</v>
      </c>
    </row>
    <row r="7357">
      <c r="A7357" s="17"/>
      <c r="H7357" s="18"/>
      <c r="K7357" s="18" t="s">
        <v>316</v>
      </c>
    </row>
    <row r="7358">
      <c r="A7358" s="17"/>
      <c r="H7358" s="18"/>
      <c r="K7358" s="18" t="s">
        <v>316</v>
      </c>
    </row>
    <row r="7359">
      <c r="A7359" s="17"/>
      <c r="H7359" s="18"/>
      <c r="K7359" s="18" t="s">
        <v>316</v>
      </c>
    </row>
    <row r="7360">
      <c r="A7360" s="17"/>
      <c r="H7360" s="18"/>
      <c r="K7360" s="18" t="s">
        <v>316</v>
      </c>
    </row>
    <row r="7361">
      <c r="A7361" s="17"/>
      <c r="H7361" s="18"/>
      <c r="K7361" s="18" t="s">
        <v>316</v>
      </c>
    </row>
    <row r="7362">
      <c r="A7362" s="17"/>
      <c r="H7362" s="18"/>
      <c r="K7362" s="18" t="s">
        <v>316</v>
      </c>
    </row>
    <row r="7363">
      <c r="A7363" s="17"/>
      <c r="H7363" s="18"/>
      <c r="K7363" s="18" t="s">
        <v>316</v>
      </c>
    </row>
    <row r="7364">
      <c r="A7364" s="17"/>
      <c r="H7364" s="18"/>
      <c r="K7364" s="18" t="s">
        <v>316</v>
      </c>
    </row>
    <row r="7365">
      <c r="A7365" s="17"/>
      <c r="H7365" s="18"/>
      <c r="K7365" s="18" t="s">
        <v>316</v>
      </c>
    </row>
    <row r="7366">
      <c r="A7366" s="17"/>
      <c r="H7366" s="18"/>
      <c r="K7366" s="18" t="s">
        <v>316</v>
      </c>
    </row>
    <row r="7367">
      <c r="A7367" s="17"/>
      <c r="H7367" s="18"/>
      <c r="K7367" s="18" t="s">
        <v>316</v>
      </c>
    </row>
    <row r="7368">
      <c r="A7368" s="17"/>
      <c r="H7368" s="18"/>
      <c r="K7368" s="18" t="s">
        <v>316</v>
      </c>
    </row>
    <row r="7369">
      <c r="A7369" s="17"/>
      <c r="H7369" s="18"/>
      <c r="K7369" s="18" t="s">
        <v>316</v>
      </c>
    </row>
    <row r="7370">
      <c r="A7370" s="17"/>
      <c r="H7370" s="18"/>
      <c r="K7370" s="18" t="s">
        <v>316</v>
      </c>
    </row>
    <row r="7371">
      <c r="A7371" s="17"/>
      <c r="H7371" s="18"/>
      <c r="K7371" s="18" t="s">
        <v>316</v>
      </c>
    </row>
    <row r="7372">
      <c r="A7372" s="17"/>
      <c r="H7372" s="18"/>
      <c r="K7372" s="18" t="s">
        <v>316</v>
      </c>
    </row>
    <row r="7373">
      <c r="A7373" s="17"/>
      <c r="H7373" s="18"/>
      <c r="K7373" s="18" t="s">
        <v>316</v>
      </c>
    </row>
    <row r="7374">
      <c r="A7374" s="17"/>
      <c r="H7374" s="18"/>
      <c r="K7374" s="18" t="s">
        <v>316</v>
      </c>
    </row>
    <row r="7375">
      <c r="A7375" s="17"/>
      <c r="H7375" s="18"/>
      <c r="K7375" s="18" t="s">
        <v>316</v>
      </c>
    </row>
    <row r="7376">
      <c r="A7376" s="17"/>
      <c r="H7376" s="18"/>
      <c r="K7376" s="18" t="s">
        <v>316</v>
      </c>
    </row>
    <row r="7377">
      <c r="A7377" s="17"/>
      <c r="H7377" s="18"/>
      <c r="K7377" s="18" t="s">
        <v>316</v>
      </c>
    </row>
    <row r="7378">
      <c r="A7378" s="17"/>
      <c r="H7378" s="18"/>
      <c r="K7378" s="18" t="s">
        <v>316</v>
      </c>
    </row>
    <row r="7379">
      <c r="A7379" s="17"/>
      <c r="H7379" s="18"/>
      <c r="K7379" s="18" t="s">
        <v>316</v>
      </c>
    </row>
    <row r="7380">
      <c r="A7380" s="17"/>
      <c r="H7380" s="18"/>
      <c r="K7380" s="18" t="s">
        <v>316</v>
      </c>
    </row>
    <row r="7381">
      <c r="A7381" s="17"/>
      <c r="H7381" s="18"/>
      <c r="K7381" s="18" t="s">
        <v>316</v>
      </c>
    </row>
    <row r="7382">
      <c r="A7382" s="17"/>
      <c r="H7382" s="18"/>
      <c r="K7382" s="18" t="s">
        <v>316</v>
      </c>
    </row>
    <row r="7383">
      <c r="A7383" s="17"/>
      <c r="H7383" s="18"/>
      <c r="K7383" s="18" t="s">
        <v>316</v>
      </c>
    </row>
    <row r="7384">
      <c r="A7384" s="17"/>
      <c r="H7384" s="18"/>
      <c r="K7384" s="18" t="s">
        <v>316</v>
      </c>
    </row>
    <row r="7385">
      <c r="A7385" s="17"/>
      <c r="H7385" s="18"/>
      <c r="K7385" s="18" t="s">
        <v>316</v>
      </c>
    </row>
    <row r="7386">
      <c r="A7386" s="17"/>
      <c r="H7386" s="18"/>
      <c r="K7386" s="18" t="s">
        <v>316</v>
      </c>
    </row>
    <row r="7387">
      <c r="A7387" s="17"/>
      <c r="H7387" s="18"/>
      <c r="K7387" s="18" t="s">
        <v>316</v>
      </c>
    </row>
    <row r="7388">
      <c r="A7388" s="17"/>
      <c r="H7388" s="18"/>
      <c r="K7388" s="18" t="s">
        <v>316</v>
      </c>
    </row>
    <row r="7389">
      <c r="A7389" s="17"/>
      <c r="H7389" s="18"/>
      <c r="K7389" s="18" t="s">
        <v>316</v>
      </c>
    </row>
    <row r="7390">
      <c r="A7390" s="17"/>
      <c r="H7390" s="18"/>
      <c r="K7390" s="18" t="s">
        <v>316</v>
      </c>
    </row>
    <row r="7391">
      <c r="A7391" s="17"/>
      <c r="H7391" s="18"/>
      <c r="K7391" s="18" t="s">
        <v>316</v>
      </c>
    </row>
    <row r="7392">
      <c r="A7392" s="17"/>
      <c r="H7392" s="18"/>
      <c r="K7392" s="18" t="s">
        <v>316</v>
      </c>
    </row>
    <row r="7393">
      <c r="A7393" s="17"/>
      <c r="H7393" s="18"/>
      <c r="K7393" s="18" t="s">
        <v>316</v>
      </c>
    </row>
    <row r="7394">
      <c r="A7394" s="17"/>
      <c r="H7394" s="18"/>
      <c r="K7394" s="18" t="s">
        <v>316</v>
      </c>
    </row>
    <row r="7395">
      <c r="A7395" s="17"/>
      <c r="H7395" s="18"/>
      <c r="K7395" s="18" t="s">
        <v>316</v>
      </c>
    </row>
    <row r="7396">
      <c r="A7396" s="17"/>
      <c r="H7396" s="18"/>
      <c r="K7396" s="18" t="s">
        <v>316</v>
      </c>
    </row>
    <row r="7397">
      <c r="A7397" s="17"/>
      <c r="H7397" s="18"/>
      <c r="K7397" s="18" t="s">
        <v>316</v>
      </c>
    </row>
    <row r="7398">
      <c r="A7398" s="17"/>
      <c r="H7398" s="18"/>
      <c r="K7398" s="18" t="s">
        <v>316</v>
      </c>
    </row>
    <row r="7399">
      <c r="A7399" s="17"/>
      <c r="H7399" s="18"/>
      <c r="K7399" s="18" t="s">
        <v>316</v>
      </c>
    </row>
    <row r="7400">
      <c r="A7400" s="17"/>
      <c r="H7400" s="18"/>
      <c r="K7400" s="18" t="s">
        <v>316</v>
      </c>
    </row>
    <row r="7401">
      <c r="A7401" s="17"/>
      <c r="H7401" s="18"/>
      <c r="K7401" s="18" t="s">
        <v>316</v>
      </c>
    </row>
    <row r="7402">
      <c r="A7402" s="17"/>
      <c r="H7402" s="18"/>
      <c r="K7402" s="18" t="s">
        <v>316</v>
      </c>
    </row>
    <row r="7403">
      <c r="A7403" s="17"/>
      <c r="H7403" s="18"/>
      <c r="K7403" s="18" t="s">
        <v>316</v>
      </c>
    </row>
    <row r="7404">
      <c r="A7404" s="17"/>
      <c r="H7404" s="18"/>
      <c r="K7404" s="18" t="s">
        <v>316</v>
      </c>
    </row>
    <row r="7405">
      <c r="A7405" s="17"/>
      <c r="H7405" s="18"/>
      <c r="K7405" s="18" t="s">
        <v>316</v>
      </c>
    </row>
    <row r="7406">
      <c r="A7406" s="17"/>
      <c r="H7406" s="18"/>
      <c r="K7406" s="18" t="s">
        <v>316</v>
      </c>
    </row>
    <row r="7407">
      <c r="A7407" s="17"/>
      <c r="H7407" s="18"/>
      <c r="K7407" s="18" t="s">
        <v>316</v>
      </c>
    </row>
    <row r="7408">
      <c r="A7408" s="17"/>
      <c r="H7408" s="18"/>
      <c r="K7408" s="18" t="s">
        <v>316</v>
      </c>
    </row>
    <row r="7409">
      <c r="A7409" s="17"/>
      <c r="H7409" s="18"/>
      <c r="K7409" s="18" t="s">
        <v>316</v>
      </c>
    </row>
    <row r="7410">
      <c r="A7410" s="17"/>
      <c r="H7410" s="18"/>
      <c r="K7410" s="18" t="s">
        <v>316</v>
      </c>
    </row>
    <row r="7411">
      <c r="A7411" s="17"/>
      <c r="H7411" s="18"/>
      <c r="K7411" s="18" t="s">
        <v>316</v>
      </c>
    </row>
    <row r="7412">
      <c r="A7412" s="17"/>
      <c r="H7412" s="18"/>
      <c r="K7412" s="18" t="s">
        <v>316</v>
      </c>
    </row>
    <row r="7413">
      <c r="A7413" s="17"/>
      <c r="H7413" s="18"/>
      <c r="K7413" s="18" t="s">
        <v>316</v>
      </c>
    </row>
    <row r="7414">
      <c r="A7414" s="17"/>
      <c r="H7414" s="18"/>
      <c r="K7414" s="18" t="s">
        <v>316</v>
      </c>
    </row>
    <row r="7415">
      <c r="A7415" s="17"/>
      <c r="H7415" s="18"/>
      <c r="K7415" s="18" t="s">
        <v>316</v>
      </c>
    </row>
    <row r="7416">
      <c r="A7416" s="17"/>
      <c r="H7416" s="18"/>
      <c r="K7416" s="18" t="s">
        <v>316</v>
      </c>
    </row>
    <row r="7417">
      <c r="A7417" s="17"/>
      <c r="H7417" s="18"/>
      <c r="K7417" s="18" t="s">
        <v>316</v>
      </c>
    </row>
    <row r="7418">
      <c r="A7418" s="17"/>
      <c r="H7418" s="18"/>
      <c r="K7418" s="18" t="s">
        <v>316</v>
      </c>
    </row>
    <row r="7419">
      <c r="A7419" s="17"/>
      <c r="H7419" s="18"/>
      <c r="K7419" s="18" t="s">
        <v>316</v>
      </c>
    </row>
    <row r="7420">
      <c r="A7420" s="17"/>
      <c r="H7420" s="18"/>
      <c r="K7420" s="18" t="s">
        <v>316</v>
      </c>
    </row>
    <row r="7421">
      <c r="A7421" s="17"/>
      <c r="H7421" s="18"/>
      <c r="K7421" s="18" t="s">
        <v>316</v>
      </c>
    </row>
    <row r="7422">
      <c r="A7422" s="17"/>
      <c r="H7422" s="18"/>
      <c r="K7422" s="18" t="s">
        <v>316</v>
      </c>
    </row>
    <row r="7423">
      <c r="A7423" s="17"/>
      <c r="H7423" s="18"/>
      <c r="K7423" s="18" t="s">
        <v>316</v>
      </c>
    </row>
    <row r="7424">
      <c r="A7424" s="17"/>
      <c r="H7424" s="18"/>
      <c r="K7424" s="18" t="s">
        <v>316</v>
      </c>
    </row>
    <row r="7425">
      <c r="A7425" s="17"/>
      <c r="H7425" s="18"/>
      <c r="K7425" s="18" t="s">
        <v>316</v>
      </c>
    </row>
    <row r="7426">
      <c r="A7426" s="17"/>
      <c r="H7426" s="18"/>
      <c r="K7426" s="18" t="s">
        <v>316</v>
      </c>
    </row>
    <row r="7427">
      <c r="A7427" s="17"/>
      <c r="H7427" s="18"/>
      <c r="K7427" s="18" t="s">
        <v>316</v>
      </c>
    </row>
    <row r="7428">
      <c r="A7428" s="17"/>
      <c r="H7428" s="18"/>
      <c r="K7428" s="18" t="s">
        <v>316</v>
      </c>
    </row>
    <row r="7429">
      <c r="A7429" s="17"/>
      <c r="H7429" s="18"/>
      <c r="K7429" s="18" t="s">
        <v>316</v>
      </c>
    </row>
    <row r="7430">
      <c r="A7430" s="17"/>
      <c r="H7430" s="18"/>
      <c r="K7430" s="18" t="s">
        <v>316</v>
      </c>
    </row>
    <row r="7431">
      <c r="A7431" s="17"/>
      <c r="H7431" s="18"/>
      <c r="K7431" s="18" t="s">
        <v>316</v>
      </c>
    </row>
    <row r="7432">
      <c r="A7432" s="17"/>
      <c r="H7432" s="18"/>
      <c r="K7432" s="18" t="s">
        <v>316</v>
      </c>
    </row>
    <row r="7433">
      <c r="A7433" s="17"/>
      <c r="H7433" s="18"/>
      <c r="K7433" s="18" t="s">
        <v>316</v>
      </c>
    </row>
    <row r="7434">
      <c r="A7434" s="17"/>
      <c r="H7434" s="18"/>
      <c r="K7434" s="18" t="s">
        <v>316</v>
      </c>
    </row>
    <row r="7435">
      <c r="A7435" s="17"/>
      <c r="H7435" s="18"/>
      <c r="K7435" s="18" t="s">
        <v>316</v>
      </c>
    </row>
    <row r="7436">
      <c r="A7436" s="17"/>
      <c r="H7436" s="18"/>
      <c r="K7436" s="18" t="s">
        <v>316</v>
      </c>
    </row>
    <row r="7437">
      <c r="A7437" s="17"/>
      <c r="H7437" s="18"/>
      <c r="K7437" s="18" t="s">
        <v>316</v>
      </c>
    </row>
    <row r="7438">
      <c r="A7438" s="17"/>
      <c r="H7438" s="18"/>
      <c r="K7438" s="18" t="s">
        <v>316</v>
      </c>
    </row>
    <row r="7439">
      <c r="A7439" s="17"/>
      <c r="H7439" s="18"/>
      <c r="K7439" s="18" t="s">
        <v>316</v>
      </c>
    </row>
    <row r="7440">
      <c r="A7440" s="17"/>
      <c r="H7440" s="18"/>
      <c r="K7440" s="18" t="s">
        <v>316</v>
      </c>
    </row>
    <row r="7441">
      <c r="A7441" s="17"/>
      <c r="H7441" s="18"/>
      <c r="K7441" s="18" t="s">
        <v>316</v>
      </c>
    </row>
    <row r="7442">
      <c r="A7442" s="17"/>
      <c r="H7442" s="18"/>
      <c r="K7442" s="18" t="s">
        <v>316</v>
      </c>
    </row>
    <row r="7443">
      <c r="A7443" s="17"/>
      <c r="H7443" s="18"/>
      <c r="K7443" s="18" t="s">
        <v>316</v>
      </c>
    </row>
    <row r="7444">
      <c r="A7444" s="17"/>
      <c r="H7444" s="18"/>
      <c r="K7444" s="18" t="s">
        <v>316</v>
      </c>
    </row>
    <row r="7445">
      <c r="A7445" s="17"/>
      <c r="H7445" s="18"/>
      <c r="K7445" s="18" t="s">
        <v>316</v>
      </c>
    </row>
    <row r="7446">
      <c r="A7446" s="17"/>
      <c r="H7446" s="18"/>
      <c r="K7446" s="18" t="s">
        <v>316</v>
      </c>
    </row>
    <row r="7447">
      <c r="A7447" s="17"/>
      <c r="H7447" s="18"/>
      <c r="K7447" s="18" t="s">
        <v>316</v>
      </c>
    </row>
    <row r="7448">
      <c r="A7448" s="17"/>
      <c r="H7448" s="18"/>
      <c r="K7448" s="18" t="s">
        <v>316</v>
      </c>
    </row>
    <row r="7449">
      <c r="A7449" s="17"/>
      <c r="H7449" s="18"/>
      <c r="K7449" s="18" t="s">
        <v>316</v>
      </c>
    </row>
    <row r="7450">
      <c r="A7450" s="17"/>
      <c r="H7450" s="18"/>
      <c r="K7450" s="18" t="s">
        <v>316</v>
      </c>
    </row>
    <row r="7451">
      <c r="A7451" s="17"/>
      <c r="H7451" s="18"/>
      <c r="K7451" s="18" t="s">
        <v>316</v>
      </c>
    </row>
    <row r="7452">
      <c r="A7452" s="17"/>
      <c r="H7452" s="18"/>
      <c r="K7452" s="18" t="s">
        <v>316</v>
      </c>
    </row>
    <row r="7453">
      <c r="A7453" s="17"/>
      <c r="H7453" s="18"/>
      <c r="K7453" s="18" t="s">
        <v>316</v>
      </c>
    </row>
    <row r="7454">
      <c r="A7454" s="17"/>
      <c r="H7454" s="18"/>
      <c r="K7454" s="18" t="s">
        <v>316</v>
      </c>
    </row>
    <row r="7455">
      <c r="A7455" s="17"/>
      <c r="H7455" s="18"/>
      <c r="K7455" s="18" t="s">
        <v>316</v>
      </c>
    </row>
    <row r="7456">
      <c r="A7456" s="17"/>
      <c r="H7456" s="18"/>
      <c r="K7456" s="18" t="s">
        <v>316</v>
      </c>
    </row>
    <row r="7457">
      <c r="A7457" s="17"/>
      <c r="H7457" s="18"/>
      <c r="K7457" s="18" t="s">
        <v>316</v>
      </c>
    </row>
    <row r="7458">
      <c r="A7458" s="17"/>
      <c r="H7458" s="18"/>
      <c r="K7458" s="18" t="s">
        <v>316</v>
      </c>
    </row>
    <row r="7459">
      <c r="A7459" s="17"/>
      <c r="H7459" s="18"/>
      <c r="K7459" s="18" t="s">
        <v>316</v>
      </c>
    </row>
    <row r="7460">
      <c r="A7460" s="17"/>
      <c r="H7460" s="18"/>
      <c r="K7460" s="18" t="s">
        <v>316</v>
      </c>
    </row>
    <row r="7461">
      <c r="A7461" s="17"/>
      <c r="H7461" s="18"/>
      <c r="K7461" s="18" t="s">
        <v>316</v>
      </c>
    </row>
    <row r="7462">
      <c r="A7462" s="17"/>
      <c r="H7462" s="18"/>
      <c r="K7462" s="18" t="s">
        <v>316</v>
      </c>
    </row>
    <row r="7463">
      <c r="A7463" s="17"/>
      <c r="H7463" s="18"/>
      <c r="K7463" s="18" t="s">
        <v>316</v>
      </c>
    </row>
    <row r="7464">
      <c r="A7464" s="17"/>
      <c r="H7464" s="18"/>
      <c r="K7464" s="18" t="s">
        <v>316</v>
      </c>
    </row>
    <row r="7465">
      <c r="A7465" s="17"/>
      <c r="H7465" s="18"/>
      <c r="K7465" s="18" t="s">
        <v>316</v>
      </c>
    </row>
    <row r="7466">
      <c r="A7466" s="17"/>
      <c r="H7466" s="18"/>
      <c r="K7466" s="18" t="s">
        <v>316</v>
      </c>
    </row>
    <row r="7467">
      <c r="A7467" s="17"/>
      <c r="H7467" s="18"/>
      <c r="K7467" s="18" t="s">
        <v>316</v>
      </c>
    </row>
    <row r="7468">
      <c r="A7468" s="17"/>
      <c r="H7468" s="18"/>
      <c r="K7468" s="18" t="s">
        <v>316</v>
      </c>
    </row>
    <row r="7469">
      <c r="A7469" s="17"/>
      <c r="H7469" s="18"/>
      <c r="K7469" s="18" t="s">
        <v>316</v>
      </c>
    </row>
    <row r="7470">
      <c r="A7470" s="17"/>
      <c r="H7470" s="18"/>
      <c r="K7470" s="18" t="s">
        <v>316</v>
      </c>
    </row>
    <row r="7471">
      <c r="A7471" s="17"/>
      <c r="H7471" s="18"/>
      <c r="K7471" s="18" t="s">
        <v>316</v>
      </c>
    </row>
    <row r="7472">
      <c r="A7472" s="17"/>
      <c r="H7472" s="18"/>
      <c r="K7472" s="18" t="s">
        <v>316</v>
      </c>
    </row>
    <row r="7473">
      <c r="A7473" s="17"/>
      <c r="H7473" s="18"/>
      <c r="K7473" s="18" t="s">
        <v>316</v>
      </c>
    </row>
    <row r="7474">
      <c r="A7474" s="17"/>
      <c r="H7474" s="18"/>
      <c r="K7474" s="18" t="s">
        <v>316</v>
      </c>
    </row>
    <row r="7475">
      <c r="A7475" s="17"/>
      <c r="H7475" s="18"/>
      <c r="K7475" s="18" t="s">
        <v>316</v>
      </c>
    </row>
    <row r="7476">
      <c r="A7476" s="17"/>
      <c r="H7476" s="18"/>
      <c r="K7476" s="18" t="s">
        <v>316</v>
      </c>
    </row>
    <row r="7477">
      <c r="A7477" s="17"/>
      <c r="H7477" s="18"/>
      <c r="K7477" s="18" t="s">
        <v>316</v>
      </c>
    </row>
    <row r="7478">
      <c r="A7478" s="17"/>
      <c r="H7478" s="18"/>
      <c r="K7478" s="18" t="s">
        <v>316</v>
      </c>
    </row>
    <row r="7479">
      <c r="A7479" s="17"/>
      <c r="H7479" s="18"/>
      <c r="K7479" s="18" t="s">
        <v>316</v>
      </c>
    </row>
    <row r="7480">
      <c r="A7480" s="17"/>
      <c r="H7480" s="18"/>
      <c r="K7480" s="18" t="s">
        <v>316</v>
      </c>
    </row>
    <row r="7481">
      <c r="A7481" s="17"/>
      <c r="H7481" s="18"/>
      <c r="K7481" s="18" t="s">
        <v>316</v>
      </c>
    </row>
    <row r="7482">
      <c r="A7482" s="17"/>
      <c r="H7482" s="18"/>
      <c r="K7482" s="18" t="s">
        <v>316</v>
      </c>
    </row>
    <row r="7483">
      <c r="A7483" s="17"/>
      <c r="H7483" s="18"/>
      <c r="K7483" s="18" t="s">
        <v>316</v>
      </c>
    </row>
    <row r="7484">
      <c r="A7484" s="17"/>
      <c r="H7484" s="18"/>
      <c r="K7484" s="18" t="s">
        <v>316</v>
      </c>
    </row>
    <row r="7485">
      <c r="A7485" s="17"/>
      <c r="H7485" s="18"/>
      <c r="K7485" s="18" t="s">
        <v>316</v>
      </c>
    </row>
    <row r="7486">
      <c r="A7486" s="17"/>
      <c r="H7486" s="18"/>
      <c r="K7486" s="18" t="s">
        <v>316</v>
      </c>
    </row>
    <row r="7487">
      <c r="A7487" s="17"/>
      <c r="H7487" s="18"/>
      <c r="K7487" s="18" t="s">
        <v>316</v>
      </c>
    </row>
    <row r="7488">
      <c r="A7488" s="17"/>
      <c r="H7488" s="18"/>
      <c r="K7488" s="18" t="s">
        <v>316</v>
      </c>
    </row>
    <row r="7489">
      <c r="A7489" s="17"/>
      <c r="H7489" s="18"/>
      <c r="K7489" s="18" t="s">
        <v>316</v>
      </c>
    </row>
    <row r="7490">
      <c r="A7490" s="17"/>
      <c r="H7490" s="18"/>
      <c r="K7490" s="18" t="s">
        <v>316</v>
      </c>
    </row>
    <row r="7491">
      <c r="A7491" s="17"/>
      <c r="H7491" s="18"/>
      <c r="K7491" s="18" t="s">
        <v>316</v>
      </c>
    </row>
    <row r="7492">
      <c r="A7492" s="17"/>
      <c r="H7492" s="18"/>
      <c r="K7492" s="18" t="s">
        <v>316</v>
      </c>
    </row>
    <row r="7493">
      <c r="A7493" s="17"/>
      <c r="H7493" s="18"/>
      <c r="K7493" s="18" t="s">
        <v>316</v>
      </c>
    </row>
    <row r="7494">
      <c r="A7494" s="17"/>
      <c r="H7494" s="18"/>
      <c r="K7494" s="18" t="s">
        <v>316</v>
      </c>
    </row>
    <row r="7495">
      <c r="A7495" s="17"/>
      <c r="H7495" s="18"/>
      <c r="K7495" s="18" t="s">
        <v>316</v>
      </c>
    </row>
    <row r="7496">
      <c r="A7496" s="17"/>
      <c r="H7496" s="18"/>
      <c r="K7496" s="18" t="s">
        <v>316</v>
      </c>
    </row>
    <row r="7497">
      <c r="A7497" s="17"/>
      <c r="H7497" s="18"/>
      <c r="K7497" s="18" t="s">
        <v>316</v>
      </c>
    </row>
    <row r="7498">
      <c r="A7498" s="17"/>
      <c r="H7498" s="18"/>
      <c r="K7498" s="18" t="s">
        <v>316</v>
      </c>
    </row>
    <row r="7499">
      <c r="A7499" s="17"/>
      <c r="H7499" s="18"/>
      <c r="K7499" s="18" t="s">
        <v>316</v>
      </c>
    </row>
    <row r="7500">
      <c r="A7500" s="17"/>
      <c r="H7500" s="18"/>
      <c r="K7500" s="18" t="s">
        <v>316</v>
      </c>
    </row>
    <row r="7501">
      <c r="A7501" s="17"/>
      <c r="H7501" s="18"/>
      <c r="K7501" s="18" t="s">
        <v>316</v>
      </c>
    </row>
    <row r="7502">
      <c r="A7502" s="17"/>
      <c r="H7502" s="18"/>
      <c r="K7502" s="18" t="s">
        <v>316</v>
      </c>
    </row>
    <row r="7503">
      <c r="A7503" s="17"/>
      <c r="H7503" s="18"/>
      <c r="K7503" s="18" t="s">
        <v>316</v>
      </c>
    </row>
    <row r="7504">
      <c r="A7504" s="17"/>
      <c r="H7504" s="18"/>
      <c r="K7504" s="18" t="s">
        <v>316</v>
      </c>
    </row>
    <row r="7505">
      <c r="A7505" s="17"/>
      <c r="H7505" s="18"/>
      <c r="K7505" s="18" t="s">
        <v>316</v>
      </c>
    </row>
    <row r="7506">
      <c r="A7506" s="17"/>
      <c r="H7506" s="18"/>
      <c r="K7506" s="18" t="s">
        <v>316</v>
      </c>
    </row>
    <row r="7507">
      <c r="A7507" s="17"/>
      <c r="H7507" s="18"/>
      <c r="K7507" s="18" t="s">
        <v>316</v>
      </c>
    </row>
    <row r="7508">
      <c r="A7508" s="17"/>
      <c r="H7508" s="18"/>
      <c r="K7508" s="18" t="s">
        <v>316</v>
      </c>
    </row>
    <row r="7509">
      <c r="A7509" s="17"/>
      <c r="H7509" s="18"/>
      <c r="K7509" s="18" t="s">
        <v>316</v>
      </c>
    </row>
    <row r="7510">
      <c r="A7510" s="17"/>
      <c r="H7510" s="18"/>
      <c r="K7510" s="18" t="s">
        <v>316</v>
      </c>
    </row>
    <row r="7511">
      <c r="A7511" s="17"/>
      <c r="H7511" s="18"/>
      <c r="K7511" s="18" t="s">
        <v>316</v>
      </c>
    </row>
    <row r="7512">
      <c r="A7512" s="17"/>
      <c r="H7512" s="18"/>
      <c r="K7512" s="18" t="s">
        <v>316</v>
      </c>
    </row>
    <row r="7513">
      <c r="A7513" s="17"/>
      <c r="H7513" s="18"/>
      <c r="K7513" s="18" t="s">
        <v>316</v>
      </c>
    </row>
    <row r="7514">
      <c r="A7514" s="17"/>
      <c r="H7514" s="18"/>
      <c r="K7514" s="18" t="s">
        <v>316</v>
      </c>
    </row>
    <row r="7515">
      <c r="A7515" s="17"/>
      <c r="H7515" s="18"/>
      <c r="K7515" s="18" t="s">
        <v>316</v>
      </c>
    </row>
    <row r="7516">
      <c r="A7516" s="17"/>
      <c r="H7516" s="18"/>
      <c r="K7516" s="18" t="s">
        <v>316</v>
      </c>
    </row>
    <row r="7517">
      <c r="A7517" s="17"/>
      <c r="H7517" s="18"/>
      <c r="K7517" s="18" t="s">
        <v>316</v>
      </c>
    </row>
    <row r="7518">
      <c r="A7518" s="17"/>
      <c r="H7518" s="18"/>
      <c r="K7518" s="18" t="s">
        <v>316</v>
      </c>
    </row>
    <row r="7519">
      <c r="A7519" s="17"/>
      <c r="H7519" s="18"/>
      <c r="K7519" s="18" t="s">
        <v>316</v>
      </c>
    </row>
    <row r="7520">
      <c r="A7520" s="17"/>
      <c r="H7520" s="18"/>
      <c r="K7520" s="18" t="s">
        <v>316</v>
      </c>
    </row>
    <row r="7521">
      <c r="A7521" s="17"/>
      <c r="H7521" s="18"/>
      <c r="K7521" s="18" t="s">
        <v>316</v>
      </c>
    </row>
    <row r="7522">
      <c r="A7522" s="17"/>
      <c r="H7522" s="18"/>
      <c r="K7522" s="18" t="s">
        <v>316</v>
      </c>
    </row>
    <row r="7523">
      <c r="A7523" s="17"/>
      <c r="H7523" s="18"/>
      <c r="K7523" s="18" t="s">
        <v>316</v>
      </c>
    </row>
    <row r="7524">
      <c r="A7524" s="17"/>
      <c r="H7524" s="18"/>
      <c r="K7524" s="18" t="s">
        <v>316</v>
      </c>
    </row>
    <row r="7525">
      <c r="A7525" s="17"/>
      <c r="H7525" s="18"/>
      <c r="K7525" s="18" t="s">
        <v>316</v>
      </c>
    </row>
    <row r="7526">
      <c r="A7526" s="17"/>
      <c r="H7526" s="18"/>
      <c r="K7526" s="18" t="s">
        <v>316</v>
      </c>
    </row>
    <row r="7527">
      <c r="A7527" s="17"/>
      <c r="H7527" s="18"/>
      <c r="K7527" s="18" t="s">
        <v>316</v>
      </c>
    </row>
    <row r="7528">
      <c r="A7528" s="17"/>
      <c r="H7528" s="18"/>
      <c r="K7528" s="18" t="s">
        <v>316</v>
      </c>
    </row>
    <row r="7529">
      <c r="A7529" s="17"/>
      <c r="H7529" s="18"/>
      <c r="K7529" s="18" t="s">
        <v>316</v>
      </c>
    </row>
    <row r="7530">
      <c r="A7530" s="17"/>
      <c r="H7530" s="18"/>
      <c r="K7530" s="18" t="s">
        <v>316</v>
      </c>
    </row>
    <row r="7531">
      <c r="A7531" s="17"/>
      <c r="H7531" s="18"/>
      <c r="K7531" s="18" t="s">
        <v>316</v>
      </c>
    </row>
    <row r="7532">
      <c r="A7532" s="17"/>
      <c r="H7532" s="18"/>
      <c r="K7532" s="18" t="s">
        <v>316</v>
      </c>
    </row>
    <row r="7533">
      <c r="A7533" s="17"/>
      <c r="H7533" s="18"/>
      <c r="K7533" s="18" t="s">
        <v>316</v>
      </c>
    </row>
    <row r="7534">
      <c r="A7534" s="17"/>
      <c r="H7534" s="18"/>
      <c r="K7534" s="18" t="s">
        <v>316</v>
      </c>
    </row>
    <row r="7535">
      <c r="A7535" s="17"/>
      <c r="H7535" s="18"/>
      <c r="K7535" s="18" t="s">
        <v>316</v>
      </c>
    </row>
    <row r="7536">
      <c r="A7536" s="17"/>
      <c r="H7536" s="18"/>
      <c r="K7536" s="18" t="s">
        <v>316</v>
      </c>
    </row>
    <row r="7537">
      <c r="A7537" s="17"/>
      <c r="H7537" s="18"/>
      <c r="K7537" s="18" t="s">
        <v>316</v>
      </c>
    </row>
    <row r="7538">
      <c r="A7538" s="17"/>
      <c r="H7538" s="18"/>
      <c r="K7538" s="18" t="s">
        <v>316</v>
      </c>
    </row>
    <row r="7539">
      <c r="A7539" s="17"/>
      <c r="H7539" s="18"/>
      <c r="K7539" s="18" t="s">
        <v>316</v>
      </c>
    </row>
    <row r="7540">
      <c r="A7540" s="17"/>
      <c r="H7540" s="18"/>
      <c r="K7540" s="18" t="s">
        <v>316</v>
      </c>
    </row>
    <row r="7541">
      <c r="A7541" s="17"/>
      <c r="H7541" s="18"/>
      <c r="K7541" s="18" t="s">
        <v>316</v>
      </c>
    </row>
    <row r="7542">
      <c r="A7542" s="17"/>
      <c r="H7542" s="18"/>
      <c r="K7542" s="18" t="s">
        <v>316</v>
      </c>
    </row>
    <row r="7543">
      <c r="A7543" s="17"/>
      <c r="H7543" s="18"/>
      <c r="K7543" s="18" t="s">
        <v>316</v>
      </c>
    </row>
    <row r="7544">
      <c r="A7544" s="17"/>
      <c r="H7544" s="18"/>
      <c r="K7544" s="18" t="s">
        <v>316</v>
      </c>
    </row>
    <row r="7545">
      <c r="A7545" s="17"/>
      <c r="H7545" s="18"/>
      <c r="K7545" s="18" t="s">
        <v>316</v>
      </c>
    </row>
    <row r="7546">
      <c r="A7546" s="17"/>
      <c r="H7546" s="18"/>
      <c r="K7546" s="18" t="s">
        <v>316</v>
      </c>
    </row>
    <row r="7547">
      <c r="A7547" s="17"/>
      <c r="H7547" s="18"/>
      <c r="K7547" s="18" t="s">
        <v>316</v>
      </c>
    </row>
    <row r="7548">
      <c r="A7548" s="17"/>
      <c r="H7548" s="18"/>
      <c r="K7548" s="18" t="s">
        <v>316</v>
      </c>
    </row>
    <row r="7549">
      <c r="A7549" s="17"/>
      <c r="H7549" s="18"/>
      <c r="K7549" s="18" t="s">
        <v>316</v>
      </c>
    </row>
    <row r="7550">
      <c r="A7550" s="17"/>
      <c r="H7550" s="18"/>
      <c r="K7550" s="18" t="s">
        <v>316</v>
      </c>
    </row>
    <row r="7551">
      <c r="A7551" s="17"/>
      <c r="H7551" s="18"/>
      <c r="K7551" s="18" t="s">
        <v>316</v>
      </c>
    </row>
    <row r="7552">
      <c r="A7552" s="17"/>
      <c r="H7552" s="18"/>
      <c r="K7552" s="18" t="s">
        <v>316</v>
      </c>
    </row>
    <row r="7553">
      <c r="A7553" s="17"/>
      <c r="H7553" s="18"/>
      <c r="K7553" s="18" t="s">
        <v>316</v>
      </c>
    </row>
    <row r="7554">
      <c r="A7554" s="17"/>
      <c r="H7554" s="18"/>
      <c r="K7554" s="18" t="s">
        <v>316</v>
      </c>
    </row>
    <row r="7555">
      <c r="A7555" s="17"/>
      <c r="H7555" s="18"/>
      <c r="K7555" s="18" t="s">
        <v>316</v>
      </c>
    </row>
    <row r="7556">
      <c r="A7556" s="17"/>
      <c r="H7556" s="18"/>
      <c r="K7556" s="18" t="s">
        <v>316</v>
      </c>
    </row>
    <row r="7557">
      <c r="A7557" s="17"/>
      <c r="H7557" s="18"/>
      <c r="K7557" s="18" t="s">
        <v>316</v>
      </c>
    </row>
    <row r="7558">
      <c r="A7558" s="17"/>
      <c r="H7558" s="18"/>
      <c r="K7558" s="18" t="s">
        <v>316</v>
      </c>
    </row>
    <row r="7559">
      <c r="A7559" s="17"/>
      <c r="H7559" s="18"/>
      <c r="K7559" s="18" t="s">
        <v>316</v>
      </c>
    </row>
    <row r="7560">
      <c r="A7560" s="17"/>
      <c r="H7560" s="18"/>
      <c r="K7560" s="18" t="s">
        <v>316</v>
      </c>
    </row>
    <row r="7561">
      <c r="A7561" s="17"/>
      <c r="H7561" s="18"/>
      <c r="K7561" s="18" t="s">
        <v>316</v>
      </c>
    </row>
    <row r="7562">
      <c r="A7562" s="17"/>
      <c r="H7562" s="18"/>
      <c r="K7562" s="18" t="s">
        <v>316</v>
      </c>
    </row>
    <row r="7563">
      <c r="A7563" s="17"/>
      <c r="H7563" s="18"/>
      <c r="K7563" s="18" t="s">
        <v>316</v>
      </c>
    </row>
    <row r="7564">
      <c r="A7564" s="17"/>
      <c r="H7564" s="18"/>
      <c r="K7564" s="18" t="s">
        <v>316</v>
      </c>
    </row>
    <row r="7565">
      <c r="A7565" s="17"/>
      <c r="H7565" s="18"/>
      <c r="K7565" s="18" t="s">
        <v>316</v>
      </c>
    </row>
    <row r="7566">
      <c r="A7566" s="17"/>
      <c r="H7566" s="18"/>
      <c r="K7566" s="18" t="s">
        <v>316</v>
      </c>
    </row>
    <row r="7567">
      <c r="A7567" s="17"/>
      <c r="H7567" s="18"/>
      <c r="K7567" s="18" t="s">
        <v>316</v>
      </c>
    </row>
    <row r="7568">
      <c r="A7568" s="17"/>
      <c r="H7568" s="18"/>
      <c r="K7568" s="18" t="s">
        <v>316</v>
      </c>
    </row>
    <row r="7569">
      <c r="A7569" s="17"/>
      <c r="H7569" s="18"/>
      <c r="K7569" s="18" t="s">
        <v>316</v>
      </c>
    </row>
    <row r="7570">
      <c r="A7570" s="17"/>
      <c r="H7570" s="18"/>
      <c r="K7570" s="18" t="s">
        <v>316</v>
      </c>
    </row>
    <row r="7571">
      <c r="A7571" s="17"/>
      <c r="H7571" s="18"/>
      <c r="K7571" s="18" t="s">
        <v>316</v>
      </c>
    </row>
    <row r="7572">
      <c r="A7572" s="17"/>
      <c r="H7572" s="18"/>
      <c r="K7572" s="18" t="s">
        <v>316</v>
      </c>
    </row>
    <row r="7573">
      <c r="A7573" s="17"/>
      <c r="H7573" s="18"/>
      <c r="K7573" s="18" t="s">
        <v>316</v>
      </c>
    </row>
    <row r="7574">
      <c r="A7574" s="17"/>
      <c r="H7574" s="18"/>
      <c r="K7574" s="18" t="s">
        <v>316</v>
      </c>
    </row>
    <row r="7575">
      <c r="A7575" s="17"/>
      <c r="H7575" s="18"/>
      <c r="K7575" s="18" t="s">
        <v>316</v>
      </c>
    </row>
    <row r="7576">
      <c r="A7576" s="17"/>
      <c r="H7576" s="18"/>
      <c r="K7576" s="18" t="s">
        <v>316</v>
      </c>
    </row>
    <row r="7577">
      <c r="A7577" s="17"/>
      <c r="H7577" s="18"/>
      <c r="K7577" s="18" t="s">
        <v>316</v>
      </c>
    </row>
    <row r="7578">
      <c r="A7578" s="17"/>
      <c r="H7578" s="18"/>
      <c r="K7578" s="18" t="s">
        <v>316</v>
      </c>
    </row>
    <row r="7579">
      <c r="A7579" s="17"/>
      <c r="H7579" s="18"/>
      <c r="K7579" s="18" t="s">
        <v>316</v>
      </c>
    </row>
    <row r="7580">
      <c r="A7580" s="17"/>
      <c r="H7580" s="18"/>
      <c r="K7580" s="18" t="s">
        <v>316</v>
      </c>
    </row>
    <row r="7581">
      <c r="A7581" s="17"/>
      <c r="H7581" s="18"/>
      <c r="K7581" s="18" t="s">
        <v>316</v>
      </c>
    </row>
    <row r="7582">
      <c r="A7582" s="17"/>
      <c r="H7582" s="18"/>
      <c r="K7582" s="18" t="s">
        <v>316</v>
      </c>
    </row>
    <row r="7583">
      <c r="A7583" s="17"/>
      <c r="H7583" s="18"/>
      <c r="K7583" s="18" t="s">
        <v>316</v>
      </c>
    </row>
    <row r="7584">
      <c r="A7584" s="17"/>
      <c r="H7584" s="18"/>
      <c r="K7584" s="18" t="s">
        <v>316</v>
      </c>
    </row>
    <row r="7585">
      <c r="A7585" s="17"/>
      <c r="H7585" s="18"/>
      <c r="K7585" s="18" t="s">
        <v>316</v>
      </c>
    </row>
    <row r="7586">
      <c r="A7586" s="17"/>
      <c r="H7586" s="18"/>
      <c r="K7586" s="18" t="s">
        <v>316</v>
      </c>
    </row>
    <row r="7587">
      <c r="A7587" s="17"/>
      <c r="H7587" s="18"/>
      <c r="K7587" s="18" t="s">
        <v>316</v>
      </c>
    </row>
    <row r="7588">
      <c r="A7588" s="17"/>
      <c r="H7588" s="18"/>
      <c r="K7588" s="18" t="s">
        <v>316</v>
      </c>
    </row>
    <row r="7589">
      <c r="A7589" s="17"/>
      <c r="H7589" s="18"/>
      <c r="K7589" s="18" t="s">
        <v>316</v>
      </c>
    </row>
    <row r="7590">
      <c r="A7590" s="17"/>
      <c r="H7590" s="18"/>
      <c r="K7590" s="18" t="s">
        <v>316</v>
      </c>
    </row>
    <row r="7591">
      <c r="A7591" s="17"/>
      <c r="H7591" s="18"/>
      <c r="K7591" s="18" t="s">
        <v>316</v>
      </c>
    </row>
    <row r="7592">
      <c r="A7592" s="17"/>
      <c r="H7592" s="18"/>
      <c r="K7592" s="18" t="s">
        <v>316</v>
      </c>
    </row>
    <row r="7593">
      <c r="A7593" s="17"/>
      <c r="H7593" s="18"/>
      <c r="K7593" s="18" t="s">
        <v>316</v>
      </c>
    </row>
    <row r="7594">
      <c r="A7594" s="17"/>
      <c r="H7594" s="18"/>
      <c r="K7594" s="18" t="s">
        <v>316</v>
      </c>
    </row>
    <row r="7595">
      <c r="A7595" s="17"/>
      <c r="H7595" s="18"/>
      <c r="K7595" s="18" t="s">
        <v>316</v>
      </c>
    </row>
    <row r="7596">
      <c r="A7596" s="17"/>
      <c r="H7596" s="18"/>
      <c r="K7596" s="18" t="s">
        <v>316</v>
      </c>
    </row>
    <row r="7597">
      <c r="A7597" s="17"/>
      <c r="H7597" s="18"/>
      <c r="K7597" s="18" t="s">
        <v>316</v>
      </c>
    </row>
    <row r="7598">
      <c r="A7598" s="17"/>
      <c r="H7598" s="18"/>
      <c r="K7598" s="18" t="s">
        <v>316</v>
      </c>
    </row>
    <row r="7599">
      <c r="A7599" s="17"/>
      <c r="H7599" s="18"/>
      <c r="K7599" s="18" t="s">
        <v>316</v>
      </c>
    </row>
    <row r="7600">
      <c r="A7600" s="17"/>
      <c r="H7600" s="18"/>
      <c r="K7600" s="18" t="s">
        <v>316</v>
      </c>
    </row>
    <row r="7601">
      <c r="A7601" s="17"/>
      <c r="H7601" s="18"/>
      <c r="K7601" s="18" t="s">
        <v>316</v>
      </c>
    </row>
    <row r="7602">
      <c r="A7602" s="17"/>
      <c r="H7602" s="18"/>
      <c r="K7602" s="18" t="s">
        <v>316</v>
      </c>
    </row>
    <row r="7603">
      <c r="A7603" s="17"/>
      <c r="H7603" s="18"/>
      <c r="K7603" s="18" t="s">
        <v>316</v>
      </c>
    </row>
    <row r="7604">
      <c r="A7604" s="17"/>
      <c r="H7604" s="18"/>
      <c r="K7604" s="18" t="s">
        <v>316</v>
      </c>
    </row>
    <row r="7605">
      <c r="A7605" s="17"/>
      <c r="H7605" s="18"/>
      <c r="K7605" s="18" t="s">
        <v>316</v>
      </c>
    </row>
    <row r="7606">
      <c r="A7606" s="17"/>
      <c r="H7606" s="18"/>
      <c r="K7606" s="18" t="s">
        <v>316</v>
      </c>
    </row>
    <row r="7607">
      <c r="A7607" s="17"/>
      <c r="H7607" s="18"/>
      <c r="K7607" s="18" t="s">
        <v>316</v>
      </c>
    </row>
    <row r="7608">
      <c r="A7608" s="17"/>
      <c r="H7608" s="18"/>
      <c r="K7608" s="18" t="s">
        <v>316</v>
      </c>
    </row>
    <row r="7609">
      <c r="A7609" s="17"/>
      <c r="H7609" s="18"/>
      <c r="K7609" s="18" t="s">
        <v>316</v>
      </c>
    </row>
    <row r="7610">
      <c r="A7610" s="17"/>
      <c r="H7610" s="18"/>
      <c r="K7610" s="18" t="s">
        <v>316</v>
      </c>
    </row>
    <row r="7611">
      <c r="A7611" s="17"/>
      <c r="H7611" s="18"/>
      <c r="K7611" s="18" t="s">
        <v>316</v>
      </c>
    </row>
    <row r="7612">
      <c r="A7612" s="17"/>
      <c r="H7612" s="18"/>
      <c r="K7612" s="18" t="s">
        <v>316</v>
      </c>
    </row>
    <row r="7613">
      <c r="A7613" s="17"/>
      <c r="H7613" s="18"/>
      <c r="K7613" s="18" t="s">
        <v>316</v>
      </c>
    </row>
    <row r="7614">
      <c r="A7614" s="17"/>
      <c r="H7614" s="18"/>
      <c r="K7614" s="18" t="s">
        <v>316</v>
      </c>
    </row>
    <row r="7615">
      <c r="A7615" s="17"/>
      <c r="H7615" s="18"/>
      <c r="K7615" s="18" t="s">
        <v>316</v>
      </c>
    </row>
    <row r="7616">
      <c r="A7616" s="17"/>
      <c r="H7616" s="18"/>
      <c r="K7616" s="18" t="s">
        <v>316</v>
      </c>
    </row>
    <row r="7617">
      <c r="A7617" s="17"/>
      <c r="H7617" s="18"/>
      <c r="K7617" s="18" t="s">
        <v>316</v>
      </c>
    </row>
    <row r="7618">
      <c r="A7618" s="17"/>
      <c r="H7618" s="18"/>
      <c r="K7618" s="18" t="s">
        <v>316</v>
      </c>
    </row>
    <row r="7619">
      <c r="A7619" s="17"/>
      <c r="H7619" s="18"/>
      <c r="K7619" s="18" t="s">
        <v>316</v>
      </c>
    </row>
    <row r="7620">
      <c r="A7620" s="17"/>
      <c r="H7620" s="18"/>
      <c r="K7620" s="18" t="s">
        <v>316</v>
      </c>
    </row>
    <row r="7621">
      <c r="A7621" s="17"/>
      <c r="H7621" s="18"/>
      <c r="K7621" s="18" t="s">
        <v>316</v>
      </c>
    </row>
    <row r="7622">
      <c r="A7622" s="17"/>
      <c r="H7622" s="18"/>
      <c r="K7622" s="18" t="s">
        <v>316</v>
      </c>
    </row>
    <row r="7623">
      <c r="A7623" s="17"/>
      <c r="H7623" s="18"/>
      <c r="K7623" s="18" t="s">
        <v>316</v>
      </c>
    </row>
    <row r="7624">
      <c r="A7624" s="17"/>
      <c r="H7624" s="18"/>
      <c r="K7624" s="18" t="s">
        <v>316</v>
      </c>
    </row>
    <row r="7625">
      <c r="A7625" s="17"/>
      <c r="H7625" s="18"/>
      <c r="K7625" s="18" t="s">
        <v>316</v>
      </c>
    </row>
    <row r="7626">
      <c r="A7626" s="17"/>
      <c r="H7626" s="18"/>
      <c r="K7626" s="18" t="s">
        <v>316</v>
      </c>
    </row>
    <row r="7627">
      <c r="A7627" s="17"/>
      <c r="H7627" s="18"/>
      <c r="K7627" s="18" t="s">
        <v>316</v>
      </c>
    </row>
    <row r="7628">
      <c r="A7628" s="17"/>
      <c r="H7628" s="18"/>
      <c r="K7628" s="18" t="s">
        <v>316</v>
      </c>
    </row>
    <row r="7629">
      <c r="A7629" s="17"/>
      <c r="H7629" s="18"/>
      <c r="K7629" s="18" t="s">
        <v>316</v>
      </c>
    </row>
    <row r="7630">
      <c r="A7630" s="17"/>
      <c r="H7630" s="18"/>
      <c r="K7630" s="18" t="s">
        <v>316</v>
      </c>
    </row>
    <row r="7631">
      <c r="A7631" s="17"/>
      <c r="H7631" s="18"/>
      <c r="K7631" s="18" t="s">
        <v>316</v>
      </c>
    </row>
    <row r="7632">
      <c r="A7632" s="17"/>
      <c r="H7632" s="18"/>
      <c r="K7632" s="18" t="s">
        <v>316</v>
      </c>
    </row>
    <row r="7633">
      <c r="A7633" s="17"/>
      <c r="H7633" s="18"/>
      <c r="K7633" s="18" t="s">
        <v>316</v>
      </c>
    </row>
    <row r="7634">
      <c r="A7634" s="17"/>
      <c r="H7634" s="18"/>
      <c r="K7634" s="18" t="s">
        <v>316</v>
      </c>
    </row>
    <row r="7635">
      <c r="A7635" s="17"/>
      <c r="H7635" s="18"/>
      <c r="K7635" s="18" t="s">
        <v>316</v>
      </c>
    </row>
    <row r="7636">
      <c r="A7636" s="17"/>
      <c r="H7636" s="18"/>
      <c r="K7636" s="18" t="s">
        <v>316</v>
      </c>
    </row>
    <row r="7637">
      <c r="A7637" s="17"/>
      <c r="H7637" s="18"/>
      <c r="K7637" s="18" t="s">
        <v>316</v>
      </c>
    </row>
    <row r="7638">
      <c r="A7638" s="17"/>
      <c r="H7638" s="18"/>
      <c r="K7638" s="18" t="s">
        <v>316</v>
      </c>
    </row>
    <row r="7639">
      <c r="A7639" s="17"/>
      <c r="H7639" s="18"/>
      <c r="K7639" s="18" t="s">
        <v>316</v>
      </c>
    </row>
    <row r="7640">
      <c r="A7640" s="17"/>
      <c r="H7640" s="18"/>
      <c r="K7640" s="18" t="s">
        <v>316</v>
      </c>
    </row>
    <row r="7641">
      <c r="A7641" s="17"/>
      <c r="H7641" s="18"/>
      <c r="K7641" s="18" t="s">
        <v>316</v>
      </c>
    </row>
    <row r="7642">
      <c r="A7642" s="17"/>
      <c r="H7642" s="18"/>
      <c r="K7642" s="18" t="s">
        <v>316</v>
      </c>
    </row>
    <row r="7643">
      <c r="A7643" s="17"/>
      <c r="H7643" s="18"/>
      <c r="K7643" s="18" t="s">
        <v>316</v>
      </c>
    </row>
    <row r="7644">
      <c r="A7644" s="17"/>
      <c r="H7644" s="18"/>
      <c r="K7644" s="18" t="s">
        <v>316</v>
      </c>
    </row>
    <row r="7645">
      <c r="A7645" s="17"/>
      <c r="H7645" s="18"/>
      <c r="K7645" s="18" t="s">
        <v>316</v>
      </c>
    </row>
    <row r="7646">
      <c r="A7646" s="17"/>
      <c r="H7646" s="18"/>
      <c r="K7646" s="18" t="s">
        <v>316</v>
      </c>
    </row>
    <row r="7647">
      <c r="A7647" s="17"/>
      <c r="H7647" s="18"/>
      <c r="K7647" s="18" t="s">
        <v>316</v>
      </c>
    </row>
    <row r="7648">
      <c r="A7648" s="17"/>
      <c r="H7648" s="18"/>
      <c r="K7648" s="18" t="s">
        <v>316</v>
      </c>
    </row>
    <row r="7649">
      <c r="A7649" s="17"/>
      <c r="H7649" s="18"/>
      <c r="K7649" s="18" t="s">
        <v>316</v>
      </c>
    </row>
    <row r="7650">
      <c r="A7650" s="17"/>
      <c r="H7650" s="18"/>
      <c r="K7650" s="18" t="s">
        <v>316</v>
      </c>
    </row>
    <row r="7651">
      <c r="A7651" s="17"/>
      <c r="H7651" s="18"/>
      <c r="K7651" s="18" t="s">
        <v>316</v>
      </c>
    </row>
    <row r="7652">
      <c r="A7652" s="17"/>
      <c r="H7652" s="18"/>
      <c r="K7652" s="18" t="s">
        <v>316</v>
      </c>
    </row>
    <row r="7653">
      <c r="A7653" s="17"/>
      <c r="H7653" s="18"/>
      <c r="K7653" s="18" t="s">
        <v>316</v>
      </c>
    </row>
    <row r="7654">
      <c r="A7654" s="17"/>
      <c r="H7654" s="18"/>
      <c r="K7654" s="18" t="s">
        <v>316</v>
      </c>
    </row>
    <row r="7655">
      <c r="A7655" s="17"/>
      <c r="H7655" s="18"/>
      <c r="K7655" s="18" t="s">
        <v>316</v>
      </c>
    </row>
    <row r="7656">
      <c r="A7656" s="17"/>
      <c r="H7656" s="18"/>
      <c r="K7656" s="18" t="s">
        <v>316</v>
      </c>
    </row>
    <row r="7657">
      <c r="A7657" s="17"/>
      <c r="H7657" s="18"/>
      <c r="K7657" s="18" t="s">
        <v>316</v>
      </c>
    </row>
    <row r="7658">
      <c r="A7658" s="17"/>
      <c r="H7658" s="18"/>
      <c r="K7658" s="18" t="s">
        <v>316</v>
      </c>
    </row>
    <row r="7659">
      <c r="A7659" s="17"/>
      <c r="H7659" s="18"/>
      <c r="K7659" s="18" t="s">
        <v>316</v>
      </c>
    </row>
    <row r="7660">
      <c r="A7660" s="17"/>
      <c r="H7660" s="18"/>
      <c r="K7660" s="18" t="s">
        <v>316</v>
      </c>
    </row>
    <row r="7661">
      <c r="A7661" s="17"/>
      <c r="H7661" s="18"/>
      <c r="K7661" s="18" t="s">
        <v>316</v>
      </c>
    </row>
    <row r="7662">
      <c r="A7662" s="17"/>
      <c r="H7662" s="18"/>
      <c r="K7662" s="18" t="s">
        <v>316</v>
      </c>
    </row>
    <row r="7663">
      <c r="A7663" s="17"/>
      <c r="H7663" s="18"/>
      <c r="K7663" s="18" t="s">
        <v>316</v>
      </c>
    </row>
    <row r="7664">
      <c r="A7664" s="17"/>
      <c r="H7664" s="18"/>
      <c r="K7664" s="18" t="s">
        <v>316</v>
      </c>
    </row>
    <row r="7665">
      <c r="A7665" s="17"/>
      <c r="H7665" s="18"/>
      <c r="K7665" s="18" t="s">
        <v>316</v>
      </c>
    </row>
    <row r="7666">
      <c r="A7666" s="17"/>
      <c r="H7666" s="18"/>
      <c r="K7666" s="18" t="s">
        <v>316</v>
      </c>
    </row>
    <row r="7667">
      <c r="A7667" s="17"/>
      <c r="H7667" s="18"/>
      <c r="K7667" s="18" t="s">
        <v>316</v>
      </c>
    </row>
    <row r="7668">
      <c r="A7668" s="17"/>
      <c r="H7668" s="18"/>
      <c r="K7668" s="18" t="s">
        <v>316</v>
      </c>
    </row>
    <row r="7669">
      <c r="A7669" s="17"/>
      <c r="H7669" s="18"/>
      <c r="K7669" s="18" t="s">
        <v>316</v>
      </c>
    </row>
    <row r="7670">
      <c r="A7670" s="17"/>
      <c r="H7670" s="18"/>
      <c r="K7670" s="18" t="s">
        <v>316</v>
      </c>
    </row>
    <row r="7671">
      <c r="A7671" s="17"/>
      <c r="H7671" s="18"/>
      <c r="K7671" s="18" t="s">
        <v>316</v>
      </c>
    </row>
    <row r="7672">
      <c r="A7672" s="17"/>
      <c r="H7672" s="18"/>
      <c r="K7672" s="18" t="s">
        <v>316</v>
      </c>
    </row>
    <row r="7673">
      <c r="A7673" s="17"/>
      <c r="H7673" s="18"/>
      <c r="K7673" s="18" t="s">
        <v>316</v>
      </c>
    </row>
    <row r="7674">
      <c r="A7674" s="17"/>
      <c r="H7674" s="18"/>
      <c r="K7674" s="18" t="s">
        <v>316</v>
      </c>
    </row>
    <row r="7675">
      <c r="A7675" s="17"/>
      <c r="H7675" s="18"/>
      <c r="K7675" s="18" t="s">
        <v>316</v>
      </c>
    </row>
    <row r="7676">
      <c r="A7676" s="17"/>
      <c r="H7676" s="18"/>
      <c r="K7676" s="18" t="s">
        <v>316</v>
      </c>
    </row>
    <row r="7677">
      <c r="A7677" s="17"/>
      <c r="H7677" s="18"/>
      <c r="K7677" s="18" t="s">
        <v>316</v>
      </c>
    </row>
    <row r="7678">
      <c r="A7678" s="17"/>
      <c r="H7678" s="18"/>
      <c r="K7678" s="18" t="s">
        <v>316</v>
      </c>
    </row>
    <row r="7679">
      <c r="A7679" s="17"/>
      <c r="H7679" s="18"/>
      <c r="K7679" s="18" t="s">
        <v>316</v>
      </c>
    </row>
    <row r="7680">
      <c r="A7680" s="17"/>
      <c r="H7680" s="18"/>
      <c r="K7680" s="18" t="s">
        <v>316</v>
      </c>
    </row>
    <row r="7681">
      <c r="A7681" s="17"/>
      <c r="H7681" s="18"/>
      <c r="K7681" s="18" t="s">
        <v>316</v>
      </c>
    </row>
    <row r="7682">
      <c r="A7682" s="17"/>
      <c r="H7682" s="18"/>
      <c r="K7682" s="18" t="s">
        <v>316</v>
      </c>
    </row>
    <row r="7683">
      <c r="A7683" s="17"/>
      <c r="H7683" s="18"/>
      <c r="K7683" s="18" t="s">
        <v>316</v>
      </c>
    </row>
    <row r="7684">
      <c r="A7684" s="17"/>
      <c r="H7684" s="18"/>
      <c r="K7684" s="18" t="s">
        <v>316</v>
      </c>
    </row>
    <row r="7685">
      <c r="A7685" s="17"/>
      <c r="H7685" s="18"/>
      <c r="K7685" s="18" t="s">
        <v>316</v>
      </c>
    </row>
    <row r="7686">
      <c r="A7686" s="17"/>
      <c r="H7686" s="18"/>
      <c r="K7686" s="18" t="s">
        <v>316</v>
      </c>
    </row>
    <row r="7687">
      <c r="A7687" s="17"/>
      <c r="H7687" s="18"/>
      <c r="K7687" s="18" t="s">
        <v>316</v>
      </c>
    </row>
    <row r="7688">
      <c r="A7688" s="17"/>
      <c r="H7688" s="18"/>
      <c r="K7688" s="18" t="s">
        <v>316</v>
      </c>
    </row>
    <row r="7689">
      <c r="A7689" s="17"/>
      <c r="H7689" s="18"/>
      <c r="K7689" s="18" t="s">
        <v>316</v>
      </c>
    </row>
    <row r="7690">
      <c r="A7690" s="17"/>
      <c r="H7690" s="18"/>
      <c r="K7690" s="18" t="s">
        <v>316</v>
      </c>
    </row>
    <row r="7691">
      <c r="A7691" s="17"/>
      <c r="H7691" s="18"/>
      <c r="K7691" s="18" t="s">
        <v>316</v>
      </c>
    </row>
    <row r="7692">
      <c r="A7692" s="17"/>
      <c r="H7692" s="18"/>
      <c r="K7692" s="18" t="s">
        <v>316</v>
      </c>
    </row>
    <row r="7693">
      <c r="A7693" s="17"/>
      <c r="H7693" s="18"/>
      <c r="K7693" s="18" t="s">
        <v>316</v>
      </c>
    </row>
    <row r="7694">
      <c r="A7694" s="17"/>
      <c r="H7694" s="18"/>
      <c r="K7694" s="18" t="s">
        <v>316</v>
      </c>
    </row>
    <row r="7695">
      <c r="A7695" s="17"/>
      <c r="H7695" s="18"/>
      <c r="K7695" s="18" t="s">
        <v>316</v>
      </c>
    </row>
    <row r="7696">
      <c r="A7696" s="17"/>
      <c r="H7696" s="18"/>
      <c r="K7696" s="18" t="s">
        <v>316</v>
      </c>
    </row>
    <row r="7697">
      <c r="A7697" s="17"/>
      <c r="H7697" s="18"/>
      <c r="K7697" s="18" t="s">
        <v>316</v>
      </c>
    </row>
    <row r="7698">
      <c r="A7698" s="17"/>
      <c r="H7698" s="18"/>
      <c r="K7698" s="18" t="s">
        <v>316</v>
      </c>
    </row>
    <row r="7699">
      <c r="A7699" s="17"/>
      <c r="H7699" s="18"/>
      <c r="K7699" s="18" t="s">
        <v>316</v>
      </c>
    </row>
    <row r="7700">
      <c r="A7700" s="17"/>
      <c r="H7700" s="18"/>
      <c r="K7700" s="18" t="s">
        <v>316</v>
      </c>
    </row>
    <row r="7701">
      <c r="A7701" s="17"/>
      <c r="H7701" s="18"/>
      <c r="K7701" s="18" t="s">
        <v>316</v>
      </c>
    </row>
    <row r="7702">
      <c r="A7702" s="17"/>
      <c r="H7702" s="18"/>
      <c r="K7702" s="18" t="s">
        <v>316</v>
      </c>
    </row>
    <row r="7703">
      <c r="A7703" s="17"/>
      <c r="H7703" s="18"/>
      <c r="K7703" s="18" t="s">
        <v>316</v>
      </c>
    </row>
    <row r="7704">
      <c r="A7704" s="17"/>
      <c r="H7704" s="18"/>
      <c r="K7704" s="18" t="s">
        <v>316</v>
      </c>
    </row>
    <row r="7705">
      <c r="A7705" s="17"/>
      <c r="H7705" s="18"/>
      <c r="K7705" s="18" t="s">
        <v>316</v>
      </c>
    </row>
    <row r="7706">
      <c r="A7706" s="17"/>
      <c r="H7706" s="18"/>
      <c r="K7706" s="18" t="s">
        <v>316</v>
      </c>
    </row>
    <row r="7707">
      <c r="A7707" s="17"/>
      <c r="H7707" s="18"/>
      <c r="K7707" s="18" t="s">
        <v>316</v>
      </c>
    </row>
    <row r="7708">
      <c r="A7708" s="17"/>
      <c r="H7708" s="18"/>
      <c r="K7708" s="18" t="s">
        <v>316</v>
      </c>
    </row>
    <row r="7709">
      <c r="A7709" s="17"/>
      <c r="H7709" s="18"/>
      <c r="K7709" s="18" t="s">
        <v>316</v>
      </c>
    </row>
    <row r="7710">
      <c r="A7710" s="17"/>
      <c r="H7710" s="18"/>
      <c r="K7710" s="18" t="s">
        <v>316</v>
      </c>
    </row>
    <row r="7711">
      <c r="A7711" s="17"/>
      <c r="H7711" s="18"/>
      <c r="K7711" s="18" t="s">
        <v>316</v>
      </c>
    </row>
    <row r="7712">
      <c r="A7712" s="17"/>
      <c r="H7712" s="18"/>
      <c r="K7712" s="18" t="s">
        <v>316</v>
      </c>
    </row>
    <row r="7713">
      <c r="A7713" s="17"/>
      <c r="H7713" s="18"/>
      <c r="K7713" s="18" t="s">
        <v>316</v>
      </c>
    </row>
    <row r="7714">
      <c r="A7714" s="17"/>
      <c r="H7714" s="18"/>
      <c r="K7714" s="18" t="s">
        <v>316</v>
      </c>
    </row>
    <row r="7715">
      <c r="A7715" s="17"/>
      <c r="H7715" s="18"/>
      <c r="K7715" s="18" t="s">
        <v>316</v>
      </c>
    </row>
    <row r="7716">
      <c r="A7716" s="17"/>
      <c r="H7716" s="18"/>
      <c r="K7716" s="18" t="s">
        <v>316</v>
      </c>
    </row>
    <row r="7717">
      <c r="A7717" s="17"/>
      <c r="H7717" s="18"/>
      <c r="K7717" s="18" t="s">
        <v>316</v>
      </c>
    </row>
    <row r="7718">
      <c r="A7718" s="17"/>
      <c r="H7718" s="18"/>
      <c r="K7718" s="18" t="s">
        <v>316</v>
      </c>
    </row>
    <row r="7719">
      <c r="A7719" s="17"/>
      <c r="H7719" s="18"/>
      <c r="K7719" s="18" t="s">
        <v>316</v>
      </c>
    </row>
    <row r="7720">
      <c r="A7720" s="17"/>
      <c r="H7720" s="18"/>
      <c r="K7720" s="18" t="s">
        <v>316</v>
      </c>
    </row>
    <row r="7721">
      <c r="A7721" s="17"/>
      <c r="H7721" s="18"/>
      <c r="K7721" s="18" t="s">
        <v>316</v>
      </c>
    </row>
    <row r="7722">
      <c r="A7722" s="17"/>
      <c r="H7722" s="18"/>
      <c r="K7722" s="18" t="s">
        <v>316</v>
      </c>
    </row>
    <row r="7723">
      <c r="A7723" s="17"/>
      <c r="H7723" s="18"/>
      <c r="K7723" s="18" t="s">
        <v>316</v>
      </c>
    </row>
    <row r="7724">
      <c r="A7724" s="17"/>
      <c r="H7724" s="18"/>
      <c r="K7724" s="18" t="s">
        <v>316</v>
      </c>
    </row>
    <row r="7725">
      <c r="A7725" s="17"/>
      <c r="H7725" s="18"/>
      <c r="K7725" s="18" t="s">
        <v>316</v>
      </c>
    </row>
    <row r="7726">
      <c r="A7726" s="17"/>
      <c r="H7726" s="18"/>
      <c r="K7726" s="18" t="s">
        <v>316</v>
      </c>
    </row>
    <row r="7727">
      <c r="A7727" s="17"/>
      <c r="H7727" s="18"/>
      <c r="K7727" s="18" t="s">
        <v>316</v>
      </c>
    </row>
    <row r="7728">
      <c r="A7728" s="17"/>
      <c r="H7728" s="18"/>
      <c r="K7728" s="18" t="s">
        <v>316</v>
      </c>
    </row>
    <row r="7729">
      <c r="A7729" s="17"/>
      <c r="H7729" s="18"/>
      <c r="K7729" s="18" t="s">
        <v>316</v>
      </c>
    </row>
    <row r="7730">
      <c r="A7730" s="17"/>
      <c r="H7730" s="18"/>
      <c r="K7730" s="18" t="s">
        <v>316</v>
      </c>
    </row>
    <row r="7731">
      <c r="A7731" s="17"/>
      <c r="H7731" s="18"/>
      <c r="K7731" s="18" t="s">
        <v>316</v>
      </c>
    </row>
    <row r="7732">
      <c r="A7732" s="17"/>
      <c r="H7732" s="18"/>
      <c r="K7732" s="18" t="s">
        <v>316</v>
      </c>
    </row>
    <row r="7733">
      <c r="A7733" s="17"/>
      <c r="H7733" s="18"/>
      <c r="K7733" s="18" t="s">
        <v>316</v>
      </c>
    </row>
    <row r="7734">
      <c r="A7734" s="17"/>
      <c r="H7734" s="18"/>
      <c r="K7734" s="18" t="s">
        <v>316</v>
      </c>
    </row>
    <row r="7735">
      <c r="A7735" s="17"/>
      <c r="H7735" s="18"/>
      <c r="K7735" s="18" t="s">
        <v>316</v>
      </c>
    </row>
    <row r="7736">
      <c r="A7736" s="17"/>
      <c r="H7736" s="18"/>
      <c r="K7736" s="18" t="s">
        <v>316</v>
      </c>
    </row>
    <row r="7737">
      <c r="A7737" s="17"/>
      <c r="H7737" s="18"/>
      <c r="K7737" s="18" t="s">
        <v>316</v>
      </c>
    </row>
    <row r="7738">
      <c r="A7738" s="17"/>
      <c r="H7738" s="18"/>
      <c r="K7738" s="18" t="s">
        <v>316</v>
      </c>
    </row>
    <row r="7739">
      <c r="A7739" s="17"/>
      <c r="H7739" s="18"/>
      <c r="K7739" s="18" t="s">
        <v>316</v>
      </c>
    </row>
    <row r="7740">
      <c r="A7740" s="17"/>
      <c r="H7740" s="18"/>
      <c r="K7740" s="18" t="s">
        <v>316</v>
      </c>
    </row>
    <row r="7741">
      <c r="A7741" s="17"/>
      <c r="H7741" s="18"/>
      <c r="K7741" s="18" t="s">
        <v>316</v>
      </c>
    </row>
    <row r="7742">
      <c r="A7742" s="17"/>
      <c r="H7742" s="18"/>
      <c r="K7742" s="18" t="s">
        <v>316</v>
      </c>
    </row>
    <row r="7743">
      <c r="A7743" s="17"/>
      <c r="H7743" s="18"/>
      <c r="K7743" s="18" t="s">
        <v>316</v>
      </c>
    </row>
    <row r="7744">
      <c r="A7744" s="17"/>
      <c r="H7744" s="18"/>
      <c r="K7744" s="18" t="s">
        <v>316</v>
      </c>
    </row>
    <row r="7745">
      <c r="A7745" s="17"/>
      <c r="H7745" s="18"/>
      <c r="K7745" s="18" t="s">
        <v>316</v>
      </c>
    </row>
    <row r="7746">
      <c r="A7746" s="17"/>
      <c r="H7746" s="18"/>
      <c r="K7746" s="18" t="s">
        <v>316</v>
      </c>
    </row>
    <row r="7747">
      <c r="A7747" s="17"/>
      <c r="H7747" s="18"/>
      <c r="K7747" s="18" t="s">
        <v>316</v>
      </c>
    </row>
    <row r="7748">
      <c r="A7748" s="17"/>
      <c r="H7748" s="18"/>
      <c r="K7748" s="18" t="s">
        <v>316</v>
      </c>
    </row>
    <row r="7749">
      <c r="A7749" s="17"/>
      <c r="H7749" s="18"/>
      <c r="K7749" s="18" t="s">
        <v>316</v>
      </c>
    </row>
    <row r="7750">
      <c r="A7750" s="17"/>
      <c r="H7750" s="18"/>
      <c r="K7750" s="18" t="s">
        <v>316</v>
      </c>
    </row>
    <row r="7751">
      <c r="A7751" s="17"/>
      <c r="H7751" s="18"/>
      <c r="K7751" s="18" t="s">
        <v>316</v>
      </c>
    </row>
    <row r="7752">
      <c r="A7752" s="17"/>
      <c r="H7752" s="18"/>
      <c r="K7752" s="18" t="s">
        <v>316</v>
      </c>
    </row>
    <row r="7753">
      <c r="A7753" s="17"/>
      <c r="H7753" s="18"/>
      <c r="K7753" s="18" t="s">
        <v>316</v>
      </c>
    </row>
    <row r="7754">
      <c r="A7754" s="17"/>
      <c r="H7754" s="18"/>
      <c r="K7754" s="18" t="s">
        <v>316</v>
      </c>
    </row>
    <row r="7755">
      <c r="A7755" s="17"/>
      <c r="H7755" s="18"/>
      <c r="K7755" s="18" t="s">
        <v>316</v>
      </c>
    </row>
    <row r="7756">
      <c r="A7756" s="17"/>
      <c r="H7756" s="18"/>
      <c r="K7756" s="18" t="s">
        <v>316</v>
      </c>
    </row>
    <row r="7757">
      <c r="A7757" s="17"/>
      <c r="H7757" s="18"/>
      <c r="K7757" s="18" t="s">
        <v>316</v>
      </c>
    </row>
    <row r="7758">
      <c r="A7758" s="17"/>
      <c r="H7758" s="18"/>
      <c r="K7758" s="18" t="s">
        <v>316</v>
      </c>
    </row>
    <row r="7759">
      <c r="A7759" s="17"/>
      <c r="H7759" s="18"/>
      <c r="K7759" s="18" t="s">
        <v>316</v>
      </c>
    </row>
    <row r="7760">
      <c r="A7760" s="17"/>
      <c r="H7760" s="18"/>
      <c r="K7760" s="18" t="s">
        <v>316</v>
      </c>
    </row>
    <row r="7761">
      <c r="A7761" s="17"/>
      <c r="H7761" s="18"/>
      <c r="K7761" s="18" t="s">
        <v>316</v>
      </c>
    </row>
    <row r="7762">
      <c r="A7762" s="17"/>
      <c r="H7762" s="18"/>
      <c r="K7762" s="18" t="s">
        <v>316</v>
      </c>
    </row>
    <row r="7763">
      <c r="A7763" s="17"/>
      <c r="H7763" s="18"/>
      <c r="K7763" s="18" t="s">
        <v>316</v>
      </c>
    </row>
    <row r="7764">
      <c r="A7764" s="17"/>
      <c r="H7764" s="18"/>
      <c r="K7764" s="18" t="s">
        <v>316</v>
      </c>
    </row>
    <row r="7765">
      <c r="A7765" s="17"/>
      <c r="H7765" s="18"/>
      <c r="K7765" s="18" t="s">
        <v>316</v>
      </c>
    </row>
    <row r="7766">
      <c r="A7766" s="17"/>
      <c r="H7766" s="18"/>
      <c r="K7766" s="18" t="s">
        <v>316</v>
      </c>
    </row>
    <row r="7767">
      <c r="A7767" s="17"/>
      <c r="H7767" s="18"/>
      <c r="K7767" s="18" t="s">
        <v>316</v>
      </c>
    </row>
    <row r="7768">
      <c r="A7768" s="17"/>
      <c r="H7768" s="18"/>
      <c r="K7768" s="18" t="s">
        <v>316</v>
      </c>
    </row>
    <row r="7769">
      <c r="A7769" s="17"/>
      <c r="H7769" s="18"/>
      <c r="K7769" s="18" t="s">
        <v>316</v>
      </c>
    </row>
    <row r="7770">
      <c r="A7770" s="17"/>
      <c r="H7770" s="18"/>
      <c r="K7770" s="18" t="s">
        <v>316</v>
      </c>
    </row>
    <row r="7771">
      <c r="A7771" s="17"/>
      <c r="H7771" s="18"/>
      <c r="K7771" s="18" t="s">
        <v>316</v>
      </c>
    </row>
    <row r="7772">
      <c r="A7772" s="17"/>
      <c r="H7772" s="18"/>
      <c r="K7772" s="18" t="s">
        <v>316</v>
      </c>
    </row>
    <row r="7773">
      <c r="A7773" s="17"/>
      <c r="H7773" s="18"/>
      <c r="K7773" s="18" t="s">
        <v>316</v>
      </c>
    </row>
    <row r="7774">
      <c r="A7774" s="17"/>
      <c r="H7774" s="18"/>
      <c r="K7774" s="18" t="s">
        <v>316</v>
      </c>
    </row>
    <row r="7775">
      <c r="A7775" s="17"/>
      <c r="H7775" s="18"/>
      <c r="K7775" s="18" t="s">
        <v>316</v>
      </c>
    </row>
    <row r="7776">
      <c r="A7776" s="17"/>
      <c r="H7776" s="18"/>
      <c r="K7776" s="18" t="s">
        <v>316</v>
      </c>
    </row>
    <row r="7777">
      <c r="A7777" s="17"/>
      <c r="H7777" s="18"/>
      <c r="K7777" s="18" t="s">
        <v>316</v>
      </c>
    </row>
    <row r="7778">
      <c r="A7778" s="17"/>
      <c r="H7778" s="18"/>
      <c r="K7778" s="18" t="s">
        <v>316</v>
      </c>
    </row>
    <row r="7779">
      <c r="A7779" s="17"/>
      <c r="H7779" s="18"/>
      <c r="K7779" s="18" t="s">
        <v>316</v>
      </c>
    </row>
    <row r="7780">
      <c r="A7780" s="17"/>
      <c r="H7780" s="18"/>
      <c r="K7780" s="18" t="s">
        <v>316</v>
      </c>
    </row>
    <row r="7781">
      <c r="A7781" s="17"/>
      <c r="H7781" s="18"/>
      <c r="K7781" s="18" t="s">
        <v>316</v>
      </c>
    </row>
    <row r="7782">
      <c r="A7782" s="17"/>
      <c r="H7782" s="18"/>
      <c r="K7782" s="18" t="s">
        <v>316</v>
      </c>
    </row>
    <row r="7783">
      <c r="A7783" s="17"/>
      <c r="H7783" s="18"/>
      <c r="K7783" s="18" t="s">
        <v>316</v>
      </c>
    </row>
    <row r="7784">
      <c r="A7784" s="17"/>
      <c r="H7784" s="18"/>
      <c r="K7784" s="18" t="s">
        <v>316</v>
      </c>
    </row>
    <row r="7785">
      <c r="A7785" s="17"/>
      <c r="H7785" s="18"/>
      <c r="K7785" s="18" t="s">
        <v>316</v>
      </c>
    </row>
    <row r="7786">
      <c r="A7786" s="17"/>
      <c r="H7786" s="18"/>
      <c r="K7786" s="18" t="s">
        <v>316</v>
      </c>
    </row>
    <row r="7787">
      <c r="A7787" s="17"/>
      <c r="H7787" s="18"/>
      <c r="K7787" s="18" t="s">
        <v>316</v>
      </c>
    </row>
    <row r="7788">
      <c r="A7788" s="17"/>
      <c r="H7788" s="18"/>
      <c r="K7788" s="18" t="s">
        <v>316</v>
      </c>
    </row>
    <row r="7789">
      <c r="A7789" s="17"/>
      <c r="H7789" s="18"/>
      <c r="K7789" s="18" t="s">
        <v>316</v>
      </c>
    </row>
    <row r="7790">
      <c r="A7790" s="17"/>
      <c r="H7790" s="18"/>
      <c r="K7790" s="18" t="s">
        <v>316</v>
      </c>
    </row>
    <row r="7791">
      <c r="A7791" s="17"/>
      <c r="H7791" s="18"/>
      <c r="K7791" s="18" t="s">
        <v>316</v>
      </c>
    </row>
    <row r="7792">
      <c r="A7792" s="17"/>
      <c r="H7792" s="18"/>
      <c r="K7792" s="18" t="s">
        <v>316</v>
      </c>
    </row>
    <row r="7793">
      <c r="A7793" s="17"/>
      <c r="H7793" s="18"/>
      <c r="K7793" s="18" t="s">
        <v>316</v>
      </c>
    </row>
    <row r="7794">
      <c r="A7794" s="17"/>
      <c r="H7794" s="18"/>
      <c r="K7794" s="18" t="s">
        <v>316</v>
      </c>
    </row>
    <row r="7795">
      <c r="A7795" s="17"/>
      <c r="H7795" s="18"/>
      <c r="K7795" s="18" t="s">
        <v>316</v>
      </c>
    </row>
    <row r="7796">
      <c r="A7796" s="17"/>
      <c r="H7796" s="18"/>
      <c r="K7796" s="18" t="s">
        <v>316</v>
      </c>
    </row>
    <row r="7797">
      <c r="A7797" s="17"/>
      <c r="H7797" s="18"/>
      <c r="K7797" s="18" t="s">
        <v>316</v>
      </c>
    </row>
    <row r="7798">
      <c r="A7798" s="17"/>
      <c r="H7798" s="18"/>
      <c r="K7798" s="18" t="s">
        <v>316</v>
      </c>
    </row>
    <row r="7799">
      <c r="A7799" s="17"/>
      <c r="H7799" s="18"/>
      <c r="K7799" s="18" t="s">
        <v>316</v>
      </c>
    </row>
    <row r="7800">
      <c r="A7800" s="17"/>
      <c r="H7800" s="18"/>
      <c r="K7800" s="18" t="s">
        <v>316</v>
      </c>
    </row>
    <row r="7801">
      <c r="A7801" s="17"/>
      <c r="H7801" s="18"/>
      <c r="K7801" s="18" t="s">
        <v>316</v>
      </c>
    </row>
    <row r="7802">
      <c r="A7802" s="17"/>
      <c r="H7802" s="18"/>
      <c r="K7802" s="18" t="s">
        <v>316</v>
      </c>
    </row>
    <row r="7803">
      <c r="A7803" s="17"/>
      <c r="H7803" s="18"/>
      <c r="K7803" s="18" t="s">
        <v>316</v>
      </c>
    </row>
    <row r="7804">
      <c r="A7804" s="17"/>
      <c r="H7804" s="18"/>
      <c r="K7804" s="18" t="s">
        <v>316</v>
      </c>
    </row>
    <row r="7805">
      <c r="A7805" s="17"/>
      <c r="H7805" s="18"/>
      <c r="K7805" s="18" t="s">
        <v>316</v>
      </c>
    </row>
    <row r="7806">
      <c r="A7806" s="17"/>
      <c r="H7806" s="18"/>
      <c r="K7806" s="18" t="s">
        <v>316</v>
      </c>
    </row>
    <row r="7807">
      <c r="A7807" s="17"/>
      <c r="H7807" s="18"/>
      <c r="K7807" s="18" t="s">
        <v>316</v>
      </c>
    </row>
    <row r="7808">
      <c r="A7808" s="17"/>
      <c r="H7808" s="18"/>
      <c r="K7808" s="18" t="s">
        <v>316</v>
      </c>
    </row>
    <row r="7809">
      <c r="A7809" s="17"/>
      <c r="H7809" s="18"/>
      <c r="K7809" s="18" t="s">
        <v>316</v>
      </c>
    </row>
    <row r="7810">
      <c r="A7810" s="17"/>
      <c r="H7810" s="18"/>
      <c r="K7810" s="18" t="s">
        <v>316</v>
      </c>
    </row>
    <row r="7811">
      <c r="A7811" s="17"/>
      <c r="H7811" s="18"/>
      <c r="K7811" s="18" t="s">
        <v>316</v>
      </c>
    </row>
    <row r="7812">
      <c r="A7812" s="17"/>
      <c r="H7812" s="18"/>
      <c r="K7812" s="18" t="s">
        <v>316</v>
      </c>
    </row>
    <row r="7813">
      <c r="A7813" s="17"/>
      <c r="H7813" s="18"/>
      <c r="K7813" s="18" t="s">
        <v>316</v>
      </c>
    </row>
    <row r="7814">
      <c r="A7814" s="17"/>
      <c r="H7814" s="18"/>
      <c r="K7814" s="18" t="s">
        <v>316</v>
      </c>
    </row>
    <row r="7815">
      <c r="A7815" s="17"/>
      <c r="H7815" s="18"/>
      <c r="K7815" s="18" t="s">
        <v>316</v>
      </c>
    </row>
    <row r="7816">
      <c r="A7816" s="17"/>
      <c r="H7816" s="18"/>
      <c r="K7816" s="18" t="s">
        <v>316</v>
      </c>
    </row>
    <row r="7817">
      <c r="A7817" s="17"/>
      <c r="H7817" s="18"/>
      <c r="K7817" s="18" t="s">
        <v>316</v>
      </c>
    </row>
    <row r="7818">
      <c r="A7818" s="17"/>
      <c r="H7818" s="18"/>
      <c r="K7818" s="18" t="s">
        <v>316</v>
      </c>
    </row>
    <row r="7819">
      <c r="A7819" s="17"/>
      <c r="H7819" s="18"/>
      <c r="K7819" s="18" t="s">
        <v>316</v>
      </c>
    </row>
    <row r="7820">
      <c r="A7820" s="17"/>
      <c r="H7820" s="18"/>
      <c r="K7820" s="18" t="s">
        <v>316</v>
      </c>
    </row>
    <row r="7821">
      <c r="A7821" s="17"/>
      <c r="H7821" s="18"/>
      <c r="K7821" s="18" t="s">
        <v>316</v>
      </c>
    </row>
    <row r="7822">
      <c r="A7822" s="17"/>
      <c r="H7822" s="18"/>
      <c r="K7822" s="18" t="s">
        <v>316</v>
      </c>
    </row>
    <row r="7823">
      <c r="A7823" s="17"/>
      <c r="H7823" s="18"/>
      <c r="K7823" s="18" t="s">
        <v>316</v>
      </c>
    </row>
    <row r="7824">
      <c r="A7824" s="17"/>
      <c r="H7824" s="18"/>
      <c r="K7824" s="18" t="s">
        <v>316</v>
      </c>
    </row>
    <row r="7825">
      <c r="A7825" s="17"/>
      <c r="H7825" s="18"/>
      <c r="K7825" s="18" t="s">
        <v>316</v>
      </c>
    </row>
    <row r="7826">
      <c r="A7826" s="17"/>
      <c r="H7826" s="18"/>
      <c r="K7826" s="18" t="s">
        <v>316</v>
      </c>
    </row>
    <row r="7827">
      <c r="A7827" s="17"/>
      <c r="H7827" s="18"/>
      <c r="K7827" s="18" t="s">
        <v>316</v>
      </c>
    </row>
    <row r="7828">
      <c r="A7828" s="17"/>
      <c r="H7828" s="18"/>
      <c r="K7828" s="18" t="s">
        <v>316</v>
      </c>
    </row>
    <row r="7829">
      <c r="A7829" s="17"/>
      <c r="H7829" s="18"/>
      <c r="K7829" s="18" t="s">
        <v>316</v>
      </c>
    </row>
    <row r="7830">
      <c r="A7830" s="17"/>
      <c r="H7830" s="18"/>
      <c r="K7830" s="18" t="s">
        <v>316</v>
      </c>
    </row>
    <row r="7831">
      <c r="A7831" s="17"/>
      <c r="H7831" s="18"/>
      <c r="K7831" s="18" t="s">
        <v>316</v>
      </c>
    </row>
    <row r="7832">
      <c r="A7832" s="17"/>
      <c r="H7832" s="18"/>
      <c r="K7832" s="18" t="s">
        <v>316</v>
      </c>
    </row>
    <row r="7833">
      <c r="A7833" s="17"/>
      <c r="H7833" s="18"/>
      <c r="K7833" s="18" t="s">
        <v>316</v>
      </c>
    </row>
    <row r="7834">
      <c r="A7834" s="17"/>
      <c r="H7834" s="18"/>
      <c r="K7834" s="18" t="s">
        <v>316</v>
      </c>
    </row>
    <row r="7835">
      <c r="A7835" s="17"/>
      <c r="H7835" s="18"/>
      <c r="K7835" s="18" t="s">
        <v>316</v>
      </c>
    </row>
    <row r="7836">
      <c r="A7836" s="17"/>
      <c r="H7836" s="18"/>
      <c r="K7836" s="18" t="s">
        <v>316</v>
      </c>
    </row>
    <row r="7837">
      <c r="A7837" s="17"/>
      <c r="H7837" s="18"/>
      <c r="K7837" s="18" t="s">
        <v>316</v>
      </c>
    </row>
    <row r="7838">
      <c r="A7838" s="17"/>
      <c r="H7838" s="18"/>
      <c r="K7838" s="18" t="s">
        <v>316</v>
      </c>
    </row>
    <row r="7839">
      <c r="A7839" s="17"/>
      <c r="H7839" s="18"/>
      <c r="K7839" s="18" t="s">
        <v>316</v>
      </c>
    </row>
    <row r="7840">
      <c r="A7840" s="17"/>
      <c r="H7840" s="18"/>
      <c r="K7840" s="18" t="s">
        <v>316</v>
      </c>
    </row>
    <row r="7841">
      <c r="A7841" s="17"/>
      <c r="H7841" s="18"/>
      <c r="K7841" s="18" t="s">
        <v>316</v>
      </c>
    </row>
    <row r="7842">
      <c r="A7842" s="17"/>
      <c r="H7842" s="18"/>
      <c r="K7842" s="18" t="s">
        <v>316</v>
      </c>
    </row>
    <row r="7843">
      <c r="A7843" s="17"/>
      <c r="H7843" s="18"/>
      <c r="K7843" s="18" t="s">
        <v>316</v>
      </c>
    </row>
    <row r="7844">
      <c r="A7844" s="17"/>
      <c r="H7844" s="18"/>
      <c r="K7844" s="18" t="s">
        <v>316</v>
      </c>
    </row>
    <row r="7845">
      <c r="A7845" s="17"/>
      <c r="H7845" s="18"/>
      <c r="K7845" s="18" t="s">
        <v>316</v>
      </c>
    </row>
    <row r="7846">
      <c r="A7846" s="17"/>
      <c r="H7846" s="18"/>
      <c r="K7846" s="18" t="s">
        <v>316</v>
      </c>
    </row>
    <row r="7847">
      <c r="A7847" s="17"/>
      <c r="H7847" s="18"/>
      <c r="K7847" s="18" t="s">
        <v>316</v>
      </c>
    </row>
    <row r="7848">
      <c r="A7848" s="17"/>
      <c r="H7848" s="18"/>
      <c r="K7848" s="18" t="s">
        <v>316</v>
      </c>
    </row>
    <row r="7849">
      <c r="A7849" s="17"/>
      <c r="H7849" s="18"/>
      <c r="K7849" s="18" t="s">
        <v>316</v>
      </c>
    </row>
    <row r="7850">
      <c r="A7850" s="17"/>
      <c r="H7850" s="18"/>
      <c r="K7850" s="18" t="s">
        <v>316</v>
      </c>
    </row>
    <row r="7851">
      <c r="A7851" s="17"/>
      <c r="H7851" s="18"/>
      <c r="K7851" s="18" t="s">
        <v>316</v>
      </c>
    </row>
    <row r="7852">
      <c r="A7852" s="17"/>
      <c r="H7852" s="18"/>
      <c r="K7852" s="18" t="s">
        <v>316</v>
      </c>
    </row>
    <row r="7853">
      <c r="A7853" s="17"/>
      <c r="H7853" s="18"/>
      <c r="K7853" s="18" t="s">
        <v>316</v>
      </c>
    </row>
    <row r="7854">
      <c r="A7854" s="17"/>
      <c r="H7854" s="18"/>
      <c r="K7854" s="18" t="s">
        <v>316</v>
      </c>
    </row>
    <row r="7855">
      <c r="A7855" s="17"/>
      <c r="H7855" s="18"/>
      <c r="K7855" s="18" t="s">
        <v>316</v>
      </c>
    </row>
    <row r="7856">
      <c r="A7856" s="17"/>
      <c r="H7856" s="18"/>
      <c r="K7856" s="18" t="s">
        <v>316</v>
      </c>
    </row>
    <row r="7857">
      <c r="A7857" s="17"/>
      <c r="H7857" s="18"/>
      <c r="K7857" s="18" t="s">
        <v>316</v>
      </c>
    </row>
    <row r="7858">
      <c r="A7858" s="17"/>
      <c r="H7858" s="18"/>
      <c r="K7858" s="18" t="s">
        <v>316</v>
      </c>
    </row>
    <row r="7859">
      <c r="A7859" s="17"/>
      <c r="H7859" s="18"/>
      <c r="K7859" s="18" t="s">
        <v>316</v>
      </c>
    </row>
    <row r="7860">
      <c r="A7860" s="17"/>
      <c r="H7860" s="18"/>
      <c r="K7860" s="18" t="s">
        <v>316</v>
      </c>
    </row>
    <row r="7861">
      <c r="A7861" s="17"/>
      <c r="H7861" s="18"/>
      <c r="K7861" s="18" t="s">
        <v>316</v>
      </c>
    </row>
    <row r="7862">
      <c r="A7862" s="17"/>
      <c r="H7862" s="18"/>
      <c r="K7862" s="18" t="s">
        <v>316</v>
      </c>
    </row>
    <row r="7863">
      <c r="A7863" s="17"/>
      <c r="H7863" s="18"/>
      <c r="K7863" s="18" t="s">
        <v>316</v>
      </c>
    </row>
    <row r="7864">
      <c r="A7864" s="17"/>
      <c r="H7864" s="18"/>
      <c r="K7864" s="18" t="s">
        <v>316</v>
      </c>
    </row>
    <row r="7865">
      <c r="A7865" s="17"/>
      <c r="H7865" s="18"/>
      <c r="K7865" s="18" t="s">
        <v>316</v>
      </c>
    </row>
    <row r="7866">
      <c r="A7866" s="17"/>
      <c r="H7866" s="18"/>
      <c r="K7866" s="18" t="s">
        <v>316</v>
      </c>
    </row>
    <row r="7867">
      <c r="A7867" s="17"/>
      <c r="H7867" s="18"/>
      <c r="K7867" s="18" t="s">
        <v>316</v>
      </c>
    </row>
    <row r="7868">
      <c r="A7868" s="17"/>
      <c r="H7868" s="18"/>
      <c r="K7868" s="18" t="s">
        <v>316</v>
      </c>
    </row>
    <row r="7869">
      <c r="A7869" s="17"/>
      <c r="H7869" s="18"/>
      <c r="K7869" s="18" t="s">
        <v>316</v>
      </c>
    </row>
    <row r="7870">
      <c r="A7870" s="17"/>
      <c r="H7870" s="18"/>
      <c r="K7870" s="18" t="s">
        <v>316</v>
      </c>
    </row>
    <row r="7871">
      <c r="A7871" s="17"/>
      <c r="H7871" s="18"/>
      <c r="K7871" s="18" t="s">
        <v>316</v>
      </c>
    </row>
    <row r="7872">
      <c r="A7872" s="17"/>
      <c r="H7872" s="18"/>
      <c r="K7872" s="18" t="s">
        <v>316</v>
      </c>
    </row>
    <row r="7873">
      <c r="A7873" s="17"/>
      <c r="H7873" s="18"/>
      <c r="K7873" s="18" t="s">
        <v>316</v>
      </c>
    </row>
    <row r="7874">
      <c r="A7874" s="17"/>
      <c r="H7874" s="18"/>
      <c r="K7874" s="18" t="s">
        <v>316</v>
      </c>
    </row>
    <row r="7875">
      <c r="A7875" s="17"/>
      <c r="H7875" s="18"/>
      <c r="K7875" s="18" t="s">
        <v>316</v>
      </c>
    </row>
    <row r="7876">
      <c r="A7876" s="17"/>
      <c r="H7876" s="18"/>
      <c r="K7876" s="18" t="s">
        <v>316</v>
      </c>
    </row>
    <row r="7877">
      <c r="A7877" s="17"/>
      <c r="H7877" s="18"/>
      <c r="K7877" s="18" t="s">
        <v>316</v>
      </c>
    </row>
    <row r="7878">
      <c r="A7878" s="17"/>
      <c r="H7878" s="18"/>
      <c r="K7878" s="18" t="s">
        <v>316</v>
      </c>
    </row>
    <row r="7879">
      <c r="A7879" s="17"/>
      <c r="H7879" s="18"/>
      <c r="K7879" s="18" t="s">
        <v>316</v>
      </c>
    </row>
    <row r="7880">
      <c r="A7880" s="17"/>
      <c r="H7880" s="18"/>
      <c r="K7880" s="18" t="s">
        <v>316</v>
      </c>
    </row>
    <row r="7881">
      <c r="A7881" s="17"/>
      <c r="H7881" s="18"/>
      <c r="K7881" s="18" t="s">
        <v>316</v>
      </c>
    </row>
    <row r="7882">
      <c r="A7882" s="17"/>
      <c r="H7882" s="18"/>
      <c r="K7882" s="18" t="s">
        <v>316</v>
      </c>
    </row>
    <row r="7883">
      <c r="A7883" s="17"/>
      <c r="H7883" s="18"/>
      <c r="K7883" s="18" t="s">
        <v>316</v>
      </c>
    </row>
    <row r="7884">
      <c r="A7884" s="17"/>
      <c r="H7884" s="18"/>
      <c r="K7884" s="18" t="s">
        <v>316</v>
      </c>
    </row>
    <row r="7885">
      <c r="A7885" s="17"/>
      <c r="H7885" s="18"/>
      <c r="K7885" s="18" t="s">
        <v>316</v>
      </c>
    </row>
    <row r="7886">
      <c r="A7886" s="17"/>
      <c r="H7886" s="18"/>
      <c r="K7886" s="18" t="s">
        <v>316</v>
      </c>
    </row>
    <row r="7887">
      <c r="A7887" s="17"/>
      <c r="H7887" s="18"/>
      <c r="K7887" s="18" t="s">
        <v>316</v>
      </c>
    </row>
    <row r="7888">
      <c r="A7888" s="17"/>
      <c r="H7888" s="18"/>
      <c r="K7888" s="18" t="s">
        <v>316</v>
      </c>
    </row>
    <row r="7889">
      <c r="A7889" s="17"/>
      <c r="H7889" s="18"/>
      <c r="K7889" s="18" t="s">
        <v>316</v>
      </c>
    </row>
    <row r="7890">
      <c r="A7890" s="17"/>
      <c r="H7890" s="18"/>
      <c r="K7890" s="18" t="s">
        <v>316</v>
      </c>
    </row>
    <row r="7891">
      <c r="A7891" s="17"/>
      <c r="H7891" s="18"/>
      <c r="K7891" s="18" t="s">
        <v>316</v>
      </c>
    </row>
    <row r="7892">
      <c r="A7892" s="17"/>
      <c r="H7892" s="18"/>
      <c r="K7892" s="18" t="s">
        <v>316</v>
      </c>
    </row>
    <row r="7893">
      <c r="A7893" s="17"/>
      <c r="H7893" s="18"/>
      <c r="K7893" s="18" t="s">
        <v>316</v>
      </c>
    </row>
    <row r="7894">
      <c r="A7894" s="17"/>
      <c r="H7894" s="18"/>
      <c r="K7894" s="18" t="s">
        <v>316</v>
      </c>
    </row>
    <row r="7895">
      <c r="A7895" s="17"/>
      <c r="H7895" s="18"/>
      <c r="K7895" s="18" t="s">
        <v>316</v>
      </c>
    </row>
    <row r="7896">
      <c r="A7896" s="17"/>
      <c r="H7896" s="18"/>
      <c r="K7896" s="18" t="s">
        <v>316</v>
      </c>
    </row>
    <row r="7897">
      <c r="A7897" s="17"/>
      <c r="H7897" s="18"/>
      <c r="K7897" s="18" t="s">
        <v>316</v>
      </c>
    </row>
    <row r="7898">
      <c r="A7898" s="17"/>
      <c r="H7898" s="18"/>
      <c r="K7898" s="18" t="s">
        <v>316</v>
      </c>
    </row>
    <row r="7899">
      <c r="A7899" s="17"/>
      <c r="H7899" s="18"/>
      <c r="K7899" s="18" t="s">
        <v>316</v>
      </c>
    </row>
    <row r="7900">
      <c r="A7900" s="17"/>
      <c r="H7900" s="18"/>
      <c r="K7900" s="18" t="s">
        <v>316</v>
      </c>
    </row>
    <row r="7901">
      <c r="A7901" s="17"/>
      <c r="H7901" s="18"/>
      <c r="K7901" s="18" t="s">
        <v>316</v>
      </c>
    </row>
    <row r="7902">
      <c r="A7902" s="17"/>
      <c r="H7902" s="18"/>
      <c r="K7902" s="18" t="s">
        <v>316</v>
      </c>
    </row>
    <row r="7903">
      <c r="A7903" s="17"/>
      <c r="H7903" s="18"/>
      <c r="K7903" s="18" t="s">
        <v>316</v>
      </c>
    </row>
    <row r="7904">
      <c r="A7904" s="17"/>
      <c r="H7904" s="18"/>
      <c r="K7904" s="18" t="s">
        <v>316</v>
      </c>
    </row>
    <row r="7905">
      <c r="A7905" s="17"/>
      <c r="H7905" s="18"/>
      <c r="K7905" s="18" t="s">
        <v>316</v>
      </c>
    </row>
    <row r="7906">
      <c r="A7906" s="17"/>
      <c r="H7906" s="18"/>
      <c r="K7906" s="18" t="s">
        <v>316</v>
      </c>
    </row>
    <row r="7907">
      <c r="A7907" s="17"/>
      <c r="H7907" s="18"/>
      <c r="K7907" s="18" t="s">
        <v>316</v>
      </c>
    </row>
    <row r="7908">
      <c r="A7908" s="17"/>
      <c r="H7908" s="18"/>
      <c r="K7908" s="18" t="s">
        <v>316</v>
      </c>
    </row>
    <row r="7909">
      <c r="A7909" s="17"/>
      <c r="H7909" s="18"/>
      <c r="K7909" s="18" t="s">
        <v>316</v>
      </c>
    </row>
    <row r="7910">
      <c r="A7910" s="17"/>
      <c r="H7910" s="18"/>
      <c r="K7910" s="18" t="s">
        <v>316</v>
      </c>
    </row>
    <row r="7911">
      <c r="A7911" s="17"/>
      <c r="H7911" s="18"/>
      <c r="K7911" s="18" t="s">
        <v>316</v>
      </c>
    </row>
    <row r="7912">
      <c r="A7912" s="17"/>
      <c r="H7912" s="18"/>
      <c r="K7912" s="18" t="s">
        <v>316</v>
      </c>
    </row>
    <row r="7913">
      <c r="A7913" s="17"/>
      <c r="H7913" s="18"/>
      <c r="K7913" s="18" t="s">
        <v>316</v>
      </c>
    </row>
    <row r="7914">
      <c r="A7914" s="17"/>
      <c r="H7914" s="18"/>
      <c r="K7914" s="18" t="s">
        <v>316</v>
      </c>
    </row>
    <row r="7915">
      <c r="A7915" s="17"/>
      <c r="H7915" s="18"/>
      <c r="K7915" s="18" t="s">
        <v>316</v>
      </c>
    </row>
    <row r="7916">
      <c r="A7916" s="17"/>
      <c r="H7916" s="18"/>
      <c r="K7916" s="18" t="s">
        <v>316</v>
      </c>
    </row>
    <row r="7917">
      <c r="A7917" s="17"/>
      <c r="H7917" s="18"/>
      <c r="K7917" s="18" t="s">
        <v>316</v>
      </c>
    </row>
    <row r="7918">
      <c r="A7918" s="17"/>
      <c r="H7918" s="18"/>
      <c r="K7918" s="18" t="s">
        <v>316</v>
      </c>
    </row>
    <row r="7919">
      <c r="A7919" s="17"/>
      <c r="H7919" s="18"/>
      <c r="K7919" s="18" t="s">
        <v>316</v>
      </c>
    </row>
    <row r="7920">
      <c r="A7920" s="17"/>
      <c r="H7920" s="18"/>
      <c r="K7920" s="18" t="s">
        <v>316</v>
      </c>
    </row>
    <row r="7921">
      <c r="A7921" s="17"/>
      <c r="H7921" s="18"/>
      <c r="K7921" s="18" t="s">
        <v>316</v>
      </c>
    </row>
    <row r="7922">
      <c r="A7922" s="17"/>
      <c r="H7922" s="18"/>
      <c r="K7922" s="18" t="s">
        <v>316</v>
      </c>
    </row>
    <row r="7923">
      <c r="A7923" s="17"/>
      <c r="H7923" s="18"/>
      <c r="K7923" s="18" t="s">
        <v>316</v>
      </c>
    </row>
    <row r="7924">
      <c r="A7924" s="17"/>
      <c r="H7924" s="18"/>
      <c r="K7924" s="18" t="s">
        <v>316</v>
      </c>
    </row>
    <row r="7925">
      <c r="A7925" s="17"/>
      <c r="H7925" s="18"/>
      <c r="K7925" s="18" t="s">
        <v>316</v>
      </c>
    </row>
    <row r="7926">
      <c r="A7926" s="17"/>
      <c r="H7926" s="18"/>
      <c r="K7926" s="18" t="s">
        <v>316</v>
      </c>
    </row>
    <row r="7927">
      <c r="A7927" s="17"/>
      <c r="H7927" s="18"/>
      <c r="K7927" s="18" t="s">
        <v>316</v>
      </c>
    </row>
    <row r="7928">
      <c r="A7928" s="17"/>
      <c r="H7928" s="18"/>
      <c r="K7928" s="18" t="s">
        <v>316</v>
      </c>
    </row>
    <row r="7929">
      <c r="A7929" s="17"/>
      <c r="H7929" s="18"/>
      <c r="K7929" s="18" t="s">
        <v>316</v>
      </c>
    </row>
    <row r="7930">
      <c r="A7930" s="17"/>
      <c r="H7930" s="18"/>
      <c r="K7930" s="18" t="s">
        <v>316</v>
      </c>
    </row>
    <row r="7931">
      <c r="A7931" s="17"/>
      <c r="H7931" s="18"/>
      <c r="K7931" s="18" t="s">
        <v>316</v>
      </c>
    </row>
    <row r="7932">
      <c r="A7932" s="17"/>
      <c r="H7932" s="18"/>
      <c r="K7932" s="18" t="s">
        <v>316</v>
      </c>
    </row>
    <row r="7933">
      <c r="A7933" s="17"/>
      <c r="H7933" s="18"/>
      <c r="K7933" s="18" t="s">
        <v>316</v>
      </c>
    </row>
    <row r="7934">
      <c r="A7934" s="17"/>
      <c r="H7934" s="18"/>
      <c r="K7934" s="18" t="s">
        <v>316</v>
      </c>
    </row>
    <row r="7935">
      <c r="A7935" s="17"/>
      <c r="H7935" s="18"/>
      <c r="K7935" s="18" t="s">
        <v>316</v>
      </c>
    </row>
    <row r="7936">
      <c r="A7936" s="17"/>
      <c r="H7936" s="18"/>
      <c r="K7936" s="18" t="s">
        <v>316</v>
      </c>
    </row>
    <row r="7937">
      <c r="A7937" s="17"/>
      <c r="H7937" s="18"/>
      <c r="K7937" s="18" t="s">
        <v>316</v>
      </c>
    </row>
    <row r="7938">
      <c r="A7938" s="17"/>
      <c r="H7938" s="18"/>
      <c r="K7938" s="18" t="s">
        <v>316</v>
      </c>
    </row>
    <row r="7939">
      <c r="A7939" s="17"/>
      <c r="H7939" s="18"/>
      <c r="K7939" s="18" t="s">
        <v>316</v>
      </c>
    </row>
    <row r="7940">
      <c r="A7940" s="17"/>
      <c r="H7940" s="18"/>
      <c r="K7940" s="18" t="s">
        <v>316</v>
      </c>
    </row>
    <row r="7941">
      <c r="A7941" s="17"/>
      <c r="H7941" s="18"/>
      <c r="K7941" s="18" t="s">
        <v>316</v>
      </c>
    </row>
    <row r="7942">
      <c r="A7942" s="17"/>
      <c r="H7942" s="18"/>
      <c r="K7942" s="18" t="s">
        <v>316</v>
      </c>
    </row>
    <row r="7943">
      <c r="A7943" s="17"/>
      <c r="H7943" s="18"/>
      <c r="K7943" s="18" t="s">
        <v>316</v>
      </c>
    </row>
    <row r="7944">
      <c r="A7944" s="17"/>
      <c r="H7944" s="18"/>
      <c r="K7944" s="18" t="s">
        <v>316</v>
      </c>
    </row>
    <row r="7945">
      <c r="A7945" s="17"/>
      <c r="H7945" s="18"/>
      <c r="K7945" s="18" t="s">
        <v>316</v>
      </c>
    </row>
    <row r="7946">
      <c r="A7946" s="17"/>
      <c r="H7946" s="18"/>
      <c r="K7946" s="18" t="s">
        <v>316</v>
      </c>
    </row>
    <row r="7947">
      <c r="A7947" s="17"/>
      <c r="H7947" s="18"/>
      <c r="K7947" s="18" t="s">
        <v>316</v>
      </c>
    </row>
    <row r="7948">
      <c r="A7948" s="17"/>
      <c r="H7948" s="18"/>
      <c r="K7948" s="18" t="s">
        <v>316</v>
      </c>
    </row>
    <row r="7949">
      <c r="A7949" s="17"/>
      <c r="H7949" s="18"/>
      <c r="K7949" s="18" t="s">
        <v>316</v>
      </c>
    </row>
    <row r="7950">
      <c r="A7950" s="17"/>
      <c r="H7950" s="18"/>
      <c r="K7950" s="18" t="s">
        <v>316</v>
      </c>
    </row>
    <row r="7951">
      <c r="A7951" s="17"/>
      <c r="H7951" s="18"/>
      <c r="K7951" s="18" t="s">
        <v>316</v>
      </c>
    </row>
    <row r="7952">
      <c r="A7952" s="17"/>
      <c r="H7952" s="18"/>
      <c r="K7952" s="18" t="s">
        <v>316</v>
      </c>
    </row>
    <row r="7953">
      <c r="A7953" s="17"/>
      <c r="H7953" s="18"/>
      <c r="K7953" s="18" t="s">
        <v>316</v>
      </c>
    </row>
    <row r="7954">
      <c r="A7954" s="17"/>
      <c r="H7954" s="18"/>
      <c r="K7954" s="18" t="s">
        <v>316</v>
      </c>
    </row>
    <row r="7955">
      <c r="A7955" s="17"/>
      <c r="H7955" s="18"/>
      <c r="K7955" s="18" t="s">
        <v>316</v>
      </c>
    </row>
    <row r="7956">
      <c r="A7956" s="17"/>
      <c r="H7956" s="18"/>
      <c r="K7956" s="18" t="s">
        <v>316</v>
      </c>
    </row>
    <row r="7957">
      <c r="A7957" s="17"/>
      <c r="H7957" s="18"/>
      <c r="K7957" s="18" t="s">
        <v>316</v>
      </c>
    </row>
    <row r="7958">
      <c r="A7958" s="17"/>
      <c r="H7958" s="18"/>
      <c r="K7958" s="18" t="s">
        <v>316</v>
      </c>
    </row>
    <row r="7959">
      <c r="A7959" s="17"/>
      <c r="H7959" s="18"/>
      <c r="K7959" s="18" t="s">
        <v>316</v>
      </c>
    </row>
    <row r="7960">
      <c r="A7960" s="17"/>
      <c r="H7960" s="18"/>
      <c r="K7960" s="18" t="s">
        <v>316</v>
      </c>
    </row>
    <row r="7961">
      <c r="A7961" s="17"/>
      <c r="H7961" s="18"/>
      <c r="K7961" s="18" t="s">
        <v>316</v>
      </c>
    </row>
    <row r="7962">
      <c r="A7962" s="17"/>
      <c r="H7962" s="18"/>
      <c r="K7962" s="18" t="s">
        <v>316</v>
      </c>
    </row>
    <row r="7963">
      <c r="A7963" s="17"/>
      <c r="H7963" s="18"/>
      <c r="K7963" s="18" t="s">
        <v>316</v>
      </c>
    </row>
    <row r="7964">
      <c r="A7964" s="17"/>
      <c r="H7964" s="18"/>
      <c r="K7964" s="18" t="s">
        <v>316</v>
      </c>
    </row>
    <row r="7965">
      <c r="A7965" s="17"/>
      <c r="H7965" s="18"/>
      <c r="K7965" s="18" t="s">
        <v>316</v>
      </c>
    </row>
    <row r="7966">
      <c r="A7966" s="17"/>
      <c r="H7966" s="18"/>
      <c r="K7966" s="18" t="s">
        <v>316</v>
      </c>
    </row>
    <row r="7967">
      <c r="A7967" s="17"/>
      <c r="H7967" s="18"/>
      <c r="K7967" s="18" t="s">
        <v>316</v>
      </c>
    </row>
    <row r="7968">
      <c r="A7968" s="17"/>
      <c r="H7968" s="18"/>
      <c r="K7968" s="18" t="s">
        <v>316</v>
      </c>
    </row>
    <row r="7969">
      <c r="A7969" s="17"/>
      <c r="H7969" s="18"/>
      <c r="K7969" s="18" t="s">
        <v>316</v>
      </c>
    </row>
    <row r="7970">
      <c r="A7970" s="17"/>
      <c r="H7970" s="18"/>
      <c r="K7970" s="18" t="s">
        <v>316</v>
      </c>
    </row>
    <row r="7971">
      <c r="A7971" s="17"/>
      <c r="H7971" s="18"/>
      <c r="K7971" s="18" t="s">
        <v>316</v>
      </c>
    </row>
    <row r="7972">
      <c r="A7972" s="17"/>
      <c r="H7972" s="18"/>
      <c r="K7972" s="18" t="s">
        <v>316</v>
      </c>
    </row>
    <row r="7973">
      <c r="A7973" s="17"/>
      <c r="H7973" s="18"/>
      <c r="K7973" s="18" t="s">
        <v>316</v>
      </c>
    </row>
    <row r="7974">
      <c r="A7974" s="17"/>
      <c r="H7974" s="18"/>
      <c r="K7974" s="18" t="s">
        <v>316</v>
      </c>
    </row>
    <row r="7975">
      <c r="A7975" s="17"/>
      <c r="H7975" s="18"/>
      <c r="K7975" s="18" t="s">
        <v>316</v>
      </c>
    </row>
    <row r="7976">
      <c r="A7976" s="17"/>
      <c r="H7976" s="18"/>
      <c r="K7976" s="18" t="s">
        <v>316</v>
      </c>
    </row>
    <row r="7977">
      <c r="A7977" s="17"/>
      <c r="H7977" s="18"/>
      <c r="K7977" s="18" t="s">
        <v>316</v>
      </c>
    </row>
    <row r="7978">
      <c r="A7978" s="17"/>
      <c r="H7978" s="18"/>
      <c r="K7978" s="18" t="s">
        <v>316</v>
      </c>
    </row>
    <row r="7979">
      <c r="A7979" s="17"/>
      <c r="H7979" s="18"/>
      <c r="K7979" s="18" t="s">
        <v>316</v>
      </c>
    </row>
    <row r="7980">
      <c r="A7980" s="17"/>
      <c r="H7980" s="18"/>
      <c r="K7980" s="18" t="s">
        <v>316</v>
      </c>
    </row>
    <row r="7981">
      <c r="A7981" s="17"/>
      <c r="H7981" s="18"/>
      <c r="K7981" s="18" t="s">
        <v>316</v>
      </c>
    </row>
    <row r="7982">
      <c r="A7982" s="17"/>
      <c r="H7982" s="18"/>
      <c r="K7982" s="18" t="s">
        <v>316</v>
      </c>
    </row>
    <row r="7983">
      <c r="A7983" s="17"/>
      <c r="H7983" s="18"/>
      <c r="K7983" s="18" t="s">
        <v>316</v>
      </c>
    </row>
    <row r="7984">
      <c r="A7984" s="17"/>
      <c r="H7984" s="18"/>
      <c r="K7984" s="18" t="s">
        <v>316</v>
      </c>
    </row>
    <row r="7985">
      <c r="A7985" s="17"/>
      <c r="H7985" s="18"/>
      <c r="K7985" s="18" t="s">
        <v>316</v>
      </c>
    </row>
    <row r="7986">
      <c r="A7986" s="17"/>
      <c r="H7986" s="18"/>
      <c r="K7986" s="18" t="s">
        <v>316</v>
      </c>
    </row>
    <row r="7987">
      <c r="A7987" s="17"/>
      <c r="H7987" s="18"/>
      <c r="K7987" s="18" t="s">
        <v>316</v>
      </c>
    </row>
    <row r="7988">
      <c r="A7988" s="17"/>
      <c r="H7988" s="18"/>
      <c r="K7988" s="18" t="s">
        <v>316</v>
      </c>
    </row>
    <row r="7989">
      <c r="A7989" s="17"/>
      <c r="H7989" s="18"/>
      <c r="K7989" s="18" t="s">
        <v>316</v>
      </c>
    </row>
    <row r="7990">
      <c r="A7990" s="17"/>
      <c r="H7990" s="18"/>
      <c r="K7990" s="18" t="s">
        <v>316</v>
      </c>
    </row>
    <row r="7991">
      <c r="A7991" s="17"/>
      <c r="H7991" s="18"/>
      <c r="K7991" s="18" t="s">
        <v>316</v>
      </c>
    </row>
    <row r="7992">
      <c r="A7992" s="17"/>
      <c r="H7992" s="18"/>
      <c r="K7992" s="18" t="s">
        <v>316</v>
      </c>
    </row>
    <row r="7993">
      <c r="A7993" s="17"/>
      <c r="H7993" s="18"/>
      <c r="K7993" s="18" t="s">
        <v>316</v>
      </c>
    </row>
    <row r="7994">
      <c r="A7994" s="17"/>
      <c r="H7994" s="18"/>
      <c r="K7994" s="18" t="s">
        <v>316</v>
      </c>
    </row>
    <row r="7995">
      <c r="A7995" s="17"/>
      <c r="H7995" s="18"/>
      <c r="K7995" s="18" t="s">
        <v>316</v>
      </c>
    </row>
    <row r="7996">
      <c r="A7996" s="17"/>
      <c r="H7996" s="18"/>
      <c r="K7996" s="18" t="s">
        <v>316</v>
      </c>
    </row>
    <row r="7997">
      <c r="A7997" s="17"/>
      <c r="H7997" s="18"/>
      <c r="K7997" s="18" t="s">
        <v>316</v>
      </c>
    </row>
    <row r="7998">
      <c r="A7998" s="17"/>
      <c r="H7998" s="18"/>
      <c r="K7998" s="18" t="s">
        <v>316</v>
      </c>
    </row>
    <row r="7999">
      <c r="A7999" s="17"/>
      <c r="H7999" s="18"/>
      <c r="K7999" s="18" t="s">
        <v>316</v>
      </c>
    </row>
    <row r="8000">
      <c r="A8000" s="17"/>
      <c r="H8000" s="18"/>
      <c r="K8000" s="18" t="s">
        <v>316</v>
      </c>
    </row>
    <row r="8001">
      <c r="A8001" s="17"/>
      <c r="H8001" s="18"/>
      <c r="K8001" s="18" t="s">
        <v>316</v>
      </c>
    </row>
    <row r="8002">
      <c r="A8002" s="17"/>
      <c r="H8002" s="18"/>
      <c r="K8002" s="18" t="s">
        <v>316</v>
      </c>
    </row>
    <row r="8003">
      <c r="A8003" s="17"/>
      <c r="H8003" s="18"/>
      <c r="K8003" s="18" t="s">
        <v>316</v>
      </c>
    </row>
    <row r="8004">
      <c r="A8004" s="17"/>
      <c r="H8004" s="18"/>
      <c r="K8004" s="18" t="s">
        <v>316</v>
      </c>
    </row>
    <row r="8005">
      <c r="A8005" s="17"/>
      <c r="H8005" s="18"/>
      <c r="K8005" s="18" t="s">
        <v>316</v>
      </c>
    </row>
    <row r="8006">
      <c r="A8006" s="17"/>
      <c r="H8006" s="18"/>
      <c r="K8006" s="18" t="s">
        <v>316</v>
      </c>
    </row>
    <row r="8007">
      <c r="A8007" s="17"/>
      <c r="H8007" s="18"/>
      <c r="K8007" s="18" t="s">
        <v>316</v>
      </c>
    </row>
    <row r="8008">
      <c r="A8008" s="17"/>
      <c r="H8008" s="18"/>
      <c r="K8008" s="18" t="s">
        <v>316</v>
      </c>
    </row>
    <row r="8009">
      <c r="A8009" s="17"/>
      <c r="H8009" s="18"/>
      <c r="K8009" s="18" t="s">
        <v>316</v>
      </c>
    </row>
    <row r="8010">
      <c r="A8010" s="17"/>
      <c r="H8010" s="18"/>
      <c r="K8010" s="18" t="s">
        <v>316</v>
      </c>
    </row>
    <row r="8011">
      <c r="A8011" s="17"/>
      <c r="H8011" s="18"/>
      <c r="K8011" s="18" t="s">
        <v>316</v>
      </c>
    </row>
    <row r="8012">
      <c r="A8012" s="17"/>
      <c r="H8012" s="18"/>
      <c r="K8012" s="18" t="s">
        <v>316</v>
      </c>
    </row>
    <row r="8013">
      <c r="A8013" s="17"/>
      <c r="H8013" s="18"/>
      <c r="K8013" s="18" t="s">
        <v>316</v>
      </c>
    </row>
    <row r="8014">
      <c r="A8014" s="17"/>
      <c r="H8014" s="18"/>
      <c r="K8014" s="18" t="s">
        <v>316</v>
      </c>
    </row>
    <row r="8015">
      <c r="A8015" s="17"/>
      <c r="H8015" s="18"/>
      <c r="K8015" s="18" t="s">
        <v>316</v>
      </c>
    </row>
    <row r="8016">
      <c r="A8016" s="17"/>
      <c r="H8016" s="18"/>
      <c r="K8016" s="18" t="s">
        <v>316</v>
      </c>
    </row>
    <row r="8017">
      <c r="A8017" s="17"/>
      <c r="H8017" s="18"/>
      <c r="K8017" s="18" t="s">
        <v>316</v>
      </c>
    </row>
    <row r="8018">
      <c r="A8018" s="17"/>
      <c r="H8018" s="18"/>
      <c r="K8018" s="18" t="s">
        <v>316</v>
      </c>
    </row>
    <row r="8019">
      <c r="A8019" s="17"/>
      <c r="H8019" s="18"/>
      <c r="K8019" s="18" t="s">
        <v>316</v>
      </c>
    </row>
    <row r="8020">
      <c r="A8020" s="17"/>
      <c r="H8020" s="18"/>
      <c r="K8020" s="18" t="s">
        <v>316</v>
      </c>
    </row>
    <row r="8021">
      <c r="A8021" s="17"/>
      <c r="H8021" s="18"/>
      <c r="K8021" s="18" t="s">
        <v>316</v>
      </c>
    </row>
    <row r="8022">
      <c r="A8022" s="17"/>
      <c r="H8022" s="18"/>
      <c r="K8022" s="18" t="s">
        <v>316</v>
      </c>
    </row>
    <row r="8023">
      <c r="A8023" s="17"/>
      <c r="H8023" s="18"/>
      <c r="K8023" s="18" t="s">
        <v>316</v>
      </c>
    </row>
    <row r="8024">
      <c r="A8024" s="17"/>
      <c r="H8024" s="18"/>
      <c r="K8024" s="18" t="s">
        <v>316</v>
      </c>
    </row>
    <row r="8025">
      <c r="A8025" s="17"/>
      <c r="H8025" s="18"/>
      <c r="K8025" s="18" t="s">
        <v>316</v>
      </c>
    </row>
    <row r="8026">
      <c r="A8026" s="17"/>
      <c r="H8026" s="18"/>
      <c r="K8026" s="18" t="s">
        <v>316</v>
      </c>
    </row>
    <row r="8027">
      <c r="A8027" s="17"/>
      <c r="H8027" s="18"/>
      <c r="K8027" s="18" t="s">
        <v>316</v>
      </c>
    </row>
    <row r="8028">
      <c r="A8028" s="17"/>
      <c r="H8028" s="18"/>
      <c r="K8028" s="18" t="s">
        <v>316</v>
      </c>
    </row>
    <row r="8029">
      <c r="A8029" s="17"/>
      <c r="H8029" s="18"/>
      <c r="K8029" s="18" t="s">
        <v>316</v>
      </c>
    </row>
    <row r="8030">
      <c r="A8030" s="17"/>
      <c r="H8030" s="18"/>
      <c r="K8030" s="18" t="s">
        <v>316</v>
      </c>
    </row>
    <row r="8031">
      <c r="A8031" s="17"/>
      <c r="H8031" s="18"/>
      <c r="K8031" s="18" t="s">
        <v>316</v>
      </c>
    </row>
    <row r="8032">
      <c r="A8032" s="17"/>
      <c r="H8032" s="18"/>
      <c r="K8032" s="18" t="s">
        <v>316</v>
      </c>
    </row>
    <row r="8033">
      <c r="A8033" s="17"/>
      <c r="H8033" s="18"/>
      <c r="K8033" s="18" t="s">
        <v>316</v>
      </c>
    </row>
    <row r="8034">
      <c r="A8034" s="17"/>
      <c r="H8034" s="18"/>
      <c r="K8034" s="18" t="s">
        <v>316</v>
      </c>
    </row>
    <row r="8035">
      <c r="A8035" s="17"/>
      <c r="H8035" s="18"/>
      <c r="K8035" s="18" t="s">
        <v>316</v>
      </c>
    </row>
    <row r="8036">
      <c r="A8036" s="17"/>
      <c r="H8036" s="18"/>
      <c r="K8036" s="18" t="s">
        <v>316</v>
      </c>
    </row>
    <row r="8037">
      <c r="A8037" s="17"/>
      <c r="H8037" s="18"/>
      <c r="K8037" s="18" t="s">
        <v>316</v>
      </c>
    </row>
    <row r="8038">
      <c r="A8038" s="17"/>
      <c r="H8038" s="18"/>
      <c r="K8038" s="18" t="s">
        <v>316</v>
      </c>
    </row>
    <row r="8039">
      <c r="A8039" s="17"/>
      <c r="H8039" s="18"/>
      <c r="K8039" s="18" t="s">
        <v>316</v>
      </c>
    </row>
    <row r="8040">
      <c r="A8040" s="17"/>
      <c r="H8040" s="18"/>
      <c r="K8040" s="18" t="s">
        <v>316</v>
      </c>
    </row>
    <row r="8041">
      <c r="A8041" s="17"/>
      <c r="H8041" s="18"/>
      <c r="K8041" s="18" t="s">
        <v>316</v>
      </c>
    </row>
    <row r="8042">
      <c r="A8042" s="17"/>
      <c r="H8042" s="18"/>
      <c r="K8042" s="18" t="s">
        <v>316</v>
      </c>
    </row>
    <row r="8043">
      <c r="A8043" s="17"/>
      <c r="H8043" s="18"/>
      <c r="K8043" s="18" t="s">
        <v>316</v>
      </c>
    </row>
    <row r="8044">
      <c r="A8044" s="17"/>
      <c r="H8044" s="18"/>
      <c r="K8044" s="18" t="s">
        <v>316</v>
      </c>
    </row>
    <row r="8045">
      <c r="A8045" s="17"/>
      <c r="H8045" s="18"/>
      <c r="K8045" s="18" t="s">
        <v>316</v>
      </c>
    </row>
    <row r="8046">
      <c r="A8046" s="17"/>
      <c r="H8046" s="18"/>
      <c r="K8046" s="18" t="s">
        <v>316</v>
      </c>
    </row>
    <row r="8047">
      <c r="A8047" s="17"/>
      <c r="H8047" s="18"/>
      <c r="K8047" s="18" t="s">
        <v>316</v>
      </c>
    </row>
    <row r="8048">
      <c r="A8048" s="17"/>
      <c r="H8048" s="18"/>
      <c r="K8048" s="18" t="s">
        <v>316</v>
      </c>
    </row>
    <row r="8049">
      <c r="A8049" s="17"/>
      <c r="H8049" s="18"/>
      <c r="K8049" s="18" t="s">
        <v>316</v>
      </c>
    </row>
    <row r="8050">
      <c r="A8050" s="17"/>
      <c r="H8050" s="18"/>
      <c r="K8050" s="18" t="s">
        <v>316</v>
      </c>
    </row>
    <row r="8051">
      <c r="A8051" s="17"/>
      <c r="H8051" s="18"/>
      <c r="K8051" s="18" t="s">
        <v>316</v>
      </c>
    </row>
    <row r="8052">
      <c r="A8052" s="17"/>
      <c r="H8052" s="18"/>
      <c r="K8052" s="18" t="s">
        <v>316</v>
      </c>
    </row>
    <row r="8053">
      <c r="A8053" s="17"/>
      <c r="H8053" s="18"/>
      <c r="K8053" s="18" t="s">
        <v>316</v>
      </c>
    </row>
    <row r="8054">
      <c r="A8054" s="17"/>
      <c r="H8054" s="18"/>
      <c r="K8054" s="18" t="s">
        <v>316</v>
      </c>
    </row>
    <row r="8055">
      <c r="A8055" s="17"/>
      <c r="H8055" s="18"/>
      <c r="K8055" s="18" t="s">
        <v>316</v>
      </c>
    </row>
    <row r="8056">
      <c r="A8056" s="17"/>
      <c r="H8056" s="18"/>
      <c r="K8056" s="18" t="s">
        <v>316</v>
      </c>
    </row>
    <row r="8057">
      <c r="A8057" s="17"/>
      <c r="H8057" s="18"/>
      <c r="K8057" s="18" t="s">
        <v>316</v>
      </c>
    </row>
    <row r="8058">
      <c r="A8058" s="17"/>
      <c r="H8058" s="18"/>
      <c r="K8058" s="18" t="s">
        <v>316</v>
      </c>
    </row>
    <row r="8059">
      <c r="A8059" s="17"/>
      <c r="H8059" s="18"/>
      <c r="K8059" s="18" t="s">
        <v>316</v>
      </c>
    </row>
    <row r="8060">
      <c r="A8060" s="17"/>
      <c r="H8060" s="18"/>
      <c r="K8060" s="18" t="s">
        <v>316</v>
      </c>
    </row>
    <row r="8061">
      <c r="A8061" s="17"/>
      <c r="H8061" s="18"/>
      <c r="K8061" s="18" t="s">
        <v>316</v>
      </c>
    </row>
    <row r="8062">
      <c r="A8062" s="17"/>
      <c r="H8062" s="18"/>
      <c r="K8062" s="18" t="s">
        <v>316</v>
      </c>
    </row>
    <row r="8063">
      <c r="A8063" s="17"/>
      <c r="H8063" s="18"/>
      <c r="K8063" s="18" t="s">
        <v>316</v>
      </c>
    </row>
    <row r="8064">
      <c r="A8064" s="17"/>
      <c r="H8064" s="18"/>
      <c r="K8064" s="18" t="s">
        <v>316</v>
      </c>
    </row>
    <row r="8065">
      <c r="A8065" s="17"/>
      <c r="H8065" s="18"/>
      <c r="K8065" s="18" t="s">
        <v>316</v>
      </c>
    </row>
    <row r="8066">
      <c r="A8066" s="17"/>
      <c r="H8066" s="18"/>
      <c r="K8066" s="18" t="s">
        <v>316</v>
      </c>
    </row>
    <row r="8067">
      <c r="A8067" s="17"/>
      <c r="H8067" s="18"/>
      <c r="K8067" s="18" t="s">
        <v>316</v>
      </c>
    </row>
    <row r="8068">
      <c r="A8068" s="17"/>
      <c r="H8068" s="18"/>
      <c r="K8068" s="18" t="s">
        <v>316</v>
      </c>
    </row>
    <row r="8069">
      <c r="A8069" s="17"/>
      <c r="H8069" s="18"/>
      <c r="K8069" s="18" t="s">
        <v>316</v>
      </c>
    </row>
    <row r="8070">
      <c r="A8070" s="17"/>
      <c r="H8070" s="18"/>
      <c r="K8070" s="18" t="s">
        <v>316</v>
      </c>
    </row>
    <row r="8071">
      <c r="A8071" s="17"/>
      <c r="H8071" s="18"/>
      <c r="K8071" s="18" t="s">
        <v>316</v>
      </c>
    </row>
    <row r="8072">
      <c r="A8072" s="17"/>
      <c r="H8072" s="18"/>
      <c r="K8072" s="18" t="s">
        <v>316</v>
      </c>
    </row>
    <row r="8073">
      <c r="A8073" s="17"/>
      <c r="H8073" s="18"/>
      <c r="K8073" s="18" t="s">
        <v>316</v>
      </c>
    </row>
    <row r="8074">
      <c r="A8074" s="17"/>
      <c r="H8074" s="18"/>
      <c r="K8074" s="18" t="s">
        <v>316</v>
      </c>
    </row>
    <row r="8075">
      <c r="A8075" s="17"/>
      <c r="H8075" s="18"/>
      <c r="K8075" s="18" t="s">
        <v>316</v>
      </c>
    </row>
    <row r="8076">
      <c r="A8076" s="17"/>
      <c r="H8076" s="18"/>
      <c r="K8076" s="18" t="s">
        <v>316</v>
      </c>
    </row>
    <row r="8077">
      <c r="A8077" s="17"/>
      <c r="H8077" s="18"/>
      <c r="K8077" s="18" t="s">
        <v>316</v>
      </c>
    </row>
    <row r="8078">
      <c r="A8078" s="17"/>
      <c r="H8078" s="18"/>
      <c r="K8078" s="18" t="s">
        <v>316</v>
      </c>
    </row>
    <row r="8079">
      <c r="A8079" s="17"/>
      <c r="H8079" s="18"/>
      <c r="K8079" s="18" t="s">
        <v>316</v>
      </c>
    </row>
    <row r="8080">
      <c r="A8080" s="17"/>
      <c r="H8080" s="18"/>
      <c r="K8080" s="18" t="s">
        <v>316</v>
      </c>
    </row>
    <row r="8081">
      <c r="A8081" s="17"/>
      <c r="H8081" s="18"/>
      <c r="K8081" s="18" t="s">
        <v>316</v>
      </c>
    </row>
    <row r="8082">
      <c r="A8082" s="17"/>
      <c r="H8082" s="18"/>
      <c r="K8082" s="18" t="s">
        <v>316</v>
      </c>
    </row>
    <row r="8083">
      <c r="A8083" s="17"/>
      <c r="H8083" s="18"/>
      <c r="K8083" s="18" t="s">
        <v>316</v>
      </c>
    </row>
    <row r="8084">
      <c r="A8084" s="17"/>
      <c r="H8084" s="18"/>
      <c r="K8084" s="18" t="s">
        <v>316</v>
      </c>
    </row>
    <row r="8085">
      <c r="A8085" s="17"/>
      <c r="H8085" s="18"/>
      <c r="K8085" s="18" t="s">
        <v>316</v>
      </c>
    </row>
    <row r="8086">
      <c r="A8086" s="17"/>
      <c r="H8086" s="18"/>
      <c r="K8086" s="18" t="s">
        <v>316</v>
      </c>
    </row>
    <row r="8087">
      <c r="A8087" s="17"/>
      <c r="H8087" s="18"/>
      <c r="K8087" s="18" t="s">
        <v>316</v>
      </c>
    </row>
    <row r="8088">
      <c r="A8088" s="17"/>
      <c r="H8088" s="18"/>
      <c r="K8088" s="18" t="s">
        <v>316</v>
      </c>
    </row>
    <row r="8089">
      <c r="A8089" s="17"/>
      <c r="H8089" s="18"/>
      <c r="K8089" s="18" t="s">
        <v>316</v>
      </c>
    </row>
    <row r="8090">
      <c r="A8090" s="17"/>
      <c r="H8090" s="18"/>
      <c r="K8090" s="18" t="s">
        <v>316</v>
      </c>
    </row>
    <row r="8091">
      <c r="A8091" s="17"/>
      <c r="H8091" s="18"/>
      <c r="K8091" s="18" t="s">
        <v>316</v>
      </c>
    </row>
    <row r="8092">
      <c r="A8092" s="17"/>
      <c r="H8092" s="18"/>
      <c r="K8092" s="18" t="s">
        <v>316</v>
      </c>
    </row>
    <row r="8093">
      <c r="A8093" s="17"/>
      <c r="H8093" s="18"/>
      <c r="K8093" s="18" t="s">
        <v>316</v>
      </c>
    </row>
    <row r="8094">
      <c r="A8094" s="17"/>
      <c r="H8094" s="18"/>
      <c r="K8094" s="18" t="s">
        <v>316</v>
      </c>
    </row>
    <row r="8095">
      <c r="A8095" s="17"/>
      <c r="H8095" s="18"/>
      <c r="K8095" s="18" t="s">
        <v>316</v>
      </c>
    </row>
    <row r="8096">
      <c r="A8096" s="17"/>
      <c r="H8096" s="18"/>
      <c r="K8096" s="18" t="s">
        <v>316</v>
      </c>
    </row>
    <row r="8097">
      <c r="A8097" s="17"/>
      <c r="H8097" s="18"/>
      <c r="K8097" s="18" t="s">
        <v>316</v>
      </c>
    </row>
    <row r="8098">
      <c r="A8098" s="17"/>
      <c r="H8098" s="18"/>
      <c r="K8098" s="18" t="s">
        <v>316</v>
      </c>
    </row>
    <row r="8099">
      <c r="A8099" s="17"/>
      <c r="H8099" s="18"/>
      <c r="K8099" s="18" t="s">
        <v>316</v>
      </c>
    </row>
    <row r="8100">
      <c r="A8100" s="17"/>
      <c r="H8100" s="18"/>
      <c r="K8100" s="18" t="s">
        <v>316</v>
      </c>
    </row>
    <row r="8101">
      <c r="A8101" s="17"/>
      <c r="H8101" s="18"/>
      <c r="K8101" s="18" t="s">
        <v>316</v>
      </c>
    </row>
    <row r="8102">
      <c r="A8102" s="17"/>
      <c r="H8102" s="18"/>
      <c r="K8102" s="18" t="s">
        <v>316</v>
      </c>
    </row>
    <row r="8103">
      <c r="A8103" s="17"/>
      <c r="H8103" s="18"/>
      <c r="K8103" s="18" t="s">
        <v>316</v>
      </c>
    </row>
    <row r="8104">
      <c r="A8104" s="17"/>
      <c r="H8104" s="18"/>
      <c r="K8104" s="18" t="s">
        <v>316</v>
      </c>
    </row>
    <row r="8105">
      <c r="A8105" s="17"/>
      <c r="H8105" s="18"/>
      <c r="K8105" s="18" t="s">
        <v>316</v>
      </c>
    </row>
    <row r="8106">
      <c r="A8106" s="17"/>
      <c r="H8106" s="18"/>
      <c r="K8106" s="18" t="s">
        <v>316</v>
      </c>
    </row>
    <row r="8107">
      <c r="A8107" s="17"/>
      <c r="H8107" s="18"/>
      <c r="K8107" s="18" t="s">
        <v>316</v>
      </c>
    </row>
    <row r="8108">
      <c r="A8108" s="17"/>
      <c r="H8108" s="18"/>
      <c r="K8108" s="18" t="s">
        <v>316</v>
      </c>
    </row>
    <row r="8109">
      <c r="A8109" s="17"/>
      <c r="H8109" s="18"/>
      <c r="K8109" s="18" t="s">
        <v>316</v>
      </c>
    </row>
    <row r="8110">
      <c r="A8110" s="17"/>
      <c r="H8110" s="18"/>
      <c r="K8110" s="18" t="s">
        <v>316</v>
      </c>
    </row>
    <row r="8111">
      <c r="A8111" s="17"/>
      <c r="H8111" s="18"/>
      <c r="K8111" s="18" t="s">
        <v>316</v>
      </c>
    </row>
    <row r="8112">
      <c r="A8112" s="17"/>
      <c r="H8112" s="18"/>
      <c r="K8112" s="18" t="s">
        <v>316</v>
      </c>
    </row>
    <row r="8113">
      <c r="A8113" s="17"/>
      <c r="H8113" s="18"/>
      <c r="K8113" s="18" t="s">
        <v>316</v>
      </c>
    </row>
    <row r="8114">
      <c r="A8114" s="17"/>
      <c r="H8114" s="18"/>
      <c r="K8114" s="18" t="s">
        <v>316</v>
      </c>
    </row>
    <row r="8115">
      <c r="A8115" s="17"/>
      <c r="H8115" s="18"/>
      <c r="K8115" s="18" t="s">
        <v>316</v>
      </c>
    </row>
    <row r="8116">
      <c r="A8116" s="17"/>
      <c r="H8116" s="18"/>
      <c r="K8116" s="18" t="s">
        <v>316</v>
      </c>
    </row>
    <row r="8117">
      <c r="A8117" s="17"/>
      <c r="H8117" s="18"/>
      <c r="K8117" s="18" t="s">
        <v>316</v>
      </c>
    </row>
    <row r="8118">
      <c r="A8118" s="17"/>
      <c r="H8118" s="18"/>
      <c r="K8118" s="18" t="s">
        <v>316</v>
      </c>
    </row>
    <row r="8119">
      <c r="A8119" s="17"/>
      <c r="H8119" s="18"/>
      <c r="K8119" s="18" t="s">
        <v>316</v>
      </c>
    </row>
    <row r="8120">
      <c r="A8120" s="17"/>
      <c r="H8120" s="18"/>
      <c r="K8120" s="18" t="s">
        <v>316</v>
      </c>
    </row>
    <row r="8121">
      <c r="A8121" s="17"/>
      <c r="H8121" s="18"/>
      <c r="K8121" s="18" t="s">
        <v>316</v>
      </c>
    </row>
    <row r="8122">
      <c r="A8122" s="17"/>
      <c r="H8122" s="18"/>
      <c r="K8122" s="18" t="s">
        <v>316</v>
      </c>
    </row>
    <row r="8123">
      <c r="A8123" s="17"/>
      <c r="H8123" s="18"/>
      <c r="K8123" s="18" t="s">
        <v>316</v>
      </c>
    </row>
    <row r="8124">
      <c r="A8124" s="17"/>
      <c r="H8124" s="18"/>
      <c r="K8124" s="18" t="s">
        <v>316</v>
      </c>
    </row>
    <row r="8125">
      <c r="A8125" s="17"/>
      <c r="H8125" s="18"/>
      <c r="K8125" s="18" t="s">
        <v>316</v>
      </c>
    </row>
    <row r="8126">
      <c r="A8126" s="17"/>
      <c r="H8126" s="18"/>
      <c r="K8126" s="18" t="s">
        <v>316</v>
      </c>
    </row>
    <row r="8127">
      <c r="A8127" s="17"/>
      <c r="H8127" s="18"/>
      <c r="K8127" s="18" t="s">
        <v>316</v>
      </c>
    </row>
    <row r="8128">
      <c r="A8128" s="17"/>
      <c r="H8128" s="18"/>
      <c r="K8128" s="18" t="s">
        <v>316</v>
      </c>
    </row>
    <row r="8129">
      <c r="A8129" s="17"/>
      <c r="H8129" s="18"/>
      <c r="K8129" s="18" t="s">
        <v>316</v>
      </c>
    </row>
    <row r="8130">
      <c r="A8130" s="17"/>
      <c r="H8130" s="18"/>
      <c r="K8130" s="18" t="s">
        <v>316</v>
      </c>
    </row>
    <row r="8131">
      <c r="A8131" s="17"/>
      <c r="H8131" s="18"/>
      <c r="K8131" s="18" t="s">
        <v>316</v>
      </c>
    </row>
    <row r="8132">
      <c r="A8132" s="17"/>
      <c r="H8132" s="18"/>
      <c r="K8132" s="18" t="s">
        <v>316</v>
      </c>
    </row>
    <row r="8133">
      <c r="A8133" s="17"/>
      <c r="H8133" s="18"/>
      <c r="K8133" s="18" t="s">
        <v>316</v>
      </c>
    </row>
    <row r="8134">
      <c r="A8134" s="17"/>
      <c r="H8134" s="18"/>
      <c r="K8134" s="18" t="s">
        <v>316</v>
      </c>
    </row>
    <row r="8135">
      <c r="A8135" s="17"/>
      <c r="H8135" s="18"/>
      <c r="K8135" s="18" t="s">
        <v>316</v>
      </c>
    </row>
    <row r="8136">
      <c r="A8136" s="17"/>
      <c r="H8136" s="18"/>
      <c r="K8136" s="18" t="s">
        <v>316</v>
      </c>
    </row>
    <row r="8137">
      <c r="A8137" s="17"/>
      <c r="H8137" s="18"/>
      <c r="K8137" s="18" t="s">
        <v>316</v>
      </c>
    </row>
    <row r="8138">
      <c r="A8138" s="17"/>
      <c r="H8138" s="18"/>
      <c r="K8138" s="18" t="s">
        <v>316</v>
      </c>
    </row>
    <row r="8139">
      <c r="A8139" s="17"/>
      <c r="H8139" s="18"/>
      <c r="K8139" s="18" t="s">
        <v>316</v>
      </c>
    </row>
    <row r="8140">
      <c r="A8140" s="17"/>
      <c r="H8140" s="18"/>
      <c r="K8140" s="18" t="s">
        <v>316</v>
      </c>
    </row>
    <row r="8141">
      <c r="A8141" s="17"/>
      <c r="H8141" s="18"/>
      <c r="K8141" s="18" t="s">
        <v>316</v>
      </c>
    </row>
    <row r="8142">
      <c r="A8142" s="17"/>
      <c r="H8142" s="18"/>
      <c r="K8142" s="18" t="s">
        <v>316</v>
      </c>
    </row>
    <row r="8143">
      <c r="A8143" s="17"/>
      <c r="H8143" s="18"/>
      <c r="K8143" s="18" t="s">
        <v>316</v>
      </c>
    </row>
    <row r="8144">
      <c r="A8144" s="17"/>
      <c r="H8144" s="18"/>
      <c r="K8144" s="18" t="s">
        <v>316</v>
      </c>
    </row>
    <row r="8145">
      <c r="A8145" s="17"/>
      <c r="H8145" s="18"/>
      <c r="K8145" s="18" t="s">
        <v>316</v>
      </c>
    </row>
    <row r="8146">
      <c r="A8146" s="17"/>
      <c r="H8146" s="18"/>
      <c r="K8146" s="18" t="s">
        <v>316</v>
      </c>
    </row>
    <row r="8147">
      <c r="A8147" s="17"/>
      <c r="H8147" s="18"/>
      <c r="K8147" s="18" t="s">
        <v>316</v>
      </c>
    </row>
    <row r="8148">
      <c r="A8148" s="17"/>
      <c r="H8148" s="18"/>
      <c r="K8148" s="18" t="s">
        <v>316</v>
      </c>
    </row>
    <row r="8149">
      <c r="A8149" s="17"/>
      <c r="H8149" s="18"/>
      <c r="K8149" s="18" t="s">
        <v>316</v>
      </c>
    </row>
    <row r="8150">
      <c r="A8150" s="17"/>
      <c r="H8150" s="18"/>
      <c r="K8150" s="18" t="s">
        <v>316</v>
      </c>
    </row>
    <row r="8151">
      <c r="A8151" s="17"/>
      <c r="H8151" s="18"/>
      <c r="K8151" s="18" t="s">
        <v>316</v>
      </c>
    </row>
    <row r="8152">
      <c r="A8152" s="17"/>
      <c r="H8152" s="18"/>
      <c r="K8152" s="18" t="s">
        <v>316</v>
      </c>
    </row>
    <row r="8153">
      <c r="A8153" s="17"/>
      <c r="H8153" s="18"/>
      <c r="K8153" s="18" t="s">
        <v>316</v>
      </c>
    </row>
    <row r="8154">
      <c r="A8154" s="17"/>
      <c r="H8154" s="18"/>
      <c r="K8154" s="18" t="s">
        <v>316</v>
      </c>
    </row>
    <row r="8155">
      <c r="A8155" s="17"/>
      <c r="H8155" s="18"/>
      <c r="K8155" s="18" t="s">
        <v>316</v>
      </c>
    </row>
    <row r="8156">
      <c r="A8156" s="17"/>
      <c r="H8156" s="18"/>
      <c r="K8156" s="18" t="s">
        <v>316</v>
      </c>
    </row>
    <row r="8157">
      <c r="A8157" s="17"/>
      <c r="H8157" s="18"/>
      <c r="K8157" s="18" t="s">
        <v>316</v>
      </c>
    </row>
    <row r="8158">
      <c r="A8158" s="17"/>
      <c r="H8158" s="18"/>
      <c r="K8158" s="18" t="s">
        <v>316</v>
      </c>
    </row>
    <row r="8159">
      <c r="A8159" s="17"/>
      <c r="H8159" s="18"/>
      <c r="K8159" s="18" t="s">
        <v>316</v>
      </c>
    </row>
    <row r="8160">
      <c r="A8160" s="17"/>
      <c r="H8160" s="18"/>
      <c r="K8160" s="18" t="s">
        <v>316</v>
      </c>
    </row>
    <row r="8161">
      <c r="A8161" s="17"/>
      <c r="H8161" s="18"/>
      <c r="K8161" s="18" t="s">
        <v>316</v>
      </c>
    </row>
    <row r="8162">
      <c r="A8162" s="17"/>
      <c r="H8162" s="18"/>
      <c r="K8162" s="18" t="s">
        <v>316</v>
      </c>
    </row>
    <row r="8163">
      <c r="A8163" s="17"/>
      <c r="H8163" s="18"/>
      <c r="K8163" s="18" t="s">
        <v>316</v>
      </c>
    </row>
    <row r="8164">
      <c r="A8164" s="17"/>
      <c r="H8164" s="18"/>
      <c r="K8164" s="18" t="s">
        <v>316</v>
      </c>
    </row>
    <row r="8165">
      <c r="A8165" s="17"/>
      <c r="H8165" s="18"/>
      <c r="K8165" s="18" t="s">
        <v>316</v>
      </c>
    </row>
    <row r="8166">
      <c r="A8166" s="17"/>
      <c r="H8166" s="18"/>
      <c r="K8166" s="18" t="s">
        <v>316</v>
      </c>
    </row>
    <row r="8167">
      <c r="A8167" s="17"/>
      <c r="H8167" s="18"/>
      <c r="K8167" s="18" t="s">
        <v>316</v>
      </c>
    </row>
    <row r="8168">
      <c r="A8168" s="17"/>
      <c r="H8168" s="18"/>
      <c r="K8168" s="18" t="s">
        <v>316</v>
      </c>
    </row>
    <row r="8169">
      <c r="A8169" s="17"/>
      <c r="H8169" s="18"/>
      <c r="K8169" s="18" t="s">
        <v>316</v>
      </c>
    </row>
    <row r="8170">
      <c r="A8170" s="17"/>
      <c r="H8170" s="18"/>
      <c r="K8170" s="18" t="s">
        <v>316</v>
      </c>
    </row>
    <row r="8171">
      <c r="A8171" s="17"/>
      <c r="H8171" s="18"/>
      <c r="K8171" s="18" t="s">
        <v>316</v>
      </c>
    </row>
    <row r="8172">
      <c r="A8172" s="17"/>
      <c r="H8172" s="18"/>
      <c r="K8172" s="18" t="s">
        <v>316</v>
      </c>
    </row>
    <row r="8173">
      <c r="A8173" s="17"/>
      <c r="H8173" s="18"/>
      <c r="K8173" s="18" t="s">
        <v>316</v>
      </c>
    </row>
    <row r="8174">
      <c r="A8174" s="17"/>
      <c r="H8174" s="18"/>
      <c r="K8174" s="18" t="s">
        <v>316</v>
      </c>
    </row>
    <row r="8175">
      <c r="A8175" s="17"/>
      <c r="H8175" s="18"/>
      <c r="K8175" s="18" t="s">
        <v>316</v>
      </c>
    </row>
    <row r="8176">
      <c r="A8176" s="17"/>
      <c r="H8176" s="18"/>
      <c r="K8176" s="18" t="s">
        <v>316</v>
      </c>
    </row>
    <row r="8177">
      <c r="A8177" s="17"/>
      <c r="H8177" s="18"/>
      <c r="K8177" s="18" t="s">
        <v>316</v>
      </c>
    </row>
    <row r="8178">
      <c r="A8178" s="17"/>
      <c r="H8178" s="18"/>
      <c r="K8178" s="18" t="s">
        <v>316</v>
      </c>
    </row>
    <row r="8179">
      <c r="A8179" s="17"/>
      <c r="H8179" s="18"/>
      <c r="K8179" s="18" t="s">
        <v>316</v>
      </c>
    </row>
    <row r="8180">
      <c r="A8180" s="17"/>
      <c r="H8180" s="18"/>
      <c r="K8180" s="18" t="s">
        <v>316</v>
      </c>
    </row>
    <row r="8181">
      <c r="A8181" s="17"/>
      <c r="H8181" s="18"/>
      <c r="K8181" s="18" t="s">
        <v>316</v>
      </c>
    </row>
    <row r="8182">
      <c r="A8182" s="17"/>
      <c r="H8182" s="18"/>
      <c r="K8182" s="18" t="s">
        <v>316</v>
      </c>
    </row>
    <row r="8183">
      <c r="A8183" s="17"/>
      <c r="H8183" s="18"/>
      <c r="K8183" s="18" t="s">
        <v>316</v>
      </c>
    </row>
    <row r="8184">
      <c r="A8184" s="17"/>
      <c r="H8184" s="18"/>
      <c r="K8184" s="18" t="s">
        <v>316</v>
      </c>
    </row>
    <row r="8185">
      <c r="A8185" s="17"/>
      <c r="H8185" s="18"/>
      <c r="K8185" s="18" t="s">
        <v>316</v>
      </c>
    </row>
    <row r="8186">
      <c r="A8186" s="17"/>
      <c r="H8186" s="18"/>
      <c r="K8186" s="18" t="s">
        <v>316</v>
      </c>
    </row>
    <row r="8187">
      <c r="A8187" s="17"/>
      <c r="H8187" s="18"/>
      <c r="K8187" s="18" t="s">
        <v>316</v>
      </c>
    </row>
    <row r="8188">
      <c r="A8188" s="17"/>
      <c r="H8188" s="18"/>
      <c r="K8188" s="18" t="s">
        <v>316</v>
      </c>
    </row>
    <row r="8189">
      <c r="A8189" s="17"/>
      <c r="H8189" s="18"/>
      <c r="K8189" s="18" t="s">
        <v>316</v>
      </c>
    </row>
    <row r="8190">
      <c r="A8190" s="17"/>
      <c r="H8190" s="18"/>
      <c r="K8190" s="18" t="s">
        <v>316</v>
      </c>
    </row>
    <row r="8191">
      <c r="A8191" s="17"/>
      <c r="H8191" s="18"/>
      <c r="K8191" s="18" t="s">
        <v>316</v>
      </c>
    </row>
    <row r="8192">
      <c r="A8192" s="17"/>
      <c r="H8192" s="18"/>
      <c r="K8192" s="18" t="s">
        <v>316</v>
      </c>
    </row>
    <row r="8193">
      <c r="A8193" s="17"/>
      <c r="H8193" s="18"/>
      <c r="K8193" s="18" t="s">
        <v>316</v>
      </c>
    </row>
    <row r="8194">
      <c r="A8194" s="17"/>
      <c r="H8194" s="18"/>
      <c r="K8194" s="18" t="s">
        <v>316</v>
      </c>
    </row>
    <row r="8195">
      <c r="A8195" s="17"/>
      <c r="H8195" s="18"/>
      <c r="K8195" s="18" t="s">
        <v>316</v>
      </c>
    </row>
    <row r="8196">
      <c r="A8196" s="17"/>
      <c r="H8196" s="18"/>
      <c r="K8196" s="18" t="s">
        <v>316</v>
      </c>
    </row>
    <row r="8197">
      <c r="A8197" s="17"/>
      <c r="H8197" s="18"/>
      <c r="K8197" s="18" t="s">
        <v>316</v>
      </c>
    </row>
    <row r="8198">
      <c r="A8198" s="17"/>
      <c r="H8198" s="18"/>
      <c r="K8198" s="18" t="s">
        <v>316</v>
      </c>
    </row>
    <row r="8199">
      <c r="A8199" s="17"/>
      <c r="H8199" s="18"/>
      <c r="K8199" s="18" t="s">
        <v>316</v>
      </c>
    </row>
    <row r="8200">
      <c r="A8200" s="17"/>
      <c r="H8200" s="18"/>
      <c r="K8200" s="18" t="s">
        <v>316</v>
      </c>
    </row>
    <row r="8201">
      <c r="A8201" s="17"/>
      <c r="H8201" s="18"/>
      <c r="K8201" s="18" t="s">
        <v>316</v>
      </c>
    </row>
    <row r="8202">
      <c r="A8202" s="17"/>
      <c r="H8202" s="18"/>
      <c r="K8202" s="18" t="s">
        <v>316</v>
      </c>
    </row>
    <row r="8203">
      <c r="A8203" s="17"/>
      <c r="H8203" s="18"/>
      <c r="K8203" s="18" t="s">
        <v>316</v>
      </c>
    </row>
    <row r="8204">
      <c r="A8204" s="17"/>
      <c r="H8204" s="18"/>
      <c r="K8204" s="18" t="s">
        <v>316</v>
      </c>
    </row>
    <row r="8205">
      <c r="A8205" s="17"/>
      <c r="H8205" s="18"/>
      <c r="K8205" s="18" t="s">
        <v>316</v>
      </c>
    </row>
    <row r="8206">
      <c r="A8206" s="17"/>
      <c r="H8206" s="18"/>
      <c r="K8206" s="18" t="s">
        <v>316</v>
      </c>
    </row>
    <row r="8207">
      <c r="A8207" s="17"/>
      <c r="H8207" s="18"/>
      <c r="K8207" s="18" t="s">
        <v>316</v>
      </c>
    </row>
    <row r="8208">
      <c r="A8208" s="17"/>
      <c r="H8208" s="18"/>
      <c r="K8208" s="18" t="s">
        <v>316</v>
      </c>
    </row>
    <row r="8209">
      <c r="A8209" s="17"/>
      <c r="H8209" s="18"/>
      <c r="K8209" s="18" t="s">
        <v>316</v>
      </c>
    </row>
    <row r="8210">
      <c r="A8210" s="17"/>
      <c r="H8210" s="18"/>
      <c r="K8210" s="18" t="s">
        <v>316</v>
      </c>
    </row>
    <row r="8211">
      <c r="A8211" s="17"/>
      <c r="H8211" s="18"/>
      <c r="K8211" s="18" t="s">
        <v>316</v>
      </c>
    </row>
    <row r="8212">
      <c r="A8212" s="17"/>
      <c r="H8212" s="18"/>
      <c r="K8212" s="18" t="s">
        <v>316</v>
      </c>
    </row>
    <row r="8213">
      <c r="A8213" s="17"/>
      <c r="H8213" s="18"/>
      <c r="K8213" s="18" t="s">
        <v>316</v>
      </c>
    </row>
    <row r="8214">
      <c r="A8214" s="17"/>
      <c r="H8214" s="18"/>
      <c r="K8214" s="18" t="s">
        <v>316</v>
      </c>
    </row>
    <row r="8215">
      <c r="A8215" s="17"/>
      <c r="H8215" s="18"/>
      <c r="K8215" s="18" t="s">
        <v>316</v>
      </c>
    </row>
    <row r="8216">
      <c r="A8216" s="17"/>
      <c r="H8216" s="18"/>
      <c r="K8216" s="18" t="s">
        <v>316</v>
      </c>
    </row>
    <row r="8217">
      <c r="A8217" s="17"/>
      <c r="H8217" s="18"/>
      <c r="K8217" s="18" t="s">
        <v>316</v>
      </c>
    </row>
    <row r="8218">
      <c r="A8218" s="17"/>
      <c r="H8218" s="18"/>
      <c r="K8218" s="18" t="s">
        <v>316</v>
      </c>
    </row>
    <row r="8219">
      <c r="A8219" s="17"/>
      <c r="H8219" s="18"/>
      <c r="K8219" s="18" t="s">
        <v>316</v>
      </c>
    </row>
    <row r="8220">
      <c r="A8220" s="17"/>
      <c r="H8220" s="18"/>
      <c r="K8220" s="18" t="s">
        <v>316</v>
      </c>
    </row>
    <row r="8221">
      <c r="A8221" s="17"/>
      <c r="H8221" s="18"/>
      <c r="K8221" s="18" t="s">
        <v>316</v>
      </c>
    </row>
    <row r="8222">
      <c r="A8222" s="17"/>
      <c r="H8222" s="18"/>
      <c r="K8222" s="18" t="s">
        <v>316</v>
      </c>
    </row>
    <row r="8223">
      <c r="A8223" s="17"/>
      <c r="H8223" s="18"/>
      <c r="K8223" s="18" t="s">
        <v>316</v>
      </c>
    </row>
    <row r="8224">
      <c r="A8224" s="17"/>
      <c r="H8224" s="18"/>
      <c r="K8224" s="18" t="s">
        <v>316</v>
      </c>
    </row>
    <row r="8225">
      <c r="A8225" s="17"/>
      <c r="H8225" s="18"/>
      <c r="K8225" s="18" t="s">
        <v>316</v>
      </c>
    </row>
    <row r="8226">
      <c r="A8226" s="17"/>
      <c r="H8226" s="18"/>
      <c r="K8226" s="18" t="s">
        <v>316</v>
      </c>
    </row>
    <row r="8227">
      <c r="A8227" s="17"/>
      <c r="H8227" s="18"/>
      <c r="K8227" s="18" t="s">
        <v>316</v>
      </c>
    </row>
    <row r="8228">
      <c r="A8228" s="17"/>
      <c r="H8228" s="18"/>
      <c r="K8228" s="18" t="s">
        <v>316</v>
      </c>
    </row>
    <row r="8229">
      <c r="A8229" s="17"/>
      <c r="H8229" s="18"/>
      <c r="K8229" s="18" t="s">
        <v>316</v>
      </c>
    </row>
    <row r="8230">
      <c r="A8230" s="17"/>
      <c r="H8230" s="18"/>
      <c r="K8230" s="18" t="s">
        <v>316</v>
      </c>
    </row>
    <row r="8231">
      <c r="A8231" s="17"/>
      <c r="H8231" s="18"/>
      <c r="K8231" s="18" t="s">
        <v>316</v>
      </c>
    </row>
    <row r="8232">
      <c r="A8232" s="17"/>
      <c r="H8232" s="18"/>
      <c r="K8232" s="18" t="s">
        <v>316</v>
      </c>
    </row>
    <row r="8233">
      <c r="A8233" s="17"/>
      <c r="H8233" s="18"/>
      <c r="K8233" s="18" t="s">
        <v>316</v>
      </c>
    </row>
    <row r="8234">
      <c r="A8234" s="17"/>
      <c r="H8234" s="18"/>
      <c r="K8234" s="18" t="s">
        <v>316</v>
      </c>
    </row>
    <row r="8235">
      <c r="A8235" s="17"/>
      <c r="H8235" s="18"/>
      <c r="K8235" s="18" t="s">
        <v>316</v>
      </c>
    </row>
    <row r="8236">
      <c r="A8236" s="17"/>
      <c r="H8236" s="18"/>
      <c r="K8236" s="18" t="s">
        <v>316</v>
      </c>
    </row>
    <row r="8237">
      <c r="A8237" s="17"/>
      <c r="H8237" s="18"/>
      <c r="K8237" s="18" t="s">
        <v>316</v>
      </c>
    </row>
    <row r="8238">
      <c r="A8238" s="17"/>
      <c r="H8238" s="18"/>
      <c r="K8238" s="18" t="s">
        <v>316</v>
      </c>
    </row>
    <row r="8239">
      <c r="A8239" s="17"/>
      <c r="H8239" s="18"/>
      <c r="K8239" s="18" t="s">
        <v>316</v>
      </c>
    </row>
    <row r="8240">
      <c r="A8240" s="17"/>
      <c r="H8240" s="18"/>
      <c r="K8240" s="18" t="s">
        <v>316</v>
      </c>
    </row>
    <row r="8241">
      <c r="A8241" s="17"/>
      <c r="H8241" s="18"/>
      <c r="K8241" s="18" t="s">
        <v>316</v>
      </c>
    </row>
    <row r="8242">
      <c r="A8242" s="17"/>
      <c r="H8242" s="18"/>
      <c r="K8242" s="18" t="s">
        <v>316</v>
      </c>
    </row>
    <row r="8243">
      <c r="A8243" s="17"/>
      <c r="H8243" s="18"/>
      <c r="K8243" s="18" t="s">
        <v>316</v>
      </c>
    </row>
    <row r="8244">
      <c r="A8244" s="17"/>
      <c r="H8244" s="18"/>
      <c r="K8244" s="18" t="s">
        <v>316</v>
      </c>
    </row>
    <row r="8245">
      <c r="A8245" s="17"/>
      <c r="H8245" s="18"/>
      <c r="K8245" s="18" t="s">
        <v>316</v>
      </c>
    </row>
    <row r="8246">
      <c r="A8246" s="17"/>
      <c r="H8246" s="18"/>
      <c r="K8246" s="18" t="s">
        <v>316</v>
      </c>
    </row>
    <row r="8247">
      <c r="A8247" s="17"/>
      <c r="H8247" s="18"/>
      <c r="K8247" s="18" t="s">
        <v>316</v>
      </c>
    </row>
    <row r="8248">
      <c r="A8248" s="17"/>
      <c r="H8248" s="18"/>
      <c r="K8248" s="18" t="s">
        <v>316</v>
      </c>
    </row>
    <row r="8249">
      <c r="A8249" s="17"/>
      <c r="H8249" s="18"/>
      <c r="K8249" s="18" t="s">
        <v>316</v>
      </c>
    </row>
    <row r="8250">
      <c r="A8250" s="17"/>
      <c r="H8250" s="18"/>
      <c r="K8250" s="18" t="s">
        <v>316</v>
      </c>
    </row>
    <row r="8251">
      <c r="A8251" s="17"/>
      <c r="H8251" s="18"/>
      <c r="K8251" s="18" t="s">
        <v>316</v>
      </c>
    </row>
    <row r="8252">
      <c r="A8252" s="17"/>
      <c r="H8252" s="18"/>
      <c r="K8252" s="18" t="s">
        <v>316</v>
      </c>
    </row>
    <row r="8253">
      <c r="A8253" s="17"/>
      <c r="H8253" s="18"/>
      <c r="K8253" s="18" t="s">
        <v>316</v>
      </c>
    </row>
    <row r="8254">
      <c r="A8254" s="17"/>
      <c r="H8254" s="18"/>
      <c r="K8254" s="18" t="s">
        <v>316</v>
      </c>
    </row>
    <row r="8255">
      <c r="A8255" s="17"/>
      <c r="H8255" s="18"/>
      <c r="K8255" s="18" t="s">
        <v>316</v>
      </c>
    </row>
    <row r="8256">
      <c r="A8256" s="17"/>
      <c r="H8256" s="18"/>
      <c r="K8256" s="18" t="s">
        <v>316</v>
      </c>
    </row>
    <row r="8257">
      <c r="A8257" s="17"/>
      <c r="H8257" s="18"/>
      <c r="K8257" s="18" t="s">
        <v>316</v>
      </c>
    </row>
    <row r="8258">
      <c r="A8258" s="17"/>
      <c r="H8258" s="18"/>
      <c r="K8258" s="18" t="s">
        <v>316</v>
      </c>
    </row>
    <row r="8259">
      <c r="A8259" s="17"/>
      <c r="H8259" s="18"/>
      <c r="K8259" s="18" t="s">
        <v>316</v>
      </c>
    </row>
    <row r="8260">
      <c r="A8260" s="17"/>
      <c r="H8260" s="18"/>
      <c r="K8260" s="18" t="s">
        <v>316</v>
      </c>
    </row>
    <row r="8261">
      <c r="A8261" s="17"/>
      <c r="H8261" s="18"/>
      <c r="K8261" s="18" t="s">
        <v>316</v>
      </c>
    </row>
    <row r="8262">
      <c r="A8262" s="17"/>
      <c r="H8262" s="18"/>
      <c r="K8262" s="18" t="s">
        <v>316</v>
      </c>
    </row>
    <row r="8263">
      <c r="A8263" s="17"/>
      <c r="H8263" s="18"/>
      <c r="K8263" s="18" t="s">
        <v>316</v>
      </c>
    </row>
    <row r="8264">
      <c r="A8264" s="17"/>
      <c r="H8264" s="18"/>
      <c r="K8264" s="18" t="s">
        <v>316</v>
      </c>
    </row>
    <row r="8265">
      <c r="A8265" s="17"/>
      <c r="H8265" s="18"/>
      <c r="K8265" s="18" t="s">
        <v>316</v>
      </c>
    </row>
    <row r="8266">
      <c r="A8266" s="17"/>
      <c r="H8266" s="18"/>
      <c r="K8266" s="18" t="s">
        <v>316</v>
      </c>
    </row>
    <row r="8267">
      <c r="A8267" s="17"/>
      <c r="H8267" s="18"/>
      <c r="K8267" s="18" t="s">
        <v>316</v>
      </c>
    </row>
    <row r="8268">
      <c r="A8268" s="17"/>
      <c r="H8268" s="18"/>
      <c r="K8268" s="18" t="s">
        <v>316</v>
      </c>
    </row>
    <row r="8269">
      <c r="A8269" s="17"/>
      <c r="H8269" s="18"/>
      <c r="K8269" s="18" t="s">
        <v>316</v>
      </c>
    </row>
    <row r="8270">
      <c r="A8270" s="17"/>
      <c r="H8270" s="18"/>
      <c r="K8270" s="18" t="s">
        <v>316</v>
      </c>
    </row>
    <row r="8271">
      <c r="A8271" s="17"/>
      <c r="H8271" s="18"/>
      <c r="K8271" s="18" t="s">
        <v>316</v>
      </c>
    </row>
    <row r="8272">
      <c r="A8272" s="17"/>
      <c r="H8272" s="18"/>
      <c r="K8272" s="18" t="s">
        <v>316</v>
      </c>
    </row>
    <row r="8273">
      <c r="A8273" s="17"/>
      <c r="H8273" s="18"/>
      <c r="K8273" s="18" t="s">
        <v>316</v>
      </c>
    </row>
    <row r="8274">
      <c r="A8274" s="17"/>
      <c r="H8274" s="18"/>
      <c r="K8274" s="18" t="s">
        <v>316</v>
      </c>
    </row>
    <row r="8275">
      <c r="A8275" s="17"/>
      <c r="H8275" s="18"/>
      <c r="K8275" s="18" t="s">
        <v>316</v>
      </c>
    </row>
    <row r="8276">
      <c r="A8276" s="17"/>
      <c r="H8276" s="18"/>
      <c r="K8276" s="18" t="s">
        <v>316</v>
      </c>
    </row>
    <row r="8277">
      <c r="A8277" s="17"/>
      <c r="H8277" s="18"/>
      <c r="K8277" s="18" t="s">
        <v>316</v>
      </c>
    </row>
    <row r="8278">
      <c r="A8278" s="17"/>
      <c r="H8278" s="18"/>
      <c r="K8278" s="18" t="s">
        <v>316</v>
      </c>
    </row>
    <row r="8279">
      <c r="A8279" s="17"/>
      <c r="H8279" s="18"/>
      <c r="K8279" s="18" t="s">
        <v>316</v>
      </c>
    </row>
    <row r="8280">
      <c r="A8280" s="17"/>
      <c r="H8280" s="18"/>
      <c r="K8280" s="18" t="s">
        <v>316</v>
      </c>
    </row>
    <row r="8281">
      <c r="A8281" s="17"/>
      <c r="H8281" s="18"/>
      <c r="K8281" s="18" t="s">
        <v>316</v>
      </c>
    </row>
    <row r="8282">
      <c r="A8282" s="17"/>
      <c r="H8282" s="18"/>
      <c r="K8282" s="18" t="s">
        <v>316</v>
      </c>
    </row>
    <row r="8283">
      <c r="A8283" s="17"/>
      <c r="H8283" s="18"/>
      <c r="K8283" s="18" t="s">
        <v>316</v>
      </c>
    </row>
    <row r="8284">
      <c r="A8284" s="17"/>
      <c r="H8284" s="18"/>
      <c r="K8284" s="18" t="s">
        <v>316</v>
      </c>
    </row>
    <row r="8285">
      <c r="A8285" s="17"/>
      <c r="H8285" s="18"/>
      <c r="K8285" s="18" t="s">
        <v>316</v>
      </c>
    </row>
    <row r="8286">
      <c r="A8286" s="17"/>
      <c r="H8286" s="18"/>
      <c r="K8286" s="18" t="s">
        <v>316</v>
      </c>
    </row>
    <row r="8287">
      <c r="A8287" s="17"/>
      <c r="H8287" s="18"/>
      <c r="K8287" s="18" t="s">
        <v>316</v>
      </c>
    </row>
    <row r="8288">
      <c r="A8288" s="17"/>
      <c r="H8288" s="18"/>
      <c r="K8288" s="18" t="s">
        <v>316</v>
      </c>
    </row>
    <row r="8289">
      <c r="A8289" s="17"/>
      <c r="H8289" s="18"/>
      <c r="K8289" s="18" t="s">
        <v>316</v>
      </c>
    </row>
    <row r="8290">
      <c r="A8290" s="17"/>
      <c r="H8290" s="18"/>
      <c r="K8290" s="18" t="s">
        <v>316</v>
      </c>
    </row>
    <row r="8291">
      <c r="A8291" s="17"/>
      <c r="H8291" s="18"/>
      <c r="K8291" s="18" t="s">
        <v>316</v>
      </c>
    </row>
    <row r="8292">
      <c r="A8292" s="17"/>
      <c r="H8292" s="18"/>
      <c r="K8292" s="18" t="s">
        <v>316</v>
      </c>
    </row>
    <row r="8293">
      <c r="A8293" s="17"/>
      <c r="H8293" s="18"/>
      <c r="K8293" s="18" t="s">
        <v>316</v>
      </c>
    </row>
    <row r="8294">
      <c r="A8294" s="17"/>
      <c r="H8294" s="18"/>
      <c r="K8294" s="18" t="s">
        <v>316</v>
      </c>
    </row>
    <row r="8295">
      <c r="A8295" s="17"/>
      <c r="H8295" s="18"/>
      <c r="K8295" s="18" t="s">
        <v>316</v>
      </c>
    </row>
    <row r="8296">
      <c r="A8296" s="17"/>
      <c r="H8296" s="18"/>
      <c r="K8296" s="18" t="s">
        <v>316</v>
      </c>
    </row>
    <row r="8297">
      <c r="A8297" s="17"/>
      <c r="H8297" s="18"/>
      <c r="K8297" s="18" t="s">
        <v>316</v>
      </c>
    </row>
    <row r="8298">
      <c r="A8298" s="17"/>
      <c r="H8298" s="18"/>
      <c r="K8298" s="18" t="s">
        <v>316</v>
      </c>
    </row>
    <row r="8299">
      <c r="A8299" s="17"/>
      <c r="H8299" s="18"/>
      <c r="K8299" s="18" t="s">
        <v>316</v>
      </c>
    </row>
    <row r="8300">
      <c r="A8300" s="17"/>
      <c r="H8300" s="18"/>
      <c r="K8300" s="18" t="s">
        <v>316</v>
      </c>
    </row>
    <row r="8301">
      <c r="A8301" s="17"/>
      <c r="H8301" s="18"/>
      <c r="K8301" s="18" t="s">
        <v>316</v>
      </c>
    </row>
    <row r="8302">
      <c r="A8302" s="17"/>
      <c r="H8302" s="18"/>
      <c r="K8302" s="18" t="s">
        <v>316</v>
      </c>
    </row>
    <row r="8303">
      <c r="A8303" s="17"/>
      <c r="H8303" s="18"/>
      <c r="K8303" s="18" t="s">
        <v>316</v>
      </c>
    </row>
    <row r="8304">
      <c r="A8304" s="17"/>
      <c r="H8304" s="18"/>
      <c r="K8304" s="18" t="s">
        <v>316</v>
      </c>
    </row>
    <row r="8305">
      <c r="A8305" s="17"/>
      <c r="H8305" s="18"/>
      <c r="K8305" s="18" t="s">
        <v>316</v>
      </c>
    </row>
    <row r="8306">
      <c r="A8306" s="17"/>
      <c r="H8306" s="18"/>
      <c r="K8306" s="18" t="s">
        <v>316</v>
      </c>
    </row>
    <row r="8307">
      <c r="A8307" s="17"/>
      <c r="H8307" s="18"/>
      <c r="K8307" s="18" t="s">
        <v>316</v>
      </c>
    </row>
    <row r="8308">
      <c r="A8308" s="17"/>
      <c r="H8308" s="18"/>
      <c r="K8308" s="18" t="s">
        <v>316</v>
      </c>
    </row>
    <row r="8309">
      <c r="A8309" s="17"/>
      <c r="H8309" s="18"/>
      <c r="K8309" s="18" t="s">
        <v>316</v>
      </c>
    </row>
    <row r="8310">
      <c r="A8310" s="17"/>
      <c r="H8310" s="18"/>
      <c r="K8310" s="18" t="s">
        <v>316</v>
      </c>
    </row>
    <row r="8311">
      <c r="A8311" s="17"/>
      <c r="H8311" s="18"/>
      <c r="K8311" s="18" t="s">
        <v>316</v>
      </c>
    </row>
    <row r="8312">
      <c r="A8312" s="17"/>
      <c r="H8312" s="18"/>
      <c r="K8312" s="18" t="s">
        <v>316</v>
      </c>
    </row>
    <row r="8313">
      <c r="A8313" s="17"/>
      <c r="H8313" s="18"/>
      <c r="K8313" s="18" t="s">
        <v>316</v>
      </c>
    </row>
    <row r="8314">
      <c r="A8314" s="17"/>
      <c r="H8314" s="18"/>
      <c r="K8314" s="18" t="s">
        <v>316</v>
      </c>
    </row>
    <row r="8315">
      <c r="A8315" s="17"/>
      <c r="H8315" s="18"/>
      <c r="K8315" s="18" t="s">
        <v>316</v>
      </c>
    </row>
    <row r="8316">
      <c r="A8316" s="17"/>
      <c r="H8316" s="18"/>
      <c r="K8316" s="18" t="s">
        <v>316</v>
      </c>
    </row>
    <row r="8317">
      <c r="A8317" s="17"/>
      <c r="H8317" s="18"/>
      <c r="K8317" s="18" t="s">
        <v>316</v>
      </c>
    </row>
    <row r="8318">
      <c r="A8318" s="17"/>
      <c r="H8318" s="18"/>
      <c r="K8318" s="18" t="s">
        <v>316</v>
      </c>
    </row>
    <row r="8319">
      <c r="A8319" s="17"/>
      <c r="H8319" s="18"/>
      <c r="K8319" s="18" t="s">
        <v>316</v>
      </c>
    </row>
    <row r="8320">
      <c r="A8320" s="17"/>
      <c r="H8320" s="18"/>
      <c r="K8320" s="18" t="s">
        <v>316</v>
      </c>
    </row>
    <row r="8321">
      <c r="A8321" s="17"/>
      <c r="H8321" s="18"/>
      <c r="K8321" s="18" t="s">
        <v>316</v>
      </c>
    </row>
    <row r="8322">
      <c r="A8322" s="17"/>
      <c r="H8322" s="18"/>
      <c r="K8322" s="18" t="s">
        <v>316</v>
      </c>
    </row>
    <row r="8323">
      <c r="A8323" s="17"/>
      <c r="H8323" s="18"/>
      <c r="K8323" s="18" t="s">
        <v>316</v>
      </c>
    </row>
    <row r="8324">
      <c r="A8324" s="17"/>
      <c r="H8324" s="18"/>
      <c r="K8324" s="18" t="s">
        <v>316</v>
      </c>
    </row>
    <row r="8325">
      <c r="A8325" s="17"/>
      <c r="H8325" s="18"/>
      <c r="K8325" s="18" t="s">
        <v>316</v>
      </c>
    </row>
    <row r="8326">
      <c r="A8326" s="17"/>
      <c r="H8326" s="18"/>
      <c r="K8326" s="18" t="s">
        <v>316</v>
      </c>
    </row>
    <row r="8327">
      <c r="A8327" s="17"/>
      <c r="H8327" s="18"/>
      <c r="K8327" s="18" t="s">
        <v>316</v>
      </c>
    </row>
    <row r="8328">
      <c r="A8328" s="17"/>
      <c r="H8328" s="18"/>
      <c r="K8328" s="18" t="s">
        <v>316</v>
      </c>
    </row>
    <row r="8329">
      <c r="A8329" s="17"/>
      <c r="H8329" s="18"/>
      <c r="K8329" s="18" t="s">
        <v>316</v>
      </c>
    </row>
    <row r="8330">
      <c r="A8330" s="17"/>
      <c r="H8330" s="18"/>
      <c r="K8330" s="18" t="s">
        <v>316</v>
      </c>
    </row>
    <row r="8331">
      <c r="A8331" s="17"/>
      <c r="H8331" s="18"/>
      <c r="K8331" s="18" t="s">
        <v>316</v>
      </c>
    </row>
    <row r="8332">
      <c r="A8332" s="17"/>
      <c r="H8332" s="18"/>
      <c r="K8332" s="18" t="s">
        <v>316</v>
      </c>
    </row>
    <row r="8333">
      <c r="A8333" s="17"/>
      <c r="H8333" s="18"/>
      <c r="K8333" s="18" t="s">
        <v>316</v>
      </c>
    </row>
    <row r="8334">
      <c r="A8334" s="17"/>
      <c r="H8334" s="18"/>
      <c r="K8334" s="18" t="s">
        <v>316</v>
      </c>
    </row>
    <row r="8335">
      <c r="A8335" s="17"/>
      <c r="H8335" s="18"/>
      <c r="K8335" s="18" t="s">
        <v>316</v>
      </c>
    </row>
    <row r="8336">
      <c r="A8336" s="17"/>
      <c r="H8336" s="18"/>
      <c r="K8336" s="18" t="s">
        <v>316</v>
      </c>
    </row>
    <row r="8337">
      <c r="A8337" s="17"/>
      <c r="H8337" s="18"/>
      <c r="K8337" s="18" t="s">
        <v>316</v>
      </c>
    </row>
    <row r="8338">
      <c r="A8338" s="17"/>
      <c r="H8338" s="18"/>
      <c r="K8338" s="18" t="s">
        <v>316</v>
      </c>
    </row>
    <row r="8339">
      <c r="A8339" s="17"/>
      <c r="H8339" s="18"/>
      <c r="K8339" s="18" t="s">
        <v>316</v>
      </c>
    </row>
    <row r="8340">
      <c r="A8340" s="17"/>
      <c r="H8340" s="18"/>
      <c r="K8340" s="18" t="s">
        <v>316</v>
      </c>
    </row>
    <row r="8341">
      <c r="A8341" s="17"/>
      <c r="H8341" s="18"/>
      <c r="K8341" s="18" t="s">
        <v>316</v>
      </c>
    </row>
    <row r="8342">
      <c r="A8342" s="17"/>
      <c r="H8342" s="18"/>
      <c r="K8342" s="18" t="s">
        <v>316</v>
      </c>
    </row>
    <row r="8343">
      <c r="A8343" s="17"/>
      <c r="H8343" s="18"/>
      <c r="K8343" s="18" t="s">
        <v>316</v>
      </c>
    </row>
    <row r="8344">
      <c r="A8344" s="17"/>
      <c r="H8344" s="18"/>
      <c r="K8344" s="18" t="s">
        <v>316</v>
      </c>
    </row>
    <row r="8345">
      <c r="A8345" s="17"/>
      <c r="H8345" s="18"/>
      <c r="K8345" s="18" t="s">
        <v>316</v>
      </c>
    </row>
    <row r="8346">
      <c r="A8346" s="17"/>
      <c r="H8346" s="18"/>
      <c r="K8346" s="18" t="s">
        <v>316</v>
      </c>
    </row>
    <row r="8347">
      <c r="A8347" s="17"/>
      <c r="H8347" s="18"/>
      <c r="K8347" s="18" t="s">
        <v>316</v>
      </c>
    </row>
    <row r="8348">
      <c r="A8348" s="17"/>
      <c r="H8348" s="18"/>
      <c r="K8348" s="18" t="s">
        <v>316</v>
      </c>
    </row>
    <row r="8349">
      <c r="A8349" s="17"/>
      <c r="H8349" s="18"/>
      <c r="K8349" s="18" t="s">
        <v>316</v>
      </c>
    </row>
    <row r="8350">
      <c r="A8350" s="17"/>
      <c r="H8350" s="18"/>
      <c r="K8350" s="18" t="s">
        <v>316</v>
      </c>
    </row>
    <row r="8351">
      <c r="A8351" s="17"/>
      <c r="H8351" s="18"/>
      <c r="K8351" s="18" t="s">
        <v>316</v>
      </c>
    </row>
    <row r="8352">
      <c r="A8352" s="17"/>
      <c r="H8352" s="18"/>
      <c r="K8352" s="18" t="s">
        <v>316</v>
      </c>
    </row>
    <row r="8353">
      <c r="A8353" s="17"/>
      <c r="H8353" s="18"/>
      <c r="K8353" s="18" t="s">
        <v>316</v>
      </c>
    </row>
    <row r="8354">
      <c r="A8354" s="17"/>
      <c r="H8354" s="18"/>
      <c r="K8354" s="18" t="s">
        <v>316</v>
      </c>
    </row>
    <row r="8355">
      <c r="A8355" s="17"/>
      <c r="H8355" s="18"/>
      <c r="K8355" s="18" t="s">
        <v>316</v>
      </c>
    </row>
    <row r="8356">
      <c r="A8356" s="17"/>
      <c r="H8356" s="18"/>
      <c r="K8356" s="18" t="s">
        <v>316</v>
      </c>
    </row>
    <row r="8357">
      <c r="A8357" s="17"/>
      <c r="H8357" s="18"/>
      <c r="K8357" s="18" t="s">
        <v>316</v>
      </c>
    </row>
    <row r="8358">
      <c r="A8358" s="17"/>
      <c r="H8358" s="18"/>
      <c r="K8358" s="18" t="s">
        <v>316</v>
      </c>
    </row>
    <row r="8359">
      <c r="A8359" s="17"/>
      <c r="H8359" s="18"/>
      <c r="K8359" s="18" t="s">
        <v>316</v>
      </c>
    </row>
    <row r="8360">
      <c r="A8360" s="17"/>
      <c r="H8360" s="18"/>
      <c r="K8360" s="18" t="s">
        <v>316</v>
      </c>
    </row>
    <row r="8361">
      <c r="A8361" s="17"/>
      <c r="H8361" s="18"/>
      <c r="K8361" s="18" t="s">
        <v>316</v>
      </c>
    </row>
    <row r="8362">
      <c r="A8362" s="17"/>
      <c r="H8362" s="18"/>
      <c r="K8362" s="18" t="s">
        <v>316</v>
      </c>
    </row>
    <row r="8363">
      <c r="A8363" s="17"/>
      <c r="H8363" s="18"/>
      <c r="K8363" s="18" t="s">
        <v>316</v>
      </c>
    </row>
    <row r="8364">
      <c r="A8364" s="17"/>
      <c r="H8364" s="18"/>
      <c r="K8364" s="18" t="s">
        <v>316</v>
      </c>
    </row>
    <row r="8365">
      <c r="A8365" s="17"/>
      <c r="H8365" s="18"/>
      <c r="K8365" s="18" t="s">
        <v>316</v>
      </c>
    </row>
    <row r="8366">
      <c r="A8366" s="17"/>
      <c r="H8366" s="18"/>
      <c r="K8366" s="18" t="s">
        <v>316</v>
      </c>
    </row>
    <row r="8367">
      <c r="A8367" s="17"/>
      <c r="H8367" s="18"/>
      <c r="K8367" s="18" t="s">
        <v>316</v>
      </c>
    </row>
    <row r="8368">
      <c r="A8368" s="17"/>
      <c r="H8368" s="18"/>
      <c r="K8368" s="18" t="s">
        <v>316</v>
      </c>
    </row>
    <row r="8369">
      <c r="A8369" s="17"/>
      <c r="H8369" s="18"/>
      <c r="K8369" s="18" t="s">
        <v>316</v>
      </c>
    </row>
    <row r="8370">
      <c r="A8370" s="17"/>
      <c r="H8370" s="18"/>
      <c r="K8370" s="18" t="s">
        <v>316</v>
      </c>
    </row>
    <row r="8371">
      <c r="A8371" s="17"/>
      <c r="H8371" s="18"/>
      <c r="K8371" s="18" t="s">
        <v>316</v>
      </c>
    </row>
    <row r="8372">
      <c r="A8372" s="17"/>
      <c r="H8372" s="18"/>
      <c r="K8372" s="18" t="s">
        <v>316</v>
      </c>
    </row>
    <row r="8373">
      <c r="A8373" s="17"/>
      <c r="H8373" s="18"/>
      <c r="K8373" s="18" t="s">
        <v>316</v>
      </c>
    </row>
    <row r="8374">
      <c r="A8374" s="17"/>
      <c r="H8374" s="18"/>
      <c r="K8374" s="18" t="s">
        <v>316</v>
      </c>
    </row>
    <row r="8375">
      <c r="A8375" s="17"/>
      <c r="H8375" s="18"/>
      <c r="K8375" s="18" t="s">
        <v>316</v>
      </c>
    </row>
    <row r="8376">
      <c r="A8376" s="17"/>
      <c r="H8376" s="18"/>
      <c r="K8376" s="18" t="s">
        <v>316</v>
      </c>
    </row>
    <row r="8377">
      <c r="A8377" s="17"/>
      <c r="H8377" s="18"/>
      <c r="K8377" s="18" t="s">
        <v>316</v>
      </c>
    </row>
    <row r="8378">
      <c r="A8378" s="17"/>
      <c r="H8378" s="18"/>
      <c r="K8378" s="18" t="s">
        <v>316</v>
      </c>
    </row>
    <row r="8379">
      <c r="A8379" s="17"/>
      <c r="H8379" s="18"/>
      <c r="K8379" s="18" t="s">
        <v>316</v>
      </c>
    </row>
    <row r="8380">
      <c r="A8380" s="17"/>
      <c r="H8380" s="18"/>
      <c r="K8380" s="18" t="s">
        <v>316</v>
      </c>
    </row>
    <row r="8381">
      <c r="A8381" s="17"/>
      <c r="H8381" s="18"/>
      <c r="K8381" s="18" t="s">
        <v>316</v>
      </c>
    </row>
    <row r="8382">
      <c r="A8382" s="17"/>
      <c r="H8382" s="18"/>
      <c r="K8382" s="18" t="s">
        <v>316</v>
      </c>
    </row>
    <row r="8383">
      <c r="A8383" s="17"/>
      <c r="H8383" s="18"/>
      <c r="K8383" s="18" t="s">
        <v>316</v>
      </c>
    </row>
    <row r="8384">
      <c r="A8384" s="17"/>
      <c r="H8384" s="18"/>
      <c r="K8384" s="18" t="s">
        <v>316</v>
      </c>
    </row>
    <row r="8385">
      <c r="A8385" s="17"/>
      <c r="H8385" s="18"/>
      <c r="K8385" s="18" t="s">
        <v>316</v>
      </c>
    </row>
    <row r="8386">
      <c r="A8386" s="17"/>
      <c r="H8386" s="18"/>
      <c r="K8386" s="18" t="s">
        <v>316</v>
      </c>
    </row>
    <row r="8387">
      <c r="A8387" s="17"/>
      <c r="H8387" s="18"/>
      <c r="K8387" s="18" t="s">
        <v>316</v>
      </c>
    </row>
    <row r="8388">
      <c r="A8388" s="17"/>
      <c r="H8388" s="18"/>
      <c r="K8388" s="18" t="s">
        <v>316</v>
      </c>
    </row>
    <row r="8389">
      <c r="A8389" s="17"/>
      <c r="H8389" s="18"/>
      <c r="K8389" s="18" t="s">
        <v>316</v>
      </c>
    </row>
    <row r="8390">
      <c r="A8390" s="17"/>
      <c r="H8390" s="18"/>
      <c r="K8390" s="18" t="s">
        <v>316</v>
      </c>
    </row>
    <row r="8391">
      <c r="A8391" s="17"/>
      <c r="H8391" s="18"/>
      <c r="K8391" s="18" t="s">
        <v>316</v>
      </c>
    </row>
    <row r="8392">
      <c r="A8392" s="17"/>
      <c r="H8392" s="18"/>
      <c r="K8392" s="18" t="s">
        <v>316</v>
      </c>
    </row>
    <row r="8393">
      <c r="A8393" s="17"/>
      <c r="H8393" s="18"/>
      <c r="K8393" s="18" t="s">
        <v>316</v>
      </c>
    </row>
    <row r="8394">
      <c r="A8394" s="17"/>
      <c r="H8394" s="18"/>
      <c r="K8394" s="18" t="s">
        <v>316</v>
      </c>
    </row>
    <row r="8395">
      <c r="A8395" s="17"/>
      <c r="H8395" s="18"/>
      <c r="K8395" s="18" t="s">
        <v>316</v>
      </c>
    </row>
    <row r="8396">
      <c r="A8396" s="17"/>
      <c r="H8396" s="18"/>
      <c r="K8396" s="18" t="s">
        <v>316</v>
      </c>
    </row>
    <row r="8397">
      <c r="A8397" s="17"/>
      <c r="H8397" s="18"/>
      <c r="K8397" s="18" t="s">
        <v>316</v>
      </c>
    </row>
    <row r="8398">
      <c r="A8398" s="17"/>
      <c r="H8398" s="18"/>
      <c r="K8398" s="18" t="s">
        <v>316</v>
      </c>
    </row>
    <row r="8399">
      <c r="A8399" s="17"/>
      <c r="H8399" s="18"/>
      <c r="K8399" s="18" t="s">
        <v>316</v>
      </c>
    </row>
    <row r="8400">
      <c r="A8400" s="17"/>
      <c r="H8400" s="18"/>
      <c r="K8400" s="18" t="s">
        <v>316</v>
      </c>
    </row>
    <row r="8401">
      <c r="A8401" s="17"/>
      <c r="H8401" s="18"/>
      <c r="K8401" s="18" t="s">
        <v>316</v>
      </c>
    </row>
    <row r="8402">
      <c r="A8402" s="17"/>
      <c r="H8402" s="18"/>
      <c r="K8402" s="18" t="s">
        <v>316</v>
      </c>
    </row>
    <row r="8403">
      <c r="A8403" s="17"/>
      <c r="H8403" s="18"/>
      <c r="K8403" s="18" t="s">
        <v>316</v>
      </c>
    </row>
    <row r="8404">
      <c r="A8404" s="17"/>
      <c r="H8404" s="18"/>
      <c r="K8404" s="18" t="s">
        <v>316</v>
      </c>
    </row>
    <row r="8405">
      <c r="A8405" s="17"/>
      <c r="H8405" s="18"/>
      <c r="K8405" s="18" t="s">
        <v>316</v>
      </c>
    </row>
    <row r="8406">
      <c r="A8406" s="17"/>
      <c r="H8406" s="18"/>
      <c r="K8406" s="18" t="s">
        <v>316</v>
      </c>
    </row>
    <row r="8407">
      <c r="A8407" s="17"/>
      <c r="H8407" s="18"/>
      <c r="K8407" s="18" t="s">
        <v>316</v>
      </c>
    </row>
    <row r="8408">
      <c r="A8408" s="17"/>
      <c r="H8408" s="18"/>
      <c r="K8408" s="18" t="s">
        <v>316</v>
      </c>
    </row>
    <row r="8409">
      <c r="A8409" s="17"/>
      <c r="H8409" s="18"/>
      <c r="K8409" s="18" t="s">
        <v>316</v>
      </c>
    </row>
    <row r="8410">
      <c r="A8410" s="17"/>
      <c r="H8410" s="18"/>
      <c r="K8410" s="18" t="s">
        <v>316</v>
      </c>
    </row>
    <row r="8411">
      <c r="A8411" s="17"/>
      <c r="H8411" s="18"/>
      <c r="K8411" s="18" t="s">
        <v>316</v>
      </c>
    </row>
    <row r="8412">
      <c r="A8412" s="17"/>
      <c r="H8412" s="18"/>
      <c r="K8412" s="18" t="s">
        <v>316</v>
      </c>
    </row>
    <row r="8413">
      <c r="A8413" s="17"/>
      <c r="H8413" s="18"/>
      <c r="K8413" s="18" t="s">
        <v>316</v>
      </c>
    </row>
    <row r="8414">
      <c r="A8414" s="17"/>
      <c r="H8414" s="18"/>
      <c r="K8414" s="18" t="s">
        <v>316</v>
      </c>
    </row>
    <row r="8415">
      <c r="A8415" s="17"/>
      <c r="H8415" s="18"/>
      <c r="K8415" s="18" t="s">
        <v>316</v>
      </c>
    </row>
    <row r="8416">
      <c r="A8416" s="17"/>
      <c r="H8416" s="18"/>
      <c r="K8416" s="18" t="s">
        <v>316</v>
      </c>
    </row>
    <row r="8417">
      <c r="A8417" s="17"/>
      <c r="H8417" s="18"/>
      <c r="K8417" s="18" t="s">
        <v>316</v>
      </c>
    </row>
    <row r="8418">
      <c r="A8418" s="17"/>
      <c r="H8418" s="18"/>
      <c r="K8418" s="18" t="s">
        <v>316</v>
      </c>
    </row>
    <row r="8419">
      <c r="A8419" s="17"/>
      <c r="H8419" s="18"/>
      <c r="K8419" s="18" t="s">
        <v>316</v>
      </c>
    </row>
    <row r="8420">
      <c r="A8420" s="17"/>
      <c r="H8420" s="18"/>
      <c r="K8420" s="18" t="s">
        <v>316</v>
      </c>
    </row>
    <row r="8421">
      <c r="A8421" s="17"/>
      <c r="H8421" s="18"/>
      <c r="K8421" s="18" t="s">
        <v>316</v>
      </c>
    </row>
    <row r="8422">
      <c r="A8422" s="17"/>
      <c r="H8422" s="18"/>
      <c r="K8422" s="18" t="s">
        <v>316</v>
      </c>
    </row>
    <row r="8423">
      <c r="A8423" s="17"/>
      <c r="H8423" s="18"/>
      <c r="K8423" s="18" t="s">
        <v>316</v>
      </c>
    </row>
    <row r="8424">
      <c r="A8424" s="17"/>
      <c r="H8424" s="18"/>
      <c r="K8424" s="18" t="s">
        <v>316</v>
      </c>
    </row>
    <row r="8425">
      <c r="A8425" s="17"/>
      <c r="H8425" s="18"/>
      <c r="K8425" s="18" t="s">
        <v>316</v>
      </c>
    </row>
    <row r="8426">
      <c r="A8426" s="17"/>
      <c r="H8426" s="18"/>
      <c r="K8426" s="18" t="s">
        <v>316</v>
      </c>
    </row>
    <row r="8427">
      <c r="A8427" s="17"/>
      <c r="H8427" s="18"/>
      <c r="K8427" s="18" t="s">
        <v>316</v>
      </c>
    </row>
    <row r="8428">
      <c r="A8428" s="17"/>
      <c r="H8428" s="18"/>
      <c r="K8428" s="18" t="s">
        <v>316</v>
      </c>
    </row>
    <row r="8429">
      <c r="A8429" s="17"/>
      <c r="H8429" s="18"/>
      <c r="K8429" s="18" t="s">
        <v>316</v>
      </c>
    </row>
    <row r="8430">
      <c r="A8430" s="17"/>
      <c r="H8430" s="18"/>
      <c r="K8430" s="18" t="s">
        <v>316</v>
      </c>
    </row>
    <row r="8431">
      <c r="A8431" s="17"/>
      <c r="H8431" s="18"/>
      <c r="K8431" s="18" t="s">
        <v>316</v>
      </c>
    </row>
    <row r="8432">
      <c r="A8432" s="17"/>
      <c r="H8432" s="18"/>
      <c r="K8432" s="18" t="s">
        <v>316</v>
      </c>
    </row>
    <row r="8433">
      <c r="A8433" s="17"/>
      <c r="H8433" s="18"/>
      <c r="K8433" s="18" t="s">
        <v>316</v>
      </c>
    </row>
    <row r="8434">
      <c r="A8434" s="17"/>
      <c r="H8434" s="18"/>
      <c r="K8434" s="18" t="s">
        <v>316</v>
      </c>
    </row>
    <row r="8435">
      <c r="A8435" s="17"/>
      <c r="H8435" s="18"/>
      <c r="K8435" s="18" t="s">
        <v>316</v>
      </c>
    </row>
    <row r="8436">
      <c r="A8436" s="17"/>
      <c r="H8436" s="18"/>
      <c r="K8436" s="18" t="s">
        <v>316</v>
      </c>
    </row>
    <row r="8437">
      <c r="A8437" s="17"/>
      <c r="H8437" s="18"/>
      <c r="K8437" s="18" t="s">
        <v>316</v>
      </c>
    </row>
    <row r="8438">
      <c r="A8438" s="17"/>
      <c r="H8438" s="18"/>
      <c r="K8438" s="18" t="s">
        <v>316</v>
      </c>
    </row>
    <row r="8439">
      <c r="A8439" s="17"/>
      <c r="H8439" s="18"/>
      <c r="K8439" s="18" t="s">
        <v>316</v>
      </c>
    </row>
    <row r="8440">
      <c r="A8440" s="17"/>
      <c r="H8440" s="18"/>
      <c r="K8440" s="18" t="s">
        <v>316</v>
      </c>
    </row>
    <row r="8441">
      <c r="A8441" s="17"/>
      <c r="H8441" s="18"/>
      <c r="K8441" s="18" t="s">
        <v>316</v>
      </c>
    </row>
    <row r="8442">
      <c r="A8442" s="17"/>
      <c r="H8442" s="18"/>
      <c r="K8442" s="18" t="s">
        <v>316</v>
      </c>
    </row>
    <row r="8443">
      <c r="A8443" s="17"/>
      <c r="H8443" s="18"/>
      <c r="K8443" s="18" t="s">
        <v>316</v>
      </c>
    </row>
    <row r="8444">
      <c r="A8444" s="17"/>
      <c r="H8444" s="18"/>
      <c r="K8444" s="18" t="s">
        <v>316</v>
      </c>
    </row>
    <row r="8445">
      <c r="A8445" s="17"/>
      <c r="H8445" s="18"/>
      <c r="K8445" s="18" t="s">
        <v>316</v>
      </c>
    </row>
    <row r="8446">
      <c r="A8446" s="17"/>
      <c r="H8446" s="18"/>
      <c r="K8446" s="18" t="s">
        <v>316</v>
      </c>
    </row>
    <row r="8447">
      <c r="A8447" s="17"/>
      <c r="H8447" s="18"/>
      <c r="K8447" s="18" t="s">
        <v>316</v>
      </c>
    </row>
    <row r="8448">
      <c r="A8448" s="17"/>
      <c r="H8448" s="18"/>
      <c r="K8448" s="18" t="s">
        <v>316</v>
      </c>
    </row>
    <row r="8449">
      <c r="A8449" s="17"/>
      <c r="H8449" s="18"/>
      <c r="K8449" s="18" t="s">
        <v>316</v>
      </c>
    </row>
    <row r="8450">
      <c r="A8450" s="17"/>
      <c r="H8450" s="18"/>
      <c r="K8450" s="18" t="s">
        <v>316</v>
      </c>
    </row>
    <row r="8451">
      <c r="A8451" s="17"/>
      <c r="H8451" s="18"/>
      <c r="K8451" s="18" t="s">
        <v>316</v>
      </c>
    </row>
    <row r="8452">
      <c r="A8452" s="17"/>
      <c r="H8452" s="18"/>
      <c r="K8452" s="18" t="s">
        <v>316</v>
      </c>
    </row>
    <row r="8453">
      <c r="A8453" s="17"/>
      <c r="H8453" s="18"/>
      <c r="K8453" s="18" t="s">
        <v>316</v>
      </c>
    </row>
    <row r="8454">
      <c r="A8454" s="17"/>
      <c r="H8454" s="18"/>
      <c r="K8454" s="18" t="s">
        <v>316</v>
      </c>
    </row>
    <row r="8455">
      <c r="A8455" s="17"/>
      <c r="H8455" s="18"/>
      <c r="K8455" s="18" t="s">
        <v>316</v>
      </c>
    </row>
    <row r="8456">
      <c r="A8456" s="17"/>
      <c r="H8456" s="18"/>
      <c r="K8456" s="18" t="s">
        <v>316</v>
      </c>
    </row>
    <row r="8457">
      <c r="A8457" s="17"/>
      <c r="H8457" s="18"/>
      <c r="K8457" s="18" t="s">
        <v>316</v>
      </c>
    </row>
    <row r="8458">
      <c r="A8458" s="17"/>
      <c r="H8458" s="18"/>
      <c r="K8458" s="18" t="s">
        <v>316</v>
      </c>
    </row>
    <row r="8459">
      <c r="A8459" s="17"/>
      <c r="H8459" s="18"/>
      <c r="K8459" s="18" t="s">
        <v>316</v>
      </c>
    </row>
    <row r="8460">
      <c r="A8460" s="17"/>
      <c r="H8460" s="18"/>
      <c r="K8460" s="18" t="s">
        <v>316</v>
      </c>
    </row>
    <row r="8461">
      <c r="A8461" s="17"/>
      <c r="H8461" s="18"/>
      <c r="K8461" s="18" t="s">
        <v>316</v>
      </c>
    </row>
    <row r="8462">
      <c r="A8462" s="17"/>
      <c r="H8462" s="18"/>
      <c r="K8462" s="18" t="s">
        <v>316</v>
      </c>
    </row>
    <row r="8463">
      <c r="A8463" s="17"/>
      <c r="H8463" s="18"/>
      <c r="K8463" s="18" t="s">
        <v>316</v>
      </c>
    </row>
    <row r="8464">
      <c r="A8464" s="17"/>
      <c r="H8464" s="18"/>
      <c r="K8464" s="18" t="s">
        <v>316</v>
      </c>
    </row>
    <row r="8465">
      <c r="A8465" s="17"/>
      <c r="H8465" s="18"/>
      <c r="K8465" s="18" t="s">
        <v>316</v>
      </c>
    </row>
    <row r="8466">
      <c r="A8466" s="17"/>
      <c r="H8466" s="18"/>
      <c r="K8466" s="18" t="s">
        <v>316</v>
      </c>
    </row>
    <row r="8467">
      <c r="A8467" s="17"/>
      <c r="H8467" s="18"/>
      <c r="K8467" s="18" t="s">
        <v>316</v>
      </c>
    </row>
    <row r="8468">
      <c r="A8468" s="17"/>
      <c r="H8468" s="18"/>
      <c r="K8468" s="18" t="s">
        <v>316</v>
      </c>
    </row>
    <row r="8469">
      <c r="A8469" s="17"/>
      <c r="H8469" s="18"/>
      <c r="K8469" s="18" t="s">
        <v>316</v>
      </c>
    </row>
    <row r="8470">
      <c r="A8470" s="17"/>
      <c r="H8470" s="18"/>
      <c r="K8470" s="18" t="s">
        <v>316</v>
      </c>
    </row>
    <row r="8471">
      <c r="A8471" s="17"/>
      <c r="H8471" s="18"/>
      <c r="K8471" s="18" t="s">
        <v>316</v>
      </c>
    </row>
    <row r="8472">
      <c r="A8472" s="17"/>
      <c r="H8472" s="18"/>
      <c r="K8472" s="18" t="s">
        <v>316</v>
      </c>
    </row>
    <row r="8473">
      <c r="A8473" s="17"/>
      <c r="H8473" s="18"/>
      <c r="K8473" s="18" t="s">
        <v>316</v>
      </c>
    </row>
    <row r="8474">
      <c r="A8474" s="17"/>
      <c r="H8474" s="18"/>
      <c r="K8474" s="18" t="s">
        <v>316</v>
      </c>
    </row>
    <row r="8475">
      <c r="A8475" s="17"/>
      <c r="H8475" s="18"/>
      <c r="K8475" s="18" t="s">
        <v>316</v>
      </c>
    </row>
    <row r="8476">
      <c r="A8476" s="17"/>
      <c r="H8476" s="18"/>
      <c r="K8476" s="18" t="s">
        <v>316</v>
      </c>
    </row>
    <row r="8477">
      <c r="A8477" s="17"/>
      <c r="H8477" s="18"/>
      <c r="K8477" s="18" t="s">
        <v>316</v>
      </c>
    </row>
    <row r="8478">
      <c r="A8478" s="17"/>
      <c r="H8478" s="18"/>
      <c r="K8478" s="18" t="s">
        <v>316</v>
      </c>
    </row>
    <row r="8479">
      <c r="A8479" s="17"/>
      <c r="H8479" s="18"/>
      <c r="K8479" s="18" t="s">
        <v>316</v>
      </c>
    </row>
    <row r="8480">
      <c r="A8480" s="17"/>
      <c r="H8480" s="18"/>
      <c r="K8480" s="18" t="s">
        <v>316</v>
      </c>
    </row>
    <row r="8481">
      <c r="A8481" s="17"/>
      <c r="H8481" s="18"/>
      <c r="K8481" s="18" t="s">
        <v>316</v>
      </c>
    </row>
    <row r="8482">
      <c r="A8482" s="17"/>
      <c r="H8482" s="18"/>
      <c r="K8482" s="18" t="s">
        <v>316</v>
      </c>
    </row>
    <row r="8483">
      <c r="A8483" s="17"/>
      <c r="H8483" s="18"/>
      <c r="K8483" s="18" t="s">
        <v>316</v>
      </c>
    </row>
    <row r="8484">
      <c r="A8484" s="17"/>
      <c r="H8484" s="18"/>
      <c r="K8484" s="18" t="s">
        <v>316</v>
      </c>
    </row>
    <row r="8485">
      <c r="A8485" s="17"/>
      <c r="H8485" s="18"/>
      <c r="K8485" s="18" t="s">
        <v>316</v>
      </c>
    </row>
    <row r="8486">
      <c r="A8486" s="17"/>
      <c r="H8486" s="18"/>
      <c r="K8486" s="18" t="s">
        <v>316</v>
      </c>
    </row>
    <row r="8487">
      <c r="A8487" s="17"/>
      <c r="H8487" s="18"/>
      <c r="K8487" s="18" t="s">
        <v>316</v>
      </c>
    </row>
    <row r="8488">
      <c r="A8488" s="17"/>
      <c r="H8488" s="18"/>
      <c r="K8488" s="18" t="s">
        <v>316</v>
      </c>
    </row>
    <row r="8489">
      <c r="A8489" s="17"/>
      <c r="H8489" s="18"/>
      <c r="K8489" s="18" t="s">
        <v>316</v>
      </c>
    </row>
    <row r="8490">
      <c r="A8490" s="17"/>
      <c r="H8490" s="18"/>
      <c r="K8490" s="18" t="s">
        <v>316</v>
      </c>
    </row>
    <row r="8491">
      <c r="A8491" s="17"/>
      <c r="H8491" s="18"/>
      <c r="K8491" s="18" t="s">
        <v>316</v>
      </c>
    </row>
    <row r="8492">
      <c r="A8492" s="17"/>
      <c r="H8492" s="18"/>
      <c r="K8492" s="18" t="s">
        <v>316</v>
      </c>
    </row>
    <row r="8493">
      <c r="A8493" s="17"/>
      <c r="H8493" s="18"/>
      <c r="K8493" s="18" t="s">
        <v>316</v>
      </c>
    </row>
    <row r="8494">
      <c r="A8494" s="17"/>
      <c r="H8494" s="18"/>
      <c r="K8494" s="18" t="s">
        <v>316</v>
      </c>
    </row>
    <row r="8495">
      <c r="A8495" s="17"/>
      <c r="H8495" s="18"/>
      <c r="K8495" s="18" t="s">
        <v>316</v>
      </c>
    </row>
    <row r="8496">
      <c r="A8496" s="17"/>
      <c r="H8496" s="18"/>
      <c r="K8496" s="18" t="s">
        <v>316</v>
      </c>
    </row>
    <row r="8497">
      <c r="A8497" s="17"/>
      <c r="H8497" s="18"/>
      <c r="K8497" s="18" t="s">
        <v>316</v>
      </c>
    </row>
    <row r="8498">
      <c r="A8498" s="17"/>
      <c r="H8498" s="18"/>
      <c r="K8498" s="18" t="s">
        <v>316</v>
      </c>
    </row>
    <row r="8499">
      <c r="A8499" s="17"/>
      <c r="H8499" s="18"/>
      <c r="K8499" s="18" t="s">
        <v>316</v>
      </c>
    </row>
    <row r="8500">
      <c r="A8500" s="17"/>
      <c r="H8500" s="18"/>
      <c r="K8500" s="18" t="s">
        <v>316</v>
      </c>
    </row>
    <row r="8501">
      <c r="A8501" s="17"/>
      <c r="H8501" s="18"/>
      <c r="K8501" s="18" t="s">
        <v>316</v>
      </c>
    </row>
    <row r="8502">
      <c r="A8502" s="17"/>
      <c r="H8502" s="18"/>
      <c r="K8502" s="18" t="s">
        <v>316</v>
      </c>
    </row>
    <row r="8503">
      <c r="A8503" s="17"/>
      <c r="H8503" s="18"/>
      <c r="K8503" s="18" t="s">
        <v>316</v>
      </c>
    </row>
    <row r="8504">
      <c r="A8504" s="17"/>
      <c r="H8504" s="18"/>
      <c r="K8504" s="18" t="s">
        <v>316</v>
      </c>
    </row>
    <row r="8505">
      <c r="A8505" s="17"/>
      <c r="H8505" s="18"/>
      <c r="K8505" s="18" t="s">
        <v>316</v>
      </c>
    </row>
    <row r="8506">
      <c r="A8506" s="17"/>
      <c r="H8506" s="18"/>
      <c r="K8506" s="18" t="s">
        <v>316</v>
      </c>
    </row>
    <row r="8507">
      <c r="A8507" s="17"/>
      <c r="H8507" s="18"/>
      <c r="K8507" s="18" t="s">
        <v>316</v>
      </c>
    </row>
    <row r="8508">
      <c r="A8508" s="17"/>
      <c r="H8508" s="18"/>
      <c r="K8508" s="18" t="s">
        <v>316</v>
      </c>
    </row>
    <row r="8509">
      <c r="A8509" s="17"/>
      <c r="H8509" s="18"/>
      <c r="K8509" s="18" t="s">
        <v>316</v>
      </c>
    </row>
    <row r="8510">
      <c r="A8510" s="17"/>
      <c r="H8510" s="18"/>
      <c r="K8510" s="18" t="s">
        <v>316</v>
      </c>
    </row>
    <row r="8511">
      <c r="A8511" s="17"/>
      <c r="H8511" s="18"/>
      <c r="K8511" s="18" t="s">
        <v>316</v>
      </c>
    </row>
    <row r="8512">
      <c r="A8512" s="17"/>
      <c r="H8512" s="18"/>
      <c r="K8512" s="18" t="s">
        <v>316</v>
      </c>
    </row>
    <row r="8513">
      <c r="A8513" s="17"/>
      <c r="H8513" s="18"/>
      <c r="K8513" s="18" t="s">
        <v>316</v>
      </c>
    </row>
    <row r="8514">
      <c r="A8514" s="17"/>
      <c r="H8514" s="18"/>
      <c r="K8514" s="18" t="s">
        <v>316</v>
      </c>
    </row>
    <row r="8515">
      <c r="A8515" s="17"/>
      <c r="H8515" s="18"/>
      <c r="K8515" s="18" t="s">
        <v>316</v>
      </c>
    </row>
    <row r="8516">
      <c r="A8516" s="17"/>
      <c r="H8516" s="18"/>
      <c r="K8516" s="18" t="s">
        <v>316</v>
      </c>
    </row>
    <row r="8517">
      <c r="A8517" s="17"/>
      <c r="H8517" s="18"/>
      <c r="K8517" s="18" t="s">
        <v>316</v>
      </c>
    </row>
    <row r="8518">
      <c r="A8518" s="17"/>
      <c r="H8518" s="18"/>
      <c r="K8518" s="18" t="s">
        <v>316</v>
      </c>
    </row>
    <row r="8519">
      <c r="A8519" s="17"/>
      <c r="H8519" s="18"/>
      <c r="K8519" s="18" t="s">
        <v>316</v>
      </c>
    </row>
    <row r="8520">
      <c r="A8520" s="17"/>
      <c r="H8520" s="18"/>
      <c r="K8520" s="18" t="s">
        <v>316</v>
      </c>
    </row>
    <row r="8521">
      <c r="A8521" s="17"/>
      <c r="H8521" s="18"/>
      <c r="K8521" s="18" t="s">
        <v>316</v>
      </c>
    </row>
    <row r="8522">
      <c r="A8522" s="17"/>
      <c r="H8522" s="18"/>
      <c r="K8522" s="18" t="s">
        <v>316</v>
      </c>
    </row>
    <row r="8523">
      <c r="A8523" s="17"/>
      <c r="H8523" s="18"/>
      <c r="K8523" s="18" t="s">
        <v>316</v>
      </c>
    </row>
    <row r="8524">
      <c r="A8524" s="17"/>
      <c r="H8524" s="18"/>
      <c r="K8524" s="18" t="s">
        <v>316</v>
      </c>
    </row>
    <row r="8525">
      <c r="A8525" s="17"/>
      <c r="H8525" s="18"/>
      <c r="K8525" s="18" t="s">
        <v>316</v>
      </c>
    </row>
    <row r="8526">
      <c r="A8526" s="17"/>
      <c r="H8526" s="18"/>
      <c r="K8526" s="18" t="s">
        <v>316</v>
      </c>
    </row>
    <row r="8527">
      <c r="A8527" s="17"/>
      <c r="H8527" s="18"/>
      <c r="K8527" s="18" t="s">
        <v>316</v>
      </c>
    </row>
    <row r="8528">
      <c r="A8528" s="17"/>
      <c r="H8528" s="18"/>
      <c r="K8528" s="18" t="s">
        <v>316</v>
      </c>
    </row>
    <row r="8529">
      <c r="A8529" s="17"/>
      <c r="H8529" s="18"/>
      <c r="K8529" s="18" t="s">
        <v>316</v>
      </c>
    </row>
    <row r="8530">
      <c r="A8530" s="17"/>
      <c r="H8530" s="18"/>
      <c r="K8530" s="18" t="s">
        <v>316</v>
      </c>
    </row>
    <row r="8531">
      <c r="A8531" s="17"/>
      <c r="H8531" s="18"/>
      <c r="K8531" s="18" t="s">
        <v>316</v>
      </c>
    </row>
    <row r="8532">
      <c r="A8532" s="17"/>
      <c r="H8532" s="18"/>
      <c r="K8532" s="18" t="s">
        <v>316</v>
      </c>
    </row>
    <row r="8533">
      <c r="A8533" s="17"/>
      <c r="H8533" s="18"/>
      <c r="K8533" s="18" t="s">
        <v>316</v>
      </c>
    </row>
    <row r="8534">
      <c r="A8534" s="17"/>
      <c r="H8534" s="18"/>
      <c r="K8534" s="18" t="s">
        <v>316</v>
      </c>
    </row>
    <row r="8535">
      <c r="A8535" s="17"/>
      <c r="H8535" s="18"/>
      <c r="K8535" s="18" t="s">
        <v>316</v>
      </c>
    </row>
    <row r="8536">
      <c r="A8536" s="17"/>
      <c r="H8536" s="18"/>
      <c r="K8536" s="18" t="s">
        <v>316</v>
      </c>
    </row>
    <row r="8537">
      <c r="A8537" s="17"/>
      <c r="H8537" s="18"/>
      <c r="K8537" s="18" t="s">
        <v>316</v>
      </c>
    </row>
    <row r="8538">
      <c r="A8538" s="17"/>
      <c r="H8538" s="18"/>
      <c r="K8538" s="18" t="s">
        <v>316</v>
      </c>
    </row>
    <row r="8539">
      <c r="A8539" s="17"/>
      <c r="H8539" s="18"/>
      <c r="K8539" s="18" t="s">
        <v>316</v>
      </c>
    </row>
    <row r="8540">
      <c r="A8540" s="17"/>
      <c r="H8540" s="18"/>
      <c r="K8540" s="18" t="s">
        <v>316</v>
      </c>
    </row>
    <row r="8541">
      <c r="A8541" s="17"/>
      <c r="H8541" s="18"/>
      <c r="K8541" s="18" t="s">
        <v>316</v>
      </c>
    </row>
    <row r="8542">
      <c r="A8542" s="17"/>
      <c r="H8542" s="18"/>
      <c r="K8542" s="18" t="s">
        <v>316</v>
      </c>
    </row>
    <row r="8543">
      <c r="A8543" s="17"/>
      <c r="H8543" s="18"/>
      <c r="K8543" s="18" t="s">
        <v>316</v>
      </c>
    </row>
    <row r="8544">
      <c r="A8544" s="17"/>
      <c r="H8544" s="18"/>
      <c r="K8544" s="18" t="s">
        <v>316</v>
      </c>
    </row>
    <row r="8545">
      <c r="A8545" s="17"/>
      <c r="H8545" s="18"/>
      <c r="K8545" s="18" t="s">
        <v>316</v>
      </c>
    </row>
    <row r="8546">
      <c r="A8546" s="17"/>
      <c r="H8546" s="18"/>
      <c r="K8546" s="18" t="s">
        <v>316</v>
      </c>
    </row>
    <row r="8547">
      <c r="A8547" s="17"/>
      <c r="H8547" s="18"/>
      <c r="K8547" s="18" t="s">
        <v>316</v>
      </c>
    </row>
    <row r="8548">
      <c r="A8548" s="17"/>
      <c r="H8548" s="18"/>
      <c r="K8548" s="18" t="s">
        <v>316</v>
      </c>
    </row>
    <row r="8549">
      <c r="A8549" s="17"/>
      <c r="H8549" s="18"/>
      <c r="K8549" s="18" t="s">
        <v>316</v>
      </c>
    </row>
    <row r="8550">
      <c r="A8550" s="17"/>
      <c r="H8550" s="18"/>
      <c r="K8550" s="18" t="s">
        <v>316</v>
      </c>
    </row>
    <row r="8551">
      <c r="A8551" s="17"/>
      <c r="H8551" s="18"/>
      <c r="K8551" s="18" t="s">
        <v>316</v>
      </c>
    </row>
    <row r="8552">
      <c r="A8552" s="17"/>
      <c r="H8552" s="18"/>
      <c r="K8552" s="18" t="s">
        <v>316</v>
      </c>
    </row>
    <row r="8553">
      <c r="A8553" s="17"/>
      <c r="H8553" s="18"/>
      <c r="K8553" s="18" t="s">
        <v>316</v>
      </c>
    </row>
    <row r="8554">
      <c r="A8554" s="17"/>
      <c r="H8554" s="18"/>
      <c r="K8554" s="18" t="s">
        <v>316</v>
      </c>
    </row>
    <row r="8555">
      <c r="A8555" s="17"/>
      <c r="H8555" s="18"/>
      <c r="K8555" s="18" t="s">
        <v>316</v>
      </c>
    </row>
    <row r="8556">
      <c r="A8556" s="17"/>
      <c r="H8556" s="18"/>
      <c r="K8556" s="18" t="s">
        <v>316</v>
      </c>
    </row>
    <row r="8557">
      <c r="A8557" s="17"/>
      <c r="H8557" s="18"/>
      <c r="K8557" s="18" t="s">
        <v>316</v>
      </c>
    </row>
    <row r="8558">
      <c r="A8558" s="17"/>
      <c r="H8558" s="18"/>
      <c r="K8558" s="18" t="s">
        <v>316</v>
      </c>
    </row>
    <row r="8559">
      <c r="A8559" s="17"/>
      <c r="H8559" s="18"/>
      <c r="K8559" s="18" t="s">
        <v>316</v>
      </c>
    </row>
    <row r="8560">
      <c r="A8560" s="17"/>
      <c r="H8560" s="18"/>
      <c r="K8560" s="18" t="s">
        <v>316</v>
      </c>
    </row>
    <row r="8561">
      <c r="A8561" s="17"/>
      <c r="H8561" s="18"/>
      <c r="K8561" s="18" t="s">
        <v>316</v>
      </c>
    </row>
    <row r="8562">
      <c r="A8562" s="17"/>
      <c r="H8562" s="18"/>
      <c r="K8562" s="18" t="s">
        <v>316</v>
      </c>
    </row>
    <row r="8563">
      <c r="A8563" s="17"/>
      <c r="H8563" s="18"/>
      <c r="K8563" s="18" t="s">
        <v>316</v>
      </c>
    </row>
    <row r="8564">
      <c r="A8564" s="17"/>
      <c r="H8564" s="18"/>
      <c r="K8564" s="18" t="s">
        <v>316</v>
      </c>
    </row>
    <row r="8565">
      <c r="A8565" s="17"/>
      <c r="H8565" s="18"/>
      <c r="K8565" s="18" t="s">
        <v>316</v>
      </c>
    </row>
    <row r="8566">
      <c r="A8566" s="17"/>
      <c r="H8566" s="18"/>
      <c r="K8566" s="18" t="s">
        <v>316</v>
      </c>
    </row>
    <row r="8567">
      <c r="A8567" s="17"/>
      <c r="H8567" s="18"/>
      <c r="K8567" s="18" t="s">
        <v>316</v>
      </c>
    </row>
    <row r="8568">
      <c r="A8568" s="17"/>
      <c r="H8568" s="18"/>
      <c r="K8568" s="18" t="s">
        <v>316</v>
      </c>
    </row>
    <row r="8569">
      <c r="A8569" s="17"/>
      <c r="H8569" s="18"/>
      <c r="K8569" s="18" t="s">
        <v>316</v>
      </c>
    </row>
    <row r="8570">
      <c r="A8570" s="17"/>
      <c r="H8570" s="18"/>
      <c r="K8570" s="18" t="s">
        <v>316</v>
      </c>
    </row>
    <row r="8571">
      <c r="A8571" s="17"/>
      <c r="H8571" s="18"/>
      <c r="K8571" s="18" t="s">
        <v>316</v>
      </c>
    </row>
    <row r="8572">
      <c r="A8572" s="17"/>
      <c r="H8572" s="18"/>
      <c r="K8572" s="18" t="s">
        <v>316</v>
      </c>
    </row>
    <row r="8573">
      <c r="A8573" s="17"/>
      <c r="H8573" s="18"/>
      <c r="K8573" s="18" t="s">
        <v>316</v>
      </c>
    </row>
    <row r="8574">
      <c r="A8574" s="17"/>
      <c r="H8574" s="18"/>
      <c r="K8574" s="18" t="s">
        <v>316</v>
      </c>
    </row>
    <row r="8575">
      <c r="A8575" s="17"/>
      <c r="H8575" s="18"/>
      <c r="K8575" s="18" t="s">
        <v>316</v>
      </c>
    </row>
    <row r="8576">
      <c r="A8576" s="17"/>
      <c r="H8576" s="18"/>
      <c r="K8576" s="18" t="s">
        <v>316</v>
      </c>
    </row>
    <row r="8577">
      <c r="A8577" s="17"/>
      <c r="H8577" s="18"/>
      <c r="K8577" s="18" t="s">
        <v>316</v>
      </c>
    </row>
    <row r="8578">
      <c r="A8578" s="17"/>
      <c r="H8578" s="18"/>
      <c r="K8578" s="18" t="s">
        <v>316</v>
      </c>
    </row>
    <row r="8579">
      <c r="A8579" s="17"/>
      <c r="H8579" s="18"/>
      <c r="K8579" s="18" t="s">
        <v>316</v>
      </c>
    </row>
    <row r="8580">
      <c r="A8580" s="17"/>
      <c r="H8580" s="18"/>
      <c r="K8580" s="18" t="s">
        <v>316</v>
      </c>
    </row>
    <row r="8581">
      <c r="A8581" s="17"/>
      <c r="H8581" s="18"/>
      <c r="K8581" s="18" t="s">
        <v>316</v>
      </c>
    </row>
    <row r="8582">
      <c r="A8582" s="17"/>
      <c r="H8582" s="18"/>
      <c r="K8582" s="18" t="s">
        <v>316</v>
      </c>
    </row>
    <row r="8583">
      <c r="A8583" s="17"/>
      <c r="H8583" s="18"/>
      <c r="K8583" s="18" t="s">
        <v>316</v>
      </c>
    </row>
    <row r="8584">
      <c r="A8584" s="17"/>
      <c r="H8584" s="18"/>
      <c r="K8584" s="18" t="s">
        <v>316</v>
      </c>
    </row>
    <row r="8585">
      <c r="A8585" s="17"/>
      <c r="H8585" s="18"/>
      <c r="K8585" s="18" t="s">
        <v>316</v>
      </c>
    </row>
    <row r="8586">
      <c r="A8586" s="17"/>
      <c r="H8586" s="18"/>
      <c r="K8586" s="18" t="s">
        <v>316</v>
      </c>
    </row>
    <row r="8587">
      <c r="A8587" s="17"/>
      <c r="H8587" s="18"/>
      <c r="K8587" s="18" t="s">
        <v>316</v>
      </c>
    </row>
    <row r="8588">
      <c r="A8588" s="17"/>
      <c r="H8588" s="18"/>
      <c r="K8588" s="18" t="s">
        <v>316</v>
      </c>
    </row>
    <row r="8589">
      <c r="A8589" s="17"/>
      <c r="H8589" s="18"/>
      <c r="K8589" s="18" t="s">
        <v>316</v>
      </c>
    </row>
    <row r="8590">
      <c r="A8590" s="17"/>
      <c r="H8590" s="18"/>
      <c r="K8590" s="18" t="s">
        <v>316</v>
      </c>
    </row>
    <row r="8591">
      <c r="A8591" s="17"/>
      <c r="H8591" s="18"/>
      <c r="K8591" s="18" t="s">
        <v>316</v>
      </c>
    </row>
    <row r="8592">
      <c r="A8592" s="17"/>
      <c r="H8592" s="18"/>
      <c r="K8592" s="18" t="s">
        <v>316</v>
      </c>
    </row>
    <row r="8593">
      <c r="A8593" s="17"/>
      <c r="H8593" s="18"/>
      <c r="K8593" s="18" t="s">
        <v>316</v>
      </c>
    </row>
    <row r="8594">
      <c r="A8594" s="17"/>
      <c r="H8594" s="18"/>
      <c r="K8594" s="18" t="s">
        <v>316</v>
      </c>
    </row>
    <row r="8595">
      <c r="A8595" s="17"/>
      <c r="H8595" s="18"/>
      <c r="K8595" s="18" t="s">
        <v>316</v>
      </c>
    </row>
    <row r="8596">
      <c r="A8596" s="17"/>
      <c r="H8596" s="18"/>
      <c r="K8596" s="18" t="s">
        <v>316</v>
      </c>
    </row>
    <row r="8597">
      <c r="A8597" s="17"/>
      <c r="H8597" s="18"/>
      <c r="K8597" s="18" t="s">
        <v>316</v>
      </c>
    </row>
    <row r="8598">
      <c r="A8598" s="17"/>
      <c r="H8598" s="18"/>
      <c r="K8598" s="18" t="s">
        <v>316</v>
      </c>
    </row>
    <row r="8599">
      <c r="A8599" s="17"/>
      <c r="H8599" s="18"/>
      <c r="K8599" s="18" t="s">
        <v>316</v>
      </c>
    </row>
    <row r="8600">
      <c r="A8600" s="17"/>
      <c r="H8600" s="18"/>
      <c r="K8600" s="18" t="s">
        <v>316</v>
      </c>
    </row>
    <row r="8601">
      <c r="A8601" s="17"/>
      <c r="H8601" s="18"/>
      <c r="K8601" s="18" t="s">
        <v>316</v>
      </c>
    </row>
    <row r="8602">
      <c r="A8602" s="17"/>
      <c r="H8602" s="18"/>
      <c r="K8602" s="18" t="s">
        <v>316</v>
      </c>
    </row>
    <row r="8603">
      <c r="A8603" s="17"/>
      <c r="H8603" s="18"/>
      <c r="K8603" s="18" t="s">
        <v>316</v>
      </c>
    </row>
    <row r="8604">
      <c r="A8604" s="17"/>
      <c r="H8604" s="18"/>
      <c r="K8604" s="18" t="s">
        <v>316</v>
      </c>
    </row>
    <row r="8605">
      <c r="A8605" s="17"/>
      <c r="H8605" s="18"/>
      <c r="K8605" s="18" t="s">
        <v>316</v>
      </c>
    </row>
    <row r="8606">
      <c r="A8606" s="17"/>
      <c r="H8606" s="18"/>
      <c r="K8606" s="18" t="s">
        <v>316</v>
      </c>
    </row>
    <row r="8607">
      <c r="A8607" s="17"/>
      <c r="H8607" s="18"/>
      <c r="K8607" s="18" t="s">
        <v>316</v>
      </c>
    </row>
    <row r="8608">
      <c r="A8608" s="17"/>
      <c r="H8608" s="18"/>
      <c r="K8608" s="18" t="s">
        <v>316</v>
      </c>
    </row>
    <row r="8609">
      <c r="A8609" s="17"/>
      <c r="H8609" s="18"/>
      <c r="K8609" s="18" t="s">
        <v>316</v>
      </c>
    </row>
    <row r="8610">
      <c r="A8610" s="17"/>
      <c r="H8610" s="18"/>
      <c r="K8610" s="18" t="s">
        <v>316</v>
      </c>
    </row>
    <row r="8611">
      <c r="A8611" s="17"/>
      <c r="H8611" s="18"/>
      <c r="K8611" s="18" t="s">
        <v>316</v>
      </c>
    </row>
    <row r="8612">
      <c r="A8612" s="17"/>
      <c r="H8612" s="18"/>
      <c r="K8612" s="18" t="s">
        <v>316</v>
      </c>
    </row>
    <row r="8613">
      <c r="A8613" s="17"/>
      <c r="H8613" s="18"/>
      <c r="K8613" s="18" t="s">
        <v>316</v>
      </c>
    </row>
    <row r="8614">
      <c r="A8614" s="17"/>
      <c r="H8614" s="18"/>
      <c r="K8614" s="18" t="s">
        <v>316</v>
      </c>
    </row>
    <row r="8615">
      <c r="A8615" s="17"/>
      <c r="H8615" s="18"/>
      <c r="K8615" s="18" t="s">
        <v>316</v>
      </c>
    </row>
    <row r="8616">
      <c r="A8616" s="17"/>
      <c r="H8616" s="18"/>
      <c r="K8616" s="18" t="s">
        <v>316</v>
      </c>
    </row>
    <row r="8617">
      <c r="A8617" s="17"/>
      <c r="H8617" s="18"/>
      <c r="K8617" s="18" t="s">
        <v>316</v>
      </c>
    </row>
    <row r="8618">
      <c r="A8618" s="17"/>
      <c r="H8618" s="18"/>
      <c r="K8618" s="18" t="s">
        <v>316</v>
      </c>
    </row>
    <row r="8619">
      <c r="A8619" s="17"/>
      <c r="H8619" s="18"/>
      <c r="K8619" s="18" t="s">
        <v>316</v>
      </c>
    </row>
    <row r="8620">
      <c r="A8620" s="17"/>
      <c r="H8620" s="18"/>
      <c r="K8620" s="18" t="s">
        <v>316</v>
      </c>
    </row>
    <row r="8621">
      <c r="A8621" s="17"/>
      <c r="H8621" s="18"/>
      <c r="K8621" s="18" t="s">
        <v>316</v>
      </c>
    </row>
    <row r="8622">
      <c r="A8622" s="17"/>
      <c r="H8622" s="18"/>
      <c r="K8622" s="18" t="s">
        <v>316</v>
      </c>
    </row>
    <row r="8623">
      <c r="A8623" s="17"/>
      <c r="H8623" s="18"/>
      <c r="K8623" s="18" t="s">
        <v>316</v>
      </c>
    </row>
    <row r="8624">
      <c r="A8624" s="17"/>
      <c r="H8624" s="18"/>
      <c r="K8624" s="18" t="s">
        <v>316</v>
      </c>
    </row>
    <row r="8625">
      <c r="A8625" s="17"/>
      <c r="H8625" s="18"/>
      <c r="K8625" s="18" t="s">
        <v>316</v>
      </c>
    </row>
    <row r="8626">
      <c r="A8626" s="17"/>
      <c r="H8626" s="18"/>
      <c r="K8626" s="18" t="s">
        <v>316</v>
      </c>
    </row>
    <row r="8627">
      <c r="A8627" s="17"/>
      <c r="H8627" s="18"/>
      <c r="K8627" s="18" t="s">
        <v>316</v>
      </c>
    </row>
    <row r="8628">
      <c r="A8628" s="17"/>
      <c r="H8628" s="18"/>
      <c r="K8628" s="18" t="s">
        <v>316</v>
      </c>
    </row>
    <row r="8629">
      <c r="A8629" s="17"/>
      <c r="H8629" s="18"/>
      <c r="K8629" s="18" t="s">
        <v>316</v>
      </c>
    </row>
    <row r="8630">
      <c r="A8630" s="17"/>
      <c r="H8630" s="18"/>
      <c r="K8630" s="18" t="s">
        <v>316</v>
      </c>
    </row>
    <row r="8631">
      <c r="A8631" s="17"/>
      <c r="H8631" s="18"/>
      <c r="K8631" s="18" t="s">
        <v>316</v>
      </c>
    </row>
    <row r="8632">
      <c r="A8632" s="17"/>
      <c r="H8632" s="18"/>
      <c r="K8632" s="18" t="s">
        <v>316</v>
      </c>
    </row>
    <row r="8633">
      <c r="A8633" s="17"/>
      <c r="H8633" s="18"/>
      <c r="K8633" s="18" t="s">
        <v>316</v>
      </c>
    </row>
    <row r="8634">
      <c r="A8634" s="17"/>
      <c r="H8634" s="18"/>
      <c r="K8634" s="18" t="s">
        <v>316</v>
      </c>
    </row>
    <row r="8635">
      <c r="A8635" s="17"/>
      <c r="H8635" s="18"/>
      <c r="K8635" s="18" t="s">
        <v>316</v>
      </c>
    </row>
    <row r="8636">
      <c r="A8636" s="17"/>
      <c r="H8636" s="18"/>
      <c r="K8636" s="18" t="s">
        <v>316</v>
      </c>
    </row>
    <row r="8637">
      <c r="A8637" s="17"/>
      <c r="H8637" s="18"/>
      <c r="K8637" s="18" t="s">
        <v>316</v>
      </c>
    </row>
    <row r="8638">
      <c r="A8638" s="17"/>
      <c r="H8638" s="18"/>
      <c r="K8638" s="18" t="s">
        <v>316</v>
      </c>
    </row>
    <row r="8639">
      <c r="A8639" s="17"/>
      <c r="H8639" s="18"/>
      <c r="K8639" s="18" t="s">
        <v>316</v>
      </c>
    </row>
    <row r="8640">
      <c r="A8640" s="17"/>
      <c r="H8640" s="18"/>
      <c r="K8640" s="18" t="s">
        <v>316</v>
      </c>
    </row>
    <row r="8641">
      <c r="A8641" s="17"/>
      <c r="H8641" s="18"/>
      <c r="K8641" s="18" t="s">
        <v>316</v>
      </c>
    </row>
    <row r="8642">
      <c r="A8642" s="17"/>
      <c r="H8642" s="18"/>
      <c r="K8642" s="18" t="s">
        <v>316</v>
      </c>
    </row>
    <row r="8643">
      <c r="A8643" s="17"/>
      <c r="H8643" s="18"/>
      <c r="K8643" s="18" t="s">
        <v>316</v>
      </c>
    </row>
    <row r="8644">
      <c r="A8644" s="17"/>
      <c r="H8644" s="18"/>
      <c r="K8644" s="18" t="s">
        <v>316</v>
      </c>
    </row>
    <row r="8645">
      <c r="A8645" s="17"/>
      <c r="H8645" s="18"/>
      <c r="K8645" s="18" t="s">
        <v>316</v>
      </c>
    </row>
    <row r="8646">
      <c r="A8646" s="17"/>
      <c r="H8646" s="18"/>
      <c r="K8646" s="18" t="s">
        <v>316</v>
      </c>
    </row>
    <row r="8647">
      <c r="A8647" s="17"/>
      <c r="H8647" s="18"/>
      <c r="K8647" s="18" t="s">
        <v>316</v>
      </c>
    </row>
    <row r="8648">
      <c r="A8648" s="17"/>
      <c r="H8648" s="18"/>
      <c r="K8648" s="18" t="s">
        <v>316</v>
      </c>
    </row>
    <row r="8649">
      <c r="A8649" s="17"/>
      <c r="H8649" s="18"/>
      <c r="K8649" s="18" t="s">
        <v>316</v>
      </c>
    </row>
    <row r="8650">
      <c r="A8650" s="17"/>
      <c r="H8650" s="18"/>
      <c r="K8650" s="18" t="s">
        <v>316</v>
      </c>
    </row>
    <row r="8651">
      <c r="A8651" s="17"/>
      <c r="H8651" s="18"/>
      <c r="K8651" s="18" t="s">
        <v>316</v>
      </c>
    </row>
    <row r="8652">
      <c r="A8652" s="17"/>
      <c r="H8652" s="18"/>
      <c r="K8652" s="18" t="s">
        <v>316</v>
      </c>
    </row>
    <row r="8653">
      <c r="A8653" s="17"/>
      <c r="H8653" s="18"/>
      <c r="K8653" s="18" t="s">
        <v>316</v>
      </c>
    </row>
    <row r="8654">
      <c r="A8654" s="17"/>
      <c r="H8654" s="18"/>
      <c r="K8654" s="18" t="s">
        <v>316</v>
      </c>
    </row>
    <row r="8655">
      <c r="A8655" s="17"/>
      <c r="H8655" s="18"/>
      <c r="K8655" s="18" t="s">
        <v>316</v>
      </c>
    </row>
    <row r="8656">
      <c r="A8656" s="17"/>
      <c r="H8656" s="18"/>
      <c r="K8656" s="18" t="s">
        <v>316</v>
      </c>
    </row>
    <row r="8657">
      <c r="A8657" s="17"/>
      <c r="H8657" s="18"/>
      <c r="K8657" s="18" t="s">
        <v>316</v>
      </c>
    </row>
    <row r="8658">
      <c r="A8658" s="17"/>
      <c r="H8658" s="18"/>
      <c r="K8658" s="18" t="s">
        <v>316</v>
      </c>
    </row>
    <row r="8659">
      <c r="A8659" s="17"/>
      <c r="H8659" s="18"/>
      <c r="K8659" s="18" t="s">
        <v>316</v>
      </c>
    </row>
    <row r="8660">
      <c r="A8660" s="17"/>
      <c r="H8660" s="18"/>
      <c r="K8660" s="18" t="s">
        <v>316</v>
      </c>
    </row>
    <row r="8661">
      <c r="A8661" s="17"/>
      <c r="H8661" s="18"/>
      <c r="K8661" s="18" t="s">
        <v>316</v>
      </c>
    </row>
    <row r="8662">
      <c r="A8662" s="17"/>
      <c r="H8662" s="18"/>
      <c r="K8662" s="18" t="s">
        <v>316</v>
      </c>
    </row>
    <row r="8663">
      <c r="A8663" s="17"/>
      <c r="H8663" s="18"/>
      <c r="K8663" s="18" t="s">
        <v>316</v>
      </c>
    </row>
    <row r="8664">
      <c r="A8664" s="17"/>
      <c r="H8664" s="18"/>
      <c r="K8664" s="18" t="s">
        <v>316</v>
      </c>
    </row>
    <row r="8665">
      <c r="A8665" s="17"/>
      <c r="H8665" s="18"/>
      <c r="K8665" s="18" t="s">
        <v>316</v>
      </c>
    </row>
    <row r="8666">
      <c r="A8666" s="17"/>
      <c r="H8666" s="18"/>
      <c r="K8666" s="18" t="s">
        <v>316</v>
      </c>
    </row>
    <row r="8667">
      <c r="A8667" s="17"/>
      <c r="H8667" s="18"/>
      <c r="K8667" s="18" t="s">
        <v>316</v>
      </c>
    </row>
    <row r="8668">
      <c r="A8668" s="17"/>
      <c r="H8668" s="18"/>
      <c r="K8668" s="18" t="s">
        <v>316</v>
      </c>
    </row>
    <row r="8669">
      <c r="A8669" s="17"/>
      <c r="H8669" s="18"/>
      <c r="K8669" s="18" t="s">
        <v>316</v>
      </c>
    </row>
    <row r="8670">
      <c r="A8670" s="17"/>
      <c r="H8670" s="18"/>
      <c r="K8670" s="18" t="s">
        <v>316</v>
      </c>
    </row>
    <row r="8671">
      <c r="A8671" s="17"/>
      <c r="H8671" s="18"/>
      <c r="K8671" s="18" t="s">
        <v>316</v>
      </c>
    </row>
    <row r="8672">
      <c r="A8672" s="17"/>
      <c r="H8672" s="18"/>
      <c r="K8672" s="18" t="s">
        <v>316</v>
      </c>
    </row>
    <row r="8673">
      <c r="A8673" s="17"/>
      <c r="H8673" s="18"/>
      <c r="K8673" s="18" t="s">
        <v>316</v>
      </c>
    </row>
    <row r="8674">
      <c r="A8674" s="17"/>
      <c r="H8674" s="18"/>
      <c r="K8674" s="18" t="s">
        <v>316</v>
      </c>
    </row>
    <row r="8675">
      <c r="A8675" s="17"/>
      <c r="H8675" s="18"/>
      <c r="K8675" s="18" t="s">
        <v>316</v>
      </c>
    </row>
    <row r="8676">
      <c r="A8676" s="17"/>
      <c r="H8676" s="18"/>
      <c r="K8676" s="18" t="s">
        <v>316</v>
      </c>
    </row>
    <row r="8677">
      <c r="A8677" s="17"/>
      <c r="H8677" s="18"/>
      <c r="K8677" s="18" t="s">
        <v>316</v>
      </c>
    </row>
    <row r="8678">
      <c r="A8678" s="17"/>
      <c r="H8678" s="18"/>
      <c r="K8678" s="18" t="s">
        <v>316</v>
      </c>
    </row>
    <row r="8679">
      <c r="A8679" s="17"/>
      <c r="H8679" s="18"/>
      <c r="K8679" s="18" t="s">
        <v>316</v>
      </c>
    </row>
    <row r="8680">
      <c r="A8680" s="17"/>
      <c r="H8680" s="18"/>
      <c r="K8680" s="18" t="s">
        <v>316</v>
      </c>
    </row>
    <row r="8681">
      <c r="A8681" s="17"/>
      <c r="H8681" s="18"/>
      <c r="K8681" s="18" t="s">
        <v>316</v>
      </c>
    </row>
    <row r="8682">
      <c r="A8682" s="17"/>
      <c r="H8682" s="18"/>
      <c r="K8682" s="18" t="s">
        <v>316</v>
      </c>
    </row>
    <row r="8683">
      <c r="A8683" s="17"/>
      <c r="H8683" s="18"/>
      <c r="K8683" s="18" t="s">
        <v>316</v>
      </c>
    </row>
    <row r="8684">
      <c r="A8684" s="17"/>
      <c r="H8684" s="18"/>
      <c r="K8684" s="18" t="s">
        <v>316</v>
      </c>
    </row>
    <row r="8685">
      <c r="A8685" s="17"/>
      <c r="H8685" s="18"/>
      <c r="K8685" s="18" t="s">
        <v>316</v>
      </c>
    </row>
    <row r="8686">
      <c r="A8686" s="17"/>
      <c r="H8686" s="18"/>
      <c r="K8686" s="18" t="s">
        <v>316</v>
      </c>
    </row>
    <row r="8687">
      <c r="A8687" s="17"/>
      <c r="H8687" s="18"/>
      <c r="K8687" s="18" t="s">
        <v>316</v>
      </c>
    </row>
    <row r="8688">
      <c r="A8688" s="17"/>
      <c r="H8688" s="18"/>
      <c r="K8688" s="18" t="s">
        <v>316</v>
      </c>
    </row>
    <row r="8689">
      <c r="A8689" s="17"/>
      <c r="H8689" s="18"/>
      <c r="K8689" s="18" t="s">
        <v>316</v>
      </c>
    </row>
    <row r="8690">
      <c r="A8690" s="17"/>
      <c r="H8690" s="18"/>
      <c r="K8690" s="18" t="s">
        <v>316</v>
      </c>
    </row>
    <row r="8691">
      <c r="A8691" s="17"/>
      <c r="H8691" s="18"/>
      <c r="K8691" s="18" t="s">
        <v>316</v>
      </c>
    </row>
    <row r="8692">
      <c r="A8692" s="17"/>
      <c r="H8692" s="18"/>
      <c r="K8692" s="18" t="s">
        <v>316</v>
      </c>
    </row>
    <row r="8693">
      <c r="A8693" s="17"/>
      <c r="H8693" s="18"/>
      <c r="K8693" s="18" t="s">
        <v>316</v>
      </c>
    </row>
    <row r="8694">
      <c r="A8694" s="17"/>
      <c r="H8694" s="18"/>
      <c r="K8694" s="18" t="s">
        <v>316</v>
      </c>
    </row>
    <row r="8695">
      <c r="A8695" s="17"/>
      <c r="H8695" s="18"/>
      <c r="K8695" s="18" t="s">
        <v>316</v>
      </c>
    </row>
    <row r="8696">
      <c r="A8696" s="17"/>
      <c r="H8696" s="18"/>
      <c r="K8696" s="18" t="s">
        <v>316</v>
      </c>
    </row>
    <row r="8697">
      <c r="A8697" s="17"/>
      <c r="H8697" s="18"/>
      <c r="K8697" s="18" t="s">
        <v>316</v>
      </c>
    </row>
    <row r="8698">
      <c r="A8698" s="17"/>
      <c r="H8698" s="18"/>
      <c r="K8698" s="18" t="s">
        <v>316</v>
      </c>
    </row>
    <row r="8699">
      <c r="A8699" s="17"/>
      <c r="H8699" s="18"/>
      <c r="K8699" s="18" t="s">
        <v>316</v>
      </c>
    </row>
    <row r="8700">
      <c r="A8700" s="17"/>
      <c r="H8700" s="18"/>
      <c r="K8700" s="18" t="s">
        <v>316</v>
      </c>
    </row>
    <row r="8701">
      <c r="A8701" s="17"/>
      <c r="H8701" s="18"/>
      <c r="K8701" s="18" t="s">
        <v>316</v>
      </c>
    </row>
    <row r="8702">
      <c r="A8702" s="17"/>
      <c r="H8702" s="18"/>
      <c r="K8702" s="18" t="s">
        <v>316</v>
      </c>
    </row>
    <row r="8703">
      <c r="A8703" s="17"/>
      <c r="H8703" s="18"/>
      <c r="K8703" s="18" t="s">
        <v>316</v>
      </c>
    </row>
    <row r="8704">
      <c r="A8704" s="17"/>
      <c r="H8704" s="18"/>
      <c r="K8704" s="18" t="s">
        <v>316</v>
      </c>
    </row>
    <row r="8705">
      <c r="A8705" s="17"/>
      <c r="H8705" s="18"/>
      <c r="K8705" s="18" t="s">
        <v>316</v>
      </c>
    </row>
    <row r="8706">
      <c r="A8706" s="17"/>
      <c r="H8706" s="18"/>
      <c r="K8706" s="18" t="s">
        <v>316</v>
      </c>
    </row>
    <row r="8707">
      <c r="A8707" s="17"/>
      <c r="H8707" s="18"/>
      <c r="K8707" s="18" t="s">
        <v>316</v>
      </c>
    </row>
    <row r="8708">
      <c r="A8708" s="17"/>
      <c r="H8708" s="18"/>
      <c r="K8708" s="18" t="s">
        <v>316</v>
      </c>
    </row>
    <row r="8709">
      <c r="A8709" s="17"/>
      <c r="H8709" s="18"/>
      <c r="K8709" s="18" t="s">
        <v>316</v>
      </c>
    </row>
    <row r="8710">
      <c r="A8710" s="17"/>
      <c r="H8710" s="18"/>
      <c r="K8710" s="18" t="s">
        <v>316</v>
      </c>
    </row>
    <row r="8711">
      <c r="A8711" s="17"/>
      <c r="H8711" s="18"/>
      <c r="K8711" s="18" t="s">
        <v>316</v>
      </c>
    </row>
    <row r="8712">
      <c r="A8712" s="17"/>
      <c r="H8712" s="18"/>
      <c r="K8712" s="18" t="s">
        <v>316</v>
      </c>
    </row>
    <row r="8713">
      <c r="A8713" s="17"/>
      <c r="H8713" s="18"/>
      <c r="K8713" s="18" t="s">
        <v>316</v>
      </c>
    </row>
    <row r="8714">
      <c r="A8714" s="17"/>
      <c r="H8714" s="18"/>
      <c r="K8714" s="18" t="s">
        <v>316</v>
      </c>
    </row>
    <row r="8715">
      <c r="A8715" s="17"/>
      <c r="H8715" s="18"/>
      <c r="K8715" s="18" t="s">
        <v>316</v>
      </c>
    </row>
    <row r="8716">
      <c r="A8716" s="17"/>
      <c r="H8716" s="18"/>
      <c r="K8716" s="18" t="s">
        <v>316</v>
      </c>
    </row>
    <row r="8717">
      <c r="A8717" s="17"/>
      <c r="H8717" s="18"/>
      <c r="K8717" s="18" t="s">
        <v>316</v>
      </c>
    </row>
    <row r="8718">
      <c r="A8718" s="17"/>
      <c r="H8718" s="18"/>
      <c r="K8718" s="18" t="s">
        <v>316</v>
      </c>
    </row>
    <row r="8719">
      <c r="A8719" s="17"/>
      <c r="H8719" s="18"/>
      <c r="K8719" s="18" t="s">
        <v>316</v>
      </c>
    </row>
    <row r="8720">
      <c r="A8720" s="17"/>
      <c r="H8720" s="18"/>
      <c r="K8720" s="18" t="s">
        <v>316</v>
      </c>
    </row>
    <row r="8721">
      <c r="A8721" s="17"/>
      <c r="H8721" s="18"/>
      <c r="K8721" s="18" t="s">
        <v>316</v>
      </c>
    </row>
    <row r="8722">
      <c r="A8722" s="17"/>
      <c r="H8722" s="18"/>
      <c r="K8722" s="18" t="s">
        <v>316</v>
      </c>
    </row>
    <row r="8723">
      <c r="A8723" s="17"/>
      <c r="H8723" s="18"/>
      <c r="K8723" s="18" t="s">
        <v>316</v>
      </c>
    </row>
    <row r="8724">
      <c r="A8724" s="17"/>
      <c r="H8724" s="18"/>
      <c r="K8724" s="18" t="s">
        <v>316</v>
      </c>
    </row>
    <row r="8725">
      <c r="A8725" s="17"/>
      <c r="H8725" s="18"/>
      <c r="K8725" s="18" t="s">
        <v>316</v>
      </c>
    </row>
    <row r="8726">
      <c r="A8726" s="17"/>
      <c r="H8726" s="18"/>
      <c r="K8726" s="18" t="s">
        <v>316</v>
      </c>
    </row>
    <row r="8727">
      <c r="A8727" s="17"/>
      <c r="H8727" s="18"/>
      <c r="K8727" s="18" t="s">
        <v>316</v>
      </c>
    </row>
    <row r="8728">
      <c r="A8728" s="17"/>
      <c r="H8728" s="18"/>
      <c r="K8728" s="18" t="s">
        <v>316</v>
      </c>
    </row>
    <row r="8729">
      <c r="A8729" s="17"/>
      <c r="H8729" s="18"/>
      <c r="K8729" s="18" t="s">
        <v>316</v>
      </c>
    </row>
    <row r="8730">
      <c r="A8730" s="17"/>
      <c r="H8730" s="18"/>
      <c r="K8730" s="18" t="s">
        <v>316</v>
      </c>
    </row>
    <row r="8731">
      <c r="A8731" s="17"/>
      <c r="H8731" s="18"/>
      <c r="K8731" s="18" t="s">
        <v>316</v>
      </c>
    </row>
    <row r="8732">
      <c r="A8732" s="17"/>
      <c r="H8732" s="18"/>
      <c r="K8732" s="18" t="s">
        <v>316</v>
      </c>
    </row>
    <row r="8733">
      <c r="A8733" s="17"/>
      <c r="H8733" s="18"/>
      <c r="K8733" s="18" t="s">
        <v>316</v>
      </c>
    </row>
    <row r="8734">
      <c r="A8734" s="17"/>
      <c r="H8734" s="18"/>
      <c r="K8734" s="18" t="s">
        <v>316</v>
      </c>
    </row>
    <row r="8735">
      <c r="A8735" s="17"/>
      <c r="H8735" s="18"/>
      <c r="K8735" s="18" t="s">
        <v>316</v>
      </c>
    </row>
    <row r="8736">
      <c r="A8736" s="17"/>
      <c r="H8736" s="18"/>
      <c r="K8736" s="18" t="s">
        <v>316</v>
      </c>
    </row>
    <row r="8737">
      <c r="A8737" s="17"/>
      <c r="H8737" s="18"/>
      <c r="K8737" s="18" t="s">
        <v>316</v>
      </c>
    </row>
    <row r="8738">
      <c r="A8738" s="17"/>
      <c r="H8738" s="18"/>
      <c r="K8738" s="18" t="s">
        <v>316</v>
      </c>
    </row>
    <row r="8739">
      <c r="A8739" s="17"/>
      <c r="H8739" s="18"/>
      <c r="K8739" s="18" t="s">
        <v>316</v>
      </c>
    </row>
    <row r="8740">
      <c r="A8740" s="17"/>
      <c r="H8740" s="18"/>
      <c r="K8740" s="18" t="s">
        <v>316</v>
      </c>
    </row>
    <row r="8741">
      <c r="A8741" s="17"/>
      <c r="H8741" s="18"/>
      <c r="K8741" s="18" t="s">
        <v>316</v>
      </c>
    </row>
    <row r="8742">
      <c r="A8742" s="17"/>
      <c r="H8742" s="18"/>
      <c r="K8742" s="18" t="s">
        <v>316</v>
      </c>
    </row>
    <row r="8743">
      <c r="A8743" s="17"/>
      <c r="H8743" s="18"/>
      <c r="K8743" s="18" t="s">
        <v>316</v>
      </c>
    </row>
    <row r="8744">
      <c r="A8744" s="17"/>
      <c r="H8744" s="18"/>
      <c r="K8744" s="18" t="s">
        <v>316</v>
      </c>
    </row>
    <row r="8745">
      <c r="A8745" s="17"/>
      <c r="H8745" s="18"/>
      <c r="K8745" s="18" t="s">
        <v>316</v>
      </c>
    </row>
    <row r="8746">
      <c r="A8746" s="17"/>
      <c r="H8746" s="18"/>
      <c r="K8746" s="18" t="s">
        <v>316</v>
      </c>
    </row>
    <row r="8747">
      <c r="A8747" s="17"/>
      <c r="H8747" s="18"/>
      <c r="K8747" s="18" t="s">
        <v>316</v>
      </c>
    </row>
    <row r="8748">
      <c r="A8748" s="17"/>
      <c r="H8748" s="18"/>
      <c r="K8748" s="18" t="s">
        <v>316</v>
      </c>
    </row>
    <row r="8749">
      <c r="A8749" s="17"/>
      <c r="H8749" s="18"/>
      <c r="K8749" s="18" t="s">
        <v>316</v>
      </c>
    </row>
    <row r="8750">
      <c r="A8750" s="17"/>
      <c r="H8750" s="18"/>
      <c r="K8750" s="18" t="s">
        <v>316</v>
      </c>
    </row>
    <row r="8751">
      <c r="A8751" s="17"/>
      <c r="H8751" s="18"/>
      <c r="K8751" s="18" t="s">
        <v>316</v>
      </c>
    </row>
    <row r="8752">
      <c r="A8752" s="17"/>
      <c r="H8752" s="18"/>
      <c r="K8752" s="18" t="s">
        <v>316</v>
      </c>
    </row>
    <row r="8753">
      <c r="A8753" s="17"/>
      <c r="H8753" s="18"/>
      <c r="K8753" s="18" t="s">
        <v>316</v>
      </c>
    </row>
    <row r="8754">
      <c r="A8754" s="17"/>
      <c r="H8754" s="18"/>
      <c r="K8754" s="18" t="s">
        <v>316</v>
      </c>
    </row>
    <row r="8755">
      <c r="A8755" s="17"/>
      <c r="H8755" s="18"/>
      <c r="K8755" s="18" t="s">
        <v>316</v>
      </c>
    </row>
    <row r="8756">
      <c r="A8756" s="17"/>
      <c r="H8756" s="18"/>
      <c r="K8756" s="18" t="s">
        <v>316</v>
      </c>
    </row>
    <row r="8757">
      <c r="A8757" s="17"/>
      <c r="H8757" s="18"/>
      <c r="K8757" s="18" t="s">
        <v>316</v>
      </c>
    </row>
    <row r="8758">
      <c r="A8758" s="17"/>
      <c r="H8758" s="18"/>
      <c r="K8758" s="18" t="s">
        <v>316</v>
      </c>
    </row>
    <row r="8759">
      <c r="A8759" s="17"/>
      <c r="H8759" s="18"/>
      <c r="K8759" s="18" t="s">
        <v>316</v>
      </c>
    </row>
    <row r="8760">
      <c r="A8760" s="17"/>
      <c r="H8760" s="18"/>
      <c r="K8760" s="18" t="s">
        <v>316</v>
      </c>
    </row>
    <row r="8761">
      <c r="A8761" s="17"/>
      <c r="H8761" s="18"/>
      <c r="K8761" s="18" t="s">
        <v>316</v>
      </c>
    </row>
    <row r="8762">
      <c r="A8762" s="17"/>
      <c r="H8762" s="18"/>
      <c r="K8762" s="18" t="s">
        <v>316</v>
      </c>
    </row>
    <row r="8763">
      <c r="A8763" s="17"/>
      <c r="H8763" s="18"/>
      <c r="K8763" s="18" t="s">
        <v>316</v>
      </c>
    </row>
    <row r="8764">
      <c r="A8764" s="17"/>
      <c r="H8764" s="18"/>
      <c r="K8764" s="18" t="s">
        <v>316</v>
      </c>
    </row>
    <row r="8765">
      <c r="A8765" s="17"/>
      <c r="H8765" s="18"/>
      <c r="K8765" s="18" t="s">
        <v>316</v>
      </c>
    </row>
    <row r="8766">
      <c r="A8766" s="17"/>
      <c r="H8766" s="18"/>
      <c r="K8766" s="18" t="s">
        <v>316</v>
      </c>
    </row>
    <row r="8767">
      <c r="A8767" s="17"/>
      <c r="H8767" s="18"/>
      <c r="K8767" s="18" t="s">
        <v>316</v>
      </c>
    </row>
    <row r="8768">
      <c r="A8768" s="17"/>
      <c r="H8768" s="18"/>
      <c r="K8768" s="18" t="s">
        <v>316</v>
      </c>
    </row>
    <row r="8769">
      <c r="A8769" s="17"/>
      <c r="H8769" s="18"/>
      <c r="K8769" s="18" t="s">
        <v>316</v>
      </c>
    </row>
    <row r="8770">
      <c r="A8770" s="17"/>
      <c r="H8770" s="18"/>
      <c r="K8770" s="18" t="s">
        <v>316</v>
      </c>
    </row>
    <row r="8771">
      <c r="A8771" s="17"/>
      <c r="H8771" s="18"/>
      <c r="K8771" s="18" t="s">
        <v>316</v>
      </c>
    </row>
    <row r="8772">
      <c r="A8772" s="17"/>
      <c r="H8772" s="18"/>
      <c r="K8772" s="18" t="s">
        <v>316</v>
      </c>
    </row>
    <row r="8773">
      <c r="A8773" s="17"/>
      <c r="H8773" s="18"/>
      <c r="K8773" s="18" t="s">
        <v>316</v>
      </c>
    </row>
    <row r="8774">
      <c r="A8774" s="17"/>
      <c r="H8774" s="18"/>
      <c r="K8774" s="18" t="s">
        <v>316</v>
      </c>
    </row>
    <row r="8775">
      <c r="A8775" s="17"/>
      <c r="H8775" s="18"/>
      <c r="K8775" s="18" t="s">
        <v>316</v>
      </c>
    </row>
    <row r="8776">
      <c r="A8776" s="17"/>
      <c r="H8776" s="18"/>
      <c r="K8776" s="18" t="s">
        <v>316</v>
      </c>
    </row>
    <row r="8777">
      <c r="A8777" s="17"/>
      <c r="H8777" s="18"/>
      <c r="K8777" s="18" t="s">
        <v>316</v>
      </c>
    </row>
    <row r="8778">
      <c r="A8778" s="17"/>
      <c r="H8778" s="18"/>
      <c r="K8778" s="18" t="s">
        <v>316</v>
      </c>
    </row>
    <row r="8779">
      <c r="A8779" s="17"/>
      <c r="H8779" s="18"/>
      <c r="K8779" s="18" t="s">
        <v>316</v>
      </c>
    </row>
    <row r="8780">
      <c r="A8780" s="17"/>
      <c r="H8780" s="18"/>
      <c r="K8780" s="18" t="s">
        <v>316</v>
      </c>
    </row>
    <row r="8781">
      <c r="A8781" s="17"/>
      <c r="H8781" s="18"/>
      <c r="K8781" s="18" t="s">
        <v>316</v>
      </c>
    </row>
    <row r="8782">
      <c r="A8782" s="17"/>
      <c r="H8782" s="18"/>
      <c r="K8782" s="18" t="s">
        <v>316</v>
      </c>
    </row>
    <row r="8783">
      <c r="A8783" s="17"/>
      <c r="H8783" s="18"/>
      <c r="K8783" s="18" t="s">
        <v>316</v>
      </c>
    </row>
    <row r="8784">
      <c r="A8784" s="17"/>
      <c r="H8784" s="18"/>
      <c r="K8784" s="18" t="s">
        <v>316</v>
      </c>
    </row>
    <row r="8785">
      <c r="A8785" s="17"/>
      <c r="H8785" s="18"/>
      <c r="K8785" s="18" t="s">
        <v>316</v>
      </c>
    </row>
    <row r="8786">
      <c r="A8786" s="17"/>
      <c r="H8786" s="18"/>
      <c r="K8786" s="18" t="s">
        <v>316</v>
      </c>
    </row>
    <row r="8787">
      <c r="A8787" s="17"/>
      <c r="H8787" s="18"/>
      <c r="K8787" s="18" t="s">
        <v>316</v>
      </c>
    </row>
    <row r="8788">
      <c r="A8788" s="17"/>
      <c r="H8788" s="18"/>
      <c r="K8788" s="18" t="s">
        <v>316</v>
      </c>
    </row>
    <row r="8789">
      <c r="A8789" s="17"/>
      <c r="H8789" s="18"/>
      <c r="K8789" s="18" t="s">
        <v>316</v>
      </c>
    </row>
    <row r="8790">
      <c r="A8790" s="17"/>
      <c r="H8790" s="18"/>
      <c r="K8790" s="18" t="s">
        <v>316</v>
      </c>
    </row>
    <row r="8791">
      <c r="A8791" s="17"/>
      <c r="H8791" s="18"/>
      <c r="K8791" s="18" t="s">
        <v>316</v>
      </c>
    </row>
    <row r="8792">
      <c r="A8792" s="17"/>
      <c r="H8792" s="18"/>
      <c r="K8792" s="18" t="s">
        <v>316</v>
      </c>
    </row>
    <row r="8793">
      <c r="A8793" s="17"/>
      <c r="H8793" s="18"/>
      <c r="K8793" s="18" t="s">
        <v>316</v>
      </c>
    </row>
    <row r="8794">
      <c r="A8794" s="17"/>
      <c r="H8794" s="18"/>
      <c r="K8794" s="18" t="s">
        <v>316</v>
      </c>
    </row>
    <row r="8795">
      <c r="A8795" s="17"/>
      <c r="H8795" s="18"/>
      <c r="K8795" s="18" t="s">
        <v>316</v>
      </c>
    </row>
    <row r="8796">
      <c r="A8796" s="17"/>
      <c r="H8796" s="18"/>
      <c r="K8796" s="18" t="s">
        <v>316</v>
      </c>
    </row>
    <row r="8797">
      <c r="A8797" s="17"/>
      <c r="H8797" s="18"/>
      <c r="K8797" s="18" t="s">
        <v>316</v>
      </c>
    </row>
    <row r="8798">
      <c r="A8798" s="17"/>
      <c r="H8798" s="18"/>
      <c r="K8798" s="18" t="s">
        <v>316</v>
      </c>
    </row>
    <row r="8799">
      <c r="A8799" s="17"/>
      <c r="H8799" s="18"/>
      <c r="K8799" s="18" t="s">
        <v>316</v>
      </c>
    </row>
    <row r="8800">
      <c r="A8800" s="17"/>
      <c r="H8800" s="18"/>
      <c r="K8800" s="18" t="s">
        <v>316</v>
      </c>
    </row>
    <row r="8801">
      <c r="A8801" s="17"/>
      <c r="H8801" s="18"/>
      <c r="K8801" s="18" t="s">
        <v>316</v>
      </c>
    </row>
    <row r="8802">
      <c r="A8802" s="17"/>
      <c r="H8802" s="18"/>
      <c r="K8802" s="18" t="s">
        <v>316</v>
      </c>
    </row>
    <row r="8803">
      <c r="A8803" s="17"/>
      <c r="H8803" s="18"/>
      <c r="K8803" s="18" t="s">
        <v>316</v>
      </c>
    </row>
    <row r="8804">
      <c r="A8804" s="17"/>
      <c r="H8804" s="18"/>
      <c r="K8804" s="18" t="s">
        <v>316</v>
      </c>
    </row>
    <row r="8805">
      <c r="A8805" s="17"/>
      <c r="H8805" s="18"/>
      <c r="K8805" s="18" t="s">
        <v>316</v>
      </c>
    </row>
    <row r="8806">
      <c r="A8806" s="17"/>
      <c r="H8806" s="18"/>
      <c r="K8806" s="18" t="s">
        <v>316</v>
      </c>
    </row>
    <row r="8807">
      <c r="A8807" s="17"/>
      <c r="H8807" s="18"/>
      <c r="K8807" s="18" t="s">
        <v>316</v>
      </c>
    </row>
    <row r="8808">
      <c r="A8808" s="17"/>
      <c r="H8808" s="18"/>
      <c r="K8808" s="18" t="s">
        <v>316</v>
      </c>
    </row>
    <row r="8809">
      <c r="A8809" s="17"/>
      <c r="H8809" s="18"/>
      <c r="K8809" s="18" t="s">
        <v>316</v>
      </c>
    </row>
    <row r="8810">
      <c r="A8810" s="17"/>
      <c r="H8810" s="18"/>
      <c r="K8810" s="18" t="s">
        <v>316</v>
      </c>
    </row>
    <row r="8811">
      <c r="A8811" s="17"/>
      <c r="H8811" s="18"/>
      <c r="K8811" s="18" t="s">
        <v>316</v>
      </c>
    </row>
    <row r="8812">
      <c r="A8812" s="17"/>
      <c r="H8812" s="18"/>
      <c r="K8812" s="18" t="s">
        <v>316</v>
      </c>
    </row>
    <row r="8813">
      <c r="A8813" s="17"/>
      <c r="H8813" s="18"/>
      <c r="K8813" s="18" t="s">
        <v>316</v>
      </c>
    </row>
    <row r="8814">
      <c r="A8814" s="17"/>
      <c r="H8814" s="18"/>
      <c r="K8814" s="18" t="s">
        <v>316</v>
      </c>
    </row>
    <row r="8815">
      <c r="A8815" s="17"/>
      <c r="H8815" s="18"/>
      <c r="K8815" s="18" t="s">
        <v>316</v>
      </c>
    </row>
    <row r="8816">
      <c r="A8816" s="17"/>
      <c r="H8816" s="18"/>
      <c r="K8816" s="18" t="s">
        <v>316</v>
      </c>
    </row>
    <row r="8817">
      <c r="A8817" s="17"/>
      <c r="H8817" s="18"/>
      <c r="K8817" s="18" t="s">
        <v>316</v>
      </c>
    </row>
    <row r="8818">
      <c r="A8818" s="17"/>
      <c r="H8818" s="18"/>
      <c r="K8818" s="18" t="s">
        <v>316</v>
      </c>
    </row>
    <row r="8819">
      <c r="A8819" s="17"/>
      <c r="H8819" s="18"/>
      <c r="K8819" s="18" t="s">
        <v>316</v>
      </c>
    </row>
    <row r="8820">
      <c r="A8820" s="17"/>
      <c r="H8820" s="18"/>
      <c r="K8820" s="18" t="s">
        <v>316</v>
      </c>
    </row>
    <row r="8821">
      <c r="A8821" s="17"/>
      <c r="H8821" s="18"/>
      <c r="K8821" s="18" t="s">
        <v>316</v>
      </c>
    </row>
    <row r="8822">
      <c r="A8822" s="17"/>
      <c r="H8822" s="18"/>
      <c r="K8822" s="18" t="s">
        <v>316</v>
      </c>
    </row>
    <row r="8823">
      <c r="A8823" s="17"/>
      <c r="H8823" s="18"/>
      <c r="K8823" s="18" t="s">
        <v>316</v>
      </c>
    </row>
    <row r="8824">
      <c r="A8824" s="17"/>
      <c r="H8824" s="18"/>
      <c r="K8824" s="18" t="s">
        <v>316</v>
      </c>
    </row>
    <row r="8825">
      <c r="A8825" s="17"/>
      <c r="H8825" s="18"/>
      <c r="K8825" s="18" t="s">
        <v>316</v>
      </c>
    </row>
    <row r="8826">
      <c r="A8826" s="17"/>
      <c r="H8826" s="18"/>
      <c r="K8826" s="18" t="s">
        <v>316</v>
      </c>
    </row>
    <row r="8827">
      <c r="A8827" s="17"/>
      <c r="H8827" s="18"/>
      <c r="K8827" s="18" t="s">
        <v>316</v>
      </c>
    </row>
    <row r="8828">
      <c r="A8828" s="17"/>
      <c r="H8828" s="18"/>
      <c r="K8828" s="18" t="s">
        <v>316</v>
      </c>
    </row>
    <row r="8829">
      <c r="A8829" s="17"/>
      <c r="H8829" s="18"/>
      <c r="K8829" s="18" t="s">
        <v>316</v>
      </c>
    </row>
    <row r="8830">
      <c r="A8830" s="17"/>
      <c r="H8830" s="18"/>
      <c r="K8830" s="18" t="s">
        <v>316</v>
      </c>
    </row>
    <row r="8831">
      <c r="A8831" s="17"/>
      <c r="H8831" s="18"/>
      <c r="K8831" s="18" t="s">
        <v>316</v>
      </c>
    </row>
    <row r="8832">
      <c r="A8832" s="17"/>
      <c r="H8832" s="18"/>
      <c r="K8832" s="18" t="s">
        <v>316</v>
      </c>
    </row>
    <row r="8833">
      <c r="A8833" s="17"/>
      <c r="H8833" s="18"/>
      <c r="K8833" s="18" t="s">
        <v>316</v>
      </c>
    </row>
    <row r="8834">
      <c r="A8834" s="17"/>
      <c r="H8834" s="18"/>
      <c r="K8834" s="18" t="s">
        <v>316</v>
      </c>
    </row>
    <row r="8835">
      <c r="A8835" s="17"/>
      <c r="H8835" s="18"/>
      <c r="K8835" s="18" t="s">
        <v>316</v>
      </c>
    </row>
    <row r="8836">
      <c r="A8836" s="17"/>
      <c r="H8836" s="18"/>
      <c r="K8836" s="18" t="s">
        <v>316</v>
      </c>
    </row>
    <row r="8837">
      <c r="A8837" s="17"/>
      <c r="H8837" s="18"/>
      <c r="K8837" s="18" t="s">
        <v>316</v>
      </c>
    </row>
    <row r="8838">
      <c r="A8838" s="17"/>
      <c r="H8838" s="18"/>
      <c r="K8838" s="18" t="s">
        <v>316</v>
      </c>
    </row>
    <row r="8839">
      <c r="A8839" s="17"/>
      <c r="H8839" s="18"/>
      <c r="K8839" s="18" t="s">
        <v>316</v>
      </c>
    </row>
    <row r="8840">
      <c r="A8840" s="17"/>
      <c r="H8840" s="18"/>
      <c r="K8840" s="18" t="s">
        <v>316</v>
      </c>
    </row>
    <row r="8841">
      <c r="A8841" s="17"/>
      <c r="H8841" s="18"/>
      <c r="K8841" s="18" t="s">
        <v>316</v>
      </c>
    </row>
    <row r="8842">
      <c r="A8842" s="17"/>
      <c r="H8842" s="18"/>
      <c r="K8842" s="18" t="s">
        <v>316</v>
      </c>
    </row>
    <row r="8843">
      <c r="A8843" s="17"/>
      <c r="H8843" s="18"/>
      <c r="K8843" s="18" t="s">
        <v>316</v>
      </c>
    </row>
    <row r="8844">
      <c r="A8844" s="17"/>
      <c r="H8844" s="18"/>
      <c r="K8844" s="18" t="s">
        <v>316</v>
      </c>
    </row>
    <row r="8845">
      <c r="A8845" s="17"/>
      <c r="H8845" s="18"/>
      <c r="K8845" s="18" t="s">
        <v>316</v>
      </c>
    </row>
    <row r="8846">
      <c r="A8846" s="17"/>
      <c r="H8846" s="18"/>
      <c r="K8846" s="18" t="s">
        <v>316</v>
      </c>
    </row>
    <row r="8847">
      <c r="A8847" s="17"/>
      <c r="H8847" s="18"/>
      <c r="K8847" s="18" t="s">
        <v>316</v>
      </c>
    </row>
    <row r="8848">
      <c r="A8848" s="17"/>
      <c r="H8848" s="18"/>
      <c r="K8848" s="18" t="s">
        <v>316</v>
      </c>
    </row>
    <row r="8849">
      <c r="A8849" s="17"/>
      <c r="H8849" s="18"/>
      <c r="K8849" s="18" t="s">
        <v>316</v>
      </c>
    </row>
    <row r="8850">
      <c r="A8850" s="17"/>
      <c r="H8850" s="18"/>
      <c r="K8850" s="18" t="s">
        <v>316</v>
      </c>
    </row>
    <row r="8851">
      <c r="A8851" s="17"/>
      <c r="H8851" s="18"/>
      <c r="K8851" s="18" t="s">
        <v>316</v>
      </c>
    </row>
    <row r="8852">
      <c r="A8852" s="17"/>
      <c r="H8852" s="18"/>
      <c r="K8852" s="18" t="s">
        <v>316</v>
      </c>
    </row>
    <row r="8853">
      <c r="A8853" s="17"/>
      <c r="H8853" s="18"/>
      <c r="K8853" s="18" t="s">
        <v>316</v>
      </c>
    </row>
    <row r="8854">
      <c r="A8854" s="17"/>
      <c r="H8854" s="18"/>
      <c r="K8854" s="18" t="s">
        <v>316</v>
      </c>
    </row>
    <row r="8855">
      <c r="A8855" s="17"/>
      <c r="H8855" s="18"/>
      <c r="K8855" s="18" t="s">
        <v>316</v>
      </c>
    </row>
    <row r="8856">
      <c r="A8856" s="17"/>
      <c r="H8856" s="18"/>
      <c r="K8856" s="18" t="s">
        <v>316</v>
      </c>
    </row>
    <row r="8857">
      <c r="A8857" s="17"/>
      <c r="H8857" s="18"/>
      <c r="K8857" s="18" t="s">
        <v>316</v>
      </c>
    </row>
    <row r="8858">
      <c r="A8858" s="17"/>
      <c r="H8858" s="18"/>
      <c r="K8858" s="18" t="s">
        <v>316</v>
      </c>
    </row>
    <row r="8859">
      <c r="A8859" s="17"/>
      <c r="H8859" s="18"/>
      <c r="K8859" s="18" t="s">
        <v>316</v>
      </c>
    </row>
    <row r="8860">
      <c r="A8860" s="17"/>
      <c r="H8860" s="18"/>
      <c r="K8860" s="18" t="s">
        <v>316</v>
      </c>
    </row>
    <row r="8861">
      <c r="A8861" s="17"/>
      <c r="H8861" s="18"/>
      <c r="K8861" s="18" t="s">
        <v>316</v>
      </c>
    </row>
    <row r="8862">
      <c r="A8862" s="17"/>
      <c r="H8862" s="18"/>
      <c r="K8862" s="18" t="s">
        <v>316</v>
      </c>
    </row>
    <row r="8863">
      <c r="A8863" s="17"/>
      <c r="H8863" s="18"/>
      <c r="K8863" s="18" t="s">
        <v>316</v>
      </c>
    </row>
    <row r="8864">
      <c r="A8864" s="17"/>
      <c r="H8864" s="18"/>
      <c r="K8864" s="18" t="s">
        <v>316</v>
      </c>
    </row>
    <row r="8865">
      <c r="A8865" s="17"/>
      <c r="H8865" s="18"/>
      <c r="K8865" s="18" t="s">
        <v>316</v>
      </c>
    </row>
    <row r="8866">
      <c r="A8866" s="17"/>
      <c r="H8866" s="18"/>
      <c r="K8866" s="18" t="s">
        <v>316</v>
      </c>
    </row>
    <row r="8867">
      <c r="A8867" s="17"/>
      <c r="H8867" s="18"/>
      <c r="K8867" s="18" t="s">
        <v>316</v>
      </c>
    </row>
    <row r="8868">
      <c r="A8868" s="17"/>
      <c r="H8868" s="18"/>
      <c r="K8868" s="18" t="s">
        <v>316</v>
      </c>
    </row>
    <row r="8869">
      <c r="A8869" s="17"/>
      <c r="H8869" s="18"/>
      <c r="K8869" s="18" t="s">
        <v>316</v>
      </c>
    </row>
    <row r="8870">
      <c r="A8870" s="17"/>
      <c r="H8870" s="18"/>
      <c r="K8870" s="18" t="s">
        <v>316</v>
      </c>
    </row>
    <row r="8871">
      <c r="A8871" s="17"/>
      <c r="H8871" s="18"/>
      <c r="K8871" s="18" t="s">
        <v>316</v>
      </c>
    </row>
    <row r="8872">
      <c r="A8872" s="17"/>
      <c r="H8872" s="18"/>
      <c r="K8872" s="18" t="s">
        <v>316</v>
      </c>
    </row>
    <row r="8873">
      <c r="A8873" s="17"/>
      <c r="H8873" s="18"/>
      <c r="K8873" s="18" t="s">
        <v>316</v>
      </c>
    </row>
    <row r="8874">
      <c r="A8874" s="17"/>
      <c r="H8874" s="18"/>
      <c r="K8874" s="18" t="s">
        <v>316</v>
      </c>
    </row>
    <row r="8875">
      <c r="A8875" s="17"/>
      <c r="H8875" s="18"/>
      <c r="K8875" s="18" t="s">
        <v>316</v>
      </c>
    </row>
    <row r="8876">
      <c r="A8876" s="17"/>
      <c r="H8876" s="18"/>
      <c r="K8876" s="18" t="s">
        <v>316</v>
      </c>
    </row>
    <row r="8877">
      <c r="A8877" s="17"/>
      <c r="H8877" s="18"/>
      <c r="K8877" s="18" t="s">
        <v>316</v>
      </c>
    </row>
    <row r="8878">
      <c r="A8878" s="17"/>
      <c r="H8878" s="18"/>
      <c r="K8878" s="18" t="s">
        <v>316</v>
      </c>
    </row>
    <row r="8879">
      <c r="A8879" s="17"/>
      <c r="H8879" s="18"/>
      <c r="K8879" s="18" t="s">
        <v>316</v>
      </c>
    </row>
    <row r="8880">
      <c r="A8880" s="17"/>
      <c r="H8880" s="18"/>
      <c r="K8880" s="18" t="s">
        <v>316</v>
      </c>
    </row>
    <row r="8881">
      <c r="A8881" s="17"/>
      <c r="H8881" s="18"/>
      <c r="K8881" s="18" t="s">
        <v>316</v>
      </c>
    </row>
    <row r="8882">
      <c r="A8882" s="17"/>
      <c r="H8882" s="18"/>
      <c r="K8882" s="18" t="s">
        <v>316</v>
      </c>
    </row>
    <row r="8883">
      <c r="A8883" s="17"/>
      <c r="H8883" s="18"/>
      <c r="K8883" s="18" t="s">
        <v>316</v>
      </c>
    </row>
    <row r="8884">
      <c r="A8884" s="17"/>
      <c r="H8884" s="18"/>
      <c r="K8884" s="18" t="s">
        <v>316</v>
      </c>
    </row>
    <row r="8885">
      <c r="A8885" s="17"/>
      <c r="H8885" s="18"/>
      <c r="K8885" s="18" t="s">
        <v>316</v>
      </c>
    </row>
    <row r="8886">
      <c r="A8886" s="17"/>
      <c r="H8886" s="18"/>
      <c r="K8886" s="18" t="s">
        <v>316</v>
      </c>
    </row>
    <row r="8887">
      <c r="A8887" s="17"/>
      <c r="H8887" s="18"/>
      <c r="K8887" s="18" t="s">
        <v>316</v>
      </c>
    </row>
    <row r="8888">
      <c r="A8888" s="17"/>
      <c r="H8888" s="18"/>
      <c r="K8888" s="18" t="s">
        <v>316</v>
      </c>
    </row>
    <row r="8889">
      <c r="A8889" s="17"/>
      <c r="H8889" s="18"/>
      <c r="K8889" s="18" t="s">
        <v>316</v>
      </c>
    </row>
    <row r="8890">
      <c r="A8890" s="17"/>
      <c r="H8890" s="18"/>
      <c r="K8890" s="18" t="s">
        <v>316</v>
      </c>
    </row>
    <row r="8891">
      <c r="A8891" s="17"/>
      <c r="H8891" s="18"/>
      <c r="K8891" s="18" t="s">
        <v>316</v>
      </c>
    </row>
    <row r="8892">
      <c r="A8892" s="17"/>
      <c r="H8892" s="18"/>
      <c r="K8892" s="18" t="s">
        <v>316</v>
      </c>
    </row>
    <row r="8893">
      <c r="A8893" s="17"/>
      <c r="H8893" s="18"/>
      <c r="K8893" s="18" t="s">
        <v>316</v>
      </c>
    </row>
    <row r="8894">
      <c r="A8894" s="17"/>
      <c r="H8894" s="18"/>
      <c r="K8894" s="18" t="s">
        <v>316</v>
      </c>
    </row>
    <row r="8895">
      <c r="A8895" s="17"/>
      <c r="H8895" s="18"/>
      <c r="K8895" s="18" t="s">
        <v>316</v>
      </c>
    </row>
    <row r="8896">
      <c r="A8896" s="17"/>
      <c r="H8896" s="18"/>
      <c r="K8896" s="18" t="s">
        <v>316</v>
      </c>
    </row>
    <row r="8897">
      <c r="A8897" s="17"/>
      <c r="H8897" s="18"/>
      <c r="K8897" s="18" t="s">
        <v>316</v>
      </c>
    </row>
    <row r="8898">
      <c r="A8898" s="17"/>
      <c r="H8898" s="18"/>
      <c r="K8898" s="18" t="s">
        <v>316</v>
      </c>
    </row>
    <row r="8899">
      <c r="A8899" s="17"/>
      <c r="H8899" s="18"/>
      <c r="K8899" s="18" t="s">
        <v>316</v>
      </c>
    </row>
    <row r="8900">
      <c r="A8900" s="17"/>
      <c r="H8900" s="18"/>
      <c r="K8900" s="18" t="s">
        <v>316</v>
      </c>
    </row>
    <row r="8901">
      <c r="A8901" s="17"/>
      <c r="H8901" s="18"/>
      <c r="K8901" s="18" t="s">
        <v>316</v>
      </c>
    </row>
    <row r="8902">
      <c r="A8902" s="17"/>
      <c r="H8902" s="18"/>
      <c r="K8902" s="18" t="s">
        <v>316</v>
      </c>
    </row>
    <row r="8903">
      <c r="A8903" s="17"/>
      <c r="H8903" s="18"/>
      <c r="K8903" s="18" t="s">
        <v>316</v>
      </c>
    </row>
    <row r="8904">
      <c r="A8904" s="17"/>
      <c r="H8904" s="18"/>
      <c r="K8904" s="18" t="s">
        <v>316</v>
      </c>
    </row>
    <row r="8905">
      <c r="A8905" s="17"/>
      <c r="H8905" s="18"/>
      <c r="K8905" s="18" t="s">
        <v>316</v>
      </c>
    </row>
    <row r="8906">
      <c r="A8906" s="17"/>
      <c r="H8906" s="18"/>
      <c r="K8906" s="18" t="s">
        <v>316</v>
      </c>
    </row>
    <row r="8907">
      <c r="A8907" s="17"/>
      <c r="H8907" s="18"/>
      <c r="K8907" s="18" t="s">
        <v>316</v>
      </c>
    </row>
    <row r="8908">
      <c r="A8908" s="17"/>
      <c r="H8908" s="18"/>
      <c r="K8908" s="18" t="s">
        <v>316</v>
      </c>
    </row>
    <row r="8909">
      <c r="A8909" s="17"/>
      <c r="H8909" s="18"/>
      <c r="K8909" s="18" t="s">
        <v>316</v>
      </c>
    </row>
    <row r="8910">
      <c r="A8910" s="17"/>
      <c r="H8910" s="18"/>
      <c r="K8910" s="18" t="s">
        <v>316</v>
      </c>
    </row>
    <row r="8911">
      <c r="A8911" s="17"/>
      <c r="H8911" s="18"/>
      <c r="K8911" s="18" t="s">
        <v>316</v>
      </c>
    </row>
    <row r="8912">
      <c r="A8912" s="17"/>
      <c r="H8912" s="18"/>
      <c r="K8912" s="18" t="s">
        <v>316</v>
      </c>
    </row>
    <row r="8913">
      <c r="A8913" s="17"/>
      <c r="H8913" s="18"/>
      <c r="K8913" s="18" t="s">
        <v>316</v>
      </c>
    </row>
    <row r="8914">
      <c r="A8914" s="17"/>
      <c r="H8914" s="18"/>
      <c r="K8914" s="18" t="s">
        <v>316</v>
      </c>
    </row>
    <row r="8915">
      <c r="A8915" s="17"/>
      <c r="H8915" s="18"/>
      <c r="K8915" s="18" t="s">
        <v>316</v>
      </c>
    </row>
    <row r="8916">
      <c r="A8916" s="17"/>
      <c r="H8916" s="18"/>
      <c r="K8916" s="18" t="s">
        <v>316</v>
      </c>
    </row>
    <row r="8917">
      <c r="A8917" s="17"/>
      <c r="H8917" s="18"/>
      <c r="K8917" s="18" t="s">
        <v>316</v>
      </c>
    </row>
    <row r="8918">
      <c r="A8918" s="17"/>
      <c r="H8918" s="18"/>
      <c r="K8918" s="18" t="s">
        <v>316</v>
      </c>
    </row>
    <row r="8919">
      <c r="A8919" s="17"/>
      <c r="H8919" s="18"/>
      <c r="K8919" s="18" t="s">
        <v>316</v>
      </c>
    </row>
    <row r="8920">
      <c r="A8920" s="17"/>
      <c r="H8920" s="18"/>
      <c r="K8920" s="18" t="s">
        <v>316</v>
      </c>
    </row>
    <row r="8921">
      <c r="A8921" s="17"/>
      <c r="H8921" s="18"/>
      <c r="K8921" s="18" t="s">
        <v>316</v>
      </c>
    </row>
    <row r="8922">
      <c r="A8922" s="17"/>
      <c r="H8922" s="18"/>
      <c r="K8922" s="18" t="s">
        <v>316</v>
      </c>
    </row>
    <row r="8923">
      <c r="A8923" s="17"/>
      <c r="H8923" s="18"/>
      <c r="K8923" s="18" t="s">
        <v>316</v>
      </c>
    </row>
    <row r="8924">
      <c r="A8924" s="17"/>
      <c r="H8924" s="18"/>
      <c r="K8924" s="18" t="s">
        <v>316</v>
      </c>
    </row>
    <row r="8925">
      <c r="A8925" s="17"/>
      <c r="H8925" s="18"/>
      <c r="K8925" s="18" t="s">
        <v>316</v>
      </c>
    </row>
    <row r="8926">
      <c r="A8926" s="17"/>
      <c r="H8926" s="18"/>
      <c r="K8926" s="18" t="s">
        <v>316</v>
      </c>
    </row>
    <row r="8927">
      <c r="A8927" s="17"/>
      <c r="H8927" s="18"/>
      <c r="K8927" s="18" t="s">
        <v>316</v>
      </c>
    </row>
    <row r="8928">
      <c r="A8928" s="17"/>
      <c r="H8928" s="18"/>
      <c r="K8928" s="18" t="s">
        <v>316</v>
      </c>
    </row>
    <row r="8929">
      <c r="A8929" s="17"/>
      <c r="H8929" s="18"/>
      <c r="K8929" s="18" t="s">
        <v>316</v>
      </c>
    </row>
    <row r="8930">
      <c r="A8930" s="17"/>
      <c r="H8930" s="18"/>
      <c r="K8930" s="18" t="s">
        <v>316</v>
      </c>
    </row>
    <row r="8931">
      <c r="A8931" s="17"/>
      <c r="H8931" s="18"/>
      <c r="K8931" s="18" t="s">
        <v>316</v>
      </c>
    </row>
    <row r="8932">
      <c r="A8932" s="17"/>
      <c r="H8932" s="18"/>
      <c r="K8932" s="18" t="s">
        <v>316</v>
      </c>
    </row>
    <row r="8933">
      <c r="A8933" s="17"/>
      <c r="H8933" s="18"/>
      <c r="K8933" s="18" t="s">
        <v>316</v>
      </c>
    </row>
    <row r="8934">
      <c r="A8934" s="17"/>
      <c r="H8934" s="18"/>
      <c r="K8934" s="18" t="s">
        <v>316</v>
      </c>
    </row>
    <row r="8935">
      <c r="A8935" s="17"/>
      <c r="H8935" s="18"/>
      <c r="K8935" s="18" t="s">
        <v>316</v>
      </c>
    </row>
    <row r="8936">
      <c r="A8936" s="17"/>
      <c r="H8936" s="18"/>
      <c r="K8936" s="18" t="s">
        <v>316</v>
      </c>
    </row>
    <row r="8937">
      <c r="A8937" s="17"/>
      <c r="H8937" s="18"/>
      <c r="K8937" s="18" t="s">
        <v>316</v>
      </c>
    </row>
    <row r="8938">
      <c r="A8938" s="17"/>
      <c r="H8938" s="18"/>
      <c r="K8938" s="18" t="s">
        <v>316</v>
      </c>
    </row>
    <row r="8939">
      <c r="A8939" s="17"/>
      <c r="H8939" s="18"/>
      <c r="K8939" s="18" t="s">
        <v>316</v>
      </c>
    </row>
    <row r="8940">
      <c r="A8940" s="17"/>
      <c r="H8940" s="18"/>
      <c r="K8940" s="18" t="s">
        <v>316</v>
      </c>
    </row>
    <row r="8941">
      <c r="A8941" s="17"/>
      <c r="H8941" s="18"/>
      <c r="K8941" s="18" t="s">
        <v>316</v>
      </c>
    </row>
    <row r="8942">
      <c r="A8942" s="17"/>
      <c r="H8942" s="18"/>
      <c r="K8942" s="18" t="s">
        <v>316</v>
      </c>
    </row>
    <row r="8943">
      <c r="A8943" s="17"/>
      <c r="H8943" s="18"/>
      <c r="K8943" s="18" t="s">
        <v>316</v>
      </c>
    </row>
    <row r="8944">
      <c r="A8944" s="17"/>
      <c r="H8944" s="18"/>
      <c r="K8944" s="18" t="s">
        <v>316</v>
      </c>
    </row>
    <row r="8945">
      <c r="A8945" s="17"/>
      <c r="H8945" s="18"/>
      <c r="K8945" s="18" t="s">
        <v>316</v>
      </c>
    </row>
    <row r="8946">
      <c r="A8946" s="17"/>
      <c r="H8946" s="18"/>
      <c r="K8946" s="18" t="s">
        <v>316</v>
      </c>
    </row>
    <row r="8947">
      <c r="A8947" s="17"/>
      <c r="H8947" s="18"/>
      <c r="K8947" s="18" t="s">
        <v>316</v>
      </c>
    </row>
    <row r="8948">
      <c r="A8948" s="17"/>
      <c r="H8948" s="18"/>
      <c r="K8948" s="18" t="s">
        <v>316</v>
      </c>
    </row>
    <row r="8949">
      <c r="A8949" s="17"/>
      <c r="H8949" s="18"/>
      <c r="K8949" s="18" t="s">
        <v>316</v>
      </c>
    </row>
    <row r="8950">
      <c r="A8950" s="17"/>
      <c r="H8950" s="18"/>
      <c r="K8950" s="18" t="s">
        <v>316</v>
      </c>
    </row>
    <row r="8951">
      <c r="A8951" s="17"/>
      <c r="H8951" s="18"/>
      <c r="K8951" s="18" t="s">
        <v>316</v>
      </c>
    </row>
    <row r="8952">
      <c r="A8952" s="17"/>
      <c r="H8952" s="18"/>
      <c r="K8952" s="18" t="s">
        <v>316</v>
      </c>
    </row>
    <row r="8953">
      <c r="A8953" s="17"/>
      <c r="H8953" s="18"/>
      <c r="K8953" s="18" t="s">
        <v>316</v>
      </c>
    </row>
    <row r="8954">
      <c r="A8954" s="17"/>
      <c r="H8954" s="18"/>
      <c r="K8954" s="18" t="s">
        <v>316</v>
      </c>
    </row>
    <row r="8955">
      <c r="A8955" s="17"/>
      <c r="H8955" s="18"/>
      <c r="K8955" s="18" t="s">
        <v>316</v>
      </c>
    </row>
    <row r="8956">
      <c r="A8956" s="17"/>
      <c r="H8956" s="18"/>
      <c r="K8956" s="18" t="s">
        <v>316</v>
      </c>
    </row>
    <row r="8957">
      <c r="A8957" s="17"/>
      <c r="H8957" s="18"/>
      <c r="K8957" s="18" t="s">
        <v>316</v>
      </c>
    </row>
    <row r="8958">
      <c r="A8958" s="17"/>
      <c r="H8958" s="18"/>
      <c r="K8958" s="18" t="s">
        <v>316</v>
      </c>
    </row>
    <row r="8959">
      <c r="A8959" s="17"/>
      <c r="H8959" s="18"/>
      <c r="K8959" s="18" t="s">
        <v>316</v>
      </c>
    </row>
    <row r="8960">
      <c r="A8960" s="17"/>
      <c r="H8960" s="18"/>
      <c r="K8960" s="18" t="s">
        <v>316</v>
      </c>
    </row>
    <row r="8961">
      <c r="A8961" s="17"/>
      <c r="H8961" s="18"/>
      <c r="K8961" s="18" t="s">
        <v>316</v>
      </c>
    </row>
    <row r="8962">
      <c r="A8962" s="17"/>
      <c r="H8962" s="18"/>
      <c r="K8962" s="18" t="s">
        <v>316</v>
      </c>
    </row>
    <row r="8963">
      <c r="A8963" s="17"/>
      <c r="H8963" s="18"/>
      <c r="K8963" s="18" t="s">
        <v>316</v>
      </c>
    </row>
    <row r="8964">
      <c r="A8964" s="17"/>
      <c r="H8964" s="18"/>
      <c r="K8964" s="18" t="s">
        <v>316</v>
      </c>
    </row>
    <row r="8965">
      <c r="A8965" s="17"/>
      <c r="H8965" s="18"/>
      <c r="K8965" s="18" t="s">
        <v>316</v>
      </c>
    </row>
    <row r="8966">
      <c r="A8966" s="17"/>
      <c r="H8966" s="18"/>
      <c r="K8966" s="18" t="s">
        <v>316</v>
      </c>
    </row>
    <row r="8967">
      <c r="A8967" s="17"/>
      <c r="H8967" s="18"/>
      <c r="K8967" s="18" t="s">
        <v>316</v>
      </c>
    </row>
    <row r="8968">
      <c r="A8968" s="17"/>
      <c r="H8968" s="18"/>
      <c r="K8968" s="18" t="s">
        <v>316</v>
      </c>
    </row>
    <row r="8969">
      <c r="A8969" s="17"/>
      <c r="H8969" s="18"/>
      <c r="K8969" s="18" t="s">
        <v>316</v>
      </c>
    </row>
    <row r="8970">
      <c r="A8970" s="17"/>
      <c r="H8970" s="18"/>
      <c r="K8970" s="18" t="s">
        <v>316</v>
      </c>
    </row>
    <row r="8971">
      <c r="A8971" s="17"/>
      <c r="H8971" s="18"/>
      <c r="K8971" s="18" t="s">
        <v>316</v>
      </c>
    </row>
    <row r="8972">
      <c r="A8972" s="17"/>
      <c r="H8972" s="18"/>
      <c r="K8972" s="18" t="s">
        <v>316</v>
      </c>
    </row>
    <row r="8973">
      <c r="A8973" s="17"/>
      <c r="H8973" s="18"/>
      <c r="K8973" s="18" t="s">
        <v>316</v>
      </c>
    </row>
    <row r="8974">
      <c r="A8974" s="17"/>
      <c r="H8974" s="18"/>
      <c r="K8974" s="18" t="s">
        <v>316</v>
      </c>
    </row>
    <row r="8975">
      <c r="A8975" s="17"/>
      <c r="H8975" s="18"/>
      <c r="K8975" s="18" t="s">
        <v>316</v>
      </c>
    </row>
    <row r="8976">
      <c r="A8976" s="17"/>
      <c r="H8976" s="18"/>
      <c r="K8976" s="18" t="s">
        <v>316</v>
      </c>
    </row>
    <row r="8977">
      <c r="A8977" s="17"/>
      <c r="H8977" s="18"/>
      <c r="K8977" s="18" t="s">
        <v>316</v>
      </c>
    </row>
    <row r="8978">
      <c r="A8978" s="17"/>
      <c r="H8978" s="18"/>
      <c r="K8978" s="18" t="s">
        <v>316</v>
      </c>
    </row>
    <row r="8979">
      <c r="A8979" s="17"/>
      <c r="H8979" s="18"/>
      <c r="K8979" s="18" t="s">
        <v>316</v>
      </c>
    </row>
    <row r="8980">
      <c r="A8980" s="17"/>
      <c r="H8980" s="18"/>
      <c r="K8980" s="18" t="s">
        <v>316</v>
      </c>
    </row>
    <row r="8981">
      <c r="A8981" s="17"/>
      <c r="H8981" s="18"/>
      <c r="K8981" s="18" t="s">
        <v>316</v>
      </c>
    </row>
    <row r="8982">
      <c r="A8982" s="17"/>
      <c r="H8982" s="18"/>
      <c r="K8982" s="18" t="s">
        <v>316</v>
      </c>
    </row>
    <row r="8983">
      <c r="A8983" s="17"/>
      <c r="H8983" s="18"/>
      <c r="K8983" s="18" t="s">
        <v>316</v>
      </c>
    </row>
    <row r="8984">
      <c r="A8984" s="17"/>
      <c r="H8984" s="18"/>
      <c r="K8984" s="18" t="s">
        <v>316</v>
      </c>
    </row>
    <row r="8985">
      <c r="A8985" s="17"/>
      <c r="H8985" s="18"/>
      <c r="K8985" s="18" t="s">
        <v>316</v>
      </c>
    </row>
    <row r="8986">
      <c r="A8986" s="17"/>
      <c r="H8986" s="18"/>
      <c r="K8986" s="18" t="s">
        <v>316</v>
      </c>
    </row>
    <row r="8987">
      <c r="A8987" s="17"/>
      <c r="H8987" s="18"/>
      <c r="K8987" s="18" t="s">
        <v>316</v>
      </c>
    </row>
    <row r="8988">
      <c r="A8988" s="17"/>
      <c r="H8988" s="18"/>
      <c r="K8988" s="18" t="s">
        <v>316</v>
      </c>
    </row>
    <row r="8989">
      <c r="A8989" s="17"/>
      <c r="H8989" s="18"/>
      <c r="K8989" s="18" t="s">
        <v>316</v>
      </c>
    </row>
    <row r="8990">
      <c r="A8990" s="17"/>
      <c r="H8990" s="18"/>
      <c r="K8990" s="18" t="s">
        <v>316</v>
      </c>
    </row>
    <row r="8991">
      <c r="A8991" s="17"/>
      <c r="H8991" s="18"/>
      <c r="K8991" s="18" t="s">
        <v>316</v>
      </c>
    </row>
    <row r="8992">
      <c r="A8992" s="17"/>
      <c r="H8992" s="18"/>
      <c r="K8992" s="18" t="s">
        <v>316</v>
      </c>
    </row>
    <row r="8993">
      <c r="A8993" s="17"/>
      <c r="H8993" s="18"/>
      <c r="K8993" s="18" t="s">
        <v>316</v>
      </c>
    </row>
    <row r="8994">
      <c r="A8994" s="17"/>
      <c r="H8994" s="18"/>
      <c r="K8994" s="18" t="s">
        <v>316</v>
      </c>
    </row>
    <row r="8995">
      <c r="A8995" s="17"/>
      <c r="H8995" s="18"/>
      <c r="K8995" s="18" t="s">
        <v>316</v>
      </c>
    </row>
    <row r="8996">
      <c r="A8996" s="17"/>
      <c r="H8996" s="18"/>
      <c r="K8996" s="18" t="s">
        <v>316</v>
      </c>
    </row>
    <row r="8997">
      <c r="A8997" s="17"/>
      <c r="H8997" s="18"/>
      <c r="K8997" s="18" t="s">
        <v>316</v>
      </c>
    </row>
    <row r="8998">
      <c r="A8998" s="17"/>
      <c r="H8998" s="18"/>
      <c r="K8998" s="18" t="s">
        <v>316</v>
      </c>
    </row>
    <row r="8999">
      <c r="A8999" s="17"/>
      <c r="H8999" s="18"/>
      <c r="K8999" s="18" t="s">
        <v>316</v>
      </c>
    </row>
    <row r="9000">
      <c r="A9000" s="17"/>
      <c r="H9000" s="18"/>
      <c r="K9000" s="18" t="s">
        <v>316</v>
      </c>
    </row>
    <row r="9001">
      <c r="A9001" s="17"/>
      <c r="H9001" s="18"/>
      <c r="K9001" s="18" t="s">
        <v>316</v>
      </c>
    </row>
    <row r="9002">
      <c r="A9002" s="17"/>
      <c r="H9002" s="18"/>
      <c r="K9002" s="18" t="s">
        <v>316</v>
      </c>
    </row>
    <row r="9003">
      <c r="A9003" s="17"/>
      <c r="H9003" s="18"/>
      <c r="K9003" s="18" t="s">
        <v>316</v>
      </c>
    </row>
    <row r="9004">
      <c r="A9004" s="17"/>
      <c r="H9004" s="18"/>
      <c r="K9004" s="18" t="s">
        <v>316</v>
      </c>
    </row>
    <row r="9005">
      <c r="A9005" s="17"/>
      <c r="H9005" s="18"/>
      <c r="K9005" s="18" t="s">
        <v>316</v>
      </c>
    </row>
    <row r="9006">
      <c r="A9006" s="17"/>
      <c r="H9006" s="18"/>
      <c r="K9006" s="18" t="s">
        <v>316</v>
      </c>
    </row>
    <row r="9007">
      <c r="A9007" s="17"/>
      <c r="H9007" s="18"/>
      <c r="K9007" s="18" t="s">
        <v>316</v>
      </c>
    </row>
    <row r="9008">
      <c r="A9008" s="17"/>
      <c r="H9008" s="18"/>
      <c r="K9008" s="18" t="s">
        <v>316</v>
      </c>
    </row>
    <row r="9009">
      <c r="A9009" s="17"/>
      <c r="H9009" s="18"/>
      <c r="K9009" s="18" t="s">
        <v>316</v>
      </c>
    </row>
    <row r="9010">
      <c r="A9010" s="17"/>
      <c r="H9010" s="18"/>
      <c r="K9010" s="18" t="s">
        <v>316</v>
      </c>
    </row>
    <row r="9011">
      <c r="A9011" s="17"/>
      <c r="H9011" s="18"/>
      <c r="K9011" s="18" t="s">
        <v>316</v>
      </c>
    </row>
    <row r="9012">
      <c r="A9012" s="17"/>
      <c r="H9012" s="18"/>
      <c r="K9012" s="18" t="s">
        <v>316</v>
      </c>
    </row>
    <row r="9013">
      <c r="A9013" s="17"/>
      <c r="H9013" s="18"/>
      <c r="K9013" s="18" t="s">
        <v>316</v>
      </c>
    </row>
    <row r="9014">
      <c r="A9014" s="17"/>
      <c r="H9014" s="18"/>
      <c r="K9014" s="18" t="s">
        <v>316</v>
      </c>
    </row>
    <row r="9015">
      <c r="A9015" s="17"/>
      <c r="H9015" s="18"/>
      <c r="K9015" s="18" t="s">
        <v>316</v>
      </c>
    </row>
    <row r="9016">
      <c r="A9016" s="17"/>
      <c r="H9016" s="18"/>
      <c r="K9016" s="18" t="s">
        <v>316</v>
      </c>
    </row>
    <row r="9017">
      <c r="A9017" s="17"/>
      <c r="H9017" s="18"/>
      <c r="K9017" s="18" t="s">
        <v>316</v>
      </c>
    </row>
    <row r="9018">
      <c r="A9018" s="17"/>
      <c r="H9018" s="18"/>
      <c r="K9018" s="18" t="s">
        <v>316</v>
      </c>
    </row>
    <row r="9019">
      <c r="A9019" s="17"/>
      <c r="H9019" s="18"/>
      <c r="K9019" s="18" t="s">
        <v>316</v>
      </c>
    </row>
    <row r="9020">
      <c r="A9020" s="17"/>
      <c r="H9020" s="18"/>
      <c r="K9020" s="18" t="s">
        <v>316</v>
      </c>
    </row>
    <row r="9021">
      <c r="A9021" s="17"/>
      <c r="H9021" s="18"/>
      <c r="K9021" s="18" t="s">
        <v>316</v>
      </c>
    </row>
    <row r="9022">
      <c r="A9022" s="17"/>
      <c r="H9022" s="18"/>
      <c r="K9022" s="18" t="s">
        <v>316</v>
      </c>
    </row>
    <row r="9023">
      <c r="A9023" s="17"/>
      <c r="H9023" s="18"/>
      <c r="K9023" s="18" t="s">
        <v>316</v>
      </c>
    </row>
    <row r="9024">
      <c r="A9024" s="17"/>
      <c r="H9024" s="18"/>
      <c r="K9024" s="18" t="s">
        <v>316</v>
      </c>
    </row>
    <row r="9025">
      <c r="A9025" s="17"/>
      <c r="H9025" s="18"/>
      <c r="K9025" s="18" t="s">
        <v>316</v>
      </c>
    </row>
    <row r="9026">
      <c r="A9026" s="17"/>
      <c r="H9026" s="18"/>
      <c r="K9026" s="18" t="s">
        <v>316</v>
      </c>
    </row>
    <row r="9027">
      <c r="A9027" s="17"/>
      <c r="H9027" s="18"/>
      <c r="K9027" s="18" t="s">
        <v>316</v>
      </c>
    </row>
    <row r="9028">
      <c r="A9028" s="17"/>
      <c r="H9028" s="18"/>
      <c r="K9028" s="18" t="s">
        <v>316</v>
      </c>
    </row>
    <row r="9029">
      <c r="A9029" s="17"/>
      <c r="H9029" s="18"/>
      <c r="K9029" s="18" t="s">
        <v>316</v>
      </c>
    </row>
    <row r="9030">
      <c r="A9030" s="17"/>
      <c r="H9030" s="18"/>
      <c r="K9030" s="18" t="s">
        <v>316</v>
      </c>
    </row>
    <row r="9031">
      <c r="A9031" s="17"/>
      <c r="H9031" s="18"/>
      <c r="K9031" s="18" t="s">
        <v>316</v>
      </c>
    </row>
    <row r="9032">
      <c r="A9032" s="17"/>
      <c r="H9032" s="18"/>
      <c r="K9032" s="18" t="s">
        <v>316</v>
      </c>
    </row>
    <row r="9033">
      <c r="A9033" s="17"/>
      <c r="H9033" s="18"/>
      <c r="K9033" s="18" t="s">
        <v>316</v>
      </c>
    </row>
    <row r="9034">
      <c r="A9034" s="17"/>
      <c r="H9034" s="18"/>
      <c r="K9034" s="18" t="s">
        <v>316</v>
      </c>
    </row>
    <row r="9035">
      <c r="A9035" s="17"/>
      <c r="H9035" s="18"/>
      <c r="K9035" s="18" t="s">
        <v>316</v>
      </c>
    </row>
    <row r="9036">
      <c r="A9036" s="17"/>
      <c r="H9036" s="18"/>
      <c r="K9036" s="18" t="s">
        <v>316</v>
      </c>
    </row>
    <row r="9037">
      <c r="A9037" s="17"/>
      <c r="H9037" s="18"/>
      <c r="K9037" s="18" t="s">
        <v>316</v>
      </c>
    </row>
    <row r="9038">
      <c r="A9038" s="17"/>
      <c r="H9038" s="18"/>
      <c r="K9038" s="18" t="s">
        <v>316</v>
      </c>
    </row>
    <row r="9039">
      <c r="A9039" s="17"/>
      <c r="H9039" s="18"/>
      <c r="K9039" s="18" t="s">
        <v>316</v>
      </c>
    </row>
    <row r="9040">
      <c r="A9040" s="17"/>
      <c r="H9040" s="18"/>
      <c r="K9040" s="18" t="s">
        <v>316</v>
      </c>
    </row>
    <row r="9041">
      <c r="A9041" s="17"/>
      <c r="H9041" s="18"/>
      <c r="K9041" s="18" t="s">
        <v>316</v>
      </c>
    </row>
    <row r="9042">
      <c r="A9042" s="17"/>
      <c r="H9042" s="18"/>
      <c r="K9042" s="18" t="s">
        <v>316</v>
      </c>
    </row>
    <row r="9043">
      <c r="A9043" s="17"/>
      <c r="H9043" s="18"/>
      <c r="K9043" s="18" t="s">
        <v>316</v>
      </c>
    </row>
    <row r="9044">
      <c r="A9044" s="17"/>
      <c r="H9044" s="18"/>
      <c r="K9044" s="18" t="s">
        <v>316</v>
      </c>
    </row>
    <row r="9045">
      <c r="A9045" s="17"/>
      <c r="H9045" s="18"/>
      <c r="K9045" s="18" t="s">
        <v>316</v>
      </c>
    </row>
    <row r="9046">
      <c r="A9046" s="17"/>
      <c r="H9046" s="18"/>
      <c r="K9046" s="18" t="s">
        <v>316</v>
      </c>
    </row>
    <row r="9047">
      <c r="A9047" s="17"/>
      <c r="H9047" s="18"/>
      <c r="K9047" s="18" t="s">
        <v>316</v>
      </c>
    </row>
    <row r="9048">
      <c r="A9048" s="17"/>
      <c r="H9048" s="18"/>
      <c r="K9048" s="18" t="s">
        <v>316</v>
      </c>
    </row>
    <row r="9049">
      <c r="A9049" s="17"/>
      <c r="H9049" s="18"/>
      <c r="K9049" s="18" t="s">
        <v>316</v>
      </c>
    </row>
    <row r="9050">
      <c r="A9050" s="17"/>
      <c r="H9050" s="18"/>
      <c r="K9050" s="18" t="s">
        <v>316</v>
      </c>
    </row>
    <row r="9051">
      <c r="A9051" s="17"/>
      <c r="H9051" s="18"/>
      <c r="K9051" s="18" t="s">
        <v>316</v>
      </c>
    </row>
    <row r="9052">
      <c r="A9052" s="17"/>
      <c r="H9052" s="18"/>
      <c r="K9052" s="18" t="s">
        <v>316</v>
      </c>
    </row>
    <row r="9053">
      <c r="A9053" s="17"/>
      <c r="H9053" s="18"/>
      <c r="K9053" s="18" t="s">
        <v>316</v>
      </c>
    </row>
    <row r="9054">
      <c r="A9054" s="17"/>
      <c r="H9054" s="18"/>
      <c r="K9054" s="18" t="s">
        <v>316</v>
      </c>
    </row>
    <row r="9055">
      <c r="A9055" s="17"/>
      <c r="H9055" s="18"/>
      <c r="K9055" s="18" t="s">
        <v>316</v>
      </c>
    </row>
    <row r="9056">
      <c r="A9056" s="17"/>
      <c r="H9056" s="18"/>
      <c r="K9056" s="18" t="s">
        <v>316</v>
      </c>
    </row>
    <row r="9057">
      <c r="A9057" s="17"/>
      <c r="H9057" s="18"/>
      <c r="K9057" s="18" t="s">
        <v>316</v>
      </c>
    </row>
    <row r="9058">
      <c r="A9058" s="17"/>
      <c r="H9058" s="18"/>
      <c r="K9058" s="18" t="s">
        <v>316</v>
      </c>
    </row>
    <row r="9059">
      <c r="A9059" s="17"/>
      <c r="H9059" s="18"/>
      <c r="K9059" s="18" t="s">
        <v>316</v>
      </c>
    </row>
    <row r="9060">
      <c r="A9060" s="17"/>
      <c r="H9060" s="18"/>
      <c r="K9060" s="18" t="s">
        <v>316</v>
      </c>
    </row>
    <row r="9061">
      <c r="A9061" s="17"/>
      <c r="H9061" s="18"/>
      <c r="K9061" s="18" t="s">
        <v>316</v>
      </c>
    </row>
    <row r="9062">
      <c r="A9062" s="17"/>
      <c r="H9062" s="18"/>
      <c r="K9062" s="18" t="s">
        <v>316</v>
      </c>
    </row>
    <row r="9063">
      <c r="A9063" s="17"/>
      <c r="H9063" s="18"/>
      <c r="K9063" s="18" t="s">
        <v>316</v>
      </c>
    </row>
    <row r="9064">
      <c r="A9064" s="17"/>
      <c r="H9064" s="18"/>
      <c r="K9064" s="18" t="s">
        <v>316</v>
      </c>
    </row>
    <row r="9065">
      <c r="A9065" s="17"/>
      <c r="H9065" s="18"/>
      <c r="K9065" s="18" t="s">
        <v>316</v>
      </c>
    </row>
    <row r="9066">
      <c r="A9066" s="17"/>
      <c r="H9066" s="18"/>
      <c r="K9066" s="18" t="s">
        <v>316</v>
      </c>
    </row>
    <row r="9067">
      <c r="A9067" s="17"/>
      <c r="H9067" s="18"/>
      <c r="K9067" s="18" t="s">
        <v>316</v>
      </c>
    </row>
    <row r="9068">
      <c r="A9068" s="17"/>
      <c r="H9068" s="18"/>
      <c r="K9068" s="18" t="s">
        <v>316</v>
      </c>
    </row>
    <row r="9069">
      <c r="A9069" s="17"/>
      <c r="H9069" s="18"/>
      <c r="K9069" s="18" t="s">
        <v>316</v>
      </c>
    </row>
    <row r="9070">
      <c r="A9070" s="17"/>
      <c r="H9070" s="18"/>
      <c r="K9070" s="18" t="s">
        <v>316</v>
      </c>
    </row>
    <row r="9071">
      <c r="A9071" s="17"/>
      <c r="H9071" s="18"/>
      <c r="K9071" s="18" t="s">
        <v>316</v>
      </c>
    </row>
    <row r="9072">
      <c r="A9072" s="17"/>
      <c r="H9072" s="18"/>
      <c r="K9072" s="18" t="s">
        <v>316</v>
      </c>
    </row>
    <row r="9073">
      <c r="A9073" s="17"/>
      <c r="H9073" s="18"/>
      <c r="K9073" s="18" t="s">
        <v>316</v>
      </c>
    </row>
    <row r="9074">
      <c r="A9074" s="17"/>
      <c r="H9074" s="18"/>
      <c r="K9074" s="18" t="s">
        <v>316</v>
      </c>
    </row>
    <row r="9075">
      <c r="A9075" s="17"/>
      <c r="H9075" s="18"/>
      <c r="K9075" s="18" t="s">
        <v>316</v>
      </c>
    </row>
    <row r="9076">
      <c r="A9076" s="17"/>
      <c r="H9076" s="18"/>
      <c r="K9076" s="18" t="s">
        <v>316</v>
      </c>
    </row>
    <row r="9077">
      <c r="A9077" s="17"/>
      <c r="H9077" s="18"/>
      <c r="K9077" s="18" t="s">
        <v>316</v>
      </c>
    </row>
    <row r="9078">
      <c r="A9078" s="17"/>
      <c r="H9078" s="18"/>
      <c r="K9078" s="18" t="s">
        <v>316</v>
      </c>
    </row>
    <row r="9079">
      <c r="A9079" s="17"/>
      <c r="H9079" s="18"/>
      <c r="K9079" s="18" t="s">
        <v>316</v>
      </c>
    </row>
    <row r="9080">
      <c r="A9080" s="17"/>
      <c r="H9080" s="18"/>
      <c r="K9080" s="18" t="s">
        <v>316</v>
      </c>
    </row>
    <row r="9081">
      <c r="A9081" s="17"/>
      <c r="H9081" s="18"/>
      <c r="K9081" s="18" t="s">
        <v>316</v>
      </c>
    </row>
    <row r="9082">
      <c r="A9082" s="17"/>
      <c r="H9082" s="18"/>
      <c r="K9082" s="18" t="s">
        <v>316</v>
      </c>
    </row>
    <row r="9083">
      <c r="A9083" s="17"/>
      <c r="H9083" s="18"/>
      <c r="K9083" s="18" t="s">
        <v>316</v>
      </c>
    </row>
    <row r="9084">
      <c r="A9084" s="17"/>
      <c r="H9084" s="18"/>
      <c r="K9084" s="18" t="s">
        <v>316</v>
      </c>
    </row>
    <row r="9085">
      <c r="A9085" s="17"/>
      <c r="H9085" s="18"/>
      <c r="K9085" s="18" t="s">
        <v>316</v>
      </c>
    </row>
    <row r="9086">
      <c r="A9086" s="17"/>
      <c r="H9086" s="18"/>
      <c r="K9086" s="18" t="s">
        <v>316</v>
      </c>
    </row>
    <row r="9087">
      <c r="A9087" s="17"/>
      <c r="H9087" s="18"/>
      <c r="K9087" s="18" t="s">
        <v>316</v>
      </c>
    </row>
    <row r="9088">
      <c r="A9088" s="17"/>
      <c r="H9088" s="18"/>
      <c r="K9088" s="18" t="s">
        <v>316</v>
      </c>
    </row>
    <row r="9089">
      <c r="A9089" s="17"/>
      <c r="H9089" s="18"/>
      <c r="K9089" s="18" t="s">
        <v>316</v>
      </c>
    </row>
    <row r="9090">
      <c r="A9090" s="17"/>
      <c r="H9090" s="18"/>
      <c r="K9090" s="18" t="s">
        <v>316</v>
      </c>
    </row>
    <row r="9091">
      <c r="A9091" s="17"/>
      <c r="H9091" s="18"/>
      <c r="K9091" s="18" t="s">
        <v>316</v>
      </c>
    </row>
    <row r="9092">
      <c r="A9092" s="17"/>
      <c r="H9092" s="18"/>
      <c r="K9092" s="18" t="s">
        <v>316</v>
      </c>
    </row>
    <row r="9093">
      <c r="A9093" s="17"/>
      <c r="H9093" s="18"/>
      <c r="K9093" s="18" t="s">
        <v>316</v>
      </c>
    </row>
    <row r="9094">
      <c r="A9094" s="17"/>
      <c r="H9094" s="18"/>
      <c r="K9094" s="18" t="s">
        <v>316</v>
      </c>
    </row>
    <row r="9095">
      <c r="A9095" s="17"/>
      <c r="H9095" s="18"/>
      <c r="K9095" s="18" t="s">
        <v>316</v>
      </c>
    </row>
    <row r="9096">
      <c r="A9096" s="17"/>
      <c r="H9096" s="18"/>
      <c r="K9096" s="18" t="s">
        <v>316</v>
      </c>
    </row>
    <row r="9097">
      <c r="A9097" s="17"/>
      <c r="H9097" s="18"/>
      <c r="K9097" s="18" t="s">
        <v>316</v>
      </c>
    </row>
    <row r="9098">
      <c r="A9098" s="17"/>
      <c r="H9098" s="18"/>
      <c r="K9098" s="18" t="s">
        <v>316</v>
      </c>
    </row>
    <row r="9099">
      <c r="A9099" s="17"/>
      <c r="H9099" s="18"/>
      <c r="K9099" s="18" t="s">
        <v>316</v>
      </c>
    </row>
    <row r="9100">
      <c r="A9100" s="17"/>
      <c r="H9100" s="18"/>
      <c r="K9100" s="18" t="s">
        <v>316</v>
      </c>
    </row>
    <row r="9101">
      <c r="A9101" s="17"/>
      <c r="H9101" s="18"/>
      <c r="K9101" s="18" t="s">
        <v>316</v>
      </c>
    </row>
    <row r="9102">
      <c r="A9102" s="17"/>
      <c r="H9102" s="18"/>
      <c r="K9102" s="18" t="s">
        <v>316</v>
      </c>
    </row>
    <row r="9103">
      <c r="A9103" s="17"/>
      <c r="H9103" s="18"/>
      <c r="K9103" s="18" t="s">
        <v>316</v>
      </c>
    </row>
    <row r="9104">
      <c r="A9104" s="17"/>
      <c r="H9104" s="18"/>
      <c r="K9104" s="18" t="s">
        <v>316</v>
      </c>
    </row>
    <row r="9105">
      <c r="A9105" s="17"/>
      <c r="H9105" s="18"/>
      <c r="K9105" s="18" t="s">
        <v>316</v>
      </c>
    </row>
    <row r="9106">
      <c r="A9106" s="17"/>
      <c r="H9106" s="18"/>
      <c r="K9106" s="18" t="s">
        <v>316</v>
      </c>
    </row>
    <row r="9107">
      <c r="A9107" s="17"/>
      <c r="H9107" s="18"/>
      <c r="K9107" s="18" t="s">
        <v>316</v>
      </c>
    </row>
    <row r="9108">
      <c r="A9108" s="17"/>
      <c r="H9108" s="18"/>
      <c r="K9108" s="18" t="s">
        <v>316</v>
      </c>
    </row>
    <row r="9109">
      <c r="A9109" s="17"/>
      <c r="H9109" s="18"/>
      <c r="K9109" s="18" t="s">
        <v>316</v>
      </c>
    </row>
    <row r="9110">
      <c r="A9110" s="17"/>
      <c r="H9110" s="18"/>
      <c r="K9110" s="18" t="s">
        <v>316</v>
      </c>
    </row>
    <row r="9111">
      <c r="A9111" s="17"/>
      <c r="H9111" s="18"/>
      <c r="K9111" s="18" t="s">
        <v>316</v>
      </c>
    </row>
    <row r="9112">
      <c r="A9112" s="17"/>
      <c r="H9112" s="18"/>
      <c r="K9112" s="18" t="s">
        <v>316</v>
      </c>
    </row>
    <row r="9113">
      <c r="A9113" s="17"/>
      <c r="H9113" s="18"/>
      <c r="K9113" s="18" t="s">
        <v>316</v>
      </c>
    </row>
    <row r="9114">
      <c r="A9114" s="17"/>
      <c r="H9114" s="18"/>
      <c r="K9114" s="18" t="s">
        <v>316</v>
      </c>
    </row>
    <row r="9115">
      <c r="A9115" s="17"/>
      <c r="H9115" s="18"/>
      <c r="K9115" s="18" t="s">
        <v>316</v>
      </c>
    </row>
    <row r="9116">
      <c r="A9116" s="17"/>
      <c r="H9116" s="18"/>
      <c r="K9116" s="18" t="s">
        <v>316</v>
      </c>
    </row>
    <row r="9117">
      <c r="A9117" s="17"/>
      <c r="H9117" s="18"/>
      <c r="K9117" s="18" t="s">
        <v>316</v>
      </c>
    </row>
    <row r="9118">
      <c r="A9118" s="17"/>
      <c r="H9118" s="18"/>
      <c r="K9118" s="18" t="s">
        <v>316</v>
      </c>
    </row>
    <row r="9119">
      <c r="A9119" s="17"/>
      <c r="H9119" s="18"/>
      <c r="K9119" s="18" t="s">
        <v>316</v>
      </c>
    </row>
    <row r="9120">
      <c r="A9120" s="17"/>
      <c r="H9120" s="18"/>
      <c r="K9120" s="18" t="s">
        <v>316</v>
      </c>
    </row>
    <row r="9121">
      <c r="A9121" s="17"/>
      <c r="H9121" s="18"/>
      <c r="K9121" s="18" t="s">
        <v>316</v>
      </c>
    </row>
    <row r="9122">
      <c r="A9122" s="17"/>
      <c r="H9122" s="18"/>
      <c r="K9122" s="18" t="s">
        <v>316</v>
      </c>
    </row>
    <row r="9123">
      <c r="A9123" s="17"/>
      <c r="H9123" s="18"/>
      <c r="K9123" s="18" t="s">
        <v>316</v>
      </c>
    </row>
    <row r="9124">
      <c r="A9124" s="17"/>
      <c r="H9124" s="18"/>
      <c r="K9124" s="18" t="s">
        <v>316</v>
      </c>
    </row>
    <row r="9125">
      <c r="A9125" s="17"/>
      <c r="H9125" s="18"/>
      <c r="K9125" s="18" t="s">
        <v>316</v>
      </c>
    </row>
    <row r="9126">
      <c r="A9126" s="17"/>
      <c r="H9126" s="18"/>
      <c r="K9126" s="18" t="s">
        <v>316</v>
      </c>
    </row>
    <row r="9127">
      <c r="A9127" s="17"/>
      <c r="H9127" s="18"/>
      <c r="K9127" s="18" t="s">
        <v>316</v>
      </c>
    </row>
    <row r="9128">
      <c r="A9128" s="17"/>
      <c r="H9128" s="18"/>
      <c r="K9128" s="18" t="s">
        <v>316</v>
      </c>
    </row>
    <row r="9129">
      <c r="A9129" s="17"/>
      <c r="H9129" s="18"/>
      <c r="K9129" s="18" t="s">
        <v>316</v>
      </c>
    </row>
    <row r="9130">
      <c r="A9130" s="17"/>
      <c r="H9130" s="18"/>
      <c r="K9130" s="18" t="s">
        <v>316</v>
      </c>
    </row>
    <row r="9131">
      <c r="A9131" s="17"/>
      <c r="H9131" s="18"/>
      <c r="K9131" s="18" t="s">
        <v>316</v>
      </c>
    </row>
    <row r="9132">
      <c r="A9132" s="17"/>
      <c r="H9132" s="18"/>
      <c r="K9132" s="18" t="s">
        <v>316</v>
      </c>
    </row>
    <row r="9133">
      <c r="A9133" s="17"/>
      <c r="H9133" s="18"/>
      <c r="K9133" s="18" t="s">
        <v>316</v>
      </c>
    </row>
    <row r="9134">
      <c r="A9134" s="17"/>
      <c r="H9134" s="18"/>
      <c r="K9134" s="18" t="s">
        <v>316</v>
      </c>
    </row>
    <row r="9135">
      <c r="A9135" s="17"/>
      <c r="H9135" s="18"/>
      <c r="K9135" s="18" t="s">
        <v>316</v>
      </c>
    </row>
    <row r="9136">
      <c r="A9136" s="17"/>
      <c r="H9136" s="18"/>
      <c r="K9136" s="18" t="s">
        <v>316</v>
      </c>
    </row>
    <row r="9137">
      <c r="A9137" s="17"/>
      <c r="H9137" s="18"/>
      <c r="K9137" s="18" t="s">
        <v>316</v>
      </c>
    </row>
    <row r="9138">
      <c r="A9138" s="17"/>
      <c r="H9138" s="18"/>
      <c r="K9138" s="18" t="s">
        <v>316</v>
      </c>
    </row>
    <row r="9139">
      <c r="A9139" s="17"/>
      <c r="H9139" s="18"/>
      <c r="K9139" s="18" t="s">
        <v>316</v>
      </c>
    </row>
    <row r="9140">
      <c r="A9140" s="17"/>
      <c r="H9140" s="18"/>
      <c r="K9140" s="18" t="s">
        <v>316</v>
      </c>
    </row>
    <row r="9141">
      <c r="A9141" s="17"/>
      <c r="H9141" s="18"/>
      <c r="K9141" s="18" t="s">
        <v>316</v>
      </c>
    </row>
    <row r="9142">
      <c r="A9142" s="17"/>
      <c r="H9142" s="18"/>
      <c r="K9142" s="18" t="s">
        <v>316</v>
      </c>
    </row>
    <row r="9143">
      <c r="A9143" s="17"/>
      <c r="H9143" s="18"/>
      <c r="K9143" s="18" t="s">
        <v>316</v>
      </c>
    </row>
    <row r="9144">
      <c r="A9144" s="17"/>
      <c r="H9144" s="18"/>
      <c r="K9144" s="18" t="s">
        <v>316</v>
      </c>
    </row>
    <row r="9145">
      <c r="A9145" s="17"/>
      <c r="H9145" s="18"/>
      <c r="K9145" s="18" t="s">
        <v>316</v>
      </c>
    </row>
    <row r="9146">
      <c r="A9146" s="17"/>
      <c r="H9146" s="18"/>
      <c r="K9146" s="18" t="s">
        <v>316</v>
      </c>
    </row>
    <row r="9147">
      <c r="A9147" s="17"/>
      <c r="H9147" s="18"/>
      <c r="K9147" s="18" t="s">
        <v>316</v>
      </c>
    </row>
    <row r="9148">
      <c r="A9148" s="17"/>
      <c r="H9148" s="18"/>
      <c r="K9148" s="18" t="s">
        <v>316</v>
      </c>
    </row>
    <row r="9149">
      <c r="A9149" s="17"/>
      <c r="H9149" s="18"/>
      <c r="K9149" s="18" t="s">
        <v>316</v>
      </c>
    </row>
    <row r="9150">
      <c r="A9150" s="17"/>
      <c r="H9150" s="18"/>
      <c r="K9150" s="18" t="s">
        <v>316</v>
      </c>
    </row>
    <row r="9151">
      <c r="A9151" s="17"/>
      <c r="H9151" s="18"/>
      <c r="K9151" s="18" t="s">
        <v>316</v>
      </c>
    </row>
    <row r="9152">
      <c r="A9152" s="17"/>
      <c r="H9152" s="18"/>
      <c r="K9152" s="18" t="s">
        <v>316</v>
      </c>
    </row>
    <row r="9153">
      <c r="A9153" s="17"/>
      <c r="H9153" s="18"/>
      <c r="K9153" s="18" t="s">
        <v>316</v>
      </c>
    </row>
    <row r="9154">
      <c r="A9154" s="17"/>
      <c r="H9154" s="18"/>
      <c r="K9154" s="18" t="s">
        <v>316</v>
      </c>
    </row>
    <row r="9155">
      <c r="A9155" s="17"/>
      <c r="H9155" s="18"/>
      <c r="K9155" s="18" t="s">
        <v>316</v>
      </c>
    </row>
    <row r="9156">
      <c r="A9156" s="17"/>
      <c r="H9156" s="18"/>
      <c r="K9156" s="18" t="s">
        <v>316</v>
      </c>
    </row>
    <row r="9157">
      <c r="A9157" s="17"/>
      <c r="H9157" s="18"/>
      <c r="K9157" s="18" t="s">
        <v>316</v>
      </c>
    </row>
    <row r="9158">
      <c r="A9158" s="17"/>
      <c r="H9158" s="18"/>
      <c r="K9158" s="18" t="s">
        <v>316</v>
      </c>
    </row>
    <row r="9159">
      <c r="A9159" s="17"/>
      <c r="H9159" s="18"/>
      <c r="K9159" s="18" t="s">
        <v>316</v>
      </c>
    </row>
    <row r="9160">
      <c r="A9160" s="17"/>
      <c r="H9160" s="18"/>
      <c r="K9160" s="18" t="s">
        <v>316</v>
      </c>
    </row>
    <row r="9161">
      <c r="A9161" s="17"/>
      <c r="H9161" s="18"/>
      <c r="K9161" s="18" t="s">
        <v>316</v>
      </c>
    </row>
    <row r="9162">
      <c r="A9162" s="17"/>
      <c r="H9162" s="18"/>
      <c r="K9162" s="18" t="s">
        <v>316</v>
      </c>
    </row>
    <row r="9163">
      <c r="A9163" s="17"/>
      <c r="H9163" s="18"/>
      <c r="K9163" s="18" t="s">
        <v>316</v>
      </c>
    </row>
    <row r="9164">
      <c r="A9164" s="17"/>
      <c r="H9164" s="18"/>
      <c r="K9164" s="18" t="s">
        <v>316</v>
      </c>
    </row>
    <row r="9165">
      <c r="A9165" s="17"/>
      <c r="H9165" s="18"/>
      <c r="K9165" s="18" t="s">
        <v>316</v>
      </c>
    </row>
    <row r="9166">
      <c r="A9166" s="17"/>
      <c r="H9166" s="18"/>
      <c r="K9166" s="18" t="s">
        <v>316</v>
      </c>
    </row>
    <row r="9167">
      <c r="A9167" s="17"/>
      <c r="H9167" s="18"/>
      <c r="K9167" s="18" t="s">
        <v>316</v>
      </c>
    </row>
    <row r="9168">
      <c r="A9168" s="17"/>
      <c r="H9168" s="18"/>
      <c r="K9168" s="18" t="s">
        <v>316</v>
      </c>
    </row>
    <row r="9169">
      <c r="A9169" s="17"/>
      <c r="H9169" s="18"/>
      <c r="K9169" s="18" t="s">
        <v>316</v>
      </c>
    </row>
    <row r="9170">
      <c r="A9170" s="17"/>
      <c r="H9170" s="18"/>
      <c r="K9170" s="18" t="s">
        <v>316</v>
      </c>
    </row>
    <row r="9171">
      <c r="A9171" s="17"/>
      <c r="H9171" s="18"/>
      <c r="K9171" s="18" t="s">
        <v>316</v>
      </c>
    </row>
    <row r="9172">
      <c r="A9172" s="17"/>
      <c r="H9172" s="18"/>
      <c r="K9172" s="18" t="s">
        <v>316</v>
      </c>
    </row>
    <row r="9173">
      <c r="A9173" s="17"/>
      <c r="H9173" s="18"/>
      <c r="K9173" s="18" t="s">
        <v>316</v>
      </c>
    </row>
    <row r="9174">
      <c r="A9174" s="17"/>
      <c r="H9174" s="18"/>
      <c r="K9174" s="18" t="s">
        <v>316</v>
      </c>
    </row>
    <row r="9175">
      <c r="A9175" s="17"/>
      <c r="H9175" s="18"/>
      <c r="K9175" s="18" t="s">
        <v>316</v>
      </c>
    </row>
    <row r="9176">
      <c r="A9176" s="17"/>
      <c r="H9176" s="18"/>
      <c r="K9176" s="18" t="s">
        <v>316</v>
      </c>
    </row>
    <row r="9177">
      <c r="A9177" s="17"/>
      <c r="H9177" s="18"/>
      <c r="K9177" s="18" t="s">
        <v>316</v>
      </c>
    </row>
    <row r="9178">
      <c r="A9178" s="17"/>
      <c r="H9178" s="18"/>
      <c r="K9178" s="18" t="s">
        <v>316</v>
      </c>
    </row>
    <row r="9179">
      <c r="A9179" s="17"/>
      <c r="H9179" s="18"/>
      <c r="K9179" s="18" t="s">
        <v>316</v>
      </c>
    </row>
    <row r="9180">
      <c r="A9180" s="17"/>
      <c r="H9180" s="18"/>
      <c r="K9180" s="18" t="s">
        <v>316</v>
      </c>
    </row>
    <row r="9181">
      <c r="A9181" s="17"/>
      <c r="H9181" s="18"/>
      <c r="K9181" s="18" t="s">
        <v>316</v>
      </c>
    </row>
    <row r="9182">
      <c r="A9182" s="17"/>
      <c r="H9182" s="18"/>
      <c r="K9182" s="18" t="s">
        <v>316</v>
      </c>
    </row>
    <row r="9183">
      <c r="A9183" s="17"/>
      <c r="H9183" s="18"/>
      <c r="K9183" s="18" t="s">
        <v>316</v>
      </c>
    </row>
    <row r="9184">
      <c r="A9184" s="17"/>
      <c r="H9184" s="18"/>
      <c r="K9184" s="18" t="s">
        <v>316</v>
      </c>
    </row>
    <row r="9185">
      <c r="A9185" s="17"/>
      <c r="H9185" s="18"/>
      <c r="K9185" s="18" t="s">
        <v>316</v>
      </c>
    </row>
    <row r="9186">
      <c r="A9186" s="17"/>
      <c r="H9186" s="18"/>
      <c r="K9186" s="18" t="s">
        <v>316</v>
      </c>
    </row>
    <row r="9187">
      <c r="A9187" s="17"/>
      <c r="H9187" s="18"/>
      <c r="K9187" s="18" t="s">
        <v>316</v>
      </c>
    </row>
    <row r="9188">
      <c r="A9188" s="17"/>
      <c r="H9188" s="18"/>
      <c r="K9188" s="18" t="s">
        <v>316</v>
      </c>
    </row>
    <row r="9189">
      <c r="A9189" s="17"/>
      <c r="H9189" s="18"/>
      <c r="K9189" s="18" t="s">
        <v>316</v>
      </c>
    </row>
    <row r="9190">
      <c r="A9190" s="17"/>
      <c r="H9190" s="18"/>
      <c r="K9190" s="18" t="s">
        <v>316</v>
      </c>
    </row>
    <row r="9191">
      <c r="A9191" s="17"/>
      <c r="H9191" s="18"/>
      <c r="K9191" s="18" t="s">
        <v>316</v>
      </c>
    </row>
    <row r="9192">
      <c r="A9192" s="17"/>
      <c r="H9192" s="18"/>
      <c r="K9192" s="18" t="s">
        <v>316</v>
      </c>
    </row>
    <row r="9193">
      <c r="A9193" s="17"/>
      <c r="H9193" s="18"/>
      <c r="K9193" s="18" t="s">
        <v>316</v>
      </c>
    </row>
    <row r="9194">
      <c r="A9194" s="17"/>
      <c r="H9194" s="18"/>
      <c r="K9194" s="18" t="s">
        <v>316</v>
      </c>
    </row>
    <row r="9195">
      <c r="A9195" s="17"/>
      <c r="H9195" s="18"/>
      <c r="K9195" s="18" t="s">
        <v>316</v>
      </c>
    </row>
    <row r="9196">
      <c r="A9196" s="17"/>
      <c r="H9196" s="18"/>
      <c r="K9196" s="18" t="s">
        <v>316</v>
      </c>
    </row>
    <row r="9197">
      <c r="A9197" s="17"/>
      <c r="H9197" s="18"/>
      <c r="K9197" s="18" t="s">
        <v>316</v>
      </c>
    </row>
    <row r="9198">
      <c r="A9198" s="17"/>
      <c r="H9198" s="18"/>
      <c r="K9198" s="18" t="s">
        <v>316</v>
      </c>
    </row>
    <row r="9199">
      <c r="A9199" s="17"/>
      <c r="H9199" s="18"/>
      <c r="K9199" s="18" t="s">
        <v>316</v>
      </c>
    </row>
    <row r="9200">
      <c r="A9200" s="17"/>
      <c r="H9200" s="18"/>
      <c r="K9200" s="18" t="s">
        <v>316</v>
      </c>
    </row>
    <row r="9201">
      <c r="A9201" s="17"/>
      <c r="H9201" s="18"/>
      <c r="K9201" s="18" t="s">
        <v>316</v>
      </c>
    </row>
    <row r="9202">
      <c r="A9202" s="17"/>
      <c r="H9202" s="18"/>
      <c r="K9202" s="18" t="s">
        <v>316</v>
      </c>
    </row>
    <row r="9203">
      <c r="A9203" s="17"/>
      <c r="H9203" s="18"/>
      <c r="K9203" s="18" t="s">
        <v>316</v>
      </c>
    </row>
    <row r="9204">
      <c r="A9204" s="17"/>
      <c r="H9204" s="18"/>
      <c r="K9204" s="18" t="s">
        <v>316</v>
      </c>
    </row>
    <row r="9205">
      <c r="A9205" s="17"/>
      <c r="H9205" s="18"/>
      <c r="K9205" s="18" t="s">
        <v>316</v>
      </c>
    </row>
    <row r="9206">
      <c r="A9206" s="17"/>
      <c r="H9206" s="18"/>
      <c r="K9206" s="18" t="s">
        <v>316</v>
      </c>
    </row>
    <row r="9207">
      <c r="A9207" s="17"/>
      <c r="H9207" s="18"/>
      <c r="K9207" s="18" t="s">
        <v>316</v>
      </c>
    </row>
    <row r="9208">
      <c r="A9208" s="17"/>
      <c r="H9208" s="18"/>
      <c r="K9208" s="18" t="s">
        <v>316</v>
      </c>
    </row>
    <row r="9209">
      <c r="A9209" s="17"/>
      <c r="H9209" s="18"/>
      <c r="K9209" s="18" t="s">
        <v>316</v>
      </c>
    </row>
    <row r="9210">
      <c r="A9210" s="17"/>
      <c r="H9210" s="18"/>
      <c r="K9210" s="18" t="s">
        <v>316</v>
      </c>
    </row>
    <row r="9211">
      <c r="A9211" s="17"/>
      <c r="H9211" s="18"/>
      <c r="K9211" s="18" t="s">
        <v>316</v>
      </c>
    </row>
    <row r="9212">
      <c r="A9212" s="17"/>
      <c r="H9212" s="18"/>
      <c r="K9212" s="18" t="s">
        <v>316</v>
      </c>
    </row>
    <row r="9213">
      <c r="A9213" s="17"/>
      <c r="H9213" s="18"/>
      <c r="K9213" s="18" t="s">
        <v>316</v>
      </c>
    </row>
    <row r="9214">
      <c r="A9214" s="17"/>
      <c r="H9214" s="18"/>
      <c r="K9214" s="18" t="s">
        <v>316</v>
      </c>
    </row>
    <row r="9215">
      <c r="A9215" s="17"/>
      <c r="H9215" s="18"/>
      <c r="K9215" s="18" t="s">
        <v>316</v>
      </c>
    </row>
    <row r="9216">
      <c r="A9216" s="17"/>
      <c r="H9216" s="18"/>
      <c r="K9216" s="18" t="s">
        <v>316</v>
      </c>
    </row>
    <row r="9217">
      <c r="A9217" s="17"/>
      <c r="H9217" s="18"/>
      <c r="K9217" s="18" t="s">
        <v>316</v>
      </c>
    </row>
    <row r="9218">
      <c r="A9218" s="17"/>
      <c r="H9218" s="18"/>
      <c r="K9218" s="18" t="s">
        <v>316</v>
      </c>
    </row>
    <row r="9219">
      <c r="A9219" s="17"/>
      <c r="H9219" s="18"/>
      <c r="K9219" s="18" t="s">
        <v>316</v>
      </c>
    </row>
    <row r="9220">
      <c r="A9220" s="17"/>
      <c r="H9220" s="18"/>
      <c r="K9220" s="18" t="s">
        <v>316</v>
      </c>
    </row>
    <row r="9221">
      <c r="A9221" s="17"/>
      <c r="H9221" s="18"/>
      <c r="K9221" s="18" t="s">
        <v>316</v>
      </c>
    </row>
    <row r="9222">
      <c r="A9222" s="17"/>
      <c r="H9222" s="18"/>
      <c r="K9222" s="18" t="s">
        <v>316</v>
      </c>
    </row>
    <row r="9223">
      <c r="A9223" s="17"/>
      <c r="H9223" s="18"/>
      <c r="K9223" s="18" t="s">
        <v>316</v>
      </c>
    </row>
    <row r="9224">
      <c r="A9224" s="17"/>
      <c r="H9224" s="18"/>
      <c r="K9224" s="18" t="s">
        <v>316</v>
      </c>
    </row>
    <row r="9225">
      <c r="A9225" s="17"/>
      <c r="H9225" s="18"/>
      <c r="K9225" s="18" t="s">
        <v>316</v>
      </c>
    </row>
    <row r="9226">
      <c r="A9226" s="17"/>
      <c r="H9226" s="18"/>
      <c r="K9226" s="18" t="s">
        <v>316</v>
      </c>
    </row>
    <row r="9227">
      <c r="A9227" s="17"/>
      <c r="H9227" s="18"/>
      <c r="K9227" s="18" t="s">
        <v>316</v>
      </c>
    </row>
    <row r="9228">
      <c r="A9228" s="17"/>
      <c r="H9228" s="18"/>
      <c r="K9228" s="18" t="s">
        <v>316</v>
      </c>
    </row>
    <row r="9229">
      <c r="A9229" s="17"/>
      <c r="H9229" s="18"/>
      <c r="K9229" s="18" t="s">
        <v>316</v>
      </c>
    </row>
    <row r="9230">
      <c r="A9230" s="17"/>
      <c r="H9230" s="18"/>
      <c r="K9230" s="18" t="s">
        <v>316</v>
      </c>
    </row>
    <row r="9231">
      <c r="A9231" s="17"/>
      <c r="H9231" s="18"/>
      <c r="K9231" s="18" t="s">
        <v>316</v>
      </c>
    </row>
    <row r="9232">
      <c r="A9232" s="17"/>
      <c r="H9232" s="18"/>
      <c r="K9232" s="18" t="s">
        <v>316</v>
      </c>
    </row>
    <row r="9233">
      <c r="A9233" s="17"/>
      <c r="H9233" s="18"/>
      <c r="K9233" s="18" t="s">
        <v>316</v>
      </c>
    </row>
    <row r="9234">
      <c r="A9234" s="17"/>
      <c r="H9234" s="18"/>
      <c r="K9234" s="18" t="s">
        <v>316</v>
      </c>
    </row>
    <row r="9235">
      <c r="A9235" s="17"/>
      <c r="H9235" s="18"/>
      <c r="K9235" s="18" t="s">
        <v>316</v>
      </c>
    </row>
    <row r="9236">
      <c r="A9236" s="17"/>
      <c r="H9236" s="18"/>
      <c r="K9236" s="18" t="s">
        <v>316</v>
      </c>
    </row>
    <row r="9237">
      <c r="A9237" s="17"/>
      <c r="H9237" s="18"/>
      <c r="K9237" s="18" t="s">
        <v>316</v>
      </c>
    </row>
    <row r="9238">
      <c r="A9238" s="17"/>
      <c r="H9238" s="18"/>
      <c r="K9238" s="18" t="s">
        <v>316</v>
      </c>
    </row>
    <row r="9239">
      <c r="A9239" s="17"/>
      <c r="H9239" s="18"/>
      <c r="K9239" s="18" t="s">
        <v>316</v>
      </c>
    </row>
    <row r="9240">
      <c r="A9240" s="17"/>
      <c r="H9240" s="18"/>
      <c r="K9240" s="18" t="s">
        <v>316</v>
      </c>
    </row>
    <row r="9241">
      <c r="A9241" s="17"/>
      <c r="H9241" s="18"/>
      <c r="K9241" s="18" t="s">
        <v>316</v>
      </c>
    </row>
    <row r="9242">
      <c r="A9242" s="17"/>
      <c r="H9242" s="18"/>
      <c r="K9242" s="18" t="s">
        <v>316</v>
      </c>
    </row>
    <row r="9243">
      <c r="A9243" s="17"/>
      <c r="H9243" s="18"/>
      <c r="K9243" s="18" t="s">
        <v>316</v>
      </c>
    </row>
    <row r="9244">
      <c r="A9244" s="17"/>
      <c r="H9244" s="18"/>
      <c r="K9244" s="18" t="s">
        <v>316</v>
      </c>
    </row>
    <row r="9245">
      <c r="A9245" s="17"/>
      <c r="H9245" s="18"/>
      <c r="K9245" s="18" t="s">
        <v>316</v>
      </c>
    </row>
    <row r="9246">
      <c r="A9246" s="17"/>
      <c r="H9246" s="18"/>
      <c r="K9246" s="18" t="s">
        <v>316</v>
      </c>
    </row>
    <row r="9247">
      <c r="A9247" s="17"/>
      <c r="H9247" s="18"/>
      <c r="K9247" s="18" t="s">
        <v>316</v>
      </c>
    </row>
    <row r="9248">
      <c r="A9248" s="17"/>
      <c r="H9248" s="18"/>
      <c r="K9248" s="18" t="s">
        <v>316</v>
      </c>
    </row>
    <row r="9249">
      <c r="A9249" s="17"/>
      <c r="H9249" s="18"/>
      <c r="K9249" s="18" t="s">
        <v>316</v>
      </c>
    </row>
    <row r="9250">
      <c r="A9250" s="17"/>
      <c r="H9250" s="18"/>
      <c r="K9250" s="18" t="s">
        <v>316</v>
      </c>
    </row>
    <row r="9251">
      <c r="A9251" s="17"/>
      <c r="H9251" s="18"/>
      <c r="K9251" s="18" t="s">
        <v>316</v>
      </c>
    </row>
    <row r="9252">
      <c r="A9252" s="17"/>
      <c r="H9252" s="18"/>
      <c r="K9252" s="18" t="s">
        <v>316</v>
      </c>
    </row>
    <row r="9253">
      <c r="A9253" s="17"/>
      <c r="H9253" s="18"/>
      <c r="K9253" s="18" t="s">
        <v>316</v>
      </c>
    </row>
    <row r="9254">
      <c r="A9254" s="17"/>
      <c r="H9254" s="18"/>
      <c r="K9254" s="18" t="s">
        <v>316</v>
      </c>
    </row>
    <row r="9255">
      <c r="A9255" s="17"/>
      <c r="H9255" s="18"/>
      <c r="K9255" s="18" t="s">
        <v>316</v>
      </c>
    </row>
    <row r="9256">
      <c r="A9256" s="17"/>
      <c r="H9256" s="18"/>
      <c r="K9256" s="18" t="s">
        <v>316</v>
      </c>
    </row>
    <row r="9257">
      <c r="A9257" s="17"/>
      <c r="H9257" s="18"/>
      <c r="K9257" s="18" t="s">
        <v>316</v>
      </c>
    </row>
    <row r="9258">
      <c r="A9258" s="17"/>
      <c r="H9258" s="18"/>
      <c r="K9258" s="18" t="s">
        <v>316</v>
      </c>
    </row>
    <row r="9259">
      <c r="A9259" s="17"/>
      <c r="H9259" s="18"/>
      <c r="K9259" s="18" t="s">
        <v>316</v>
      </c>
    </row>
    <row r="9260">
      <c r="A9260" s="17"/>
      <c r="H9260" s="18"/>
      <c r="K9260" s="18" t="s">
        <v>316</v>
      </c>
    </row>
    <row r="9261">
      <c r="A9261" s="17"/>
      <c r="H9261" s="18"/>
      <c r="K9261" s="18" t="s">
        <v>316</v>
      </c>
    </row>
    <row r="9262">
      <c r="A9262" s="17"/>
      <c r="H9262" s="18"/>
      <c r="K9262" s="18" t="s">
        <v>316</v>
      </c>
    </row>
    <row r="9263">
      <c r="A9263" s="17"/>
      <c r="H9263" s="18"/>
      <c r="K9263" s="18" t="s">
        <v>316</v>
      </c>
    </row>
    <row r="9264">
      <c r="A9264" s="17"/>
      <c r="H9264" s="18"/>
      <c r="K9264" s="18" t="s">
        <v>316</v>
      </c>
    </row>
    <row r="9265">
      <c r="A9265" s="17"/>
      <c r="H9265" s="18"/>
      <c r="K9265" s="18" t="s">
        <v>316</v>
      </c>
    </row>
    <row r="9266">
      <c r="A9266" s="17"/>
      <c r="H9266" s="18"/>
      <c r="K9266" s="18" t="s">
        <v>316</v>
      </c>
    </row>
    <row r="9267">
      <c r="A9267" s="17"/>
      <c r="H9267" s="18"/>
      <c r="K9267" s="18" t="s">
        <v>316</v>
      </c>
    </row>
    <row r="9268">
      <c r="A9268" s="17"/>
      <c r="H9268" s="18"/>
      <c r="K9268" s="18" t="s">
        <v>316</v>
      </c>
    </row>
    <row r="9269">
      <c r="A9269" s="17"/>
      <c r="H9269" s="18"/>
      <c r="K9269" s="18" t="s">
        <v>316</v>
      </c>
    </row>
    <row r="9270">
      <c r="A9270" s="17"/>
      <c r="H9270" s="18"/>
      <c r="K9270" s="18" t="s">
        <v>316</v>
      </c>
    </row>
    <row r="9271">
      <c r="A9271" s="17"/>
      <c r="H9271" s="18"/>
      <c r="K9271" s="18" t="s">
        <v>316</v>
      </c>
    </row>
    <row r="9272">
      <c r="A9272" s="17"/>
      <c r="H9272" s="18"/>
      <c r="K9272" s="18" t="s">
        <v>316</v>
      </c>
    </row>
    <row r="9273">
      <c r="A9273" s="17"/>
      <c r="H9273" s="18"/>
      <c r="K9273" s="18" t="s">
        <v>316</v>
      </c>
    </row>
    <row r="9274">
      <c r="A9274" s="17"/>
      <c r="H9274" s="18"/>
      <c r="K9274" s="18" t="s">
        <v>316</v>
      </c>
    </row>
    <row r="9275">
      <c r="A9275" s="17"/>
      <c r="H9275" s="18"/>
      <c r="K9275" s="18" t="s">
        <v>316</v>
      </c>
    </row>
    <row r="9276">
      <c r="A9276" s="17"/>
      <c r="H9276" s="18"/>
      <c r="K9276" s="18" t="s">
        <v>316</v>
      </c>
    </row>
    <row r="9277">
      <c r="A9277" s="17"/>
      <c r="H9277" s="18"/>
      <c r="K9277" s="18" t="s">
        <v>316</v>
      </c>
    </row>
    <row r="9278">
      <c r="A9278" s="17"/>
      <c r="H9278" s="18"/>
      <c r="K9278" s="18" t="s">
        <v>316</v>
      </c>
    </row>
    <row r="9279">
      <c r="A9279" s="17"/>
      <c r="H9279" s="18"/>
      <c r="K9279" s="18" t="s">
        <v>316</v>
      </c>
    </row>
    <row r="9280">
      <c r="A9280" s="17"/>
      <c r="H9280" s="18"/>
      <c r="K9280" s="18" t="s">
        <v>316</v>
      </c>
    </row>
    <row r="9281">
      <c r="A9281" s="17"/>
      <c r="H9281" s="18"/>
      <c r="K9281" s="18" t="s">
        <v>316</v>
      </c>
    </row>
    <row r="9282">
      <c r="A9282" s="17"/>
      <c r="H9282" s="18"/>
      <c r="K9282" s="18" t="s">
        <v>316</v>
      </c>
    </row>
    <row r="9283">
      <c r="A9283" s="17"/>
      <c r="H9283" s="18"/>
      <c r="K9283" s="18" t="s">
        <v>316</v>
      </c>
    </row>
    <row r="9284">
      <c r="A9284" s="17"/>
      <c r="H9284" s="18"/>
      <c r="K9284" s="18" t="s">
        <v>316</v>
      </c>
    </row>
    <row r="9285">
      <c r="A9285" s="17"/>
      <c r="H9285" s="18"/>
      <c r="K9285" s="18" t="s">
        <v>316</v>
      </c>
    </row>
    <row r="9286">
      <c r="A9286" s="17"/>
      <c r="H9286" s="18"/>
      <c r="K9286" s="18" t="s">
        <v>316</v>
      </c>
    </row>
    <row r="9287">
      <c r="A9287" s="17"/>
      <c r="H9287" s="18"/>
      <c r="K9287" s="18" t="s">
        <v>316</v>
      </c>
    </row>
    <row r="9288">
      <c r="A9288" s="17"/>
      <c r="H9288" s="18"/>
      <c r="K9288" s="18" t="s">
        <v>316</v>
      </c>
    </row>
    <row r="9289">
      <c r="A9289" s="17"/>
      <c r="H9289" s="18"/>
      <c r="K9289" s="18" t="s">
        <v>316</v>
      </c>
    </row>
    <row r="9290">
      <c r="A9290" s="17"/>
      <c r="H9290" s="18"/>
      <c r="K9290" s="18" t="s">
        <v>316</v>
      </c>
    </row>
    <row r="9291">
      <c r="A9291" s="17"/>
      <c r="H9291" s="18"/>
      <c r="K9291" s="18" t="s">
        <v>316</v>
      </c>
    </row>
    <row r="9292">
      <c r="A9292" s="17"/>
      <c r="H9292" s="18"/>
      <c r="K9292" s="18" t="s">
        <v>316</v>
      </c>
    </row>
    <row r="9293">
      <c r="A9293" s="17"/>
      <c r="H9293" s="18"/>
      <c r="K9293" s="18" t="s">
        <v>316</v>
      </c>
    </row>
    <row r="9294">
      <c r="A9294" s="17"/>
      <c r="H9294" s="18"/>
      <c r="K9294" s="18" t="s">
        <v>316</v>
      </c>
    </row>
    <row r="9295">
      <c r="A9295" s="17"/>
      <c r="H9295" s="18"/>
      <c r="K9295" s="18" t="s">
        <v>316</v>
      </c>
    </row>
    <row r="9296">
      <c r="A9296" s="17"/>
      <c r="H9296" s="18"/>
      <c r="K9296" s="18" t="s">
        <v>316</v>
      </c>
    </row>
    <row r="9297">
      <c r="A9297" s="17"/>
      <c r="H9297" s="18"/>
      <c r="K9297" s="18" t="s">
        <v>316</v>
      </c>
    </row>
    <row r="9298">
      <c r="A9298" s="17"/>
      <c r="H9298" s="18"/>
      <c r="K9298" s="18" t="s">
        <v>316</v>
      </c>
    </row>
    <row r="9299">
      <c r="A9299" s="17"/>
      <c r="H9299" s="18"/>
      <c r="K9299" s="18" t="s">
        <v>316</v>
      </c>
    </row>
    <row r="9300">
      <c r="A9300" s="17"/>
      <c r="H9300" s="18"/>
      <c r="K9300" s="18" t="s">
        <v>316</v>
      </c>
    </row>
    <row r="9301">
      <c r="A9301" s="17"/>
      <c r="H9301" s="18"/>
      <c r="K9301" s="18" t="s">
        <v>316</v>
      </c>
    </row>
    <row r="9302">
      <c r="A9302" s="17"/>
      <c r="H9302" s="18"/>
      <c r="K9302" s="18" t="s">
        <v>316</v>
      </c>
    </row>
    <row r="9303">
      <c r="A9303" s="17"/>
      <c r="H9303" s="18"/>
      <c r="K9303" s="18" t="s">
        <v>316</v>
      </c>
    </row>
    <row r="9304">
      <c r="A9304" s="17"/>
      <c r="H9304" s="18"/>
      <c r="K9304" s="18" t="s">
        <v>316</v>
      </c>
    </row>
    <row r="9305">
      <c r="A9305" s="17"/>
      <c r="H9305" s="18"/>
      <c r="K9305" s="18" t="s">
        <v>316</v>
      </c>
    </row>
    <row r="9306">
      <c r="A9306" s="17"/>
      <c r="H9306" s="18"/>
      <c r="K9306" s="18" t="s">
        <v>316</v>
      </c>
    </row>
    <row r="9307">
      <c r="A9307" s="17"/>
      <c r="H9307" s="18"/>
      <c r="K9307" s="18" t="s">
        <v>316</v>
      </c>
    </row>
    <row r="9308">
      <c r="A9308" s="17"/>
      <c r="H9308" s="18"/>
      <c r="K9308" s="18" t="s">
        <v>316</v>
      </c>
    </row>
    <row r="9309">
      <c r="A9309" s="17"/>
      <c r="H9309" s="18"/>
      <c r="K9309" s="18" t="s">
        <v>316</v>
      </c>
    </row>
    <row r="9310">
      <c r="A9310" s="17"/>
      <c r="H9310" s="18"/>
      <c r="K9310" s="18" t="s">
        <v>316</v>
      </c>
    </row>
    <row r="9311">
      <c r="A9311" s="17"/>
      <c r="H9311" s="18"/>
      <c r="K9311" s="18" t="s">
        <v>316</v>
      </c>
    </row>
    <row r="9312">
      <c r="A9312" s="17"/>
      <c r="H9312" s="18"/>
      <c r="K9312" s="18" t="s">
        <v>316</v>
      </c>
    </row>
    <row r="9313">
      <c r="A9313" s="17"/>
      <c r="H9313" s="18"/>
      <c r="K9313" s="18" t="s">
        <v>316</v>
      </c>
    </row>
    <row r="9314">
      <c r="A9314" s="17"/>
      <c r="H9314" s="18"/>
      <c r="K9314" s="18" t="s">
        <v>316</v>
      </c>
    </row>
    <row r="9315">
      <c r="A9315" s="17"/>
      <c r="H9315" s="18"/>
      <c r="K9315" s="18" t="s">
        <v>316</v>
      </c>
    </row>
    <row r="9316">
      <c r="A9316" s="17"/>
      <c r="H9316" s="18"/>
      <c r="K9316" s="18" t="s">
        <v>316</v>
      </c>
    </row>
    <row r="9317">
      <c r="A9317" s="17"/>
      <c r="H9317" s="18"/>
      <c r="K9317" s="18" t="s">
        <v>316</v>
      </c>
    </row>
    <row r="9318">
      <c r="A9318" s="17"/>
      <c r="H9318" s="18"/>
      <c r="K9318" s="18" t="s">
        <v>316</v>
      </c>
    </row>
    <row r="9319">
      <c r="A9319" s="17"/>
      <c r="H9319" s="18"/>
      <c r="K9319" s="18" t="s">
        <v>316</v>
      </c>
    </row>
    <row r="9320">
      <c r="A9320" s="17"/>
      <c r="H9320" s="18"/>
      <c r="K9320" s="18" t="s">
        <v>316</v>
      </c>
    </row>
    <row r="9321">
      <c r="A9321" s="17"/>
      <c r="H9321" s="18"/>
      <c r="K9321" s="18" t="s">
        <v>316</v>
      </c>
    </row>
    <row r="9322">
      <c r="A9322" s="17"/>
      <c r="H9322" s="18"/>
      <c r="K9322" s="18" t="s">
        <v>316</v>
      </c>
    </row>
    <row r="9323">
      <c r="A9323" s="17"/>
      <c r="H9323" s="18"/>
      <c r="K9323" s="18" t="s">
        <v>316</v>
      </c>
    </row>
    <row r="9324">
      <c r="A9324" s="17"/>
      <c r="H9324" s="18"/>
      <c r="K9324" s="18" t="s">
        <v>316</v>
      </c>
    </row>
    <row r="9325">
      <c r="A9325" s="17"/>
      <c r="H9325" s="18"/>
      <c r="K9325" s="18" t="s">
        <v>316</v>
      </c>
    </row>
    <row r="9326">
      <c r="A9326" s="17"/>
      <c r="H9326" s="18"/>
      <c r="K9326" s="18" t="s">
        <v>316</v>
      </c>
    </row>
    <row r="9327">
      <c r="A9327" s="17"/>
      <c r="H9327" s="18"/>
      <c r="K9327" s="18" t="s">
        <v>316</v>
      </c>
    </row>
    <row r="9328">
      <c r="A9328" s="17"/>
      <c r="H9328" s="18"/>
      <c r="K9328" s="18" t="s">
        <v>316</v>
      </c>
    </row>
    <row r="9329">
      <c r="A9329" s="17"/>
      <c r="H9329" s="18"/>
      <c r="K9329" s="18" t="s">
        <v>316</v>
      </c>
    </row>
    <row r="9330">
      <c r="A9330" s="17"/>
      <c r="H9330" s="18"/>
      <c r="K9330" s="18" t="s">
        <v>316</v>
      </c>
    </row>
    <row r="9331">
      <c r="A9331" s="17"/>
      <c r="H9331" s="18"/>
      <c r="K9331" s="18" t="s">
        <v>316</v>
      </c>
    </row>
    <row r="9332">
      <c r="A9332" s="17"/>
      <c r="H9332" s="18"/>
      <c r="K9332" s="18" t="s">
        <v>316</v>
      </c>
    </row>
    <row r="9333">
      <c r="A9333" s="17"/>
      <c r="H9333" s="18"/>
      <c r="K9333" s="18" t="s">
        <v>316</v>
      </c>
    </row>
    <row r="9334">
      <c r="A9334" s="17"/>
      <c r="H9334" s="18"/>
      <c r="K9334" s="18" t="s">
        <v>316</v>
      </c>
    </row>
    <row r="9335">
      <c r="A9335" s="17"/>
      <c r="H9335" s="18"/>
      <c r="K9335" s="18" t="s">
        <v>316</v>
      </c>
    </row>
    <row r="9336">
      <c r="A9336" s="17"/>
      <c r="H9336" s="18"/>
      <c r="K9336" s="18" t="s">
        <v>316</v>
      </c>
    </row>
    <row r="9337">
      <c r="A9337" s="17"/>
      <c r="H9337" s="18"/>
      <c r="K9337" s="18" t="s">
        <v>316</v>
      </c>
    </row>
    <row r="9338">
      <c r="A9338" s="17"/>
      <c r="H9338" s="18"/>
      <c r="K9338" s="18" t="s">
        <v>316</v>
      </c>
    </row>
    <row r="9339">
      <c r="A9339" s="17"/>
      <c r="H9339" s="18"/>
      <c r="K9339" s="18" t="s">
        <v>316</v>
      </c>
    </row>
    <row r="9340">
      <c r="A9340" s="17"/>
      <c r="H9340" s="18"/>
      <c r="K9340" s="18" t="s">
        <v>316</v>
      </c>
    </row>
    <row r="9341">
      <c r="A9341" s="17"/>
      <c r="H9341" s="18"/>
      <c r="K9341" s="18" t="s">
        <v>316</v>
      </c>
    </row>
    <row r="9342">
      <c r="A9342" s="17"/>
      <c r="H9342" s="18"/>
      <c r="K9342" s="18" t="s">
        <v>316</v>
      </c>
    </row>
    <row r="9343">
      <c r="A9343" s="17"/>
      <c r="H9343" s="18"/>
      <c r="K9343" s="18" t="s">
        <v>316</v>
      </c>
    </row>
    <row r="9344">
      <c r="A9344" s="17"/>
      <c r="H9344" s="18"/>
      <c r="K9344" s="18" t="s">
        <v>316</v>
      </c>
    </row>
    <row r="9345">
      <c r="A9345" s="17"/>
      <c r="H9345" s="18"/>
      <c r="K9345" s="18" t="s">
        <v>316</v>
      </c>
    </row>
    <row r="9346">
      <c r="A9346" s="17"/>
      <c r="H9346" s="18"/>
      <c r="K9346" s="18" t="s">
        <v>316</v>
      </c>
    </row>
    <row r="9347">
      <c r="A9347" s="17"/>
      <c r="H9347" s="18"/>
      <c r="K9347" s="18" t="s">
        <v>316</v>
      </c>
    </row>
    <row r="9348">
      <c r="A9348" s="17"/>
      <c r="H9348" s="18"/>
      <c r="K9348" s="18" t="s">
        <v>316</v>
      </c>
    </row>
    <row r="9349">
      <c r="A9349" s="17"/>
      <c r="H9349" s="18"/>
      <c r="K9349" s="18" t="s">
        <v>316</v>
      </c>
    </row>
    <row r="9350">
      <c r="A9350" s="17"/>
      <c r="H9350" s="18"/>
      <c r="K9350" s="18" t="s">
        <v>316</v>
      </c>
    </row>
    <row r="9351">
      <c r="A9351" s="17"/>
      <c r="H9351" s="18"/>
      <c r="K9351" s="18" t="s">
        <v>316</v>
      </c>
    </row>
    <row r="9352">
      <c r="A9352" s="17"/>
      <c r="H9352" s="18"/>
      <c r="K9352" s="18" t="s">
        <v>316</v>
      </c>
    </row>
    <row r="9353">
      <c r="A9353" s="17"/>
      <c r="H9353" s="18"/>
      <c r="K9353" s="18" t="s">
        <v>316</v>
      </c>
    </row>
    <row r="9354">
      <c r="A9354" s="17"/>
      <c r="H9354" s="18"/>
      <c r="K9354" s="18" t="s">
        <v>316</v>
      </c>
    </row>
    <row r="9355">
      <c r="A9355" s="17"/>
      <c r="H9355" s="18"/>
      <c r="K9355" s="18" t="s">
        <v>316</v>
      </c>
    </row>
    <row r="9356">
      <c r="A9356" s="17"/>
      <c r="H9356" s="18"/>
      <c r="K9356" s="18" t="s">
        <v>316</v>
      </c>
    </row>
    <row r="9357">
      <c r="A9357" s="17"/>
      <c r="H9357" s="18"/>
      <c r="K9357" s="18" t="s">
        <v>316</v>
      </c>
    </row>
    <row r="9358">
      <c r="A9358" s="17"/>
      <c r="H9358" s="18"/>
      <c r="K9358" s="18" t="s">
        <v>316</v>
      </c>
    </row>
    <row r="9359">
      <c r="A9359" s="17"/>
      <c r="H9359" s="18"/>
      <c r="K9359" s="18" t="s">
        <v>316</v>
      </c>
    </row>
    <row r="9360">
      <c r="A9360" s="17"/>
      <c r="H9360" s="18"/>
      <c r="K9360" s="18" t="s">
        <v>316</v>
      </c>
    </row>
    <row r="9361">
      <c r="A9361" s="17"/>
      <c r="H9361" s="18"/>
      <c r="K9361" s="18" t="s">
        <v>316</v>
      </c>
    </row>
    <row r="9362">
      <c r="A9362" s="17"/>
      <c r="H9362" s="18"/>
      <c r="K9362" s="18" t="s">
        <v>316</v>
      </c>
    </row>
    <row r="9363">
      <c r="A9363" s="17"/>
      <c r="H9363" s="18"/>
      <c r="K9363" s="18" t="s">
        <v>316</v>
      </c>
    </row>
    <row r="9364">
      <c r="A9364" s="17"/>
      <c r="H9364" s="18"/>
      <c r="K9364" s="18" t="s">
        <v>316</v>
      </c>
    </row>
    <row r="9365">
      <c r="A9365" s="17"/>
      <c r="H9365" s="18"/>
      <c r="K9365" s="18" t="s">
        <v>316</v>
      </c>
    </row>
    <row r="9366">
      <c r="A9366" s="17"/>
      <c r="H9366" s="18"/>
      <c r="K9366" s="18" t="s">
        <v>316</v>
      </c>
    </row>
    <row r="9367">
      <c r="A9367" s="17"/>
      <c r="H9367" s="18"/>
      <c r="K9367" s="18" t="s">
        <v>316</v>
      </c>
    </row>
    <row r="9368">
      <c r="A9368" s="17"/>
      <c r="H9368" s="18"/>
      <c r="K9368" s="18" t="s">
        <v>316</v>
      </c>
    </row>
    <row r="9369">
      <c r="A9369" s="17"/>
      <c r="H9369" s="18"/>
      <c r="K9369" s="18" t="s">
        <v>316</v>
      </c>
    </row>
    <row r="9370">
      <c r="A9370" s="17"/>
      <c r="H9370" s="18"/>
      <c r="K9370" s="18" t="s">
        <v>316</v>
      </c>
    </row>
    <row r="9371">
      <c r="A9371" s="17"/>
      <c r="H9371" s="18"/>
      <c r="K9371" s="18" t="s">
        <v>316</v>
      </c>
    </row>
    <row r="9372">
      <c r="A9372" s="17"/>
      <c r="H9372" s="18"/>
      <c r="K9372" s="18" t="s">
        <v>316</v>
      </c>
    </row>
    <row r="9373">
      <c r="A9373" s="17"/>
      <c r="H9373" s="18"/>
      <c r="K9373" s="18" t="s">
        <v>316</v>
      </c>
    </row>
    <row r="9374">
      <c r="A9374" s="17"/>
      <c r="H9374" s="18"/>
      <c r="K9374" s="18" t="s">
        <v>316</v>
      </c>
    </row>
    <row r="9375">
      <c r="A9375" s="17"/>
      <c r="H9375" s="18"/>
      <c r="K9375" s="18" t="s">
        <v>316</v>
      </c>
    </row>
    <row r="9376">
      <c r="A9376" s="17"/>
      <c r="H9376" s="18"/>
      <c r="K9376" s="18" t="s">
        <v>316</v>
      </c>
    </row>
    <row r="9377">
      <c r="A9377" s="17"/>
      <c r="H9377" s="18"/>
      <c r="K9377" s="18" t="s">
        <v>316</v>
      </c>
    </row>
    <row r="9378">
      <c r="A9378" s="17"/>
      <c r="H9378" s="18"/>
      <c r="K9378" s="18" t="s">
        <v>316</v>
      </c>
    </row>
    <row r="9379">
      <c r="A9379" s="17"/>
      <c r="H9379" s="18"/>
      <c r="K9379" s="18" t="s">
        <v>316</v>
      </c>
    </row>
    <row r="9380">
      <c r="A9380" s="17"/>
      <c r="H9380" s="18"/>
      <c r="K9380" s="18" t="s">
        <v>316</v>
      </c>
    </row>
    <row r="9381">
      <c r="A9381" s="17"/>
      <c r="H9381" s="18"/>
      <c r="K9381" s="18" t="s">
        <v>316</v>
      </c>
    </row>
    <row r="9382">
      <c r="A9382" s="17"/>
      <c r="H9382" s="18"/>
      <c r="K9382" s="18" t="s">
        <v>316</v>
      </c>
    </row>
    <row r="9383">
      <c r="A9383" s="17"/>
      <c r="H9383" s="18"/>
      <c r="K9383" s="18" t="s">
        <v>316</v>
      </c>
    </row>
    <row r="9384">
      <c r="A9384" s="17"/>
      <c r="H9384" s="18"/>
      <c r="K9384" s="18" t="s">
        <v>316</v>
      </c>
    </row>
    <row r="9385">
      <c r="A9385" s="17"/>
      <c r="H9385" s="18"/>
      <c r="K9385" s="18" t="s">
        <v>316</v>
      </c>
    </row>
    <row r="9386">
      <c r="A9386" s="17"/>
      <c r="H9386" s="18"/>
      <c r="K9386" s="18" t="s">
        <v>316</v>
      </c>
    </row>
    <row r="9387">
      <c r="A9387" s="17"/>
      <c r="H9387" s="18"/>
      <c r="K9387" s="18" t="s">
        <v>316</v>
      </c>
    </row>
    <row r="9388">
      <c r="A9388" s="17"/>
      <c r="H9388" s="18"/>
      <c r="K9388" s="18" t="s">
        <v>316</v>
      </c>
    </row>
    <row r="9389">
      <c r="A9389" s="17"/>
      <c r="H9389" s="18"/>
      <c r="K9389" s="18" t="s">
        <v>316</v>
      </c>
    </row>
    <row r="9390">
      <c r="A9390" s="17"/>
      <c r="H9390" s="18"/>
      <c r="K9390" s="18" t="s">
        <v>316</v>
      </c>
    </row>
    <row r="9391">
      <c r="A9391" s="17"/>
      <c r="H9391" s="18"/>
      <c r="K9391" s="18" t="s">
        <v>316</v>
      </c>
    </row>
    <row r="9392">
      <c r="A9392" s="17"/>
      <c r="H9392" s="18"/>
      <c r="K9392" s="18" t="s">
        <v>316</v>
      </c>
    </row>
    <row r="9393">
      <c r="A9393" s="17"/>
      <c r="H9393" s="18"/>
      <c r="K9393" s="18" t="s">
        <v>316</v>
      </c>
    </row>
    <row r="9394">
      <c r="A9394" s="17"/>
      <c r="H9394" s="18"/>
      <c r="K9394" s="18" t="s">
        <v>316</v>
      </c>
    </row>
    <row r="9395">
      <c r="A9395" s="17"/>
      <c r="H9395" s="18"/>
      <c r="K9395" s="18" t="s">
        <v>316</v>
      </c>
    </row>
    <row r="9396">
      <c r="A9396" s="17"/>
      <c r="H9396" s="18"/>
      <c r="K9396" s="18" t="s">
        <v>316</v>
      </c>
    </row>
    <row r="9397">
      <c r="A9397" s="17"/>
      <c r="H9397" s="18"/>
      <c r="K9397" s="18" t="s">
        <v>316</v>
      </c>
    </row>
    <row r="9398">
      <c r="A9398" s="17"/>
      <c r="H9398" s="18"/>
      <c r="K9398" s="18" t="s">
        <v>316</v>
      </c>
    </row>
    <row r="9399">
      <c r="A9399" s="17"/>
      <c r="H9399" s="18"/>
      <c r="K9399" s="18" t="s">
        <v>316</v>
      </c>
    </row>
    <row r="9400">
      <c r="A9400" s="17"/>
      <c r="H9400" s="18"/>
      <c r="K9400" s="18" t="s">
        <v>316</v>
      </c>
    </row>
    <row r="9401">
      <c r="A9401" s="17"/>
      <c r="H9401" s="18"/>
      <c r="K9401" s="18" t="s">
        <v>316</v>
      </c>
    </row>
    <row r="9402">
      <c r="A9402" s="17"/>
      <c r="H9402" s="18"/>
      <c r="K9402" s="18" t="s">
        <v>316</v>
      </c>
    </row>
    <row r="9403">
      <c r="A9403" s="17"/>
      <c r="H9403" s="18"/>
      <c r="K9403" s="18" t="s">
        <v>316</v>
      </c>
    </row>
    <row r="9404">
      <c r="A9404" s="17"/>
      <c r="H9404" s="18"/>
      <c r="K9404" s="18" t="s">
        <v>316</v>
      </c>
    </row>
    <row r="9405">
      <c r="A9405" s="17"/>
      <c r="H9405" s="18"/>
      <c r="K9405" s="18" t="s">
        <v>316</v>
      </c>
    </row>
    <row r="9406">
      <c r="A9406" s="17"/>
      <c r="H9406" s="18"/>
      <c r="K9406" s="18" t="s">
        <v>316</v>
      </c>
    </row>
    <row r="9407">
      <c r="A9407" s="17"/>
      <c r="H9407" s="18"/>
      <c r="K9407" s="18" t="s">
        <v>316</v>
      </c>
    </row>
    <row r="9408">
      <c r="A9408" s="17"/>
      <c r="H9408" s="18"/>
      <c r="K9408" s="18" t="s">
        <v>316</v>
      </c>
    </row>
    <row r="9409">
      <c r="A9409" s="17"/>
      <c r="H9409" s="18"/>
      <c r="K9409" s="18" t="s">
        <v>316</v>
      </c>
    </row>
    <row r="9410">
      <c r="A9410" s="17"/>
      <c r="H9410" s="18"/>
      <c r="K9410" s="18" t="s">
        <v>316</v>
      </c>
    </row>
    <row r="9411">
      <c r="A9411" s="17"/>
      <c r="H9411" s="18"/>
      <c r="K9411" s="18" t="s">
        <v>316</v>
      </c>
    </row>
    <row r="9412">
      <c r="A9412" s="17"/>
      <c r="H9412" s="18"/>
      <c r="K9412" s="18" t="s">
        <v>316</v>
      </c>
    </row>
    <row r="9413">
      <c r="A9413" s="17"/>
      <c r="H9413" s="18"/>
      <c r="K9413" s="18" t="s">
        <v>316</v>
      </c>
    </row>
    <row r="9414">
      <c r="A9414" s="17"/>
      <c r="H9414" s="18"/>
      <c r="K9414" s="18" t="s">
        <v>316</v>
      </c>
    </row>
    <row r="9415">
      <c r="A9415" s="17"/>
      <c r="H9415" s="18"/>
      <c r="K9415" s="18" t="s">
        <v>316</v>
      </c>
    </row>
    <row r="9416">
      <c r="A9416" s="17"/>
      <c r="H9416" s="18"/>
      <c r="K9416" s="18" t="s">
        <v>316</v>
      </c>
    </row>
    <row r="9417">
      <c r="A9417" s="17"/>
      <c r="H9417" s="18"/>
      <c r="K9417" s="18" t="s">
        <v>316</v>
      </c>
    </row>
    <row r="9418">
      <c r="A9418" s="17"/>
      <c r="H9418" s="18"/>
      <c r="K9418" s="18" t="s">
        <v>316</v>
      </c>
    </row>
    <row r="9419">
      <c r="A9419" s="17"/>
      <c r="H9419" s="18"/>
      <c r="K9419" s="18" t="s">
        <v>316</v>
      </c>
    </row>
    <row r="9420">
      <c r="A9420" s="17"/>
      <c r="H9420" s="18"/>
      <c r="K9420" s="18" t="s">
        <v>316</v>
      </c>
    </row>
    <row r="9421">
      <c r="A9421" s="17"/>
      <c r="H9421" s="18"/>
      <c r="K9421" s="18" t="s">
        <v>316</v>
      </c>
    </row>
    <row r="9422">
      <c r="A9422" s="17"/>
      <c r="H9422" s="18"/>
      <c r="K9422" s="18" t="s">
        <v>316</v>
      </c>
    </row>
    <row r="9423">
      <c r="A9423" s="17"/>
      <c r="H9423" s="18"/>
      <c r="K9423" s="18" t="s">
        <v>316</v>
      </c>
    </row>
    <row r="9424">
      <c r="A9424" s="17"/>
      <c r="H9424" s="18"/>
      <c r="K9424" s="18" t="s">
        <v>316</v>
      </c>
    </row>
    <row r="9425">
      <c r="A9425" s="17"/>
      <c r="H9425" s="18"/>
      <c r="K9425" s="18" t="s">
        <v>316</v>
      </c>
    </row>
    <row r="9426">
      <c r="A9426" s="17"/>
      <c r="H9426" s="18"/>
      <c r="K9426" s="18" t="s">
        <v>316</v>
      </c>
    </row>
    <row r="9427">
      <c r="A9427" s="17"/>
      <c r="H9427" s="18"/>
      <c r="K9427" s="18" t="s">
        <v>316</v>
      </c>
    </row>
    <row r="9428">
      <c r="A9428" s="17"/>
      <c r="H9428" s="18"/>
      <c r="K9428" s="18" t="s">
        <v>316</v>
      </c>
    </row>
    <row r="9429">
      <c r="A9429" s="17"/>
      <c r="H9429" s="18"/>
      <c r="K9429" s="18" t="s">
        <v>316</v>
      </c>
    </row>
    <row r="9430">
      <c r="A9430" s="17"/>
      <c r="H9430" s="18"/>
      <c r="K9430" s="18" t="s">
        <v>316</v>
      </c>
    </row>
    <row r="9431">
      <c r="A9431" s="17"/>
      <c r="H9431" s="18"/>
      <c r="K9431" s="18" t="s">
        <v>316</v>
      </c>
    </row>
    <row r="9432">
      <c r="A9432" s="17"/>
      <c r="H9432" s="18"/>
      <c r="K9432" s="18" t="s">
        <v>316</v>
      </c>
    </row>
    <row r="9433">
      <c r="A9433" s="17"/>
      <c r="H9433" s="18"/>
      <c r="K9433" s="18" t="s">
        <v>316</v>
      </c>
    </row>
    <row r="9434">
      <c r="A9434" s="17"/>
      <c r="H9434" s="18"/>
      <c r="K9434" s="18" t="s">
        <v>316</v>
      </c>
    </row>
    <row r="9435">
      <c r="A9435" s="17"/>
      <c r="H9435" s="18"/>
      <c r="K9435" s="18" t="s">
        <v>316</v>
      </c>
    </row>
    <row r="9436">
      <c r="A9436" s="17"/>
      <c r="H9436" s="18"/>
      <c r="K9436" s="18" t="s">
        <v>316</v>
      </c>
    </row>
    <row r="9437">
      <c r="A9437" s="17"/>
      <c r="H9437" s="18"/>
      <c r="K9437" s="18" t="s">
        <v>316</v>
      </c>
    </row>
    <row r="9438">
      <c r="A9438" s="17"/>
      <c r="H9438" s="18"/>
      <c r="K9438" s="18" t="s">
        <v>316</v>
      </c>
    </row>
    <row r="9439">
      <c r="A9439" s="17"/>
      <c r="H9439" s="18"/>
      <c r="K9439" s="18" t="s">
        <v>316</v>
      </c>
    </row>
    <row r="9440">
      <c r="A9440" s="17"/>
      <c r="H9440" s="18"/>
      <c r="K9440" s="18" t="s">
        <v>316</v>
      </c>
    </row>
    <row r="9441">
      <c r="A9441" s="17"/>
      <c r="H9441" s="18"/>
      <c r="K9441" s="18" t="s">
        <v>316</v>
      </c>
    </row>
    <row r="9442">
      <c r="A9442" s="17"/>
      <c r="H9442" s="18"/>
      <c r="K9442" s="18" t="s">
        <v>316</v>
      </c>
    </row>
    <row r="9443">
      <c r="A9443" s="17"/>
      <c r="H9443" s="18"/>
      <c r="K9443" s="18" t="s">
        <v>316</v>
      </c>
    </row>
    <row r="9444">
      <c r="A9444" s="17"/>
      <c r="H9444" s="18"/>
      <c r="K9444" s="18" t="s">
        <v>316</v>
      </c>
    </row>
    <row r="9445">
      <c r="A9445" s="17"/>
      <c r="H9445" s="18"/>
      <c r="K9445" s="18" t="s">
        <v>316</v>
      </c>
    </row>
    <row r="9446">
      <c r="A9446" s="17"/>
      <c r="H9446" s="18"/>
      <c r="K9446" s="18" t="s">
        <v>316</v>
      </c>
    </row>
    <row r="9447">
      <c r="A9447" s="17"/>
      <c r="H9447" s="18"/>
      <c r="K9447" s="18" t="s">
        <v>316</v>
      </c>
    </row>
    <row r="9448">
      <c r="A9448" s="17"/>
      <c r="H9448" s="18"/>
      <c r="K9448" s="18" t="s">
        <v>316</v>
      </c>
    </row>
    <row r="9449">
      <c r="A9449" s="17"/>
      <c r="H9449" s="18"/>
      <c r="K9449" s="18" t="s">
        <v>316</v>
      </c>
    </row>
    <row r="9450">
      <c r="A9450" s="17"/>
      <c r="H9450" s="18"/>
      <c r="K9450" s="18" t="s">
        <v>316</v>
      </c>
    </row>
    <row r="9451">
      <c r="A9451" s="17"/>
      <c r="H9451" s="18"/>
      <c r="K9451" s="18" t="s">
        <v>316</v>
      </c>
    </row>
    <row r="9452">
      <c r="A9452" s="17"/>
      <c r="H9452" s="18"/>
      <c r="K9452" s="18" t="s">
        <v>316</v>
      </c>
    </row>
    <row r="9453">
      <c r="A9453" s="17"/>
      <c r="H9453" s="18"/>
      <c r="K9453" s="18" t="s">
        <v>316</v>
      </c>
    </row>
    <row r="9454">
      <c r="A9454" s="17"/>
      <c r="H9454" s="18"/>
      <c r="K9454" s="18" t="s">
        <v>316</v>
      </c>
    </row>
    <row r="9455">
      <c r="A9455" s="17"/>
      <c r="H9455" s="18"/>
      <c r="K9455" s="18" t="s">
        <v>316</v>
      </c>
    </row>
    <row r="9456">
      <c r="A9456" s="17"/>
      <c r="H9456" s="18"/>
      <c r="K9456" s="18" t="s">
        <v>316</v>
      </c>
    </row>
    <row r="9457">
      <c r="A9457" s="17"/>
      <c r="H9457" s="18"/>
      <c r="K9457" s="18" t="s">
        <v>316</v>
      </c>
    </row>
    <row r="9458">
      <c r="A9458" s="17"/>
      <c r="H9458" s="18"/>
      <c r="K9458" s="18" t="s">
        <v>316</v>
      </c>
    </row>
    <row r="9459">
      <c r="A9459" s="17"/>
      <c r="H9459" s="18"/>
      <c r="K9459" s="18" t="s">
        <v>316</v>
      </c>
    </row>
    <row r="9460">
      <c r="A9460" s="17"/>
      <c r="H9460" s="18"/>
      <c r="K9460" s="18" t="s">
        <v>316</v>
      </c>
    </row>
    <row r="9461">
      <c r="A9461" s="17"/>
      <c r="H9461" s="18"/>
      <c r="K9461" s="18" t="s">
        <v>316</v>
      </c>
    </row>
    <row r="9462">
      <c r="A9462" s="17"/>
      <c r="H9462" s="18"/>
      <c r="K9462" s="18" t="s">
        <v>316</v>
      </c>
    </row>
    <row r="9463">
      <c r="A9463" s="17"/>
      <c r="H9463" s="18"/>
      <c r="K9463" s="18" t="s">
        <v>316</v>
      </c>
    </row>
    <row r="9464">
      <c r="A9464" s="17"/>
      <c r="H9464" s="18"/>
      <c r="K9464" s="18" t="s">
        <v>316</v>
      </c>
    </row>
    <row r="9465">
      <c r="A9465" s="17"/>
      <c r="H9465" s="18"/>
      <c r="K9465" s="18" t="s">
        <v>316</v>
      </c>
    </row>
    <row r="9466">
      <c r="A9466" s="17"/>
      <c r="H9466" s="18"/>
      <c r="K9466" s="18" t="s">
        <v>316</v>
      </c>
    </row>
    <row r="9467">
      <c r="A9467" s="17"/>
      <c r="H9467" s="18"/>
      <c r="K9467" s="18" t="s">
        <v>316</v>
      </c>
    </row>
    <row r="9468">
      <c r="A9468" s="17"/>
      <c r="H9468" s="18"/>
      <c r="K9468" s="18" t="s">
        <v>316</v>
      </c>
    </row>
    <row r="9469">
      <c r="A9469" s="17"/>
      <c r="H9469" s="18"/>
      <c r="K9469" s="18" t="s">
        <v>316</v>
      </c>
    </row>
    <row r="9470">
      <c r="A9470" s="17"/>
      <c r="H9470" s="18"/>
      <c r="K9470" s="18" t="s">
        <v>316</v>
      </c>
    </row>
    <row r="9471">
      <c r="A9471" s="17"/>
      <c r="H9471" s="18"/>
      <c r="K9471" s="18" t="s">
        <v>316</v>
      </c>
    </row>
    <row r="9472">
      <c r="A9472" s="17"/>
      <c r="H9472" s="18"/>
      <c r="K9472" s="18" t="s">
        <v>316</v>
      </c>
    </row>
    <row r="9473">
      <c r="A9473" s="17"/>
      <c r="H9473" s="18"/>
      <c r="K9473" s="18" t="s">
        <v>316</v>
      </c>
    </row>
    <row r="9474">
      <c r="A9474" s="17"/>
      <c r="H9474" s="18"/>
      <c r="K9474" s="18" t="s">
        <v>316</v>
      </c>
    </row>
    <row r="9475">
      <c r="A9475" s="17"/>
      <c r="H9475" s="18"/>
      <c r="K9475" s="18" t="s">
        <v>316</v>
      </c>
    </row>
    <row r="9476">
      <c r="A9476" s="17"/>
      <c r="H9476" s="18"/>
      <c r="K9476" s="18" t="s">
        <v>316</v>
      </c>
    </row>
    <row r="9477">
      <c r="A9477" s="17"/>
      <c r="H9477" s="18"/>
      <c r="K9477" s="18" t="s">
        <v>316</v>
      </c>
    </row>
    <row r="9478">
      <c r="A9478" s="17"/>
      <c r="H9478" s="18"/>
      <c r="K9478" s="18" t="s">
        <v>316</v>
      </c>
    </row>
    <row r="9479">
      <c r="A9479" s="17"/>
      <c r="H9479" s="18"/>
      <c r="K9479" s="18" t="s">
        <v>316</v>
      </c>
    </row>
    <row r="9480">
      <c r="A9480" s="17"/>
      <c r="H9480" s="18"/>
      <c r="K9480" s="18" t="s">
        <v>316</v>
      </c>
    </row>
    <row r="9481">
      <c r="A9481" s="17"/>
      <c r="H9481" s="18"/>
      <c r="K9481" s="18" t="s">
        <v>316</v>
      </c>
    </row>
    <row r="9482">
      <c r="A9482" s="17"/>
      <c r="H9482" s="18"/>
      <c r="K9482" s="18" t="s">
        <v>316</v>
      </c>
    </row>
    <row r="9483">
      <c r="A9483" s="17"/>
      <c r="H9483" s="18"/>
      <c r="K9483" s="18" t="s">
        <v>316</v>
      </c>
    </row>
    <row r="9484">
      <c r="A9484" s="17"/>
      <c r="H9484" s="18"/>
      <c r="K9484" s="18" t="s">
        <v>316</v>
      </c>
    </row>
    <row r="9485">
      <c r="A9485" s="17"/>
      <c r="H9485" s="18"/>
      <c r="K9485" s="18" t="s">
        <v>316</v>
      </c>
    </row>
    <row r="9486">
      <c r="A9486" s="17"/>
      <c r="H9486" s="18"/>
      <c r="K9486" s="18" t="s">
        <v>316</v>
      </c>
    </row>
    <row r="9487">
      <c r="A9487" s="17"/>
      <c r="H9487" s="18"/>
      <c r="K9487" s="18" t="s">
        <v>316</v>
      </c>
    </row>
    <row r="9488">
      <c r="A9488" s="17"/>
      <c r="H9488" s="18"/>
      <c r="K9488" s="18" t="s">
        <v>316</v>
      </c>
    </row>
    <row r="9489">
      <c r="A9489" s="17"/>
      <c r="H9489" s="18"/>
      <c r="K9489" s="18" t="s">
        <v>316</v>
      </c>
    </row>
    <row r="9490">
      <c r="A9490" s="17"/>
      <c r="H9490" s="18"/>
      <c r="K9490" s="18" t="s">
        <v>316</v>
      </c>
    </row>
    <row r="9491">
      <c r="A9491" s="17"/>
      <c r="H9491" s="18"/>
      <c r="K9491" s="18" t="s">
        <v>316</v>
      </c>
    </row>
    <row r="9492">
      <c r="A9492" s="17"/>
      <c r="H9492" s="18"/>
      <c r="K9492" s="18" t="s">
        <v>316</v>
      </c>
    </row>
    <row r="9493">
      <c r="A9493" s="17"/>
      <c r="H9493" s="18"/>
      <c r="K9493" s="18" t="s">
        <v>316</v>
      </c>
    </row>
    <row r="9494">
      <c r="A9494" s="17"/>
      <c r="H9494" s="18"/>
      <c r="K9494" s="18" t="s">
        <v>316</v>
      </c>
    </row>
    <row r="9495">
      <c r="A9495" s="17"/>
      <c r="H9495" s="18"/>
      <c r="K9495" s="18" t="s">
        <v>316</v>
      </c>
    </row>
    <row r="9496">
      <c r="A9496" s="17"/>
      <c r="H9496" s="18"/>
      <c r="K9496" s="18" t="s">
        <v>316</v>
      </c>
    </row>
    <row r="9497">
      <c r="A9497" s="17"/>
      <c r="H9497" s="18"/>
      <c r="K9497" s="18" t="s">
        <v>316</v>
      </c>
    </row>
    <row r="9498">
      <c r="A9498" s="17"/>
      <c r="H9498" s="18"/>
      <c r="K9498" s="18" t="s">
        <v>316</v>
      </c>
    </row>
    <row r="9499">
      <c r="A9499" s="17"/>
      <c r="H9499" s="18"/>
      <c r="K9499" s="18" t="s">
        <v>316</v>
      </c>
    </row>
    <row r="9500">
      <c r="A9500" s="17"/>
      <c r="H9500" s="18"/>
      <c r="K9500" s="18" t="s">
        <v>316</v>
      </c>
    </row>
    <row r="9501">
      <c r="A9501" s="17"/>
      <c r="H9501" s="18"/>
      <c r="K9501" s="18" t="s">
        <v>316</v>
      </c>
    </row>
    <row r="9502">
      <c r="A9502" s="17"/>
      <c r="H9502" s="18"/>
      <c r="K9502" s="18" t="s">
        <v>316</v>
      </c>
    </row>
    <row r="9503">
      <c r="A9503" s="17"/>
      <c r="H9503" s="18"/>
      <c r="K9503" s="18" t="s">
        <v>316</v>
      </c>
    </row>
    <row r="9504">
      <c r="A9504" s="17"/>
      <c r="H9504" s="18"/>
      <c r="K9504" s="18" t="s">
        <v>316</v>
      </c>
    </row>
    <row r="9505">
      <c r="A9505" s="17"/>
      <c r="H9505" s="18"/>
      <c r="K9505" s="18" t="s">
        <v>316</v>
      </c>
    </row>
    <row r="9506">
      <c r="A9506" s="17"/>
      <c r="H9506" s="18"/>
      <c r="K9506" s="18" t="s">
        <v>316</v>
      </c>
    </row>
    <row r="9507">
      <c r="A9507" s="17"/>
      <c r="H9507" s="18"/>
      <c r="K9507" s="18" t="s">
        <v>316</v>
      </c>
    </row>
    <row r="9508">
      <c r="A9508" s="17"/>
      <c r="H9508" s="18"/>
      <c r="K9508" s="18" t="s">
        <v>316</v>
      </c>
    </row>
    <row r="9509">
      <c r="A9509" s="17"/>
      <c r="H9509" s="18"/>
      <c r="K9509" s="18" t="s">
        <v>316</v>
      </c>
    </row>
    <row r="9510">
      <c r="A9510" s="17"/>
      <c r="H9510" s="18"/>
      <c r="K9510" s="18" t="s">
        <v>316</v>
      </c>
    </row>
    <row r="9511">
      <c r="A9511" s="17"/>
      <c r="H9511" s="18"/>
      <c r="K9511" s="18" t="s">
        <v>316</v>
      </c>
    </row>
    <row r="9512">
      <c r="A9512" s="17"/>
      <c r="H9512" s="18"/>
      <c r="K9512" s="18" t="s">
        <v>316</v>
      </c>
    </row>
    <row r="9513">
      <c r="A9513" s="17"/>
      <c r="H9513" s="18"/>
      <c r="K9513" s="18" t="s">
        <v>316</v>
      </c>
    </row>
    <row r="9514">
      <c r="A9514" s="17"/>
      <c r="H9514" s="18"/>
      <c r="K9514" s="18" t="s">
        <v>316</v>
      </c>
    </row>
    <row r="9515">
      <c r="A9515" s="17"/>
      <c r="H9515" s="18"/>
      <c r="K9515" s="18" t="s">
        <v>316</v>
      </c>
    </row>
    <row r="9516">
      <c r="A9516" s="17"/>
      <c r="H9516" s="18"/>
      <c r="K9516" s="18" t="s">
        <v>316</v>
      </c>
    </row>
    <row r="9517">
      <c r="A9517" s="17"/>
      <c r="H9517" s="18"/>
      <c r="K9517" s="18" t="s">
        <v>316</v>
      </c>
    </row>
    <row r="9518">
      <c r="A9518" s="17"/>
      <c r="H9518" s="18"/>
      <c r="K9518" s="18" t="s">
        <v>316</v>
      </c>
    </row>
    <row r="9519">
      <c r="A9519" s="17"/>
      <c r="H9519" s="18"/>
      <c r="K9519" s="18" t="s">
        <v>316</v>
      </c>
    </row>
    <row r="9520">
      <c r="A9520" s="17"/>
      <c r="H9520" s="18"/>
      <c r="K9520" s="18" t="s">
        <v>316</v>
      </c>
    </row>
    <row r="9521">
      <c r="A9521" s="17"/>
      <c r="H9521" s="18"/>
      <c r="K9521" s="18" t="s">
        <v>316</v>
      </c>
    </row>
    <row r="9522">
      <c r="A9522" s="17"/>
      <c r="H9522" s="18"/>
      <c r="K9522" s="18" t="s">
        <v>316</v>
      </c>
    </row>
    <row r="9523">
      <c r="A9523" s="17"/>
      <c r="H9523" s="18"/>
      <c r="K9523" s="18" t="s">
        <v>316</v>
      </c>
    </row>
    <row r="9524">
      <c r="A9524" s="17"/>
      <c r="H9524" s="18"/>
      <c r="K9524" s="18" t="s">
        <v>316</v>
      </c>
    </row>
    <row r="9525">
      <c r="A9525" s="17"/>
      <c r="H9525" s="18"/>
      <c r="K9525" s="18" t="s">
        <v>316</v>
      </c>
    </row>
    <row r="9526">
      <c r="A9526" s="17"/>
      <c r="H9526" s="18"/>
      <c r="K9526" s="18" t="s">
        <v>316</v>
      </c>
    </row>
    <row r="9527">
      <c r="A9527" s="17"/>
      <c r="H9527" s="18"/>
      <c r="K9527" s="18" t="s">
        <v>316</v>
      </c>
    </row>
    <row r="9528">
      <c r="A9528" s="17"/>
      <c r="H9528" s="18"/>
      <c r="K9528" s="18" t="s">
        <v>316</v>
      </c>
    </row>
    <row r="9529">
      <c r="A9529" s="17"/>
      <c r="H9529" s="18"/>
      <c r="K9529" s="18" t="s">
        <v>316</v>
      </c>
    </row>
    <row r="9530">
      <c r="A9530" s="17"/>
      <c r="H9530" s="18"/>
      <c r="K9530" s="18" t="s">
        <v>316</v>
      </c>
    </row>
    <row r="9531">
      <c r="A9531" s="17"/>
      <c r="H9531" s="18"/>
      <c r="K9531" s="18" t="s">
        <v>316</v>
      </c>
    </row>
    <row r="9532">
      <c r="A9532" s="17"/>
      <c r="H9532" s="18"/>
      <c r="K9532" s="18" t="s">
        <v>316</v>
      </c>
    </row>
    <row r="9533">
      <c r="A9533" s="17"/>
      <c r="H9533" s="18"/>
      <c r="K9533" s="18" t="s">
        <v>316</v>
      </c>
    </row>
    <row r="9534">
      <c r="A9534" s="17"/>
      <c r="H9534" s="18"/>
      <c r="K9534" s="18" t="s">
        <v>316</v>
      </c>
    </row>
    <row r="9535">
      <c r="A9535" s="17"/>
      <c r="H9535" s="18"/>
      <c r="K9535" s="18" t="s">
        <v>316</v>
      </c>
    </row>
    <row r="9536">
      <c r="A9536" s="17"/>
      <c r="H9536" s="18"/>
      <c r="K9536" s="18" t="s">
        <v>316</v>
      </c>
    </row>
    <row r="9537">
      <c r="A9537" s="17"/>
      <c r="H9537" s="18"/>
      <c r="K9537" s="18" t="s">
        <v>316</v>
      </c>
    </row>
    <row r="9538">
      <c r="A9538" s="17"/>
      <c r="H9538" s="18"/>
      <c r="K9538" s="18" t="s">
        <v>316</v>
      </c>
    </row>
    <row r="9539">
      <c r="A9539" s="17"/>
      <c r="H9539" s="18"/>
      <c r="K9539" s="18" t="s">
        <v>316</v>
      </c>
    </row>
    <row r="9540">
      <c r="A9540" s="17"/>
      <c r="H9540" s="18"/>
      <c r="K9540" s="18" t="s">
        <v>316</v>
      </c>
    </row>
    <row r="9541">
      <c r="A9541" s="17"/>
      <c r="H9541" s="18"/>
      <c r="K9541" s="18" t="s">
        <v>316</v>
      </c>
    </row>
    <row r="9542">
      <c r="A9542" s="17"/>
      <c r="H9542" s="18"/>
      <c r="K9542" s="18" t="s">
        <v>316</v>
      </c>
    </row>
    <row r="9543">
      <c r="A9543" s="17"/>
      <c r="H9543" s="18"/>
      <c r="K9543" s="18" t="s">
        <v>316</v>
      </c>
    </row>
    <row r="9544">
      <c r="A9544" s="17"/>
      <c r="H9544" s="18"/>
      <c r="K9544" s="18" t="s">
        <v>316</v>
      </c>
    </row>
    <row r="9545">
      <c r="A9545" s="17"/>
      <c r="H9545" s="18"/>
      <c r="K9545" s="18" t="s">
        <v>316</v>
      </c>
    </row>
    <row r="9546">
      <c r="A9546" s="17"/>
      <c r="H9546" s="18"/>
      <c r="K9546" s="18" t="s">
        <v>316</v>
      </c>
    </row>
    <row r="9547">
      <c r="A9547" s="17"/>
      <c r="H9547" s="18"/>
      <c r="K9547" s="18" t="s">
        <v>316</v>
      </c>
    </row>
    <row r="9548">
      <c r="A9548" s="17"/>
      <c r="H9548" s="18"/>
      <c r="K9548" s="18" t="s">
        <v>316</v>
      </c>
    </row>
    <row r="9549">
      <c r="A9549" s="17"/>
      <c r="H9549" s="18"/>
      <c r="K9549" s="18" t="s">
        <v>316</v>
      </c>
    </row>
    <row r="9550">
      <c r="A9550" s="17"/>
      <c r="H9550" s="18"/>
      <c r="K9550" s="18" t="s">
        <v>316</v>
      </c>
    </row>
    <row r="9551">
      <c r="A9551" s="17"/>
      <c r="H9551" s="18"/>
      <c r="K9551" s="18" t="s">
        <v>316</v>
      </c>
    </row>
    <row r="9552">
      <c r="A9552" s="17"/>
      <c r="H9552" s="18"/>
      <c r="K9552" s="18" t="s">
        <v>316</v>
      </c>
    </row>
    <row r="9553">
      <c r="A9553" s="17"/>
      <c r="H9553" s="18"/>
      <c r="K9553" s="18" t="s">
        <v>316</v>
      </c>
    </row>
    <row r="9554">
      <c r="A9554" s="17"/>
      <c r="H9554" s="18"/>
      <c r="K9554" s="18" t="s">
        <v>316</v>
      </c>
    </row>
    <row r="9555">
      <c r="A9555" s="17"/>
      <c r="H9555" s="18"/>
      <c r="K9555" s="18" t="s">
        <v>316</v>
      </c>
    </row>
    <row r="9556">
      <c r="A9556" s="17"/>
      <c r="H9556" s="18"/>
      <c r="K9556" s="18" t="s">
        <v>316</v>
      </c>
    </row>
    <row r="9557">
      <c r="A9557" s="17"/>
      <c r="H9557" s="18"/>
      <c r="K9557" s="18" t="s">
        <v>316</v>
      </c>
    </row>
    <row r="9558">
      <c r="A9558" s="17"/>
      <c r="H9558" s="18"/>
      <c r="K9558" s="18" t="s">
        <v>316</v>
      </c>
    </row>
    <row r="9559">
      <c r="A9559" s="17"/>
      <c r="H9559" s="18"/>
      <c r="K9559" s="18" t="s">
        <v>316</v>
      </c>
    </row>
    <row r="9560">
      <c r="A9560" s="17"/>
      <c r="H9560" s="18"/>
      <c r="K9560" s="18" t="s">
        <v>316</v>
      </c>
    </row>
    <row r="9561">
      <c r="A9561" s="17"/>
      <c r="H9561" s="18"/>
      <c r="K9561" s="18" t="s">
        <v>316</v>
      </c>
    </row>
    <row r="9562">
      <c r="A9562" s="17"/>
      <c r="H9562" s="18"/>
      <c r="K9562" s="18" t="s">
        <v>316</v>
      </c>
    </row>
    <row r="9563">
      <c r="A9563" s="17"/>
      <c r="H9563" s="18"/>
      <c r="K9563" s="18" t="s">
        <v>316</v>
      </c>
    </row>
    <row r="9564">
      <c r="A9564" s="17"/>
      <c r="H9564" s="18"/>
      <c r="K9564" s="18" t="s">
        <v>316</v>
      </c>
    </row>
    <row r="9565">
      <c r="A9565" s="17"/>
      <c r="H9565" s="18"/>
      <c r="K9565" s="18" t="s">
        <v>316</v>
      </c>
    </row>
    <row r="9566">
      <c r="A9566" s="17"/>
      <c r="H9566" s="18"/>
      <c r="K9566" s="18" t="s">
        <v>316</v>
      </c>
    </row>
    <row r="9567">
      <c r="A9567" s="17"/>
      <c r="H9567" s="18"/>
      <c r="K9567" s="18" t="s">
        <v>316</v>
      </c>
    </row>
    <row r="9568">
      <c r="A9568" s="17"/>
      <c r="H9568" s="18"/>
      <c r="K9568" s="18" t="s">
        <v>316</v>
      </c>
    </row>
    <row r="9569">
      <c r="A9569" s="17"/>
      <c r="H9569" s="18"/>
      <c r="K9569" s="18" t="s">
        <v>316</v>
      </c>
    </row>
    <row r="9570">
      <c r="A9570" s="17"/>
      <c r="H9570" s="18"/>
      <c r="K9570" s="18" t="s">
        <v>316</v>
      </c>
    </row>
    <row r="9571">
      <c r="A9571" s="17"/>
      <c r="H9571" s="18"/>
      <c r="K9571" s="18" t="s">
        <v>316</v>
      </c>
    </row>
    <row r="9572">
      <c r="A9572" s="17"/>
      <c r="H9572" s="18"/>
      <c r="K9572" s="18" t="s">
        <v>316</v>
      </c>
    </row>
    <row r="9573">
      <c r="A9573" s="17"/>
      <c r="H9573" s="18"/>
      <c r="K9573" s="18" t="s">
        <v>316</v>
      </c>
    </row>
    <row r="9574">
      <c r="A9574" s="17"/>
      <c r="H9574" s="18"/>
      <c r="K9574" s="18" t="s">
        <v>316</v>
      </c>
    </row>
    <row r="9575">
      <c r="A9575" s="17"/>
      <c r="H9575" s="18"/>
      <c r="K9575" s="18" t="s">
        <v>316</v>
      </c>
    </row>
    <row r="9576">
      <c r="A9576" s="17"/>
      <c r="H9576" s="18"/>
      <c r="K9576" s="18" t="s">
        <v>316</v>
      </c>
    </row>
    <row r="9577">
      <c r="A9577" s="17"/>
      <c r="H9577" s="18"/>
      <c r="K9577" s="18" t="s">
        <v>316</v>
      </c>
    </row>
    <row r="9578">
      <c r="A9578" s="17"/>
      <c r="H9578" s="18"/>
      <c r="K9578" s="18" t="s">
        <v>316</v>
      </c>
    </row>
    <row r="9579">
      <c r="A9579" s="17"/>
      <c r="H9579" s="18"/>
      <c r="K9579" s="18" t="s">
        <v>316</v>
      </c>
    </row>
    <row r="9580">
      <c r="A9580" s="17"/>
      <c r="H9580" s="18"/>
      <c r="K9580" s="18" t="s">
        <v>316</v>
      </c>
    </row>
    <row r="9581">
      <c r="A9581" s="17"/>
      <c r="H9581" s="18"/>
      <c r="K9581" s="18" t="s">
        <v>316</v>
      </c>
    </row>
    <row r="9582">
      <c r="A9582" s="17"/>
      <c r="H9582" s="18"/>
      <c r="K9582" s="18" t="s">
        <v>316</v>
      </c>
    </row>
    <row r="9583">
      <c r="A9583" s="17"/>
      <c r="H9583" s="18"/>
      <c r="K9583" s="18" t="s">
        <v>316</v>
      </c>
    </row>
    <row r="9584">
      <c r="A9584" s="17"/>
      <c r="H9584" s="18"/>
      <c r="K9584" s="18" t="s">
        <v>316</v>
      </c>
    </row>
    <row r="9585">
      <c r="A9585" s="17"/>
      <c r="H9585" s="18"/>
      <c r="K9585" s="18" t="s">
        <v>316</v>
      </c>
    </row>
    <row r="9586">
      <c r="A9586" s="17"/>
      <c r="H9586" s="18"/>
      <c r="K9586" s="18" t="s">
        <v>316</v>
      </c>
    </row>
    <row r="9587">
      <c r="A9587" s="17"/>
      <c r="H9587" s="18"/>
      <c r="K9587" s="18" t="s">
        <v>316</v>
      </c>
    </row>
    <row r="9588">
      <c r="A9588" s="17"/>
      <c r="H9588" s="18"/>
      <c r="K9588" s="18" t="s">
        <v>316</v>
      </c>
    </row>
    <row r="9589">
      <c r="A9589" s="17"/>
      <c r="H9589" s="18"/>
      <c r="K9589" s="18" t="s">
        <v>316</v>
      </c>
    </row>
    <row r="9590">
      <c r="A9590" s="17"/>
      <c r="H9590" s="18"/>
      <c r="K9590" s="18" t="s">
        <v>316</v>
      </c>
    </row>
    <row r="9591">
      <c r="A9591" s="17"/>
      <c r="H9591" s="18"/>
      <c r="K9591" s="18" t="s">
        <v>316</v>
      </c>
    </row>
    <row r="9592">
      <c r="A9592" s="17"/>
      <c r="H9592" s="18"/>
      <c r="K9592" s="18" t="s">
        <v>316</v>
      </c>
    </row>
    <row r="9593">
      <c r="A9593" s="17"/>
      <c r="H9593" s="18"/>
      <c r="K9593" s="18" t="s">
        <v>316</v>
      </c>
    </row>
    <row r="9594">
      <c r="A9594" s="17"/>
      <c r="H9594" s="18"/>
      <c r="K9594" s="18" t="s">
        <v>316</v>
      </c>
    </row>
    <row r="9595">
      <c r="A9595" s="17"/>
      <c r="H9595" s="18"/>
      <c r="K9595" s="18" t="s">
        <v>316</v>
      </c>
    </row>
    <row r="9596">
      <c r="A9596" s="17"/>
      <c r="H9596" s="18"/>
      <c r="K9596" s="18" t="s">
        <v>316</v>
      </c>
    </row>
    <row r="9597">
      <c r="A9597" s="17"/>
      <c r="H9597" s="18"/>
      <c r="K9597" s="18" t="s">
        <v>316</v>
      </c>
    </row>
    <row r="9598">
      <c r="A9598" s="17"/>
      <c r="H9598" s="18"/>
      <c r="K9598" s="18" t="s">
        <v>316</v>
      </c>
    </row>
    <row r="9599">
      <c r="A9599" s="17"/>
      <c r="H9599" s="18"/>
      <c r="K9599" s="18" t="s">
        <v>316</v>
      </c>
    </row>
    <row r="9600">
      <c r="A9600" s="17"/>
      <c r="H9600" s="18"/>
      <c r="K9600" s="18" t="s">
        <v>316</v>
      </c>
    </row>
    <row r="9601">
      <c r="A9601" s="17"/>
      <c r="H9601" s="18"/>
      <c r="K9601" s="18" t="s">
        <v>316</v>
      </c>
    </row>
    <row r="9602">
      <c r="A9602" s="17"/>
      <c r="H9602" s="18"/>
      <c r="K9602" s="18" t="s">
        <v>316</v>
      </c>
    </row>
    <row r="9603">
      <c r="A9603" s="17"/>
      <c r="H9603" s="18"/>
      <c r="K9603" s="18" t="s">
        <v>316</v>
      </c>
    </row>
    <row r="9604">
      <c r="A9604" s="17"/>
      <c r="H9604" s="18"/>
      <c r="K9604" s="18" t="s">
        <v>316</v>
      </c>
    </row>
    <row r="9605">
      <c r="A9605" s="17"/>
      <c r="H9605" s="18"/>
      <c r="K9605" s="18" t="s">
        <v>316</v>
      </c>
    </row>
    <row r="9606">
      <c r="A9606" s="17"/>
      <c r="H9606" s="18"/>
      <c r="K9606" s="18" t="s">
        <v>316</v>
      </c>
    </row>
    <row r="9607">
      <c r="A9607" s="17"/>
      <c r="H9607" s="18"/>
      <c r="K9607" s="18" t="s">
        <v>316</v>
      </c>
    </row>
    <row r="9608">
      <c r="A9608" s="17"/>
      <c r="H9608" s="18"/>
      <c r="K9608" s="18" t="s">
        <v>316</v>
      </c>
    </row>
    <row r="9609">
      <c r="A9609" s="17"/>
      <c r="H9609" s="18"/>
      <c r="K9609" s="18" t="s">
        <v>316</v>
      </c>
    </row>
    <row r="9610">
      <c r="A9610" s="17"/>
      <c r="H9610" s="18"/>
      <c r="K9610" s="18" t="s">
        <v>316</v>
      </c>
    </row>
    <row r="9611">
      <c r="A9611" s="17"/>
      <c r="H9611" s="18"/>
      <c r="K9611" s="18" t="s">
        <v>316</v>
      </c>
    </row>
    <row r="9612">
      <c r="A9612" s="17"/>
      <c r="H9612" s="18"/>
      <c r="K9612" s="18" t="s">
        <v>316</v>
      </c>
    </row>
    <row r="9613">
      <c r="A9613" s="17"/>
      <c r="H9613" s="18"/>
      <c r="K9613" s="18" t="s">
        <v>316</v>
      </c>
    </row>
    <row r="9614">
      <c r="A9614" s="17"/>
      <c r="H9614" s="18"/>
      <c r="K9614" s="18" t="s">
        <v>316</v>
      </c>
    </row>
    <row r="9615">
      <c r="A9615" s="17"/>
      <c r="H9615" s="18"/>
      <c r="K9615" s="18" t="s">
        <v>316</v>
      </c>
    </row>
    <row r="9616">
      <c r="A9616" s="17"/>
      <c r="H9616" s="18"/>
      <c r="K9616" s="18" t="s">
        <v>316</v>
      </c>
    </row>
    <row r="9617">
      <c r="A9617" s="17"/>
      <c r="H9617" s="18"/>
      <c r="K9617" s="18" t="s">
        <v>316</v>
      </c>
    </row>
    <row r="9618">
      <c r="A9618" s="17"/>
      <c r="H9618" s="18"/>
      <c r="K9618" s="18" t="s">
        <v>316</v>
      </c>
    </row>
    <row r="9619">
      <c r="A9619" s="17"/>
      <c r="H9619" s="18"/>
      <c r="K9619" s="18" t="s">
        <v>316</v>
      </c>
    </row>
    <row r="9620">
      <c r="A9620" s="17"/>
      <c r="H9620" s="18"/>
      <c r="K9620" s="18" t="s">
        <v>316</v>
      </c>
    </row>
    <row r="9621">
      <c r="A9621" s="17"/>
      <c r="H9621" s="18"/>
      <c r="K9621" s="18" t="s">
        <v>316</v>
      </c>
    </row>
    <row r="9622">
      <c r="A9622" s="17"/>
      <c r="H9622" s="18"/>
      <c r="K9622" s="18" t="s">
        <v>316</v>
      </c>
    </row>
    <row r="9623">
      <c r="A9623" s="17"/>
      <c r="H9623" s="18"/>
      <c r="K9623" s="18" t="s">
        <v>316</v>
      </c>
    </row>
    <row r="9624">
      <c r="A9624" s="17"/>
      <c r="H9624" s="18"/>
      <c r="K9624" s="18" t="s">
        <v>316</v>
      </c>
    </row>
    <row r="9625">
      <c r="A9625" s="17"/>
      <c r="H9625" s="18"/>
      <c r="K9625" s="18" t="s">
        <v>316</v>
      </c>
    </row>
    <row r="9626">
      <c r="A9626" s="17"/>
      <c r="H9626" s="18"/>
      <c r="K9626" s="18" t="s">
        <v>316</v>
      </c>
    </row>
    <row r="9627">
      <c r="A9627" s="17"/>
      <c r="H9627" s="18"/>
      <c r="K9627" s="18" t="s">
        <v>316</v>
      </c>
    </row>
    <row r="9628">
      <c r="A9628" s="17"/>
      <c r="H9628" s="18"/>
      <c r="K9628" s="18" t="s">
        <v>316</v>
      </c>
    </row>
    <row r="9629">
      <c r="A9629" s="17"/>
      <c r="H9629" s="18"/>
      <c r="K9629" s="18" t="s">
        <v>316</v>
      </c>
    </row>
    <row r="9630">
      <c r="A9630" s="17"/>
      <c r="H9630" s="18"/>
      <c r="K9630" s="18" t="s">
        <v>316</v>
      </c>
    </row>
    <row r="9631">
      <c r="A9631" s="17"/>
      <c r="H9631" s="18"/>
      <c r="K9631" s="18" t="s">
        <v>316</v>
      </c>
    </row>
    <row r="9632">
      <c r="A9632" s="17"/>
      <c r="H9632" s="18"/>
      <c r="K9632" s="18" t="s">
        <v>316</v>
      </c>
    </row>
    <row r="9633">
      <c r="A9633" s="17"/>
      <c r="H9633" s="18"/>
      <c r="K9633" s="18" t="s">
        <v>316</v>
      </c>
    </row>
    <row r="9634">
      <c r="A9634" s="17"/>
      <c r="H9634" s="18"/>
      <c r="K9634" s="18" t="s">
        <v>316</v>
      </c>
    </row>
    <row r="9635">
      <c r="A9635" s="17"/>
      <c r="H9635" s="18"/>
      <c r="K9635" s="18" t="s">
        <v>316</v>
      </c>
    </row>
    <row r="9636">
      <c r="A9636" s="17"/>
      <c r="H9636" s="18"/>
      <c r="K9636" s="18" t="s">
        <v>316</v>
      </c>
    </row>
    <row r="9637">
      <c r="A9637" s="17"/>
      <c r="H9637" s="18"/>
      <c r="K9637" s="18" t="s">
        <v>316</v>
      </c>
    </row>
    <row r="9638">
      <c r="A9638" s="17"/>
      <c r="H9638" s="18"/>
      <c r="K9638" s="18" t="s">
        <v>316</v>
      </c>
    </row>
    <row r="9639">
      <c r="A9639" s="17"/>
      <c r="H9639" s="18"/>
      <c r="K9639" s="18" t="s">
        <v>316</v>
      </c>
    </row>
    <row r="9640">
      <c r="A9640" s="17"/>
      <c r="H9640" s="18"/>
      <c r="K9640" s="18" t="s">
        <v>316</v>
      </c>
    </row>
    <row r="9641">
      <c r="A9641" s="17"/>
      <c r="H9641" s="18"/>
      <c r="K9641" s="18" t="s">
        <v>316</v>
      </c>
    </row>
    <row r="9642">
      <c r="A9642" s="17"/>
      <c r="H9642" s="18"/>
      <c r="K9642" s="18" t="s">
        <v>316</v>
      </c>
    </row>
    <row r="9643">
      <c r="A9643" s="17"/>
      <c r="H9643" s="18"/>
      <c r="K9643" s="18" t="s">
        <v>316</v>
      </c>
    </row>
    <row r="9644">
      <c r="A9644" s="17"/>
      <c r="H9644" s="18"/>
      <c r="K9644" s="18" t="s">
        <v>316</v>
      </c>
    </row>
    <row r="9645">
      <c r="A9645" s="17"/>
      <c r="H9645" s="18"/>
      <c r="K9645" s="18" t="s">
        <v>316</v>
      </c>
    </row>
    <row r="9646">
      <c r="A9646" s="17"/>
      <c r="H9646" s="18"/>
      <c r="K9646" s="18" t="s">
        <v>316</v>
      </c>
    </row>
    <row r="9647">
      <c r="A9647" s="17"/>
      <c r="H9647" s="18"/>
      <c r="K9647" s="18" t="s">
        <v>316</v>
      </c>
    </row>
    <row r="9648">
      <c r="A9648" s="17"/>
      <c r="H9648" s="18"/>
      <c r="K9648" s="18" t="s">
        <v>316</v>
      </c>
    </row>
    <row r="9649">
      <c r="A9649" s="17"/>
      <c r="H9649" s="18"/>
      <c r="K9649" s="18" t="s">
        <v>316</v>
      </c>
    </row>
    <row r="9650">
      <c r="A9650" s="17"/>
      <c r="H9650" s="18"/>
      <c r="K9650" s="18" t="s">
        <v>316</v>
      </c>
    </row>
    <row r="9651">
      <c r="A9651" s="17"/>
      <c r="H9651" s="18"/>
      <c r="K9651" s="18" t="s">
        <v>316</v>
      </c>
    </row>
    <row r="9652">
      <c r="A9652" s="17"/>
      <c r="H9652" s="18"/>
      <c r="K9652" s="18" t="s">
        <v>316</v>
      </c>
    </row>
    <row r="9653">
      <c r="A9653" s="17"/>
      <c r="H9653" s="18"/>
      <c r="K9653" s="18" t="s">
        <v>316</v>
      </c>
    </row>
    <row r="9654">
      <c r="A9654" s="17"/>
      <c r="H9654" s="18"/>
      <c r="K9654" s="18" t="s">
        <v>316</v>
      </c>
    </row>
    <row r="9655">
      <c r="A9655" s="17"/>
      <c r="H9655" s="18"/>
      <c r="K9655" s="18" t="s">
        <v>316</v>
      </c>
    </row>
    <row r="9656">
      <c r="A9656" s="17"/>
      <c r="H9656" s="18"/>
      <c r="K9656" s="18" t="s">
        <v>316</v>
      </c>
    </row>
    <row r="9657">
      <c r="A9657" s="17"/>
      <c r="H9657" s="18"/>
      <c r="K9657" s="18" t="s">
        <v>316</v>
      </c>
    </row>
    <row r="9658">
      <c r="A9658" s="17"/>
      <c r="H9658" s="18"/>
      <c r="K9658" s="18" t="s">
        <v>316</v>
      </c>
    </row>
    <row r="9659">
      <c r="A9659" s="17"/>
      <c r="H9659" s="18"/>
      <c r="K9659" s="18" t="s">
        <v>316</v>
      </c>
    </row>
    <row r="9660">
      <c r="A9660" s="17"/>
      <c r="H9660" s="18"/>
      <c r="K9660" s="18" t="s">
        <v>316</v>
      </c>
    </row>
    <row r="9661">
      <c r="A9661" s="17"/>
      <c r="H9661" s="18"/>
      <c r="K9661" s="18" t="s">
        <v>316</v>
      </c>
    </row>
    <row r="9662">
      <c r="A9662" s="17"/>
      <c r="H9662" s="18"/>
      <c r="K9662" s="18" t="s">
        <v>316</v>
      </c>
    </row>
    <row r="9663">
      <c r="A9663" s="17"/>
      <c r="H9663" s="18"/>
      <c r="K9663" s="18" t="s">
        <v>316</v>
      </c>
    </row>
    <row r="9664">
      <c r="A9664" s="17"/>
      <c r="H9664" s="18"/>
      <c r="K9664" s="18" t="s">
        <v>316</v>
      </c>
    </row>
    <row r="9665">
      <c r="A9665" s="17"/>
      <c r="H9665" s="18"/>
      <c r="K9665" s="18" t="s">
        <v>316</v>
      </c>
    </row>
    <row r="9666">
      <c r="A9666" s="17"/>
      <c r="H9666" s="18"/>
      <c r="K9666" s="18" t="s">
        <v>316</v>
      </c>
    </row>
    <row r="9667">
      <c r="A9667" s="17"/>
      <c r="H9667" s="18"/>
      <c r="K9667" s="18" t="s">
        <v>316</v>
      </c>
    </row>
    <row r="9668">
      <c r="A9668" s="17"/>
      <c r="H9668" s="18"/>
      <c r="K9668" s="18" t="s">
        <v>316</v>
      </c>
    </row>
    <row r="9669">
      <c r="A9669" s="17"/>
      <c r="H9669" s="18"/>
      <c r="K9669" s="18" t="s">
        <v>316</v>
      </c>
    </row>
    <row r="9670">
      <c r="A9670" s="17"/>
      <c r="H9670" s="18"/>
      <c r="K9670" s="18" t="s">
        <v>316</v>
      </c>
    </row>
    <row r="9671">
      <c r="A9671" s="17"/>
      <c r="H9671" s="18"/>
      <c r="K9671" s="18" t="s">
        <v>316</v>
      </c>
    </row>
    <row r="9672">
      <c r="A9672" s="17"/>
      <c r="H9672" s="18"/>
      <c r="K9672" s="18" t="s">
        <v>316</v>
      </c>
    </row>
    <row r="9673">
      <c r="A9673" s="17"/>
      <c r="H9673" s="18"/>
      <c r="K9673" s="18" t="s">
        <v>316</v>
      </c>
    </row>
    <row r="9674">
      <c r="A9674" s="17"/>
      <c r="H9674" s="18"/>
      <c r="K9674" s="18" t="s">
        <v>316</v>
      </c>
    </row>
    <row r="9675">
      <c r="A9675" s="17"/>
      <c r="H9675" s="18"/>
      <c r="K9675" s="18" t="s">
        <v>316</v>
      </c>
    </row>
    <row r="9676">
      <c r="A9676" s="17"/>
      <c r="H9676" s="18"/>
      <c r="K9676" s="18" t="s">
        <v>316</v>
      </c>
    </row>
    <row r="9677">
      <c r="A9677" s="17"/>
      <c r="H9677" s="18"/>
      <c r="K9677" s="18" t="s">
        <v>316</v>
      </c>
    </row>
    <row r="9678">
      <c r="A9678" s="17"/>
      <c r="H9678" s="18"/>
      <c r="K9678" s="18" t="s">
        <v>316</v>
      </c>
    </row>
    <row r="9679">
      <c r="A9679" s="17"/>
      <c r="H9679" s="18"/>
      <c r="K9679" s="18" t="s">
        <v>316</v>
      </c>
    </row>
    <row r="9680">
      <c r="A9680" s="17"/>
      <c r="H9680" s="18"/>
      <c r="K9680" s="18" t="s">
        <v>316</v>
      </c>
    </row>
    <row r="9681">
      <c r="A9681" s="17"/>
      <c r="H9681" s="18"/>
      <c r="K9681" s="18" t="s">
        <v>316</v>
      </c>
    </row>
    <row r="9682">
      <c r="A9682" s="17"/>
      <c r="H9682" s="18"/>
      <c r="K9682" s="18" t="s">
        <v>316</v>
      </c>
    </row>
    <row r="9683">
      <c r="A9683" s="17"/>
      <c r="H9683" s="18"/>
      <c r="K9683" s="18" t="s">
        <v>316</v>
      </c>
    </row>
    <row r="9684">
      <c r="A9684" s="17"/>
      <c r="H9684" s="18"/>
      <c r="K9684" s="18" t="s">
        <v>316</v>
      </c>
    </row>
    <row r="9685">
      <c r="A9685" s="17"/>
      <c r="H9685" s="18"/>
      <c r="K9685" s="18" t="s">
        <v>316</v>
      </c>
    </row>
    <row r="9686">
      <c r="A9686" s="17"/>
      <c r="H9686" s="18"/>
      <c r="K9686" s="18" t="s">
        <v>316</v>
      </c>
    </row>
    <row r="9687">
      <c r="A9687" s="17"/>
      <c r="H9687" s="18"/>
      <c r="K9687" s="18" t="s">
        <v>316</v>
      </c>
    </row>
    <row r="9688">
      <c r="A9688" s="17"/>
      <c r="H9688" s="18"/>
      <c r="K9688" s="18" t="s">
        <v>316</v>
      </c>
    </row>
    <row r="9689">
      <c r="A9689" s="17"/>
      <c r="H9689" s="18"/>
      <c r="K9689" s="18" t="s">
        <v>316</v>
      </c>
    </row>
    <row r="9690">
      <c r="A9690" s="17"/>
      <c r="H9690" s="18"/>
      <c r="K9690" s="18" t="s">
        <v>316</v>
      </c>
    </row>
    <row r="9691">
      <c r="A9691" s="17"/>
      <c r="H9691" s="18"/>
      <c r="K9691" s="18" t="s">
        <v>316</v>
      </c>
    </row>
    <row r="9692">
      <c r="A9692" s="17"/>
      <c r="H9692" s="18"/>
      <c r="K9692" s="18" t="s">
        <v>316</v>
      </c>
    </row>
    <row r="9693">
      <c r="A9693" s="17"/>
      <c r="H9693" s="18"/>
      <c r="K9693" s="18" t="s">
        <v>316</v>
      </c>
    </row>
    <row r="9694">
      <c r="A9694" s="17"/>
      <c r="H9694" s="18"/>
      <c r="K9694" s="18" t="s">
        <v>316</v>
      </c>
    </row>
    <row r="9695">
      <c r="A9695" s="17"/>
      <c r="H9695" s="18"/>
      <c r="K9695" s="18" t="s">
        <v>316</v>
      </c>
    </row>
    <row r="9696">
      <c r="A9696" s="17"/>
      <c r="H9696" s="18"/>
      <c r="K9696" s="18" t="s">
        <v>316</v>
      </c>
    </row>
    <row r="9697">
      <c r="A9697" s="17"/>
      <c r="H9697" s="18"/>
      <c r="K9697" s="18" t="s">
        <v>316</v>
      </c>
    </row>
    <row r="9698">
      <c r="A9698" s="17"/>
      <c r="H9698" s="18"/>
      <c r="K9698" s="18" t="s">
        <v>316</v>
      </c>
    </row>
    <row r="9699">
      <c r="A9699" s="17"/>
      <c r="H9699" s="18"/>
      <c r="K9699" s="18" t="s">
        <v>316</v>
      </c>
    </row>
    <row r="9700">
      <c r="A9700" s="17"/>
      <c r="H9700" s="18"/>
      <c r="K9700" s="18" t="s">
        <v>316</v>
      </c>
    </row>
    <row r="9701">
      <c r="A9701" s="17"/>
      <c r="H9701" s="18"/>
      <c r="K9701" s="18" t="s">
        <v>316</v>
      </c>
    </row>
    <row r="9702">
      <c r="A9702" s="17"/>
      <c r="H9702" s="18"/>
      <c r="K9702" s="18" t="s">
        <v>316</v>
      </c>
    </row>
    <row r="9703">
      <c r="A9703" s="17"/>
      <c r="H9703" s="18"/>
      <c r="K9703" s="18" t="s">
        <v>316</v>
      </c>
    </row>
    <row r="9704">
      <c r="A9704" s="17"/>
      <c r="H9704" s="18"/>
      <c r="K9704" s="18" t="s">
        <v>316</v>
      </c>
    </row>
    <row r="9705">
      <c r="A9705" s="17"/>
      <c r="H9705" s="18"/>
      <c r="K9705" s="18" t="s">
        <v>316</v>
      </c>
    </row>
    <row r="9706">
      <c r="A9706" s="17"/>
      <c r="H9706" s="18"/>
      <c r="K9706" s="18" t="s">
        <v>316</v>
      </c>
    </row>
    <row r="9707">
      <c r="A9707" s="17"/>
      <c r="H9707" s="18"/>
      <c r="K9707" s="18" t="s">
        <v>316</v>
      </c>
    </row>
    <row r="9708">
      <c r="A9708" s="17"/>
      <c r="H9708" s="18"/>
      <c r="K9708" s="18" t="s">
        <v>316</v>
      </c>
    </row>
    <row r="9709">
      <c r="A9709" s="17"/>
      <c r="H9709" s="18"/>
      <c r="K9709" s="18" t="s">
        <v>316</v>
      </c>
    </row>
    <row r="9710">
      <c r="A9710" s="17"/>
      <c r="H9710" s="18"/>
      <c r="K9710" s="18" t="s">
        <v>316</v>
      </c>
    </row>
    <row r="9711">
      <c r="A9711" s="17"/>
      <c r="H9711" s="18"/>
      <c r="K9711" s="18" t="s">
        <v>316</v>
      </c>
    </row>
    <row r="9712">
      <c r="A9712" s="17"/>
      <c r="H9712" s="18"/>
      <c r="K9712" s="18" t="s">
        <v>316</v>
      </c>
    </row>
    <row r="9713">
      <c r="A9713" s="17"/>
      <c r="H9713" s="18"/>
      <c r="K9713" s="18" t="s">
        <v>316</v>
      </c>
    </row>
    <row r="9714">
      <c r="A9714" s="17"/>
      <c r="H9714" s="18"/>
      <c r="K9714" s="18" t="s">
        <v>316</v>
      </c>
    </row>
    <row r="9715">
      <c r="A9715" s="17"/>
      <c r="H9715" s="18"/>
      <c r="K9715" s="18" t="s">
        <v>316</v>
      </c>
    </row>
    <row r="9716">
      <c r="A9716" s="17"/>
      <c r="H9716" s="18"/>
      <c r="K9716" s="18" t="s">
        <v>316</v>
      </c>
    </row>
    <row r="9717">
      <c r="A9717" s="17"/>
      <c r="H9717" s="18"/>
      <c r="K9717" s="18" t="s">
        <v>316</v>
      </c>
    </row>
    <row r="9718">
      <c r="A9718" s="17"/>
      <c r="H9718" s="18"/>
      <c r="K9718" s="18" t="s">
        <v>316</v>
      </c>
    </row>
    <row r="9719">
      <c r="A9719" s="17"/>
      <c r="H9719" s="18"/>
      <c r="K9719" s="18" t="s">
        <v>316</v>
      </c>
    </row>
    <row r="9720">
      <c r="A9720" s="17"/>
      <c r="H9720" s="18"/>
      <c r="K9720" s="18" t="s">
        <v>316</v>
      </c>
    </row>
    <row r="9721">
      <c r="A9721" s="17"/>
      <c r="H9721" s="18"/>
      <c r="K9721" s="18" t="s">
        <v>316</v>
      </c>
    </row>
    <row r="9722">
      <c r="A9722" s="17"/>
      <c r="H9722" s="18"/>
      <c r="K9722" s="18" t="s">
        <v>316</v>
      </c>
    </row>
    <row r="9723">
      <c r="A9723" s="17"/>
      <c r="H9723" s="18"/>
      <c r="K9723" s="18" t="s">
        <v>316</v>
      </c>
    </row>
    <row r="9724">
      <c r="A9724" s="17"/>
      <c r="H9724" s="18"/>
      <c r="K9724" s="18" t="s">
        <v>316</v>
      </c>
    </row>
    <row r="9725">
      <c r="A9725" s="17"/>
      <c r="H9725" s="18"/>
      <c r="K9725" s="18" t="s">
        <v>316</v>
      </c>
    </row>
    <row r="9726">
      <c r="A9726" s="17"/>
      <c r="H9726" s="18"/>
      <c r="K9726" s="18" t="s">
        <v>316</v>
      </c>
    </row>
    <row r="9727">
      <c r="A9727" s="17"/>
      <c r="H9727" s="18"/>
      <c r="K9727" s="18" t="s">
        <v>316</v>
      </c>
    </row>
    <row r="9728">
      <c r="A9728" s="17"/>
      <c r="H9728" s="18"/>
      <c r="K9728" s="18" t="s">
        <v>316</v>
      </c>
    </row>
    <row r="9729">
      <c r="A9729" s="17"/>
      <c r="H9729" s="18"/>
      <c r="K9729" s="18" t="s">
        <v>316</v>
      </c>
    </row>
    <row r="9730">
      <c r="A9730" s="17"/>
      <c r="H9730" s="18"/>
      <c r="K9730" s="18" t="s">
        <v>316</v>
      </c>
    </row>
    <row r="9731">
      <c r="A9731" s="17"/>
      <c r="H9731" s="18"/>
      <c r="K9731" s="18" t="s">
        <v>316</v>
      </c>
    </row>
    <row r="9732">
      <c r="A9732" s="17"/>
      <c r="H9732" s="18"/>
      <c r="K9732" s="18" t="s">
        <v>316</v>
      </c>
    </row>
    <row r="9733">
      <c r="A9733" s="17"/>
      <c r="H9733" s="18"/>
      <c r="K9733" s="18" t="s">
        <v>316</v>
      </c>
    </row>
    <row r="9734">
      <c r="A9734" s="17"/>
      <c r="H9734" s="18"/>
      <c r="K9734" s="18" t="s">
        <v>316</v>
      </c>
    </row>
    <row r="9735">
      <c r="A9735" s="17"/>
      <c r="H9735" s="18"/>
      <c r="K9735" s="18" t="s">
        <v>316</v>
      </c>
    </row>
    <row r="9736">
      <c r="A9736" s="17"/>
      <c r="H9736" s="18"/>
      <c r="K9736" s="18" t="s">
        <v>316</v>
      </c>
    </row>
    <row r="9737">
      <c r="A9737" s="17"/>
      <c r="H9737" s="18"/>
      <c r="K9737" s="18" t="s">
        <v>316</v>
      </c>
    </row>
    <row r="9738">
      <c r="A9738" s="17"/>
      <c r="H9738" s="18"/>
      <c r="K9738" s="18" t="s">
        <v>316</v>
      </c>
    </row>
    <row r="9739">
      <c r="A9739" s="17"/>
      <c r="H9739" s="18"/>
      <c r="K9739" s="18" t="s">
        <v>316</v>
      </c>
    </row>
    <row r="9740">
      <c r="A9740" s="17"/>
      <c r="H9740" s="18"/>
      <c r="K9740" s="18" t="s">
        <v>316</v>
      </c>
    </row>
    <row r="9741">
      <c r="A9741" s="17"/>
      <c r="H9741" s="18"/>
      <c r="K9741" s="18" t="s">
        <v>316</v>
      </c>
    </row>
    <row r="9742">
      <c r="A9742" s="17"/>
      <c r="H9742" s="18"/>
      <c r="K9742" s="18" t="s">
        <v>316</v>
      </c>
    </row>
    <row r="9743">
      <c r="A9743" s="17"/>
      <c r="H9743" s="18"/>
      <c r="K9743" s="18" t="s">
        <v>316</v>
      </c>
    </row>
    <row r="9744">
      <c r="A9744" s="17"/>
      <c r="H9744" s="18"/>
      <c r="K9744" s="18" t="s">
        <v>316</v>
      </c>
    </row>
    <row r="9745">
      <c r="A9745" s="17"/>
      <c r="H9745" s="18"/>
      <c r="K9745" s="18" t="s">
        <v>316</v>
      </c>
    </row>
    <row r="9746">
      <c r="A9746" s="17"/>
      <c r="H9746" s="18"/>
      <c r="K9746" s="18" t="s">
        <v>316</v>
      </c>
    </row>
    <row r="9747">
      <c r="A9747" s="17"/>
      <c r="H9747" s="18"/>
      <c r="K9747" s="18" t="s">
        <v>316</v>
      </c>
    </row>
    <row r="9748">
      <c r="A9748" s="17"/>
      <c r="H9748" s="18"/>
      <c r="K9748" s="18" t="s">
        <v>316</v>
      </c>
    </row>
    <row r="9749">
      <c r="A9749" s="17"/>
      <c r="H9749" s="18"/>
      <c r="K9749" s="18" t="s">
        <v>316</v>
      </c>
    </row>
    <row r="9750">
      <c r="A9750" s="17"/>
      <c r="H9750" s="18"/>
      <c r="K9750" s="18" t="s">
        <v>316</v>
      </c>
    </row>
    <row r="9751">
      <c r="A9751" s="17"/>
      <c r="H9751" s="18"/>
      <c r="K9751" s="18" t="s">
        <v>316</v>
      </c>
    </row>
    <row r="9752">
      <c r="A9752" s="17"/>
      <c r="H9752" s="18"/>
      <c r="K9752" s="18" t="s">
        <v>316</v>
      </c>
    </row>
    <row r="9753">
      <c r="A9753" s="17"/>
      <c r="H9753" s="18"/>
      <c r="K9753" s="18" t="s">
        <v>316</v>
      </c>
    </row>
    <row r="9754">
      <c r="A9754" s="17"/>
      <c r="H9754" s="18"/>
      <c r="K9754" s="18" t="s">
        <v>316</v>
      </c>
    </row>
    <row r="9755">
      <c r="A9755" s="17"/>
      <c r="H9755" s="18"/>
      <c r="K9755" s="18" t="s">
        <v>316</v>
      </c>
    </row>
    <row r="9756">
      <c r="A9756" s="17"/>
      <c r="H9756" s="18"/>
      <c r="K9756" s="18" t="s">
        <v>316</v>
      </c>
    </row>
    <row r="9757">
      <c r="A9757" s="17"/>
      <c r="H9757" s="18"/>
      <c r="K9757" s="18" t="s">
        <v>316</v>
      </c>
    </row>
    <row r="9758">
      <c r="A9758" s="17"/>
      <c r="H9758" s="18"/>
      <c r="K9758" s="18" t="s">
        <v>316</v>
      </c>
    </row>
    <row r="9759">
      <c r="A9759" s="17"/>
      <c r="H9759" s="18"/>
      <c r="K9759" s="18" t="s">
        <v>316</v>
      </c>
    </row>
    <row r="9760">
      <c r="A9760" s="17"/>
      <c r="H9760" s="18"/>
      <c r="K9760" s="18" t="s">
        <v>316</v>
      </c>
    </row>
    <row r="9761">
      <c r="A9761" s="17"/>
      <c r="H9761" s="18"/>
      <c r="K9761" s="18" t="s">
        <v>316</v>
      </c>
    </row>
    <row r="9762">
      <c r="A9762" s="17"/>
      <c r="H9762" s="18"/>
      <c r="K9762" s="18" t="s">
        <v>316</v>
      </c>
    </row>
    <row r="9763">
      <c r="A9763" s="17"/>
      <c r="H9763" s="18"/>
      <c r="K9763" s="18" t="s">
        <v>316</v>
      </c>
    </row>
    <row r="9764">
      <c r="A9764" s="17"/>
      <c r="H9764" s="18"/>
      <c r="K9764" s="18" t="s">
        <v>316</v>
      </c>
    </row>
    <row r="9765">
      <c r="A9765" s="17"/>
      <c r="H9765" s="18"/>
      <c r="K9765" s="18" t="s">
        <v>316</v>
      </c>
    </row>
    <row r="9766">
      <c r="A9766" s="17"/>
      <c r="H9766" s="18"/>
      <c r="K9766" s="18" t="s">
        <v>316</v>
      </c>
    </row>
    <row r="9767">
      <c r="A9767" s="17"/>
      <c r="H9767" s="18"/>
      <c r="K9767" s="18" t="s">
        <v>316</v>
      </c>
    </row>
    <row r="9768">
      <c r="A9768" s="17"/>
      <c r="H9768" s="18"/>
      <c r="K9768" s="18" t="s">
        <v>316</v>
      </c>
    </row>
    <row r="9769">
      <c r="A9769" s="17"/>
      <c r="H9769" s="18"/>
      <c r="K9769" s="18" t="s">
        <v>316</v>
      </c>
    </row>
    <row r="9770">
      <c r="A9770" s="17"/>
      <c r="H9770" s="18"/>
      <c r="K9770" s="18" t="s">
        <v>316</v>
      </c>
    </row>
    <row r="9771">
      <c r="A9771" s="17"/>
      <c r="H9771" s="18"/>
      <c r="K9771" s="18" t="s">
        <v>316</v>
      </c>
    </row>
    <row r="9772">
      <c r="A9772" s="17"/>
      <c r="H9772" s="18"/>
      <c r="K9772" s="18" t="s">
        <v>316</v>
      </c>
    </row>
    <row r="9773">
      <c r="A9773" s="17"/>
      <c r="H9773" s="18"/>
      <c r="K9773" s="18" t="s">
        <v>316</v>
      </c>
    </row>
    <row r="9774">
      <c r="A9774" s="17"/>
      <c r="H9774" s="18"/>
      <c r="K9774" s="18" t="s">
        <v>316</v>
      </c>
    </row>
    <row r="9775">
      <c r="A9775" s="17"/>
      <c r="H9775" s="18"/>
      <c r="K9775" s="18" t="s">
        <v>316</v>
      </c>
    </row>
    <row r="9776">
      <c r="A9776" s="17"/>
      <c r="H9776" s="18"/>
      <c r="K9776" s="18" t="s">
        <v>316</v>
      </c>
    </row>
    <row r="9777">
      <c r="A9777" s="17"/>
      <c r="H9777" s="18"/>
      <c r="K9777" s="18" t="s">
        <v>316</v>
      </c>
    </row>
    <row r="9778">
      <c r="A9778" s="17"/>
      <c r="H9778" s="18"/>
      <c r="K9778" s="18" t="s">
        <v>316</v>
      </c>
    </row>
    <row r="9779">
      <c r="A9779" s="17"/>
      <c r="H9779" s="18"/>
      <c r="K9779" s="18" t="s">
        <v>316</v>
      </c>
    </row>
    <row r="9780">
      <c r="A9780" s="17"/>
      <c r="H9780" s="18"/>
      <c r="K9780" s="18" t="s">
        <v>316</v>
      </c>
    </row>
    <row r="9781">
      <c r="A9781" s="17"/>
      <c r="H9781" s="18"/>
      <c r="K9781" s="18" t="s">
        <v>316</v>
      </c>
    </row>
    <row r="9782">
      <c r="A9782" s="17"/>
      <c r="H9782" s="18"/>
      <c r="K9782" s="18" t="s">
        <v>316</v>
      </c>
    </row>
    <row r="9783">
      <c r="A9783" s="17"/>
      <c r="H9783" s="18"/>
      <c r="K9783" s="18" t="s">
        <v>316</v>
      </c>
    </row>
    <row r="9784">
      <c r="A9784" s="17"/>
      <c r="H9784" s="18"/>
      <c r="K9784" s="18" t="s">
        <v>316</v>
      </c>
    </row>
    <row r="9785">
      <c r="A9785" s="17"/>
      <c r="H9785" s="18"/>
      <c r="K9785" s="18" t="s">
        <v>316</v>
      </c>
    </row>
    <row r="9786">
      <c r="A9786" s="17"/>
      <c r="H9786" s="18"/>
      <c r="K9786" s="18" t="s">
        <v>316</v>
      </c>
    </row>
    <row r="9787">
      <c r="A9787" s="17"/>
      <c r="H9787" s="18"/>
      <c r="K9787" s="18" t="s">
        <v>316</v>
      </c>
    </row>
    <row r="9788">
      <c r="A9788" s="17"/>
      <c r="H9788" s="18"/>
      <c r="K9788" s="18" t="s">
        <v>316</v>
      </c>
    </row>
    <row r="9789">
      <c r="A9789" s="17"/>
      <c r="H9789" s="18"/>
      <c r="K9789" s="18" t="s">
        <v>316</v>
      </c>
    </row>
    <row r="9790">
      <c r="A9790" s="17"/>
      <c r="H9790" s="18"/>
      <c r="K9790" s="18" t="s">
        <v>316</v>
      </c>
    </row>
    <row r="9791">
      <c r="A9791" s="17"/>
      <c r="H9791" s="18"/>
      <c r="K9791" s="18" t="s">
        <v>316</v>
      </c>
    </row>
    <row r="9792">
      <c r="A9792" s="17"/>
      <c r="H9792" s="18"/>
      <c r="K9792" s="18" t="s">
        <v>316</v>
      </c>
    </row>
    <row r="9793">
      <c r="A9793" s="17"/>
      <c r="H9793" s="18"/>
      <c r="K9793" s="18" t="s">
        <v>316</v>
      </c>
    </row>
    <row r="9794">
      <c r="A9794" s="17"/>
      <c r="H9794" s="18"/>
      <c r="K9794" s="18" t="s">
        <v>316</v>
      </c>
    </row>
    <row r="9795">
      <c r="A9795" s="17"/>
      <c r="H9795" s="18"/>
      <c r="K9795" s="18" t="s">
        <v>316</v>
      </c>
    </row>
    <row r="9796">
      <c r="A9796" s="17"/>
      <c r="H9796" s="18"/>
      <c r="K9796" s="18" t="s">
        <v>316</v>
      </c>
    </row>
    <row r="9797">
      <c r="A9797" s="17"/>
      <c r="H9797" s="18"/>
      <c r="K9797" s="18" t="s">
        <v>316</v>
      </c>
    </row>
    <row r="9798">
      <c r="A9798" s="17"/>
      <c r="H9798" s="18"/>
      <c r="K9798" s="18" t="s">
        <v>316</v>
      </c>
    </row>
    <row r="9799">
      <c r="A9799" s="17"/>
      <c r="H9799" s="18"/>
      <c r="K9799" s="18" t="s">
        <v>316</v>
      </c>
    </row>
    <row r="9800">
      <c r="A9800" s="17"/>
      <c r="H9800" s="18"/>
      <c r="K9800" s="18" t="s">
        <v>316</v>
      </c>
    </row>
    <row r="9801">
      <c r="A9801" s="17"/>
      <c r="H9801" s="18"/>
      <c r="K9801" s="18" t="s">
        <v>316</v>
      </c>
    </row>
    <row r="9802">
      <c r="A9802" s="17"/>
      <c r="H9802" s="18"/>
      <c r="K9802" s="18" t="s">
        <v>316</v>
      </c>
    </row>
    <row r="9803">
      <c r="A9803" s="17"/>
      <c r="H9803" s="18"/>
      <c r="K9803" s="18" t="s">
        <v>316</v>
      </c>
    </row>
    <row r="9804">
      <c r="A9804" s="17"/>
      <c r="H9804" s="18"/>
      <c r="K9804" s="18" t="s">
        <v>316</v>
      </c>
    </row>
    <row r="9805">
      <c r="A9805" s="17"/>
      <c r="H9805" s="18"/>
      <c r="K9805" s="18" t="s">
        <v>316</v>
      </c>
    </row>
    <row r="9806">
      <c r="A9806" s="17"/>
      <c r="H9806" s="18"/>
      <c r="K9806" s="18" t="s">
        <v>316</v>
      </c>
    </row>
    <row r="9807">
      <c r="A9807" s="17"/>
      <c r="H9807" s="18"/>
      <c r="K9807" s="18" t="s">
        <v>316</v>
      </c>
    </row>
    <row r="9808">
      <c r="A9808" s="17"/>
      <c r="H9808" s="18"/>
      <c r="K9808" s="18" t="s">
        <v>316</v>
      </c>
    </row>
    <row r="9809">
      <c r="A9809" s="17"/>
      <c r="H9809" s="18"/>
      <c r="K9809" s="18" t="s">
        <v>316</v>
      </c>
    </row>
    <row r="9810">
      <c r="A9810" s="17"/>
      <c r="H9810" s="18"/>
      <c r="K9810" s="18" t="s">
        <v>316</v>
      </c>
    </row>
    <row r="9811">
      <c r="A9811" s="17"/>
      <c r="H9811" s="18"/>
      <c r="K9811" s="18" t="s">
        <v>316</v>
      </c>
    </row>
    <row r="9812">
      <c r="A9812" s="17"/>
      <c r="H9812" s="18"/>
      <c r="K9812" s="18" t="s">
        <v>316</v>
      </c>
    </row>
    <row r="9813">
      <c r="A9813" s="17"/>
      <c r="H9813" s="18"/>
      <c r="K9813" s="18" t="s">
        <v>316</v>
      </c>
    </row>
    <row r="9814">
      <c r="A9814" s="17"/>
      <c r="H9814" s="18"/>
      <c r="K9814" s="18" t="s">
        <v>316</v>
      </c>
    </row>
    <row r="9815">
      <c r="A9815" s="17"/>
      <c r="H9815" s="18"/>
      <c r="K9815" s="18" t="s">
        <v>316</v>
      </c>
    </row>
    <row r="9816">
      <c r="A9816" s="17"/>
      <c r="H9816" s="18"/>
      <c r="K9816" s="18" t="s">
        <v>316</v>
      </c>
    </row>
    <row r="9817">
      <c r="A9817" s="17"/>
      <c r="H9817" s="18"/>
      <c r="K9817" s="18" t="s">
        <v>316</v>
      </c>
    </row>
    <row r="9818">
      <c r="A9818" s="17"/>
      <c r="H9818" s="18"/>
      <c r="K9818" s="18" t="s">
        <v>316</v>
      </c>
    </row>
    <row r="9819">
      <c r="A9819" s="17"/>
      <c r="H9819" s="18"/>
      <c r="K9819" s="18" t="s">
        <v>316</v>
      </c>
    </row>
    <row r="9820">
      <c r="A9820" s="17"/>
      <c r="H9820" s="18"/>
      <c r="K9820" s="18" t="s">
        <v>316</v>
      </c>
    </row>
    <row r="9821">
      <c r="A9821" s="17"/>
      <c r="H9821" s="18"/>
      <c r="K9821" s="18" t="s">
        <v>316</v>
      </c>
    </row>
    <row r="9822">
      <c r="A9822" s="17"/>
      <c r="H9822" s="18"/>
      <c r="K9822" s="18" t="s">
        <v>316</v>
      </c>
    </row>
    <row r="9823">
      <c r="A9823" s="17"/>
      <c r="H9823" s="18"/>
      <c r="K9823" s="18" t="s">
        <v>316</v>
      </c>
    </row>
    <row r="9824">
      <c r="A9824" s="17"/>
      <c r="H9824" s="18"/>
      <c r="K9824" s="18" t="s">
        <v>316</v>
      </c>
    </row>
    <row r="9825">
      <c r="A9825" s="17"/>
      <c r="H9825" s="18"/>
      <c r="K9825" s="18" t="s">
        <v>316</v>
      </c>
    </row>
    <row r="9826">
      <c r="A9826" s="17"/>
      <c r="H9826" s="18"/>
      <c r="K9826" s="18" t="s">
        <v>316</v>
      </c>
    </row>
    <row r="9827">
      <c r="A9827" s="17"/>
      <c r="H9827" s="18"/>
      <c r="K9827" s="18" t="s">
        <v>316</v>
      </c>
    </row>
    <row r="9828">
      <c r="A9828" s="17"/>
      <c r="H9828" s="18"/>
      <c r="K9828" s="18" t="s">
        <v>316</v>
      </c>
    </row>
    <row r="9829">
      <c r="A9829" s="17"/>
      <c r="H9829" s="18"/>
      <c r="K9829" s="18" t="s">
        <v>316</v>
      </c>
    </row>
    <row r="9830">
      <c r="A9830" s="17"/>
      <c r="H9830" s="18"/>
      <c r="K9830" s="18" t="s">
        <v>316</v>
      </c>
    </row>
    <row r="9831">
      <c r="A9831" s="17"/>
      <c r="H9831" s="18"/>
      <c r="K9831" s="18" t="s">
        <v>316</v>
      </c>
    </row>
    <row r="9832">
      <c r="A9832" s="17"/>
      <c r="H9832" s="18"/>
      <c r="K9832" s="18" t="s">
        <v>316</v>
      </c>
    </row>
    <row r="9833">
      <c r="A9833" s="17"/>
      <c r="H9833" s="18"/>
      <c r="K9833" s="18" t="s">
        <v>316</v>
      </c>
    </row>
    <row r="9834">
      <c r="A9834" s="17"/>
      <c r="H9834" s="18"/>
      <c r="K9834" s="18" t="s">
        <v>316</v>
      </c>
    </row>
    <row r="9835">
      <c r="A9835" s="17"/>
      <c r="H9835" s="18"/>
      <c r="K9835" s="18" t="s">
        <v>316</v>
      </c>
    </row>
    <row r="9836">
      <c r="A9836" s="17"/>
      <c r="H9836" s="18"/>
      <c r="K9836" s="18" t="s">
        <v>316</v>
      </c>
    </row>
    <row r="9837">
      <c r="A9837" s="17"/>
      <c r="H9837" s="18"/>
      <c r="K9837" s="18" t="s">
        <v>316</v>
      </c>
    </row>
    <row r="9838">
      <c r="A9838" s="17"/>
      <c r="H9838" s="18"/>
      <c r="K9838" s="18" t="s">
        <v>316</v>
      </c>
    </row>
    <row r="9839">
      <c r="A9839" s="17"/>
      <c r="H9839" s="18"/>
      <c r="K9839" s="18" t="s">
        <v>316</v>
      </c>
    </row>
    <row r="9840">
      <c r="A9840" s="17"/>
      <c r="H9840" s="18"/>
      <c r="K9840" s="18" t="s">
        <v>316</v>
      </c>
    </row>
    <row r="9841">
      <c r="A9841" s="17"/>
      <c r="H9841" s="18"/>
      <c r="K9841" s="18" t="s">
        <v>316</v>
      </c>
    </row>
    <row r="9842">
      <c r="A9842" s="17"/>
      <c r="H9842" s="18"/>
      <c r="K9842" s="18" t="s">
        <v>316</v>
      </c>
    </row>
    <row r="9843">
      <c r="A9843" s="17"/>
      <c r="H9843" s="18"/>
      <c r="K9843" s="18" t="s">
        <v>316</v>
      </c>
    </row>
    <row r="9844">
      <c r="A9844" s="17"/>
      <c r="H9844" s="18"/>
      <c r="K9844" s="18" t="s">
        <v>316</v>
      </c>
    </row>
    <row r="9845">
      <c r="A9845" s="17"/>
      <c r="H9845" s="18"/>
      <c r="K9845" s="18" t="s">
        <v>316</v>
      </c>
    </row>
    <row r="9846">
      <c r="A9846" s="17"/>
      <c r="H9846" s="18"/>
      <c r="K9846" s="18" t="s">
        <v>316</v>
      </c>
    </row>
    <row r="9847">
      <c r="A9847" s="17"/>
      <c r="H9847" s="18"/>
      <c r="K9847" s="18" t="s">
        <v>316</v>
      </c>
    </row>
    <row r="9848">
      <c r="A9848" s="17"/>
      <c r="H9848" s="18"/>
      <c r="K9848" s="18" t="s">
        <v>316</v>
      </c>
    </row>
    <row r="9849">
      <c r="A9849" s="17"/>
      <c r="H9849" s="18"/>
      <c r="K9849" s="18" t="s">
        <v>316</v>
      </c>
    </row>
    <row r="9850">
      <c r="A9850" s="17"/>
      <c r="H9850" s="18"/>
      <c r="K9850" s="18" t="s">
        <v>316</v>
      </c>
    </row>
    <row r="9851">
      <c r="A9851" s="17"/>
      <c r="H9851" s="18"/>
      <c r="K9851" s="18" t="s">
        <v>316</v>
      </c>
    </row>
    <row r="9852">
      <c r="A9852" s="17"/>
      <c r="H9852" s="18"/>
      <c r="K9852" s="18" t="s">
        <v>316</v>
      </c>
    </row>
    <row r="9853">
      <c r="A9853" s="17"/>
      <c r="H9853" s="18"/>
      <c r="K9853" s="18" t="s">
        <v>316</v>
      </c>
    </row>
    <row r="9854">
      <c r="A9854" s="17"/>
      <c r="H9854" s="18"/>
      <c r="K9854" s="18" t="s">
        <v>316</v>
      </c>
    </row>
    <row r="9855">
      <c r="A9855" s="17"/>
      <c r="H9855" s="18"/>
      <c r="K9855" s="18" t="s">
        <v>316</v>
      </c>
    </row>
    <row r="9856">
      <c r="A9856" s="17"/>
      <c r="H9856" s="18"/>
      <c r="K9856" s="18" t="s">
        <v>316</v>
      </c>
    </row>
    <row r="9857">
      <c r="A9857" s="17"/>
      <c r="H9857" s="18"/>
      <c r="K9857" s="18" t="s">
        <v>316</v>
      </c>
    </row>
    <row r="9858">
      <c r="A9858" s="17"/>
      <c r="H9858" s="18"/>
      <c r="K9858" s="18" t="s">
        <v>316</v>
      </c>
    </row>
    <row r="9859">
      <c r="A9859" s="17"/>
      <c r="H9859" s="18"/>
      <c r="K9859" s="18" t="s">
        <v>316</v>
      </c>
    </row>
    <row r="9860">
      <c r="A9860" s="17"/>
      <c r="H9860" s="18"/>
      <c r="K9860" s="18" t="s">
        <v>316</v>
      </c>
    </row>
    <row r="9861">
      <c r="A9861" s="17"/>
      <c r="H9861" s="18"/>
      <c r="K9861" s="18" t="s">
        <v>316</v>
      </c>
    </row>
    <row r="9862">
      <c r="A9862" s="17"/>
      <c r="H9862" s="18"/>
      <c r="K9862" s="18" t="s">
        <v>316</v>
      </c>
    </row>
    <row r="9863">
      <c r="A9863" s="17"/>
      <c r="H9863" s="18"/>
      <c r="K9863" s="18" t="s">
        <v>316</v>
      </c>
    </row>
    <row r="9864">
      <c r="A9864" s="17"/>
      <c r="H9864" s="18"/>
      <c r="K9864" s="18" t="s">
        <v>316</v>
      </c>
    </row>
    <row r="9865">
      <c r="A9865" s="17"/>
      <c r="H9865" s="18"/>
      <c r="K9865" s="18" t="s">
        <v>316</v>
      </c>
    </row>
    <row r="9866">
      <c r="A9866" s="17"/>
      <c r="H9866" s="18"/>
      <c r="K9866" s="18" t="s">
        <v>316</v>
      </c>
    </row>
    <row r="9867">
      <c r="A9867" s="17"/>
      <c r="H9867" s="18"/>
      <c r="K9867" s="18" t="s">
        <v>316</v>
      </c>
    </row>
    <row r="9868">
      <c r="A9868" s="17"/>
      <c r="H9868" s="18"/>
      <c r="K9868" s="18" t="s">
        <v>316</v>
      </c>
    </row>
    <row r="9869">
      <c r="A9869" s="17"/>
      <c r="H9869" s="18"/>
      <c r="K9869" s="18" t="s">
        <v>316</v>
      </c>
    </row>
    <row r="9870">
      <c r="A9870" s="17"/>
      <c r="H9870" s="18"/>
      <c r="K9870" s="18" t="s">
        <v>316</v>
      </c>
    </row>
    <row r="9871">
      <c r="A9871" s="17"/>
      <c r="H9871" s="18"/>
      <c r="K9871" s="18" t="s">
        <v>316</v>
      </c>
    </row>
    <row r="9872">
      <c r="A9872" s="17"/>
      <c r="H9872" s="18"/>
      <c r="K9872" s="18" t="s">
        <v>316</v>
      </c>
    </row>
    <row r="9873">
      <c r="A9873" s="17"/>
      <c r="H9873" s="18"/>
      <c r="K9873" s="18" t="s">
        <v>316</v>
      </c>
    </row>
    <row r="9874">
      <c r="A9874" s="17"/>
      <c r="H9874" s="18"/>
      <c r="K9874" s="18" t="s">
        <v>316</v>
      </c>
    </row>
    <row r="9875">
      <c r="A9875" s="17"/>
      <c r="H9875" s="18"/>
      <c r="K9875" s="18" t="s">
        <v>316</v>
      </c>
    </row>
    <row r="9876">
      <c r="A9876" s="17"/>
      <c r="H9876" s="18"/>
      <c r="K9876" s="18" t="s">
        <v>316</v>
      </c>
    </row>
    <row r="9877">
      <c r="A9877" s="17"/>
      <c r="H9877" s="18"/>
      <c r="K9877" s="18" t="s">
        <v>316</v>
      </c>
    </row>
    <row r="9878">
      <c r="A9878" s="17"/>
      <c r="H9878" s="18"/>
      <c r="K9878" s="18" t="s">
        <v>316</v>
      </c>
    </row>
    <row r="9879">
      <c r="A9879" s="17"/>
      <c r="H9879" s="18"/>
      <c r="K9879" s="18" t="s">
        <v>316</v>
      </c>
    </row>
    <row r="9880">
      <c r="A9880" s="17"/>
      <c r="H9880" s="18"/>
      <c r="K9880" s="18" t="s">
        <v>316</v>
      </c>
    </row>
    <row r="9881">
      <c r="A9881" s="17"/>
      <c r="H9881" s="18"/>
      <c r="K9881" s="18" t="s">
        <v>316</v>
      </c>
    </row>
    <row r="9882">
      <c r="A9882" s="17"/>
      <c r="H9882" s="18"/>
      <c r="K9882" s="18" t="s">
        <v>316</v>
      </c>
    </row>
    <row r="9883">
      <c r="A9883" s="17"/>
      <c r="H9883" s="18"/>
      <c r="K9883" s="18" t="s">
        <v>316</v>
      </c>
    </row>
    <row r="9884">
      <c r="A9884" s="17"/>
      <c r="H9884" s="18"/>
      <c r="K9884" s="18" t="s">
        <v>316</v>
      </c>
    </row>
    <row r="9885">
      <c r="A9885" s="17"/>
      <c r="H9885" s="18"/>
      <c r="K9885" s="18" t="s">
        <v>316</v>
      </c>
    </row>
    <row r="9886">
      <c r="A9886" s="17"/>
      <c r="H9886" s="18"/>
      <c r="K9886" s="18" t="s">
        <v>316</v>
      </c>
    </row>
    <row r="9887">
      <c r="A9887" s="17"/>
      <c r="H9887" s="18"/>
      <c r="K9887" s="18" t="s">
        <v>316</v>
      </c>
    </row>
    <row r="9888">
      <c r="A9888" s="17"/>
      <c r="H9888" s="18"/>
      <c r="K9888" s="18" t="s">
        <v>316</v>
      </c>
    </row>
    <row r="9889">
      <c r="A9889" s="17"/>
      <c r="H9889" s="18"/>
      <c r="K9889" s="18" t="s">
        <v>316</v>
      </c>
    </row>
    <row r="9890">
      <c r="A9890" s="17"/>
      <c r="H9890" s="18"/>
      <c r="K9890" s="18" t="s">
        <v>316</v>
      </c>
    </row>
    <row r="9891">
      <c r="A9891" s="17"/>
      <c r="H9891" s="18"/>
      <c r="K9891" s="18" t="s">
        <v>316</v>
      </c>
    </row>
    <row r="9892">
      <c r="A9892" s="17"/>
      <c r="H9892" s="18"/>
      <c r="K9892" s="18" t="s">
        <v>316</v>
      </c>
    </row>
    <row r="9893">
      <c r="A9893" s="17"/>
      <c r="H9893" s="18"/>
      <c r="K9893" s="18" t="s">
        <v>316</v>
      </c>
    </row>
    <row r="9894">
      <c r="A9894" s="17"/>
      <c r="H9894" s="18"/>
      <c r="K9894" s="18" t="s">
        <v>316</v>
      </c>
    </row>
    <row r="9895">
      <c r="A9895" s="17"/>
      <c r="H9895" s="18"/>
      <c r="K9895" s="18" t="s">
        <v>316</v>
      </c>
    </row>
    <row r="9896">
      <c r="A9896" s="17"/>
      <c r="H9896" s="18"/>
      <c r="K9896" s="18" t="s">
        <v>316</v>
      </c>
    </row>
    <row r="9897">
      <c r="A9897" s="17"/>
      <c r="H9897" s="18"/>
      <c r="K9897" s="18" t="s">
        <v>316</v>
      </c>
    </row>
    <row r="9898">
      <c r="A9898" s="17"/>
      <c r="H9898" s="18"/>
      <c r="K9898" s="18" t="s">
        <v>316</v>
      </c>
    </row>
    <row r="9899">
      <c r="A9899" s="17"/>
      <c r="H9899" s="18"/>
      <c r="K9899" s="18" t="s">
        <v>316</v>
      </c>
    </row>
    <row r="9900">
      <c r="A9900" s="17"/>
      <c r="H9900" s="18"/>
      <c r="K9900" s="18" t="s">
        <v>316</v>
      </c>
    </row>
    <row r="9901">
      <c r="A9901" s="17"/>
      <c r="H9901" s="18"/>
      <c r="K9901" s="18" t="s">
        <v>316</v>
      </c>
    </row>
    <row r="9902">
      <c r="A9902" s="17"/>
      <c r="H9902" s="18"/>
      <c r="K9902" s="18" t="s">
        <v>316</v>
      </c>
    </row>
    <row r="9903">
      <c r="A9903" s="17"/>
      <c r="H9903" s="18"/>
      <c r="K9903" s="18" t="s">
        <v>316</v>
      </c>
    </row>
    <row r="9904">
      <c r="A9904" s="17"/>
      <c r="H9904" s="18"/>
      <c r="K9904" s="18" t="s">
        <v>316</v>
      </c>
    </row>
    <row r="9905">
      <c r="A9905" s="17"/>
      <c r="H9905" s="18"/>
      <c r="K9905" s="18" t="s">
        <v>316</v>
      </c>
    </row>
    <row r="9906">
      <c r="A9906" s="17"/>
      <c r="H9906" s="18"/>
      <c r="K9906" s="18" t="s">
        <v>316</v>
      </c>
    </row>
    <row r="9907">
      <c r="A9907" s="17"/>
      <c r="H9907" s="18"/>
      <c r="K9907" s="18" t="s">
        <v>316</v>
      </c>
    </row>
    <row r="9908">
      <c r="A9908" s="17"/>
      <c r="H9908" s="18"/>
      <c r="K9908" s="18" t="s">
        <v>316</v>
      </c>
    </row>
    <row r="9909">
      <c r="A9909" s="17"/>
      <c r="H9909" s="18"/>
      <c r="K9909" s="18" t="s">
        <v>316</v>
      </c>
    </row>
    <row r="9910">
      <c r="A9910" s="17"/>
      <c r="H9910" s="18"/>
      <c r="K9910" s="18" t="s">
        <v>316</v>
      </c>
    </row>
    <row r="9911">
      <c r="A9911" s="17"/>
      <c r="H9911" s="18"/>
      <c r="K9911" s="18" t="s">
        <v>316</v>
      </c>
    </row>
    <row r="9912">
      <c r="A9912" s="17"/>
      <c r="H9912" s="18"/>
      <c r="K9912" s="18" t="s">
        <v>316</v>
      </c>
    </row>
    <row r="9913">
      <c r="A9913" s="17"/>
      <c r="H9913" s="18"/>
      <c r="K9913" s="18" t="s">
        <v>316</v>
      </c>
    </row>
    <row r="9914">
      <c r="A9914" s="17"/>
      <c r="H9914" s="18"/>
      <c r="K9914" s="18" t="s">
        <v>316</v>
      </c>
    </row>
    <row r="9915">
      <c r="A9915" s="17"/>
      <c r="H9915" s="18"/>
      <c r="K9915" s="18" t="s">
        <v>316</v>
      </c>
    </row>
    <row r="9916">
      <c r="A9916" s="17"/>
      <c r="H9916" s="18"/>
      <c r="K9916" s="18" t="s">
        <v>316</v>
      </c>
    </row>
    <row r="9917">
      <c r="A9917" s="17"/>
      <c r="H9917" s="18"/>
      <c r="K9917" s="18" t="s">
        <v>316</v>
      </c>
    </row>
    <row r="9918">
      <c r="A9918" s="17"/>
      <c r="H9918" s="18"/>
      <c r="K9918" s="18" t="s">
        <v>316</v>
      </c>
    </row>
    <row r="9919">
      <c r="A9919" s="17"/>
      <c r="H9919" s="18"/>
      <c r="K9919" s="18" t="s">
        <v>316</v>
      </c>
    </row>
    <row r="9920">
      <c r="A9920" s="17"/>
      <c r="H9920" s="18"/>
      <c r="K9920" s="18" t="s">
        <v>316</v>
      </c>
    </row>
    <row r="9921">
      <c r="A9921" s="17"/>
      <c r="H9921" s="18"/>
      <c r="K9921" s="18" t="s">
        <v>316</v>
      </c>
    </row>
    <row r="9922">
      <c r="A9922" s="17"/>
      <c r="H9922" s="18"/>
      <c r="K9922" s="18" t="s">
        <v>316</v>
      </c>
    </row>
    <row r="9923">
      <c r="A9923" s="17"/>
      <c r="H9923" s="18"/>
      <c r="K9923" s="18" t="s">
        <v>316</v>
      </c>
    </row>
    <row r="9924">
      <c r="A9924" s="17"/>
      <c r="H9924" s="18"/>
      <c r="K9924" s="18" t="s">
        <v>316</v>
      </c>
    </row>
    <row r="9925">
      <c r="A9925" s="17"/>
      <c r="H9925" s="18"/>
      <c r="K9925" s="18" t="s">
        <v>316</v>
      </c>
    </row>
    <row r="9926">
      <c r="A9926" s="17"/>
      <c r="H9926" s="18"/>
      <c r="K9926" s="18" t="s">
        <v>316</v>
      </c>
    </row>
    <row r="9927">
      <c r="A9927" s="17"/>
      <c r="H9927" s="18"/>
      <c r="K9927" s="18" t="s">
        <v>316</v>
      </c>
    </row>
    <row r="9928">
      <c r="A9928" s="17"/>
      <c r="H9928" s="18"/>
      <c r="K9928" s="18" t="s">
        <v>316</v>
      </c>
    </row>
    <row r="9929">
      <c r="A9929" s="17"/>
      <c r="H9929" s="18"/>
      <c r="K9929" s="18" t="s">
        <v>316</v>
      </c>
    </row>
    <row r="9930">
      <c r="A9930" s="17"/>
      <c r="H9930" s="18"/>
      <c r="K9930" s="18" t="s">
        <v>316</v>
      </c>
    </row>
    <row r="9931">
      <c r="A9931" s="17"/>
      <c r="H9931" s="18"/>
      <c r="K9931" s="18" t="s">
        <v>316</v>
      </c>
    </row>
    <row r="9932">
      <c r="A9932" s="17"/>
      <c r="H9932" s="18"/>
      <c r="K9932" s="18" t="s">
        <v>316</v>
      </c>
    </row>
    <row r="9933">
      <c r="A9933" s="17"/>
      <c r="H9933" s="18"/>
      <c r="K9933" s="18" t="s">
        <v>316</v>
      </c>
    </row>
    <row r="9934">
      <c r="A9934" s="17"/>
      <c r="H9934" s="18"/>
      <c r="K9934" s="18" t="s">
        <v>316</v>
      </c>
    </row>
    <row r="9935">
      <c r="A9935" s="17"/>
      <c r="H9935" s="18"/>
      <c r="K9935" s="18" t="s">
        <v>316</v>
      </c>
    </row>
    <row r="9936">
      <c r="A9936" s="17"/>
      <c r="H9936" s="18"/>
      <c r="K9936" s="18" t="s">
        <v>316</v>
      </c>
    </row>
    <row r="9937">
      <c r="A9937" s="17"/>
      <c r="H9937" s="18"/>
      <c r="K9937" s="18" t="s">
        <v>316</v>
      </c>
    </row>
    <row r="9938">
      <c r="A9938" s="17"/>
      <c r="H9938" s="18"/>
      <c r="K9938" s="18" t="s">
        <v>316</v>
      </c>
    </row>
    <row r="9939">
      <c r="A9939" s="17"/>
      <c r="H9939" s="18"/>
      <c r="K9939" s="18" t="s">
        <v>316</v>
      </c>
    </row>
    <row r="9940">
      <c r="A9940" s="17"/>
      <c r="H9940" s="18"/>
      <c r="K9940" s="18" t="s">
        <v>316</v>
      </c>
    </row>
    <row r="9941">
      <c r="A9941" s="17"/>
      <c r="H9941" s="18"/>
      <c r="K9941" s="18" t="s">
        <v>316</v>
      </c>
    </row>
    <row r="9942">
      <c r="A9942" s="17"/>
      <c r="H9942" s="18"/>
      <c r="K9942" s="18" t="s">
        <v>316</v>
      </c>
    </row>
    <row r="9943">
      <c r="A9943" s="17"/>
      <c r="H9943" s="18"/>
      <c r="K9943" s="18" t="s">
        <v>316</v>
      </c>
    </row>
    <row r="9944">
      <c r="A9944" s="17"/>
      <c r="H9944" s="18"/>
      <c r="K9944" s="18" t="s">
        <v>316</v>
      </c>
    </row>
    <row r="9945">
      <c r="A9945" s="17"/>
      <c r="H9945" s="18"/>
      <c r="K9945" s="18" t="s">
        <v>316</v>
      </c>
    </row>
    <row r="9946">
      <c r="A9946" s="17"/>
      <c r="H9946" s="18"/>
      <c r="K9946" s="18" t="s">
        <v>316</v>
      </c>
    </row>
    <row r="9947">
      <c r="A9947" s="17"/>
      <c r="H9947" s="18"/>
      <c r="K9947" s="18" t="s">
        <v>316</v>
      </c>
    </row>
    <row r="9948">
      <c r="A9948" s="17"/>
      <c r="H9948" s="18"/>
      <c r="K9948" s="18" t="s">
        <v>316</v>
      </c>
    </row>
    <row r="9949">
      <c r="A9949" s="17"/>
      <c r="H9949" s="18"/>
      <c r="K9949" s="18" t="s">
        <v>316</v>
      </c>
    </row>
    <row r="9950">
      <c r="A9950" s="17"/>
      <c r="H9950" s="18"/>
      <c r="K9950" s="18" t="s">
        <v>316</v>
      </c>
    </row>
    <row r="9951">
      <c r="A9951" s="17"/>
      <c r="H9951" s="18"/>
      <c r="K9951" s="18" t="s">
        <v>316</v>
      </c>
    </row>
    <row r="9952">
      <c r="A9952" s="17"/>
      <c r="H9952" s="18"/>
      <c r="K9952" s="18" t="s">
        <v>316</v>
      </c>
    </row>
    <row r="9953">
      <c r="A9953" s="17"/>
      <c r="H9953" s="18"/>
      <c r="K9953" s="18" t="s">
        <v>316</v>
      </c>
    </row>
    <row r="9954">
      <c r="A9954" s="17"/>
      <c r="H9954" s="18"/>
      <c r="K9954" s="18" t="s">
        <v>316</v>
      </c>
    </row>
    <row r="9955">
      <c r="A9955" s="17"/>
      <c r="H9955" s="18"/>
      <c r="K9955" s="18" t="s">
        <v>316</v>
      </c>
    </row>
    <row r="9956">
      <c r="A9956" s="17"/>
      <c r="H9956" s="18"/>
      <c r="K9956" s="18" t="s">
        <v>316</v>
      </c>
    </row>
    <row r="9957">
      <c r="A9957" s="17"/>
      <c r="H9957" s="18"/>
      <c r="K9957" s="18" t="s">
        <v>316</v>
      </c>
    </row>
    <row r="9958">
      <c r="A9958" s="17"/>
      <c r="H9958" s="18"/>
      <c r="K9958" s="18" t="s">
        <v>316</v>
      </c>
    </row>
    <row r="9959">
      <c r="A9959" s="17"/>
      <c r="H9959" s="18"/>
      <c r="K9959" s="18" t="s">
        <v>316</v>
      </c>
    </row>
    <row r="9960">
      <c r="A9960" s="17"/>
      <c r="H9960" s="18"/>
      <c r="K9960" s="18" t="s">
        <v>316</v>
      </c>
    </row>
    <row r="9961">
      <c r="A9961" s="17"/>
      <c r="H9961" s="18"/>
      <c r="K9961" s="18" t="s">
        <v>316</v>
      </c>
    </row>
    <row r="9962">
      <c r="A9962" s="17"/>
      <c r="H9962" s="18"/>
      <c r="K9962" s="18" t="s">
        <v>316</v>
      </c>
    </row>
    <row r="9963">
      <c r="A9963" s="17"/>
      <c r="H9963" s="18"/>
      <c r="K9963" s="18" t="s">
        <v>316</v>
      </c>
    </row>
    <row r="9964">
      <c r="A9964" s="17"/>
      <c r="H9964" s="18"/>
      <c r="K9964" s="18" t="s">
        <v>316</v>
      </c>
    </row>
    <row r="9965">
      <c r="A9965" s="17"/>
      <c r="H9965" s="18"/>
      <c r="K9965" s="18" t="s">
        <v>316</v>
      </c>
    </row>
    <row r="9966">
      <c r="A9966" s="17"/>
      <c r="H9966" s="18"/>
      <c r="K9966" s="18" t="s">
        <v>316</v>
      </c>
    </row>
    <row r="9967">
      <c r="A9967" s="17"/>
      <c r="H9967" s="18"/>
      <c r="K9967" s="18" t="s">
        <v>316</v>
      </c>
    </row>
    <row r="9968">
      <c r="A9968" s="17"/>
      <c r="H9968" s="18"/>
      <c r="K9968" s="18" t="s">
        <v>316</v>
      </c>
    </row>
    <row r="9969">
      <c r="A9969" s="17"/>
      <c r="H9969" s="18"/>
      <c r="K9969" s="18" t="s">
        <v>316</v>
      </c>
    </row>
    <row r="9970">
      <c r="A9970" s="17"/>
      <c r="H9970" s="18"/>
      <c r="K9970" s="18" t="s">
        <v>316</v>
      </c>
    </row>
    <row r="9971">
      <c r="A9971" s="17"/>
      <c r="H9971" s="18"/>
      <c r="K9971" s="18" t="s">
        <v>316</v>
      </c>
    </row>
    <row r="9972">
      <c r="A9972" s="17"/>
      <c r="H9972" s="18"/>
      <c r="K9972" s="18" t="s">
        <v>316</v>
      </c>
    </row>
    <row r="9973">
      <c r="A9973" s="17"/>
      <c r="H9973" s="18"/>
      <c r="K9973" s="18" t="s">
        <v>316</v>
      </c>
    </row>
    <row r="9974">
      <c r="A9974" s="17"/>
      <c r="H9974" s="18"/>
      <c r="K9974" s="18" t="s">
        <v>316</v>
      </c>
    </row>
    <row r="9975">
      <c r="A9975" s="17"/>
      <c r="H9975" s="18"/>
      <c r="K9975" s="18" t="s">
        <v>316</v>
      </c>
    </row>
    <row r="9976">
      <c r="A9976" s="17"/>
      <c r="H9976" s="18"/>
      <c r="K9976" s="18" t="s">
        <v>316</v>
      </c>
    </row>
    <row r="9977">
      <c r="A9977" s="17"/>
      <c r="H9977" s="18"/>
      <c r="K9977" s="18" t="s">
        <v>316</v>
      </c>
    </row>
    <row r="9978">
      <c r="A9978" s="17"/>
      <c r="H9978" s="18"/>
      <c r="K9978" s="18" t="s">
        <v>316</v>
      </c>
    </row>
    <row r="9979">
      <c r="A9979" s="17"/>
      <c r="H9979" s="18"/>
      <c r="K9979" s="18" t="s">
        <v>316</v>
      </c>
    </row>
    <row r="9980">
      <c r="A9980" s="17"/>
      <c r="H9980" s="18"/>
      <c r="K9980" s="18" t="s">
        <v>316</v>
      </c>
    </row>
    <row r="9981">
      <c r="A9981" s="17"/>
      <c r="H9981" s="18"/>
      <c r="K9981" s="18" t="s">
        <v>316</v>
      </c>
    </row>
    <row r="9982">
      <c r="A9982" s="17"/>
      <c r="H9982" s="18"/>
      <c r="K9982" s="18" t="s">
        <v>316</v>
      </c>
    </row>
    <row r="9983">
      <c r="A9983" s="17"/>
      <c r="H9983" s="18"/>
      <c r="K9983" s="18" t="s">
        <v>316</v>
      </c>
    </row>
    <row r="9984">
      <c r="A9984" s="17"/>
      <c r="H9984" s="18"/>
      <c r="K9984" s="18" t="s">
        <v>316</v>
      </c>
    </row>
    <row r="9985">
      <c r="A9985" s="17"/>
      <c r="H9985" s="18"/>
      <c r="K9985" s="18" t="s">
        <v>316</v>
      </c>
    </row>
    <row r="9986">
      <c r="A9986" s="17"/>
      <c r="H9986" s="18"/>
      <c r="K9986" s="18" t="s">
        <v>316</v>
      </c>
    </row>
    <row r="9987">
      <c r="A9987" s="17"/>
      <c r="H9987" s="18"/>
      <c r="K9987" s="18" t="s">
        <v>316</v>
      </c>
    </row>
    <row r="9988">
      <c r="A9988" s="17"/>
      <c r="H9988" s="18"/>
      <c r="K9988" s="18" t="s">
        <v>316</v>
      </c>
    </row>
    <row r="9989">
      <c r="A9989" s="17"/>
      <c r="H9989" s="18"/>
      <c r="K9989" s="18" t="s">
        <v>316</v>
      </c>
    </row>
    <row r="9990">
      <c r="A9990" s="17"/>
      <c r="H9990" s="18"/>
      <c r="K9990" s="18" t="s">
        <v>316</v>
      </c>
    </row>
    <row r="9991">
      <c r="A9991" s="17"/>
      <c r="H9991" s="18"/>
      <c r="K9991" s="18" t="s">
        <v>316</v>
      </c>
    </row>
    <row r="9992">
      <c r="A9992" s="17"/>
      <c r="H9992" s="18"/>
      <c r="K9992" s="18" t="s">
        <v>316</v>
      </c>
    </row>
    <row r="9993">
      <c r="A9993" s="17"/>
      <c r="H9993" s="18"/>
      <c r="K9993" s="18" t="s">
        <v>316</v>
      </c>
    </row>
    <row r="9994">
      <c r="A9994" s="17"/>
      <c r="H9994" s="18"/>
      <c r="K9994" s="18" t="s">
        <v>316</v>
      </c>
    </row>
    <row r="9995">
      <c r="A9995" s="17"/>
      <c r="H9995" s="18"/>
      <c r="K9995" s="18" t="s">
        <v>316</v>
      </c>
    </row>
    <row r="9996">
      <c r="A9996" s="17"/>
      <c r="H9996" s="18"/>
      <c r="K9996" s="18" t="s">
        <v>316</v>
      </c>
    </row>
    <row r="9997">
      <c r="A9997" s="17"/>
      <c r="H9997" s="18"/>
      <c r="K9997" s="18" t="s">
        <v>316</v>
      </c>
    </row>
    <row r="9998">
      <c r="A9998" s="17"/>
      <c r="H9998" s="18"/>
      <c r="K9998" s="18" t="s">
        <v>316</v>
      </c>
    </row>
    <row r="9999">
      <c r="A9999" s="17"/>
      <c r="H9999" s="18"/>
      <c r="K9999" s="18" t="s">
        <v>316</v>
      </c>
    </row>
    <row r="10000">
      <c r="A10000" s="17"/>
      <c r="H10000" s="18"/>
      <c r="K10000" s="18" t="s">
        <v>316</v>
      </c>
    </row>
    <row r="10001">
      <c r="A10001" s="17"/>
      <c r="H10001" s="18"/>
      <c r="K10001" s="18" t="s">
        <v>316</v>
      </c>
    </row>
    <row r="10002">
      <c r="A10002" s="17"/>
      <c r="H10002" s="18"/>
      <c r="K10002" s="18" t="s">
        <v>316</v>
      </c>
    </row>
    <row r="10003">
      <c r="A10003" s="17"/>
      <c r="H10003" s="18"/>
      <c r="K10003" s="18" t="s">
        <v>316</v>
      </c>
    </row>
    <row r="10004">
      <c r="A10004" s="17"/>
      <c r="H10004" s="18"/>
      <c r="K10004" s="18" t="s">
        <v>316</v>
      </c>
    </row>
    <row r="10005">
      <c r="A10005" s="17"/>
      <c r="H10005" s="18"/>
      <c r="K10005" s="18" t="s">
        <v>316</v>
      </c>
    </row>
    <row r="10006">
      <c r="A10006" s="17"/>
      <c r="H10006" s="18"/>
      <c r="K10006" s="18" t="s">
        <v>316</v>
      </c>
    </row>
    <row r="10007">
      <c r="A10007" s="17"/>
      <c r="H10007" s="18"/>
      <c r="K10007" s="18" t="s">
        <v>316</v>
      </c>
    </row>
    <row r="10008">
      <c r="A10008" s="17"/>
      <c r="H10008" s="18"/>
      <c r="K10008" s="18" t="s">
        <v>316</v>
      </c>
    </row>
    <row r="10009">
      <c r="A10009" s="17"/>
      <c r="H10009" s="18"/>
      <c r="K10009" s="18" t="s">
        <v>316</v>
      </c>
    </row>
    <row r="10010">
      <c r="A10010" s="17"/>
      <c r="H10010" s="18"/>
      <c r="K10010" s="18" t="s">
        <v>316</v>
      </c>
    </row>
    <row r="10011">
      <c r="A10011" s="17"/>
      <c r="H10011" s="18"/>
      <c r="K10011" s="18" t="s">
        <v>316</v>
      </c>
    </row>
    <row r="10012">
      <c r="A10012" s="17"/>
      <c r="H10012" s="18"/>
      <c r="K10012" s="18" t="s">
        <v>316</v>
      </c>
    </row>
    <row r="10013">
      <c r="A10013" s="17"/>
      <c r="H10013" s="18"/>
      <c r="K10013" s="18" t="s">
        <v>316</v>
      </c>
    </row>
    <row r="10014">
      <c r="A10014" s="17"/>
      <c r="H10014" s="18"/>
      <c r="K10014" s="18" t="s">
        <v>316</v>
      </c>
    </row>
    <row r="10015">
      <c r="A10015" s="17"/>
      <c r="H10015" s="18"/>
      <c r="K10015" s="18" t="s">
        <v>316</v>
      </c>
    </row>
    <row r="10016">
      <c r="A10016" s="17"/>
      <c r="H10016" s="18"/>
      <c r="K10016" s="18" t="s">
        <v>316</v>
      </c>
    </row>
    <row r="10017">
      <c r="A10017" s="17"/>
      <c r="H10017" s="18"/>
      <c r="K10017" s="18" t="s">
        <v>316</v>
      </c>
    </row>
    <row r="10018">
      <c r="A10018" s="17"/>
      <c r="H10018" s="18"/>
      <c r="K10018" s="18" t="s">
        <v>316</v>
      </c>
    </row>
    <row r="10019">
      <c r="A10019" s="17"/>
      <c r="H10019" s="18"/>
      <c r="K10019" s="18" t="s">
        <v>316</v>
      </c>
    </row>
    <row r="10020">
      <c r="A10020" s="17"/>
      <c r="H10020" s="18"/>
      <c r="K10020" s="18" t="s">
        <v>316</v>
      </c>
    </row>
    <row r="10021">
      <c r="A10021" s="17"/>
      <c r="H10021" s="18"/>
      <c r="K10021" s="18" t="s">
        <v>316</v>
      </c>
    </row>
    <row r="10022">
      <c r="A10022" s="17"/>
      <c r="H10022" s="18"/>
      <c r="K10022" s="18" t="s">
        <v>316</v>
      </c>
    </row>
    <row r="10023">
      <c r="A10023" s="17"/>
      <c r="H10023" s="18"/>
      <c r="K10023" s="18" t="s">
        <v>316</v>
      </c>
    </row>
    <row r="10024">
      <c r="A10024" s="17"/>
      <c r="H10024" s="18"/>
      <c r="K10024" s="18" t="s">
        <v>316</v>
      </c>
    </row>
    <row r="10025">
      <c r="A10025" s="17"/>
      <c r="H10025" s="18"/>
      <c r="K10025" s="18" t="s">
        <v>316</v>
      </c>
    </row>
    <row r="10026">
      <c r="A10026" s="17"/>
      <c r="H10026" s="18"/>
      <c r="K10026" s="18" t="s">
        <v>316</v>
      </c>
    </row>
    <row r="10027">
      <c r="A10027" s="17"/>
      <c r="H10027" s="18"/>
      <c r="K10027" s="18" t="s">
        <v>316</v>
      </c>
    </row>
    <row r="10028">
      <c r="A10028" s="17"/>
      <c r="H10028" s="18"/>
      <c r="K10028" s="18" t="s">
        <v>316</v>
      </c>
    </row>
    <row r="10029">
      <c r="A10029" s="17"/>
      <c r="H10029" s="18"/>
      <c r="K10029" s="18" t="s">
        <v>316</v>
      </c>
    </row>
    <row r="10030">
      <c r="A10030" s="17"/>
      <c r="H10030" s="18"/>
      <c r="K10030" s="18" t="s">
        <v>316</v>
      </c>
    </row>
    <row r="10031">
      <c r="A10031" s="17"/>
      <c r="H10031" s="18"/>
      <c r="K10031" s="18" t="s">
        <v>316</v>
      </c>
    </row>
    <row r="10032">
      <c r="A10032" s="17"/>
      <c r="H10032" s="18"/>
      <c r="K10032" s="18" t="s">
        <v>316</v>
      </c>
    </row>
    <row r="10033">
      <c r="A10033" s="17"/>
      <c r="H10033" s="18"/>
      <c r="K10033" s="18" t="s">
        <v>316</v>
      </c>
    </row>
    <row r="10034">
      <c r="A10034" s="17"/>
      <c r="H10034" s="18"/>
      <c r="K10034" s="18" t="s">
        <v>316</v>
      </c>
    </row>
    <row r="10035">
      <c r="A10035" s="17"/>
      <c r="H10035" s="18"/>
      <c r="K10035" s="18" t="s">
        <v>316</v>
      </c>
    </row>
    <row r="10036">
      <c r="A10036" s="17"/>
      <c r="H10036" s="18"/>
      <c r="K10036" s="18" t="s">
        <v>316</v>
      </c>
    </row>
    <row r="10037">
      <c r="A10037" s="17"/>
      <c r="H10037" s="18"/>
      <c r="K10037" s="18" t="s">
        <v>316</v>
      </c>
    </row>
    <row r="10038">
      <c r="A10038" s="17"/>
      <c r="H10038" s="18"/>
      <c r="K10038" s="18" t="s">
        <v>316</v>
      </c>
    </row>
    <row r="10039">
      <c r="A10039" s="17"/>
      <c r="H10039" s="18"/>
      <c r="K10039" s="18" t="s">
        <v>316</v>
      </c>
    </row>
    <row r="10040">
      <c r="A10040" s="17"/>
      <c r="H10040" s="18"/>
      <c r="K10040" s="18" t="s">
        <v>316</v>
      </c>
    </row>
    <row r="10041">
      <c r="A10041" s="17"/>
      <c r="H10041" s="18"/>
      <c r="K10041" s="18" t="s">
        <v>316</v>
      </c>
    </row>
    <row r="10042">
      <c r="A10042" s="17"/>
      <c r="H10042" s="18"/>
      <c r="K10042" s="18" t="s">
        <v>316</v>
      </c>
    </row>
    <row r="10043">
      <c r="A10043" s="17"/>
      <c r="H10043" s="18"/>
      <c r="K10043" s="18" t="s">
        <v>316</v>
      </c>
    </row>
    <row r="10044">
      <c r="A10044" s="17"/>
      <c r="H10044" s="18"/>
      <c r="K10044" s="18" t="s">
        <v>316</v>
      </c>
    </row>
    <row r="10045">
      <c r="A10045" s="17"/>
      <c r="H10045" s="18"/>
      <c r="K10045" s="18" t="s">
        <v>316</v>
      </c>
    </row>
    <row r="10046">
      <c r="A10046" s="17"/>
      <c r="H10046" s="18"/>
      <c r="K10046" s="18" t="s">
        <v>316</v>
      </c>
    </row>
    <row r="10047">
      <c r="A10047" s="17"/>
      <c r="H10047" s="18"/>
      <c r="K10047" s="18" t="s">
        <v>316</v>
      </c>
    </row>
    <row r="10048">
      <c r="A10048" s="17"/>
      <c r="H10048" s="18"/>
      <c r="K10048" s="18" t="s">
        <v>316</v>
      </c>
    </row>
    <row r="10049">
      <c r="A10049" s="17"/>
      <c r="H10049" s="18"/>
      <c r="K10049" s="18" t="s">
        <v>316</v>
      </c>
    </row>
    <row r="10050">
      <c r="A10050" s="17"/>
      <c r="H10050" s="18"/>
      <c r="K10050" s="18" t="s">
        <v>316</v>
      </c>
    </row>
    <row r="10051">
      <c r="A10051" s="17"/>
      <c r="H10051" s="18"/>
      <c r="K10051" s="18" t="s">
        <v>316</v>
      </c>
    </row>
    <row r="10052">
      <c r="A10052" s="17"/>
      <c r="H10052" s="18"/>
      <c r="K10052" s="18" t="s">
        <v>316</v>
      </c>
    </row>
    <row r="10053">
      <c r="A10053" s="17"/>
      <c r="H10053" s="18"/>
      <c r="K10053" s="18" t="s">
        <v>316</v>
      </c>
    </row>
    <row r="10054">
      <c r="A10054" s="17"/>
      <c r="H10054" s="18"/>
      <c r="K10054" s="18" t="s">
        <v>316</v>
      </c>
    </row>
    <row r="10055">
      <c r="A10055" s="17"/>
      <c r="H10055" s="18"/>
      <c r="K10055" s="18" t="s">
        <v>316</v>
      </c>
    </row>
    <row r="10056">
      <c r="A10056" s="17"/>
      <c r="H10056" s="18"/>
      <c r="K10056" s="18" t="s">
        <v>316</v>
      </c>
    </row>
    <row r="10057">
      <c r="A10057" s="17"/>
      <c r="H10057" s="18"/>
      <c r="K10057" s="18" t="s">
        <v>316</v>
      </c>
    </row>
    <row r="10058">
      <c r="A10058" s="17"/>
      <c r="H10058" s="18"/>
      <c r="K10058" s="18" t="s">
        <v>316</v>
      </c>
    </row>
    <row r="10059">
      <c r="A10059" s="17"/>
      <c r="H10059" s="18"/>
      <c r="K10059" s="18" t="s">
        <v>316</v>
      </c>
    </row>
    <row r="10060">
      <c r="A10060" s="17"/>
      <c r="H10060" s="18"/>
      <c r="K10060" s="18" t="s">
        <v>316</v>
      </c>
    </row>
    <row r="10061">
      <c r="A10061" s="17"/>
      <c r="H10061" s="18"/>
      <c r="K10061" s="18" t="s">
        <v>316</v>
      </c>
    </row>
    <row r="10062">
      <c r="A10062" s="17"/>
      <c r="H10062" s="18"/>
      <c r="K10062" s="18" t="s">
        <v>316</v>
      </c>
    </row>
    <row r="10063">
      <c r="A10063" s="17"/>
      <c r="H10063" s="18"/>
      <c r="K10063" s="18" t="s">
        <v>316</v>
      </c>
    </row>
    <row r="10064">
      <c r="A10064" s="17"/>
      <c r="H10064" s="18"/>
      <c r="K10064" s="18" t="s">
        <v>316</v>
      </c>
    </row>
    <row r="10065">
      <c r="A10065" s="17"/>
      <c r="H10065" s="18"/>
      <c r="K10065" s="18" t="s">
        <v>316</v>
      </c>
    </row>
    <row r="10066">
      <c r="A10066" s="17"/>
      <c r="H10066" s="18"/>
      <c r="K10066" s="18" t="s">
        <v>316</v>
      </c>
    </row>
    <row r="10067">
      <c r="A10067" s="17"/>
      <c r="H10067" s="18"/>
      <c r="K10067" s="18" t="s">
        <v>316</v>
      </c>
    </row>
    <row r="10068">
      <c r="A10068" s="17"/>
      <c r="H10068" s="18"/>
      <c r="K10068" s="18" t="s">
        <v>316</v>
      </c>
    </row>
    <row r="10069">
      <c r="A10069" s="17"/>
      <c r="H10069" s="18"/>
      <c r="K10069" s="18" t="s">
        <v>316</v>
      </c>
    </row>
    <row r="10070">
      <c r="A10070" s="17"/>
      <c r="H10070" s="18"/>
      <c r="K10070" s="18" t="s">
        <v>316</v>
      </c>
    </row>
    <row r="10071">
      <c r="A10071" s="17"/>
      <c r="H10071" s="18"/>
      <c r="K10071" s="18" t="s">
        <v>316</v>
      </c>
    </row>
    <row r="10072">
      <c r="A10072" s="17"/>
      <c r="H10072" s="18"/>
      <c r="K10072" s="18" t="s">
        <v>316</v>
      </c>
    </row>
    <row r="10073">
      <c r="A10073" s="17"/>
      <c r="H10073" s="18"/>
      <c r="K10073" s="18" t="s">
        <v>316</v>
      </c>
    </row>
    <row r="10074">
      <c r="A10074" s="17"/>
      <c r="H10074" s="18"/>
      <c r="K10074" s="18" t="s">
        <v>316</v>
      </c>
    </row>
    <row r="10075">
      <c r="A10075" s="17"/>
      <c r="H10075" s="18"/>
      <c r="K10075" s="18" t="s">
        <v>316</v>
      </c>
    </row>
    <row r="10076">
      <c r="A10076" s="17"/>
      <c r="H10076" s="18"/>
      <c r="K10076" s="18" t="s">
        <v>316</v>
      </c>
    </row>
    <row r="10077">
      <c r="A10077" s="17"/>
      <c r="H10077" s="18"/>
      <c r="K10077" s="18" t="s">
        <v>316</v>
      </c>
    </row>
    <row r="10078">
      <c r="A10078" s="17"/>
      <c r="H10078" s="18"/>
      <c r="K10078" s="18" t="s">
        <v>316</v>
      </c>
    </row>
    <row r="10079">
      <c r="A10079" s="17"/>
      <c r="H10079" s="18"/>
      <c r="K10079" s="18" t="s">
        <v>316</v>
      </c>
    </row>
    <row r="10080">
      <c r="A10080" s="17"/>
      <c r="H10080" s="18"/>
      <c r="K10080" s="18" t="s">
        <v>316</v>
      </c>
    </row>
    <row r="10081">
      <c r="A10081" s="17"/>
      <c r="H10081" s="18"/>
      <c r="K10081" s="18" t="s">
        <v>316</v>
      </c>
    </row>
    <row r="10082">
      <c r="A10082" s="17"/>
      <c r="H10082" s="18"/>
      <c r="K10082" s="18" t="s">
        <v>316</v>
      </c>
    </row>
    <row r="10083">
      <c r="A10083" s="17"/>
      <c r="H10083" s="18"/>
      <c r="K10083" s="18" t="s">
        <v>316</v>
      </c>
    </row>
    <row r="10084">
      <c r="A10084" s="17"/>
      <c r="H10084" s="18"/>
      <c r="K10084" s="18" t="s">
        <v>316</v>
      </c>
    </row>
    <row r="10085">
      <c r="A10085" s="17"/>
      <c r="H10085" s="18"/>
      <c r="K10085" s="18" t="s">
        <v>316</v>
      </c>
    </row>
    <row r="10086">
      <c r="A10086" s="17"/>
      <c r="H10086" s="18"/>
      <c r="K10086" s="18" t="s">
        <v>316</v>
      </c>
    </row>
    <row r="10087">
      <c r="A10087" s="17"/>
      <c r="H10087" s="18"/>
      <c r="K10087" s="18" t="s">
        <v>316</v>
      </c>
    </row>
    <row r="10088">
      <c r="A10088" s="17"/>
      <c r="H10088" s="18"/>
      <c r="K10088" s="18" t="s">
        <v>316</v>
      </c>
    </row>
    <row r="10089">
      <c r="A10089" s="17"/>
      <c r="H10089" s="18"/>
      <c r="K10089" s="18" t="s">
        <v>316</v>
      </c>
    </row>
    <row r="10090">
      <c r="A10090" s="17"/>
      <c r="H10090" s="18"/>
      <c r="K10090" s="18" t="s">
        <v>316</v>
      </c>
    </row>
    <row r="10091">
      <c r="A10091" s="17"/>
      <c r="H10091" s="18"/>
      <c r="K10091" s="18" t="s">
        <v>316</v>
      </c>
    </row>
    <row r="10092">
      <c r="A10092" s="17"/>
      <c r="H10092" s="18"/>
      <c r="K10092" s="18" t="s">
        <v>316</v>
      </c>
    </row>
    <row r="10093">
      <c r="A10093" s="17"/>
      <c r="H10093" s="18"/>
      <c r="K10093" s="18" t="s">
        <v>316</v>
      </c>
    </row>
    <row r="10094">
      <c r="A10094" s="17"/>
      <c r="H10094" s="18"/>
      <c r="K10094" s="18" t="s">
        <v>316</v>
      </c>
    </row>
    <row r="10095">
      <c r="A10095" s="17"/>
      <c r="H10095" s="18"/>
      <c r="K10095" s="18" t="s">
        <v>316</v>
      </c>
    </row>
    <row r="10096">
      <c r="A10096" s="17"/>
      <c r="H10096" s="18"/>
      <c r="K10096" s="18" t="s">
        <v>316</v>
      </c>
    </row>
    <row r="10097">
      <c r="A10097" s="17"/>
      <c r="H10097" s="18"/>
      <c r="K10097" s="18" t="s">
        <v>316</v>
      </c>
    </row>
    <row r="10098">
      <c r="A10098" s="17"/>
      <c r="H10098" s="18"/>
      <c r="K10098" s="18" t="s">
        <v>316</v>
      </c>
    </row>
    <row r="10099">
      <c r="A10099" s="17"/>
      <c r="H10099" s="18"/>
      <c r="K10099" s="18" t="s">
        <v>316</v>
      </c>
    </row>
    <row r="10100">
      <c r="A10100" s="17"/>
      <c r="H10100" s="18"/>
      <c r="K10100" s="18" t="s">
        <v>316</v>
      </c>
    </row>
    <row r="10101">
      <c r="A10101" s="17"/>
      <c r="H10101" s="18"/>
      <c r="K10101" s="18" t="s">
        <v>316</v>
      </c>
    </row>
    <row r="10102">
      <c r="A10102" s="17"/>
      <c r="H10102" s="18"/>
      <c r="K10102" s="18" t="s">
        <v>316</v>
      </c>
    </row>
    <row r="10103">
      <c r="A10103" s="17"/>
      <c r="H10103" s="18"/>
      <c r="K10103" s="18" t="s">
        <v>316</v>
      </c>
    </row>
    <row r="10104">
      <c r="A10104" s="17"/>
      <c r="H10104" s="18"/>
      <c r="K10104" s="18" t="s">
        <v>316</v>
      </c>
    </row>
    <row r="10105">
      <c r="A10105" s="17"/>
      <c r="H10105" s="18"/>
      <c r="K10105" s="18" t="s">
        <v>316</v>
      </c>
    </row>
    <row r="10106">
      <c r="A10106" s="17"/>
      <c r="H10106" s="18"/>
      <c r="K10106" s="18" t="s">
        <v>316</v>
      </c>
    </row>
    <row r="10107">
      <c r="A10107" s="17"/>
      <c r="H10107" s="18"/>
      <c r="K10107" s="18" t="s">
        <v>316</v>
      </c>
    </row>
    <row r="10108">
      <c r="A10108" s="17"/>
      <c r="H10108" s="18"/>
      <c r="K10108" s="18" t="s">
        <v>316</v>
      </c>
    </row>
    <row r="10109">
      <c r="A10109" s="17"/>
      <c r="H10109" s="18"/>
      <c r="K10109" s="18" t="s">
        <v>316</v>
      </c>
    </row>
    <row r="10110">
      <c r="A10110" s="17"/>
      <c r="H10110" s="18"/>
      <c r="K10110" s="18" t="s">
        <v>316</v>
      </c>
    </row>
    <row r="10111">
      <c r="A10111" s="17"/>
      <c r="H10111" s="18"/>
      <c r="K10111" s="18" t="s">
        <v>316</v>
      </c>
    </row>
    <row r="10112">
      <c r="A10112" s="17"/>
      <c r="H10112" s="18"/>
      <c r="K10112" s="18" t="s">
        <v>316</v>
      </c>
    </row>
    <row r="10113">
      <c r="A10113" s="17"/>
      <c r="H10113" s="18"/>
      <c r="K10113" s="18" t="s">
        <v>316</v>
      </c>
    </row>
    <row r="10114">
      <c r="A10114" s="17"/>
      <c r="H10114" s="18"/>
      <c r="K10114" s="18" t="s">
        <v>316</v>
      </c>
    </row>
    <row r="10115">
      <c r="A10115" s="17"/>
      <c r="H10115" s="18"/>
      <c r="K10115" s="18" t="s">
        <v>316</v>
      </c>
    </row>
    <row r="10116">
      <c r="A10116" s="17"/>
      <c r="H10116" s="18"/>
      <c r="K10116" s="18" t="s">
        <v>316</v>
      </c>
    </row>
    <row r="10117">
      <c r="A10117" s="17"/>
      <c r="H10117" s="18"/>
      <c r="K10117" s="18" t="s">
        <v>316</v>
      </c>
    </row>
    <row r="10118">
      <c r="A10118" s="17"/>
      <c r="H10118" s="18"/>
      <c r="K10118" s="18" t="s">
        <v>316</v>
      </c>
    </row>
    <row r="10119">
      <c r="A10119" s="17"/>
      <c r="H10119" s="18"/>
      <c r="K10119" s="18" t="s">
        <v>316</v>
      </c>
    </row>
    <row r="10120">
      <c r="A10120" s="17"/>
      <c r="H10120" s="18"/>
      <c r="K10120" s="18" t="s">
        <v>316</v>
      </c>
    </row>
    <row r="10121">
      <c r="A10121" s="17"/>
      <c r="H10121" s="18"/>
      <c r="K10121" s="18" t="s">
        <v>316</v>
      </c>
    </row>
    <row r="10122">
      <c r="A10122" s="17"/>
      <c r="H10122" s="18"/>
      <c r="K10122" s="18" t="s">
        <v>316</v>
      </c>
    </row>
    <row r="10123">
      <c r="A10123" s="17"/>
      <c r="H10123" s="18"/>
      <c r="K10123" s="18" t="s">
        <v>316</v>
      </c>
    </row>
    <row r="10124">
      <c r="A10124" s="17"/>
      <c r="H10124" s="18"/>
      <c r="K10124" s="18" t="s">
        <v>316</v>
      </c>
    </row>
    <row r="10125">
      <c r="A10125" s="17"/>
      <c r="H10125" s="18"/>
      <c r="K10125" s="18" t="s">
        <v>316</v>
      </c>
    </row>
    <row r="10126">
      <c r="A10126" s="17"/>
      <c r="H10126" s="18"/>
      <c r="K10126" s="18" t="s">
        <v>316</v>
      </c>
    </row>
    <row r="10127">
      <c r="A10127" s="17"/>
      <c r="H10127" s="18"/>
      <c r="K10127" s="18" t="s">
        <v>316</v>
      </c>
    </row>
    <row r="10128">
      <c r="A10128" s="17"/>
      <c r="H10128" s="18"/>
      <c r="K10128" s="18" t="s">
        <v>316</v>
      </c>
    </row>
    <row r="10129">
      <c r="A10129" s="17"/>
      <c r="H10129" s="18"/>
      <c r="K10129" s="18" t="s">
        <v>316</v>
      </c>
    </row>
    <row r="10130">
      <c r="A10130" s="17"/>
      <c r="H10130" s="18"/>
      <c r="K10130" s="18" t="s">
        <v>316</v>
      </c>
    </row>
    <row r="10131">
      <c r="A10131" s="17"/>
      <c r="H10131" s="18"/>
      <c r="K10131" s="18" t="s">
        <v>316</v>
      </c>
    </row>
    <row r="10132">
      <c r="A10132" s="17"/>
      <c r="H10132" s="18"/>
      <c r="K10132" s="18" t="s">
        <v>316</v>
      </c>
    </row>
    <row r="10133">
      <c r="A10133" s="17"/>
      <c r="H10133" s="18"/>
      <c r="K10133" s="18" t="s">
        <v>316</v>
      </c>
    </row>
    <row r="10134">
      <c r="A10134" s="17"/>
      <c r="H10134" s="18"/>
      <c r="K10134" s="18" t="s">
        <v>316</v>
      </c>
    </row>
    <row r="10135">
      <c r="A10135" s="17"/>
      <c r="H10135" s="18"/>
      <c r="K10135" s="18" t="s">
        <v>316</v>
      </c>
    </row>
    <row r="10136">
      <c r="A10136" s="17"/>
      <c r="H10136" s="18"/>
      <c r="K10136" s="18" t="s">
        <v>316</v>
      </c>
    </row>
    <row r="10137">
      <c r="A10137" s="17"/>
      <c r="H10137" s="18"/>
      <c r="K10137" s="18" t="s">
        <v>316</v>
      </c>
    </row>
    <row r="10138">
      <c r="A10138" s="17"/>
      <c r="H10138" s="18"/>
      <c r="K10138" s="18" t="s">
        <v>316</v>
      </c>
    </row>
    <row r="10139">
      <c r="A10139" s="17"/>
      <c r="H10139" s="18"/>
      <c r="K10139" s="18" t="s">
        <v>316</v>
      </c>
    </row>
    <row r="10140">
      <c r="A10140" s="17"/>
      <c r="H10140" s="18"/>
      <c r="K10140" s="18" t="s">
        <v>316</v>
      </c>
    </row>
    <row r="10141">
      <c r="A10141" s="17"/>
      <c r="H10141" s="18"/>
      <c r="K10141" s="18" t="s">
        <v>316</v>
      </c>
    </row>
    <row r="10142">
      <c r="A10142" s="17"/>
      <c r="H10142" s="18"/>
      <c r="K10142" s="18" t="s">
        <v>316</v>
      </c>
    </row>
    <row r="10143">
      <c r="A10143" s="17"/>
      <c r="H10143" s="18"/>
      <c r="K10143" s="18" t="s">
        <v>316</v>
      </c>
    </row>
    <row r="10144">
      <c r="A10144" s="17"/>
      <c r="H10144" s="18"/>
      <c r="K10144" s="18" t="s">
        <v>316</v>
      </c>
    </row>
    <row r="10145">
      <c r="A10145" s="17"/>
      <c r="H10145" s="18"/>
      <c r="K10145" s="18" t="s">
        <v>316</v>
      </c>
    </row>
    <row r="10146">
      <c r="A10146" s="17"/>
      <c r="H10146" s="18"/>
      <c r="K10146" s="18" t="s">
        <v>316</v>
      </c>
    </row>
    <row r="10147">
      <c r="A10147" s="17"/>
      <c r="H10147" s="18"/>
      <c r="K10147" s="18" t="s">
        <v>316</v>
      </c>
    </row>
    <row r="10148">
      <c r="A10148" s="17"/>
      <c r="H10148" s="18"/>
      <c r="K10148" s="18" t="s">
        <v>316</v>
      </c>
    </row>
    <row r="10149">
      <c r="A10149" s="17"/>
      <c r="H10149" s="18"/>
      <c r="K10149" s="18" t="s">
        <v>316</v>
      </c>
    </row>
    <row r="10150">
      <c r="A10150" s="17"/>
      <c r="H10150" s="18"/>
      <c r="K10150" s="18" t="s">
        <v>316</v>
      </c>
    </row>
    <row r="10151">
      <c r="A10151" s="17"/>
      <c r="H10151" s="18"/>
      <c r="K10151" s="18" t="s">
        <v>316</v>
      </c>
    </row>
    <row r="10152">
      <c r="A10152" s="17"/>
      <c r="H10152" s="18"/>
      <c r="K10152" s="18" t="s">
        <v>316</v>
      </c>
    </row>
    <row r="10153">
      <c r="A10153" s="17"/>
      <c r="H10153" s="18"/>
      <c r="K10153" s="18" t="s">
        <v>316</v>
      </c>
    </row>
    <row r="10154">
      <c r="A10154" s="17"/>
      <c r="H10154" s="18"/>
      <c r="K10154" s="18" t="s">
        <v>316</v>
      </c>
    </row>
    <row r="10155">
      <c r="A10155" s="17"/>
      <c r="H10155" s="18"/>
      <c r="K10155" s="18" t="s">
        <v>316</v>
      </c>
    </row>
    <row r="10156">
      <c r="A10156" s="17"/>
      <c r="H10156" s="18"/>
      <c r="K10156" s="18" t="s">
        <v>316</v>
      </c>
    </row>
    <row r="10157">
      <c r="A10157" s="17"/>
      <c r="H10157" s="18"/>
      <c r="K10157" s="18" t="s">
        <v>316</v>
      </c>
    </row>
    <row r="10158">
      <c r="A10158" s="17"/>
      <c r="H10158" s="18"/>
      <c r="K10158" s="18" t="s">
        <v>316</v>
      </c>
    </row>
    <row r="10159">
      <c r="A10159" s="17"/>
      <c r="H10159" s="18"/>
      <c r="K10159" s="18" t="s">
        <v>316</v>
      </c>
    </row>
    <row r="10160">
      <c r="A10160" s="17"/>
      <c r="H10160" s="18"/>
      <c r="K10160" s="18" t="s">
        <v>316</v>
      </c>
    </row>
    <row r="10161">
      <c r="A10161" s="17"/>
      <c r="H10161" s="18"/>
      <c r="K10161" s="18" t="s">
        <v>316</v>
      </c>
    </row>
    <row r="10162">
      <c r="A10162" s="17"/>
      <c r="H10162" s="18"/>
      <c r="K10162" s="18" t="s">
        <v>316</v>
      </c>
    </row>
    <row r="10163">
      <c r="A10163" s="17"/>
      <c r="H10163" s="18"/>
      <c r="K10163" s="18" t="s">
        <v>316</v>
      </c>
    </row>
    <row r="10164">
      <c r="A10164" s="17"/>
      <c r="H10164" s="18"/>
      <c r="K10164" s="18" t="s">
        <v>316</v>
      </c>
    </row>
    <row r="10165">
      <c r="A10165" s="17"/>
      <c r="H10165" s="18"/>
      <c r="K10165" s="18" t="s">
        <v>316</v>
      </c>
    </row>
    <row r="10166">
      <c r="A10166" s="17"/>
      <c r="H10166" s="18"/>
      <c r="K10166" s="18" t="s">
        <v>316</v>
      </c>
    </row>
    <row r="10167">
      <c r="A10167" s="17"/>
      <c r="H10167" s="18"/>
      <c r="K10167" s="18" t="s">
        <v>316</v>
      </c>
    </row>
    <row r="10168">
      <c r="A10168" s="17"/>
      <c r="H10168" s="18"/>
      <c r="K10168" s="18" t="s">
        <v>316</v>
      </c>
    </row>
    <row r="10169">
      <c r="A10169" s="17"/>
      <c r="H10169" s="18"/>
      <c r="K10169" s="18" t="s">
        <v>316</v>
      </c>
    </row>
    <row r="10170">
      <c r="A10170" s="17"/>
      <c r="H10170" s="18"/>
      <c r="K10170" s="18" t="s">
        <v>316</v>
      </c>
    </row>
    <row r="10171">
      <c r="A10171" s="17"/>
      <c r="H10171" s="18"/>
      <c r="K10171" s="18" t="s">
        <v>316</v>
      </c>
    </row>
    <row r="10172">
      <c r="A10172" s="17"/>
      <c r="H10172" s="18"/>
      <c r="K10172" s="18" t="s">
        <v>316</v>
      </c>
    </row>
    <row r="10173">
      <c r="A10173" s="17"/>
      <c r="H10173" s="18"/>
      <c r="K10173" s="18" t="s">
        <v>316</v>
      </c>
    </row>
    <row r="10174">
      <c r="A10174" s="17"/>
      <c r="H10174" s="18"/>
      <c r="K10174" s="18" t="s">
        <v>316</v>
      </c>
    </row>
    <row r="10175">
      <c r="A10175" s="17"/>
      <c r="H10175" s="18"/>
      <c r="K10175" s="18" t="s">
        <v>316</v>
      </c>
    </row>
    <row r="10176">
      <c r="A10176" s="17"/>
      <c r="H10176" s="18"/>
      <c r="K10176" s="18" t="s">
        <v>316</v>
      </c>
    </row>
    <row r="10177">
      <c r="A10177" s="17"/>
      <c r="H10177" s="18"/>
      <c r="K10177" s="18" t="s">
        <v>316</v>
      </c>
    </row>
    <row r="10178">
      <c r="A10178" s="17"/>
      <c r="H10178" s="18"/>
      <c r="K10178" s="18" t="s">
        <v>316</v>
      </c>
    </row>
    <row r="10179">
      <c r="A10179" s="17"/>
      <c r="H10179" s="18"/>
      <c r="K10179" s="18" t="s">
        <v>316</v>
      </c>
    </row>
    <row r="10180">
      <c r="A10180" s="17"/>
      <c r="H10180" s="18"/>
      <c r="K10180" s="18" t="s">
        <v>316</v>
      </c>
    </row>
    <row r="10181">
      <c r="A10181" s="17"/>
      <c r="H10181" s="18"/>
      <c r="K10181" s="18" t="s">
        <v>316</v>
      </c>
    </row>
    <row r="10182">
      <c r="A10182" s="17"/>
      <c r="H10182" s="18"/>
      <c r="K10182" s="18" t="s">
        <v>316</v>
      </c>
    </row>
    <row r="10183">
      <c r="A10183" s="17"/>
      <c r="H10183" s="18"/>
      <c r="K10183" s="18" t="s">
        <v>316</v>
      </c>
    </row>
    <row r="10184">
      <c r="A10184" s="17"/>
      <c r="H10184" s="18"/>
      <c r="K10184" s="18" t="s">
        <v>316</v>
      </c>
    </row>
    <row r="10185">
      <c r="A10185" s="17"/>
      <c r="H10185" s="18"/>
      <c r="K10185" s="18" t="s">
        <v>316</v>
      </c>
    </row>
    <row r="10186">
      <c r="A10186" s="17"/>
      <c r="H10186" s="18"/>
      <c r="K10186" s="18" t="s">
        <v>316</v>
      </c>
    </row>
    <row r="10187">
      <c r="A10187" s="17"/>
      <c r="H10187" s="18"/>
      <c r="K10187" s="18" t="s">
        <v>316</v>
      </c>
    </row>
    <row r="10188">
      <c r="A10188" s="17"/>
      <c r="H10188" s="18"/>
      <c r="K10188" s="18" t="s">
        <v>316</v>
      </c>
    </row>
    <row r="10189">
      <c r="A10189" s="17"/>
      <c r="H10189" s="18"/>
      <c r="K10189" s="18" t="s">
        <v>316</v>
      </c>
    </row>
    <row r="10190">
      <c r="A10190" s="17"/>
      <c r="H10190" s="18"/>
      <c r="K10190" s="18" t="s">
        <v>316</v>
      </c>
    </row>
    <row r="10191">
      <c r="A10191" s="17"/>
      <c r="H10191" s="18"/>
      <c r="K10191" s="18" t="s">
        <v>316</v>
      </c>
    </row>
    <row r="10192">
      <c r="A10192" s="17"/>
      <c r="H10192" s="18"/>
      <c r="K10192" s="18" t="s">
        <v>316</v>
      </c>
    </row>
    <row r="10193">
      <c r="A10193" s="17"/>
      <c r="H10193" s="18"/>
      <c r="K10193" s="18" t="s">
        <v>316</v>
      </c>
    </row>
    <row r="10194">
      <c r="A10194" s="17"/>
      <c r="H10194" s="18"/>
      <c r="K10194" s="18" t="s">
        <v>316</v>
      </c>
    </row>
    <row r="10195">
      <c r="A10195" s="17"/>
      <c r="H10195" s="18"/>
      <c r="K10195" s="18" t="s">
        <v>316</v>
      </c>
    </row>
    <row r="10196">
      <c r="A10196" s="17"/>
      <c r="H10196" s="18"/>
      <c r="K10196" s="18" t="s">
        <v>316</v>
      </c>
    </row>
    <row r="10197">
      <c r="A10197" s="17"/>
      <c r="H10197" s="18"/>
      <c r="K10197" s="18" t="s">
        <v>316</v>
      </c>
    </row>
    <row r="10198">
      <c r="A10198" s="17"/>
      <c r="H10198" s="18"/>
      <c r="K10198" s="18" t="s">
        <v>316</v>
      </c>
    </row>
    <row r="10199">
      <c r="A10199" s="17"/>
      <c r="H10199" s="18"/>
      <c r="K10199" s="18" t="s">
        <v>316</v>
      </c>
    </row>
    <row r="10200">
      <c r="A10200" s="17"/>
      <c r="H10200" s="18"/>
      <c r="K10200" s="18" t="s">
        <v>316</v>
      </c>
    </row>
    <row r="10201">
      <c r="A10201" s="17"/>
      <c r="H10201" s="18"/>
      <c r="K10201" s="18" t="s">
        <v>316</v>
      </c>
    </row>
    <row r="10202">
      <c r="A10202" s="17"/>
      <c r="H10202" s="18"/>
      <c r="K10202" s="18" t="s">
        <v>316</v>
      </c>
    </row>
    <row r="10203">
      <c r="A10203" s="17"/>
      <c r="H10203" s="18"/>
      <c r="K10203" s="18" t="s">
        <v>316</v>
      </c>
    </row>
    <row r="10204">
      <c r="A10204" s="17"/>
      <c r="H10204" s="18"/>
      <c r="K10204" s="18" t="s">
        <v>316</v>
      </c>
    </row>
    <row r="10205">
      <c r="A10205" s="17"/>
      <c r="H10205" s="18"/>
      <c r="K10205" s="18" t="s">
        <v>316</v>
      </c>
    </row>
    <row r="10206">
      <c r="A10206" s="17"/>
      <c r="H10206" s="18"/>
      <c r="K10206" s="18" t="s">
        <v>316</v>
      </c>
    </row>
    <row r="10207">
      <c r="A10207" s="17"/>
      <c r="H10207" s="18"/>
      <c r="K10207" s="18" t="s">
        <v>316</v>
      </c>
    </row>
    <row r="10208">
      <c r="A10208" s="17"/>
      <c r="H10208" s="18"/>
      <c r="K10208" s="18" t="s">
        <v>316</v>
      </c>
    </row>
    <row r="10209">
      <c r="A10209" s="17"/>
      <c r="H10209" s="18"/>
      <c r="K10209" s="18" t="s">
        <v>316</v>
      </c>
    </row>
    <row r="10210">
      <c r="A10210" s="17"/>
      <c r="H10210" s="18"/>
      <c r="K10210" s="18" t="s">
        <v>316</v>
      </c>
    </row>
    <row r="10211">
      <c r="A10211" s="17"/>
      <c r="H10211" s="18"/>
      <c r="K10211" s="18" t="s">
        <v>316</v>
      </c>
    </row>
    <row r="10212">
      <c r="A10212" s="17"/>
      <c r="H10212" s="18"/>
      <c r="K10212" s="18" t="s">
        <v>316</v>
      </c>
    </row>
    <row r="10213">
      <c r="A10213" s="17"/>
      <c r="H10213" s="18"/>
      <c r="K10213" s="18" t="s">
        <v>316</v>
      </c>
    </row>
    <row r="10214">
      <c r="A10214" s="17"/>
      <c r="H10214" s="18"/>
      <c r="K10214" s="18" t="s">
        <v>316</v>
      </c>
    </row>
    <row r="10215">
      <c r="A10215" s="17"/>
      <c r="H10215" s="18"/>
      <c r="K10215" s="18" t="s">
        <v>316</v>
      </c>
    </row>
    <row r="10216">
      <c r="A10216" s="17"/>
      <c r="H10216" s="18"/>
      <c r="K10216" s="18" t="s">
        <v>316</v>
      </c>
    </row>
    <row r="10217">
      <c r="A10217" s="17"/>
      <c r="H10217" s="18"/>
      <c r="K10217" s="18" t="s">
        <v>316</v>
      </c>
    </row>
    <row r="10218">
      <c r="A10218" s="17"/>
      <c r="H10218" s="18"/>
      <c r="K10218" s="18" t="s">
        <v>316</v>
      </c>
    </row>
    <row r="10219">
      <c r="A10219" s="17"/>
      <c r="H10219" s="18"/>
      <c r="K10219" s="18" t="s">
        <v>316</v>
      </c>
    </row>
    <row r="10220">
      <c r="A10220" s="17"/>
      <c r="H10220" s="18"/>
      <c r="K10220" s="18" t="s">
        <v>316</v>
      </c>
    </row>
    <row r="10221">
      <c r="A10221" s="17"/>
      <c r="H10221" s="18"/>
      <c r="K10221" s="18" t="s">
        <v>316</v>
      </c>
    </row>
    <row r="10222">
      <c r="A10222" s="17"/>
      <c r="H10222" s="18"/>
      <c r="K10222" s="18" t="s">
        <v>316</v>
      </c>
    </row>
    <row r="10223">
      <c r="A10223" s="17"/>
      <c r="H10223" s="18"/>
      <c r="K10223" s="18" t="s">
        <v>316</v>
      </c>
    </row>
    <row r="10224">
      <c r="A10224" s="17"/>
      <c r="H10224" s="18"/>
      <c r="K10224" s="18" t="s">
        <v>316</v>
      </c>
    </row>
    <row r="10225">
      <c r="A10225" s="17"/>
      <c r="H10225" s="18"/>
      <c r="K10225" s="18" t="s">
        <v>316</v>
      </c>
    </row>
    <row r="10226">
      <c r="A10226" s="17"/>
      <c r="H10226" s="18"/>
      <c r="K10226" s="18" t="s">
        <v>316</v>
      </c>
    </row>
    <row r="10227">
      <c r="A10227" s="17"/>
      <c r="H10227" s="18"/>
      <c r="K10227" s="18" t="s">
        <v>316</v>
      </c>
    </row>
    <row r="10228">
      <c r="A10228" s="17"/>
      <c r="H10228" s="18"/>
      <c r="K10228" s="18" t="s">
        <v>316</v>
      </c>
    </row>
    <row r="10229">
      <c r="A10229" s="17"/>
      <c r="H10229" s="18"/>
      <c r="K10229" s="18" t="s">
        <v>316</v>
      </c>
    </row>
    <row r="10230">
      <c r="A10230" s="17"/>
      <c r="H10230" s="18"/>
      <c r="K10230" s="18" t="s">
        <v>316</v>
      </c>
    </row>
    <row r="10231">
      <c r="A10231" s="17"/>
      <c r="H10231" s="18"/>
      <c r="K10231" s="18" t="s">
        <v>316</v>
      </c>
    </row>
    <row r="10232">
      <c r="A10232" s="17"/>
      <c r="H10232" s="18"/>
      <c r="K10232" s="18" t="s">
        <v>316</v>
      </c>
    </row>
    <row r="10233">
      <c r="A10233" s="17"/>
      <c r="H10233" s="18"/>
      <c r="K10233" s="18" t="s">
        <v>316</v>
      </c>
    </row>
    <row r="10234">
      <c r="A10234" s="17"/>
      <c r="H10234" s="18"/>
      <c r="K10234" s="18" t="s">
        <v>316</v>
      </c>
    </row>
    <row r="10235">
      <c r="A10235" s="17"/>
      <c r="H10235" s="18"/>
      <c r="K10235" s="18" t="s">
        <v>316</v>
      </c>
    </row>
    <row r="10236">
      <c r="A10236" s="17"/>
      <c r="H10236" s="18"/>
      <c r="K10236" s="18" t="s">
        <v>316</v>
      </c>
    </row>
    <row r="10237">
      <c r="A10237" s="17"/>
      <c r="H10237" s="18"/>
      <c r="K10237" s="18" t="s">
        <v>316</v>
      </c>
    </row>
    <row r="10238">
      <c r="A10238" s="17"/>
      <c r="H10238" s="18"/>
      <c r="K10238" s="18" t="s">
        <v>316</v>
      </c>
    </row>
    <row r="10239">
      <c r="A10239" s="17"/>
      <c r="H10239" s="18"/>
      <c r="K10239" s="18" t="s">
        <v>316</v>
      </c>
    </row>
    <row r="10240">
      <c r="A10240" s="17"/>
      <c r="H10240" s="18"/>
      <c r="K10240" s="18" t="s">
        <v>316</v>
      </c>
    </row>
    <row r="10241">
      <c r="A10241" s="17"/>
      <c r="H10241" s="18"/>
      <c r="K10241" s="18" t="s">
        <v>316</v>
      </c>
    </row>
    <row r="10242">
      <c r="A10242" s="17"/>
      <c r="H10242" s="18"/>
      <c r="K10242" s="18" t="s">
        <v>316</v>
      </c>
    </row>
    <row r="10243">
      <c r="A10243" s="17"/>
      <c r="H10243" s="18"/>
      <c r="K10243" s="18" t="s">
        <v>316</v>
      </c>
    </row>
    <row r="10244">
      <c r="A10244" s="17"/>
      <c r="H10244" s="18"/>
      <c r="K10244" s="18" t="s">
        <v>316</v>
      </c>
    </row>
    <row r="10245">
      <c r="A10245" s="17"/>
      <c r="H10245" s="18"/>
      <c r="K10245" s="18" t="s">
        <v>316</v>
      </c>
    </row>
    <row r="10246">
      <c r="A10246" s="17"/>
      <c r="H10246" s="18"/>
      <c r="K10246" s="18" t="s">
        <v>316</v>
      </c>
    </row>
    <row r="10247">
      <c r="A10247" s="17"/>
      <c r="H10247" s="18"/>
      <c r="K10247" s="18" t="s">
        <v>316</v>
      </c>
    </row>
    <row r="10248">
      <c r="A10248" s="17"/>
      <c r="H10248" s="18"/>
      <c r="K10248" s="18" t="s">
        <v>316</v>
      </c>
    </row>
    <row r="10249">
      <c r="A10249" s="17"/>
      <c r="H10249" s="18"/>
      <c r="K10249" s="18" t="s">
        <v>316</v>
      </c>
    </row>
    <row r="10250">
      <c r="A10250" s="17"/>
      <c r="H10250" s="18"/>
      <c r="K10250" s="18" t="s">
        <v>316</v>
      </c>
    </row>
    <row r="10251">
      <c r="A10251" s="17"/>
      <c r="H10251" s="18"/>
      <c r="K10251" s="18" t="s">
        <v>316</v>
      </c>
    </row>
    <row r="10252">
      <c r="A10252" s="17"/>
      <c r="H10252" s="18"/>
      <c r="K10252" s="18" t="s">
        <v>316</v>
      </c>
    </row>
    <row r="10253">
      <c r="A10253" s="17"/>
      <c r="H10253" s="18"/>
      <c r="K10253" s="18" t="s">
        <v>316</v>
      </c>
    </row>
    <row r="10254">
      <c r="A10254" s="17"/>
      <c r="H10254" s="18"/>
      <c r="K10254" s="18" t="s">
        <v>316</v>
      </c>
    </row>
    <row r="10255">
      <c r="A10255" s="17"/>
      <c r="H10255" s="18"/>
      <c r="K10255" s="18" t="s">
        <v>316</v>
      </c>
    </row>
    <row r="10256">
      <c r="A10256" s="17"/>
      <c r="H10256" s="18"/>
      <c r="K10256" s="18" t="s">
        <v>316</v>
      </c>
    </row>
    <row r="10257">
      <c r="A10257" s="17"/>
      <c r="H10257" s="18"/>
      <c r="K10257" s="18" t="s">
        <v>316</v>
      </c>
    </row>
    <row r="10258">
      <c r="A10258" s="17"/>
      <c r="H10258" s="18"/>
      <c r="K10258" s="18" t="s">
        <v>316</v>
      </c>
    </row>
    <row r="10259">
      <c r="A10259" s="17"/>
      <c r="H10259" s="18"/>
      <c r="K10259" s="18" t="s">
        <v>316</v>
      </c>
    </row>
    <row r="10260">
      <c r="A10260" s="17"/>
      <c r="H10260" s="18"/>
      <c r="K10260" s="18" t="s">
        <v>316</v>
      </c>
    </row>
    <row r="10261">
      <c r="A10261" s="17"/>
      <c r="H10261" s="18"/>
      <c r="K10261" s="18" t="s">
        <v>316</v>
      </c>
    </row>
    <row r="10262">
      <c r="A10262" s="17"/>
      <c r="H10262" s="18"/>
      <c r="K10262" s="18" t="s">
        <v>316</v>
      </c>
    </row>
    <row r="10263">
      <c r="A10263" s="17"/>
      <c r="H10263" s="18"/>
      <c r="K10263" s="18" t="s">
        <v>316</v>
      </c>
    </row>
    <row r="10264">
      <c r="A10264" s="17"/>
      <c r="H10264" s="18"/>
      <c r="K10264" s="18" t="s">
        <v>316</v>
      </c>
    </row>
    <row r="10265">
      <c r="A10265" s="17"/>
      <c r="H10265" s="18"/>
      <c r="K10265" s="18" t="s">
        <v>316</v>
      </c>
    </row>
    <row r="10266">
      <c r="A10266" s="17"/>
      <c r="H10266" s="18"/>
      <c r="K10266" s="18" t="s">
        <v>316</v>
      </c>
    </row>
    <row r="10267">
      <c r="A10267" s="17"/>
      <c r="H10267" s="18"/>
      <c r="K10267" s="18" t="s">
        <v>316</v>
      </c>
    </row>
    <row r="10268">
      <c r="A10268" s="17"/>
      <c r="H10268" s="18"/>
      <c r="K10268" s="18" t="s">
        <v>316</v>
      </c>
    </row>
    <row r="10269">
      <c r="A10269" s="17"/>
      <c r="H10269" s="18"/>
      <c r="K10269" s="18" t="s">
        <v>316</v>
      </c>
    </row>
    <row r="10270">
      <c r="A10270" s="17"/>
      <c r="H10270" s="18"/>
      <c r="K10270" s="18" t="s">
        <v>316</v>
      </c>
    </row>
    <row r="10271">
      <c r="A10271" s="17"/>
      <c r="H10271" s="18"/>
      <c r="K10271" s="18" t="s">
        <v>316</v>
      </c>
    </row>
    <row r="10272">
      <c r="A10272" s="17"/>
      <c r="H10272" s="18"/>
      <c r="K10272" s="18" t="s">
        <v>316</v>
      </c>
    </row>
    <row r="10273">
      <c r="A10273" s="17"/>
      <c r="H10273" s="18"/>
      <c r="K10273" s="18" t="s">
        <v>316</v>
      </c>
    </row>
    <row r="10274">
      <c r="A10274" s="17"/>
      <c r="H10274" s="18"/>
      <c r="K10274" s="18" t="s">
        <v>316</v>
      </c>
    </row>
    <row r="10275">
      <c r="A10275" s="17"/>
      <c r="H10275" s="18"/>
      <c r="K10275" s="18" t="s">
        <v>316</v>
      </c>
    </row>
    <row r="10276">
      <c r="A10276" s="17"/>
      <c r="H10276" s="18"/>
      <c r="K10276" s="18" t="s">
        <v>316</v>
      </c>
    </row>
    <row r="10277">
      <c r="A10277" s="17"/>
      <c r="H10277" s="18"/>
      <c r="K10277" s="18" t="s">
        <v>316</v>
      </c>
    </row>
    <row r="10278">
      <c r="A10278" s="17"/>
      <c r="H10278" s="18"/>
      <c r="K10278" s="18" t="s">
        <v>316</v>
      </c>
    </row>
    <row r="10279">
      <c r="A10279" s="17"/>
      <c r="H10279" s="18"/>
      <c r="K10279" s="18" t="s">
        <v>316</v>
      </c>
    </row>
    <row r="10280">
      <c r="A10280" s="17"/>
      <c r="H10280" s="18"/>
      <c r="K10280" s="18" t="s">
        <v>316</v>
      </c>
    </row>
    <row r="10281">
      <c r="A10281" s="17"/>
      <c r="H10281" s="18"/>
      <c r="K10281" s="18" t="s">
        <v>316</v>
      </c>
    </row>
    <row r="10282">
      <c r="A10282" s="17"/>
      <c r="H10282" s="18"/>
      <c r="K10282" s="18" t="s">
        <v>316</v>
      </c>
    </row>
    <row r="10283">
      <c r="A10283" s="17"/>
      <c r="H10283" s="18"/>
      <c r="K10283" s="18" t="s">
        <v>316</v>
      </c>
    </row>
    <row r="10284">
      <c r="A10284" s="17"/>
      <c r="H10284" s="18"/>
      <c r="K10284" s="18" t="s">
        <v>316</v>
      </c>
    </row>
    <row r="10285">
      <c r="A10285" s="17"/>
      <c r="H10285" s="18"/>
      <c r="K10285" s="18" t="s">
        <v>316</v>
      </c>
    </row>
    <row r="10286">
      <c r="A10286" s="17"/>
      <c r="H10286" s="18"/>
      <c r="K10286" s="18" t="s">
        <v>316</v>
      </c>
    </row>
    <row r="10287">
      <c r="A10287" s="17"/>
      <c r="H10287" s="18"/>
      <c r="K10287" s="18" t="s">
        <v>316</v>
      </c>
    </row>
    <row r="10288">
      <c r="A10288" s="17"/>
      <c r="H10288" s="18"/>
      <c r="K10288" s="18" t="s">
        <v>316</v>
      </c>
    </row>
    <row r="10289">
      <c r="A10289" s="17"/>
      <c r="H10289" s="18"/>
      <c r="K10289" s="18" t="s">
        <v>316</v>
      </c>
    </row>
    <row r="10290">
      <c r="A10290" s="17"/>
      <c r="H10290" s="18"/>
      <c r="K10290" s="18" t="s">
        <v>316</v>
      </c>
    </row>
    <row r="10291">
      <c r="A10291" s="17"/>
      <c r="H10291" s="18"/>
      <c r="K10291" s="18" t="s">
        <v>316</v>
      </c>
    </row>
    <row r="10292">
      <c r="A10292" s="17"/>
      <c r="H10292" s="18"/>
      <c r="K10292" s="18" t="s">
        <v>316</v>
      </c>
    </row>
    <row r="10293">
      <c r="A10293" s="17"/>
      <c r="H10293" s="18"/>
      <c r="K10293" s="18" t="s">
        <v>316</v>
      </c>
    </row>
    <row r="10294">
      <c r="A10294" s="17"/>
      <c r="H10294" s="18"/>
      <c r="K10294" s="18" t="s">
        <v>316</v>
      </c>
    </row>
    <row r="10295">
      <c r="A10295" s="17"/>
      <c r="H10295" s="18"/>
      <c r="K10295" s="18" t="s">
        <v>316</v>
      </c>
    </row>
    <row r="10296">
      <c r="A10296" s="17"/>
      <c r="H10296" s="18"/>
      <c r="K10296" s="18" t="s">
        <v>316</v>
      </c>
    </row>
    <row r="10297">
      <c r="A10297" s="17"/>
      <c r="H10297" s="18"/>
      <c r="K10297" s="18" t="s">
        <v>316</v>
      </c>
    </row>
    <row r="10298">
      <c r="A10298" s="17"/>
      <c r="H10298" s="18"/>
      <c r="K10298" s="18" t="s">
        <v>316</v>
      </c>
    </row>
    <row r="10299">
      <c r="A10299" s="17"/>
      <c r="H10299" s="18"/>
      <c r="K10299" s="18" t="s">
        <v>316</v>
      </c>
    </row>
    <row r="10300">
      <c r="A10300" s="17"/>
      <c r="H10300" s="18"/>
      <c r="K10300" s="18" t="s">
        <v>316</v>
      </c>
    </row>
    <row r="10301">
      <c r="A10301" s="17"/>
      <c r="H10301" s="18"/>
      <c r="K10301" s="18" t="s">
        <v>316</v>
      </c>
    </row>
    <row r="10302">
      <c r="A10302" s="17"/>
      <c r="H10302" s="18"/>
      <c r="K10302" s="18" t="s">
        <v>316</v>
      </c>
    </row>
    <row r="10303">
      <c r="A10303" s="17"/>
      <c r="H10303" s="18"/>
      <c r="K10303" s="18" t="s">
        <v>316</v>
      </c>
    </row>
    <row r="10304">
      <c r="A10304" s="17"/>
      <c r="H10304" s="18"/>
      <c r="K10304" s="18" t="s">
        <v>316</v>
      </c>
    </row>
    <row r="10305">
      <c r="A10305" s="17"/>
      <c r="H10305" s="18"/>
      <c r="K10305" s="18" t="s">
        <v>316</v>
      </c>
    </row>
    <row r="10306">
      <c r="A10306" s="17"/>
      <c r="H10306" s="18"/>
      <c r="K10306" s="18" t="s">
        <v>316</v>
      </c>
    </row>
    <row r="10307">
      <c r="A10307" s="17"/>
      <c r="H10307" s="18"/>
      <c r="K10307" s="18" t="s">
        <v>316</v>
      </c>
    </row>
    <row r="10308">
      <c r="A10308" s="17"/>
      <c r="H10308" s="18"/>
      <c r="K10308" s="18" t="s">
        <v>316</v>
      </c>
    </row>
    <row r="10309">
      <c r="A10309" s="17"/>
      <c r="H10309" s="18"/>
      <c r="K10309" s="18" t="s">
        <v>316</v>
      </c>
    </row>
    <row r="10310">
      <c r="A10310" s="17"/>
      <c r="H10310" s="18"/>
      <c r="K10310" s="18" t="s">
        <v>316</v>
      </c>
    </row>
    <row r="10311">
      <c r="A10311" s="17"/>
      <c r="H10311" s="18"/>
      <c r="K10311" s="18" t="s">
        <v>316</v>
      </c>
    </row>
    <row r="10312">
      <c r="A10312" s="17"/>
      <c r="H10312" s="18"/>
      <c r="K10312" s="18" t="s">
        <v>316</v>
      </c>
    </row>
    <row r="10313">
      <c r="A10313" s="17"/>
      <c r="H10313" s="18"/>
      <c r="K10313" s="18" t="s">
        <v>316</v>
      </c>
    </row>
    <row r="10314">
      <c r="A10314" s="17"/>
      <c r="H10314" s="18"/>
      <c r="K10314" s="18" t="s">
        <v>316</v>
      </c>
    </row>
    <row r="10315">
      <c r="A10315" s="17"/>
      <c r="H10315" s="18"/>
      <c r="K10315" s="18" t="s">
        <v>316</v>
      </c>
    </row>
    <row r="10316">
      <c r="A10316" s="17"/>
      <c r="H10316" s="18"/>
      <c r="K10316" s="18" t="s">
        <v>316</v>
      </c>
    </row>
    <row r="10317">
      <c r="A10317" s="17"/>
      <c r="H10317" s="18"/>
      <c r="K10317" s="18" t="s">
        <v>316</v>
      </c>
    </row>
    <row r="10318">
      <c r="A10318" s="17"/>
      <c r="H10318" s="18"/>
      <c r="K10318" s="18" t="s">
        <v>316</v>
      </c>
    </row>
    <row r="10319">
      <c r="A10319" s="17"/>
      <c r="H10319" s="18"/>
      <c r="K10319" s="18" t="s">
        <v>316</v>
      </c>
    </row>
    <row r="10320">
      <c r="A10320" s="17"/>
      <c r="H10320" s="18"/>
      <c r="K10320" s="18" t="s">
        <v>316</v>
      </c>
    </row>
    <row r="10321">
      <c r="A10321" s="17"/>
      <c r="H10321" s="18"/>
      <c r="K10321" s="18" t="s">
        <v>316</v>
      </c>
    </row>
    <row r="10322">
      <c r="A10322" s="17"/>
      <c r="H10322" s="18"/>
      <c r="K10322" s="18" t="s">
        <v>316</v>
      </c>
    </row>
    <row r="10323">
      <c r="A10323" s="17"/>
      <c r="H10323" s="18"/>
      <c r="K10323" s="18" t="s">
        <v>316</v>
      </c>
    </row>
    <row r="10324">
      <c r="A10324" s="17"/>
      <c r="H10324" s="18"/>
      <c r="K10324" s="18" t="s">
        <v>316</v>
      </c>
    </row>
    <row r="10325">
      <c r="A10325" s="17"/>
      <c r="H10325" s="18"/>
      <c r="K10325" s="18" t="s">
        <v>316</v>
      </c>
    </row>
    <row r="10326">
      <c r="A10326" s="17"/>
      <c r="H10326" s="18"/>
      <c r="K10326" s="18" t="s">
        <v>316</v>
      </c>
    </row>
    <row r="10327">
      <c r="A10327" s="17"/>
      <c r="H10327" s="18"/>
      <c r="K10327" s="18" t="s">
        <v>316</v>
      </c>
    </row>
    <row r="10328">
      <c r="A10328" s="17"/>
      <c r="H10328" s="18"/>
      <c r="K10328" s="18" t="s">
        <v>316</v>
      </c>
    </row>
    <row r="10329">
      <c r="A10329" s="17"/>
      <c r="H10329" s="18"/>
      <c r="K10329" s="18" t="s">
        <v>316</v>
      </c>
    </row>
    <row r="10330">
      <c r="A10330" s="17"/>
      <c r="H10330" s="18"/>
      <c r="K10330" s="18" t="s">
        <v>316</v>
      </c>
    </row>
    <row r="10331">
      <c r="A10331" s="17"/>
      <c r="H10331" s="18"/>
      <c r="K10331" s="18" t="s">
        <v>316</v>
      </c>
    </row>
    <row r="10332">
      <c r="A10332" s="17"/>
      <c r="H10332" s="18"/>
      <c r="K10332" s="18" t="s">
        <v>316</v>
      </c>
    </row>
    <row r="10333">
      <c r="A10333" s="17"/>
      <c r="H10333" s="18"/>
      <c r="K10333" s="18" t="s">
        <v>316</v>
      </c>
    </row>
    <row r="10334">
      <c r="A10334" s="17"/>
      <c r="H10334" s="18"/>
      <c r="K10334" s="18" t="s">
        <v>316</v>
      </c>
    </row>
    <row r="10335">
      <c r="A10335" s="17"/>
      <c r="H10335" s="18"/>
      <c r="K10335" s="18" t="s">
        <v>316</v>
      </c>
    </row>
    <row r="10336">
      <c r="A10336" s="17"/>
      <c r="H10336" s="18"/>
      <c r="K10336" s="18" t="s">
        <v>316</v>
      </c>
    </row>
    <row r="10337">
      <c r="A10337" s="17"/>
      <c r="H10337" s="18"/>
      <c r="K10337" s="18" t="s">
        <v>316</v>
      </c>
    </row>
    <row r="10338">
      <c r="A10338" s="17"/>
      <c r="H10338" s="18"/>
      <c r="K10338" s="18" t="s">
        <v>316</v>
      </c>
    </row>
    <row r="10339">
      <c r="A10339" s="17"/>
      <c r="H10339" s="18"/>
      <c r="K10339" s="18" t="s">
        <v>316</v>
      </c>
    </row>
    <row r="10340">
      <c r="A10340" s="17"/>
      <c r="H10340" s="18"/>
      <c r="K10340" s="18" t="s">
        <v>316</v>
      </c>
    </row>
    <row r="10341">
      <c r="A10341" s="17"/>
      <c r="H10341" s="18"/>
      <c r="K10341" s="18" t="s">
        <v>316</v>
      </c>
    </row>
    <row r="10342">
      <c r="A10342" s="17"/>
      <c r="H10342" s="18"/>
      <c r="K10342" s="18" t="s">
        <v>316</v>
      </c>
    </row>
    <row r="10343">
      <c r="A10343" s="17"/>
      <c r="H10343" s="18"/>
      <c r="K10343" s="18" t="s">
        <v>316</v>
      </c>
    </row>
    <row r="10344">
      <c r="A10344" s="17"/>
      <c r="H10344" s="18"/>
      <c r="K10344" s="18" t="s">
        <v>316</v>
      </c>
    </row>
    <row r="10345">
      <c r="A10345" s="17"/>
      <c r="H10345" s="18"/>
      <c r="K10345" s="18" t="s">
        <v>316</v>
      </c>
    </row>
    <row r="10346">
      <c r="A10346" s="17"/>
      <c r="H10346" s="18"/>
      <c r="K10346" s="18" t="s">
        <v>316</v>
      </c>
    </row>
    <row r="10347">
      <c r="A10347" s="17"/>
      <c r="H10347" s="18"/>
      <c r="K10347" s="18" t="s">
        <v>316</v>
      </c>
    </row>
    <row r="10348">
      <c r="A10348" s="17"/>
      <c r="H10348" s="18"/>
      <c r="K10348" s="18" t="s">
        <v>316</v>
      </c>
    </row>
    <row r="10349">
      <c r="A10349" s="17"/>
      <c r="H10349" s="18"/>
      <c r="K10349" s="18" t="s">
        <v>316</v>
      </c>
    </row>
    <row r="10350">
      <c r="A10350" s="17"/>
      <c r="H10350" s="18"/>
      <c r="K10350" s="18" t="s">
        <v>316</v>
      </c>
    </row>
    <row r="10351">
      <c r="A10351" s="17"/>
      <c r="H10351" s="18"/>
      <c r="K10351" s="18" t="s">
        <v>316</v>
      </c>
    </row>
    <row r="10352">
      <c r="A10352" s="17"/>
      <c r="H10352" s="18"/>
      <c r="K10352" s="18" t="s">
        <v>316</v>
      </c>
    </row>
    <row r="10353">
      <c r="A10353" s="17"/>
      <c r="H10353" s="18"/>
      <c r="K10353" s="18" t="s">
        <v>316</v>
      </c>
    </row>
    <row r="10354">
      <c r="A10354" s="17"/>
      <c r="H10354" s="18"/>
      <c r="K10354" s="18" t="s">
        <v>316</v>
      </c>
    </row>
    <row r="10355">
      <c r="A10355" s="17"/>
      <c r="H10355" s="18"/>
      <c r="K10355" s="18" t="s">
        <v>316</v>
      </c>
    </row>
    <row r="10356">
      <c r="A10356" s="17"/>
      <c r="H10356" s="18"/>
      <c r="K10356" s="18" t="s">
        <v>316</v>
      </c>
    </row>
    <row r="10357">
      <c r="A10357" s="17"/>
      <c r="H10357" s="18"/>
      <c r="K10357" s="18" t="s">
        <v>316</v>
      </c>
    </row>
    <row r="10358">
      <c r="A10358" s="17"/>
      <c r="H10358" s="18"/>
      <c r="K10358" s="18" t="s">
        <v>316</v>
      </c>
    </row>
    <row r="10359">
      <c r="A10359" s="17"/>
      <c r="H10359" s="18"/>
      <c r="K10359" s="18" t="s">
        <v>316</v>
      </c>
    </row>
    <row r="10360">
      <c r="A10360" s="17"/>
      <c r="H10360" s="18"/>
      <c r="K10360" s="18" t="s">
        <v>316</v>
      </c>
    </row>
    <row r="10361">
      <c r="A10361" s="17"/>
      <c r="H10361" s="18"/>
      <c r="K10361" s="18" t="s">
        <v>316</v>
      </c>
    </row>
    <row r="10362">
      <c r="A10362" s="17"/>
      <c r="H10362" s="18"/>
      <c r="K10362" s="18" t="s">
        <v>316</v>
      </c>
    </row>
    <row r="10363">
      <c r="A10363" s="17"/>
      <c r="H10363" s="18"/>
      <c r="K10363" s="18" t="s">
        <v>316</v>
      </c>
    </row>
    <row r="10364">
      <c r="A10364" s="17"/>
      <c r="H10364" s="18"/>
      <c r="K10364" s="18" t="s">
        <v>316</v>
      </c>
    </row>
    <row r="10365">
      <c r="A10365" s="17"/>
      <c r="H10365" s="18"/>
      <c r="K10365" s="18" t="s">
        <v>316</v>
      </c>
    </row>
    <row r="10366">
      <c r="A10366" s="17"/>
      <c r="H10366" s="18"/>
      <c r="K10366" s="18" t="s">
        <v>316</v>
      </c>
    </row>
    <row r="10367">
      <c r="A10367" s="17"/>
      <c r="H10367" s="18"/>
      <c r="K10367" s="18" t="s">
        <v>316</v>
      </c>
    </row>
    <row r="10368">
      <c r="A10368" s="17"/>
      <c r="H10368" s="18"/>
      <c r="K10368" s="18" t="s">
        <v>316</v>
      </c>
    </row>
    <row r="10369">
      <c r="A10369" s="17"/>
      <c r="H10369" s="18"/>
      <c r="K10369" s="18" t="s">
        <v>316</v>
      </c>
    </row>
    <row r="10370">
      <c r="A10370" s="17"/>
      <c r="H10370" s="18"/>
      <c r="K10370" s="18" t="s">
        <v>316</v>
      </c>
    </row>
    <row r="10371">
      <c r="A10371" s="17"/>
      <c r="H10371" s="18"/>
      <c r="K10371" s="18" t="s">
        <v>316</v>
      </c>
    </row>
    <row r="10372">
      <c r="A10372" s="17"/>
      <c r="H10372" s="18"/>
      <c r="K10372" s="18" t="s">
        <v>316</v>
      </c>
    </row>
    <row r="10373">
      <c r="A10373" s="17"/>
      <c r="H10373" s="18"/>
      <c r="K10373" s="18" t="s">
        <v>316</v>
      </c>
    </row>
    <row r="10374">
      <c r="A10374" s="17"/>
      <c r="H10374" s="18"/>
      <c r="K10374" s="18" t="s">
        <v>316</v>
      </c>
    </row>
    <row r="10375">
      <c r="A10375" s="17"/>
      <c r="H10375" s="18"/>
      <c r="K10375" s="18" t="s">
        <v>316</v>
      </c>
    </row>
    <row r="10376">
      <c r="A10376" s="17"/>
      <c r="H10376" s="18"/>
      <c r="K10376" s="18" t="s">
        <v>316</v>
      </c>
    </row>
    <row r="10377">
      <c r="A10377" s="17"/>
      <c r="H10377" s="18"/>
      <c r="K10377" s="18" t="s">
        <v>316</v>
      </c>
    </row>
    <row r="10378">
      <c r="A10378" s="17"/>
      <c r="H10378" s="18"/>
      <c r="K10378" s="18" t="s">
        <v>316</v>
      </c>
    </row>
    <row r="10379">
      <c r="A10379" s="17"/>
      <c r="H10379" s="18"/>
      <c r="K10379" s="18" t="s">
        <v>316</v>
      </c>
    </row>
    <row r="10380">
      <c r="A10380" s="17"/>
      <c r="H10380" s="18"/>
      <c r="K10380" s="18" t="s">
        <v>316</v>
      </c>
    </row>
    <row r="10381">
      <c r="A10381" s="17"/>
      <c r="H10381" s="18"/>
      <c r="K10381" s="18" t="s">
        <v>316</v>
      </c>
    </row>
    <row r="10382">
      <c r="A10382" s="17"/>
      <c r="H10382" s="18"/>
      <c r="K10382" s="18" t="s">
        <v>316</v>
      </c>
    </row>
    <row r="10383">
      <c r="A10383" s="17"/>
      <c r="H10383" s="18"/>
      <c r="K10383" s="18" t="s">
        <v>316</v>
      </c>
    </row>
    <row r="10384">
      <c r="A10384" s="17"/>
      <c r="H10384" s="18"/>
      <c r="K10384" s="18" t="s">
        <v>316</v>
      </c>
    </row>
    <row r="10385">
      <c r="A10385" s="17"/>
      <c r="H10385" s="18"/>
      <c r="K10385" s="18" t="s">
        <v>316</v>
      </c>
    </row>
    <row r="10386">
      <c r="A10386" s="17"/>
      <c r="H10386" s="18"/>
      <c r="K10386" s="18" t="s">
        <v>316</v>
      </c>
    </row>
    <row r="10387">
      <c r="A10387" s="17"/>
      <c r="H10387" s="18"/>
      <c r="K10387" s="18" t="s">
        <v>316</v>
      </c>
    </row>
    <row r="10388">
      <c r="A10388" s="17"/>
      <c r="H10388" s="18"/>
      <c r="K10388" s="18" t="s">
        <v>316</v>
      </c>
    </row>
    <row r="10389">
      <c r="A10389" s="17"/>
      <c r="H10389" s="18"/>
      <c r="K10389" s="18" t="s">
        <v>316</v>
      </c>
    </row>
    <row r="10390">
      <c r="A10390" s="17"/>
      <c r="H10390" s="18"/>
      <c r="K10390" s="18" t="s">
        <v>316</v>
      </c>
    </row>
    <row r="10391">
      <c r="A10391" s="17"/>
      <c r="H10391" s="18"/>
      <c r="K10391" s="18" t="s">
        <v>316</v>
      </c>
    </row>
    <row r="10392">
      <c r="A10392" s="17"/>
      <c r="H10392" s="18"/>
      <c r="K10392" s="18" t="s">
        <v>316</v>
      </c>
    </row>
    <row r="10393">
      <c r="A10393" s="17"/>
      <c r="H10393" s="18"/>
      <c r="K10393" s="18" t="s">
        <v>316</v>
      </c>
    </row>
    <row r="10394">
      <c r="A10394" s="17"/>
      <c r="H10394" s="18"/>
      <c r="K10394" s="18" t="s">
        <v>316</v>
      </c>
    </row>
    <row r="10395">
      <c r="A10395" s="17"/>
      <c r="H10395" s="18"/>
      <c r="K10395" s="18" t="s">
        <v>316</v>
      </c>
    </row>
    <row r="10396">
      <c r="A10396" s="17"/>
      <c r="H10396" s="18"/>
      <c r="K10396" s="18" t="s">
        <v>316</v>
      </c>
    </row>
    <row r="10397">
      <c r="A10397" s="17"/>
      <c r="H10397" s="18"/>
      <c r="K10397" s="18" t="s">
        <v>316</v>
      </c>
    </row>
    <row r="10398">
      <c r="A10398" s="17"/>
      <c r="H10398" s="18"/>
      <c r="K10398" s="18" t="s">
        <v>316</v>
      </c>
    </row>
    <row r="10399">
      <c r="A10399" s="17"/>
      <c r="H10399" s="18"/>
      <c r="K10399" s="18" t="s">
        <v>316</v>
      </c>
    </row>
    <row r="10400">
      <c r="A10400" s="17"/>
      <c r="H10400" s="18"/>
      <c r="K10400" s="18" t="s">
        <v>316</v>
      </c>
    </row>
    <row r="10401">
      <c r="A10401" s="17"/>
      <c r="H10401" s="18"/>
      <c r="K10401" s="18" t="s">
        <v>316</v>
      </c>
    </row>
    <row r="10402">
      <c r="A10402" s="17"/>
      <c r="H10402" s="18"/>
      <c r="K10402" s="18" t="s">
        <v>316</v>
      </c>
    </row>
    <row r="10403">
      <c r="A10403" s="17"/>
      <c r="H10403" s="18"/>
      <c r="K10403" s="18" t="s">
        <v>316</v>
      </c>
    </row>
    <row r="10404">
      <c r="A10404" s="17"/>
      <c r="H10404" s="18"/>
      <c r="K10404" s="18" t="s">
        <v>316</v>
      </c>
    </row>
    <row r="10405">
      <c r="A10405" s="17"/>
      <c r="H10405" s="18"/>
      <c r="K10405" s="18" t="s">
        <v>316</v>
      </c>
    </row>
    <row r="10406">
      <c r="A10406" s="17"/>
      <c r="H10406" s="18"/>
      <c r="K10406" s="18" t="s">
        <v>316</v>
      </c>
    </row>
    <row r="10407">
      <c r="A10407" s="17"/>
      <c r="H10407" s="18"/>
      <c r="K10407" s="18" t="s">
        <v>316</v>
      </c>
    </row>
    <row r="10408">
      <c r="A10408" s="17"/>
      <c r="H10408" s="18"/>
      <c r="K10408" s="18" t="s">
        <v>316</v>
      </c>
    </row>
    <row r="10409">
      <c r="A10409" s="17"/>
      <c r="H10409" s="18"/>
      <c r="K10409" s="18" t="s">
        <v>316</v>
      </c>
    </row>
    <row r="10410">
      <c r="A10410" s="17"/>
      <c r="H10410" s="18"/>
      <c r="K10410" s="18" t="s">
        <v>316</v>
      </c>
    </row>
    <row r="10411">
      <c r="A10411" s="17"/>
      <c r="H10411" s="18"/>
      <c r="K10411" s="18" t="s">
        <v>316</v>
      </c>
    </row>
    <row r="10412">
      <c r="A10412" s="17"/>
      <c r="H10412" s="18"/>
      <c r="K10412" s="18" t="s">
        <v>316</v>
      </c>
    </row>
    <row r="10413">
      <c r="A10413" s="17"/>
      <c r="H10413" s="18"/>
      <c r="K10413" s="18" t="s">
        <v>316</v>
      </c>
    </row>
    <row r="10414">
      <c r="A10414" s="17"/>
      <c r="H10414" s="18"/>
      <c r="K10414" s="18" t="s">
        <v>316</v>
      </c>
    </row>
    <row r="10415">
      <c r="A10415" s="17"/>
      <c r="H10415" s="18"/>
      <c r="K10415" s="18" t="s">
        <v>316</v>
      </c>
    </row>
    <row r="10416">
      <c r="A10416" s="17"/>
      <c r="H10416" s="18"/>
      <c r="K10416" s="18" t="s">
        <v>316</v>
      </c>
    </row>
    <row r="10417">
      <c r="A10417" s="17"/>
      <c r="H10417" s="18"/>
      <c r="K10417" s="18" t="s">
        <v>316</v>
      </c>
    </row>
    <row r="10418">
      <c r="A10418" s="17"/>
      <c r="H10418" s="18"/>
      <c r="K10418" s="18" t="s">
        <v>316</v>
      </c>
    </row>
    <row r="10419">
      <c r="A10419" s="17"/>
      <c r="H10419" s="18"/>
      <c r="K10419" s="18" t="s">
        <v>316</v>
      </c>
    </row>
    <row r="10420">
      <c r="A10420" s="17"/>
      <c r="H10420" s="18"/>
      <c r="K10420" s="18" t="s">
        <v>316</v>
      </c>
    </row>
    <row r="10421">
      <c r="A10421" s="17"/>
      <c r="H10421" s="18"/>
      <c r="K10421" s="18" t="s">
        <v>316</v>
      </c>
    </row>
    <row r="10422">
      <c r="A10422" s="17"/>
      <c r="H10422" s="18"/>
      <c r="K10422" s="18" t="s">
        <v>316</v>
      </c>
    </row>
    <row r="10423">
      <c r="A10423" s="17"/>
      <c r="H10423" s="18"/>
      <c r="K10423" s="18" t="s">
        <v>316</v>
      </c>
    </row>
    <row r="10424">
      <c r="A10424" s="17"/>
      <c r="H10424" s="18"/>
      <c r="K10424" s="18" t="s">
        <v>316</v>
      </c>
    </row>
    <row r="10425">
      <c r="A10425" s="17"/>
      <c r="H10425" s="18"/>
      <c r="K10425" s="18" t="s">
        <v>316</v>
      </c>
    </row>
    <row r="10426">
      <c r="A10426" s="17"/>
      <c r="H10426" s="18"/>
      <c r="K10426" s="18" t="s">
        <v>316</v>
      </c>
    </row>
    <row r="10427">
      <c r="A10427" s="17"/>
      <c r="H10427" s="18"/>
      <c r="K10427" s="18" t="s">
        <v>316</v>
      </c>
    </row>
    <row r="10428">
      <c r="A10428" s="17"/>
      <c r="H10428" s="18"/>
      <c r="K10428" s="18" t="s">
        <v>316</v>
      </c>
    </row>
    <row r="10429">
      <c r="A10429" s="17"/>
      <c r="H10429" s="18"/>
      <c r="K10429" s="18" t="s">
        <v>316</v>
      </c>
    </row>
    <row r="10430">
      <c r="A10430" s="17"/>
      <c r="H10430" s="18"/>
      <c r="K10430" s="18" t="s">
        <v>316</v>
      </c>
    </row>
    <row r="10431">
      <c r="A10431" s="17"/>
      <c r="H10431" s="18"/>
      <c r="K10431" s="18" t="s">
        <v>316</v>
      </c>
    </row>
    <row r="10432">
      <c r="A10432" s="17"/>
      <c r="H10432" s="18"/>
      <c r="K10432" s="18" t="s">
        <v>316</v>
      </c>
    </row>
    <row r="10433">
      <c r="A10433" s="17"/>
      <c r="H10433" s="18"/>
      <c r="K10433" s="18" t="s">
        <v>316</v>
      </c>
    </row>
    <row r="10434">
      <c r="A10434" s="17"/>
      <c r="H10434" s="18"/>
      <c r="K10434" s="18" t="s">
        <v>316</v>
      </c>
    </row>
    <row r="10435">
      <c r="A10435" s="17"/>
      <c r="H10435" s="18"/>
      <c r="K10435" s="18" t="s">
        <v>316</v>
      </c>
    </row>
    <row r="10436">
      <c r="A10436" s="17"/>
      <c r="H10436" s="18"/>
      <c r="K10436" s="18" t="s">
        <v>316</v>
      </c>
    </row>
    <row r="10437">
      <c r="A10437" s="17"/>
      <c r="H10437" s="18"/>
      <c r="K10437" s="18" t="s">
        <v>316</v>
      </c>
    </row>
    <row r="10438">
      <c r="A10438" s="17"/>
      <c r="H10438" s="18"/>
      <c r="K10438" s="18" t="s">
        <v>316</v>
      </c>
    </row>
    <row r="10439">
      <c r="A10439" s="17"/>
      <c r="H10439" s="18"/>
      <c r="K10439" s="18" t="s">
        <v>316</v>
      </c>
    </row>
    <row r="10440">
      <c r="A10440" s="17"/>
      <c r="H10440" s="18"/>
      <c r="K10440" s="18" t="s">
        <v>316</v>
      </c>
    </row>
    <row r="10441">
      <c r="A10441" s="17"/>
      <c r="H10441" s="18"/>
      <c r="K10441" s="18" t="s">
        <v>316</v>
      </c>
    </row>
    <row r="10442">
      <c r="A10442" s="17"/>
      <c r="H10442" s="18"/>
      <c r="K10442" s="18" t="s">
        <v>316</v>
      </c>
    </row>
    <row r="10443">
      <c r="A10443" s="17"/>
      <c r="H10443" s="18"/>
      <c r="K10443" s="18" t="s">
        <v>316</v>
      </c>
    </row>
    <row r="10444">
      <c r="A10444" s="17"/>
      <c r="H10444" s="18"/>
      <c r="K10444" s="18" t="s">
        <v>316</v>
      </c>
    </row>
    <row r="10445">
      <c r="A10445" s="17"/>
      <c r="H10445" s="18"/>
      <c r="K10445" s="18" t="s">
        <v>316</v>
      </c>
    </row>
    <row r="10446">
      <c r="A10446" s="17"/>
      <c r="H10446" s="18"/>
      <c r="K10446" s="18" t="s">
        <v>316</v>
      </c>
    </row>
    <row r="10447">
      <c r="A10447" s="17"/>
      <c r="H10447" s="18"/>
      <c r="K10447" s="18" t="s">
        <v>316</v>
      </c>
    </row>
    <row r="10448">
      <c r="A10448" s="17"/>
      <c r="H10448" s="18"/>
      <c r="K10448" s="18" t="s">
        <v>316</v>
      </c>
    </row>
    <row r="10449">
      <c r="A10449" s="17"/>
      <c r="H10449" s="18"/>
      <c r="K10449" s="18" t="s">
        <v>316</v>
      </c>
    </row>
    <row r="10450">
      <c r="A10450" s="17"/>
      <c r="H10450" s="18"/>
      <c r="K10450" s="18" t="s">
        <v>316</v>
      </c>
    </row>
    <row r="10451">
      <c r="A10451" s="17"/>
      <c r="H10451" s="18"/>
      <c r="K10451" s="18" t="s">
        <v>316</v>
      </c>
    </row>
    <row r="10452">
      <c r="A10452" s="17"/>
      <c r="H10452" s="18"/>
      <c r="K10452" s="18" t="s">
        <v>316</v>
      </c>
    </row>
    <row r="10453">
      <c r="A10453" s="17"/>
      <c r="H10453" s="18"/>
      <c r="K10453" s="18" t="s">
        <v>316</v>
      </c>
    </row>
    <row r="10454">
      <c r="A10454" s="17"/>
      <c r="H10454" s="18"/>
      <c r="K10454" s="18" t="s">
        <v>316</v>
      </c>
    </row>
    <row r="10455">
      <c r="A10455" s="17"/>
      <c r="H10455" s="18"/>
      <c r="K10455" s="18" t="s">
        <v>316</v>
      </c>
    </row>
    <row r="10456">
      <c r="A10456" s="17"/>
      <c r="H10456" s="18"/>
      <c r="K10456" s="18" t="s">
        <v>316</v>
      </c>
    </row>
    <row r="10457">
      <c r="A10457" s="17"/>
      <c r="H10457" s="18"/>
      <c r="K10457" s="18" t="s">
        <v>316</v>
      </c>
    </row>
    <row r="10458">
      <c r="A10458" s="17"/>
      <c r="H10458" s="18"/>
      <c r="K10458" s="18" t="s">
        <v>316</v>
      </c>
    </row>
    <row r="10459">
      <c r="A10459" s="17"/>
      <c r="H10459" s="18"/>
      <c r="K10459" s="18" t="s">
        <v>316</v>
      </c>
    </row>
    <row r="10460">
      <c r="A10460" s="17"/>
      <c r="H10460" s="18"/>
      <c r="K10460" s="18" t="s">
        <v>316</v>
      </c>
    </row>
    <row r="10461">
      <c r="A10461" s="17"/>
      <c r="H10461" s="18"/>
      <c r="K10461" s="18" t="s">
        <v>316</v>
      </c>
    </row>
    <row r="10462">
      <c r="A10462" s="17"/>
      <c r="H10462" s="18"/>
      <c r="K10462" s="18" t="s">
        <v>316</v>
      </c>
    </row>
    <row r="10463">
      <c r="A10463" s="17"/>
      <c r="H10463" s="18"/>
      <c r="K10463" s="18" t="s">
        <v>316</v>
      </c>
    </row>
    <row r="10464">
      <c r="A10464" s="17"/>
      <c r="H10464" s="18"/>
      <c r="K10464" s="18" t="s">
        <v>316</v>
      </c>
    </row>
    <row r="10465">
      <c r="A10465" s="17"/>
      <c r="H10465" s="18"/>
      <c r="K10465" s="18" t="s">
        <v>316</v>
      </c>
    </row>
    <row r="10466">
      <c r="A10466" s="17"/>
      <c r="H10466" s="18"/>
      <c r="K10466" s="18" t="s">
        <v>316</v>
      </c>
    </row>
    <row r="10467">
      <c r="A10467" s="17"/>
      <c r="H10467" s="18"/>
      <c r="K10467" s="18" t="s">
        <v>316</v>
      </c>
    </row>
    <row r="10468">
      <c r="A10468" s="17"/>
      <c r="H10468" s="18"/>
      <c r="K10468" s="18" t="s">
        <v>316</v>
      </c>
    </row>
    <row r="10469">
      <c r="A10469" s="17"/>
      <c r="H10469" s="18"/>
      <c r="K10469" s="18" t="s">
        <v>316</v>
      </c>
    </row>
    <row r="10470">
      <c r="A10470" s="17"/>
      <c r="H10470" s="18"/>
      <c r="K10470" s="18" t="s">
        <v>316</v>
      </c>
    </row>
    <row r="10471">
      <c r="A10471" s="17"/>
      <c r="H10471" s="18"/>
      <c r="K10471" s="18" t="s">
        <v>316</v>
      </c>
    </row>
    <row r="10472">
      <c r="A10472" s="17"/>
      <c r="H10472" s="18"/>
      <c r="K10472" s="18" t="s">
        <v>316</v>
      </c>
    </row>
    <row r="10473">
      <c r="A10473" s="17"/>
      <c r="H10473" s="18"/>
      <c r="K10473" s="18" t="s">
        <v>316</v>
      </c>
    </row>
    <row r="10474">
      <c r="A10474" s="17"/>
      <c r="H10474" s="18"/>
      <c r="K10474" s="18" t="s">
        <v>316</v>
      </c>
    </row>
    <row r="10475">
      <c r="A10475" s="17"/>
      <c r="H10475" s="18"/>
      <c r="K10475" s="18" t="s">
        <v>316</v>
      </c>
    </row>
    <row r="10476">
      <c r="A10476" s="17"/>
      <c r="H10476" s="18"/>
      <c r="K10476" s="18" t="s">
        <v>316</v>
      </c>
    </row>
    <row r="10477">
      <c r="A10477" s="17"/>
      <c r="H10477" s="18"/>
      <c r="K10477" s="18" t="s">
        <v>316</v>
      </c>
    </row>
    <row r="10478">
      <c r="A10478" s="17"/>
      <c r="H10478" s="18"/>
      <c r="K10478" s="18" t="s">
        <v>316</v>
      </c>
    </row>
    <row r="10479">
      <c r="A10479" s="17"/>
      <c r="H10479" s="18"/>
      <c r="K10479" s="18" t="s">
        <v>316</v>
      </c>
    </row>
    <row r="10480">
      <c r="A10480" s="17"/>
      <c r="H10480" s="18"/>
      <c r="K10480" s="18" t="s">
        <v>316</v>
      </c>
    </row>
    <row r="10481">
      <c r="A10481" s="17"/>
      <c r="H10481" s="18"/>
      <c r="K10481" s="18" t="s">
        <v>316</v>
      </c>
    </row>
    <row r="10482">
      <c r="A10482" s="17"/>
      <c r="H10482" s="18"/>
      <c r="K10482" s="18" t="s">
        <v>316</v>
      </c>
    </row>
    <row r="10483">
      <c r="A10483" s="17"/>
      <c r="H10483" s="18"/>
      <c r="K10483" s="18" t="s">
        <v>316</v>
      </c>
    </row>
    <row r="10484">
      <c r="A10484" s="17"/>
      <c r="H10484" s="18"/>
      <c r="K10484" s="18" t="s">
        <v>316</v>
      </c>
    </row>
    <row r="10485">
      <c r="A10485" s="17"/>
      <c r="H10485" s="18"/>
      <c r="K10485" s="18" t="s">
        <v>316</v>
      </c>
    </row>
    <row r="10486">
      <c r="A10486" s="17"/>
      <c r="H10486" s="18"/>
      <c r="K10486" s="18" t="s">
        <v>316</v>
      </c>
    </row>
    <row r="10487">
      <c r="A10487" s="17"/>
      <c r="H10487" s="18"/>
      <c r="K10487" s="18" t="s">
        <v>316</v>
      </c>
    </row>
    <row r="10488">
      <c r="A10488" s="17"/>
      <c r="H10488" s="18"/>
      <c r="K10488" s="18" t="s">
        <v>316</v>
      </c>
    </row>
    <row r="10489">
      <c r="A10489" s="17"/>
      <c r="H10489" s="18"/>
      <c r="K10489" s="18" t="s">
        <v>316</v>
      </c>
    </row>
    <row r="10490">
      <c r="A10490" s="17"/>
      <c r="H10490" s="18"/>
      <c r="K10490" s="18" t="s">
        <v>316</v>
      </c>
    </row>
    <row r="10491">
      <c r="A10491" s="17"/>
      <c r="H10491" s="18"/>
      <c r="K10491" s="18" t="s">
        <v>316</v>
      </c>
    </row>
    <row r="10492">
      <c r="A10492" s="17"/>
      <c r="H10492" s="18"/>
      <c r="K10492" s="18" t="s">
        <v>316</v>
      </c>
    </row>
    <row r="10493">
      <c r="A10493" s="17"/>
      <c r="H10493" s="18"/>
      <c r="K10493" s="18" t="s">
        <v>316</v>
      </c>
    </row>
    <row r="10494">
      <c r="A10494" s="17"/>
      <c r="H10494" s="18"/>
      <c r="K10494" s="18" t="s">
        <v>316</v>
      </c>
    </row>
    <row r="10495">
      <c r="A10495" s="17"/>
      <c r="H10495" s="18"/>
      <c r="K10495" s="18" t="s">
        <v>316</v>
      </c>
    </row>
    <row r="10496">
      <c r="A10496" s="17"/>
      <c r="H10496" s="18"/>
      <c r="K10496" s="18" t="s">
        <v>316</v>
      </c>
    </row>
    <row r="10497">
      <c r="A10497" s="17"/>
      <c r="H10497" s="18"/>
      <c r="K10497" s="18" t="s">
        <v>316</v>
      </c>
    </row>
    <row r="10498">
      <c r="A10498" s="17"/>
      <c r="H10498" s="18"/>
      <c r="K10498" s="18" t="s">
        <v>316</v>
      </c>
    </row>
    <row r="10499">
      <c r="A10499" s="17"/>
      <c r="H10499" s="18"/>
      <c r="K10499" s="18" t="s">
        <v>316</v>
      </c>
    </row>
    <row r="10500">
      <c r="A10500" s="17"/>
      <c r="H10500" s="18"/>
      <c r="K10500" s="18" t="s">
        <v>316</v>
      </c>
    </row>
    <row r="10501">
      <c r="A10501" s="17"/>
      <c r="H10501" s="18"/>
      <c r="K10501" s="18" t="s">
        <v>316</v>
      </c>
    </row>
    <row r="10502">
      <c r="A10502" s="17"/>
      <c r="H10502" s="18"/>
      <c r="K10502" s="18" t="s">
        <v>316</v>
      </c>
    </row>
    <row r="10503">
      <c r="A10503" s="17"/>
      <c r="H10503" s="18"/>
      <c r="K10503" s="18" t="s">
        <v>316</v>
      </c>
    </row>
    <row r="10504">
      <c r="A10504" s="17"/>
      <c r="H10504" s="18"/>
      <c r="K10504" s="18" t="s">
        <v>316</v>
      </c>
    </row>
    <row r="10505">
      <c r="A10505" s="17"/>
      <c r="H10505" s="18"/>
      <c r="K10505" s="18" t="s">
        <v>316</v>
      </c>
    </row>
    <row r="10506">
      <c r="A10506" s="17"/>
      <c r="H10506" s="18"/>
      <c r="K10506" s="18" t="s">
        <v>316</v>
      </c>
    </row>
    <row r="10507">
      <c r="A10507" s="17"/>
      <c r="H10507" s="18"/>
      <c r="K10507" s="18" t="s">
        <v>316</v>
      </c>
    </row>
    <row r="10508">
      <c r="A10508" s="17"/>
      <c r="H10508" s="18"/>
      <c r="K10508" s="18" t="s">
        <v>316</v>
      </c>
    </row>
    <row r="10509">
      <c r="A10509" s="17"/>
      <c r="H10509" s="18"/>
      <c r="K10509" s="18" t="s">
        <v>316</v>
      </c>
    </row>
    <row r="10510">
      <c r="A10510" s="17"/>
      <c r="H10510" s="18"/>
      <c r="K10510" s="18" t="s">
        <v>316</v>
      </c>
    </row>
    <row r="10511">
      <c r="A10511" s="17"/>
      <c r="H10511" s="18"/>
      <c r="K10511" s="18" t="s">
        <v>316</v>
      </c>
    </row>
    <row r="10512">
      <c r="A10512" s="17"/>
      <c r="H10512" s="18"/>
      <c r="K10512" s="18" t="s">
        <v>316</v>
      </c>
    </row>
    <row r="10513">
      <c r="A10513" s="17"/>
      <c r="H10513" s="18"/>
      <c r="K10513" s="18" t="s">
        <v>316</v>
      </c>
    </row>
    <row r="10514">
      <c r="A10514" s="17"/>
      <c r="H10514" s="18"/>
      <c r="K10514" s="18" t="s">
        <v>316</v>
      </c>
    </row>
    <row r="10515">
      <c r="A10515" s="17"/>
      <c r="H10515" s="18"/>
      <c r="K10515" s="18" t="s">
        <v>316</v>
      </c>
    </row>
    <row r="10516">
      <c r="A10516" s="17"/>
      <c r="H10516" s="18"/>
      <c r="K10516" s="18" t="s">
        <v>316</v>
      </c>
    </row>
    <row r="10517">
      <c r="A10517" s="17"/>
      <c r="H10517" s="18"/>
      <c r="K10517" s="18" t="s">
        <v>316</v>
      </c>
    </row>
    <row r="10518">
      <c r="A10518" s="17"/>
      <c r="H10518" s="18"/>
      <c r="K10518" s="18" t="s">
        <v>316</v>
      </c>
    </row>
    <row r="10519">
      <c r="A10519" s="17"/>
      <c r="H10519" s="18"/>
      <c r="K10519" s="18" t="s">
        <v>316</v>
      </c>
    </row>
    <row r="10520">
      <c r="A10520" s="17"/>
      <c r="H10520" s="18"/>
      <c r="K10520" s="18" t="s">
        <v>316</v>
      </c>
    </row>
    <row r="10521">
      <c r="A10521" s="17"/>
      <c r="H10521" s="18"/>
      <c r="K10521" s="18" t="s">
        <v>316</v>
      </c>
    </row>
    <row r="10522">
      <c r="A10522" s="17"/>
      <c r="H10522" s="18"/>
      <c r="K10522" s="18" t="s">
        <v>316</v>
      </c>
    </row>
    <row r="10523">
      <c r="A10523" s="17"/>
      <c r="H10523" s="18"/>
      <c r="K10523" s="18" t="s">
        <v>316</v>
      </c>
    </row>
    <row r="10524">
      <c r="A10524" s="17"/>
      <c r="H10524" s="18"/>
      <c r="K10524" s="18" t="s">
        <v>316</v>
      </c>
    </row>
    <row r="10525">
      <c r="A10525" s="17"/>
      <c r="H10525" s="18"/>
      <c r="K10525" s="18" t="s">
        <v>316</v>
      </c>
    </row>
    <row r="10526">
      <c r="A10526" s="17"/>
      <c r="H10526" s="18"/>
      <c r="K10526" s="18" t="s">
        <v>316</v>
      </c>
    </row>
    <row r="10527">
      <c r="A10527" s="17"/>
      <c r="H10527" s="18"/>
      <c r="K10527" s="18" t="s">
        <v>316</v>
      </c>
    </row>
    <row r="10528">
      <c r="A10528" s="17"/>
      <c r="H10528" s="18"/>
      <c r="K10528" s="18" t="s">
        <v>316</v>
      </c>
    </row>
    <row r="10529">
      <c r="A10529" s="17"/>
      <c r="H10529" s="18"/>
      <c r="K10529" s="18" t="s">
        <v>316</v>
      </c>
    </row>
    <row r="10530">
      <c r="A10530" s="17"/>
      <c r="H10530" s="18"/>
      <c r="K10530" s="18" t="s">
        <v>316</v>
      </c>
    </row>
    <row r="10531">
      <c r="A10531" s="17"/>
      <c r="H10531" s="18"/>
      <c r="K10531" s="18" t="s">
        <v>316</v>
      </c>
    </row>
    <row r="10532">
      <c r="A10532" s="17"/>
      <c r="H10532" s="18"/>
      <c r="K10532" s="18" t="s">
        <v>316</v>
      </c>
    </row>
    <row r="10533">
      <c r="A10533" s="17"/>
      <c r="H10533" s="18"/>
      <c r="K10533" s="18" t="s">
        <v>316</v>
      </c>
    </row>
    <row r="10534">
      <c r="A10534" s="17"/>
      <c r="H10534" s="18"/>
      <c r="K10534" s="18" t="s">
        <v>316</v>
      </c>
    </row>
    <row r="10535">
      <c r="A10535" s="17"/>
      <c r="H10535" s="18"/>
      <c r="K10535" s="18" t="s">
        <v>316</v>
      </c>
    </row>
    <row r="10536">
      <c r="A10536" s="17"/>
      <c r="H10536" s="18"/>
      <c r="K10536" s="18" t="s">
        <v>316</v>
      </c>
    </row>
    <row r="10537">
      <c r="A10537" s="17"/>
      <c r="H10537" s="18"/>
      <c r="K10537" s="18" t="s">
        <v>316</v>
      </c>
    </row>
    <row r="10538">
      <c r="A10538" s="17"/>
      <c r="H10538" s="18"/>
      <c r="K10538" s="18" t="s">
        <v>316</v>
      </c>
    </row>
    <row r="10539">
      <c r="A10539" s="17"/>
      <c r="H10539" s="18"/>
      <c r="K10539" s="18" t="s">
        <v>316</v>
      </c>
    </row>
    <row r="10540">
      <c r="A10540" s="17"/>
      <c r="H10540" s="18"/>
      <c r="K10540" s="18" t="s">
        <v>316</v>
      </c>
    </row>
    <row r="10541">
      <c r="A10541" s="17"/>
      <c r="H10541" s="18"/>
      <c r="K10541" s="18" t="s">
        <v>316</v>
      </c>
    </row>
    <row r="10542">
      <c r="A10542" s="17"/>
      <c r="H10542" s="18"/>
      <c r="K10542" s="18" t="s">
        <v>316</v>
      </c>
    </row>
    <row r="10543">
      <c r="A10543" s="17"/>
      <c r="H10543" s="18"/>
      <c r="K10543" s="18" t="s">
        <v>316</v>
      </c>
    </row>
    <row r="10544">
      <c r="A10544" s="17"/>
      <c r="H10544" s="18"/>
      <c r="K10544" s="18" t="s">
        <v>316</v>
      </c>
    </row>
    <row r="10545">
      <c r="A10545" s="17"/>
      <c r="H10545" s="18"/>
      <c r="K10545" s="18" t="s">
        <v>316</v>
      </c>
    </row>
    <row r="10546">
      <c r="A10546" s="17"/>
      <c r="H10546" s="18"/>
      <c r="K10546" s="18" t="s">
        <v>316</v>
      </c>
    </row>
    <row r="10547">
      <c r="A10547" s="17"/>
      <c r="H10547" s="18"/>
      <c r="K10547" s="18" t="s">
        <v>316</v>
      </c>
    </row>
    <row r="10548">
      <c r="A10548" s="17"/>
      <c r="H10548" s="18"/>
      <c r="K10548" s="18" t="s">
        <v>316</v>
      </c>
    </row>
    <row r="10549">
      <c r="A10549" s="17"/>
      <c r="H10549" s="18"/>
      <c r="K10549" s="18" t="s">
        <v>316</v>
      </c>
    </row>
    <row r="10550">
      <c r="A10550" s="17"/>
      <c r="H10550" s="18"/>
      <c r="K10550" s="18" t="s">
        <v>316</v>
      </c>
    </row>
    <row r="10551">
      <c r="A10551" s="17"/>
      <c r="H10551" s="18"/>
      <c r="K10551" s="18" t="s">
        <v>316</v>
      </c>
    </row>
    <row r="10552">
      <c r="A10552" s="17"/>
      <c r="H10552" s="18"/>
      <c r="K10552" s="18" t="s">
        <v>316</v>
      </c>
    </row>
    <row r="10553">
      <c r="A10553" s="17"/>
      <c r="H10553" s="18"/>
      <c r="K10553" s="18" t="s">
        <v>316</v>
      </c>
    </row>
    <row r="10554">
      <c r="A10554" s="17"/>
      <c r="H10554" s="18"/>
      <c r="K10554" s="18" t="s">
        <v>316</v>
      </c>
    </row>
    <row r="10555">
      <c r="A10555" s="17"/>
      <c r="H10555" s="18"/>
      <c r="K10555" s="18" t="s">
        <v>316</v>
      </c>
    </row>
    <row r="10556">
      <c r="A10556" s="17"/>
      <c r="H10556" s="18"/>
      <c r="K10556" s="18" t="s">
        <v>316</v>
      </c>
    </row>
    <row r="10557">
      <c r="A10557" s="17"/>
      <c r="H10557" s="18"/>
      <c r="K10557" s="18" t="s">
        <v>316</v>
      </c>
    </row>
    <row r="10558">
      <c r="A10558" s="17"/>
      <c r="H10558" s="18"/>
      <c r="K10558" s="18" t="s">
        <v>316</v>
      </c>
    </row>
    <row r="10559">
      <c r="A10559" s="17"/>
      <c r="H10559" s="18"/>
      <c r="K10559" s="18" t="s">
        <v>316</v>
      </c>
    </row>
    <row r="10560">
      <c r="A10560" s="17"/>
      <c r="H10560" s="18"/>
      <c r="K10560" s="18" t="s">
        <v>316</v>
      </c>
    </row>
    <row r="10561">
      <c r="A10561" s="17"/>
      <c r="H10561" s="18"/>
      <c r="K10561" s="18" t="s">
        <v>316</v>
      </c>
    </row>
    <row r="10562">
      <c r="A10562" s="17"/>
      <c r="H10562" s="18"/>
      <c r="K10562" s="18" t="s">
        <v>316</v>
      </c>
    </row>
    <row r="10563">
      <c r="A10563" s="17"/>
      <c r="H10563" s="18"/>
      <c r="K10563" s="18" t="s">
        <v>316</v>
      </c>
    </row>
    <row r="10564">
      <c r="A10564" s="17"/>
      <c r="H10564" s="18"/>
      <c r="K10564" s="18" t="s">
        <v>316</v>
      </c>
    </row>
    <row r="10565">
      <c r="A10565" s="17"/>
      <c r="H10565" s="18"/>
      <c r="K10565" s="18" t="s">
        <v>316</v>
      </c>
    </row>
    <row r="10566">
      <c r="A10566" s="17"/>
      <c r="H10566" s="18"/>
      <c r="K10566" s="18" t="s">
        <v>316</v>
      </c>
    </row>
    <row r="10567">
      <c r="A10567" s="17"/>
      <c r="H10567" s="18"/>
      <c r="K10567" s="18" t="s">
        <v>316</v>
      </c>
    </row>
    <row r="10568">
      <c r="A10568" s="17"/>
      <c r="H10568" s="18"/>
      <c r="K10568" s="18" t="s">
        <v>316</v>
      </c>
    </row>
    <row r="10569">
      <c r="A10569" s="17"/>
      <c r="H10569" s="18"/>
      <c r="K10569" s="18" t="s">
        <v>316</v>
      </c>
    </row>
    <row r="10570">
      <c r="A10570" s="17"/>
      <c r="H10570" s="18"/>
      <c r="K10570" s="18" t="s">
        <v>316</v>
      </c>
    </row>
    <row r="10571">
      <c r="A10571" s="17"/>
      <c r="H10571" s="18"/>
      <c r="K10571" s="18" t="s">
        <v>316</v>
      </c>
    </row>
    <row r="10572">
      <c r="A10572" s="17"/>
      <c r="H10572" s="18"/>
      <c r="K10572" s="18" t="s">
        <v>316</v>
      </c>
    </row>
    <row r="10573">
      <c r="A10573" s="17"/>
      <c r="H10573" s="18"/>
      <c r="K10573" s="18" t="s">
        <v>316</v>
      </c>
    </row>
    <row r="10574">
      <c r="A10574" s="17"/>
      <c r="H10574" s="18"/>
      <c r="K10574" s="18" t="s">
        <v>316</v>
      </c>
    </row>
    <row r="10575">
      <c r="A10575" s="17"/>
      <c r="H10575" s="18"/>
      <c r="K10575" s="18" t="s">
        <v>316</v>
      </c>
    </row>
    <row r="10576">
      <c r="A10576" s="17"/>
      <c r="H10576" s="18"/>
      <c r="K10576" s="18" t="s">
        <v>316</v>
      </c>
    </row>
    <row r="10577">
      <c r="A10577" s="17"/>
      <c r="H10577" s="18"/>
      <c r="K10577" s="18" t="s">
        <v>316</v>
      </c>
    </row>
    <row r="10578">
      <c r="A10578" s="17"/>
      <c r="H10578" s="18"/>
      <c r="K10578" s="18" t="s">
        <v>316</v>
      </c>
    </row>
    <row r="10579">
      <c r="A10579" s="17"/>
      <c r="H10579" s="18"/>
      <c r="K10579" s="18" t="s">
        <v>316</v>
      </c>
    </row>
    <row r="10580">
      <c r="A10580" s="17"/>
      <c r="H10580" s="18"/>
      <c r="K10580" s="18" t="s">
        <v>316</v>
      </c>
    </row>
    <row r="10581">
      <c r="A10581" s="17"/>
      <c r="H10581" s="18"/>
      <c r="K10581" s="18" t="s">
        <v>316</v>
      </c>
    </row>
    <row r="10582">
      <c r="A10582" s="17"/>
      <c r="H10582" s="18"/>
      <c r="K10582" s="18" t="s">
        <v>316</v>
      </c>
    </row>
    <row r="10583">
      <c r="A10583" s="17"/>
      <c r="H10583" s="18"/>
      <c r="K10583" s="18" t="s">
        <v>316</v>
      </c>
    </row>
    <row r="10584">
      <c r="A10584" s="17"/>
      <c r="H10584" s="18"/>
      <c r="K10584" s="18" t="s">
        <v>316</v>
      </c>
    </row>
    <row r="10585">
      <c r="A10585" s="17"/>
      <c r="H10585" s="18"/>
      <c r="K10585" s="18" t="s">
        <v>316</v>
      </c>
    </row>
    <row r="10586">
      <c r="A10586" s="17"/>
      <c r="H10586" s="18"/>
      <c r="K10586" s="18" t="s">
        <v>316</v>
      </c>
    </row>
    <row r="10587">
      <c r="A10587" s="17"/>
      <c r="H10587" s="18"/>
      <c r="K10587" s="18" t="s">
        <v>316</v>
      </c>
    </row>
    <row r="10588">
      <c r="A10588" s="17"/>
      <c r="H10588" s="18"/>
      <c r="K10588" s="18" t="s">
        <v>316</v>
      </c>
    </row>
    <row r="10589">
      <c r="A10589" s="17"/>
      <c r="H10589" s="18"/>
      <c r="K10589" s="18" t="s">
        <v>316</v>
      </c>
    </row>
    <row r="10590">
      <c r="A10590" s="17"/>
      <c r="H10590" s="18"/>
      <c r="K10590" s="18" t="s">
        <v>316</v>
      </c>
    </row>
    <row r="10591">
      <c r="A10591" s="17"/>
      <c r="H10591" s="18"/>
      <c r="K10591" s="18" t="s">
        <v>316</v>
      </c>
    </row>
    <row r="10592">
      <c r="A10592" s="17"/>
      <c r="H10592" s="18"/>
      <c r="K10592" s="18" t="s">
        <v>316</v>
      </c>
    </row>
    <row r="10593">
      <c r="A10593" s="17"/>
      <c r="H10593" s="18"/>
      <c r="K10593" s="18" t="s">
        <v>316</v>
      </c>
    </row>
    <row r="10594">
      <c r="A10594" s="17"/>
      <c r="H10594" s="18"/>
      <c r="K10594" s="18" t="s">
        <v>316</v>
      </c>
    </row>
    <row r="10595">
      <c r="A10595" s="17"/>
      <c r="H10595" s="18"/>
      <c r="K10595" s="18" t="s">
        <v>316</v>
      </c>
    </row>
    <row r="10596">
      <c r="A10596" s="17"/>
      <c r="H10596" s="18"/>
      <c r="K10596" s="18" t="s">
        <v>316</v>
      </c>
    </row>
    <row r="10597">
      <c r="A10597" s="17"/>
      <c r="H10597" s="18"/>
      <c r="K10597" s="18" t="s">
        <v>316</v>
      </c>
    </row>
    <row r="10598">
      <c r="A10598" s="17"/>
      <c r="H10598" s="18"/>
      <c r="K10598" s="18" t="s">
        <v>316</v>
      </c>
    </row>
    <row r="10599">
      <c r="A10599" s="17"/>
      <c r="H10599" s="18"/>
      <c r="K10599" s="18" t="s">
        <v>316</v>
      </c>
    </row>
    <row r="10600">
      <c r="A10600" s="17"/>
      <c r="H10600" s="18"/>
      <c r="K10600" s="18" t="s">
        <v>316</v>
      </c>
    </row>
    <row r="10601">
      <c r="A10601" s="17"/>
      <c r="H10601" s="18"/>
      <c r="K10601" s="18" t="s">
        <v>316</v>
      </c>
    </row>
    <row r="10602">
      <c r="A10602" s="17"/>
      <c r="H10602" s="18"/>
      <c r="K10602" s="18" t="s">
        <v>316</v>
      </c>
    </row>
    <row r="10603">
      <c r="A10603" s="17"/>
      <c r="H10603" s="18"/>
      <c r="K10603" s="18" t="s">
        <v>316</v>
      </c>
    </row>
    <row r="10604">
      <c r="A10604" s="17"/>
      <c r="H10604" s="18"/>
      <c r="K10604" s="18" t="s">
        <v>316</v>
      </c>
    </row>
    <row r="10605">
      <c r="A10605" s="17"/>
      <c r="H10605" s="18"/>
      <c r="K10605" s="18" t="s">
        <v>316</v>
      </c>
    </row>
    <row r="10606">
      <c r="A10606" s="17"/>
      <c r="H10606" s="18"/>
      <c r="K10606" s="18" t="s">
        <v>316</v>
      </c>
    </row>
    <row r="10607">
      <c r="A10607" s="17"/>
      <c r="H10607" s="18"/>
      <c r="K10607" s="18" t="s">
        <v>316</v>
      </c>
    </row>
    <row r="10608">
      <c r="A10608" s="17"/>
      <c r="H10608" s="18"/>
      <c r="K10608" s="18" t="s">
        <v>316</v>
      </c>
    </row>
    <row r="10609">
      <c r="A10609" s="17"/>
      <c r="H10609" s="18"/>
      <c r="K10609" s="18" t="s">
        <v>316</v>
      </c>
    </row>
    <row r="10610">
      <c r="A10610" s="17"/>
      <c r="H10610" s="18"/>
      <c r="K10610" s="18" t="s">
        <v>316</v>
      </c>
    </row>
    <row r="10611">
      <c r="A10611" s="17"/>
      <c r="H10611" s="18"/>
      <c r="K10611" s="18" t="s">
        <v>316</v>
      </c>
    </row>
    <row r="10612">
      <c r="A10612" s="17"/>
      <c r="H10612" s="18"/>
      <c r="K10612" s="18" t="s">
        <v>316</v>
      </c>
    </row>
    <row r="10613">
      <c r="A10613" s="17"/>
      <c r="H10613" s="18"/>
      <c r="K10613" s="18" t="s">
        <v>316</v>
      </c>
    </row>
    <row r="10614">
      <c r="A10614" s="17"/>
      <c r="H10614" s="18"/>
      <c r="K10614" s="18" t="s">
        <v>316</v>
      </c>
    </row>
    <row r="10615">
      <c r="A10615" s="17"/>
      <c r="H10615" s="18"/>
      <c r="K10615" s="18" t="s">
        <v>316</v>
      </c>
    </row>
    <row r="10616">
      <c r="A10616" s="17"/>
      <c r="H10616" s="18"/>
      <c r="K10616" s="18" t="s">
        <v>316</v>
      </c>
    </row>
    <row r="10617">
      <c r="A10617" s="17"/>
      <c r="H10617" s="18"/>
      <c r="K10617" s="18" t="s">
        <v>316</v>
      </c>
    </row>
    <row r="10618">
      <c r="A10618" s="17"/>
      <c r="H10618" s="18"/>
      <c r="K10618" s="18" t="s">
        <v>316</v>
      </c>
    </row>
    <row r="10619">
      <c r="A10619" s="17"/>
      <c r="H10619" s="18"/>
      <c r="K10619" s="18" t="s">
        <v>316</v>
      </c>
    </row>
    <row r="10620">
      <c r="A10620" s="17"/>
      <c r="H10620" s="18"/>
      <c r="K10620" s="18" t="s">
        <v>316</v>
      </c>
    </row>
    <row r="10621">
      <c r="A10621" s="17"/>
      <c r="H10621" s="18"/>
      <c r="K10621" s="18" t="s">
        <v>316</v>
      </c>
    </row>
    <row r="10622">
      <c r="A10622" s="17"/>
      <c r="H10622" s="18"/>
      <c r="K10622" s="18" t="s">
        <v>316</v>
      </c>
    </row>
    <row r="10623">
      <c r="A10623" s="17"/>
      <c r="H10623" s="18"/>
      <c r="K10623" s="18" t="s">
        <v>316</v>
      </c>
    </row>
    <row r="10624">
      <c r="A10624" s="17"/>
      <c r="H10624" s="18"/>
      <c r="K10624" s="18" t="s">
        <v>316</v>
      </c>
    </row>
    <row r="10625">
      <c r="A10625" s="17"/>
      <c r="H10625" s="18"/>
      <c r="K10625" s="18" t="s">
        <v>316</v>
      </c>
    </row>
    <row r="10626">
      <c r="A10626" s="17"/>
      <c r="H10626" s="18"/>
      <c r="K10626" s="18" t="s">
        <v>316</v>
      </c>
    </row>
    <row r="10627">
      <c r="A10627" s="17"/>
      <c r="H10627" s="18"/>
      <c r="K10627" s="18" t="s">
        <v>316</v>
      </c>
    </row>
    <row r="10628">
      <c r="A10628" s="17"/>
      <c r="H10628" s="18"/>
      <c r="K10628" s="18" t="s">
        <v>316</v>
      </c>
    </row>
    <row r="10629">
      <c r="A10629" s="17"/>
      <c r="H10629" s="18"/>
      <c r="K10629" s="18" t="s">
        <v>316</v>
      </c>
    </row>
    <row r="10630">
      <c r="A10630" s="17"/>
      <c r="H10630" s="18"/>
      <c r="K10630" s="18" t="s">
        <v>316</v>
      </c>
    </row>
    <row r="10631">
      <c r="A10631" s="17"/>
      <c r="H10631" s="18"/>
      <c r="K10631" s="18" t="s">
        <v>316</v>
      </c>
    </row>
    <row r="10632">
      <c r="A10632" s="17"/>
      <c r="H10632" s="18"/>
      <c r="K10632" s="18" t="s">
        <v>316</v>
      </c>
    </row>
    <row r="10633">
      <c r="A10633" s="17"/>
      <c r="H10633" s="18"/>
      <c r="K10633" s="18" t="s">
        <v>316</v>
      </c>
    </row>
    <row r="10634">
      <c r="A10634" s="17"/>
      <c r="H10634" s="18"/>
      <c r="K10634" s="18" t="s">
        <v>316</v>
      </c>
    </row>
    <row r="10635">
      <c r="A10635" s="17"/>
      <c r="H10635" s="18"/>
      <c r="K10635" s="18" t="s">
        <v>316</v>
      </c>
    </row>
    <row r="10636">
      <c r="A10636" s="17"/>
      <c r="H10636" s="18"/>
      <c r="K10636" s="18" t="s">
        <v>316</v>
      </c>
    </row>
    <row r="10637">
      <c r="A10637" s="17"/>
      <c r="H10637" s="18"/>
      <c r="K10637" s="18" t="s">
        <v>316</v>
      </c>
    </row>
    <row r="10638">
      <c r="A10638" s="17"/>
      <c r="H10638" s="18"/>
      <c r="K10638" s="18" t="s">
        <v>316</v>
      </c>
    </row>
    <row r="10639">
      <c r="A10639" s="17"/>
      <c r="H10639" s="18"/>
      <c r="K10639" s="18" t="s">
        <v>316</v>
      </c>
    </row>
    <row r="10640">
      <c r="A10640" s="17"/>
      <c r="H10640" s="18"/>
      <c r="K10640" s="18" t="s">
        <v>316</v>
      </c>
    </row>
    <row r="10641">
      <c r="A10641" s="17"/>
      <c r="H10641" s="18"/>
      <c r="K10641" s="18" t="s">
        <v>316</v>
      </c>
    </row>
    <row r="10642">
      <c r="A10642" s="17"/>
      <c r="H10642" s="18"/>
      <c r="K10642" s="18" t="s">
        <v>316</v>
      </c>
    </row>
    <row r="10643">
      <c r="A10643" s="17"/>
      <c r="H10643" s="18"/>
      <c r="K10643" s="18" t="s">
        <v>316</v>
      </c>
    </row>
    <row r="10644">
      <c r="A10644" s="17"/>
      <c r="H10644" s="18"/>
      <c r="K10644" s="18" t="s">
        <v>316</v>
      </c>
    </row>
    <row r="10645">
      <c r="A10645" s="17"/>
      <c r="H10645" s="18"/>
      <c r="K10645" s="18" t="s">
        <v>316</v>
      </c>
    </row>
    <row r="10646">
      <c r="A10646" s="17"/>
      <c r="H10646" s="18"/>
      <c r="K10646" s="18" t="s">
        <v>316</v>
      </c>
    </row>
    <row r="10647">
      <c r="A10647" s="17"/>
      <c r="H10647" s="18"/>
      <c r="K10647" s="18" t="s">
        <v>316</v>
      </c>
    </row>
    <row r="10648">
      <c r="A10648" s="17"/>
      <c r="H10648" s="18"/>
      <c r="K10648" s="18" t="s">
        <v>316</v>
      </c>
    </row>
    <row r="10649">
      <c r="A10649" s="17"/>
      <c r="H10649" s="18"/>
      <c r="K10649" s="18" t="s">
        <v>316</v>
      </c>
    </row>
    <row r="10650">
      <c r="A10650" s="17"/>
      <c r="H10650" s="18"/>
      <c r="K10650" s="18" t="s">
        <v>316</v>
      </c>
    </row>
    <row r="10651">
      <c r="A10651" s="17"/>
      <c r="H10651" s="18"/>
      <c r="K10651" s="18" t="s">
        <v>316</v>
      </c>
    </row>
    <row r="10652">
      <c r="A10652" s="17"/>
      <c r="H10652" s="18"/>
      <c r="K10652" s="18" t="s">
        <v>316</v>
      </c>
    </row>
    <row r="10653">
      <c r="A10653" s="17"/>
      <c r="H10653" s="18"/>
      <c r="K10653" s="18" t="s">
        <v>316</v>
      </c>
    </row>
    <row r="10654">
      <c r="A10654" s="17"/>
      <c r="H10654" s="18"/>
      <c r="K10654" s="18" t="s">
        <v>316</v>
      </c>
    </row>
    <row r="10655">
      <c r="A10655" s="17"/>
      <c r="H10655" s="18"/>
      <c r="K10655" s="18" t="s">
        <v>316</v>
      </c>
    </row>
    <row r="10656">
      <c r="A10656" s="17"/>
      <c r="H10656" s="18"/>
      <c r="K10656" s="18" t="s">
        <v>316</v>
      </c>
    </row>
    <row r="10657">
      <c r="A10657" s="17"/>
      <c r="H10657" s="18"/>
      <c r="K10657" s="18" t="s">
        <v>316</v>
      </c>
    </row>
    <row r="10658">
      <c r="A10658" s="17"/>
      <c r="H10658" s="18"/>
      <c r="K10658" s="18" t="s">
        <v>316</v>
      </c>
    </row>
    <row r="10659">
      <c r="A10659" s="17"/>
      <c r="H10659" s="18"/>
      <c r="K10659" s="18" t="s">
        <v>316</v>
      </c>
    </row>
    <row r="10660">
      <c r="A10660" s="17"/>
      <c r="H10660" s="18"/>
      <c r="K10660" s="18" t="s">
        <v>316</v>
      </c>
    </row>
    <row r="10661">
      <c r="A10661" s="17"/>
      <c r="H10661" s="18"/>
      <c r="K10661" s="18" t="s">
        <v>316</v>
      </c>
    </row>
    <row r="10662">
      <c r="A10662" s="17"/>
      <c r="H10662" s="18"/>
      <c r="K10662" s="18" t="s">
        <v>316</v>
      </c>
    </row>
    <row r="10663">
      <c r="A10663" s="17"/>
      <c r="H10663" s="18"/>
      <c r="K10663" s="18" t="s">
        <v>316</v>
      </c>
    </row>
    <row r="10664">
      <c r="A10664" s="17"/>
      <c r="H10664" s="18"/>
      <c r="K10664" s="18" t="s">
        <v>316</v>
      </c>
    </row>
    <row r="10665">
      <c r="A10665" s="17"/>
      <c r="H10665" s="18"/>
      <c r="K10665" s="18" t="s">
        <v>316</v>
      </c>
    </row>
    <row r="10666">
      <c r="A10666" s="17"/>
      <c r="H10666" s="18"/>
      <c r="K10666" s="18" t="s">
        <v>316</v>
      </c>
    </row>
    <row r="10667">
      <c r="A10667" s="17"/>
      <c r="H10667" s="18"/>
      <c r="K10667" s="18" t="s">
        <v>316</v>
      </c>
    </row>
    <row r="10668">
      <c r="A10668" s="17"/>
      <c r="H10668" s="18"/>
      <c r="K10668" s="18" t="s">
        <v>316</v>
      </c>
    </row>
    <row r="10669">
      <c r="A10669" s="17"/>
      <c r="H10669" s="18"/>
      <c r="K10669" s="18" t="s">
        <v>316</v>
      </c>
    </row>
    <row r="10670">
      <c r="A10670" s="17"/>
      <c r="H10670" s="18"/>
      <c r="K10670" s="18" t="s">
        <v>316</v>
      </c>
    </row>
    <row r="10671">
      <c r="A10671" s="17"/>
      <c r="H10671" s="18"/>
      <c r="K10671" s="18" t="s">
        <v>316</v>
      </c>
    </row>
    <row r="10672">
      <c r="A10672" s="17"/>
      <c r="H10672" s="18"/>
      <c r="K10672" s="18" t="s">
        <v>316</v>
      </c>
    </row>
    <row r="10673">
      <c r="A10673" s="17"/>
      <c r="H10673" s="18"/>
      <c r="K10673" s="18" t="s">
        <v>316</v>
      </c>
    </row>
    <row r="10674">
      <c r="A10674" s="17"/>
      <c r="H10674" s="18"/>
      <c r="K10674" s="18" t="s">
        <v>316</v>
      </c>
    </row>
    <row r="10675">
      <c r="A10675" s="17"/>
      <c r="H10675" s="18"/>
      <c r="K10675" s="18" t="s">
        <v>316</v>
      </c>
    </row>
    <row r="10676">
      <c r="A10676" s="17"/>
      <c r="H10676" s="18"/>
      <c r="K10676" s="18" t="s">
        <v>316</v>
      </c>
    </row>
    <row r="10677">
      <c r="A10677" s="17"/>
      <c r="H10677" s="18"/>
      <c r="K10677" s="18" t="s">
        <v>316</v>
      </c>
    </row>
    <row r="10678">
      <c r="A10678" s="17"/>
      <c r="H10678" s="18"/>
      <c r="K10678" s="18" t="s">
        <v>316</v>
      </c>
    </row>
    <row r="10679">
      <c r="A10679" s="17"/>
      <c r="H10679" s="18"/>
      <c r="K10679" s="18" t="s">
        <v>316</v>
      </c>
    </row>
    <row r="10680">
      <c r="A10680" s="17"/>
      <c r="H10680" s="18"/>
      <c r="K10680" s="18" t="s">
        <v>316</v>
      </c>
    </row>
    <row r="10681">
      <c r="A10681" s="17"/>
      <c r="H10681" s="18"/>
      <c r="K10681" s="18" t="s">
        <v>316</v>
      </c>
    </row>
    <row r="10682">
      <c r="A10682" s="17"/>
      <c r="H10682" s="18"/>
      <c r="K10682" s="18" t="s">
        <v>316</v>
      </c>
    </row>
    <row r="10683">
      <c r="A10683" s="17"/>
      <c r="H10683" s="18"/>
      <c r="K10683" s="18" t="s">
        <v>316</v>
      </c>
    </row>
    <row r="10684">
      <c r="A10684" s="17"/>
      <c r="H10684" s="18"/>
      <c r="K10684" s="18" t="s">
        <v>316</v>
      </c>
    </row>
    <row r="10685">
      <c r="A10685" s="17"/>
      <c r="H10685" s="18"/>
      <c r="K10685" s="18" t="s">
        <v>316</v>
      </c>
    </row>
    <row r="10686">
      <c r="A10686" s="17"/>
      <c r="H10686" s="18"/>
      <c r="K10686" s="18" t="s">
        <v>316</v>
      </c>
    </row>
    <row r="10687">
      <c r="A10687" s="17"/>
      <c r="H10687" s="18"/>
      <c r="K10687" s="18" t="s">
        <v>316</v>
      </c>
    </row>
    <row r="10688">
      <c r="A10688" s="17"/>
      <c r="H10688" s="18"/>
      <c r="K10688" s="18" t="s">
        <v>316</v>
      </c>
    </row>
    <row r="10689">
      <c r="A10689" s="17"/>
      <c r="H10689" s="18"/>
      <c r="K10689" s="18" t="s">
        <v>316</v>
      </c>
    </row>
    <row r="10690">
      <c r="A10690" s="17"/>
      <c r="H10690" s="18"/>
      <c r="K10690" s="18" t="s">
        <v>316</v>
      </c>
    </row>
    <row r="10691">
      <c r="A10691" s="17"/>
      <c r="H10691" s="18"/>
      <c r="K10691" s="18" t="s">
        <v>316</v>
      </c>
    </row>
    <row r="10692">
      <c r="A10692" s="17"/>
      <c r="H10692" s="18"/>
      <c r="K10692" s="18" t="s">
        <v>316</v>
      </c>
    </row>
    <row r="10693">
      <c r="A10693" s="17"/>
      <c r="H10693" s="18"/>
      <c r="K10693" s="18" t="s">
        <v>316</v>
      </c>
    </row>
    <row r="10694">
      <c r="A10694" s="17"/>
      <c r="H10694" s="18"/>
      <c r="K10694" s="18" t="s">
        <v>316</v>
      </c>
    </row>
    <row r="10695">
      <c r="A10695" s="17"/>
      <c r="H10695" s="18"/>
      <c r="K10695" s="18" t="s">
        <v>316</v>
      </c>
    </row>
    <row r="10696">
      <c r="A10696" s="17"/>
      <c r="H10696" s="18"/>
      <c r="K10696" s="18" t="s">
        <v>316</v>
      </c>
    </row>
    <row r="10697">
      <c r="A10697" s="17"/>
      <c r="H10697" s="18"/>
      <c r="K10697" s="18" t="s">
        <v>316</v>
      </c>
    </row>
    <row r="10698">
      <c r="A10698" s="17"/>
      <c r="H10698" s="18"/>
      <c r="K10698" s="18" t="s">
        <v>316</v>
      </c>
    </row>
    <row r="10699">
      <c r="A10699" s="17"/>
      <c r="H10699" s="18"/>
      <c r="K10699" s="18" t="s">
        <v>316</v>
      </c>
    </row>
    <row r="10700">
      <c r="A10700" s="17"/>
      <c r="H10700" s="18"/>
      <c r="K10700" s="18" t="s">
        <v>316</v>
      </c>
    </row>
    <row r="10701">
      <c r="A10701" s="17"/>
      <c r="H10701" s="18"/>
      <c r="K10701" s="18" t="s">
        <v>316</v>
      </c>
    </row>
    <row r="10702">
      <c r="A10702" s="17"/>
      <c r="H10702" s="18"/>
      <c r="K10702" s="18" t="s">
        <v>316</v>
      </c>
    </row>
    <row r="10703">
      <c r="A10703" s="17"/>
      <c r="H10703" s="18"/>
      <c r="K10703" s="18" t="s">
        <v>316</v>
      </c>
    </row>
    <row r="10704">
      <c r="A10704" s="17"/>
      <c r="H10704" s="18"/>
      <c r="K10704" s="18" t="s">
        <v>316</v>
      </c>
    </row>
    <row r="10705">
      <c r="A10705" s="17"/>
      <c r="H10705" s="18"/>
      <c r="K10705" s="18" t="s">
        <v>316</v>
      </c>
    </row>
    <row r="10706">
      <c r="A10706" s="17"/>
      <c r="H10706" s="18"/>
      <c r="K10706" s="18" t="s">
        <v>316</v>
      </c>
    </row>
    <row r="10707">
      <c r="A10707" s="17"/>
      <c r="H10707" s="18"/>
      <c r="K10707" s="18" t="s">
        <v>316</v>
      </c>
    </row>
    <row r="10708">
      <c r="A10708" s="17"/>
      <c r="H10708" s="18"/>
      <c r="K10708" s="18" t="s">
        <v>316</v>
      </c>
    </row>
    <row r="10709">
      <c r="A10709" s="17"/>
      <c r="H10709" s="18"/>
      <c r="K10709" s="18" t="s">
        <v>316</v>
      </c>
    </row>
    <row r="10710">
      <c r="A10710" s="17"/>
      <c r="H10710" s="18"/>
      <c r="K10710" s="18" t="s">
        <v>316</v>
      </c>
    </row>
    <row r="10711">
      <c r="A10711" s="17"/>
      <c r="H10711" s="18"/>
      <c r="K10711" s="18" t="s">
        <v>316</v>
      </c>
    </row>
    <row r="10712">
      <c r="A10712" s="17"/>
      <c r="H10712" s="18"/>
      <c r="K10712" s="18" t="s">
        <v>316</v>
      </c>
    </row>
    <row r="10713">
      <c r="A10713" s="17"/>
      <c r="H10713" s="18"/>
      <c r="K10713" s="18" t="s">
        <v>316</v>
      </c>
    </row>
    <row r="10714">
      <c r="A10714" s="17"/>
      <c r="H10714" s="18"/>
      <c r="K10714" s="18" t="s">
        <v>316</v>
      </c>
    </row>
    <row r="10715">
      <c r="A10715" s="17"/>
      <c r="H10715" s="18"/>
      <c r="K10715" s="18" t="s">
        <v>316</v>
      </c>
    </row>
    <row r="10716">
      <c r="A10716" s="17"/>
      <c r="H10716" s="18"/>
      <c r="K10716" s="18" t="s">
        <v>316</v>
      </c>
    </row>
    <row r="10717">
      <c r="A10717" s="17"/>
      <c r="H10717" s="18"/>
      <c r="K10717" s="18" t="s">
        <v>316</v>
      </c>
    </row>
    <row r="10718">
      <c r="A10718" s="17"/>
      <c r="H10718" s="18"/>
      <c r="K10718" s="18" t="s">
        <v>316</v>
      </c>
    </row>
    <row r="10719">
      <c r="A10719" s="17"/>
      <c r="H10719" s="18"/>
      <c r="K10719" s="18" t="s">
        <v>316</v>
      </c>
    </row>
    <row r="10720">
      <c r="A10720" s="17"/>
      <c r="H10720" s="18"/>
      <c r="K10720" s="18" t="s">
        <v>316</v>
      </c>
    </row>
    <row r="10721">
      <c r="A10721" s="17"/>
      <c r="H10721" s="18"/>
      <c r="K10721" s="18" t="s">
        <v>316</v>
      </c>
    </row>
    <row r="10722">
      <c r="A10722" s="17"/>
      <c r="H10722" s="18"/>
      <c r="K10722" s="18" t="s">
        <v>316</v>
      </c>
    </row>
    <row r="10723">
      <c r="A10723" s="17"/>
      <c r="H10723" s="18"/>
      <c r="K10723" s="18" t="s">
        <v>316</v>
      </c>
    </row>
    <row r="10724">
      <c r="A10724" s="17"/>
      <c r="H10724" s="18"/>
      <c r="K10724" s="18" t="s">
        <v>316</v>
      </c>
    </row>
    <row r="10725">
      <c r="A10725" s="17"/>
      <c r="H10725" s="18"/>
      <c r="K10725" s="18" t="s">
        <v>316</v>
      </c>
    </row>
    <row r="10726">
      <c r="A10726" s="17"/>
      <c r="H10726" s="18"/>
      <c r="K10726" s="18" t="s">
        <v>316</v>
      </c>
    </row>
    <row r="10727">
      <c r="A10727" s="17"/>
      <c r="H10727" s="18"/>
      <c r="K10727" s="18" t="s">
        <v>316</v>
      </c>
    </row>
    <row r="10728">
      <c r="A10728" s="17"/>
      <c r="H10728" s="18"/>
      <c r="K10728" s="18" t="s">
        <v>316</v>
      </c>
    </row>
    <row r="10729">
      <c r="A10729" s="17"/>
      <c r="H10729" s="18"/>
      <c r="K10729" s="18" t="s">
        <v>316</v>
      </c>
    </row>
    <row r="10730">
      <c r="A10730" s="17"/>
      <c r="H10730" s="18"/>
      <c r="K10730" s="18" t="s">
        <v>316</v>
      </c>
    </row>
    <row r="10731">
      <c r="A10731" s="17"/>
      <c r="H10731" s="18"/>
      <c r="K10731" s="18" t="s">
        <v>316</v>
      </c>
    </row>
    <row r="10732">
      <c r="A10732" s="17"/>
      <c r="H10732" s="18"/>
      <c r="K10732" s="18" t="s">
        <v>316</v>
      </c>
    </row>
    <row r="10733">
      <c r="A10733" s="17"/>
      <c r="H10733" s="18"/>
      <c r="K10733" s="18" t="s">
        <v>316</v>
      </c>
    </row>
    <row r="10734">
      <c r="A10734" s="17"/>
      <c r="H10734" s="18"/>
      <c r="K10734" s="18" t="s">
        <v>316</v>
      </c>
    </row>
    <row r="10735">
      <c r="A10735" s="17"/>
      <c r="H10735" s="18"/>
      <c r="K10735" s="18" t="s">
        <v>316</v>
      </c>
    </row>
    <row r="10736">
      <c r="A10736" s="17"/>
      <c r="H10736" s="18"/>
      <c r="K10736" s="18" t="s">
        <v>316</v>
      </c>
    </row>
    <row r="10737">
      <c r="A10737" s="17"/>
      <c r="H10737" s="18"/>
      <c r="K10737" s="18" t="s">
        <v>316</v>
      </c>
    </row>
    <row r="10738">
      <c r="A10738" s="17"/>
      <c r="H10738" s="18"/>
      <c r="K10738" s="18" t="s">
        <v>316</v>
      </c>
    </row>
    <row r="10739">
      <c r="A10739" s="17"/>
      <c r="H10739" s="18"/>
      <c r="K10739" s="18" t="s">
        <v>316</v>
      </c>
    </row>
    <row r="10740">
      <c r="A10740" s="17"/>
      <c r="H10740" s="18"/>
      <c r="K10740" s="18" t="s">
        <v>316</v>
      </c>
    </row>
    <row r="10741">
      <c r="A10741" s="17"/>
      <c r="H10741" s="18"/>
      <c r="K10741" s="18" t="s">
        <v>316</v>
      </c>
    </row>
    <row r="10742">
      <c r="A10742" s="17"/>
      <c r="H10742" s="18"/>
      <c r="K10742" s="18" t="s">
        <v>316</v>
      </c>
    </row>
    <row r="10743">
      <c r="A10743" s="17"/>
      <c r="H10743" s="18"/>
      <c r="K10743" s="18" t="s">
        <v>316</v>
      </c>
    </row>
    <row r="10744">
      <c r="A10744" s="17"/>
      <c r="H10744" s="18"/>
      <c r="K10744" s="18" t="s">
        <v>316</v>
      </c>
    </row>
    <row r="10745">
      <c r="A10745" s="17"/>
      <c r="H10745" s="18"/>
      <c r="K10745" s="18" t="s">
        <v>316</v>
      </c>
    </row>
    <row r="10746">
      <c r="A10746" s="17"/>
      <c r="H10746" s="18"/>
      <c r="K10746" s="18" t="s">
        <v>316</v>
      </c>
    </row>
    <row r="10747">
      <c r="A10747" s="17"/>
      <c r="H10747" s="18"/>
      <c r="K10747" s="18" t="s">
        <v>316</v>
      </c>
    </row>
    <row r="10748">
      <c r="A10748" s="17"/>
      <c r="H10748" s="18"/>
      <c r="K10748" s="18" t="s">
        <v>316</v>
      </c>
    </row>
    <row r="10749">
      <c r="A10749" s="17"/>
      <c r="H10749" s="18"/>
      <c r="K10749" s="18" t="s">
        <v>316</v>
      </c>
    </row>
    <row r="10750">
      <c r="A10750" s="17"/>
      <c r="H10750" s="18"/>
      <c r="K10750" s="18" t="s">
        <v>316</v>
      </c>
    </row>
    <row r="10751">
      <c r="A10751" s="17"/>
      <c r="H10751" s="18"/>
      <c r="K10751" s="18" t="s">
        <v>316</v>
      </c>
    </row>
    <row r="10752">
      <c r="A10752" s="17"/>
      <c r="H10752" s="18"/>
      <c r="K10752" s="18" t="s">
        <v>316</v>
      </c>
    </row>
    <row r="10753">
      <c r="A10753" s="17"/>
      <c r="H10753" s="18"/>
      <c r="K10753" s="18" t="s">
        <v>316</v>
      </c>
    </row>
    <row r="10754">
      <c r="A10754" s="17"/>
      <c r="H10754" s="18"/>
      <c r="K10754" s="18" t="s">
        <v>316</v>
      </c>
    </row>
    <row r="10755">
      <c r="A10755" s="17"/>
      <c r="H10755" s="18"/>
      <c r="K10755" s="18" t="s">
        <v>316</v>
      </c>
    </row>
    <row r="10756">
      <c r="A10756" s="17"/>
      <c r="H10756" s="18"/>
      <c r="K10756" s="18" t="s">
        <v>316</v>
      </c>
    </row>
    <row r="10757">
      <c r="A10757" s="17"/>
      <c r="H10757" s="18"/>
      <c r="K10757" s="18" t="s">
        <v>316</v>
      </c>
    </row>
    <row r="10758">
      <c r="A10758" s="17"/>
      <c r="H10758" s="18"/>
      <c r="K10758" s="18" t="s">
        <v>316</v>
      </c>
    </row>
    <row r="10759">
      <c r="A10759" s="17"/>
      <c r="H10759" s="18"/>
      <c r="K10759" s="18" t="s">
        <v>316</v>
      </c>
    </row>
    <row r="10760">
      <c r="A10760" s="17"/>
      <c r="H10760" s="18"/>
      <c r="K10760" s="18" t="s">
        <v>316</v>
      </c>
    </row>
    <row r="10761">
      <c r="A10761" s="17"/>
      <c r="H10761" s="18"/>
      <c r="K10761" s="18" t="s">
        <v>316</v>
      </c>
    </row>
    <row r="10762">
      <c r="A10762" s="17"/>
      <c r="H10762" s="18"/>
      <c r="K10762" s="18" t="s">
        <v>316</v>
      </c>
    </row>
    <row r="10763">
      <c r="A10763" s="17"/>
      <c r="H10763" s="18"/>
      <c r="K10763" s="18" t="s">
        <v>316</v>
      </c>
    </row>
    <row r="10764">
      <c r="A10764" s="17"/>
      <c r="H10764" s="18"/>
      <c r="K10764" s="18" t="s">
        <v>316</v>
      </c>
    </row>
    <row r="10765">
      <c r="A10765" s="17"/>
      <c r="H10765" s="18"/>
      <c r="K10765" s="18" t="s">
        <v>316</v>
      </c>
    </row>
    <row r="10766">
      <c r="A10766" s="17"/>
      <c r="H10766" s="18"/>
      <c r="K10766" s="18" t="s">
        <v>316</v>
      </c>
    </row>
    <row r="10767">
      <c r="A10767" s="17"/>
      <c r="H10767" s="18"/>
      <c r="K10767" s="18" t="s">
        <v>316</v>
      </c>
    </row>
    <row r="10768">
      <c r="A10768" s="17"/>
      <c r="H10768" s="18"/>
      <c r="K10768" s="18" t="s">
        <v>316</v>
      </c>
    </row>
    <row r="10769">
      <c r="A10769" s="17"/>
      <c r="H10769" s="18"/>
      <c r="K10769" s="18" t="s">
        <v>316</v>
      </c>
    </row>
    <row r="10770">
      <c r="A10770" s="17"/>
      <c r="H10770" s="18"/>
      <c r="K10770" s="18" t="s">
        <v>316</v>
      </c>
    </row>
    <row r="10771">
      <c r="A10771" s="17"/>
      <c r="H10771" s="18"/>
      <c r="K10771" s="18" t="s">
        <v>316</v>
      </c>
    </row>
    <row r="10772">
      <c r="A10772" s="17"/>
      <c r="H10772" s="18"/>
      <c r="K10772" s="18" t="s">
        <v>316</v>
      </c>
    </row>
    <row r="10773">
      <c r="A10773" s="17"/>
      <c r="H10773" s="18"/>
      <c r="K10773" s="18" t="s">
        <v>316</v>
      </c>
    </row>
    <row r="10774">
      <c r="A10774" s="17"/>
      <c r="H10774" s="18"/>
      <c r="K10774" s="18" t="s">
        <v>316</v>
      </c>
    </row>
    <row r="10775">
      <c r="A10775" s="17"/>
      <c r="H10775" s="18"/>
      <c r="K10775" s="18" t="s">
        <v>316</v>
      </c>
    </row>
    <row r="10776">
      <c r="A10776" s="17"/>
      <c r="H10776" s="18"/>
      <c r="K10776" s="18" t="s">
        <v>316</v>
      </c>
    </row>
    <row r="10777">
      <c r="A10777" s="17"/>
      <c r="H10777" s="18"/>
      <c r="K10777" s="18" t="s">
        <v>316</v>
      </c>
    </row>
    <row r="10778">
      <c r="A10778" s="17"/>
      <c r="H10778" s="18"/>
      <c r="K10778" s="18" t="s">
        <v>316</v>
      </c>
    </row>
    <row r="10779">
      <c r="A10779" s="17"/>
      <c r="H10779" s="18"/>
      <c r="K10779" s="18" t="s">
        <v>316</v>
      </c>
    </row>
    <row r="10780">
      <c r="A10780" s="17"/>
      <c r="H10780" s="18"/>
      <c r="K10780" s="18" t="s">
        <v>316</v>
      </c>
    </row>
    <row r="10781">
      <c r="A10781" s="17"/>
      <c r="H10781" s="18"/>
      <c r="K10781" s="18" t="s">
        <v>316</v>
      </c>
    </row>
    <row r="10782">
      <c r="A10782" s="17"/>
      <c r="H10782" s="18"/>
      <c r="K10782" s="18" t="s">
        <v>316</v>
      </c>
    </row>
    <row r="10783">
      <c r="A10783" s="17"/>
      <c r="H10783" s="18"/>
      <c r="K10783" s="18" t="s">
        <v>316</v>
      </c>
    </row>
    <row r="10784">
      <c r="A10784" s="17"/>
      <c r="H10784" s="18"/>
      <c r="K10784" s="18" t="s">
        <v>316</v>
      </c>
    </row>
    <row r="10785">
      <c r="A10785" s="17"/>
      <c r="H10785" s="18"/>
      <c r="K10785" s="18" t="s">
        <v>316</v>
      </c>
    </row>
    <row r="10786">
      <c r="A10786" s="17"/>
      <c r="H10786" s="18"/>
      <c r="K10786" s="18" t="s">
        <v>316</v>
      </c>
    </row>
    <row r="10787">
      <c r="A10787" s="17"/>
      <c r="H10787" s="18"/>
      <c r="K10787" s="18" t="s">
        <v>316</v>
      </c>
    </row>
    <row r="10788">
      <c r="A10788" s="17"/>
      <c r="H10788" s="18"/>
      <c r="K10788" s="18" t="s">
        <v>316</v>
      </c>
    </row>
    <row r="10789">
      <c r="A10789" s="17"/>
      <c r="H10789" s="18"/>
      <c r="K10789" s="18" t="s">
        <v>316</v>
      </c>
    </row>
    <row r="10790">
      <c r="A10790" s="17"/>
      <c r="H10790" s="18"/>
      <c r="K10790" s="18" t="s">
        <v>316</v>
      </c>
    </row>
    <row r="10791">
      <c r="A10791" s="17"/>
      <c r="H10791" s="18"/>
      <c r="K10791" s="18" t="s">
        <v>316</v>
      </c>
    </row>
    <row r="10792">
      <c r="A10792" s="17"/>
      <c r="H10792" s="18"/>
      <c r="K10792" s="18" t="s">
        <v>316</v>
      </c>
    </row>
    <row r="10793">
      <c r="A10793" s="17"/>
      <c r="H10793" s="18"/>
      <c r="K10793" s="18" t="s">
        <v>316</v>
      </c>
    </row>
    <row r="10794">
      <c r="A10794" s="17"/>
      <c r="H10794" s="18"/>
      <c r="K10794" s="18" t="s">
        <v>316</v>
      </c>
    </row>
    <row r="10795">
      <c r="A10795" s="17"/>
      <c r="H10795" s="18"/>
      <c r="K10795" s="18" t="s">
        <v>316</v>
      </c>
    </row>
    <row r="10796">
      <c r="A10796" s="17"/>
      <c r="H10796" s="18"/>
      <c r="K10796" s="18" t="s">
        <v>316</v>
      </c>
    </row>
    <row r="10797">
      <c r="A10797" s="17"/>
      <c r="H10797" s="18"/>
      <c r="K10797" s="18" t="s">
        <v>316</v>
      </c>
    </row>
    <row r="10798">
      <c r="A10798" s="17"/>
      <c r="H10798" s="18"/>
      <c r="K10798" s="18" t="s">
        <v>316</v>
      </c>
    </row>
    <row r="10799">
      <c r="A10799" s="17"/>
      <c r="H10799" s="18"/>
      <c r="K10799" s="18" t="s">
        <v>316</v>
      </c>
    </row>
    <row r="10800">
      <c r="A10800" s="17"/>
      <c r="H10800" s="18"/>
      <c r="K10800" s="18" t="s">
        <v>316</v>
      </c>
    </row>
    <row r="10801">
      <c r="A10801" s="17"/>
      <c r="H10801" s="18"/>
      <c r="K10801" s="18" t="s">
        <v>316</v>
      </c>
    </row>
    <row r="10802">
      <c r="A10802" s="17"/>
      <c r="H10802" s="18"/>
      <c r="K10802" s="18" t="s">
        <v>316</v>
      </c>
    </row>
    <row r="10803">
      <c r="A10803" s="17"/>
      <c r="H10803" s="18"/>
      <c r="K10803" s="18" t="s">
        <v>316</v>
      </c>
    </row>
    <row r="10804">
      <c r="A10804" s="17"/>
      <c r="H10804" s="18"/>
      <c r="K10804" s="18" t="s">
        <v>316</v>
      </c>
    </row>
    <row r="10805">
      <c r="A10805" s="17"/>
      <c r="H10805" s="18"/>
      <c r="K10805" s="18" t="s">
        <v>316</v>
      </c>
    </row>
    <row r="10806">
      <c r="A10806" s="17"/>
      <c r="H10806" s="18"/>
      <c r="K10806" s="18" t="s">
        <v>316</v>
      </c>
    </row>
    <row r="10807">
      <c r="A10807" s="17"/>
      <c r="H10807" s="18"/>
      <c r="K10807" s="18" t="s">
        <v>316</v>
      </c>
    </row>
    <row r="10808">
      <c r="A10808" s="17"/>
      <c r="H10808" s="18"/>
      <c r="K10808" s="18" t="s">
        <v>316</v>
      </c>
    </row>
    <row r="10809">
      <c r="A10809" s="17"/>
      <c r="H10809" s="18"/>
      <c r="K10809" s="18" t="s">
        <v>316</v>
      </c>
    </row>
    <row r="10810">
      <c r="A10810" s="17"/>
      <c r="H10810" s="18"/>
      <c r="K10810" s="18" t="s">
        <v>316</v>
      </c>
    </row>
    <row r="10811">
      <c r="A10811" s="17"/>
      <c r="H10811" s="18"/>
      <c r="K10811" s="18" t="s">
        <v>316</v>
      </c>
    </row>
    <row r="10812">
      <c r="A10812" s="17"/>
      <c r="H10812" s="18"/>
      <c r="K10812" s="18" t="s">
        <v>316</v>
      </c>
    </row>
    <row r="10813">
      <c r="A10813" s="17"/>
      <c r="H10813" s="18"/>
      <c r="K10813" s="18" t="s">
        <v>316</v>
      </c>
    </row>
    <row r="10814">
      <c r="A10814" s="17"/>
      <c r="H10814" s="18"/>
      <c r="K10814" s="18" t="s">
        <v>316</v>
      </c>
    </row>
    <row r="10815">
      <c r="A10815" s="17"/>
      <c r="H10815" s="18"/>
      <c r="K10815" s="18" t="s">
        <v>316</v>
      </c>
    </row>
    <row r="10816">
      <c r="A10816" s="17"/>
      <c r="H10816" s="18"/>
      <c r="K10816" s="18" t="s">
        <v>316</v>
      </c>
    </row>
    <row r="10817">
      <c r="A10817" s="17"/>
      <c r="H10817" s="18"/>
      <c r="K10817" s="18" t="s">
        <v>316</v>
      </c>
    </row>
    <row r="10818">
      <c r="A10818" s="17"/>
      <c r="H10818" s="18"/>
      <c r="K10818" s="18" t="s">
        <v>316</v>
      </c>
    </row>
    <row r="10819">
      <c r="A10819" s="17"/>
      <c r="H10819" s="18"/>
      <c r="K10819" s="18" t="s">
        <v>316</v>
      </c>
    </row>
    <row r="10820">
      <c r="A10820" s="17"/>
      <c r="H10820" s="18"/>
      <c r="K10820" s="18" t="s">
        <v>316</v>
      </c>
    </row>
    <row r="10821">
      <c r="A10821" s="17"/>
      <c r="H10821" s="18"/>
      <c r="K10821" s="18" t="s">
        <v>316</v>
      </c>
    </row>
    <row r="10822">
      <c r="A10822" s="17"/>
      <c r="H10822" s="18"/>
      <c r="K10822" s="18" t="s">
        <v>316</v>
      </c>
    </row>
    <row r="10823">
      <c r="A10823" s="17"/>
      <c r="H10823" s="18"/>
      <c r="K10823" s="18" t="s">
        <v>316</v>
      </c>
    </row>
    <row r="10824">
      <c r="A10824" s="17"/>
      <c r="H10824" s="18"/>
      <c r="K10824" s="18" t="s">
        <v>316</v>
      </c>
    </row>
    <row r="10825">
      <c r="A10825" s="17"/>
      <c r="H10825" s="18"/>
      <c r="K10825" s="18" t="s">
        <v>316</v>
      </c>
    </row>
    <row r="10826">
      <c r="A10826" s="17"/>
      <c r="H10826" s="18"/>
      <c r="K10826" s="18" t="s">
        <v>316</v>
      </c>
    </row>
    <row r="10827">
      <c r="A10827" s="17"/>
      <c r="H10827" s="18"/>
      <c r="K10827" s="18" t="s">
        <v>316</v>
      </c>
    </row>
    <row r="10828">
      <c r="A10828" s="17"/>
      <c r="H10828" s="18"/>
      <c r="K10828" s="18" t="s">
        <v>316</v>
      </c>
    </row>
    <row r="10829">
      <c r="A10829" s="17"/>
      <c r="H10829" s="18"/>
      <c r="K10829" s="18" t="s">
        <v>316</v>
      </c>
    </row>
    <row r="10830">
      <c r="A10830" s="17"/>
      <c r="H10830" s="18"/>
      <c r="K10830" s="18" t="s">
        <v>316</v>
      </c>
    </row>
    <row r="10831">
      <c r="A10831" s="17"/>
      <c r="H10831" s="18"/>
      <c r="K10831" s="18" t="s">
        <v>316</v>
      </c>
    </row>
    <row r="10832">
      <c r="A10832" s="17"/>
      <c r="H10832" s="18"/>
      <c r="K10832" s="18" t="s">
        <v>316</v>
      </c>
    </row>
    <row r="10833">
      <c r="A10833" s="17"/>
      <c r="H10833" s="18"/>
      <c r="K10833" s="18" t="s">
        <v>316</v>
      </c>
    </row>
    <row r="10834">
      <c r="A10834" s="17"/>
      <c r="H10834" s="18"/>
      <c r="K10834" s="18" t="s">
        <v>316</v>
      </c>
    </row>
    <row r="10835">
      <c r="A10835" s="17"/>
      <c r="H10835" s="18"/>
      <c r="K10835" s="18" t="s">
        <v>316</v>
      </c>
    </row>
    <row r="10836">
      <c r="A10836" s="17"/>
      <c r="H10836" s="18"/>
      <c r="K10836" s="18" t="s">
        <v>316</v>
      </c>
    </row>
    <row r="10837">
      <c r="A10837" s="17"/>
      <c r="H10837" s="18"/>
      <c r="K10837" s="18" t="s">
        <v>316</v>
      </c>
    </row>
    <row r="10838">
      <c r="A10838" s="17"/>
      <c r="H10838" s="18"/>
      <c r="K10838" s="18" t="s">
        <v>316</v>
      </c>
    </row>
    <row r="10839">
      <c r="A10839" s="17"/>
      <c r="H10839" s="18"/>
      <c r="K10839" s="18" t="s">
        <v>316</v>
      </c>
    </row>
    <row r="10840">
      <c r="A10840" s="17"/>
      <c r="H10840" s="18"/>
      <c r="K10840" s="18" t="s">
        <v>316</v>
      </c>
    </row>
    <row r="10841">
      <c r="A10841" s="17"/>
      <c r="H10841" s="18"/>
      <c r="K10841" s="18" t="s">
        <v>316</v>
      </c>
    </row>
    <row r="10842">
      <c r="A10842" s="17"/>
      <c r="H10842" s="18"/>
      <c r="K10842" s="18" t="s">
        <v>316</v>
      </c>
    </row>
    <row r="10843">
      <c r="A10843" s="17"/>
      <c r="H10843" s="18"/>
      <c r="K10843" s="18" t="s">
        <v>316</v>
      </c>
    </row>
    <row r="10844">
      <c r="A10844" s="17"/>
      <c r="H10844" s="18"/>
      <c r="K10844" s="18" t="s">
        <v>316</v>
      </c>
    </row>
    <row r="10845">
      <c r="A10845" s="17"/>
      <c r="H10845" s="18"/>
      <c r="K10845" s="18" t="s">
        <v>316</v>
      </c>
    </row>
    <row r="10846">
      <c r="A10846" s="17"/>
      <c r="H10846" s="18"/>
      <c r="K10846" s="18" t="s">
        <v>316</v>
      </c>
    </row>
    <row r="10847">
      <c r="A10847" s="17"/>
      <c r="H10847" s="18"/>
      <c r="K10847" s="18" t="s">
        <v>316</v>
      </c>
    </row>
    <row r="10848">
      <c r="A10848" s="17"/>
      <c r="H10848" s="18"/>
      <c r="K10848" s="18" t="s">
        <v>316</v>
      </c>
    </row>
    <row r="10849">
      <c r="A10849" s="17"/>
      <c r="H10849" s="18"/>
      <c r="K10849" s="18" t="s">
        <v>316</v>
      </c>
    </row>
    <row r="10850">
      <c r="A10850" s="17"/>
      <c r="H10850" s="18"/>
      <c r="K10850" s="18" t="s">
        <v>316</v>
      </c>
    </row>
    <row r="10851">
      <c r="A10851" s="17"/>
      <c r="H10851" s="18"/>
      <c r="K10851" s="18" t="s">
        <v>316</v>
      </c>
    </row>
    <row r="10852">
      <c r="A10852" s="17"/>
      <c r="H10852" s="18"/>
      <c r="K10852" s="18" t="s">
        <v>316</v>
      </c>
    </row>
    <row r="10853">
      <c r="A10853" s="17"/>
      <c r="H10853" s="18"/>
      <c r="K10853" s="18" t="s">
        <v>316</v>
      </c>
    </row>
    <row r="10854">
      <c r="A10854" s="17"/>
      <c r="H10854" s="18"/>
      <c r="K10854" s="18" t="s">
        <v>316</v>
      </c>
    </row>
    <row r="10855">
      <c r="A10855" s="17"/>
      <c r="H10855" s="18"/>
      <c r="K10855" s="18" t="s">
        <v>316</v>
      </c>
    </row>
    <row r="10856">
      <c r="A10856" s="17"/>
      <c r="H10856" s="18"/>
      <c r="K10856" s="18" t="s">
        <v>316</v>
      </c>
    </row>
    <row r="10857">
      <c r="A10857" s="17"/>
      <c r="H10857" s="18"/>
      <c r="K10857" s="18" t="s">
        <v>316</v>
      </c>
    </row>
    <row r="10858">
      <c r="A10858" s="17"/>
      <c r="H10858" s="18"/>
      <c r="K10858" s="18" t="s">
        <v>316</v>
      </c>
    </row>
    <row r="10859">
      <c r="A10859" s="17"/>
      <c r="H10859" s="18"/>
      <c r="K10859" s="18" t="s">
        <v>316</v>
      </c>
    </row>
    <row r="10860">
      <c r="A10860" s="17"/>
      <c r="H10860" s="18"/>
      <c r="K10860" s="18" t="s">
        <v>316</v>
      </c>
    </row>
    <row r="10861">
      <c r="A10861" s="17"/>
      <c r="H10861" s="18"/>
      <c r="K10861" s="18" t="s">
        <v>316</v>
      </c>
    </row>
    <row r="10862">
      <c r="A10862" s="17"/>
      <c r="H10862" s="18"/>
      <c r="K10862" s="18" t="s">
        <v>316</v>
      </c>
    </row>
    <row r="10863">
      <c r="A10863" s="17"/>
      <c r="H10863" s="18"/>
      <c r="K10863" s="18" t="s">
        <v>316</v>
      </c>
    </row>
    <row r="10864">
      <c r="A10864" s="17"/>
      <c r="H10864" s="18"/>
      <c r="K10864" s="18" t="s">
        <v>316</v>
      </c>
    </row>
    <row r="10865">
      <c r="A10865" s="17"/>
      <c r="H10865" s="18"/>
      <c r="K10865" s="18" t="s">
        <v>316</v>
      </c>
    </row>
    <row r="10866">
      <c r="A10866" s="17"/>
      <c r="H10866" s="18"/>
      <c r="K10866" s="18" t="s">
        <v>316</v>
      </c>
    </row>
    <row r="10867">
      <c r="A10867" s="17"/>
      <c r="H10867" s="18"/>
      <c r="K10867" s="18" t="s">
        <v>316</v>
      </c>
    </row>
    <row r="10868">
      <c r="A10868" s="17"/>
      <c r="H10868" s="18"/>
      <c r="K10868" s="18" t="s">
        <v>316</v>
      </c>
    </row>
    <row r="10869">
      <c r="A10869" s="17"/>
      <c r="H10869" s="18"/>
      <c r="K10869" s="18" t="s">
        <v>316</v>
      </c>
    </row>
    <row r="10870">
      <c r="A10870" s="17"/>
      <c r="H10870" s="18"/>
      <c r="K10870" s="18" t="s">
        <v>316</v>
      </c>
    </row>
    <row r="10871">
      <c r="A10871" s="17"/>
      <c r="H10871" s="18"/>
      <c r="K10871" s="18" t="s">
        <v>316</v>
      </c>
    </row>
    <row r="10872">
      <c r="A10872" s="17"/>
      <c r="H10872" s="18"/>
      <c r="K10872" s="18" t="s">
        <v>316</v>
      </c>
    </row>
    <row r="10873">
      <c r="A10873" s="17"/>
      <c r="H10873" s="18"/>
      <c r="K10873" s="18" t="s">
        <v>316</v>
      </c>
    </row>
    <row r="10874">
      <c r="A10874" s="17"/>
      <c r="H10874" s="18"/>
      <c r="K10874" s="18" t="s">
        <v>316</v>
      </c>
    </row>
    <row r="10875">
      <c r="A10875" s="17"/>
      <c r="H10875" s="18"/>
      <c r="K10875" s="18" t="s">
        <v>316</v>
      </c>
    </row>
    <row r="10876">
      <c r="A10876" s="17"/>
      <c r="H10876" s="18"/>
      <c r="K10876" s="18" t="s">
        <v>316</v>
      </c>
    </row>
    <row r="10877">
      <c r="A10877" s="17"/>
      <c r="H10877" s="18"/>
      <c r="K10877" s="18" t="s">
        <v>316</v>
      </c>
    </row>
    <row r="10878">
      <c r="A10878" s="17"/>
      <c r="H10878" s="18"/>
      <c r="K10878" s="18" t="s">
        <v>316</v>
      </c>
    </row>
    <row r="10879">
      <c r="A10879" s="17"/>
      <c r="H10879" s="18"/>
      <c r="K10879" s="18" t="s">
        <v>316</v>
      </c>
    </row>
    <row r="10880">
      <c r="A10880" s="17"/>
      <c r="H10880" s="18"/>
      <c r="K10880" s="18" t="s">
        <v>316</v>
      </c>
    </row>
    <row r="10881">
      <c r="A10881" s="17"/>
      <c r="H10881" s="18"/>
      <c r="K10881" s="18" t="s">
        <v>316</v>
      </c>
    </row>
    <row r="10882">
      <c r="A10882" s="17"/>
      <c r="H10882" s="18"/>
      <c r="K10882" s="18" t="s">
        <v>316</v>
      </c>
    </row>
    <row r="10883">
      <c r="A10883" s="17"/>
      <c r="H10883" s="18"/>
      <c r="K10883" s="18" t="s">
        <v>316</v>
      </c>
    </row>
    <row r="10884">
      <c r="A10884" s="17"/>
      <c r="H10884" s="18"/>
      <c r="K10884" s="18" t="s">
        <v>316</v>
      </c>
    </row>
    <row r="10885">
      <c r="A10885" s="17"/>
      <c r="H10885" s="18"/>
      <c r="K10885" s="18" t="s">
        <v>316</v>
      </c>
    </row>
    <row r="10886">
      <c r="A10886" s="17"/>
      <c r="H10886" s="18"/>
      <c r="K10886" s="18" t="s">
        <v>316</v>
      </c>
    </row>
    <row r="10887">
      <c r="A10887" s="17"/>
      <c r="H10887" s="18"/>
      <c r="K10887" s="18" t="s">
        <v>316</v>
      </c>
    </row>
    <row r="10888">
      <c r="A10888" s="17"/>
      <c r="H10888" s="18"/>
      <c r="K10888" s="18" t="s">
        <v>316</v>
      </c>
    </row>
    <row r="10889">
      <c r="A10889" s="17"/>
      <c r="H10889" s="18"/>
      <c r="K10889" s="18" t="s">
        <v>316</v>
      </c>
    </row>
    <row r="10890">
      <c r="A10890" s="17"/>
      <c r="H10890" s="18"/>
      <c r="K10890" s="18" t="s">
        <v>316</v>
      </c>
    </row>
    <row r="10891">
      <c r="A10891" s="17"/>
      <c r="H10891" s="18"/>
      <c r="K10891" s="18" t="s">
        <v>316</v>
      </c>
    </row>
    <row r="10892">
      <c r="A10892" s="17"/>
      <c r="H10892" s="18"/>
      <c r="K10892" s="18" t="s">
        <v>316</v>
      </c>
    </row>
    <row r="10893">
      <c r="A10893" s="17"/>
      <c r="H10893" s="18"/>
      <c r="K10893" s="18" t="s">
        <v>316</v>
      </c>
    </row>
    <row r="10894">
      <c r="A10894" s="17"/>
      <c r="H10894" s="18"/>
      <c r="K10894" s="18" t="s">
        <v>316</v>
      </c>
    </row>
    <row r="10895">
      <c r="A10895" s="17"/>
      <c r="H10895" s="18"/>
      <c r="K10895" s="18" t="s">
        <v>316</v>
      </c>
    </row>
    <row r="10896">
      <c r="A10896" s="17"/>
      <c r="H10896" s="18"/>
      <c r="K10896" s="18" t="s">
        <v>316</v>
      </c>
    </row>
    <row r="10897">
      <c r="A10897" s="17"/>
      <c r="H10897" s="18"/>
      <c r="K10897" s="18" t="s">
        <v>316</v>
      </c>
    </row>
    <row r="10898">
      <c r="A10898" s="17"/>
      <c r="H10898" s="18"/>
      <c r="K10898" s="18" t="s">
        <v>316</v>
      </c>
    </row>
    <row r="10899">
      <c r="A10899" s="17"/>
      <c r="H10899" s="18"/>
      <c r="K10899" s="18" t="s">
        <v>316</v>
      </c>
    </row>
    <row r="10900">
      <c r="A10900" s="17"/>
      <c r="H10900" s="18"/>
      <c r="K10900" s="18" t="s">
        <v>316</v>
      </c>
    </row>
    <row r="10901">
      <c r="A10901" s="17"/>
      <c r="H10901" s="18"/>
      <c r="K10901" s="18" t="s">
        <v>316</v>
      </c>
    </row>
    <row r="10902">
      <c r="A10902" s="17"/>
      <c r="H10902" s="18"/>
      <c r="K10902" s="18" t="s">
        <v>316</v>
      </c>
    </row>
    <row r="10903">
      <c r="A10903" s="17"/>
      <c r="H10903" s="18"/>
      <c r="K10903" s="18" t="s">
        <v>316</v>
      </c>
    </row>
    <row r="10904">
      <c r="A10904" s="17"/>
      <c r="H10904" s="18"/>
      <c r="K10904" s="18" t="s">
        <v>316</v>
      </c>
    </row>
    <row r="10905">
      <c r="A10905" s="17"/>
      <c r="H10905" s="18"/>
      <c r="K10905" s="18" t="s">
        <v>316</v>
      </c>
    </row>
    <row r="10906">
      <c r="A10906" s="17"/>
      <c r="H10906" s="18"/>
      <c r="K10906" s="18" t="s">
        <v>316</v>
      </c>
    </row>
    <row r="10907">
      <c r="A10907" s="17"/>
      <c r="H10907" s="18"/>
      <c r="K10907" s="18" t="s">
        <v>316</v>
      </c>
    </row>
    <row r="10908">
      <c r="A10908" s="17"/>
      <c r="H10908" s="18"/>
      <c r="K10908" s="18" t="s">
        <v>316</v>
      </c>
    </row>
    <row r="10909">
      <c r="A10909" s="17"/>
      <c r="H10909" s="18"/>
      <c r="K10909" s="18" t="s">
        <v>316</v>
      </c>
    </row>
    <row r="10910">
      <c r="A10910" s="17"/>
      <c r="H10910" s="18"/>
      <c r="K10910" s="18" t="s">
        <v>316</v>
      </c>
    </row>
    <row r="10911">
      <c r="A10911" s="17"/>
      <c r="H10911" s="18"/>
      <c r="K10911" s="18" t="s">
        <v>316</v>
      </c>
    </row>
    <row r="10912">
      <c r="A10912" s="17"/>
      <c r="H10912" s="18"/>
      <c r="K10912" s="18" t="s">
        <v>316</v>
      </c>
    </row>
    <row r="10913">
      <c r="A10913" s="17"/>
      <c r="H10913" s="18"/>
      <c r="K10913" s="18" t="s">
        <v>316</v>
      </c>
    </row>
    <row r="10914">
      <c r="A10914" s="17"/>
      <c r="H10914" s="18"/>
      <c r="K10914" s="18" t="s">
        <v>316</v>
      </c>
    </row>
    <row r="10915">
      <c r="A10915" s="17"/>
      <c r="H10915" s="18"/>
      <c r="K10915" s="18" t="s">
        <v>316</v>
      </c>
    </row>
    <row r="10916">
      <c r="A10916" s="17"/>
      <c r="H10916" s="18"/>
      <c r="K10916" s="18" t="s">
        <v>316</v>
      </c>
    </row>
    <row r="10917">
      <c r="A10917" s="17"/>
      <c r="H10917" s="18"/>
      <c r="K10917" s="18" t="s">
        <v>316</v>
      </c>
    </row>
    <row r="10918">
      <c r="A10918" s="17"/>
      <c r="H10918" s="18"/>
      <c r="K10918" s="18" t="s">
        <v>316</v>
      </c>
    </row>
    <row r="10919">
      <c r="A10919" s="17"/>
      <c r="H10919" s="18"/>
      <c r="K10919" s="18" t="s">
        <v>316</v>
      </c>
    </row>
    <row r="10920">
      <c r="A10920" s="17"/>
      <c r="H10920" s="18"/>
      <c r="K10920" s="18" t="s">
        <v>316</v>
      </c>
    </row>
    <row r="10921">
      <c r="A10921" s="17"/>
      <c r="H10921" s="18"/>
      <c r="K10921" s="18" t="s">
        <v>316</v>
      </c>
    </row>
    <row r="10922">
      <c r="A10922" s="17"/>
      <c r="H10922" s="18"/>
      <c r="K10922" s="18" t="s">
        <v>316</v>
      </c>
    </row>
    <row r="10923">
      <c r="A10923" s="17"/>
      <c r="H10923" s="18"/>
      <c r="K10923" s="18" t="s">
        <v>316</v>
      </c>
    </row>
    <row r="10924">
      <c r="A10924" s="17"/>
      <c r="H10924" s="18"/>
      <c r="K10924" s="18" t="s">
        <v>316</v>
      </c>
    </row>
    <row r="10925">
      <c r="A10925" s="17"/>
      <c r="H10925" s="18"/>
      <c r="K10925" s="18" t="s">
        <v>316</v>
      </c>
    </row>
    <row r="10926">
      <c r="A10926" s="17"/>
      <c r="H10926" s="18"/>
      <c r="K10926" s="18" t="s">
        <v>316</v>
      </c>
    </row>
    <row r="10927">
      <c r="A10927" s="17"/>
      <c r="H10927" s="18"/>
      <c r="K10927" s="18" t="s">
        <v>316</v>
      </c>
    </row>
    <row r="10928">
      <c r="A10928" s="17"/>
      <c r="H10928" s="18"/>
      <c r="K10928" s="18" t="s">
        <v>316</v>
      </c>
    </row>
    <row r="10929">
      <c r="A10929" s="17"/>
      <c r="H10929" s="18"/>
      <c r="K10929" s="18" t="s">
        <v>316</v>
      </c>
    </row>
    <row r="10930">
      <c r="A10930" s="17"/>
      <c r="H10930" s="18"/>
      <c r="K10930" s="18" t="s">
        <v>316</v>
      </c>
    </row>
    <row r="10931">
      <c r="A10931" s="17"/>
      <c r="H10931" s="18"/>
      <c r="K10931" s="18" t="s">
        <v>316</v>
      </c>
    </row>
    <row r="10932">
      <c r="A10932" s="17"/>
      <c r="H10932" s="18"/>
      <c r="K10932" s="18" t="s">
        <v>316</v>
      </c>
    </row>
    <row r="10933">
      <c r="A10933" s="17"/>
      <c r="H10933" s="18"/>
      <c r="K10933" s="18" t="s">
        <v>316</v>
      </c>
    </row>
    <row r="10934">
      <c r="A10934" s="17"/>
      <c r="H10934" s="18"/>
      <c r="K10934" s="18" t="s">
        <v>316</v>
      </c>
    </row>
    <row r="10935">
      <c r="A10935" s="17"/>
      <c r="H10935" s="18"/>
      <c r="K10935" s="18" t="s">
        <v>316</v>
      </c>
    </row>
    <row r="10936">
      <c r="A10936" s="17"/>
      <c r="H10936" s="18"/>
      <c r="K10936" s="18" t="s">
        <v>316</v>
      </c>
    </row>
    <row r="10937">
      <c r="A10937" s="17"/>
      <c r="H10937" s="18"/>
      <c r="K10937" s="18" t="s">
        <v>316</v>
      </c>
    </row>
    <row r="10938">
      <c r="A10938" s="17"/>
      <c r="H10938" s="18"/>
      <c r="K10938" s="18" t="s">
        <v>316</v>
      </c>
    </row>
    <row r="10939">
      <c r="A10939" s="17"/>
      <c r="H10939" s="18"/>
      <c r="K10939" s="18" t="s">
        <v>316</v>
      </c>
    </row>
    <row r="10940">
      <c r="A10940" s="17"/>
      <c r="H10940" s="18"/>
      <c r="K10940" s="18" t="s">
        <v>316</v>
      </c>
    </row>
    <row r="10941">
      <c r="A10941" s="17"/>
      <c r="H10941" s="18"/>
      <c r="K10941" s="18" t="s">
        <v>316</v>
      </c>
    </row>
    <row r="10942">
      <c r="A10942" s="17"/>
      <c r="H10942" s="18"/>
      <c r="K10942" s="18" t="s">
        <v>316</v>
      </c>
    </row>
    <row r="10943">
      <c r="A10943" s="17"/>
      <c r="H10943" s="18"/>
      <c r="K10943" s="18" t="s">
        <v>316</v>
      </c>
    </row>
    <row r="10944">
      <c r="A10944" s="17"/>
      <c r="H10944" s="18"/>
      <c r="K10944" s="18" t="s">
        <v>316</v>
      </c>
    </row>
    <row r="10945">
      <c r="A10945" s="17"/>
      <c r="H10945" s="18"/>
      <c r="K10945" s="18" t="s">
        <v>316</v>
      </c>
    </row>
    <row r="10946">
      <c r="A10946" s="17"/>
      <c r="H10946" s="18"/>
      <c r="K10946" s="18" t="s">
        <v>316</v>
      </c>
    </row>
    <row r="10947">
      <c r="A10947" s="17"/>
      <c r="H10947" s="18"/>
      <c r="K10947" s="18" t="s">
        <v>316</v>
      </c>
    </row>
    <row r="10948">
      <c r="A10948" s="17"/>
      <c r="H10948" s="18"/>
      <c r="K10948" s="18" t="s">
        <v>316</v>
      </c>
    </row>
    <row r="10949">
      <c r="A10949" s="17"/>
      <c r="H10949" s="18"/>
      <c r="K10949" s="18" t="s">
        <v>316</v>
      </c>
    </row>
    <row r="10950">
      <c r="A10950" s="17"/>
      <c r="H10950" s="18"/>
      <c r="K10950" s="18" t="s">
        <v>316</v>
      </c>
    </row>
    <row r="10951">
      <c r="A10951" s="17"/>
      <c r="H10951" s="18"/>
      <c r="K10951" s="18" t="s">
        <v>316</v>
      </c>
    </row>
    <row r="10952">
      <c r="A10952" s="17"/>
      <c r="H10952" s="18"/>
      <c r="K10952" s="18" t="s">
        <v>316</v>
      </c>
    </row>
    <row r="10953">
      <c r="A10953" s="17"/>
      <c r="H10953" s="18"/>
      <c r="K10953" s="18" t="s">
        <v>316</v>
      </c>
    </row>
    <row r="10954">
      <c r="A10954" s="17"/>
      <c r="H10954" s="18"/>
      <c r="K10954" s="18" t="s">
        <v>316</v>
      </c>
    </row>
    <row r="10955">
      <c r="A10955" s="17"/>
      <c r="H10955" s="18"/>
      <c r="K10955" s="18" t="s">
        <v>316</v>
      </c>
    </row>
    <row r="10956">
      <c r="A10956" s="17"/>
      <c r="H10956" s="18"/>
      <c r="K10956" s="18" t="s">
        <v>316</v>
      </c>
    </row>
    <row r="10957">
      <c r="A10957" s="17"/>
      <c r="H10957" s="18"/>
      <c r="K10957" s="18" t="s">
        <v>316</v>
      </c>
    </row>
    <row r="10958">
      <c r="A10958" s="17"/>
      <c r="H10958" s="18"/>
      <c r="K10958" s="18" t="s">
        <v>316</v>
      </c>
    </row>
    <row r="10959">
      <c r="A10959" s="17"/>
      <c r="H10959" s="18"/>
      <c r="K10959" s="18" t="s">
        <v>316</v>
      </c>
    </row>
    <row r="10960">
      <c r="A10960" s="17"/>
      <c r="H10960" s="18"/>
      <c r="K10960" s="18" t="s">
        <v>316</v>
      </c>
    </row>
    <row r="10961">
      <c r="A10961" s="17"/>
      <c r="H10961" s="18"/>
      <c r="K10961" s="18" t="s">
        <v>316</v>
      </c>
    </row>
    <row r="10962">
      <c r="A10962" s="17"/>
      <c r="H10962" s="18"/>
      <c r="K10962" s="18" t="s">
        <v>316</v>
      </c>
    </row>
    <row r="10963">
      <c r="A10963" s="17"/>
      <c r="H10963" s="18"/>
      <c r="K10963" s="18" t="s">
        <v>316</v>
      </c>
    </row>
    <row r="10964">
      <c r="A10964" s="17"/>
      <c r="H10964" s="18"/>
      <c r="K10964" s="18" t="s">
        <v>316</v>
      </c>
    </row>
    <row r="10965">
      <c r="A10965" s="17"/>
      <c r="H10965" s="18"/>
      <c r="K10965" s="18" t="s">
        <v>316</v>
      </c>
    </row>
    <row r="10966">
      <c r="A10966" s="17"/>
      <c r="H10966" s="18"/>
      <c r="K10966" s="18" t="s">
        <v>316</v>
      </c>
    </row>
    <row r="10967">
      <c r="A10967" s="17"/>
      <c r="H10967" s="18"/>
      <c r="K10967" s="18" t="s">
        <v>316</v>
      </c>
    </row>
    <row r="10968">
      <c r="A10968" s="17"/>
      <c r="H10968" s="18"/>
      <c r="K10968" s="18" t="s">
        <v>316</v>
      </c>
    </row>
    <row r="10969">
      <c r="A10969" s="17"/>
      <c r="H10969" s="18"/>
      <c r="K10969" s="18" t="s">
        <v>316</v>
      </c>
    </row>
    <row r="10970">
      <c r="A10970" s="17"/>
      <c r="H10970" s="18"/>
      <c r="K10970" s="18" t="s">
        <v>316</v>
      </c>
    </row>
    <row r="10971">
      <c r="A10971" s="17"/>
      <c r="H10971" s="18"/>
      <c r="K10971" s="18" t="s">
        <v>316</v>
      </c>
    </row>
    <row r="10972">
      <c r="A10972" s="17"/>
      <c r="H10972" s="18"/>
      <c r="K10972" s="18" t="s">
        <v>316</v>
      </c>
    </row>
    <row r="10973">
      <c r="A10973" s="17"/>
      <c r="H10973" s="18"/>
      <c r="K10973" s="18" t="s">
        <v>316</v>
      </c>
    </row>
    <row r="10974">
      <c r="A10974" s="17"/>
      <c r="H10974" s="18"/>
      <c r="K10974" s="18" t="s">
        <v>316</v>
      </c>
    </row>
    <row r="10975">
      <c r="A10975" s="17"/>
      <c r="H10975" s="18"/>
      <c r="K10975" s="18" t="s">
        <v>316</v>
      </c>
    </row>
    <row r="10976">
      <c r="A10976" s="17"/>
      <c r="H10976" s="18"/>
      <c r="K10976" s="18" t="s">
        <v>316</v>
      </c>
    </row>
    <row r="10977">
      <c r="A10977" s="17"/>
      <c r="H10977" s="18"/>
      <c r="K10977" s="18" t="s">
        <v>316</v>
      </c>
    </row>
    <row r="10978">
      <c r="A10978" s="17"/>
      <c r="H10978" s="18"/>
      <c r="K10978" s="18" t="s">
        <v>316</v>
      </c>
    </row>
    <row r="10979">
      <c r="A10979" s="17"/>
      <c r="H10979" s="18"/>
      <c r="K10979" s="18" t="s">
        <v>316</v>
      </c>
    </row>
    <row r="10980">
      <c r="A10980" s="17"/>
      <c r="H10980" s="18"/>
      <c r="K10980" s="18" t="s">
        <v>316</v>
      </c>
    </row>
    <row r="10981">
      <c r="A10981" s="17"/>
      <c r="H10981" s="18"/>
      <c r="K10981" s="18" t="s">
        <v>316</v>
      </c>
    </row>
    <row r="10982">
      <c r="A10982" s="17"/>
      <c r="H10982" s="18"/>
      <c r="K10982" s="18" t="s">
        <v>316</v>
      </c>
    </row>
    <row r="10983">
      <c r="A10983" s="17"/>
      <c r="H10983" s="18"/>
      <c r="K10983" s="18" t="s">
        <v>316</v>
      </c>
    </row>
    <row r="10984">
      <c r="A10984" s="17"/>
      <c r="H10984" s="18"/>
      <c r="K10984" s="18" t="s">
        <v>316</v>
      </c>
    </row>
    <row r="10985">
      <c r="A10985" s="17"/>
      <c r="H10985" s="18"/>
      <c r="K10985" s="18" t="s">
        <v>316</v>
      </c>
    </row>
    <row r="10986">
      <c r="A10986" s="17"/>
      <c r="H10986" s="18"/>
      <c r="K10986" s="18" t="s">
        <v>316</v>
      </c>
    </row>
    <row r="10987">
      <c r="A10987" s="17"/>
      <c r="H10987" s="18"/>
      <c r="K10987" s="18" t="s">
        <v>316</v>
      </c>
    </row>
    <row r="10988">
      <c r="A10988" s="17"/>
      <c r="H10988" s="18"/>
      <c r="K10988" s="18" t="s">
        <v>316</v>
      </c>
    </row>
    <row r="10989">
      <c r="A10989" s="17"/>
      <c r="H10989" s="18"/>
      <c r="K10989" s="18" t="s">
        <v>316</v>
      </c>
    </row>
    <row r="10990">
      <c r="A10990" s="17"/>
      <c r="H10990" s="18"/>
      <c r="K10990" s="18" t="s">
        <v>316</v>
      </c>
    </row>
    <row r="10991">
      <c r="A10991" s="17"/>
      <c r="H10991" s="18"/>
      <c r="K10991" s="18" t="s">
        <v>316</v>
      </c>
    </row>
    <row r="10992">
      <c r="A10992" s="17"/>
      <c r="H10992" s="18"/>
      <c r="K10992" s="18" t="s">
        <v>316</v>
      </c>
    </row>
    <row r="10993">
      <c r="A10993" s="17"/>
      <c r="H10993" s="18"/>
      <c r="K10993" s="18" t="s">
        <v>316</v>
      </c>
    </row>
    <row r="10994">
      <c r="A10994" s="17"/>
      <c r="H10994" s="18"/>
      <c r="K10994" s="18" t="s">
        <v>316</v>
      </c>
    </row>
    <row r="10995">
      <c r="A10995" s="17"/>
      <c r="H10995" s="18"/>
      <c r="K10995" s="18" t="s">
        <v>316</v>
      </c>
    </row>
    <row r="10996">
      <c r="A10996" s="17"/>
      <c r="H10996" s="18"/>
      <c r="K10996" s="18" t="s">
        <v>316</v>
      </c>
    </row>
    <row r="10997">
      <c r="A10997" s="17"/>
      <c r="H10997" s="18"/>
      <c r="K10997" s="18" t="s">
        <v>316</v>
      </c>
    </row>
    <row r="10998">
      <c r="A10998" s="17"/>
      <c r="H10998" s="18"/>
      <c r="K10998" s="18" t="s">
        <v>316</v>
      </c>
    </row>
    <row r="10999">
      <c r="A10999" s="17"/>
      <c r="H10999" s="18"/>
      <c r="K10999" s="18" t="s">
        <v>316</v>
      </c>
    </row>
    <row r="11000">
      <c r="A11000" s="17"/>
      <c r="H11000" s="18"/>
      <c r="K11000" s="18" t="s">
        <v>316</v>
      </c>
    </row>
    <row r="11001">
      <c r="A11001" s="17"/>
      <c r="H11001" s="18"/>
      <c r="K11001" s="18" t="s">
        <v>316</v>
      </c>
    </row>
    <row r="11002">
      <c r="A11002" s="17"/>
      <c r="H11002" s="18"/>
      <c r="K11002" s="18" t="s">
        <v>316</v>
      </c>
    </row>
    <row r="11003">
      <c r="A11003" s="17"/>
      <c r="H11003" s="18"/>
      <c r="K11003" s="18" t="s">
        <v>316</v>
      </c>
    </row>
    <row r="11004">
      <c r="A11004" s="17"/>
      <c r="H11004" s="18"/>
      <c r="K11004" s="18" t="s">
        <v>316</v>
      </c>
    </row>
    <row r="11005">
      <c r="A11005" s="17"/>
      <c r="H11005" s="18"/>
      <c r="K11005" s="18" t="s">
        <v>316</v>
      </c>
    </row>
    <row r="11006">
      <c r="A11006" s="17"/>
      <c r="H11006" s="18"/>
      <c r="K11006" s="18" t="s">
        <v>316</v>
      </c>
    </row>
    <row r="11007">
      <c r="A11007" s="17"/>
      <c r="H11007" s="18"/>
      <c r="K11007" s="18" t="s">
        <v>316</v>
      </c>
    </row>
    <row r="11008">
      <c r="A11008" s="17"/>
      <c r="H11008" s="18"/>
      <c r="K11008" s="18" t="s">
        <v>316</v>
      </c>
    </row>
    <row r="11009">
      <c r="A11009" s="17"/>
      <c r="H11009" s="18"/>
      <c r="K11009" s="18" t="s">
        <v>316</v>
      </c>
    </row>
    <row r="11010">
      <c r="A11010" s="17"/>
      <c r="H11010" s="18"/>
      <c r="K11010" s="18" t="s">
        <v>316</v>
      </c>
    </row>
    <row r="11011">
      <c r="A11011" s="17"/>
      <c r="H11011" s="18"/>
      <c r="K11011" s="18" t="s">
        <v>316</v>
      </c>
    </row>
    <row r="11012">
      <c r="A11012" s="17"/>
      <c r="H11012" s="18"/>
      <c r="K11012" s="18" t="s">
        <v>316</v>
      </c>
    </row>
    <row r="11013">
      <c r="A11013" s="17"/>
      <c r="H11013" s="18"/>
      <c r="K11013" s="18" t="s">
        <v>316</v>
      </c>
    </row>
    <row r="11014">
      <c r="A11014" s="17"/>
      <c r="H11014" s="18"/>
      <c r="K11014" s="18" t="s">
        <v>316</v>
      </c>
    </row>
    <row r="11015">
      <c r="A11015" s="17"/>
      <c r="H11015" s="18"/>
      <c r="K11015" s="18" t="s">
        <v>316</v>
      </c>
    </row>
    <row r="11016">
      <c r="A11016" s="17"/>
      <c r="H11016" s="18"/>
      <c r="K11016" s="18" t="s">
        <v>316</v>
      </c>
    </row>
    <row r="11017">
      <c r="A11017" s="17"/>
      <c r="H11017" s="18"/>
      <c r="K11017" s="18" t="s">
        <v>316</v>
      </c>
    </row>
    <row r="11018">
      <c r="A11018" s="17"/>
      <c r="H11018" s="18"/>
      <c r="K11018" s="18" t="s">
        <v>316</v>
      </c>
    </row>
    <row r="11019">
      <c r="A11019" s="17"/>
      <c r="H11019" s="18"/>
      <c r="K11019" s="18" t="s">
        <v>316</v>
      </c>
    </row>
    <row r="11020">
      <c r="A11020" s="17"/>
      <c r="H11020" s="18"/>
      <c r="K11020" s="18" t="s">
        <v>316</v>
      </c>
    </row>
    <row r="11021">
      <c r="A11021" s="17"/>
      <c r="H11021" s="18"/>
      <c r="K11021" s="18" t="s">
        <v>316</v>
      </c>
    </row>
    <row r="11022">
      <c r="A11022" s="17"/>
      <c r="H11022" s="18"/>
      <c r="K11022" s="18" t="s">
        <v>316</v>
      </c>
    </row>
    <row r="11023">
      <c r="A11023" s="17"/>
      <c r="H11023" s="18"/>
      <c r="K11023" s="18" t="s">
        <v>316</v>
      </c>
    </row>
    <row r="11024">
      <c r="A11024" s="17"/>
      <c r="H11024" s="18"/>
      <c r="K11024" s="18" t="s">
        <v>316</v>
      </c>
    </row>
    <row r="11025">
      <c r="A11025" s="17"/>
      <c r="H11025" s="18"/>
      <c r="K11025" s="18" t="s">
        <v>316</v>
      </c>
    </row>
    <row r="11026">
      <c r="A11026" s="17"/>
      <c r="H11026" s="18"/>
      <c r="K11026" s="18" t="s">
        <v>316</v>
      </c>
    </row>
    <row r="11027">
      <c r="A11027" s="17"/>
      <c r="H11027" s="18"/>
      <c r="K11027" s="18" t="s">
        <v>316</v>
      </c>
    </row>
    <row r="11028">
      <c r="A11028" s="17"/>
      <c r="H11028" s="18"/>
      <c r="K11028" s="18" t="s">
        <v>316</v>
      </c>
    </row>
    <row r="11029">
      <c r="A11029" s="17"/>
      <c r="H11029" s="18"/>
      <c r="K11029" s="18" t="s">
        <v>316</v>
      </c>
    </row>
    <row r="11030">
      <c r="A11030" s="17"/>
      <c r="H11030" s="18"/>
      <c r="K11030" s="18" t="s">
        <v>316</v>
      </c>
    </row>
    <row r="11031">
      <c r="A11031" s="17"/>
      <c r="H11031" s="18"/>
      <c r="K11031" s="18" t="s">
        <v>316</v>
      </c>
    </row>
    <row r="11032">
      <c r="A11032" s="17"/>
      <c r="H11032" s="18"/>
      <c r="K11032" s="18" t="s">
        <v>316</v>
      </c>
    </row>
    <row r="11033">
      <c r="A11033" s="17"/>
      <c r="H11033" s="18"/>
      <c r="K11033" s="18" t="s">
        <v>316</v>
      </c>
    </row>
    <row r="11034">
      <c r="A11034" s="17"/>
      <c r="H11034" s="18"/>
      <c r="K11034" s="18" t="s">
        <v>316</v>
      </c>
    </row>
    <row r="11035">
      <c r="A11035" s="17"/>
      <c r="H11035" s="18"/>
      <c r="K11035" s="18" t="s">
        <v>316</v>
      </c>
    </row>
    <row r="11036">
      <c r="A11036" s="17"/>
      <c r="H11036" s="18"/>
      <c r="K11036" s="18" t="s">
        <v>316</v>
      </c>
    </row>
    <row r="11037">
      <c r="A11037" s="17"/>
      <c r="H11037" s="18"/>
      <c r="K11037" s="18" t="s">
        <v>316</v>
      </c>
    </row>
    <row r="11038">
      <c r="A11038" s="17"/>
      <c r="H11038" s="18"/>
      <c r="K11038" s="18" t="s">
        <v>316</v>
      </c>
    </row>
    <row r="11039">
      <c r="A11039" s="17"/>
      <c r="H11039" s="18"/>
      <c r="K11039" s="18" t="s">
        <v>316</v>
      </c>
    </row>
    <row r="11040">
      <c r="A11040" s="17"/>
      <c r="H11040" s="18"/>
      <c r="K11040" s="18" t="s">
        <v>316</v>
      </c>
    </row>
    <row r="11041">
      <c r="A11041" s="17"/>
      <c r="H11041" s="18"/>
      <c r="K11041" s="18" t="s">
        <v>316</v>
      </c>
    </row>
    <row r="11042">
      <c r="A11042" s="17"/>
      <c r="H11042" s="18"/>
      <c r="K11042" s="18" t="s">
        <v>316</v>
      </c>
    </row>
    <row r="11043">
      <c r="A11043" s="17"/>
      <c r="H11043" s="18"/>
      <c r="K11043" s="18" t="s">
        <v>316</v>
      </c>
    </row>
    <row r="11044">
      <c r="A11044" s="17"/>
      <c r="H11044" s="18"/>
      <c r="K11044" s="18" t="s">
        <v>316</v>
      </c>
    </row>
    <row r="11045">
      <c r="A11045" s="17"/>
      <c r="H11045" s="18"/>
      <c r="K11045" s="18" t="s">
        <v>316</v>
      </c>
    </row>
    <row r="11046">
      <c r="A11046" s="17"/>
      <c r="H11046" s="18"/>
      <c r="K11046" s="18" t="s">
        <v>316</v>
      </c>
    </row>
    <row r="11047">
      <c r="A11047" s="17"/>
      <c r="H11047" s="18"/>
      <c r="K11047" s="18" t="s">
        <v>316</v>
      </c>
    </row>
    <row r="11048">
      <c r="A11048" s="17"/>
      <c r="H11048" s="18"/>
      <c r="K11048" s="18" t="s">
        <v>316</v>
      </c>
    </row>
    <row r="11049">
      <c r="A11049" s="17"/>
      <c r="H11049" s="18"/>
      <c r="K11049" s="18" t="s">
        <v>316</v>
      </c>
    </row>
    <row r="11050">
      <c r="A11050" s="17"/>
      <c r="H11050" s="18"/>
      <c r="K11050" s="18" t="s">
        <v>316</v>
      </c>
    </row>
    <row r="11051">
      <c r="A11051" s="17"/>
      <c r="H11051" s="18"/>
      <c r="K11051" s="18" t="s">
        <v>316</v>
      </c>
    </row>
    <row r="11052">
      <c r="A11052" s="17"/>
      <c r="H11052" s="18"/>
      <c r="K11052" s="18" t="s">
        <v>316</v>
      </c>
    </row>
    <row r="11053">
      <c r="A11053" s="17"/>
      <c r="H11053" s="18"/>
      <c r="K11053" s="18" t="s">
        <v>316</v>
      </c>
    </row>
    <row r="11054">
      <c r="A11054" s="17"/>
      <c r="H11054" s="18"/>
      <c r="K11054" s="18" t="s">
        <v>316</v>
      </c>
    </row>
    <row r="11055">
      <c r="A11055" s="17"/>
      <c r="H11055" s="18"/>
      <c r="K11055" s="18" t="s">
        <v>316</v>
      </c>
    </row>
    <row r="11056">
      <c r="A11056" s="17"/>
      <c r="H11056" s="18"/>
      <c r="K11056" s="18" t="s">
        <v>316</v>
      </c>
    </row>
    <row r="11057">
      <c r="A11057" s="17"/>
      <c r="H11057" s="18"/>
      <c r="K11057" s="18" t="s">
        <v>316</v>
      </c>
    </row>
    <row r="11058">
      <c r="A11058" s="17"/>
      <c r="H11058" s="18"/>
      <c r="K11058" s="18" t="s">
        <v>316</v>
      </c>
    </row>
    <row r="11059">
      <c r="A11059" s="17"/>
      <c r="H11059" s="18"/>
      <c r="K11059" s="18" t="s">
        <v>316</v>
      </c>
    </row>
    <row r="11060">
      <c r="A11060" s="17"/>
      <c r="H11060" s="18"/>
      <c r="K11060" s="18" t="s">
        <v>316</v>
      </c>
    </row>
    <row r="11061">
      <c r="A11061" s="17"/>
      <c r="H11061" s="18"/>
      <c r="K11061" s="18" t="s">
        <v>316</v>
      </c>
    </row>
    <row r="11062">
      <c r="A11062" s="17"/>
      <c r="H11062" s="18"/>
      <c r="K11062" s="18" t="s">
        <v>316</v>
      </c>
    </row>
    <row r="11063">
      <c r="A11063" s="17"/>
      <c r="H11063" s="18"/>
      <c r="K11063" s="18" t="s">
        <v>316</v>
      </c>
    </row>
    <row r="11064">
      <c r="A11064" s="17"/>
      <c r="H11064" s="18"/>
      <c r="K11064" s="18" t="s">
        <v>316</v>
      </c>
    </row>
    <row r="11065">
      <c r="A11065" s="17"/>
      <c r="H11065" s="18"/>
      <c r="K11065" s="18" t="s">
        <v>316</v>
      </c>
    </row>
    <row r="11066">
      <c r="A11066" s="17"/>
      <c r="H11066" s="18"/>
      <c r="K11066" s="18" t="s">
        <v>316</v>
      </c>
    </row>
    <row r="11067">
      <c r="A11067" s="17"/>
      <c r="H11067" s="18"/>
      <c r="K11067" s="18" t="s">
        <v>316</v>
      </c>
    </row>
    <row r="11068">
      <c r="A11068" s="17"/>
      <c r="H11068" s="18"/>
      <c r="K11068" s="18" t="s">
        <v>316</v>
      </c>
    </row>
    <row r="11069">
      <c r="A11069" s="17"/>
      <c r="H11069" s="18"/>
      <c r="K11069" s="18" t="s">
        <v>316</v>
      </c>
    </row>
    <row r="11070">
      <c r="A11070" s="17"/>
      <c r="H11070" s="18"/>
      <c r="K11070" s="18" t="s">
        <v>316</v>
      </c>
    </row>
    <row r="11071">
      <c r="A11071" s="17"/>
      <c r="H11071" s="18"/>
      <c r="K11071" s="18" t="s">
        <v>316</v>
      </c>
    </row>
    <row r="11072">
      <c r="A11072" s="17"/>
      <c r="H11072" s="18"/>
      <c r="K11072" s="18" t="s">
        <v>316</v>
      </c>
    </row>
    <row r="11073">
      <c r="A11073" s="17"/>
      <c r="H11073" s="18"/>
      <c r="K11073" s="18" t="s">
        <v>316</v>
      </c>
    </row>
    <row r="11074">
      <c r="A11074" s="17"/>
      <c r="H11074" s="18"/>
      <c r="K11074" s="18" t="s">
        <v>316</v>
      </c>
    </row>
    <row r="11075">
      <c r="A11075" s="17"/>
      <c r="H11075" s="18"/>
      <c r="K11075" s="18" t="s">
        <v>316</v>
      </c>
    </row>
    <row r="11076">
      <c r="A11076" s="17"/>
      <c r="H11076" s="18"/>
      <c r="K11076" s="18" t="s">
        <v>316</v>
      </c>
    </row>
    <row r="11077">
      <c r="A11077" s="17"/>
      <c r="H11077" s="18"/>
      <c r="K11077" s="18" t="s">
        <v>316</v>
      </c>
    </row>
    <row r="11078">
      <c r="A11078" s="17"/>
      <c r="H11078" s="18"/>
      <c r="K11078" s="18" t="s">
        <v>316</v>
      </c>
    </row>
    <row r="11079">
      <c r="A11079" s="17"/>
      <c r="H11079" s="18"/>
      <c r="K11079" s="18" t="s">
        <v>316</v>
      </c>
    </row>
    <row r="11080">
      <c r="A11080" s="17"/>
      <c r="H11080" s="18"/>
      <c r="K11080" s="18" t="s">
        <v>316</v>
      </c>
    </row>
    <row r="11081">
      <c r="A11081" s="17"/>
      <c r="H11081" s="18"/>
      <c r="K11081" s="18" t="s">
        <v>316</v>
      </c>
    </row>
    <row r="11082">
      <c r="A11082" s="17"/>
      <c r="H11082" s="18"/>
      <c r="K11082" s="18" t="s">
        <v>316</v>
      </c>
    </row>
    <row r="11083">
      <c r="A11083" s="17"/>
      <c r="H11083" s="18"/>
      <c r="K11083" s="18" t="s">
        <v>316</v>
      </c>
    </row>
    <row r="11084">
      <c r="A11084" s="17"/>
      <c r="H11084" s="18"/>
      <c r="K11084" s="18" t="s">
        <v>316</v>
      </c>
    </row>
    <row r="11085">
      <c r="A11085" s="17"/>
      <c r="H11085" s="18"/>
      <c r="K11085" s="18" t="s">
        <v>316</v>
      </c>
    </row>
    <row r="11086">
      <c r="A11086" s="17"/>
      <c r="H11086" s="18"/>
      <c r="K11086" s="18" t="s">
        <v>316</v>
      </c>
    </row>
    <row r="11087">
      <c r="A11087" s="17"/>
      <c r="H11087" s="18"/>
      <c r="K11087" s="18" t="s">
        <v>316</v>
      </c>
    </row>
    <row r="11088">
      <c r="A11088" s="17"/>
      <c r="H11088" s="18"/>
      <c r="K11088" s="18" t="s">
        <v>316</v>
      </c>
    </row>
    <row r="11089">
      <c r="A11089" s="17"/>
      <c r="H11089" s="18"/>
      <c r="K11089" s="18" t="s">
        <v>316</v>
      </c>
    </row>
    <row r="11090">
      <c r="A11090" s="17"/>
      <c r="H11090" s="18"/>
      <c r="K11090" s="18" t="s">
        <v>316</v>
      </c>
    </row>
    <row r="11091">
      <c r="A11091" s="17"/>
      <c r="H11091" s="18"/>
      <c r="K11091" s="18" t="s">
        <v>316</v>
      </c>
    </row>
    <row r="11092">
      <c r="A11092" s="17"/>
      <c r="H11092" s="18"/>
      <c r="K11092" s="18" t="s">
        <v>316</v>
      </c>
    </row>
    <row r="11093">
      <c r="A11093" s="17"/>
      <c r="H11093" s="18"/>
      <c r="K11093" s="18" t="s">
        <v>316</v>
      </c>
    </row>
    <row r="11094">
      <c r="A11094" s="17"/>
      <c r="H11094" s="18"/>
      <c r="K11094" s="18" t="s">
        <v>316</v>
      </c>
    </row>
    <row r="11095">
      <c r="A11095" s="17"/>
      <c r="H11095" s="18"/>
      <c r="K11095" s="18" t="s">
        <v>316</v>
      </c>
    </row>
    <row r="11096">
      <c r="A11096" s="17"/>
      <c r="H11096" s="18"/>
      <c r="K11096" s="18" t="s">
        <v>316</v>
      </c>
    </row>
    <row r="11097">
      <c r="A11097" s="17"/>
      <c r="H11097" s="18"/>
      <c r="K11097" s="18" t="s">
        <v>316</v>
      </c>
    </row>
    <row r="11098">
      <c r="A11098" s="17"/>
      <c r="H11098" s="18"/>
      <c r="K11098" s="18" t="s">
        <v>316</v>
      </c>
    </row>
    <row r="11099">
      <c r="A11099" s="17"/>
      <c r="H11099" s="18"/>
      <c r="K11099" s="18" t="s">
        <v>316</v>
      </c>
    </row>
    <row r="11100">
      <c r="A11100" s="17"/>
      <c r="H11100" s="18"/>
      <c r="K11100" s="18" t="s">
        <v>316</v>
      </c>
    </row>
    <row r="11101">
      <c r="A11101" s="17"/>
      <c r="H11101" s="18"/>
      <c r="K11101" s="18" t="s">
        <v>316</v>
      </c>
    </row>
    <row r="11102">
      <c r="A11102" s="17"/>
      <c r="H11102" s="18"/>
      <c r="K11102" s="18" t="s">
        <v>316</v>
      </c>
    </row>
    <row r="11103">
      <c r="A11103" s="17"/>
      <c r="H11103" s="18"/>
      <c r="K11103" s="18" t="s">
        <v>316</v>
      </c>
    </row>
    <row r="11104">
      <c r="A11104" s="17"/>
      <c r="H11104" s="18"/>
      <c r="K11104" s="18" t="s">
        <v>316</v>
      </c>
    </row>
    <row r="11105">
      <c r="A11105" s="17"/>
      <c r="H11105" s="18"/>
      <c r="K11105" s="18" t="s">
        <v>316</v>
      </c>
    </row>
    <row r="11106">
      <c r="A11106" s="17"/>
      <c r="H11106" s="18"/>
      <c r="K11106" s="18" t="s">
        <v>316</v>
      </c>
    </row>
    <row r="11107">
      <c r="A11107" s="17"/>
      <c r="H11107" s="18"/>
      <c r="K11107" s="18" t="s">
        <v>316</v>
      </c>
    </row>
    <row r="11108">
      <c r="A11108" s="17"/>
      <c r="H11108" s="18"/>
      <c r="K11108" s="18" t="s">
        <v>316</v>
      </c>
    </row>
    <row r="11109">
      <c r="A11109" s="17"/>
      <c r="H11109" s="18"/>
      <c r="K11109" s="18" t="s">
        <v>316</v>
      </c>
    </row>
    <row r="11110">
      <c r="A11110" s="17"/>
      <c r="H11110" s="18"/>
      <c r="K11110" s="18" t="s">
        <v>316</v>
      </c>
    </row>
    <row r="11111">
      <c r="A11111" s="17"/>
      <c r="H11111" s="18"/>
      <c r="K11111" s="18" t="s">
        <v>316</v>
      </c>
    </row>
    <row r="11112">
      <c r="A11112" s="17"/>
      <c r="H11112" s="18"/>
      <c r="K11112" s="18" t="s">
        <v>316</v>
      </c>
    </row>
    <row r="11113">
      <c r="A11113" s="17"/>
      <c r="H11113" s="18"/>
      <c r="K11113" s="18" t="s">
        <v>316</v>
      </c>
    </row>
    <row r="11114">
      <c r="A11114" s="17"/>
      <c r="H11114" s="18"/>
      <c r="K11114" s="18" t="s">
        <v>316</v>
      </c>
    </row>
    <row r="11115">
      <c r="A11115" s="17"/>
      <c r="H11115" s="18"/>
      <c r="K11115" s="18" t="s">
        <v>316</v>
      </c>
    </row>
    <row r="11116">
      <c r="A11116" s="17"/>
      <c r="H11116" s="18"/>
      <c r="K11116" s="18" t="s">
        <v>316</v>
      </c>
    </row>
    <row r="11117">
      <c r="A11117" s="17"/>
      <c r="H11117" s="18"/>
      <c r="K11117" s="18" t="s">
        <v>316</v>
      </c>
    </row>
    <row r="11118">
      <c r="A11118" s="17"/>
      <c r="H11118" s="18"/>
      <c r="K11118" s="18" t="s">
        <v>316</v>
      </c>
    </row>
    <row r="11119">
      <c r="A11119" s="17"/>
      <c r="H11119" s="18"/>
      <c r="K11119" s="18" t="s">
        <v>316</v>
      </c>
    </row>
    <row r="11120">
      <c r="A11120" s="17"/>
      <c r="H11120" s="18"/>
      <c r="K11120" s="18" t="s">
        <v>316</v>
      </c>
    </row>
    <row r="11121">
      <c r="A11121" s="17"/>
      <c r="H11121" s="18"/>
      <c r="K11121" s="18" t="s">
        <v>316</v>
      </c>
    </row>
    <row r="11122">
      <c r="A11122" s="17"/>
      <c r="H11122" s="18"/>
      <c r="K11122" s="18" t="s">
        <v>316</v>
      </c>
    </row>
    <row r="11123">
      <c r="A11123" s="17"/>
      <c r="H11123" s="18"/>
      <c r="K11123" s="18" t="s">
        <v>316</v>
      </c>
    </row>
    <row r="11124">
      <c r="A11124" s="17"/>
      <c r="H11124" s="18"/>
      <c r="K11124" s="18" t="s">
        <v>316</v>
      </c>
    </row>
    <row r="11125">
      <c r="A11125" s="17"/>
      <c r="H11125" s="18"/>
      <c r="K11125" s="18" t="s">
        <v>316</v>
      </c>
    </row>
    <row r="11126">
      <c r="A11126" s="17"/>
      <c r="H11126" s="18"/>
      <c r="K11126" s="18" t="s">
        <v>316</v>
      </c>
    </row>
    <row r="11127">
      <c r="A11127" s="17"/>
      <c r="H11127" s="18"/>
      <c r="K11127" s="18" t="s">
        <v>316</v>
      </c>
    </row>
    <row r="11128">
      <c r="A11128" s="17"/>
      <c r="H11128" s="18"/>
      <c r="K11128" s="18" t="s">
        <v>316</v>
      </c>
    </row>
    <row r="11129">
      <c r="A11129" s="17"/>
      <c r="H11129" s="18"/>
      <c r="K11129" s="18" t="s">
        <v>316</v>
      </c>
    </row>
    <row r="11130">
      <c r="A11130" s="17"/>
      <c r="H11130" s="18"/>
      <c r="K11130" s="18" t="s">
        <v>316</v>
      </c>
    </row>
    <row r="11131">
      <c r="A11131" s="17"/>
      <c r="H11131" s="18"/>
      <c r="K11131" s="18" t="s">
        <v>316</v>
      </c>
    </row>
    <row r="11132">
      <c r="A11132" s="17"/>
      <c r="H11132" s="18"/>
      <c r="K11132" s="18" t="s">
        <v>316</v>
      </c>
    </row>
    <row r="11133">
      <c r="A11133" s="17"/>
      <c r="H11133" s="18"/>
      <c r="K11133" s="18" t="s">
        <v>316</v>
      </c>
    </row>
    <row r="11134">
      <c r="A11134" s="17"/>
      <c r="H11134" s="18"/>
      <c r="K11134" s="18" t="s">
        <v>316</v>
      </c>
    </row>
    <row r="11135">
      <c r="A11135" s="17"/>
      <c r="H11135" s="18"/>
      <c r="K11135" s="18" t="s">
        <v>316</v>
      </c>
    </row>
    <row r="11136">
      <c r="A11136" s="17"/>
      <c r="H11136" s="18"/>
      <c r="K11136" s="18" t="s">
        <v>316</v>
      </c>
    </row>
    <row r="11137">
      <c r="A11137" s="17"/>
      <c r="H11137" s="18"/>
      <c r="K11137" s="18" t="s">
        <v>316</v>
      </c>
    </row>
    <row r="11138">
      <c r="A11138" s="17"/>
      <c r="H11138" s="18"/>
      <c r="K11138" s="18" t="s">
        <v>316</v>
      </c>
    </row>
    <row r="11139">
      <c r="A11139" s="17"/>
      <c r="H11139" s="18"/>
      <c r="K11139" s="18" t="s">
        <v>316</v>
      </c>
    </row>
    <row r="11140">
      <c r="A11140" s="17"/>
      <c r="H11140" s="18"/>
      <c r="K11140" s="18" t="s">
        <v>316</v>
      </c>
    </row>
    <row r="11141">
      <c r="A11141" s="17"/>
      <c r="H11141" s="18"/>
      <c r="K11141" s="18" t="s">
        <v>316</v>
      </c>
    </row>
    <row r="11142">
      <c r="A11142" s="17"/>
      <c r="H11142" s="18"/>
      <c r="K11142" s="18" t="s">
        <v>316</v>
      </c>
    </row>
    <row r="11143">
      <c r="A11143" s="17"/>
      <c r="H11143" s="18"/>
      <c r="K11143" s="18" t="s">
        <v>316</v>
      </c>
    </row>
    <row r="11144">
      <c r="A11144" s="17"/>
      <c r="H11144" s="18"/>
      <c r="K11144" s="18" t="s">
        <v>316</v>
      </c>
    </row>
    <row r="11145">
      <c r="A11145" s="17"/>
      <c r="H11145" s="18"/>
      <c r="K11145" s="18" t="s">
        <v>316</v>
      </c>
    </row>
    <row r="11146">
      <c r="A11146" s="17"/>
      <c r="H11146" s="18"/>
      <c r="K11146" s="18" t="s">
        <v>316</v>
      </c>
    </row>
    <row r="11147">
      <c r="A11147" s="17"/>
      <c r="H11147" s="18"/>
      <c r="K11147" s="18" t="s">
        <v>316</v>
      </c>
    </row>
    <row r="11148">
      <c r="A11148" s="17"/>
      <c r="H11148" s="18"/>
      <c r="K11148" s="18" t="s">
        <v>316</v>
      </c>
    </row>
    <row r="11149">
      <c r="A11149" s="17"/>
      <c r="H11149" s="18"/>
      <c r="K11149" s="18" t="s">
        <v>316</v>
      </c>
    </row>
    <row r="11150">
      <c r="A11150" s="17"/>
      <c r="H11150" s="18"/>
      <c r="K11150" s="18" t="s">
        <v>316</v>
      </c>
    </row>
    <row r="11151">
      <c r="A11151" s="17"/>
      <c r="H11151" s="18"/>
      <c r="K11151" s="18" t="s">
        <v>316</v>
      </c>
    </row>
    <row r="11152">
      <c r="A11152" s="17"/>
      <c r="H11152" s="18"/>
      <c r="K11152" s="18" t="s">
        <v>316</v>
      </c>
    </row>
    <row r="11153">
      <c r="A11153" s="17"/>
      <c r="H11153" s="18"/>
      <c r="K11153" s="18" t="s">
        <v>316</v>
      </c>
    </row>
    <row r="11154">
      <c r="A11154" s="17"/>
      <c r="H11154" s="18"/>
      <c r="K11154" s="18" t="s">
        <v>316</v>
      </c>
    </row>
    <row r="11155">
      <c r="A11155" s="17"/>
      <c r="H11155" s="18"/>
      <c r="K11155" s="18" t="s">
        <v>316</v>
      </c>
    </row>
    <row r="11156">
      <c r="A11156" s="17"/>
      <c r="H11156" s="18"/>
      <c r="K11156" s="18" t="s">
        <v>316</v>
      </c>
    </row>
    <row r="11157">
      <c r="A11157" s="17"/>
      <c r="H11157" s="18"/>
      <c r="K11157" s="18" t="s">
        <v>316</v>
      </c>
    </row>
    <row r="11158">
      <c r="A11158" s="17"/>
      <c r="H11158" s="18"/>
      <c r="K11158" s="18" t="s">
        <v>316</v>
      </c>
    </row>
    <row r="11159">
      <c r="A11159" s="17"/>
      <c r="H11159" s="18"/>
      <c r="K11159" s="18" t="s">
        <v>316</v>
      </c>
    </row>
    <row r="11160">
      <c r="A11160" s="17"/>
      <c r="H11160" s="18"/>
      <c r="K11160" s="18" t="s">
        <v>316</v>
      </c>
    </row>
    <row r="11161">
      <c r="A11161" s="17"/>
      <c r="H11161" s="18"/>
      <c r="K11161" s="18" t="s">
        <v>316</v>
      </c>
    </row>
    <row r="11162">
      <c r="A11162" s="17"/>
      <c r="H11162" s="18"/>
      <c r="K11162" s="18" t="s">
        <v>316</v>
      </c>
    </row>
    <row r="11163">
      <c r="A11163" s="17"/>
      <c r="H11163" s="18"/>
      <c r="K11163" s="18" t="s">
        <v>316</v>
      </c>
    </row>
    <row r="11164">
      <c r="A11164" s="17"/>
      <c r="H11164" s="18"/>
      <c r="K11164" s="18" t="s">
        <v>316</v>
      </c>
    </row>
    <row r="11165">
      <c r="A11165" s="17"/>
      <c r="H11165" s="18"/>
      <c r="K11165" s="18" t="s">
        <v>316</v>
      </c>
    </row>
    <row r="11166">
      <c r="A11166" s="17"/>
      <c r="H11166" s="18"/>
      <c r="K11166" s="18" t="s">
        <v>316</v>
      </c>
    </row>
    <row r="11167">
      <c r="A11167" s="17"/>
      <c r="H11167" s="18"/>
      <c r="K11167" s="18" t="s">
        <v>316</v>
      </c>
    </row>
    <row r="11168">
      <c r="A11168" s="17"/>
      <c r="H11168" s="18"/>
      <c r="K11168" s="18" t="s">
        <v>316</v>
      </c>
    </row>
    <row r="11169">
      <c r="A11169" s="17"/>
      <c r="H11169" s="18"/>
      <c r="K11169" s="18" t="s">
        <v>316</v>
      </c>
    </row>
    <row r="11170">
      <c r="A11170" s="17"/>
      <c r="H11170" s="18"/>
      <c r="K11170" s="18" t="s">
        <v>316</v>
      </c>
    </row>
    <row r="11171">
      <c r="A11171" s="17"/>
      <c r="H11171" s="18"/>
      <c r="K11171" s="18" t="s">
        <v>316</v>
      </c>
    </row>
    <row r="11172">
      <c r="A11172" s="17"/>
      <c r="H11172" s="18"/>
      <c r="K11172" s="18" t="s">
        <v>316</v>
      </c>
    </row>
    <row r="11173">
      <c r="A11173" s="17"/>
      <c r="H11173" s="18"/>
      <c r="K11173" s="18" t="s">
        <v>316</v>
      </c>
    </row>
    <row r="11174">
      <c r="A11174" s="17"/>
      <c r="H11174" s="18"/>
      <c r="K11174" s="18" t="s">
        <v>316</v>
      </c>
    </row>
    <row r="11175">
      <c r="A11175" s="17"/>
      <c r="H11175" s="18"/>
      <c r="K11175" s="18" t="s">
        <v>316</v>
      </c>
    </row>
    <row r="11176">
      <c r="A11176" s="17"/>
      <c r="H11176" s="18"/>
      <c r="K11176" s="18" t="s">
        <v>316</v>
      </c>
    </row>
    <row r="11177">
      <c r="A11177" s="17"/>
      <c r="H11177" s="18"/>
      <c r="K11177" s="18" t="s">
        <v>316</v>
      </c>
    </row>
    <row r="11178">
      <c r="A11178" s="17"/>
      <c r="H11178" s="18"/>
      <c r="K11178" s="18" t="s">
        <v>316</v>
      </c>
    </row>
    <row r="11179">
      <c r="A11179" s="17"/>
      <c r="H11179" s="18"/>
      <c r="K11179" s="18" t="s">
        <v>316</v>
      </c>
    </row>
    <row r="11180">
      <c r="A11180" s="17"/>
      <c r="H11180" s="18"/>
      <c r="K11180" s="18" t="s">
        <v>316</v>
      </c>
    </row>
    <row r="11181">
      <c r="A11181" s="17"/>
      <c r="H11181" s="18"/>
      <c r="K11181" s="18" t="s">
        <v>316</v>
      </c>
    </row>
    <row r="11182">
      <c r="A11182" s="17"/>
      <c r="H11182" s="18"/>
      <c r="K11182" s="18" t="s">
        <v>316</v>
      </c>
    </row>
    <row r="11183">
      <c r="A11183" s="17"/>
      <c r="H11183" s="18"/>
      <c r="K11183" s="18" t="s">
        <v>316</v>
      </c>
    </row>
    <row r="11184">
      <c r="A11184" s="17"/>
      <c r="H11184" s="18"/>
      <c r="K11184" s="18" t="s">
        <v>316</v>
      </c>
    </row>
    <row r="11185">
      <c r="A11185" s="17"/>
      <c r="H11185" s="18"/>
      <c r="K11185" s="18" t="s">
        <v>316</v>
      </c>
    </row>
    <row r="11186">
      <c r="A11186" s="17"/>
      <c r="H11186" s="18"/>
      <c r="K11186" s="18" t="s">
        <v>316</v>
      </c>
    </row>
    <row r="11187">
      <c r="A11187" s="17"/>
      <c r="H11187" s="18"/>
      <c r="K11187" s="18" t="s">
        <v>316</v>
      </c>
    </row>
    <row r="11188">
      <c r="A11188" s="17"/>
      <c r="H11188" s="18"/>
      <c r="K11188" s="18" t="s">
        <v>316</v>
      </c>
    </row>
    <row r="11189">
      <c r="A11189" s="17"/>
      <c r="H11189" s="18"/>
      <c r="K11189" s="18" t="s">
        <v>316</v>
      </c>
    </row>
    <row r="11190">
      <c r="A11190" s="17"/>
      <c r="H11190" s="18"/>
      <c r="K11190" s="18" t="s">
        <v>316</v>
      </c>
    </row>
    <row r="11191">
      <c r="A11191" s="17"/>
      <c r="H11191" s="18"/>
      <c r="K11191" s="18" t="s">
        <v>316</v>
      </c>
    </row>
    <row r="11192">
      <c r="A11192" s="17"/>
      <c r="H11192" s="18"/>
      <c r="K11192" s="18" t="s">
        <v>316</v>
      </c>
    </row>
    <row r="11193">
      <c r="A11193" s="17"/>
      <c r="H11193" s="18"/>
      <c r="K11193" s="18" t="s">
        <v>316</v>
      </c>
    </row>
    <row r="11194">
      <c r="A11194" s="17"/>
      <c r="H11194" s="18"/>
      <c r="K11194" s="18" t="s">
        <v>316</v>
      </c>
    </row>
    <row r="11195">
      <c r="A11195" s="17"/>
      <c r="H11195" s="18"/>
      <c r="K11195" s="18" t="s">
        <v>316</v>
      </c>
    </row>
    <row r="11196">
      <c r="A11196" s="17"/>
      <c r="H11196" s="18"/>
      <c r="K11196" s="18" t="s">
        <v>316</v>
      </c>
    </row>
    <row r="11197">
      <c r="A11197" s="17"/>
      <c r="H11197" s="18"/>
      <c r="K11197" s="18" t="s">
        <v>316</v>
      </c>
    </row>
    <row r="11198">
      <c r="A11198" s="17"/>
      <c r="H11198" s="18"/>
      <c r="K11198" s="18" t="s">
        <v>316</v>
      </c>
    </row>
    <row r="11199">
      <c r="A11199" s="17"/>
      <c r="H11199" s="18"/>
      <c r="K11199" s="18" t="s">
        <v>316</v>
      </c>
    </row>
    <row r="11200">
      <c r="A11200" s="17"/>
      <c r="H11200" s="18"/>
      <c r="K11200" s="18" t="s">
        <v>316</v>
      </c>
    </row>
    <row r="11201">
      <c r="A11201" s="17"/>
      <c r="H11201" s="18"/>
      <c r="K11201" s="18" t="s">
        <v>316</v>
      </c>
    </row>
    <row r="11202">
      <c r="A11202" s="17"/>
      <c r="H11202" s="18"/>
      <c r="K11202" s="18" t="s">
        <v>316</v>
      </c>
    </row>
    <row r="11203">
      <c r="A11203" s="17"/>
      <c r="H11203" s="18"/>
      <c r="K11203" s="18" t="s">
        <v>316</v>
      </c>
    </row>
    <row r="11204">
      <c r="A11204" s="17"/>
      <c r="H11204" s="18"/>
      <c r="K11204" s="18" t="s">
        <v>316</v>
      </c>
    </row>
    <row r="11205">
      <c r="A11205" s="17"/>
      <c r="H11205" s="18"/>
      <c r="K11205" s="18" t="s">
        <v>316</v>
      </c>
    </row>
    <row r="11206">
      <c r="A11206" s="17"/>
      <c r="H11206" s="18"/>
      <c r="K11206" s="18" t="s">
        <v>316</v>
      </c>
    </row>
    <row r="11207">
      <c r="A11207" s="17"/>
      <c r="H11207" s="18"/>
      <c r="K11207" s="18" t="s">
        <v>316</v>
      </c>
    </row>
    <row r="11208">
      <c r="A11208" s="17"/>
      <c r="H11208" s="18"/>
      <c r="K11208" s="18" t="s">
        <v>316</v>
      </c>
    </row>
    <row r="11209">
      <c r="A11209" s="17"/>
      <c r="H11209" s="18"/>
      <c r="K11209" s="18" t="s">
        <v>316</v>
      </c>
    </row>
    <row r="11210">
      <c r="A11210" s="17"/>
      <c r="H11210" s="18"/>
      <c r="K11210" s="18" t="s">
        <v>316</v>
      </c>
    </row>
    <row r="11211">
      <c r="A11211" s="17"/>
      <c r="H11211" s="18"/>
      <c r="K11211" s="18" t="s">
        <v>316</v>
      </c>
    </row>
    <row r="11212">
      <c r="A11212" s="17"/>
      <c r="H11212" s="18"/>
      <c r="K11212" s="18" t="s">
        <v>316</v>
      </c>
    </row>
    <row r="11213">
      <c r="A11213" s="17"/>
      <c r="H11213" s="18"/>
      <c r="K11213" s="18" t="s">
        <v>316</v>
      </c>
    </row>
    <row r="11214">
      <c r="A11214" s="17"/>
      <c r="H11214" s="18"/>
      <c r="K11214" s="18" t="s">
        <v>316</v>
      </c>
    </row>
    <row r="11215">
      <c r="A11215" s="17"/>
      <c r="H11215" s="18"/>
      <c r="K11215" s="18" t="s">
        <v>316</v>
      </c>
    </row>
    <row r="11216">
      <c r="A11216" s="17"/>
      <c r="H11216" s="18"/>
      <c r="K11216" s="18" t="s">
        <v>316</v>
      </c>
    </row>
    <row r="11217">
      <c r="A11217" s="17"/>
      <c r="H11217" s="18"/>
      <c r="K11217" s="18" t="s">
        <v>316</v>
      </c>
    </row>
    <row r="11218">
      <c r="A11218" s="17"/>
      <c r="H11218" s="18"/>
      <c r="K11218" s="18" t="s">
        <v>316</v>
      </c>
    </row>
    <row r="11219">
      <c r="A11219" s="17"/>
      <c r="H11219" s="18"/>
      <c r="K11219" s="18" t="s">
        <v>316</v>
      </c>
    </row>
    <row r="11220">
      <c r="A11220" s="17"/>
      <c r="H11220" s="18"/>
      <c r="K11220" s="18" t="s">
        <v>316</v>
      </c>
    </row>
    <row r="11221">
      <c r="A11221" s="17"/>
      <c r="H11221" s="18"/>
      <c r="K11221" s="18" t="s">
        <v>316</v>
      </c>
    </row>
    <row r="11222">
      <c r="A11222" s="17"/>
      <c r="H11222" s="18"/>
      <c r="K11222" s="18" t="s">
        <v>316</v>
      </c>
    </row>
    <row r="11223">
      <c r="A11223" s="17"/>
      <c r="H11223" s="18"/>
      <c r="K11223" s="18" t="s">
        <v>316</v>
      </c>
    </row>
    <row r="11224">
      <c r="A11224" s="17"/>
      <c r="H11224" s="18"/>
      <c r="K11224" s="18" t="s">
        <v>316</v>
      </c>
    </row>
    <row r="11225">
      <c r="A11225" s="17"/>
      <c r="H11225" s="18"/>
      <c r="K11225" s="18" t="s">
        <v>316</v>
      </c>
    </row>
    <row r="11226">
      <c r="A11226" s="17"/>
      <c r="H11226" s="18"/>
      <c r="K11226" s="18" t="s">
        <v>316</v>
      </c>
    </row>
    <row r="11227">
      <c r="A11227" s="17"/>
      <c r="H11227" s="18"/>
      <c r="K11227" s="18" t="s">
        <v>316</v>
      </c>
    </row>
    <row r="11228">
      <c r="A11228" s="17"/>
      <c r="H11228" s="18"/>
      <c r="K11228" s="18" t="s">
        <v>316</v>
      </c>
    </row>
    <row r="11229">
      <c r="A11229" s="17"/>
      <c r="H11229" s="18"/>
      <c r="K11229" s="18" t="s">
        <v>316</v>
      </c>
    </row>
    <row r="11230">
      <c r="A11230" s="17"/>
      <c r="H11230" s="18"/>
      <c r="K11230" s="18" t="s">
        <v>316</v>
      </c>
    </row>
    <row r="11231">
      <c r="A11231" s="17"/>
      <c r="H11231" s="18"/>
      <c r="K11231" s="18" t="s">
        <v>316</v>
      </c>
    </row>
    <row r="11232">
      <c r="A11232" s="17"/>
      <c r="H11232" s="18"/>
      <c r="K11232" s="18" t="s">
        <v>316</v>
      </c>
    </row>
    <row r="11233">
      <c r="A11233" s="17"/>
      <c r="H11233" s="18"/>
      <c r="K11233" s="18" t="s">
        <v>316</v>
      </c>
    </row>
    <row r="11234">
      <c r="A11234" s="17"/>
      <c r="H11234" s="18"/>
      <c r="K11234" s="18" t="s">
        <v>316</v>
      </c>
    </row>
    <row r="11235">
      <c r="A11235" s="17"/>
      <c r="H11235" s="18"/>
      <c r="K11235" s="18" t="s">
        <v>316</v>
      </c>
    </row>
    <row r="11236">
      <c r="A11236" s="17"/>
      <c r="H11236" s="18"/>
      <c r="K11236" s="18" t="s">
        <v>316</v>
      </c>
    </row>
    <row r="11237">
      <c r="A11237" s="17"/>
      <c r="H11237" s="18"/>
      <c r="K11237" s="18" t="s">
        <v>316</v>
      </c>
    </row>
    <row r="11238">
      <c r="A11238" s="17"/>
      <c r="H11238" s="18"/>
      <c r="K11238" s="18" t="s">
        <v>316</v>
      </c>
    </row>
    <row r="11239">
      <c r="A11239" s="17"/>
      <c r="H11239" s="18"/>
      <c r="K11239" s="18" t="s">
        <v>316</v>
      </c>
    </row>
    <row r="11240">
      <c r="A11240" s="17"/>
      <c r="H11240" s="18"/>
      <c r="K11240" s="18" t="s">
        <v>316</v>
      </c>
    </row>
    <row r="11241">
      <c r="A11241" s="17"/>
      <c r="H11241" s="18"/>
      <c r="K11241" s="18" t="s">
        <v>316</v>
      </c>
    </row>
    <row r="11242">
      <c r="A11242" s="17"/>
      <c r="H11242" s="18"/>
      <c r="K11242" s="18" t="s">
        <v>316</v>
      </c>
    </row>
    <row r="11243">
      <c r="A11243" s="17"/>
      <c r="H11243" s="18"/>
      <c r="K11243" s="18" t="s">
        <v>316</v>
      </c>
    </row>
    <row r="11244">
      <c r="A11244" s="17"/>
      <c r="H11244" s="18"/>
      <c r="K11244" s="18" t="s">
        <v>316</v>
      </c>
    </row>
    <row r="11245">
      <c r="A11245" s="17"/>
      <c r="H11245" s="18"/>
      <c r="K11245" s="18" t="s">
        <v>316</v>
      </c>
    </row>
    <row r="11246">
      <c r="A11246" s="17"/>
      <c r="H11246" s="18"/>
      <c r="K11246" s="18" t="s">
        <v>316</v>
      </c>
    </row>
    <row r="11247">
      <c r="A11247" s="17"/>
      <c r="H11247" s="18"/>
      <c r="K11247" s="18" t="s">
        <v>316</v>
      </c>
    </row>
    <row r="11248">
      <c r="A11248" s="17"/>
      <c r="H11248" s="18"/>
      <c r="K11248" s="18" t="s">
        <v>316</v>
      </c>
    </row>
    <row r="11249">
      <c r="A11249" s="17"/>
      <c r="H11249" s="18"/>
      <c r="K11249" s="18" t="s">
        <v>316</v>
      </c>
    </row>
    <row r="11250">
      <c r="A11250" s="17"/>
      <c r="H11250" s="18"/>
      <c r="K11250" s="18" t="s">
        <v>316</v>
      </c>
    </row>
    <row r="11251">
      <c r="A11251" s="17"/>
      <c r="H11251" s="18"/>
      <c r="K11251" s="18" t="s">
        <v>316</v>
      </c>
    </row>
    <row r="11252">
      <c r="A11252" s="17"/>
      <c r="H11252" s="18"/>
      <c r="K11252" s="18" t="s">
        <v>316</v>
      </c>
    </row>
    <row r="11253">
      <c r="A11253" s="17"/>
      <c r="H11253" s="18"/>
      <c r="K11253" s="18" t="s">
        <v>316</v>
      </c>
    </row>
    <row r="11254">
      <c r="A11254" s="17"/>
      <c r="H11254" s="18"/>
      <c r="K11254" s="18" t="s">
        <v>316</v>
      </c>
    </row>
    <row r="11255">
      <c r="A11255" s="17"/>
      <c r="H11255" s="18"/>
      <c r="K11255" s="18" t="s">
        <v>316</v>
      </c>
    </row>
    <row r="11256">
      <c r="A11256" s="17"/>
      <c r="H11256" s="18"/>
      <c r="K11256" s="18" t="s">
        <v>316</v>
      </c>
    </row>
    <row r="11257">
      <c r="A11257" s="17"/>
      <c r="H11257" s="18"/>
      <c r="K11257" s="18" t="s">
        <v>316</v>
      </c>
    </row>
    <row r="11258">
      <c r="A11258" s="17"/>
      <c r="H11258" s="18"/>
      <c r="K11258" s="18" t="s">
        <v>316</v>
      </c>
    </row>
    <row r="11259">
      <c r="A11259" s="17"/>
      <c r="H11259" s="18"/>
      <c r="K11259" s="18" t="s">
        <v>316</v>
      </c>
    </row>
    <row r="11260">
      <c r="A11260" s="17"/>
      <c r="H11260" s="18"/>
      <c r="K11260" s="18" t="s">
        <v>316</v>
      </c>
    </row>
    <row r="11261">
      <c r="A11261" s="17"/>
      <c r="H11261" s="18"/>
      <c r="K11261" s="18" t="s">
        <v>316</v>
      </c>
    </row>
    <row r="11262">
      <c r="A11262" s="17"/>
      <c r="H11262" s="18"/>
      <c r="K11262" s="18" t="s">
        <v>316</v>
      </c>
    </row>
    <row r="11263">
      <c r="A11263" s="17"/>
      <c r="H11263" s="18"/>
      <c r="K11263" s="18" t="s">
        <v>316</v>
      </c>
    </row>
    <row r="11264">
      <c r="A11264" s="17"/>
      <c r="H11264" s="18"/>
      <c r="K11264" s="18" t="s">
        <v>316</v>
      </c>
    </row>
    <row r="11265">
      <c r="A11265" s="17"/>
      <c r="H11265" s="18"/>
      <c r="K11265" s="18" t="s">
        <v>316</v>
      </c>
    </row>
    <row r="11266">
      <c r="A11266" s="17"/>
      <c r="H11266" s="18"/>
      <c r="K11266" s="18" t="s">
        <v>316</v>
      </c>
    </row>
    <row r="11267">
      <c r="A11267" s="17"/>
      <c r="H11267" s="18"/>
      <c r="K11267" s="18" t="s">
        <v>316</v>
      </c>
    </row>
    <row r="11268">
      <c r="A11268" s="17"/>
      <c r="H11268" s="18"/>
      <c r="K11268" s="18" t="s">
        <v>316</v>
      </c>
    </row>
    <row r="11269">
      <c r="A11269" s="17"/>
      <c r="H11269" s="18"/>
      <c r="K11269" s="18" t="s">
        <v>316</v>
      </c>
    </row>
    <row r="11270">
      <c r="A11270" s="17"/>
      <c r="H11270" s="18"/>
      <c r="K11270" s="18" t="s">
        <v>316</v>
      </c>
    </row>
    <row r="11271">
      <c r="A11271" s="17"/>
      <c r="H11271" s="18"/>
      <c r="K11271" s="18" t="s">
        <v>316</v>
      </c>
    </row>
    <row r="11272">
      <c r="A11272" s="17"/>
      <c r="H11272" s="18"/>
      <c r="K11272" s="18" t="s">
        <v>316</v>
      </c>
    </row>
    <row r="11273">
      <c r="A11273" s="17"/>
      <c r="H11273" s="18"/>
      <c r="K11273" s="18" t="s">
        <v>316</v>
      </c>
    </row>
    <row r="11274">
      <c r="A11274" s="17"/>
      <c r="H11274" s="18"/>
      <c r="K11274" s="18" t="s">
        <v>316</v>
      </c>
    </row>
    <row r="11275">
      <c r="A11275" s="17"/>
      <c r="H11275" s="18"/>
      <c r="K11275" s="18" t="s">
        <v>316</v>
      </c>
    </row>
    <row r="11276">
      <c r="A11276" s="17"/>
      <c r="H11276" s="18"/>
      <c r="K11276" s="18" t="s">
        <v>316</v>
      </c>
    </row>
    <row r="11277">
      <c r="A11277" s="17"/>
      <c r="H11277" s="18"/>
      <c r="K11277" s="18" t="s">
        <v>316</v>
      </c>
    </row>
    <row r="11278">
      <c r="A11278" s="17"/>
      <c r="H11278" s="18"/>
      <c r="K11278" s="18" t="s">
        <v>316</v>
      </c>
    </row>
    <row r="11279">
      <c r="A11279" s="17"/>
      <c r="H11279" s="18"/>
      <c r="K11279" s="18" t="s">
        <v>316</v>
      </c>
    </row>
    <row r="11280">
      <c r="A11280" s="17"/>
      <c r="H11280" s="18"/>
      <c r="K11280" s="18" t="s">
        <v>316</v>
      </c>
    </row>
    <row r="11281">
      <c r="A11281" s="17"/>
      <c r="H11281" s="18"/>
      <c r="K11281" s="18" t="s">
        <v>316</v>
      </c>
    </row>
    <row r="11282">
      <c r="A11282" s="17"/>
      <c r="H11282" s="18"/>
      <c r="K11282" s="18" t="s">
        <v>316</v>
      </c>
    </row>
    <row r="11283">
      <c r="A11283" s="17"/>
      <c r="H11283" s="18"/>
      <c r="K11283" s="18" t="s">
        <v>316</v>
      </c>
    </row>
    <row r="11284">
      <c r="A11284" s="17"/>
      <c r="H11284" s="18"/>
      <c r="K11284" s="18" t="s">
        <v>316</v>
      </c>
    </row>
    <row r="11285">
      <c r="A11285" s="17"/>
      <c r="H11285" s="18"/>
      <c r="K11285" s="18" t="s">
        <v>316</v>
      </c>
    </row>
    <row r="11286">
      <c r="A11286" s="17"/>
      <c r="H11286" s="18"/>
      <c r="K11286" s="18" t="s">
        <v>316</v>
      </c>
    </row>
    <row r="11287">
      <c r="A11287" s="17"/>
      <c r="H11287" s="18"/>
      <c r="K11287" s="18" t="s">
        <v>316</v>
      </c>
    </row>
    <row r="11288">
      <c r="A11288" s="17"/>
      <c r="H11288" s="18"/>
      <c r="K11288" s="18" t="s">
        <v>316</v>
      </c>
    </row>
    <row r="11289">
      <c r="A11289" s="17"/>
      <c r="H11289" s="18"/>
      <c r="K11289" s="18" t="s">
        <v>316</v>
      </c>
    </row>
    <row r="11290">
      <c r="A11290" s="17"/>
      <c r="H11290" s="18"/>
      <c r="K11290" s="18" t="s">
        <v>316</v>
      </c>
    </row>
    <row r="11291">
      <c r="A11291" s="17"/>
      <c r="H11291" s="18"/>
      <c r="K11291" s="18" t="s">
        <v>316</v>
      </c>
    </row>
    <row r="11292">
      <c r="A11292" s="17"/>
      <c r="H11292" s="18"/>
      <c r="K11292" s="18" t="s">
        <v>316</v>
      </c>
    </row>
    <row r="11293">
      <c r="A11293" s="17"/>
      <c r="H11293" s="18"/>
      <c r="K11293" s="18" t="s">
        <v>316</v>
      </c>
    </row>
    <row r="11294">
      <c r="A11294" s="17"/>
      <c r="H11294" s="18"/>
      <c r="K11294" s="18" t="s">
        <v>316</v>
      </c>
    </row>
    <row r="11295">
      <c r="A11295" s="17"/>
      <c r="H11295" s="18"/>
      <c r="K11295" s="18" t="s">
        <v>316</v>
      </c>
    </row>
    <row r="11296">
      <c r="A11296" s="17"/>
      <c r="H11296" s="18"/>
      <c r="K11296" s="18" t="s">
        <v>316</v>
      </c>
    </row>
    <row r="11297">
      <c r="A11297" s="17"/>
      <c r="H11297" s="18"/>
      <c r="K11297" s="18" t="s">
        <v>316</v>
      </c>
    </row>
    <row r="11298">
      <c r="A11298" s="17"/>
      <c r="H11298" s="18"/>
      <c r="K11298" s="18" t="s">
        <v>316</v>
      </c>
    </row>
    <row r="11299">
      <c r="A11299" s="17"/>
      <c r="H11299" s="18"/>
      <c r="K11299" s="18" t="s">
        <v>316</v>
      </c>
    </row>
    <row r="11300">
      <c r="A11300" s="17"/>
      <c r="H11300" s="18"/>
      <c r="K11300" s="18" t="s">
        <v>316</v>
      </c>
    </row>
    <row r="11301">
      <c r="A11301" s="17"/>
      <c r="H11301" s="18"/>
      <c r="K11301" s="18" t="s">
        <v>316</v>
      </c>
    </row>
    <row r="11302">
      <c r="A11302" s="17"/>
      <c r="H11302" s="18"/>
      <c r="K11302" s="18" t="s">
        <v>316</v>
      </c>
    </row>
    <row r="11303">
      <c r="A11303" s="17"/>
      <c r="H11303" s="18"/>
      <c r="K11303" s="18" t="s">
        <v>316</v>
      </c>
    </row>
    <row r="11304">
      <c r="A11304" s="17"/>
      <c r="H11304" s="18"/>
      <c r="K11304" s="18" t="s">
        <v>316</v>
      </c>
    </row>
    <row r="11305">
      <c r="A11305" s="17"/>
      <c r="H11305" s="18"/>
      <c r="K11305" s="18" t="s">
        <v>316</v>
      </c>
    </row>
    <row r="11306">
      <c r="A11306" s="17"/>
      <c r="H11306" s="18"/>
      <c r="K11306" s="18" t="s">
        <v>316</v>
      </c>
    </row>
    <row r="11307">
      <c r="A11307" s="17"/>
      <c r="H11307" s="18"/>
      <c r="K11307" s="18" t="s">
        <v>316</v>
      </c>
    </row>
    <row r="11308">
      <c r="A11308" s="17"/>
      <c r="H11308" s="18"/>
      <c r="K11308" s="18" t="s">
        <v>316</v>
      </c>
    </row>
    <row r="11309">
      <c r="A11309" s="17"/>
      <c r="H11309" s="18"/>
      <c r="K11309" s="18" t="s">
        <v>316</v>
      </c>
    </row>
    <row r="11310">
      <c r="A11310" s="17"/>
      <c r="H11310" s="18"/>
      <c r="K11310" s="18" t="s">
        <v>316</v>
      </c>
    </row>
    <row r="11311">
      <c r="A11311" s="17"/>
      <c r="H11311" s="18"/>
      <c r="K11311" s="18" t="s">
        <v>316</v>
      </c>
    </row>
    <row r="11312">
      <c r="A11312" s="17"/>
      <c r="H11312" s="18"/>
      <c r="K11312" s="18" t="s">
        <v>316</v>
      </c>
    </row>
    <row r="11313">
      <c r="A11313" s="17"/>
      <c r="H11313" s="18"/>
      <c r="K11313" s="18" t="s">
        <v>316</v>
      </c>
    </row>
    <row r="11314">
      <c r="A11314" s="17"/>
      <c r="H11314" s="18"/>
      <c r="K11314" s="18" t="s">
        <v>316</v>
      </c>
    </row>
    <row r="11315">
      <c r="A11315" s="17"/>
      <c r="H11315" s="18"/>
      <c r="K11315" s="18" t="s">
        <v>316</v>
      </c>
    </row>
    <row r="11316">
      <c r="A11316" s="17"/>
      <c r="H11316" s="18"/>
      <c r="K11316" s="18" t="s">
        <v>316</v>
      </c>
    </row>
    <row r="11317">
      <c r="A11317" s="17"/>
      <c r="H11317" s="18"/>
      <c r="K11317" s="18" t="s">
        <v>316</v>
      </c>
    </row>
    <row r="11318">
      <c r="A11318" s="17"/>
      <c r="H11318" s="18"/>
      <c r="K11318" s="18" t="s">
        <v>316</v>
      </c>
    </row>
    <row r="11319">
      <c r="A11319" s="17"/>
      <c r="H11319" s="18"/>
      <c r="K11319" s="18" t="s">
        <v>316</v>
      </c>
    </row>
    <row r="11320">
      <c r="A11320" s="17"/>
      <c r="H11320" s="18"/>
      <c r="K11320" s="18" t="s">
        <v>316</v>
      </c>
    </row>
    <row r="11321">
      <c r="A11321" s="17"/>
      <c r="H11321" s="18"/>
      <c r="K11321" s="18" t="s">
        <v>316</v>
      </c>
    </row>
    <row r="11322">
      <c r="A11322" s="17"/>
      <c r="H11322" s="18"/>
      <c r="K11322" s="18" t="s">
        <v>316</v>
      </c>
    </row>
    <row r="11323">
      <c r="A11323" s="17"/>
      <c r="H11323" s="18"/>
      <c r="K11323" s="18" t="s">
        <v>316</v>
      </c>
    </row>
    <row r="11324">
      <c r="A11324" s="17"/>
      <c r="H11324" s="18"/>
      <c r="K11324" s="18" t="s">
        <v>316</v>
      </c>
    </row>
    <row r="11325">
      <c r="A11325" s="17"/>
      <c r="H11325" s="18"/>
      <c r="K11325" s="18" t="s">
        <v>316</v>
      </c>
    </row>
    <row r="11326">
      <c r="A11326" s="17"/>
      <c r="H11326" s="18"/>
      <c r="K11326" s="18" t="s">
        <v>316</v>
      </c>
    </row>
    <row r="11327">
      <c r="A11327" s="17"/>
      <c r="H11327" s="18"/>
      <c r="K11327" s="18" t="s">
        <v>316</v>
      </c>
    </row>
    <row r="11328">
      <c r="A11328" s="17"/>
      <c r="H11328" s="18"/>
      <c r="K11328" s="18" t="s">
        <v>316</v>
      </c>
    </row>
    <row r="11329">
      <c r="A11329" s="17"/>
      <c r="H11329" s="18"/>
      <c r="K11329" s="18" t="s">
        <v>316</v>
      </c>
    </row>
    <row r="11330">
      <c r="A11330" s="17"/>
      <c r="H11330" s="18"/>
      <c r="K11330" s="18" t="s">
        <v>316</v>
      </c>
    </row>
    <row r="11331">
      <c r="A11331" s="17"/>
      <c r="H11331" s="18"/>
      <c r="K11331" s="18" t="s">
        <v>316</v>
      </c>
    </row>
    <row r="11332">
      <c r="A11332" s="17"/>
      <c r="H11332" s="18"/>
      <c r="K11332" s="18" t="s">
        <v>316</v>
      </c>
    </row>
    <row r="11333">
      <c r="A11333" s="17"/>
      <c r="H11333" s="18"/>
      <c r="K11333" s="18" t="s">
        <v>316</v>
      </c>
    </row>
    <row r="11334">
      <c r="A11334" s="17"/>
      <c r="H11334" s="18"/>
      <c r="K11334" s="18" t="s">
        <v>316</v>
      </c>
    </row>
    <row r="11335">
      <c r="A11335" s="17"/>
      <c r="H11335" s="18"/>
      <c r="K11335" s="18" t="s">
        <v>316</v>
      </c>
    </row>
    <row r="11336">
      <c r="A11336" s="17"/>
      <c r="H11336" s="18"/>
      <c r="K11336" s="18" t="s">
        <v>316</v>
      </c>
    </row>
    <row r="11337">
      <c r="A11337" s="17"/>
      <c r="H11337" s="18"/>
      <c r="K11337" s="18" t="s">
        <v>316</v>
      </c>
    </row>
    <row r="11338">
      <c r="A11338" s="17"/>
      <c r="H11338" s="18"/>
      <c r="K11338" s="18" t="s">
        <v>316</v>
      </c>
    </row>
    <row r="11339">
      <c r="A11339" s="17"/>
      <c r="H11339" s="18"/>
      <c r="K11339" s="18" t="s">
        <v>316</v>
      </c>
    </row>
    <row r="11340">
      <c r="A11340" s="17"/>
      <c r="H11340" s="18"/>
      <c r="K11340" s="18" t="s">
        <v>316</v>
      </c>
    </row>
    <row r="11341">
      <c r="A11341" s="17"/>
      <c r="H11341" s="18"/>
      <c r="K11341" s="18" t="s">
        <v>316</v>
      </c>
    </row>
    <row r="11342">
      <c r="A11342" s="17"/>
      <c r="H11342" s="18"/>
      <c r="K11342" s="18" t="s">
        <v>316</v>
      </c>
    </row>
    <row r="11343">
      <c r="A11343" s="17"/>
      <c r="H11343" s="18"/>
      <c r="K11343" s="18" t="s">
        <v>316</v>
      </c>
    </row>
    <row r="11344">
      <c r="A11344" s="17"/>
      <c r="H11344" s="18"/>
      <c r="K11344" s="18" t="s">
        <v>316</v>
      </c>
    </row>
    <row r="11345">
      <c r="A11345" s="17"/>
      <c r="H11345" s="18"/>
      <c r="K11345" s="18" t="s">
        <v>316</v>
      </c>
    </row>
    <row r="11346">
      <c r="A11346" s="17"/>
      <c r="H11346" s="18"/>
      <c r="K11346" s="18" t="s">
        <v>316</v>
      </c>
    </row>
    <row r="11347">
      <c r="A11347" s="17"/>
      <c r="H11347" s="18"/>
      <c r="K11347" s="18" t="s">
        <v>316</v>
      </c>
    </row>
    <row r="11348">
      <c r="A11348" s="17"/>
      <c r="H11348" s="18"/>
      <c r="K11348" s="18" t="s">
        <v>316</v>
      </c>
    </row>
    <row r="11349">
      <c r="A11349" s="17"/>
      <c r="H11349" s="18"/>
      <c r="K11349" s="18" t="s">
        <v>316</v>
      </c>
    </row>
    <row r="11350">
      <c r="A11350" s="17"/>
      <c r="H11350" s="18"/>
      <c r="K11350" s="18" t="s">
        <v>316</v>
      </c>
    </row>
    <row r="11351">
      <c r="A11351" s="17"/>
      <c r="H11351" s="18"/>
      <c r="K11351" s="18" t="s">
        <v>316</v>
      </c>
    </row>
    <row r="11352">
      <c r="A11352" s="17"/>
      <c r="H11352" s="18"/>
      <c r="K11352" s="18" t="s">
        <v>316</v>
      </c>
    </row>
    <row r="11353">
      <c r="A11353" s="17"/>
      <c r="H11353" s="18"/>
      <c r="K11353" s="18" t="s">
        <v>316</v>
      </c>
    </row>
    <row r="11354">
      <c r="A11354" s="17"/>
      <c r="H11354" s="18"/>
      <c r="K11354" s="18" t="s">
        <v>316</v>
      </c>
    </row>
    <row r="11355">
      <c r="A11355" s="17"/>
      <c r="H11355" s="18"/>
      <c r="K11355" s="18" t="s">
        <v>316</v>
      </c>
    </row>
    <row r="11356">
      <c r="A11356" s="17"/>
      <c r="H11356" s="18"/>
      <c r="K11356" s="18" t="s">
        <v>316</v>
      </c>
    </row>
    <row r="11357">
      <c r="A11357" s="17"/>
      <c r="H11357" s="18"/>
      <c r="K11357" s="18" t="s">
        <v>316</v>
      </c>
    </row>
    <row r="11358">
      <c r="A11358" s="17"/>
      <c r="H11358" s="18"/>
      <c r="K11358" s="18" t="s">
        <v>316</v>
      </c>
    </row>
    <row r="11359">
      <c r="A11359" s="17"/>
      <c r="H11359" s="18"/>
      <c r="K11359" s="18" t="s">
        <v>316</v>
      </c>
    </row>
    <row r="11360">
      <c r="A11360" s="17"/>
      <c r="H11360" s="18"/>
      <c r="K11360" s="18" t="s">
        <v>316</v>
      </c>
    </row>
    <row r="11361">
      <c r="A11361" s="17"/>
      <c r="H11361" s="18"/>
      <c r="K11361" s="18" t="s">
        <v>316</v>
      </c>
    </row>
    <row r="11362">
      <c r="A11362" s="17"/>
      <c r="H11362" s="18"/>
      <c r="K11362" s="18" t="s">
        <v>316</v>
      </c>
    </row>
    <row r="11363">
      <c r="A11363" s="17"/>
      <c r="H11363" s="18"/>
      <c r="K11363" s="18" t="s">
        <v>316</v>
      </c>
    </row>
    <row r="11364">
      <c r="A11364" s="17"/>
      <c r="H11364" s="18"/>
      <c r="K11364" s="18" t="s">
        <v>316</v>
      </c>
    </row>
    <row r="11365">
      <c r="A11365" s="17"/>
      <c r="H11365" s="18"/>
      <c r="K11365" s="18" t="s">
        <v>316</v>
      </c>
    </row>
    <row r="11366">
      <c r="A11366" s="17"/>
      <c r="H11366" s="18"/>
      <c r="K11366" s="18" t="s">
        <v>316</v>
      </c>
    </row>
    <row r="11367">
      <c r="A11367" s="17"/>
      <c r="H11367" s="18"/>
      <c r="K11367" s="18" t="s">
        <v>316</v>
      </c>
    </row>
    <row r="11368">
      <c r="A11368" s="17"/>
      <c r="H11368" s="18"/>
      <c r="K11368" s="18" t="s">
        <v>316</v>
      </c>
    </row>
    <row r="11369">
      <c r="A11369" s="17"/>
      <c r="H11369" s="18"/>
      <c r="K11369" s="18" t="s">
        <v>316</v>
      </c>
    </row>
    <row r="11370">
      <c r="A11370" s="17"/>
      <c r="H11370" s="18"/>
      <c r="K11370" s="18" t="s">
        <v>316</v>
      </c>
    </row>
    <row r="11371">
      <c r="A11371" s="17"/>
      <c r="H11371" s="18"/>
      <c r="K11371" s="18" t="s">
        <v>316</v>
      </c>
    </row>
    <row r="11372">
      <c r="A11372" s="17"/>
      <c r="H11372" s="18"/>
      <c r="K11372" s="18" t="s">
        <v>316</v>
      </c>
    </row>
    <row r="11373">
      <c r="A11373" s="17"/>
      <c r="H11373" s="18"/>
      <c r="K11373" s="18" t="s">
        <v>316</v>
      </c>
    </row>
    <row r="11374">
      <c r="A11374" s="17"/>
      <c r="H11374" s="18"/>
      <c r="K11374" s="18" t="s">
        <v>316</v>
      </c>
    </row>
    <row r="11375">
      <c r="A11375" s="17"/>
      <c r="H11375" s="18"/>
      <c r="K11375" s="18" t="s">
        <v>316</v>
      </c>
    </row>
    <row r="11376">
      <c r="A11376" s="17"/>
      <c r="H11376" s="18"/>
      <c r="K11376" s="18" t="s">
        <v>316</v>
      </c>
    </row>
    <row r="11377">
      <c r="A11377" s="17"/>
      <c r="H11377" s="18"/>
      <c r="K11377" s="18" t="s">
        <v>316</v>
      </c>
    </row>
    <row r="11378">
      <c r="A11378" s="17"/>
      <c r="H11378" s="18"/>
      <c r="K11378" s="18" t="s">
        <v>316</v>
      </c>
    </row>
    <row r="11379">
      <c r="A11379" s="17"/>
      <c r="H11379" s="18"/>
      <c r="K11379" s="18" t="s">
        <v>316</v>
      </c>
    </row>
    <row r="11380">
      <c r="A11380" s="17"/>
      <c r="H11380" s="18"/>
      <c r="K11380" s="18" t="s">
        <v>316</v>
      </c>
    </row>
    <row r="11381">
      <c r="A11381" s="17"/>
      <c r="H11381" s="18"/>
      <c r="K11381" s="18" t="s">
        <v>316</v>
      </c>
    </row>
    <row r="11382">
      <c r="A11382" s="17"/>
      <c r="H11382" s="18"/>
      <c r="K11382" s="18" t="s">
        <v>316</v>
      </c>
    </row>
    <row r="11383">
      <c r="A11383" s="17"/>
      <c r="H11383" s="18"/>
      <c r="K11383" s="18" t="s">
        <v>316</v>
      </c>
    </row>
    <row r="11384">
      <c r="A11384" s="17"/>
      <c r="H11384" s="18"/>
      <c r="K11384" s="18" t="s">
        <v>316</v>
      </c>
    </row>
    <row r="11385">
      <c r="A11385" s="17"/>
      <c r="H11385" s="18"/>
      <c r="K11385" s="18" t="s">
        <v>316</v>
      </c>
    </row>
    <row r="11386">
      <c r="A11386" s="17"/>
      <c r="H11386" s="18"/>
      <c r="K11386" s="18" t="s">
        <v>316</v>
      </c>
    </row>
    <row r="11387">
      <c r="A11387" s="17"/>
      <c r="H11387" s="18"/>
      <c r="K11387" s="18" t="s">
        <v>316</v>
      </c>
    </row>
    <row r="11388">
      <c r="A11388" s="17"/>
      <c r="H11388" s="18"/>
      <c r="K11388" s="18" t="s">
        <v>316</v>
      </c>
    </row>
    <row r="11389">
      <c r="A11389" s="17"/>
      <c r="H11389" s="18"/>
      <c r="K11389" s="18" t="s">
        <v>316</v>
      </c>
    </row>
    <row r="11390">
      <c r="A11390" s="17"/>
      <c r="H11390" s="18"/>
      <c r="K11390" s="18" t="s">
        <v>316</v>
      </c>
    </row>
    <row r="11391">
      <c r="A11391" s="17"/>
      <c r="H11391" s="18"/>
      <c r="K11391" s="18" t="s">
        <v>316</v>
      </c>
    </row>
    <row r="11392">
      <c r="A11392" s="17"/>
      <c r="H11392" s="18"/>
      <c r="K11392" s="18" t="s">
        <v>316</v>
      </c>
    </row>
    <row r="11393">
      <c r="A11393" s="17"/>
      <c r="H11393" s="18"/>
      <c r="K11393" s="18" t="s">
        <v>316</v>
      </c>
    </row>
    <row r="11394">
      <c r="A11394" s="17"/>
      <c r="H11394" s="18"/>
      <c r="K11394" s="18" t="s">
        <v>316</v>
      </c>
    </row>
    <row r="11395">
      <c r="A11395" s="17"/>
      <c r="H11395" s="18"/>
      <c r="K11395" s="18" t="s">
        <v>316</v>
      </c>
    </row>
    <row r="11396">
      <c r="A11396" s="17"/>
      <c r="H11396" s="18"/>
      <c r="K11396" s="18" t="s">
        <v>316</v>
      </c>
    </row>
    <row r="11397">
      <c r="A11397" s="17"/>
      <c r="H11397" s="18"/>
      <c r="K11397" s="18" t="s">
        <v>316</v>
      </c>
    </row>
    <row r="11398">
      <c r="A11398" s="17"/>
      <c r="H11398" s="18"/>
      <c r="K11398" s="18" t="s">
        <v>316</v>
      </c>
    </row>
    <row r="11399">
      <c r="A11399" s="17"/>
      <c r="H11399" s="18"/>
      <c r="K11399" s="18" t="s">
        <v>316</v>
      </c>
    </row>
    <row r="11400">
      <c r="A11400" s="17"/>
      <c r="H11400" s="18"/>
      <c r="K11400" s="18" t="s">
        <v>316</v>
      </c>
    </row>
    <row r="11401">
      <c r="A11401" s="17"/>
      <c r="H11401" s="18"/>
      <c r="K11401" s="18" t="s">
        <v>316</v>
      </c>
    </row>
    <row r="11402">
      <c r="A11402" s="17"/>
      <c r="H11402" s="18"/>
      <c r="K11402" s="18" t="s">
        <v>316</v>
      </c>
    </row>
    <row r="11403">
      <c r="A11403" s="17"/>
      <c r="H11403" s="18"/>
      <c r="K11403" s="18" t="s">
        <v>316</v>
      </c>
    </row>
    <row r="11404">
      <c r="A11404" s="17"/>
      <c r="H11404" s="18"/>
      <c r="K11404" s="18" t="s">
        <v>316</v>
      </c>
    </row>
    <row r="11405">
      <c r="A11405" s="17"/>
      <c r="H11405" s="18"/>
      <c r="K11405" s="18" t="s">
        <v>316</v>
      </c>
    </row>
    <row r="11406">
      <c r="A11406" s="17"/>
      <c r="H11406" s="18"/>
      <c r="K11406" s="18" t="s">
        <v>316</v>
      </c>
    </row>
    <row r="11407">
      <c r="A11407" s="17"/>
      <c r="H11407" s="18"/>
      <c r="K11407" s="18" t="s">
        <v>316</v>
      </c>
    </row>
    <row r="11408">
      <c r="A11408" s="17"/>
      <c r="H11408" s="18"/>
      <c r="K11408" s="18" t="s">
        <v>316</v>
      </c>
    </row>
    <row r="11409">
      <c r="A11409" s="17"/>
      <c r="H11409" s="18"/>
      <c r="K11409" s="18" t="s">
        <v>316</v>
      </c>
    </row>
    <row r="11410">
      <c r="A11410" s="17"/>
      <c r="H11410" s="18"/>
      <c r="K11410" s="18" t="s">
        <v>316</v>
      </c>
    </row>
    <row r="11411">
      <c r="A11411" s="17"/>
      <c r="H11411" s="18"/>
      <c r="K11411" s="18" t="s">
        <v>316</v>
      </c>
    </row>
    <row r="11412">
      <c r="A11412" s="17"/>
      <c r="H11412" s="18"/>
      <c r="K11412" s="18" t="s">
        <v>316</v>
      </c>
    </row>
    <row r="11413">
      <c r="A11413" s="17"/>
      <c r="H11413" s="18"/>
      <c r="K11413" s="18" t="s">
        <v>316</v>
      </c>
    </row>
    <row r="11414">
      <c r="A11414" s="17"/>
      <c r="H11414" s="18"/>
      <c r="K11414" s="18" t="s">
        <v>316</v>
      </c>
    </row>
    <row r="11415">
      <c r="A11415" s="17"/>
      <c r="H11415" s="18"/>
      <c r="K11415" s="18" t="s">
        <v>316</v>
      </c>
    </row>
    <row r="11416">
      <c r="A11416" s="17"/>
      <c r="H11416" s="18"/>
      <c r="K11416" s="18" t="s">
        <v>316</v>
      </c>
    </row>
    <row r="11417">
      <c r="A11417" s="17"/>
      <c r="H11417" s="18"/>
      <c r="K11417" s="18" t="s">
        <v>316</v>
      </c>
    </row>
    <row r="11418">
      <c r="A11418" s="17"/>
      <c r="H11418" s="18"/>
      <c r="K11418" s="18" t="s">
        <v>316</v>
      </c>
    </row>
    <row r="11419">
      <c r="A11419" s="17"/>
      <c r="H11419" s="18"/>
      <c r="K11419" s="18" t="s">
        <v>316</v>
      </c>
    </row>
    <row r="11420">
      <c r="A11420" s="17"/>
      <c r="H11420" s="18"/>
      <c r="K11420" s="18" t="s">
        <v>316</v>
      </c>
    </row>
    <row r="11421">
      <c r="A11421" s="17"/>
      <c r="H11421" s="18"/>
      <c r="K11421" s="18" t="s">
        <v>316</v>
      </c>
    </row>
    <row r="11422">
      <c r="A11422" s="17"/>
      <c r="H11422" s="18"/>
      <c r="K11422" s="18" t="s">
        <v>316</v>
      </c>
    </row>
    <row r="11423">
      <c r="A11423" s="17"/>
      <c r="H11423" s="18"/>
      <c r="K11423" s="18" t="s">
        <v>316</v>
      </c>
    </row>
    <row r="11424">
      <c r="A11424" s="17"/>
      <c r="H11424" s="18"/>
      <c r="K11424" s="18" t="s">
        <v>316</v>
      </c>
    </row>
    <row r="11425">
      <c r="A11425" s="17"/>
      <c r="H11425" s="18"/>
      <c r="K11425" s="18" t="s">
        <v>316</v>
      </c>
    </row>
    <row r="11426">
      <c r="A11426" s="17"/>
      <c r="H11426" s="18"/>
      <c r="K11426" s="18" t="s">
        <v>316</v>
      </c>
    </row>
    <row r="11427">
      <c r="A11427" s="17"/>
      <c r="H11427" s="18"/>
      <c r="K11427" s="18" t="s">
        <v>316</v>
      </c>
    </row>
    <row r="11428">
      <c r="A11428" s="17"/>
      <c r="H11428" s="18"/>
      <c r="K11428" s="18" t="s">
        <v>316</v>
      </c>
    </row>
    <row r="11429">
      <c r="A11429" s="17"/>
      <c r="H11429" s="18"/>
      <c r="K11429" s="18" t="s">
        <v>316</v>
      </c>
    </row>
    <row r="11430">
      <c r="A11430" s="17"/>
      <c r="H11430" s="18"/>
      <c r="K11430" s="18" t="s">
        <v>316</v>
      </c>
    </row>
    <row r="11431">
      <c r="A11431" s="17"/>
      <c r="H11431" s="18"/>
      <c r="K11431" s="18" t="s">
        <v>316</v>
      </c>
    </row>
    <row r="11432">
      <c r="A11432" s="17"/>
      <c r="H11432" s="18"/>
      <c r="K11432" s="18" t="s">
        <v>316</v>
      </c>
    </row>
    <row r="11433">
      <c r="A11433" s="17"/>
      <c r="H11433" s="18"/>
      <c r="K11433" s="18" t="s">
        <v>316</v>
      </c>
    </row>
    <row r="11434">
      <c r="A11434" s="17"/>
      <c r="H11434" s="18"/>
      <c r="K11434" s="18" t="s">
        <v>316</v>
      </c>
    </row>
    <row r="11435">
      <c r="A11435" s="17"/>
      <c r="H11435" s="18"/>
      <c r="K11435" s="18" t="s">
        <v>316</v>
      </c>
    </row>
    <row r="11436">
      <c r="A11436" s="17"/>
      <c r="H11436" s="18"/>
      <c r="K11436" s="18" t="s">
        <v>316</v>
      </c>
    </row>
    <row r="11437">
      <c r="A11437" s="17"/>
      <c r="H11437" s="18"/>
      <c r="K11437" s="18" t="s">
        <v>316</v>
      </c>
    </row>
    <row r="11438">
      <c r="A11438" s="17"/>
      <c r="H11438" s="18"/>
      <c r="K11438" s="18" t="s">
        <v>316</v>
      </c>
    </row>
    <row r="11439">
      <c r="A11439" s="17"/>
      <c r="H11439" s="18"/>
      <c r="K11439" s="18" t="s">
        <v>316</v>
      </c>
    </row>
    <row r="11440">
      <c r="A11440" s="17"/>
      <c r="H11440" s="18"/>
      <c r="K11440" s="18" t="s">
        <v>316</v>
      </c>
    </row>
    <row r="11441">
      <c r="A11441" s="17"/>
      <c r="H11441" s="18"/>
      <c r="K11441" s="18" t="s">
        <v>316</v>
      </c>
    </row>
    <row r="11442">
      <c r="A11442" s="17"/>
      <c r="H11442" s="18"/>
      <c r="K11442" s="18" t="s">
        <v>316</v>
      </c>
    </row>
    <row r="11443">
      <c r="A11443" s="17"/>
      <c r="H11443" s="18"/>
      <c r="K11443" s="18" t="s">
        <v>316</v>
      </c>
    </row>
    <row r="11444">
      <c r="A11444" s="17"/>
      <c r="H11444" s="18"/>
      <c r="K11444" s="18" t="s">
        <v>316</v>
      </c>
    </row>
    <row r="11445">
      <c r="A11445" s="17"/>
      <c r="H11445" s="18"/>
      <c r="K11445" s="18" t="s">
        <v>316</v>
      </c>
    </row>
    <row r="11446">
      <c r="A11446" s="17"/>
      <c r="H11446" s="18"/>
      <c r="K11446" s="18" t="s">
        <v>316</v>
      </c>
    </row>
    <row r="11447">
      <c r="A11447" s="17"/>
      <c r="H11447" s="18"/>
      <c r="K11447" s="18" t="s">
        <v>316</v>
      </c>
    </row>
    <row r="11448">
      <c r="A11448" s="17"/>
      <c r="H11448" s="18"/>
      <c r="K11448" s="18" t="s">
        <v>316</v>
      </c>
    </row>
    <row r="11449">
      <c r="A11449" s="17"/>
      <c r="H11449" s="18"/>
      <c r="K11449" s="18" t="s">
        <v>316</v>
      </c>
    </row>
    <row r="11450">
      <c r="A11450" s="17"/>
      <c r="H11450" s="18"/>
      <c r="K11450" s="18" t="s">
        <v>316</v>
      </c>
    </row>
    <row r="11451">
      <c r="A11451" s="17"/>
      <c r="H11451" s="18"/>
      <c r="K11451" s="18" t="s">
        <v>316</v>
      </c>
    </row>
    <row r="11452">
      <c r="A11452" s="17"/>
      <c r="H11452" s="18"/>
      <c r="K11452" s="18" t="s">
        <v>316</v>
      </c>
    </row>
    <row r="11453">
      <c r="A11453" s="17"/>
      <c r="H11453" s="18"/>
      <c r="K11453" s="18" t="s">
        <v>316</v>
      </c>
    </row>
    <row r="11454">
      <c r="A11454" s="17"/>
      <c r="H11454" s="18"/>
      <c r="K11454" s="18" t="s">
        <v>316</v>
      </c>
    </row>
    <row r="11455">
      <c r="A11455" s="17"/>
      <c r="H11455" s="18"/>
      <c r="K11455" s="18" t="s">
        <v>316</v>
      </c>
    </row>
    <row r="11456">
      <c r="A11456" s="17"/>
      <c r="H11456" s="18"/>
      <c r="K11456" s="18" t="s">
        <v>316</v>
      </c>
    </row>
    <row r="11457">
      <c r="A11457" s="17"/>
      <c r="H11457" s="18"/>
      <c r="K11457" s="18" t="s">
        <v>316</v>
      </c>
    </row>
    <row r="11458">
      <c r="A11458" s="17"/>
      <c r="H11458" s="18"/>
      <c r="K11458" s="18" t="s">
        <v>316</v>
      </c>
    </row>
    <row r="11459">
      <c r="A11459" s="17"/>
      <c r="H11459" s="18"/>
      <c r="K11459" s="18" t="s">
        <v>316</v>
      </c>
    </row>
    <row r="11460">
      <c r="A11460" s="17"/>
      <c r="H11460" s="18"/>
      <c r="K11460" s="18" t="s">
        <v>316</v>
      </c>
    </row>
    <row r="11461">
      <c r="A11461" s="17"/>
      <c r="H11461" s="18"/>
      <c r="K11461" s="18" t="s">
        <v>316</v>
      </c>
    </row>
    <row r="11462">
      <c r="A11462" s="17"/>
      <c r="H11462" s="18"/>
      <c r="K11462" s="18" t="s">
        <v>316</v>
      </c>
    </row>
    <row r="11463">
      <c r="A11463" s="17"/>
      <c r="H11463" s="18"/>
      <c r="K11463" s="18" t="s">
        <v>316</v>
      </c>
    </row>
    <row r="11464">
      <c r="A11464" s="17"/>
      <c r="H11464" s="18"/>
      <c r="K11464" s="18" t="s">
        <v>316</v>
      </c>
    </row>
    <row r="11465">
      <c r="A11465" s="17"/>
      <c r="H11465" s="18"/>
      <c r="K11465" s="18" t="s">
        <v>316</v>
      </c>
    </row>
    <row r="11466">
      <c r="A11466" s="17"/>
      <c r="H11466" s="18"/>
      <c r="K11466" s="18" t="s">
        <v>316</v>
      </c>
    </row>
    <row r="11467">
      <c r="A11467" s="17"/>
      <c r="H11467" s="18"/>
      <c r="K11467" s="18" t="s">
        <v>316</v>
      </c>
    </row>
    <row r="11468">
      <c r="A11468" s="17"/>
      <c r="H11468" s="18"/>
      <c r="K11468" s="18" t="s">
        <v>316</v>
      </c>
    </row>
    <row r="11469">
      <c r="A11469" s="17"/>
      <c r="H11469" s="18"/>
      <c r="K11469" s="18" t="s">
        <v>316</v>
      </c>
    </row>
    <row r="11470">
      <c r="A11470" s="17"/>
      <c r="H11470" s="18"/>
      <c r="K11470" s="18" t="s">
        <v>316</v>
      </c>
    </row>
    <row r="11471">
      <c r="A11471" s="17"/>
      <c r="H11471" s="18"/>
      <c r="K11471" s="18" t="s">
        <v>316</v>
      </c>
    </row>
    <row r="11472">
      <c r="A11472" s="17"/>
      <c r="H11472" s="18"/>
      <c r="K11472" s="18" t="s">
        <v>316</v>
      </c>
    </row>
    <row r="11473">
      <c r="A11473" s="17"/>
      <c r="H11473" s="18"/>
      <c r="K11473" s="18" t="s">
        <v>316</v>
      </c>
    </row>
    <row r="11474">
      <c r="A11474" s="17"/>
      <c r="H11474" s="18"/>
      <c r="K11474" s="18" t="s">
        <v>316</v>
      </c>
    </row>
    <row r="11475">
      <c r="A11475" s="17"/>
      <c r="H11475" s="18"/>
      <c r="K11475" s="18" t="s">
        <v>316</v>
      </c>
    </row>
    <row r="11476">
      <c r="A11476" s="17"/>
      <c r="H11476" s="18"/>
      <c r="K11476" s="18" t="s">
        <v>316</v>
      </c>
    </row>
    <row r="11477">
      <c r="A11477" s="17"/>
      <c r="H11477" s="18"/>
      <c r="K11477" s="18" t="s">
        <v>316</v>
      </c>
    </row>
    <row r="11478">
      <c r="A11478" s="17"/>
      <c r="H11478" s="18"/>
      <c r="K11478" s="18" t="s">
        <v>316</v>
      </c>
    </row>
    <row r="11479">
      <c r="A11479" s="17"/>
      <c r="H11479" s="18"/>
      <c r="K11479" s="18" t="s">
        <v>316</v>
      </c>
    </row>
    <row r="11480">
      <c r="A11480" s="17"/>
      <c r="H11480" s="18"/>
      <c r="K11480" s="18" t="s">
        <v>316</v>
      </c>
    </row>
    <row r="11481">
      <c r="A11481" s="17"/>
      <c r="H11481" s="18"/>
      <c r="K11481" s="18" t="s">
        <v>316</v>
      </c>
    </row>
    <row r="11482">
      <c r="A11482" s="17"/>
      <c r="H11482" s="18"/>
      <c r="K11482" s="18" t="s">
        <v>316</v>
      </c>
    </row>
    <row r="11483">
      <c r="A11483" s="17"/>
      <c r="H11483" s="18"/>
      <c r="K11483" s="18" t="s">
        <v>316</v>
      </c>
    </row>
    <row r="11484">
      <c r="A11484" s="17"/>
      <c r="H11484" s="18"/>
      <c r="K11484" s="18" t="s">
        <v>316</v>
      </c>
    </row>
    <row r="11485">
      <c r="A11485" s="17"/>
      <c r="H11485" s="18"/>
      <c r="K11485" s="18" t="s">
        <v>316</v>
      </c>
    </row>
    <row r="11486">
      <c r="A11486" s="17"/>
      <c r="H11486" s="18"/>
      <c r="K11486" s="18" t="s">
        <v>316</v>
      </c>
    </row>
    <row r="11487">
      <c r="A11487" s="17"/>
      <c r="H11487" s="18"/>
      <c r="K11487" s="18" t="s">
        <v>316</v>
      </c>
    </row>
    <row r="11488">
      <c r="A11488" s="17"/>
      <c r="H11488" s="18"/>
      <c r="K11488" s="18" t="s">
        <v>316</v>
      </c>
    </row>
    <row r="11489">
      <c r="A11489" s="17"/>
      <c r="H11489" s="18"/>
      <c r="K11489" s="18" t="s">
        <v>316</v>
      </c>
    </row>
    <row r="11490">
      <c r="A11490" s="17"/>
      <c r="H11490" s="18"/>
      <c r="K11490" s="18" t="s">
        <v>316</v>
      </c>
    </row>
    <row r="11491">
      <c r="A11491" s="17"/>
      <c r="H11491" s="18"/>
      <c r="K11491" s="18" t="s">
        <v>316</v>
      </c>
    </row>
    <row r="11492">
      <c r="A11492" s="17"/>
      <c r="H11492" s="18"/>
      <c r="K11492" s="18" t="s">
        <v>316</v>
      </c>
    </row>
    <row r="11493">
      <c r="A11493" s="17"/>
      <c r="H11493" s="18"/>
      <c r="K11493" s="18" t="s">
        <v>316</v>
      </c>
    </row>
    <row r="11494">
      <c r="A11494" s="17"/>
      <c r="H11494" s="18"/>
      <c r="K11494" s="18" t="s">
        <v>316</v>
      </c>
    </row>
    <row r="11495">
      <c r="A11495" s="17"/>
      <c r="H11495" s="18"/>
      <c r="K11495" s="18" t="s">
        <v>316</v>
      </c>
    </row>
    <row r="11496">
      <c r="A11496" s="17"/>
      <c r="H11496" s="18"/>
      <c r="K11496" s="18" t="s">
        <v>316</v>
      </c>
    </row>
    <row r="11497">
      <c r="A11497" s="17"/>
      <c r="H11497" s="18"/>
      <c r="K11497" s="18" t="s">
        <v>316</v>
      </c>
    </row>
    <row r="11498">
      <c r="A11498" s="17"/>
      <c r="H11498" s="18"/>
      <c r="K11498" s="18" t="s">
        <v>316</v>
      </c>
    </row>
    <row r="11499">
      <c r="A11499" s="17"/>
      <c r="H11499" s="18"/>
      <c r="K11499" s="18" t="s">
        <v>316</v>
      </c>
    </row>
    <row r="11500">
      <c r="A11500" s="17"/>
      <c r="H11500" s="18"/>
      <c r="K11500" s="18" t="s">
        <v>316</v>
      </c>
    </row>
    <row r="11501">
      <c r="A11501" s="17"/>
      <c r="H11501" s="18"/>
      <c r="K11501" s="18" t="s">
        <v>316</v>
      </c>
    </row>
    <row r="11502">
      <c r="A11502" s="17"/>
      <c r="H11502" s="18"/>
      <c r="K11502" s="18" t="s">
        <v>316</v>
      </c>
    </row>
    <row r="11503">
      <c r="A11503" s="17"/>
      <c r="H11503" s="18"/>
      <c r="K11503" s="18" t="s">
        <v>316</v>
      </c>
    </row>
    <row r="11504">
      <c r="A11504" s="17"/>
      <c r="H11504" s="18"/>
      <c r="K11504" s="18" t="s">
        <v>316</v>
      </c>
    </row>
    <row r="11505">
      <c r="A11505" s="17"/>
      <c r="H11505" s="18"/>
      <c r="K11505" s="18" t="s">
        <v>316</v>
      </c>
    </row>
    <row r="11506">
      <c r="A11506" s="17"/>
      <c r="H11506" s="18"/>
      <c r="K11506" s="18" t="s">
        <v>316</v>
      </c>
    </row>
    <row r="11507">
      <c r="A11507" s="17"/>
      <c r="H11507" s="18"/>
      <c r="K11507" s="18" t="s">
        <v>316</v>
      </c>
    </row>
    <row r="11508">
      <c r="A11508" s="17"/>
      <c r="H11508" s="18"/>
      <c r="K11508" s="18" t="s">
        <v>316</v>
      </c>
    </row>
    <row r="11509">
      <c r="A11509" s="17"/>
      <c r="H11509" s="18"/>
      <c r="K11509" s="18" t="s">
        <v>316</v>
      </c>
    </row>
    <row r="11510">
      <c r="A11510" s="17"/>
      <c r="H11510" s="18"/>
      <c r="K11510" s="18" t="s">
        <v>316</v>
      </c>
    </row>
    <row r="11511">
      <c r="A11511" s="17"/>
      <c r="H11511" s="18"/>
      <c r="K11511" s="18" t="s">
        <v>316</v>
      </c>
    </row>
    <row r="11512">
      <c r="A11512" s="17"/>
      <c r="H11512" s="18"/>
      <c r="K11512" s="18" t="s">
        <v>316</v>
      </c>
    </row>
    <row r="11513">
      <c r="A11513" s="17"/>
      <c r="H11513" s="18"/>
      <c r="K11513" s="18" t="s">
        <v>316</v>
      </c>
    </row>
    <row r="11514">
      <c r="A11514" s="17"/>
      <c r="H11514" s="18"/>
      <c r="K11514" s="18" t="s">
        <v>316</v>
      </c>
    </row>
    <row r="11515">
      <c r="A11515" s="17"/>
      <c r="H11515" s="18"/>
      <c r="K11515" s="18" t="s">
        <v>316</v>
      </c>
    </row>
    <row r="11516">
      <c r="A11516" s="17"/>
      <c r="H11516" s="18"/>
      <c r="K11516" s="18" t="s">
        <v>316</v>
      </c>
    </row>
    <row r="11517">
      <c r="A11517" s="17"/>
      <c r="H11517" s="18"/>
      <c r="K11517" s="18" t="s">
        <v>316</v>
      </c>
    </row>
    <row r="11518">
      <c r="A11518" s="17"/>
      <c r="H11518" s="18"/>
      <c r="K11518" s="18" t="s">
        <v>316</v>
      </c>
    </row>
    <row r="11519">
      <c r="A11519" s="17"/>
      <c r="H11519" s="18"/>
      <c r="K11519" s="18" t="s">
        <v>316</v>
      </c>
    </row>
    <row r="11520">
      <c r="A11520" s="17"/>
      <c r="H11520" s="18"/>
      <c r="K11520" s="18" t="s">
        <v>316</v>
      </c>
    </row>
    <row r="11521">
      <c r="A11521" s="17"/>
      <c r="H11521" s="18"/>
      <c r="K11521" s="18" t="s">
        <v>316</v>
      </c>
    </row>
    <row r="11522">
      <c r="A11522" s="17"/>
      <c r="H11522" s="18"/>
      <c r="K11522" s="18" t="s">
        <v>316</v>
      </c>
    </row>
    <row r="11523">
      <c r="A11523" s="17"/>
      <c r="H11523" s="18"/>
      <c r="K11523" s="18" t="s">
        <v>316</v>
      </c>
    </row>
    <row r="11524">
      <c r="A11524" s="17"/>
      <c r="H11524" s="18"/>
      <c r="K11524" s="18" t="s">
        <v>316</v>
      </c>
    </row>
    <row r="11525">
      <c r="A11525" s="17"/>
      <c r="H11525" s="18"/>
      <c r="K11525" s="18" t="s">
        <v>316</v>
      </c>
    </row>
    <row r="11526">
      <c r="A11526" s="17"/>
      <c r="H11526" s="18"/>
      <c r="K11526" s="18" t="s">
        <v>316</v>
      </c>
    </row>
    <row r="11527">
      <c r="A11527" s="17"/>
      <c r="H11527" s="18"/>
      <c r="K11527" s="18" t="s">
        <v>316</v>
      </c>
    </row>
    <row r="11528">
      <c r="A11528" s="17"/>
      <c r="H11528" s="18"/>
      <c r="K11528" s="18" t="s">
        <v>316</v>
      </c>
    </row>
    <row r="11529">
      <c r="A11529" s="17"/>
      <c r="H11529" s="18"/>
      <c r="K11529" s="18" t="s">
        <v>316</v>
      </c>
    </row>
    <row r="11530">
      <c r="A11530" s="17"/>
      <c r="H11530" s="18"/>
      <c r="K11530" s="18" t="s">
        <v>316</v>
      </c>
    </row>
    <row r="11531">
      <c r="A11531" s="17"/>
      <c r="H11531" s="18"/>
      <c r="K11531" s="18" t="s">
        <v>316</v>
      </c>
    </row>
    <row r="11532">
      <c r="A11532" s="17"/>
      <c r="H11532" s="18"/>
      <c r="K11532" s="18" t="s">
        <v>316</v>
      </c>
    </row>
    <row r="11533">
      <c r="A11533" s="17"/>
      <c r="H11533" s="18"/>
      <c r="K11533" s="18" t="s">
        <v>316</v>
      </c>
    </row>
    <row r="11534">
      <c r="A11534" s="17"/>
      <c r="H11534" s="18"/>
      <c r="K11534" s="18" t="s">
        <v>316</v>
      </c>
    </row>
    <row r="11535">
      <c r="A11535" s="17"/>
      <c r="H11535" s="18"/>
      <c r="K11535" s="18" t="s">
        <v>316</v>
      </c>
    </row>
    <row r="11536">
      <c r="A11536" s="17"/>
      <c r="H11536" s="18"/>
      <c r="K11536" s="18" t="s">
        <v>316</v>
      </c>
    </row>
    <row r="11537">
      <c r="A11537" s="17"/>
      <c r="H11537" s="18"/>
      <c r="K11537" s="18" t="s">
        <v>316</v>
      </c>
    </row>
    <row r="11538">
      <c r="A11538" s="17"/>
      <c r="H11538" s="18"/>
      <c r="K11538" s="18" t="s">
        <v>316</v>
      </c>
    </row>
    <row r="11539">
      <c r="A11539" s="17"/>
      <c r="H11539" s="18"/>
      <c r="K11539" s="18" t="s">
        <v>316</v>
      </c>
    </row>
    <row r="11540">
      <c r="A11540" s="17"/>
      <c r="H11540" s="18"/>
      <c r="K11540" s="18" t="s">
        <v>316</v>
      </c>
    </row>
    <row r="11541">
      <c r="A11541" s="17"/>
      <c r="H11541" s="18"/>
      <c r="K11541" s="18" t="s">
        <v>316</v>
      </c>
    </row>
    <row r="11542">
      <c r="A11542" s="17"/>
      <c r="H11542" s="18"/>
      <c r="K11542" s="18" t="s">
        <v>316</v>
      </c>
    </row>
    <row r="11543">
      <c r="A11543" s="17"/>
      <c r="H11543" s="18"/>
      <c r="K11543" s="18" t="s">
        <v>316</v>
      </c>
    </row>
    <row r="11544">
      <c r="A11544" s="17"/>
      <c r="H11544" s="18"/>
      <c r="K11544" s="18" t="s">
        <v>316</v>
      </c>
    </row>
    <row r="11545">
      <c r="A11545" s="17"/>
      <c r="H11545" s="18"/>
      <c r="K11545" s="18" t="s">
        <v>316</v>
      </c>
    </row>
    <row r="11546">
      <c r="A11546" s="17"/>
      <c r="H11546" s="18"/>
      <c r="K11546" s="18" t="s">
        <v>316</v>
      </c>
    </row>
    <row r="11547">
      <c r="A11547" s="17"/>
      <c r="H11547" s="18"/>
      <c r="K11547" s="18" t="s">
        <v>316</v>
      </c>
    </row>
    <row r="11548">
      <c r="A11548" s="17"/>
      <c r="H11548" s="18"/>
      <c r="K11548" s="18" t="s">
        <v>316</v>
      </c>
    </row>
    <row r="11549">
      <c r="A11549" s="17"/>
      <c r="H11549" s="18"/>
      <c r="K11549" s="18" t="s">
        <v>316</v>
      </c>
    </row>
    <row r="11550">
      <c r="A11550" s="17"/>
      <c r="H11550" s="18"/>
      <c r="K11550" s="18" t="s">
        <v>316</v>
      </c>
    </row>
    <row r="11551">
      <c r="A11551" s="17"/>
      <c r="H11551" s="18"/>
      <c r="K11551" s="18" t="s">
        <v>316</v>
      </c>
    </row>
    <row r="11552">
      <c r="A11552" s="17"/>
      <c r="H11552" s="18"/>
      <c r="K11552" s="18" t="s">
        <v>316</v>
      </c>
    </row>
    <row r="11553">
      <c r="A11553" s="17"/>
      <c r="H11553" s="18"/>
      <c r="K11553" s="18" t="s">
        <v>316</v>
      </c>
    </row>
    <row r="11554">
      <c r="A11554" s="17"/>
      <c r="H11554" s="18"/>
      <c r="K11554" s="18" t="s">
        <v>316</v>
      </c>
    </row>
    <row r="11555">
      <c r="A11555" s="17"/>
      <c r="H11555" s="18"/>
      <c r="K11555" s="18" t="s">
        <v>316</v>
      </c>
    </row>
    <row r="11556">
      <c r="A11556" s="17"/>
      <c r="H11556" s="18"/>
      <c r="K11556" s="18" t="s">
        <v>316</v>
      </c>
    </row>
    <row r="11557">
      <c r="A11557" s="17"/>
      <c r="H11557" s="18"/>
      <c r="K11557" s="18" t="s">
        <v>316</v>
      </c>
    </row>
    <row r="11558">
      <c r="A11558" s="17"/>
      <c r="H11558" s="18"/>
      <c r="K11558" s="18" t="s">
        <v>316</v>
      </c>
    </row>
    <row r="11559">
      <c r="A11559" s="17"/>
      <c r="H11559" s="18"/>
      <c r="K11559" s="18" t="s">
        <v>316</v>
      </c>
    </row>
    <row r="11560">
      <c r="A11560" s="17"/>
      <c r="H11560" s="18"/>
      <c r="K11560" s="18" t="s">
        <v>316</v>
      </c>
    </row>
    <row r="11561">
      <c r="A11561" s="17"/>
      <c r="H11561" s="18"/>
      <c r="K11561" s="18" t="s">
        <v>316</v>
      </c>
    </row>
    <row r="11562">
      <c r="A11562" s="17"/>
      <c r="H11562" s="18"/>
      <c r="K11562" s="18" t="s">
        <v>316</v>
      </c>
    </row>
    <row r="11563">
      <c r="A11563" s="17"/>
      <c r="H11563" s="18"/>
      <c r="K11563" s="18" t="s">
        <v>316</v>
      </c>
    </row>
    <row r="11564">
      <c r="A11564" s="17"/>
      <c r="H11564" s="18"/>
      <c r="K11564" s="18" t="s">
        <v>316</v>
      </c>
    </row>
    <row r="11565">
      <c r="A11565" s="17"/>
      <c r="H11565" s="18"/>
      <c r="K11565" s="18" t="s">
        <v>316</v>
      </c>
    </row>
    <row r="11566">
      <c r="A11566" s="17"/>
      <c r="H11566" s="18"/>
      <c r="K11566" s="18" t="s">
        <v>316</v>
      </c>
    </row>
    <row r="11567">
      <c r="A11567" s="17"/>
      <c r="H11567" s="18"/>
      <c r="K11567" s="18" t="s">
        <v>316</v>
      </c>
    </row>
    <row r="11568">
      <c r="A11568" s="17"/>
      <c r="H11568" s="18"/>
      <c r="K11568" s="18" t="s">
        <v>316</v>
      </c>
    </row>
    <row r="11569">
      <c r="A11569" s="17"/>
      <c r="H11569" s="18"/>
      <c r="K11569" s="18" t="s">
        <v>316</v>
      </c>
    </row>
    <row r="11570">
      <c r="A11570" s="17"/>
      <c r="H11570" s="18"/>
      <c r="K11570" s="18" t="s">
        <v>316</v>
      </c>
    </row>
    <row r="11571">
      <c r="A11571" s="17"/>
      <c r="H11571" s="18"/>
      <c r="K11571" s="18" t="s">
        <v>316</v>
      </c>
    </row>
    <row r="11572">
      <c r="A11572" s="17"/>
      <c r="H11572" s="18"/>
      <c r="K11572" s="18" t="s">
        <v>316</v>
      </c>
    </row>
    <row r="11573">
      <c r="A11573" s="17"/>
      <c r="H11573" s="18"/>
      <c r="K11573" s="18" t="s">
        <v>316</v>
      </c>
    </row>
    <row r="11574">
      <c r="A11574" s="17"/>
      <c r="H11574" s="18"/>
      <c r="K11574" s="18" t="s">
        <v>316</v>
      </c>
    </row>
    <row r="11575">
      <c r="A11575" s="17"/>
      <c r="H11575" s="18"/>
      <c r="K11575" s="18" t="s">
        <v>316</v>
      </c>
    </row>
    <row r="11576">
      <c r="A11576" s="17"/>
      <c r="H11576" s="18"/>
      <c r="K11576" s="18" t="s">
        <v>316</v>
      </c>
    </row>
    <row r="11577">
      <c r="A11577" s="17"/>
      <c r="H11577" s="18"/>
      <c r="K11577" s="18" t="s">
        <v>316</v>
      </c>
    </row>
    <row r="11578">
      <c r="A11578" s="17"/>
      <c r="H11578" s="18"/>
      <c r="K11578" s="18" t="s">
        <v>316</v>
      </c>
    </row>
    <row r="11579">
      <c r="A11579" s="17"/>
      <c r="H11579" s="18"/>
      <c r="K11579" s="18" t="s">
        <v>316</v>
      </c>
    </row>
    <row r="11580">
      <c r="A11580" s="17"/>
      <c r="H11580" s="18"/>
      <c r="K11580" s="18" t="s">
        <v>316</v>
      </c>
    </row>
    <row r="11581">
      <c r="A11581" s="17"/>
      <c r="H11581" s="18"/>
      <c r="K11581" s="18" t="s">
        <v>316</v>
      </c>
    </row>
    <row r="11582">
      <c r="A11582" s="17"/>
      <c r="H11582" s="18"/>
      <c r="K11582" s="18" t="s">
        <v>316</v>
      </c>
    </row>
    <row r="11583">
      <c r="A11583" s="17"/>
      <c r="H11583" s="18"/>
      <c r="K11583" s="18" t="s">
        <v>316</v>
      </c>
    </row>
    <row r="11584">
      <c r="A11584" s="17"/>
      <c r="H11584" s="18"/>
      <c r="K11584" s="18" t="s">
        <v>316</v>
      </c>
    </row>
    <row r="11585">
      <c r="A11585" s="17"/>
      <c r="H11585" s="18"/>
      <c r="K11585" s="18" t="s">
        <v>316</v>
      </c>
    </row>
    <row r="11586">
      <c r="A11586" s="17"/>
      <c r="H11586" s="18"/>
      <c r="K11586" s="18" t="s">
        <v>316</v>
      </c>
    </row>
    <row r="11587">
      <c r="A11587" s="17"/>
      <c r="H11587" s="18"/>
      <c r="K11587" s="18" t="s">
        <v>316</v>
      </c>
    </row>
    <row r="11588">
      <c r="A11588" s="17"/>
      <c r="H11588" s="18"/>
      <c r="K11588" s="18" t="s">
        <v>316</v>
      </c>
    </row>
    <row r="11589">
      <c r="A11589" s="17"/>
      <c r="H11589" s="18"/>
      <c r="K11589" s="18" t="s">
        <v>316</v>
      </c>
    </row>
    <row r="11590">
      <c r="A11590" s="17"/>
      <c r="H11590" s="18"/>
      <c r="K11590" s="18" t="s">
        <v>316</v>
      </c>
    </row>
    <row r="11591">
      <c r="A11591" s="17"/>
      <c r="H11591" s="18"/>
      <c r="K11591" s="18" t="s">
        <v>316</v>
      </c>
    </row>
    <row r="11592">
      <c r="A11592" s="17"/>
      <c r="H11592" s="18"/>
      <c r="K11592" s="18" t="s">
        <v>316</v>
      </c>
    </row>
    <row r="11593">
      <c r="A11593" s="17"/>
      <c r="H11593" s="18"/>
      <c r="K11593" s="18" t="s">
        <v>316</v>
      </c>
    </row>
    <row r="11594">
      <c r="A11594" s="17"/>
      <c r="H11594" s="18"/>
      <c r="K11594" s="18" t="s">
        <v>316</v>
      </c>
    </row>
    <row r="11595">
      <c r="A11595" s="17"/>
      <c r="H11595" s="18"/>
      <c r="K11595" s="18" t="s">
        <v>316</v>
      </c>
    </row>
    <row r="11596">
      <c r="A11596" s="17"/>
      <c r="H11596" s="18"/>
      <c r="K11596" s="18" t="s">
        <v>316</v>
      </c>
    </row>
    <row r="11597">
      <c r="A11597" s="17"/>
      <c r="H11597" s="18"/>
      <c r="K11597" s="18" t="s">
        <v>316</v>
      </c>
    </row>
    <row r="11598">
      <c r="A11598" s="17"/>
      <c r="H11598" s="18"/>
      <c r="K11598" s="18" t="s">
        <v>316</v>
      </c>
    </row>
    <row r="11599">
      <c r="A11599" s="17"/>
      <c r="H11599" s="18"/>
      <c r="K11599" s="18" t="s">
        <v>316</v>
      </c>
    </row>
    <row r="11600">
      <c r="A11600" s="17"/>
      <c r="H11600" s="18"/>
      <c r="K11600" s="18" t="s">
        <v>316</v>
      </c>
    </row>
    <row r="11601">
      <c r="A11601" s="17"/>
      <c r="H11601" s="18"/>
      <c r="K11601" s="18" t="s">
        <v>316</v>
      </c>
    </row>
    <row r="11602">
      <c r="A11602" s="17"/>
      <c r="H11602" s="18"/>
      <c r="K11602" s="18" t="s">
        <v>316</v>
      </c>
    </row>
    <row r="11603">
      <c r="A11603" s="17"/>
      <c r="H11603" s="18"/>
      <c r="K11603" s="18" t="s">
        <v>316</v>
      </c>
    </row>
    <row r="11604">
      <c r="A11604" s="17"/>
      <c r="H11604" s="18"/>
      <c r="K11604" s="18" t="s">
        <v>316</v>
      </c>
    </row>
    <row r="11605">
      <c r="A11605" s="17"/>
      <c r="H11605" s="18"/>
      <c r="K11605" s="18" t="s">
        <v>316</v>
      </c>
    </row>
    <row r="11606">
      <c r="A11606" s="17"/>
      <c r="H11606" s="18"/>
      <c r="K11606" s="18" t="s">
        <v>316</v>
      </c>
    </row>
    <row r="11607">
      <c r="A11607" s="17"/>
      <c r="H11607" s="18"/>
      <c r="K11607" s="18" t="s">
        <v>316</v>
      </c>
    </row>
    <row r="11608">
      <c r="A11608" s="17"/>
      <c r="H11608" s="18"/>
      <c r="K11608" s="18" t="s">
        <v>316</v>
      </c>
    </row>
    <row r="11609">
      <c r="A11609" s="17"/>
      <c r="H11609" s="18"/>
      <c r="K11609" s="18" t="s">
        <v>316</v>
      </c>
    </row>
    <row r="11610">
      <c r="A11610" s="17"/>
      <c r="H11610" s="18"/>
      <c r="K11610" s="18" t="s">
        <v>316</v>
      </c>
    </row>
    <row r="11611">
      <c r="A11611" s="17"/>
      <c r="H11611" s="18"/>
      <c r="K11611" s="18" t="s">
        <v>316</v>
      </c>
    </row>
    <row r="11612">
      <c r="A11612" s="17"/>
      <c r="H11612" s="18"/>
      <c r="K11612" s="18" t="s">
        <v>316</v>
      </c>
    </row>
    <row r="11613">
      <c r="A11613" s="17"/>
      <c r="H11613" s="18"/>
      <c r="K11613" s="18" t="s">
        <v>316</v>
      </c>
    </row>
    <row r="11614">
      <c r="A11614" s="17"/>
      <c r="H11614" s="18"/>
      <c r="K11614" s="18" t="s">
        <v>316</v>
      </c>
    </row>
    <row r="11615">
      <c r="A11615" s="17"/>
      <c r="H11615" s="18"/>
      <c r="K11615" s="18" t="s">
        <v>316</v>
      </c>
    </row>
    <row r="11616">
      <c r="A11616" s="17"/>
      <c r="H11616" s="18"/>
      <c r="K11616" s="18" t="s">
        <v>316</v>
      </c>
    </row>
    <row r="11617">
      <c r="A11617" s="17"/>
      <c r="H11617" s="18"/>
      <c r="K11617" s="18" t="s">
        <v>316</v>
      </c>
    </row>
    <row r="11618">
      <c r="A11618" s="17"/>
      <c r="H11618" s="18"/>
      <c r="K11618" s="18" t="s">
        <v>316</v>
      </c>
    </row>
    <row r="11619">
      <c r="A11619" s="17"/>
      <c r="H11619" s="18"/>
      <c r="K11619" s="18" t="s">
        <v>316</v>
      </c>
    </row>
    <row r="11620">
      <c r="A11620" s="17"/>
      <c r="H11620" s="18"/>
      <c r="K11620" s="18" t="s">
        <v>316</v>
      </c>
    </row>
    <row r="11621">
      <c r="A11621" s="17"/>
      <c r="H11621" s="18"/>
      <c r="K11621" s="18" t="s">
        <v>316</v>
      </c>
    </row>
    <row r="11622">
      <c r="A11622" s="17"/>
      <c r="H11622" s="18"/>
      <c r="K11622" s="18" t="s">
        <v>316</v>
      </c>
    </row>
    <row r="11623">
      <c r="A11623" s="17"/>
      <c r="H11623" s="18"/>
      <c r="K11623" s="18" t="s">
        <v>316</v>
      </c>
    </row>
    <row r="11624">
      <c r="A11624" s="17"/>
      <c r="H11624" s="18"/>
      <c r="K11624" s="18" t="s">
        <v>316</v>
      </c>
    </row>
    <row r="11625">
      <c r="A11625" s="17"/>
      <c r="H11625" s="18"/>
      <c r="K11625" s="18" t="s">
        <v>316</v>
      </c>
    </row>
    <row r="11626">
      <c r="A11626" s="17"/>
      <c r="H11626" s="18"/>
      <c r="K11626" s="18" t="s">
        <v>316</v>
      </c>
    </row>
    <row r="11627">
      <c r="A11627" s="17"/>
      <c r="H11627" s="18"/>
      <c r="K11627" s="18" t="s">
        <v>316</v>
      </c>
    </row>
    <row r="11628">
      <c r="A11628" s="17"/>
      <c r="H11628" s="18"/>
      <c r="K11628" s="18" t="s">
        <v>316</v>
      </c>
    </row>
    <row r="11629">
      <c r="A11629" s="17"/>
      <c r="H11629" s="18"/>
      <c r="K11629" s="18" t="s">
        <v>316</v>
      </c>
    </row>
    <row r="11630">
      <c r="A11630" s="17"/>
      <c r="H11630" s="18"/>
      <c r="K11630" s="18" t="s">
        <v>316</v>
      </c>
    </row>
    <row r="11631">
      <c r="A11631" s="17"/>
      <c r="H11631" s="18"/>
      <c r="K11631" s="18" t="s">
        <v>316</v>
      </c>
    </row>
    <row r="11632">
      <c r="A11632" s="17"/>
      <c r="H11632" s="18"/>
      <c r="K11632" s="18" t="s">
        <v>316</v>
      </c>
    </row>
    <row r="11633">
      <c r="A11633" s="17"/>
      <c r="H11633" s="18"/>
      <c r="K11633" s="18" t="s">
        <v>316</v>
      </c>
    </row>
    <row r="11634">
      <c r="A11634" s="17"/>
      <c r="H11634" s="18"/>
      <c r="K11634" s="18" t="s">
        <v>316</v>
      </c>
    </row>
    <row r="11635">
      <c r="A11635" s="17"/>
      <c r="H11635" s="18"/>
      <c r="K11635" s="18" t="s">
        <v>316</v>
      </c>
    </row>
    <row r="11636">
      <c r="A11636" s="17"/>
      <c r="H11636" s="18"/>
      <c r="K11636" s="18" t="s">
        <v>316</v>
      </c>
    </row>
    <row r="11637">
      <c r="A11637" s="17"/>
      <c r="H11637" s="18"/>
      <c r="K11637" s="18" t="s">
        <v>316</v>
      </c>
    </row>
    <row r="11638">
      <c r="A11638" s="17"/>
      <c r="H11638" s="18"/>
      <c r="K11638" s="18" t="s">
        <v>316</v>
      </c>
    </row>
    <row r="11639">
      <c r="A11639" s="17"/>
      <c r="H11639" s="18"/>
      <c r="K11639" s="18" t="s">
        <v>316</v>
      </c>
    </row>
    <row r="11640">
      <c r="A11640" s="17"/>
      <c r="H11640" s="18"/>
      <c r="K11640" s="18" t="s">
        <v>316</v>
      </c>
    </row>
    <row r="11641">
      <c r="A11641" s="17"/>
      <c r="H11641" s="18"/>
      <c r="K11641" s="18" t="s">
        <v>316</v>
      </c>
    </row>
    <row r="11642">
      <c r="A11642" s="17"/>
      <c r="H11642" s="18"/>
      <c r="K11642" s="18" t="s">
        <v>316</v>
      </c>
    </row>
    <row r="11643">
      <c r="A11643" s="17"/>
      <c r="H11643" s="18"/>
      <c r="K11643" s="18" t="s">
        <v>316</v>
      </c>
    </row>
    <row r="11644">
      <c r="A11644" s="17"/>
      <c r="H11644" s="18"/>
      <c r="K11644" s="18" t="s">
        <v>316</v>
      </c>
    </row>
    <row r="11645">
      <c r="A11645" s="17"/>
      <c r="H11645" s="18"/>
      <c r="K11645" s="18" t="s">
        <v>316</v>
      </c>
    </row>
    <row r="11646">
      <c r="A11646" s="17"/>
      <c r="H11646" s="18"/>
      <c r="K11646" s="18" t="s">
        <v>316</v>
      </c>
    </row>
    <row r="11647">
      <c r="A11647" s="17"/>
      <c r="H11647" s="18"/>
      <c r="K11647" s="18" t="s">
        <v>316</v>
      </c>
    </row>
    <row r="11648">
      <c r="A11648" s="17"/>
      <c r="H11648" s="18"/>
      <c r="K11648" s="18" t="s">
        <v>316</v>
      </c>
    </row>
    <row r="11649">
      <c r="A11649" s="17"/>
      <c r="H11649" s="18"/>
      <c r="K11649" s="18" t="s">
        <v>316</v>
      </c>
    </row>
    <row r="11650">
      <c r="A11650" s="17"/>
      <c r="H11650" s="18"/>
      <c r="K11650" s="18" t="s">
        <v>316</v>
      </c>
    </row>
    <row r="11651">
      <c r="A11651" s="17"/>
      <c r="H11651" s="18"/>
      <c r="K11651" s="18" t="s">
        <v>316</v>
      </c>
    </row>
    <row r="11652">
      <c r="A11652" s="17"/>
      <c r="H11652" s="18"/>
      <c r="K11652" s="18" t="s">
        <v>316</v>
      </c>
    </row>
    <row r="11653">
      <c r="A11653" s="17"/>
      <c r="H11653" s="18"/>
      <c r="K11653" s="18" t="s">
        <v>316</v>
      </c>
    </row>
    <row r="11654">
      <c r="A11654" s="17"/>
      <c r="H11654" s="18"/>
      <c r="K11654" s="18" t="s">
        <v>316</v>
      </c>
    </row>
    <row r="11655">
      <c r="A11655" s="17"/>
      <c r="H11655" s="18"/>
      <c r="K11655" s="18" t="s">
        <v>316</v>
      </c>
    </row>
    <row r="11656">
      <c r="A11656" s="17"/>
      <c r="H11656" s="18"/>
      <c r="K11656" s="18" t="s">
        <v>316</v>
      </c>
    </row>
    <row r="11657">
      <c r="A11657" s="17"/>
      <c r="H11657" s="18"/>
      <c r="K11657" s="18" t="s">
        <v>316</v>
      </c>
    </row>
    <row r="11658">
      <c r="A11658" s="17"/>
      <c r="H11658" s="18"/>
      <c r="K11658" s="18" t="s">
        <v>316</v>
      </c>
    </row>
    <row r="11659">
      <c r="A11659" s="17"/>
      <c r="H11659" s="18"/>
      <c r="K11659" s="18" t="s">
        <v>316</v>
      </c>
    </row>
    <row r="11660">
      <c r="A11660" s="17"/>
      <c r="H11660" s="18"/>
      <c r="K11660" s="18" t="s">
        <v>316</v>
      </c>
    </row>
    <row r="11661">
      <c r="A11661" s="17"/>
      <c r="H11661" s="18"/>
      <c r="K11661" s="18" t="s">
        <v>316</v>
      </c>
    </row>
    <row r="11662">
      <c r="A11662" s="17"/>
      <c r="H11662" s="18"/>
      <c r="K11662" s="18" t="s">
        <v>316</v>
      </c>
    </row>
    <row r="11663">
      <c r="A11663" s="17"/>
      <c r="H11663" s="18"/>
      <c r="K11663" s="18" t="s">
        <v>316</v>
      </c>
    </row>
    <row r="11664">
      <c r="A11664" s="17"/>
      <c r="H11664" s="18"/>
      <c r="K11664" s="18" t="s">
        <v>316</v>
      </c>
    </row>
    <row r="11665">
      <c r="A11665" s="17"/>
      <c r="H11665" s="18"/>
      <c r="K11665" s="18" t="s">
        <v>316</v>
      </c>
    </row>
    <row r="11666">
      <c r="A11666" s="17"/>
      <c r="H11666" s="18"/>
      <c r="K11666" s="18" t="s">
        <v>316</v>
      </c>
    </row>
    <row r="11667">
      <c r="A11667" s="17"/>
      <c r="H11667" s="18"/>
      <c r="K11667" s="18" t="s">
        <v>316</v>
      </c>
    </row>
    <row r="11668">
      <c r="A11668" s="17"/>
      <c r="H11668" s="18"/>
      <c r="K11668" s="18" t="s">
        <v>316</v>
      </c>
    </row>
    <row r="11669">
      <c r="A11669" s="17"/>
      <c r="H11669" s="18"/>
      <c r="K11669" s="18" t="s">
        <v>316</v>
      </c>
    </row>
    <row r="11670">
      <c r="A11670" s="17"/>
      <c r="H11670" s="18"/>
      <c r="K11670" s="18" t="s">
        <v>316</v>
      </c>
    </row>
    <row r="11671">
      <c r="A11671" s="17"/>
      <c r="H11671" s="18"/>
      <c r="K11671" s="18" t="s">
        <v>316</v>
      </c>
    </row>
    <row r="11672">
      <c r="A11672" s="17"/>
      <c r="H11672" s="18"/>
      <c r="K11672" s="18" t="s">
        <v>316</v>
      </c>
    </row>
    <row r="11673">
      <c r="A11673" s="17"/>
      <c r="H11673" s="18"/>
      <c r="K11673" s="18" t="s">
        <v>316</v>
      </c>
    </row>
    <row r="11674">
      <c r="A11674" s="17"/>
      <c r="H11674" s="18"/>
      <c r="K11674" s="18" t="s">
        <v>316</v>
      </c>
    </row>
    <row r="11675">
      <c r="A11675" s="17"/>
      <c r="H11675" s="18"/>
      <c r="K11675" s="18" t="s">
        <v>316</v>
      </c>
    </row>
    <row r="11676">
      <c r="A11676" s="17"/>
      <c r="H11676" s="18"/>
      <c r="K11676" s="18" t="s">
        <v>316</v>
      </c>
    </row>
    <row r="11677">
      <c r="A11677" s="17"/>
      <c r="H11677" s="18"/>
      <c r="K11677" s="18" t="s">
        <v>316</v>
      </c>
    </row>
    <row r="11678">
      <c r="A11678" s="17"/>
      <c r="H11678" s="18"/>
      <c r="K11678" s="18" t="s">
        <v>316</v>
      </c>
    </row>
    <row r="11679">
      <c r="A11679" s="17"/>
      <c r="H11679" s="18"/>
      <c r="K11679" s="18" t="s">
        <v>316</v>
      </c>
    </row>
    <row r="11680">
      <c r="A11680" s="17"/>
      <c r="H11680" s="18"/>
      <c r="K11680" s="18" t="s">
        <v>316</v>
      </c>
    </row>
    <row r="11681">
      <c r="A11681" s="17"/>
      <c r="H11681" s="18"/>
      <c r="K11681" s="18" t="s">
        <v>316</v>
      </c>
    </row>
    <row r="11682">
      <c r="A11682" s="17"/>
      <c r="H11682" s="18"/>
      <c r="K11682" s="18" t="s">
        <v>316</v>
      </c>
    </row>
    <row r="11683">
      <c r="A11683" s="17"/>
      <c r="H11683" s="18"/>
      <c r="K11683" s="18" t="s">
        <v>316</v>
      </c>
    </row>
    <row r="11684">
      <c r="A11684" s="17"/>
      <c r="H11684" s="18"/>
      <c r="K11684" s="18" t="s">
        <v>316</v>
      </c>
    </row>
    <row r="11685">
      <c r="A11685" s="17"/>
      <c r="H11685" s="18"/>
      <c r="K11685" s="18" t="s">
        <v>316</v>
      </c>
    </row>
    <row r="11686">
      <c r="A11686" s="17"/>
      <c r="H11686" s="18"/>
      <c r="K11686" s="18" t="s">
        <v>316</v>
      </c>
    </row>
    <row r="11687">
      <c r="A11687" s="17"/>
      <c r="H11687" s="18"/>
      <c r="K11687" s="18" t="s">
        <v>316</v>
      </c>
    </row>
    <row r="11688">
      <c r="A11688" s="17"/>
      <c r="H11688" s="18"/>
      <c r="K11688" s="18" t="s">
        <v>316</v>
      </c>
    </row>
    <row r="11689">
      <c r="A11689" s="17"/>
      <c r="H11689" s="18"/>
      <c r="K11689" s="18" t="s">
        <v>316</v>
      </c>
    </row>
    <row r="11690">
      <c r="A11690" s="17"/>
      <c r="H11690" s="18"/>
      <c r="K11690" s="18" t="s">
        <v>316</v>
      </c>
    </row>
    <row r="11691">
      <c r="A11691" s="17"/>
      <c r="H11691" s="18"/>
      <c r="K11691" s="18" t="s">
        <v>316</v>
      </c>
    </row>
    <row r="11692">
      <c r="A11692" s="17"/>
      <c r="H11692" s="18"/>
      <c r="K11692" s="18" t="s">
        <v>316</v>
      </c>
    </row>
    <row r="11693">
      <c r="A11693" s="17"/>
      <c r="H11693" s="18"/>
      <c r="K11693" s="18" t="s">
        <v>316</v>
      </c>
    </row>
    <row r="11694">
      <c r="A11694" s="17"/>
      <c r="H11694" s="18"/>
      <c r="K11694" s="18" t="s">
        <v>316</v>
      </c>
    </row>
    <row r="11695">
      <c r="A11695" s="17"/>
      <c r="H11695" s="18"/>
      <c r="K11695" s="18" t="s">
        <v>316</v>
      </c>
    </row>
    <row r="11696">
      <c r="A11696" s="17"/>
      <c r="H11696" s="18"/>
      <c r="K11696" s="18" t="s">
        <v>316</v>
      </c>
    </row>
    <row r="11697">
      <c r="A11697" s="17"/>
      <c r="H11697" s="18"/>
      <c r="K11697" s="18" t="s">
        <v>316</v>
      </c>
    </row>
    <row r="11698">
      <c r="A11698" s="17"/>
      <c r="H11698" s="18"/>
      <c r="K11698" s="18" t="s">
        <v>316</v>
      </c>
    </row>
    <row r="11699">
      <c r="A11699" s="17"/>
      <c r="H11699" s="18"/>
      <c r="K11699" s="18" t="s">
        <v>316</v>
      </c>
    </row>
    <row r="11700">
      <c r="A11700" s="17"/>
      <c r="H11700" s="18"/>
      <c r="K11700" s="18" t="s">
        <v>316</v>
      </c>
    </row>
    <row r="11701">
      <c r="A11701" s="17"/>
      <c r="H11701" s="18"/>
      <c r="K11701" s="18" t="s">
        <v>316</v>
      </c>
    </row>
    <row r="11702">
      <c r="A11702" s="17"/>
      <c r="H11702" s="18"/>
      <c r="K11702" s="18" t="s">
        <v>316</v>
      </c>
    </row>
    <row r="11703">
      <c r="A11703" s="17"/>
      <c r="H11703" s="18"/>
      <c r="K11703" s="18" t="s">
        <v>316</v>
      </c>
    </row>
    <row r="11704">
      <c r="A11704" s="17"/>
      <c r="H11704" s="18"/>
      <c r="K11704" s="18" t="s">
        <v>316</v>
      </c>
    </row>
    <row r="11705">
      <c r="A11705" s="17"/>
      <c r="H11705" s="18"/>
      <c r="K11705" s="18" t="s">
        <v>316</v>
      </c>
    </row>
    <row r="11706">
      <c r="A11706" s="17"/>
      <c r="H11706" s="18"/>
      <c r="K11706" s="18" t="s">
        <v>316</v>
      </c>
    </row>
    <row r="11707">
      <c r="A11707" s="17"/>
      <c r="H11707" s="18"/>
      <c r="K11707" s="18" t="s">
        <v>316</v>
      </c>
    </row>
    <row r="11708">
      <c r="A11708" s="17"/>
      <c r="H11708" s="18"/>
      <c r="K11708" s="18" t="s">
        <v>316</v>
      </c>
    </row>
    <row r="11709">
      <c r="A11709" s="17"/>
      <c r="H11709" s="18"/>
      <c r="K11709" s="18" t="s">
        <v>316</v>
      </c>
    </row>
    <row r="11710">
      <c r="A11710" s="17"/>
      <c r="H11710" s="18"/>
      <c r="K11710" s="18" t="s">
        <v>316</v>
      </c>
    </row>
    <row r="11711">
      <c r="A11711" s="17"/>
      <c r="H11711" s="18"/>
      <c r="K11711" s="18" t="s">
        <v>316</v>
      </c>
    </row>
    <row r="11712">
      <c r="A11712" s="17"/>
      <c r="H11712" s="18"/>
      <c r="K11712" s="18" t="s">
        <v>316</v>
      </c>
    </row>
    <row r="11713">
      <c r="A11713" s="17"/>
      <c r="H11713" s="18"/>
      <c r="K11713" s="18" t="s">
        <v>316</v>
      </c>
    </row>
    <row r="11714">
      <c r="A11714" s="17"/>
      <c r="H11714" s="18"/>
      <c r="K11714" s="18" t="s">
        <v>316</v>
      </c>
    </row>
    <row r="11715">
      <c r="A11715" s="17"/>
      <c r="H11715" s="18"/>
      <c r="K11715" s="18" t="s">
        <v>316</v>
      </c>
    </row>
    <row r="11716">
      <c r="A11716" s="17"/>
      <c r="H11716" s="18"/>
      <c r="K11716" s="18" t="s">
        <v>316</v>
      </c>
    </row>
    <row r="11717">
      <c r="A11717" s="17"/>
      <c r="H11717" s="18"/>
      <c r="K11717" s="18" t="s">
        <v>316</v>
      </c>
    </row>
    <row r="11718">
      <c r="A11718" s="17"/>
      <c r="H11718" s="18"/>
      <c r="K11718" s="18" t="s">
        <v>316</v>
      </c>
    </row>
    <row r="11719">
      <c r="A11719" s="17"/>
      <c r="H11719" s="18"/>
      <c r="K11719" s="18" t="s">
        <v>316</v>
      </c>
    </row>
    <row r="11720">
      <c r="A11720" s="17"/>
      <c r="H11720" s="18"/>
      <c r="K11720" s="18" t="s">
        <v>316</v>
      </c>
    </row>
    <row r="11721">
      <c r="A11721" s="17"/>
      <c r="H11721" s="18"/>
      <c r="K11721" s="18" t="s">
        <v>316</v>
      </c>
    </row>
    <row r="11722">
      <c r="A11722" s="17"/>
      <c r="H11722" s="18"/>
      <c r="K11722" s="18" t="s">
        <v>316</v>
      </c>
    </row>
    <row r="11723">
      <c r="A11723" s="17"/>
      <c r="H11723" s="18"/>
      <c r="K11723" s="18" t="s">
        <v>316</v>
      </c>
    </row>
    <row r="11724">
      <c r="A11724" s="17"/>
      <c r="H11724" s="18"/>
      <c r="K11724" s="18" t="s">
        <v>316</v>
      </c>
    </row>
    <row r="11725">
      <c r="A11725" s="17"/>
      <c r="H11725" s="18"/>
      <c r="K11725" s="18" t="s">
        <v>316</v>
      </c>
    </row>
    <row r="11726">
      <c r="A11726" s="17"/>
      <c r="H11726" s="18"/>
      <c r="K11726" s="18" t="s">
        <v>316</v>
      </c>
    </row>
    <row r="11727">
      <c r="A11727" s="17"/>
      <c r="H11727" s="18"/>
      <c r="K11727" s="18" t="s">
        <v>316</v>
      </c>
    </row>
    <row r="11728">
      <c r="A11728" s="17"/>
      <c r="H11728" s="18"/>
      <c r="K11728" s="18" t="s">
        <v>316</v>
      </c>
    </row>
    <row r="11729">
      <c r="A11729" s="17"/>
      <c r="H11729" s="18"/>
      <c r="K11729" s="18" t="s">
        <v>316</v>
      </c>
    </row>
    <row r="11730">
      <c r="A11730" s="17"/>
      <c r="H11730" s="18"/>
      <c r="K11730" s="18" t="s">
        <v>316</v>
      </c>
    </row>
    <row r="11731">
      <c r="A11731" s="17"/>
      <c r="H11731" s="18"/>
      <c r="K11731" s="18" t="s">
        <v>316</v>
      </c>
    </row>
    <row r="11732">
      <c r="A11732" s="17"/>
      <c r="H11732" s="18"/>
      <c r="K11732" s="18" t="s">
        <v>316</v>
      </c>
    </row>
    <row r="11733">
      <c r="A11733" s="17"/>
      <c r="H11733" s="18"/>
      <c r="K11733" s="18" t="s">
        <v>316</v>
      </c>
    </row>
    <row r="11734">
      <c r="A11734" s="17"/>
      <c r="H11734" s="18"/>
      <c r="K11734" s="18" t="s">
        <v>316</v>
      </c>
    </row>
    <row r="11735">
      <c r="A11735" s="17"/>
      <c r="H11735" s="18"/>
      <c r="K11735" s="18" t="s">
        <v>316</v>
      </c>
    </row>
    <row r="11736">
      <c r="A11736" s="17"/>
      <c r="H11736" s="18"/>
      <c r="K11736" s="18" t="s">
        <v>316</v>
      </c>
    </row>
    <row r="11737">
      <c r="A11737" s="17"/>
      <c r="H11737" s="18"/>
      <c r="K11737" s="18" t="s">
        <v>316</v>
      </c>
    </row>
    <row r="11738">
      <c r="A11738" s="17"/>
      <c r="H11738" s="18"/>
      <c r="K11738" s="18" t="s">
        <v>316</v>
      </c>
    </row>
    <row r="11739">
      <c r="A11739" s="17"/>
      <c r="H11739" s="18"/>
      <c r="K11739" s="18" t="s">
        <v>316</v>
      </c>
    </row>
    <row r="11740">
      <c r="A11740" s="17"/>
      <c r="H11740" s="18"/>
      <c r="K11740" s="18" t="s">
        <v>316</v>
      </c>
    </row>
    <row r="11741">
      <c r="A11741" s="17"/>
      <c r="H11741" s="18"/>
      <c r="K11741" s="18" t="s">
        <v>316</v>
      </c>
    </row>
    <row r="11742">
      <c r="A11742" s="17"/>
      <c r="H11742" s="18"/>
      <c r="K11742" s="18" t="s">
        <v>316</v>
      </c>
    </row>
    <row r="11743">
      <c r="A11743" s="17"/>
      <c r="H11743" s="18"/>
      <c r="K11743" s="18" t="s">
        <v>316</v>
      </c>
    </row>
    <row r="11744">
      <c r="A11744" s="17"/>
      <c r="H11744" s="18"/>
      <c r="K11744" s="18" t="s">
        <v>316</v>
      </c>
    </row>
    <row r="11745">
      <c r="A11745" s="17"/>
      <c r="H11745" s="18"/>
      <c r="K11745" s="18" t="s">
        <v>316</v>
      </c>
    </row>
    <row r="11746">
      <c r="A11746" s="17"/>
      <c r="H11746" s="18"/>
      <c r="K11746" s="18" t="s">
        <v>316</v>
      </c>
    </row>
    <row r="11747">
      <c r="A11747" s="17"/>
      <c r="H11747" s="18"/>
      <c r="K11747" s="18" t="s">
        <v>316</v>
      </c>
    </row>
    <row r="11748">
      <c r="A11748" s="17"/>
      <c r="H11748" s="18"/>
      <c r="K11748" s="18" t="s">
        <v>316</v>
      </c>
    </row>
    <row r="11749">
      <c r="A11749" s="17"/>
      <c r="H11749" s="18"/>
      <c r="K11749" s="18" t="s">
        <v>316</v>
      </c>
    </row>
    <row r="11750">
      <c r="A11750" s="17"/>
      <c r="H11750" s="18"/>
      <c r="K11750" s="18" t="s">
        <v>316</v>
      </c>
    </row>
    <row r="11751">
      <c r="A11751" s="17"/>
      <c r="H11751" s="18"/>
      <c r="K11751" s="18" t="s">
        <v>316</v>
      </c>
    </row>
    <row r="11752">
      <c r="A11752" s="17"/>
      <c r="H11752" s="18"/>
      <c r="K11752" s="18" t="s">
        <v>316</v>
      </c>
    </row>
    <row r="11753">
      <c r="A11753" s="17"/>
      <c r="H11753" s="18"/>
      <c r="K11753" s="18" t="s">
        <v>316</v>
      </c>
    </row>
    <row r="11754">
      <c r="A11754" s="17"/>
      <c r="H11754" s="18"/>
      <c r="K11754" s="18" t="s">
        <v>316</v>
      </c>
    </row>
    <row r="11755">
      <c r="A11755" s="17"/>
      <c r="H11755" s="18"/>
      <c r="K11755" s="18" t="s">
        <v>316</v>
      </c>
    </row>
    <row r="11756">
      <c r="A11756" s="17"/>
      <c r="H11756" s="18"/>
      <c r="K11756" s="18" t="s">
        <v>316</v>
      </c>
    </row>
    <row r="11757">
      <c r="A11757" s="17"/>
      <c r="H11757" s="18"/>
      <c r="K11757" s="18" t="s">
        <v>316</v>
      </c>
    </row>
    <row r="11758">
      <c r="A11758" s="17"/>
      <c r="H11758" s="18"/>
      <c r="K11758" s="18" t="s">
        <v>316</v>
      </c>
    </row>
    <row r="11759">
      <c r="A11759" s="17"/>
      <c r="H11759" s="18"/>
      <c r="K11759" s="18" t="s">
        <v>316</v>
      </c>
    </row>
    <row r="11760">
      <c r="A11760" s="17"/>
      <c r="H11760" s="18"/>
      <c r="K11760" s="18" t="s">
        <v>316</v>
      </c>
    </row>
    <row r="11761">
      <c r="A11761" s="17"/>
      <c r="H11761" s="18"/>
      <c r="K11761" s="18" t="s">
        <v>316</v>
      </c>
    </row>
    <row r="11762">
      <c r="A11762" s="17"/>
      <c r="H11762" s="18"/>
      <c r="K11762" s="18" t="s">
        <v>316</v>
      </c>
    </row>
    <row r="11763">
      <c r="A11763" s="17"/>
      <c r="H11763" s="18"/>
      <c r="K11763" s="18" t="s">
        <v>316</v>
      </c>
    </row>
    <row r="11764">
      <c r="A11764" s="17"/>
      <c r="H11764" s="18"/>
      <c r="K11764" s="18" t="s">
        <v>316</v>
      </c>
    </row>
    <row r="11765">
      <c r="A11765" s="17"/>
      <c r="H11765" s="18"/>
      <c r="K11765" s="18" t="s">
        <v>316</v>
      </c>
    </row>
    <row r="11766">
      <c r="A11766" s="17"/>
      <c r="H11766" s="18"/>
      <c r="K11766" s="18" t="s">
        <v>316</v>
      </c>
    </row>
    <row r="11767">
      <c r="A11767" s="17"/>
      <c r="H11767" s="18"/>
      <c r="K11767" s="18" t="s">
        <v>316</v>
      </c>
    </row>
    <row r="11768">
      <c r="A11768" s="17"/>
      <c r="H11768" s="18"/>
      <c r="K11768" s="18" t="s">
        <v>316</v>
      </c>
    </row>
    <row r="11769">
      <c r="A11769" s="17"/>
      <c r="H11769" s="18"/>
      <c r="K11769" s="18" t="s">
        <v>316</v>
      </c>
    </row>
    <row r="11770">
      <c r="A11770" s="17"/>
      <c r="H11770" s="18"/>
      <c r="K11770" s="18" t="s">
        <v>316</v>
      </c>
    </row>
    <row r="11771">
      <c r="A11771" s="17"/>
      <c r="H11771" s="18"/>
      <c r="K11771" s="18" t="s">
        <v>316</v>
      </c>
    </row>
    <row r="11772">
      <c r="A11772" s="17"/>
      <c r="H11772" s="18"/>
      <c r="K11772" s="18" t="s">
        <v>316</v>
      </c>
    </row>
    <row r="11773">
      <c r="A11773" s="17"/>
      <c r="H11773" s="18"/>
      <c r="K11773" s="18" t="s">
        <v>316</v>
      </c>
    </row>
    <row r="11774">
      <c r="A11774" s="17"/>
      <c r="H11774" s="18"/>
      <c r="K11774" s="18" t="s">
        <v>316</v>
      </c>
    </row>
    <row r="11775">
      <c r="A11775" s="17"/>
      <c r="H11775" s="18"/>
      <c r="K11775" s="18" t="s">
        <v>316</v>
      </c>
    </row>
    <row r="11776">
      <c r="A11776" s="17"/>
      <c r="H11776" s="18"/>
      <c r="K11776" s="18" t="s">
        <v>316</v>
      </c>
    </row>
    <row r="11777">
      <c r="A11777" s="17"/>
      <c r="H11777" s="18"/>
      <c r="K11777" s="18" t="s">
        <v>316</v>
      </c>
    </row>
    <row r="11778">
      <c r="A11778" s="17"/>
      <c r="H11778" s="18"/>
      <c r="K11778" s="18" t="s">
        <v>316</v>
      </c>
    </row>
    <row r="11779">
      <c r="A11779" s="17"/>
      <c r="H11779" s="18"/>
      <c r="K11779" s="18" t="s">
        <v>316</v>
      </c>
    </row>
    <row r="11780">
      <c r="A11780" s="17"/>
      <c r="H11780" s="18"/>
      <c r="K11780" s="18" t="s">
        <v>316</v>
      </c>
    </row>
    <row r="11781">
      <c r="A11781" s="17"/>
      <c r="H11781" s="18"/>
      <c r="K11781" s="18" t="s">
        <v>316</v>
      </c>
    </row>
    <row r="11782">
      <c r="A11782" s="17"/>
      <c r="H11782" s="18"/>
      <c r="K11782" s="18" t="s">
        <v>316</v>
      </c>
    </row>
    <row r="11783">
      <c r="A11783" s="17"/>
      <c r="H11783" s="18"/>
      <c r="K11783" s="18" t="s">
        <v>316</v>
      </c>
    </row>
    <row r="11784">
      <c r="A11784" s="17"/>
      <c r="H11784" s="18"/>
      <c r="K11784" s="18" t="s">
        <v>316</v>
      </c>
    </row>
    <row r="11785">
      <c r="A11785" s="17"/>
      <c r="H11785" s="18"/>
      <c r="K11785" s="18" t="s">
        <v>316</v>
      </c>
    </row>
    <row r="11786">
      <c r="A11786" s="17"/>
      <c r="H11786" s="18"/>
      <c r="K11786" s="18" t="s">
        <v>316</v>
      </c>
    </row>
    <row r="11787">
      <c r="A11787" s="17"/>
      <c r="H11787" s="18"/>
      <c r="K11787" s="18" t="s">
        <v>316</v>
      </c>
    </row>
    <row r="11788">
      <c r="A11788" s="17"/>
      <c r="H11788" s="18"/>
      <c r="K11788" s="18" t="s">
        <v>316</v>
      </c>
    </row>
    <row r="11789">
      <c r="A11789" s="17"/>
      <c r="H11789" s="18"/>
      <c r="K11789" s="18" t="s">
        <v>316</v>
      </c>
    </row>
    <row r="11790">
      <c r="A11790" s="17"/>
      <c r="H11790" s="18"/>
      <c r="K11790" s="18" t="s">
        <v>316</v>
      </c>
    </row>
    <row r="11791">
      <c r="A11791" s="17"/>
      <c r="H11791" s="18"/>
      <c r="K11791" s="18" t="s">
        <v>316</v>
      </c>
    </row>
    <row r="11792">
      <c r="A11792" s="17"/>
      <c r="H11792" s="18"/>
      <c r="K11792" s="18" t="s">
        <v>316</v>
      </c>
    </row>
    <row r="11793">
      <c r="A11793" s="17"/>
      <c r="H11793" s="18"/>
      <c r="K11793" s="18" t="s">
        <v>316</v>
      </c>
    </row>
    <row r="11794">
      <c r="A11794" s="17"/>
      <c r="H11794" s="18"/>
      <c r="K11794" s="18" t="s">
        <v>316</v>
      </c>
    </row>
    <row r="11795">
      <c r="A11795" s="17"/>
      <c r="H11795" s="18"/>
      <c r="K11795" s="18" t="s">
        <v>316</v>
      </c>
    </row>
    <row r="11796">
      <c r="A11796" s="17"/>
      <c r="H11796" s="18"/>
      <c r="K11796" s="18" t="s">
        <v>316</v>
      </c>
    </row>
    <row r="11797">
      <c r="A11797" s="17"/>
      <c r="H11797" s="18"/>
      <c r="K11797" s="18" t="s">
        <v>316</v>
      </c>
    </row>
    <row r="11798">
      <c r="A11798" s="17"/>
      <c r="H11798" s="18"/>
      <c r="K11798" s="18" t="s">
        <v>316</v>
      </c>
    </row>
    <row r="11799">
      <c r="A11799" s="17"/>
      <c r="H11799" s="18"/>
      <c r="K11799" s="18" t="s">
        <v>316</v>
      </c>
    </row>
    <row r="11800">
      <c r="A11800" s="17"/>
      <c r="H11800" s="18"/>
      <c r="K11800" s="18" t="s">
        <v>316</v>
      </c>
    </row>
    <row r="11801">
      <c r="A11801" s="17"/>
      <c r="H11801" s="18"/>
      <c r="K11801" s="18" t="s">
        <v>316</v>
      </c>
    </row>
    <row r="11802">
      <c r="A11802" s="17"/>
      <c r="H11802" s="18"/>
      <c r="K11802" s="18" t="s">
        <v>316</v>
      </c>
    </row>
    <row r="11803">
      <c r="A11803" s="17"/>
      <c r="H11803" s="18"/>
      <c r="K11803" s="18" t="s">
        <v>316</v>
      </c>
    </row>
    <row r="11804">
      <c r="A11804" s="17"/>
      <c r="H11804" s="18"/>
      <c r="K11804" s="18" t="s">
        <v>316</v>
      </c>
    </row>
    <row r="11805">
      <c r="A11805" s="17"/>
      <c r="H11805" s="18"/>
      <c r="K11805" s="18" t="s">
        <v>316</v>
      </c>
    </row>
    <row r="11806">
      <c r="A11806" s="17"/>
      <c r="H11806" s="18"/>
      <c r="K11806" s="18" t="s">
        <v>316</v>
      </c>
    </row>
    <row r="11807">
      <c r="A11807" s="17"/>
      <c r="H11807" s="18"/>
      <c r="K11807" s="18" t="s">
        <v>316</v>
      </c>
    </row>
    <row r="11808">
      <c r="A11808" s="17"/>
      <c r="H11808" s="18"/>
      <c r="K11808" s="18" t="s">
        <v>316</v>
      </c>
    </row>
    <row r="11809">
      <c r="A11809" s="17"/>
      <c r="H11809" s="18"/>
      <c r="K11809" s="18" t="s">
        <v>316</v>
      </c>
    </row>
    <row r="11810">
      <c r="A11810" s="17"/>
      <c r="H11810" s="18"/>
      <c r="K11810" s="18" t="s">
        <v>316</v>
      </c>
    </row>
    <row r="11811">
      <c r="A11811" s="17"/>
      <c r="H11811" s="18"/>
      <c r="K11811" s="18" t="s">
        <v>316</v>
      </c>
    </row>
    <row r="11812">
      <c r="A11812" s="17"/>
      <c r="H11812" s="18"/>
      <c r="K11812" s="18" t="s">
        <v>316</v>
      </c>
    </row>
    <row r="11813">
      <c r="A11813" s="17"/>
      <c r="H11813" s="18"/>
      <c r="K11813" s="18" t="s">
        <v>316</v>
      </c>
    </row>
    <row r="11814">
      <c r="A11814" s="17"/>
      <c r="H11814" s="18"/>
      <c r="K11814" s="18" t="s">
        <v>316</v>
      </c>
    </row>
    <row r="11815">
      <c r="A11815" s="17"/>
      <c r="H11815" s="18"/>
      <c r="K11815" s="18" t="s">
        <v>316</v>
      </c>
    </row>
    <row r="11816">
      <c r="A11816" s="17"/>
      <c r="H11816" s="18"/>
      <c r="K11816" s="18" t="s">
        <v>316</v>
      </c>
    </row>
    <row r="11817">
      <c r="A11817" s="17"/>
      <c r="H11817" s="18"/>
      <c r="K11817" s="18" t="s">
        <v>316</v>
      </c>
    </row>
    <row r="11818">
      <c r="A11818" s="17"/>
      <c r="H11818" s="18"/>
      <c r="K11818" s="18" t="s">
        <v>316</v>
      </c>
    </row>
    <row r="11819">
      <c r="A11819" s="17"/>
      <c r="H11819" s="18"/>
      <c r="K11819" s="18" t="s">
        <v>316</v>
      </c>
    </row>
    <row r="11820">
      <c r="A11820" s="17"/>
      <c r="H11820" s="18"/>
      <c r="K11820" s="18" t="s">
        <v>316</v>
      </c>
    </row>
    <row r="11821">
      <c r="A11821" s="17"/>
      <c r="H11821" s="18"/>
      <c r="K11821" s="18" t="s">
        <v>316</v>
      </c>
    </row>
    <row r="11822">
      <c r="A11822" s="17"/>
      <c r="H11822" s="18"/>
      <c r="K11822" s="18" t="s">
        <v>316</v>
      </c>
    </row>
    <row r="11823">
      <c r="A11823" s="17"/>
      <c r="H11823" s="18"/>
      <c r="K11823" s="18" t="s">
        <v>316</v>
      </c>
    </row>
    <row r="11824">
      <c r="A11824" s="17"/>
      <c r="H11824" s="18"/>
      <c r="K11824" s="18" t="s">
        <v>316</v>
      </c>
    </row>
    <row r="11825">
      <c r="A11825" s="17"/>
      <c r="H11825" s="18"/>
      <c r="K11825" s="18" t="s">
        <v>316</v>
      </c>
    </row>
    <row r="11826">
      <c r="A11826" s="17"/>
      <c r="H11826" s="18"/>
      <c r="K11826" s="18" t="s">
        <v>316</v>
      </c>
    </row>
    <row r="11827">
      <c r="A11827" s="17"/>
      <c r="H11827" s="18"/>
      <c r="K11827" s="18" t="s">
        <v>316</v>
      </c>
    </row>
    <row r="11828">
      <c r="A11828" s="17"/>
      <c r="H11828" s="18"/>
      <c r="K11828" s="18" t="s">
        <v>316</v>
      </c>
    </row>
    <row r="11829">
      <c r="A11829" s="17"/>
      <c r="H11829" s="18"/>
      <c r="K11829" s="18" t="s">
        <v>316</v>
      </c>
    </row>
    <row r="11830">
      <c r="A11830" s="17"/>
      <c r="H11830" s="18"/>
      <c r="K11830" s="18" t="s">
        <v>316</v>
      </c>
    </row>
    <row r="11831">
      <c r="A11831" s="17"/>
      <c r="H11831" s="18"/>
      <c r="K11831" s="18" t="s">
        <v>316</v>
      </c>
    </row>
    <row r="11832">
      <c r="A11832" s="17"/>
      <c r="H11832" s="18"/>
      <c r="K11832" s="18" t="s">
        <v>316</v>
      </c>
    </row>
    <row r="11833">
      <c r="A11833" s="17"/>
      <c r="H11833" s="18"/>
      <c r="K11833" s="18" t="s">
        <v>316</v>
      </c>
    </row>
    <row r="11834">
      <c r="A11834" s="17"/>
      <c r="H11834" s="18"/>
      <c r="K11834" s="18" t="s">
        <v>316</v>
      </c>
    </row>
    <row r="11835">
      <c r="A11835" s="17"/>
      <c r="H11835" s="18"/>
      <c r="K11835" s="18" t="s">
        <v>316</v>
      </c>
    </row>
    <row r="11836">
      <c r="A11836" s="17"/>
      <c r="H11836" s="18"/>
      <c r="K11836" s="18" t="s">
        <v>316</v>
      </c>
    </row>
    <row r="11837">
      <c r="A11837" s="17"/>
      <c r="H11837" s="18"/>
      <c r="K11837" s="18" t="s">
        <v>316</v>
      </c>
    </row>
    <row r="11838">
      <c r="A11838" s="17"/>
      <c r="H11838" s="18"/>
      <c r="K11838" s="18" t="s">
        <v>316</v>
      </c>
    </row>
    <row r="11839">
      <c r="A11839" s="17"/>
      <c r="H11839" s="18"/>
      <c r="K11839" s="18" t="s">
        <v>316</v>
      </c>
    </row>
    <row r="11840">
      <c r="A11840" s="17"/>
      <c r="H11840" s="18"/>
      <c r="K11840" s="18" t="s">
        <v>316</v>
      </c>
    </row>
    <row r="11841">
      <c r="A11841" s="17"/>
      <c r="H11841" s="18"/>
      <c r="K11841" s="18" t="s">
        <v>316</v>
      </c>
    </row>
    <row r="11842">
      <c r="A11842" s="17"/>
      <c r="H11842" s="18"/>
      <c r="K11842" s="18" t="s">
        <v>316</v>
      </c>
    </row>
    <row r="11843">
      <c r="A11843" s="17"/>
      <c r="H11843" s="18"/>
      <c r="K11843" s="18" t="s">
        <v>316</v>
      </c>
    </row>
    <row r="11844">
      <c r="A11844" s="17"/>
      <c r="H11844" s="18"/>
      <c r="K11844" s="18" t="s">
        <v>316</v>
      </c>
    </row>
    <row r="11845">
      <c r="A11845" s="17"/>
      <c r="H11845" s="18"/>
      <c r="K11845" s="18" t="s">
        <v>316</v>
      </c>
    </row>
    <row r="11846">
      <c r="A11846" s="17"/>
      <c r="H11846" s="18"/>
      <c r="K11846" s="18" t="s">
        <v>316</v>
      </c>
    </row>
    <row r="11847">
      <c r="A11847" s="17"/>
      <c r="H11847" s="18"/>
      <c r="K11847" s="18" t="s">
        <v>316</v>
      </c>
    </row>
    <row r="11848">
      <c r="A11848" s="17"/>
      <c r="H11848" s="18"/>
      <c r="K11848" s="18" t="s">
        <v>316</v>
      </c>
    </row>
    <row r="11849">
      <c r="A11849" s="17"/>
      <c r="H11849" s="18"/>
      <c r="K11849" s="18" t="s">
        <v>316</v>
      </c>
    </row>
    <row r="11850">
      <c r="A11850" s="17"/>
      <c r="H11850" s="18"/>
      <c r="K11850" s="18" t="s">
        <v>316</v>
      </c>
    </row>
    <row r="11851">
      <c r="A11851" s="17"/>
      <c r="H11851" s="18"/>
      <c r="K11851" s="18" t="s">
        <v>316</v>
      </c>
    </row>
    <row r="11852">
      <c r="A11852" s="17"/>
      <c r="H11852" s="18"/>
      <c r="K11852" s="18" t="s">
        <v>316</v>
      </c>
    </row>
    <row r="11853">
      <c r="A11853" s="17"/>
      <c r="H11853" s="18"/>
      <c r="K11853" s="18" t="s">
        <v>316</v>
      </c>
    </row>
    <row r="11854">
      <c r="A11854" s="17"/>
      <c r="H11854" s="18"/>
      <c r="K11854" s="18" t="s">
        <v>316</v>
      </c>
    </row>
    <row r="11855">
      <c r="A11855" s="17"/>
      <c r="H11855" s="18"/>
      <c r="K11855" s="18" t="s">
        <v>316</v>
      </c>
    </row>
    <row r="11856">
      <c r="A11856" s="17"/>
      <c r="H11856" s="18"/>
      <c r="K11856" s="18" t="s">
        <v>316</v>
      </c>
    </row>
    <row r="11857">
      <c r="A11857" s="17"/>
      <c r="H11857" s="18"/>
      <c r="K11857" s="18" t="s">
        <v>316</v>
      </c>
    </row>
    <row r="11858">
      <c r="A11858" s="17"/>
      <c r="H11858" s="18"/>
      <c r="K11858" s="18" t="s">
        <v>316</v>
      </c>
    </row>
    <row r="11859">
      <c r="A11859" s="17"/>
      <c r="H11859" s="18"/>
      <c r="K11859" s="18" t="s">
        <v>316</v>
      </c>
    </row>
    <row r="11860">
      <c r="A11860" s="17"/>
      <c r="H11860" s="18"/>
      <c r="K11860" s="18" t="s">
        <v>316</v>
      </c>
    </row>
    <row r="11861">
      <c r="A11861" s="17"/>
      <c r="H11861" s="18"/>
      <c r="K11861" s="18" t="s">
        <v>316</v>
      </c>
    </row>
    <row r="11862">
      <c r="A11862" s="17"/>
      <c r="H11862" s="18"/>
      <c r="K11862" s="18" t="s">
        <v>316</v>
      </c>
    </row>
    <row r="11863">
      <c r="A11863" s="17"/>
      <c r="H11863" s="18"/>
      <c r="K11863" s="18" t="s">
        <v>316</v>
      </c>
    </row>
    <row r="11864">
      <c r="A11864" s="17"/>
      <c r="H11864" s="18"/>
      <c r="K11864" s="18" t="s">
        <v>316</v>
      </c>
    </row>
    <row r="11865">
      <c r="A11865" s="17"/>
      <c r="H11865" s="18"/>
      <c r="K11865" s="18" t="s">
        <v>316</v>
      </c>
    </row>
    <row r="11866">
      <c r="A11866" s="17"/>
      <c r="H11866" s="18"/>
      <c r="K11866" s="18" t="s">
        <v>316</v>
      </c>
    </row>
    <row r="11867">
      <c r="A11867" s="17"/>
      <c r="H11867" s="18"/>
      <c r="K11867" s="18" t="s">
        <v>316</v>
      </c>
    </row>
    <row r="11868">
      <c r="A11868" s="17"/>
      <c r="H11868" s="18"/>
      <c r="K11868" s="18" t="s">
        <v>316</v>
      </c>
    </row>
    <row r="11869">
      <c r="A11869" s="17"/>
      <c r="H11869" s="18"/>
      <c r="K11869" s="18" t="s">
        <v>316</v>
      </c>
    </row>
    <row r="11870">
      <c r="A11870" s="17"/>
      <c r="H11870" s="18"/>
      <c r="K11870" s="18" t="s">
        <v>316</v>
      </c>
    </row>
    <row r="11871">
      <c r="A11871" s="17"/>
      <c r="H11871" s="18"/>
      <c r="K11871" s="18" t="s">
        <v>316</v>
      </c>
    </row>
    <row r="11872">
      <c r="A11872" s="17"/>
      <c r="H11872" s="18"/>
      <c r="K11872" s="18" t="s">
        <v>316</v>
      </c>
    </row>
    <row r="11873">
      <c r="A11873" s="17"/>
      <c r="H11873" s="18"/>
      <c r="K11873" s="18" t="s">
        <v>316</v>
      </c>
    </row>
    <row r="11874">
      <c r="A11874" s="17"/>
      <c r="H11874" s="18"/>
      <c r="K11874" s="18" t="s">
        <v>316</v>
      </c>
    </row>
    <row r="11875">
      <c r="A11875" s="17"/>
      <c r="H11875" s="18"/>
      <c r="K11875" s="18" t="s">
        <v>316</v>
      </c>
    </row>
    <row r="11876">
      <c r="A11876" s="17"/>
      <c r="H11876" s="18"/>
      <c r="K11876" s="18" t="s">
        <v>316</v>
      </c>
    </row>
    <row r="11877">
      <c r="A11877" s="17"/>
      <c r="H11877" s="18"/>
      <c r="K11877" s="18" t="s">
        <v>316</v>
      </c>
    </row>
    <row r="11878">
      <c r="A11878" s="17"/>
      <c r="H11878" s="18"/>
      <c r="K11878" s="18" t="s">
        <v>316</v>
      </c>
    </row>
    <row r="11879">
      <c r="A11879" s="17"/>
      <c r="H11879" s="18"/>
      <c r="K11879" s="18" t="s">
        <v>316</v>
      </c>
    </row>
    <row r="11880">
      <c r="A11880" s="17"/>
      <c r="H11880" s="18"/>
      <c r="K11880" s="18" t="s">
        <v>316</v>
      </c>
    </row>
    <row r="11881">
      <c r="A11881" s="17"/>
      <c r="H11881" s="18"/>
      <c r="K11881" s="18" t="s">
        <v>316</v>
      </c>
    </row>
    <row r="11882">
      <c r="A11882" s="17"/>
      <c r="H11882" s="18"/>
      <c r="K11882" s="18" t="s">
        <v>316</v>
      </c>
    </row>
    <row r="11883">
      <c r="A11883" s="17"/>
      <c r="H11883" s="18"/>
      <c r="K11883" s="18" t="s">
        <v>316</v>
      </c>
    </row>
    <row r="11884">
      <c r="A11884" s="17"/>
      <c r="H11884" s="18"/>
      <c r="K11884" s="18" t="s">
        <v>316</v>
      </c>
    </row>
    <row r="11885">
      <c r="A11885" s="17"/>
      <c r="H11885" s="18"/>
      <c r="K11885" s="18" t="s">
        <v>316</v>
      </c>
    </row>
    <row r="11886">
      <c r="A11886" s="17"/>
      <c r="H11886" s="18"/>
      <c r="K11886" s="18" t="s">
        <v>316</v>
      </c>
    </row>
    <row r="11887">
      <c r="A11887" s="17"/>
      <c r="H11887" s="18"/>
      <c r="K11887" s="18" t="s">
        <v>316</v>
      </c>
    </row>
    <row r="11888">
      <c r="A11888" s="17"/>
      <c r="H11888" s="18"/>
      <c r="K11888" s="18" t="s">
        <v>316</v>
      </c>
    </row>
    <row r="11889">
      <c r="A11889" s="17"/>
      <c r="H11889" s="18"/>
      <c r="K11889" s="18" t="s">
        <v>316</v>
      </c>
    </row>
    <row r="11890">
      <c r="A11890" s="17"/>
      <c r="H11890" s="18"/>
      <c r="K11890" s="18" t="s">
        <v>316</v>
      </c>
    </row>
    <row r="11891">
      <c r="A11891" s="17"/>
      <c r="H11891" s="18"/>
      <c r="K11891" s="18" t="s">
        <v>316</v>
      </c>
    </row>
    <row r="11892">
      <c r="A11892" s="17"/>
      <c r="H11892" s="18"/>
      <c r="K11892" s="18" t="s">
        <v>316</v>
      </c>
    </row>
    <row r="11893">
      <c r="A11893" s="17"/>
      <c r="H11893" s="18"/>
      <c r="K11893" s="18" t="s">
        <v>316</v>
      </c>
    </row>
    <row r="11894">
      <c r="A11894" s="17"/>
      <c r="H11894" s="18"/>
      <c r="K11894" s="18" t="s">
        <v>316</v>
      </c>
    </row>
    <row r="11895">
      <c r="A11895" s="17"/>
      <c r="H11895" s="18"/>
      <c r="K11895" s="18" t="s">
        <v>316</v>
      </c>
    </row>
    <row r="11896">
      <c r="A11896" s="17"/>
      <c r="H11896" s="18"/>
      <c r="K11896" s="18" t="s">
        <v>316</v>
      </c>
    </row>
    <row r="11897">
      <c r="A11897" s="17"/>
      <c r="H11897" s="18"/>
      <c r="K11897" s="18" t="s">
        <v>316</v>
      </c>
    </row>
    <row r="11898">
      <c r="A11898" s="17"/>
      <c r="H11898" s="18"/>
      <c r="K11898" s="18" t="s">
        <v>316</v>
      </c>
    </row>
    <row r="11899">
      <c r="A11899" s="17"/>
      <c r="H11899" s="18"/>
      <c r="K11899" s="18" t="s">
        <v>316</v>
      </c>
    </row>
    <row r="11900">
      <c r="A11900" s="17"/>
      <c r="H11900" s="18"/>
      <c r="K11900" s="18" t="s">
        <v>316</v>
      </c>
    </row>
    <row r="11901">
      <c r="A11901" s="17"/>
      <c r="H11901" s="18"/>
      <c r="K11901" s="18" t="s">
        <v>316</v>
      </c>
    </row>
    <row r="11902">
      <c r="A11902" s="17"/>
      <c r="H11902" s="18"/>
      <c r="K11902" s="18" t="s">
        <v>316</v>
      </c>
    </row>
    <row r="11903">
      <c r="A11903" s="17"/>
      <c r="H11903" s="18"/>
      <c r="K11903" s="18" t="s">
        <v>316</v>
      </c>
    </row>
    <row r="11904">
      <c r="A11904" s="17"/>
      <c r="H11904" s="18"/>
      <c r="K11904" s="18" t="s">
        <v>316</v>
      </c>
    </row>
    <row r="11905">
      <c r="A11905" s="17"/>
      <c r="H11905" s="18"/>
      <c r="K11905" s="18" t="s">
        <v>316</v>
      </c>
    </row>
    <row r="11906">
      <c r="A11906" s="17"/>
      <c r="H11906" s="18"/>
      <c r="K11906" s="18" t="s">
        <v>316</v>
      </c>
    </row>
    <row r="11907">
      <c r="A11907" s="17"/>
      <c r="H11907" s="18"/>
      <c r="K11907" s="18" t="s">
        <v>316</v>
      </c>
    </row>
    <row r="11908">
      <c r="A11908" s="17"/>
      <c r="H11908" s="18"/>
      <c r="K11908" s="18" t="s">
        <v>316</v>
      </c>
    </row>
    <row r="11909">
      <c r="A11909" s="17"/>
      <c r="H11909" s="18"/>
      <c r="K11909" s="18" t="s">
        <v>316</v>
      </c>
    </row>
    <row r="11910">
      <c r="A11910" s="17"/>
      <c r="H11910" s="18"/>
      <c r="K11910" s="18" t="s">
        <v>316</v>
      </c>
    </row>
    <row r="11911">
      <c r="A11911" s="17"/>
      <c r="H11911" s="18"/>
      <c r="K11911" s="18" t="s">
        <v>316</v>
      </c>
    </row>
    <row r="11912">
      <c r="A11912" s="17"/>
      <c r="H11912" s="18"/>
      <c r="K11912" s="18" t="s">
        <v>316</v>
      </c>
    </row>
    <row r="11913">
      <c r="A11913" s="17"/>
      <c r="H11913" s="18"/>
      <c r="K11913" s="18" t="s">
        <v>316</v>
      </c>
    </row>
    <row r="11914">
      <c r="A11914" s="17"/>
      <c r="H11914" s="18"/>
      <c r="K11914" s="18" t="s">
        <v>316</v>
      </c>
    </row>
    <row r="11915">
      <c r="A11915" s="17"/>
      <c r="H11915" s="18"/>
      <c r="K11915" s="18" t="s">
        <v>316</v>
      </c>
    </row>
    <row r="11916">
      <c r="A11916" s="17"/>
      <c r="H11916" s="18"/>
      <c r="K11916" s="18" t="s">
        <v>316</v>
      </c>
    </row>
    <row r="11917">
      <c r="A11917" s="17"/>
      <c r="H11917" s="18"/>
      <c r="K11917" s="18" t="s">
        <v>316</v>
      </c>
    </row>
    <row r="11918">
      <c r="A11918" s="17"/>
      <c r="H11918" s="18"/>
      <c r="K11918" s="18" t="s">
        <v>316</v>
      </c>
    </row>
    <row r="11919">
      <c r="A11919" s="17"/>
      <c r="H11919" s="18"/>
      <c r="K11919" s="18" t="s">
        <v>316</v>
      </c>
    </row>
    <row r="11920">
      <c r="A11920" s="17"/>
      <c r="H11920" s="18"/>
      <c r="K11920" s="18" t="s">
        <v>316</v>
      </c>
    </row>
    <row r="11921">
      <c r="A11921" s="17"/>
      <c r="H11921" s="18"/>
      <c r="K11921" s="18" t="s">
        <v>316</v>
      </c>
    </row>
    <row r="11922">
      <c r="A11922" s="17"/>
      <c r="H11922" s="18"/>
      <c r="K11922" s="18" t="s">
        <v>316</v>
      </c>
    </row>
    <row r="11923">
      <c r="A11923" s="17"/>
      <c r="H11923" s="18"/>
      <c r="K11923" s="18" t="s">
        <v>316</v>
      </c>
    </row>
    <row r="11924">
      <c r="A11924" s="17"/>
      <c r="H11924" s="18"/>
      <c r="K11924" s="18" t="s">
        <v>316</v>
      </c>
    </row>
    <row r="11925">
      <c r="A11925" s="17"/>
      <c r="H11925" s="18"/>
      <c r="K11925" s="18" t="s">
        <v>316</v>
      </c>
    </row>
    <row r="11926">
      <c r="A11926" s="17"/>
      <c r="H11926" s="18"/>
      <c r="K11926" s="18" t="s">
        <v>316</v>
      </c>
    </row>
    <row r="11927">
      <c r="A11927" s="17"/>
      <c r="H11927" s="18"/>
      <c r="K11927" s="18" t="s">
        <v>316</v>
      </c>
    </row>
    <row r="11928">
      <c r="A11928" s="17"/>
      <c r="H11928" s="18"/>
      <c r="K11928" s="18" t="s">
        <v>316</v>
      </c>
    </row>
    <row r="11929">
      <c r="A11929" s="17"/>
      <c r="H11929" s="18"/>
      <c r="K11929" s="18" t="s">
        <v>316</v>
      </c>
    </row>
    <row r="11930">
      <c r="A11930" s="17"/>
      <c r="H11930" s="18"/>
      <c r="K11930" s="18" t="s">
        <v>316</v>
      </c>
    </row>
    <row r="11931">
      <c r="A11931" s="17"/>
      <c r="H11931" s="18"/>
      <c r="K11931" s="18" t="s">
        <v>316</v>
      </c>
    </row>
    <row r="11932">
      <c r="A11932" s="17"/>
      <c r="H11932" s="18"/>
      <c r="K11932" s="18" t="s">
        <v>316</v>
      </c>
    </row>
    <row r="11933">
      <c r="A11933" s="17"/>
      <c r="H11933" s="18"/>
      <c r="K11933" s="18" t="s">
        <v>316</v>
      </c>
    </row>
    <row r="11934">
      <c r="A11934" s="17"/>
      <c r="H11934" s="18"/>
      <c r="K11934" s="18" t="s">
        <v>316</v>
      </c>
    </row>
    <row r="11935">
      <c r="A11935" s="17"/>
      <c r="H11935" s="18"/>
      <c r="K11935" s="18" t="s">
        <v>316</v>
      </c>
    </row>
    <row r="11936">
      <c r="A11936" s="17"/>
      <c r="H11936" s="18"/>
      <c r="K11936" s="18" t="s">
        <v>316</v>
      </c>
    </row>
    <row r="11937">
      <c r="A11937" s="17"/>
      <c r="H11937" s="18"/>
      <c r="K11937" s="18" t="s">
        <v>316</v>
      </c>
    </row>
    <row r="11938">
      <c r="A11938" s="17"/>
      <c r="H11938" s="18"/>
      <c r="K11938" s="18" t="s">
        <v>316</v>
      </c>
    </row>
    <row r="11939">
      <c r="A11939" s="17"/>
      <c r="H11939" s="18"/>
      <c r="K11939" s="18" t="s">
        <v>316</v>
      </c>
    </row>
    <row r="11940">
      <c r="A11940" s="17"/>
      <c r="H11940" s="18"/>
      <c r="K11940" s="18" t="s">
        <v>316</v>
      </c>
    </row>
    <row r="11941">
      <c r="A11941" s="17"/>
      <c r="H11941" s="18"/>
      <c r="K11941" s="18" t="s">
        <v>316</v>
      </c>
    </row>
    <row r="11942">
      <c r="A11942" s="17"/>
      <c r="H11942" s="18"/>
      <c r="K11942" s="18" t="s">
        <v>316</v>
      </c>
    </row>
    <row r="11943">
      <c r="A11943" s="17"/>
      <c r="H11943" s="18"/>
      <c r="K11943" s="18" t="s">
        <v>316</v>
      </c>
    </row>
    <row r="11944">
      <c r="A11944" s="17"/>
      <c r="H11944" s="18"/>
      <c r="K11944" s="18" t="s">
        <v>316</v>
      </c>
    </row>
    <row r="11945">
      <c r="A11945" s="17"/>
      <c r="H11945" s="18"/>
      <c r="K11945" s="18" t="s">
        <v>316</v>
      </c>
    </row>
    <row r="11946">
      <c r="A11946" s="17"/>
      <c r="H11946" s="18"/>
      <c r="K11946" s="18" t="s">
        <v>316</v>
      </c>
    </row>
    <row r="11947">
      <c r="A11947" s="17"/>
      <c r="H11947" s="18"/>
      <c r="K11947" s="18" t="s">
        <v>316</v>
      </c>
    </row>
    <row r="11948">
      <c r="A11948" s="17"/>
      <c r="H11948" s="18"/>
      <c r="K11948" s="18" t="s">
        <v>316</v>
      </c>
    </row>
    <row r="11949">
      <c r="A11949" s="17"/>
      <c r="H11949" s="18"/>
      <c r="K11949" s="18" t="s">
        <v>316</v>
      </c>
    </row>
    <row r="11950">
      <c r="A11950" s="17"/>
      <c r="H11950" s="18"/>
      <c r="K11950" s="18" t="s">
        <v>316</v>
      </c>
    </row>
    <row r="11951">
      <c r="A11951" s="17"/>
      <c r="H11951" s="18"/>
      <c r="K11951" s="18" t="s">
        <v>316</v>
      </c>
    </row>
    <row r="11952">
      <c r="A11952" s="17"/>
      <c r="H11952" s="18"/>
      <c r="K11952" s="18" t="s">
        <v>316</v>
      </c>
    </row>
    <row r="11953">
      <c r="A11953" s="17"/>
      <c r="H11953" s="18"/>
      <c r="K11953" s="18" t="s">
        <v>316</v>
      </c>
    </row>
    <row r="11954">
      <c r="A11954" s="17"/>
      <c r="H11954" s="18"/>
      <c r="K11954" s="18" t="s">
        <v>316</v>
      </c>
    </row>
    <row r="11955">
      <c r="A11955" s="17"/>
      <c r="H11955" s="18"/>
      <c r="K11955" s="18" t="s">
        <v>316</v>
      </c>
    </row>
    <row r="11956">
      <c r="A11956" s="17"/>
      <c r="H11956" s="18"/>
      <c r="K11956" s="18" t="s">
        <v>316</v>
      </c>
    </row>
    <row r="11957">
      <c r="A11957" s="17"/>
      <c r="H11957" s="18"/>
      <c r="K11957" s="18" t="s">
        <v>316</v>
      </c>
    </row>
    <row r="11958">
      <c r="A11958" s="17"/>
      <c r="H11958" s="18"/>
      <c r="K11958" s="18" t="s">
        <v>316</v>
      </c>
    </row>
    <row r="11959">
      <c r="A11959" s="17"/>
      <c r="H11959" s="18"/>
      <c r="K11959" s="18" t="s">
        <v>316</v>
      </c>
    </row>
    <row r="11960">
      <c r="A11960" s="17"/>
      <c r="H11960" s="18"/>
      <c r="K11960" s="18" t="s">
        <v>316</v>
      </c>
    </row>
    <row r="11961">
      <c r="A11961" s="17"/>
      <c r="H11961" s="18"/>
      <c r="K11961" s="18" t="s">
        <v>316</v>
      </c>
    </row>
    <row r="11962">
      <c r="A11962" s="17"/>
      <c r="H11962" s="18"/>
      <c r="K11962" s="18" t="s">
        <v>316</v>
      </c>
    </row>
    <row r="11963">
      <c r="A11963" s="17"/>
      <c r="H11963" s="18"/>
      <c r="K11963" s="18" t="s">
        <v>316</v>
      </c>
    </row>
    <row r="11964">
      <c r="A11964" s="17"/>
      <c r="H11964" s="18"/>
      <c r="K11964" s="18" t="s">
        <v>316</v>
      </c>
    </row>
    <row r="11965">
      <c r="A11965" s="17"/>
      <c r="H11965" s="18"/>
      <c r="K11965" s="18" t="s">
        <v>316</v>
      </c>
    </row>
    <row r="11966">
      <c r="A11966" s="17"/>
      <c r="H11966" s="18"/>
      <c r="K11966" s="18" t="s">
        <v>316</v>
      </c>
    </row>
    <row r="11967">
      <c r="A11967" s="17"/>
      <c r="H11967" s="18"/>
      <c r="K11967" s="18" t="s">
        <v>316</v>
      </c>
    </row>
    <row r="11968">
      <c r="A11968" s="17"/>
      <c r="H11968" s="18"/>
      <c r="K11968" s="18" t="s">
        <v>316</v>
      </c>
    </row>
    <row r="11969">
      <c r="A11969" s="17"/>
      <c r="H11969" s="18"/>
      <c r="K11969" s="18" t="s">
        <v>316</v>
      </c>
    </row>
    <row r="11970">
      <c r="A11970" s="17"/>
      <c r="H11970" s="18"/>
      <c r="K11970" s="18" t="s">
        <v>316</v>
      </c>
    </row>
    <row r="11971">
      <c r="A11971" s="17"/>
      <c r="H11971" s="18"/>
      <c r="K11971" s="18" t="s">
        <v>316</v>
      </c>
    </row>
    <row r="11972">
      <c r="A11972" s="17"/>
      <c r="H11972" s="18"/>
      <c r="K11972" s="18" t="s">
        <v>316</v>
      </c>
    </row>
    <row r="11973">
      <c r="A11973" s="17"/>
      <c r="H11973" s="18"/>
      <c r="K11973" s="18" t="s">
        <v>316</v>
      </c>
    </row>
    <row r="11974">
      <c r="A11974" s="17"/>
      <c r="H11974" s="18"/>
      <c r="K11974" s="18" t="s">
        <v>316</v>
      </c>
    </row>
    <row r="11975">
      <c r="A11975" s="17"/>
      <c r="H11975" s="18"/>
      <c r="K11975" s="18" t="s">
        <v>316</v>
      </c>
    </row>
    <row r="11976">
      <c r="A11976" s="17"/>
      <c r="H11976" s="18"/>
      <c r="K11976" s="18" t="s">
        <v>316</v>
      </c>
    </row>
    <row r="11977">
      <c r="A11977" s="17"/>
      <c r="H11977" s="18"/>
      <c r="K11977" s="18" t="s">
        <v>316</v>
      </c>
    </row>
    <row r="11978">
      <c r="A11978" s="17"/>
      <c r="H11978" s="18"/>
      <c r="K11978" s="18" t="s">
        <v>316</v>
      </c>
    </row>
    <row r="11979">
      <c r="A11979" s="17"/>
      <c r="H11979" s="18"/>
      <c r="K11979" s="18" t="s">
        <v>316</v>
      </c>
    </row>
    <row r="11980">
      <c r="A11980" s="17"/>
      <c r="H11980" s="18"/>
      <c r="K11980" s="18" t="s">
        <v>316</v>
      </c>
    </row>
    <row r="11981">
      <c r="A11981" s="17"/>
      <c r="H11981" s="18"/>
      <c r="K11981" s="18" t="s">
        <v>316</v>
      </c>
    </row>
    <row r="11982">
      <c r="A11982" s="17"/>
      <c r="H11982" s="18"/>
      <c r="K11982" s="18" t="s">
        <v>316</v>
      </c>
    </row>
    <row r="11983">
      <c r="A11983" s="17"/>
      <c r="H11983" s="18"/>
      <c r="K11983" s="18" t="s">
        <v>316</v>
      </c>
    </row>
    <row r="11984">
      <c r="A11984" s="17"/>
      <c r="H11984" s="18"/>
      <c r="K11984" s="18" t="s">
        <v>316</v>
      </c>
    </row>
    <row r="11985">
      <c r="A11985" s="17"/>
      <c r="H11985" s="18"/>
      <c r="K11985" s="18" t="s">
        <v>316</v>
      </c>
    </row>
    <row r="11986">
      <c r="A11986" s="17"/>
      <c r="H11986" s="18"/>
      <c r="K11986" s="18" t="s">
        <v>316</v>
      </c>
    </row>
    <row r="11987">
      <c r="A11987" s="17"/>
      <c r="H11987" s="18"/>
      <c r="K11987" s="18" t="s">
        <v>316</v>
      </c>
    </row>
    <row r="11988">
      <c r="A11988" s="17"/>
      <c r="H11988" s="18"/>
      <c r="K11988" s="18" t="s">
        <v>316</v>
      </c>
    </row>
    <row r="11989">
      <c r="A11989" s="17"/>
      <c r="H11989" s="18"/>
      <c r="K11989" s="18" t="s">
        <v>316</v>
      </c>
    </row>
    <row r="11990">
      <c r="A11990" s="17"/>
      <c r="H11990" s="18"/>
      <c r="K11990" s="18" t="s">
        <v>316</v>
      </c>
    </row>
    <row r="11991">
      <c r="A11991" s="17"/>
      <c r="H11991" s="18"/>
      <c r="K11991" s="18" t="s">
        <v>316</v>
      </c>
    </row>
    <row r="11992">
      <c r="A11992" s="17"/>
      <c r="H11992" s="18"/>
      <c r="K11992" s="18" t="s">
        <v>316</v>
      </c>
    </row>
    <row r="11993">
      <c r="A11993" s="17"/>
      <c r="H11993" s="18"/>
      <c r="K11993" s="18" t="s">
        <v>316</v>
      </c>
    </row>
    <row r="11994">
      <c r="A11994" s="17"/>
      <c r="H11994" s="18"/>
      <c r="K11994" s="18" t="s">
        <v>316</v>
      </c>
    </row>
    <row r="11995">
      <c r="A11995" s="17"/>
      <c r="H11995" s="18"/>
      <c r="K11995" s="18" t="s">
        <v>316</v>
      </c>
    </row>
    <row r="11996">
      <c r="A11996" s="17"/>
      <c r="H11996" s="18"/>
      <c r="K11996" s="18" t="s">
        <v>316</v>
      </c>
    </row>
    <row r="11997">
      <c r="A11997" s="17"/>
      <c r="H11997" s="18"/>
      <c r="K11997" s="18" t="s">
        <v>316</v>
      </c>
    </row>
    <row r="11998">
      <c r="A11998" s="17"/>
      <c r="H11998" s="18"/>
      <c r="K11998" s="18" t="s">
        <v>316</v>
      </c>
    </row>
    <row r="11999">
      <c r="A11999" s="17"/>
      <c r="H11999" s="18"/>
      <c r="K11999" s="18" t="s">
        <v>316</v>
      </c>
    </row>
    <row r="12000">
      <c r="A12000" s="17"/>
      <c r="H12000" s="18"/>
      <c r="K12000" s="18" t="s">
        <v>316</v>
      </c>
    </row>
    <row r="12001">
      <c r="A12001" s="17"/>
      <c r="H12001" s="18"/>
      <c r="K12001" s="18" t="s">
        <v>316</v>
      </c>
    </row>
    <row r="12002">
      <c r="A12002" s="17"/>
      <c r="H12002" s="18"/>
      <c r="K12002" s="18" t="s">
        <v>316</v>
      </c>
    </row>
    <row r="12003">
      <c r="A12003" s="17"/>
      <c r="H12003" s="18"/>
      <c r="K12003" s="18" t="s">
        <v>316</v>
      </c>
    </row>
    <row r="12004">
      <c r="A12004" s="17"/>
      <c r="H12004" s="18"/>
      <c r="K12004" s="18" t="s">
        <v>316</v>
      </c>
    </row>
    <row r="12005">
      <c r="A12005" s="17"/>
      <c r="H12005" s="18"/>
      <c r="K12005" s="18" t="s">
        <v>316</v>
      </c>
    </row>
    <row r="12006">
      <c r="A12006" s="17"/>
      <c r="H12006" s="18"/>
      <c r="K12006" s="18" t="s">
        <v>316</v>
      </c>
    </row>
    <row r="12007">
      <c r="A12007" s="17"/>
      <c r="H12007" s="18"/>
      <c r="K12007" s="18" t="s">
        <v>316</v>
      </c>
    </row>
    <row r="12008">
      <c r="A12008" s="17"/>
      <c r="H12008" s="18"/>
      <c r="K12008" s="18" t="s">
        <v>316</v>
      </c>
    </row>
    <row r="12009">
      <c r="A12009" s="17"/>
      <c r="H12009" s="18"/>
      <c r="K12009" s="18" t="s">
        <v>316</v>
      </c>
    </row>
    <row r="12010">
      <c r="A12010" s="17"/>
      <c r="H12010" s="18"/>
      <c r="K12010" s="18" t="s">
        <v>316</v>
      </c>
    </row>
    <row r="12011">
      <c r="A12011" s="17"/>
      <c r="H12011" s="18"/>
      <c r="K12011" s="18" t="s">
        <v>316</v>
      </c>
    </row>
    <row r="12012">
      <c r="A12012" s="17"/>
      <c r="H12012" s="18"/>
      <c r="K12012" s="18" t="s">
        <v>316</v>
      </c>
    </row>
    <row r="12013">
      <c r="A12013" s="17"/>
      <c r="H12013" s="18"/>
      <c r="K12013" s="18" t="s">
        <v>316</v>
      </c>
    </row>
    <row r="12014">
      <c r="A12014" s="17"/>
      <c r="H12014" s="18"/>
      <c r="K12014" s="18" t="s">
        <v>316</v>
      </c>
    </row>
    <row r="12015">
      <c r="A12015" s="17"/>
      <c r="H12015" s="18"/>
      <c r="K12015" s="18" t="s">
        <v>316</v>
      </c>
    </row>
    <row r="12016">
      <c r="A12016" s="17"/>
      <c r="H12016" s="18"/>
      <c r="K12016" s="18" t="s">
        <v>316</v>
      </c>
    </row>
    <row r="12017">
      <c r="A12017" s="17"/>
      <c r="H12017" s="18"/>
      <c r="K12017" s="18" t="s">
        <v>316</v>
      </c>
    </row>
    <row r="12018">
      <c r="A12018" s="17"/>
      <c r="H12018" s="18"/>
      <c r="K12018" s="18" t="s">
        <v>316</v>
      </c>
    </row>
    <row r="12019">
      <c r="A12019" s="17"/>
      <c r="H12019" s="18"/>
      <c r="K12019" s="18" t="s">
        <v>316</v>
      </c>
    </row>
    <row r="12020">
      <c r="A12020" s="17"/>
      <c r="H12020" s="18"/>
      <c r="K12020" s="18" t="s">
        <v>316</v>
      </c>
    </row>
    <row r="12021">
      <c r="A12021" s="17"/>
      <c r="H12021" s="18"/>
      <c r="K12021" s="18" t="s">
        <v>316</v>
      </c>
    </row>
    <row r="12022">
      <c r="A12022" s="17"/>
      <c r="H12022" s="18"/>
      <c r="K12022" s="18" t="s">
        <v>316</v>
      </c>
    </row>
    <row r="12023">
      <c r="A12023" s="17"/>
      <c r="H12023" s="18"/>
      <c r="K12023" s="18" t="s">
        <v>316</v>
      </c>
    </row>
    <row r="12024">
      <c r="A12024" s="17"/>
      <c r="H12024" s="18"/>
      <c r="K12024" s="18" t="s">
        <v>316</v>
      </c>
    </row>
    <row r="12025">
      <c r="A12025" s="17"/>
      <c r="H12025" s="18"/>
      <c r="K12025" s="18" t="s">
        <v>316</v>
      </c>
    </row>
    <row r="12026">
      <c r="A12026" s="17"/>
      <c r="H12026" s="18"/>
      <c r="K12026" s="18" t="s">
        <v>316</v>
      </c>
    </row>
    <row r="12027">
      <c r="A12027" s="17"/>
      <c r="H12027" s="18"/>
      <c r="K12027" s="18" t="s">
        <v>316</v>
      </c>
    </row>
    <row r="12028">
      <c r="A12028" s="17"/>
      <c r="H12028" s="18"/>
      <c r="K12028" s="18" t="s">
        <v>316</v>
      </c>
    </row>
    <row r="12029">
      <c r="A12029" s="17"/>
      <c r="H12029" s="18"/>
      <c r="K12029" s="18" t="s">
        <v>316</v>
      </c>
    </row>
    <row r="12030">
      <c r="A12030" s="17"/>
      <c r="H12030" s="18"/>
      <c r="K12030" s="18" t="s">
        <v>316</v>
      </c>
    </row>
    <row r="12031">
      <c r="A12031" s="17"/>
      <c r="H12031" s="18"/>
      <c r="K12031" s="18" t="s">
        <v>316</v>
      </c>
    </row>
    <row r="12032">
      <c r="A12032" s="17"/>
      <c r="H12032" s="18"/>
      <c r="K12032" s="18" t="s">
        <v>316</v>
      </c>
    </row>
    <row r="12033">
      <c r="A12033" s="17"/>
      <c r="H12033" s="18"/>
      <c r="K12033" s="18" t="s">
        <v>316</v>
      </c>
    </row>
    <row r="12034">
      <c r="A12034" s="17"/>
      <c r="H12034" s="18"/>
      <c r="K12034" s="18" t="s">
        <v>316</v>
      </c>
    </row>
    <row r="12035">
      <c r="A12035" s="17"/>
      <c r="H12035" s="18"/>
      <c r="K12035" s="18" t="s">
        <v>316</v>
      </c>
    </row>
    <row r="12036">
      <c r="A12036" s="17"/>
      <c r="H12036" s="18"/>
      <c r="K12036" s="18" t="s">
        <v>316</v>
      </c>
    </row>
    <row r="12037">
      <c r="A12037" s="17"/>
      <c r="H12037" s="18"/>
      <c r="K12037" s="18" t="s">
        <v>316</v>
      </c>
    </row>
    <row r="12038">
      <c r="A12038" s="17"/>
      <c r="H12038" s="18"/>
      <c r="K12038" s="18" t="s">
        <v>316</v>
      </c>
    </row>
    <row r="12039">
      <c r="A12039" s="17"/>
      <c r="H12039" s="18"/>
      <c r="K12039" s="18" t="s">
        <v>316</v>
      </c>
    </row>
    <row r="12040">
      <c r="A12040" s="17"/>
      <c r="H12040" s="18"/>
      <c r="K12040" s="18" t="s">
        <v>316</v>
      </c>
    </row>
    <row r="12041">
      <c r="A12041" s="17"/>
      <c r="H12041" s="18"/>
      <c r="K12041" s="18" t="s">
        <v>316</v>
      </c>
    </row>
    <row r="12042">
      <c r="A12042" s="17"/>
      <c r="H12042" s="18"/>
      <c r="K12042" s="18" t="s">
        <v>316</v>
      </c>
    </row>
    <row r="12043">
      <c r="A12043" s="17"/>
      <c r="H12043" s="18"/>
      <c r="K12043" s="18" t="s">
        <v>316</v>
      </c>
    </row>
    <row r="12044">
      <c r="A12044" s="17"/>
      <c r="H12044" s="18"/>
      <c r="K12044" s="18" t="s">
        <v>316</v>
      </c>
    </row>
    <row r="12045">
      <c r="A12045" s="17"/>
      <c r="H12045" s="18"/>
      <c r="K12045" s="18" t="s">
        <v>316</v>
      </c>
    </row>
    <row r="12046">
      <c r="A12046" s="17"/>
      <c r="H12046" s="18"/>
      <c r="K12046" s="18" t="s">
        <v>316</v>
      </c>
    </row>
    <row r="12047">
      <c r="A12047" s="17"/>
      <c r="H12047" s="18"/>
      <c r="K12047" s="18" t="s">
        <v>316</v>
      </c>
    </row>
    <row r="12048">
      <c r="A12048" s="17"/>
      <c r="H12048" s="18"/>
      <c r="K12048" s="18" t="s">
        <v>316</v>
      </c>
    </row>
    <row r="12049">
      <c r="A12049" s="17"/>
      <c r="H12049" s="18"/>
      <c r="K12049" s="18" t="s">
        <v>316</v>
      </c>
    </row>
    <row r="12050">
      <c r="A12050" s="17"/>
      <c r="H12050" s="18"/>
      <c r="K12050" s="18" t="s">
        <v>316</v>
      </c>
    </row>
    <row r="12051">
      <c r="A12051" s="17"/>
      <c r="H12051" s="18"/>
      <c r="K12051" s="18" t="s">
        <v>316</v>
      </c>
    </row>
    <row r="12052">
      <c r="A12052" s="17"/>
      <c r="H12052" s="18"/>
      <c r="K12052" s="18" t="s">
        <v>316</v>
      </c>
    </row>
    <row r="12053">
      <c r="A12053" s="17"/>
      <c r="H12053" s="18"/>
      <c r="K12053" s="18" t="s">
        <v>316</v>
      </c>
    </row>
    <row r="12054">
      <c r="A12054" s="17"/>
      <c r="H12054" s="18"/>
      <c r="K12054" s="18" t="s">
        <v>316</v>
      </c>
    </row>
    <row r="12055">
      <c r="A12055" s="17"/>
      <c r="H12055" s="18"/>
      <c r="K12055" s="18" t="s">
        <v>316</v>
      </c>
    </row>
    <row r="12056">
      <c r="A12056" s="17"/>
      <c r="H12056" s="18"/>
      <c r="K12056" s="18" t="s">
        <v>316</v>
      </c>
    </row>
    <row r="12057">
      <c r="A12057" s="17"/>
      <c r="H12057" s="18"/>
      <c r="K12057" s="18" t="s">
        <v>316</v>
      </c>
    </row>
    <row r="12058">
      <c r="A12058" s="17"/>
      <c r="H12058" s="18"/>
      <c r="K12058" s="18" t="s">
        <v>316</v>
      </c>
    </row>
    <row r="12059">
      <c r="A12059" s="17"/>
      <c r="H12059" s="18"/>
      <c r="K12059" s="18" t="s">
        <v>316</v>
      </c>
    </row>
    <row r="12060">
      <c r="A12060" s="17"/>
      <c r="H12060" s="18"/>
      <c r="K12060" s="18" t="s">
        <v>316</v>
      </c>
    </row>
    <row r="12061">
      <c r="A12061" s="17"/>
      <c r="H12061" s="18"/>
      <c r="K12061" s="18" t="s">
        <v>316</v>
      </c>
    </row>
    <row r="12062">
      <c r="A12062" s="17"/>
      <c r="H12062" s="18"/>
      <c r="K12062" s="18" t="s">
        <v>316</v>
      </c>
    </row>
    <row r="12063">
      <c r="A12063" s="17"/>
      <c r="H12063" s="18"/>
      <c r="K12063" s="18" t="s">
        <v>316</v>
      </c>
    </row>
    <row r="12064">
      <c r="A12064" s="17"/>
      <c r="H12064" s="18"/>
      <c r="K12064" s="18" t="s">
        <v>316</v>
      </c>
    </row>
    <row r="12065">
      <c r="A12065" s="17"/>
      <c r="H12065" s="18"/>
      <c r="K12065" s="18" t="s">
        <v>316</v>
      </c>
    </row>
    <row r="12066">
      <c r="A12066" s="17"/>
      <c r="H12066" s="18"/>
      <c r="K12066" s="18" t="s">
        <v>316</v>
      </c>
    </row>
    <row r="12067">
      <c r="A12067" s="17"/>
      <c r="H12067" s="18"/>
      <c r="K12067" s="18" t="s">
        <v>316</v>
      </c>
    </row>
    <row r="12068">
      <c r="A12068" s="17"/>
      <c r="H12068" s="18"/>
      <c r="K12068" s="18" t="s">
        <v>316</v>
      </c>
    </row>
    <row r="12069">
      <c r="A12069" s="17"/>
      <c r="H12069" s="18"/>
      <c r="K12069" s="18" t="s">
        <v>316</v>
      </c>
    </row>
    <row r="12070">
      <c r="A12070" s="17"/>
      <c r="H12070" s="18"/>
      <c r="K12070" s="18" t="s">
        <v>316</v>
      </c>
    </row>
    <row r="12071">
      <c r="A12071" s="17"/>
      <c r="H12071" s="18"/>
      <c r="K12071" s="18" t="s">
        <v>316</v>
      </c>
    </row>
    <row r="12072">
      <c r="A12072" s="17"/>
      <c r="H12072" s="18"/>
      <c r="K12072" s="18" t="s">
        <v>316</v>
      </c>
    </row>
    <row r="12073">
      <c r="A12073" s="17"/>
      <c r="H12073" s="18"/>
      <c r="K12073" s="18" t="s">
        <v>316</v>
      </c>
    </row>
    <row r="12074">
      <c r="A12074" s="17"/>
      <c r="H12074" s="18"/>
      <c r="K12074" s="18" t="s">
        <v>316</v>
      </c>
    </row>
    <row r="12075">
      <c r="A12075" s="17"/>
      <c r="H12075" s="18"/>
      <c r="K12075" s="18" t="s">
        <v>316</v>
      </c>
    </row>
    <row r="12076">
      <c r="A12076" s="17"/>
      <c r="H12076" s="18"/>
      <c r="K12076" s="18" t="s">
        <v>316</v>
      </c>
    </row>
    <row r="12077">
      <c r="A12077" s="17"/>
      <c r="H12077" s="18"/>
      <c r="K12077" s="18" t="s">
        <v>316</v>
      </c>
    </row>
    <row r="12078">
      <c r="A12078" s="17"/>
      <c r="H12078" s="18"/>
      <c r="K12078" s="18" t="s">
        <v>316</v>
      </c>
    </row>
    <row r="12079">
      <c r="A12079" s="17"/>
      <c r="H12079" s="18"/>
      <c r="K12079" s="18" t="s">
        <v>316</v>
      </c>
    </row>
    <row r="12080">
      <c r="A12080" s="17"/>
      <c r="H12080" s="18"/>
      <c r="K12080" s="18" t="s">
        <v>316</v>
      </c>
    </row>
    <row r="12081">
      <c r="A12081" s="17"/>
      <c r="H12081" s="18"/>
      <c r="K12081" s="18" t="s">
        <v>316</v>
      </c>
    </row>
    <row r="12082">
      <c r="A12082" s="17"/>
      <c r="H12082" s="18"/>
      <c r="K12082" s="18" t="s">
        <v>316</v>
      </c>
    </row>
    <row r="12083">
      <c r="A12083" s="17"/>
      <c r="H12083" s="18"/>
      <c r="K12083" s="18" t="s">
        <v>316</v>
      </c>
    </row>
    <row r="12084">
      <c r="A12084" s="17"/>
      <c r="H12084" s="18"/>
      <c r="K12084" s="18" t="s">
        <v>316</v>
      </c>
    </row>
    <row r="12085">
      <c r="A12085" s="17"/>
      <c r="H12085" s="18"/>
      <c r="K12085" s="18" t="s">
        <v>316</v>
      </c>
    </row>
    <row r="12086">
      <c r="A12086" s="17"/>
      <c r="H12086" s="18"/>
      <c r="K12086" s="18" t="s">
        <v>316</v>
      </c>
    </row>
    <row r="12087">
      <c r="A12087" s="17"/>
      <c r="H12087" s="18"/>
      <c r="K12087" s="18" t="s">
        <v>316</v>
      </c>
    </row>
    <row r="12088">
      <c r="A12088" s="17"/>
      <c r="H12088" s="18"/>
      <c r="K12088" s="18" t="s">
        <v>316</v>
      </c>
    </row>
    <row r="12089">
      <c r="A12089" s="17"/>
      <c r="H12089" s="18"/>
      <c r="K12089" s="18" t="s">
        <v>316</v>
      </c>
    </row>
    <row r="12090">
      <c r="A12090" s="17"/>
      <c r="H12090" s="18"/>
      <c r="K12090" s="18" t="s">
        <v>316</v>
      </c>
    </row>
    <row r="12091">
      <c r="A12091" s="17"/>
      <c r="H12091" s="18"/>
      <c r="K12091" s="18" t="s">
        <v>316</v>
      </c>
    </row>
    <row r="12092">
      <c r="A12092" s="17"/>
      <c r="H12092" s="18"/>
      <c r="K12092" s="18" t="s">
        <v>316</v>
      </c>
    </row>
    <row r="12093">
      <c r="A12093" s="17"/>
      <c r="H12093" s="18"/>
      <c r="K12093" s="18" t="s">
        <v>316</v>
      </c>
    </row>
    <row r="12094">
      <c r="A12094" s="17"/>
      <c r="H12094" s="18"/>
      <c r="K12094" s="18" t="s">
        <v>316</v>
      </c>
    </row>
    <row r="12095">
      <c r="A12095" s="17"/>
      <c r="H12095" s="18"/>
      <c r="K12095" s="18" t="s">
        <v>316</v>
      </c>
    </row>
    <row r="12096">
      <c r="A12096" s="17"/>
      <c r="H12096" s="18"/>
      <c r="K12096" s="18" t="s">
        <v>316</v>
      </c>
    </row>
    <row r="12097">
      <c r="A12097" s="17"/>
      <c r="H12097" s="18"/>
      <c r="K12097" s="18" t="s">
        <v>316</v>
      </c>
    </row>
    <row r="12098">
      <c r="A12098" s="17"/>
      <c r="H12098" s="18"/>
      <c r="K12098" s="18" t="s">
        <v>316</v>
      </c>
    </row>
    <row r="12099">
      <c r="A12099" s="17"/>
      <c r="H12099" s="18"/>
      <c r="K12099" s="18" t="s">
        <v>316</v>
      </c>
    </row>
    <row r="12100">
      <c r="A12100" s="17"/>
      <c r="H12100" s="18"/>
      <c r="K12100" s="18" t="s">
        <v>316</v>
      </c>
    </row>
    <row r="12101">
      <c r="A12101" s="17"/>
      <c r="H12101" s="18"/>
      <c r="K12101" s="18" t="s">
        <v>316</v>
      </c>
    </row>
    <row r="12102">
      <c r="A12102" s="17"/>
      <c r="H12102" s="18"/>
      <c r="K12102" s="18" t="s">
        <v>316</v>
      </c>
    </row>
    <row r="12103">
      <c r="A12103" s="17"/>
      <c r="H12103" s="18"/>
      <c r="K12103" s="18" t="s">
        <v>316</v>
      </c>
    </row>
    <row r="12104">
      <c r="A12104" s="17"/>
      <c r="H12104" s="18"/>
      <c r="K12104" s="18" t="s">
        <v>316</v>
      </c>
    </row>
    <row r="12105">
      <c r="A12105" s="17"/>
      <c r="H12105" s="18"/>
      <c r="K12105" s="18" t="s">
        <v>316</v>
      </c>
    </row>
    <row r="12106">
      <c r="A12106" s="17"/>
      <c r="H12106" s="18"/>
      <c r="K12106" s="18" t="s">
        <v>316</v>
      </c>
    </row>
    <row r="12107">
      <c r="A12107" s="17"/>
      <c r="H12107" s="18"/>
      <c r="K12107" s="18" t="s">
        <v>316</v>
      </c>
    </row>
    <row r="12108">
      <c r="A12108" s="17"/>
      <c r="H12108" s="18"/>
      <c r="K12108" s="18" t="s">
        <v>316</v>
      </c>
    </row>
    <row r="12109">
      <c r="A12109" s="17"/>
      <c r="H12109" s="18"/>
      <c r="K12109" s="18" t="s">
        <v>316</v>
      </c>
    </row>
    <row r="12110">
      <c r="A12110" s="17"/>
      <c r="H12110" s="18"/>
      <c r="K12110" s="18" t="s">
        <v>316</v>
      </c>
    </row>
    <row r="12111">
      <c r="A12111" s="17"/>
      <c r="H12111" s="18"/>
      <c r="K12111" s="18" t="s">
        <v>316</v>
      </c>
    </row>
    <row r="12112">
      <c r="A12112" s="17"/>
      <c r="H12112" s="18"/>
      <c r="K12112" s="18" t="s">
        <v>316</v>
      </c>
    </row>
    <row r="12113">
      <c r="A12113" s="17"/>
      <c r="H12113" s="18"/>
      <c r="K12113" s="18" t="s">
        <v>316</v>
      </c>
    </row>
    <row r="12114">
      <c r="A12114" s="17"/>
      <c r="H12114" s="18"/>
      <c r="K12114" s="18" t="s">
        <v>316</v>
      </c>
    </row>
    <row r="12115">
      <c r="A12115" s="17"/>
      <c r="H12115" s="18"/>
      <c r="K12115" s="18" t="s">
        <v>316</v>
      </c>
    </row>
    <row r="12116">
      <c r="A12116" s="17"/>
      <c r="H12116" s="18"/>
      <c r="K12116" s="18" t="s">
        <v>316</v>
      </c>
    </row>
    <row r="12117">
      <c r="A12117" s="17"/>
      <c r="H12117" s="18"/>
      <c r="K12117" s="18" t="s">
        <v>316</v>
      </c>
    </row>
    <row r="12118">
      <c r="A12118" s="17"/>
      <c r="H12118" s="18"/>
      <c r="K12118" s="18" t="s">
        <v>316</v>
      </c>
    </row>
    <row r="12119">
      <c r="A12119" s="17"/>
      <c r="H12119" s="18"/>
      <c r="K12119" s="18" t="s">
        <v>316</v>
      </c>
    </row>
    <row r="12120">
      <c r="A12120" s="17"/>
      <c r="H12120" s="18"/>
      <c r="K12120" s="18" t="s">
        <v>316</v>
      </c>
    </row>
    <row r="12121">
      <c r="A12121" s="17"/>
      <c r="H12121" s="18"/>
      <c r="K12121" s="18" t="s">
        <v>316</v>
      </c>
    </row>
    <row r="12122">
      <c r="A12122" s="17"/>
      <c r="H12122" s="18"/>
      <c r="K12122" s="18" t="s">
        <v>316</v>
      </c>
    </row>
    <row r="12123">
      <c r="A12123" s="17"/>
      <c r="H12123" s="18"/>
      <c r="K12123" s="18" t="s">
        <v>316</v>
      </c>
    </row>
    <row r="12124">
      <c r="A12124" s="17"/>
      <c r="H12124" s="18"/>
      <c r="K12124" s="18" t="s">
        <v>316</v>
      </c>
    </row>
    <row r="12125">
      <c r="A12125" s="17"/>
      <c r="H12125" s="18"/>
      <c r="K12125" s="18" t="s">
        <v>316</v>
      </c>
    </row>
    <row r="12126">
      <c r="A12126" s="17"/>
      <c r="H12126" s="18"/>
      <c r="K12126" s="18" t="s">
        <v>316</v>
      </c>
    </row>
    <row r="12127">
      <c r="A12127" s="17"/>
      <c r="H12127" s="18"/>
      <c r="K12127" s="18" t="s">
        <v>316</v>
      </c>
    </row>
    <row r="12128">
      <c r="A12128" s="17"/>
      <c r="H12128" s="18"/>
      <c r="K12128" s="18" t="s">
        <v>316</v>
      </c>
    </row>
    <row r="12129">
      <c r="A12129" s="17"/>
      <c r="H12129" s="18"/>
      <c r="K12129" s="18" t="s">
        <v>316</v>
      </c>
    </row>
    <row r="12130">
      <c r="A12130" s="17"/>
      <c r="H12130" s="18"/>
      <c r="K12130" s="18" t="s">
        <v>316</v>
      </c>
    </row>
    <row r="12131">
      <c r="A12131" s="17"/>
      <c r="H12131" s="18"/>
      <c r="K12131" s="18" t="s">
        <v>316</v>
      </c>
    </row>
    <row r="12132">
      <c r="A12132" s="17"/>
      <c r="H12132" s="18"/>
      <c r="K12132" s="18" t="s">
        <v>316</v>
      </c>
    </row>
    <row r="12133">
      <c r="A12133" s="17"/>
      <c r="H12133" s="18"/>
      <c r="K12133" s="18" t="s">
        <v>316</v>
      </c>
    </row>
    <row r="12134">
      <c r="A12134" s="17"/>
      <c r="H12134" s="18"/>
      <c r="K12134" s="18" t="s">
        <v>316</v>
      </c>
    </row>
    <row r="12135">
      <c r="A12135" s="17"/>
      <c r="H12135" s="18"/>
      <c r="K12135" s="18" t="s">
        <v>316</v>
      </c>
    </row>
    <row r="12136">
      <c r="A12136" s="17"/>
      <c r="H12136" s="18"/>
      <c r="K12136" s="18" t="s">
        <v>316</v>
      </c>
    </row>
    <row r="12137">
      <c r="A12137" s="17"/>
      <c r="H12137" s="18"/>
      <c r="K12137" s="18" t="s">
        <v>316</v>
      </c>
    </row>
    <row r="12138">
      <c r="A12138" s="17"/>
      <c r="H12138" s="18"/>
      <c r="K12138" s="18" t="s">
        <v>316</v>
      </c>
    </row>
    <row r="12139">
      <c r="A12139" s="17"/>
      <c r="H12139" s="18"/>
      <c r="K12139" s="18" t="s">
        <v>316</v>
      </c>
    </row>
    <row r="12140">
      <c r="A12140" s="17"/>
      <c r="H12140" s="18"/>
      <c r="K12140" s="18" t="s">
        <v>316</v>
      </c>
    </row>
    <row r="12141">
      <c r="A12141" s="17"/>
      <c r="H12141" s="18"/>
      <c r="K12141" s="18" t="s">
        <v>316</v>
      </c>
    </row>
    <row r="12142">
      <c r="A12142" s="17"/>
      <c r="H12142" s="18"/>
      <c r="K12142" s="18" t="s">
        <v>316</v>
      </c>
    </row>
    <row r="12143">
      <c r="A12143" s="17"/>
      <c r="H12143" s="18"/>
      <c r="K12143" s="18" t="s">
        <v>316</v>
      </c>
    </row>
    <row r="12144">
      <c r="A12144" s="17"/>
      <c r="H12144" s="18"/>
      <c r="K12144" s="18" t="s">
        <v>316</v>
      </c>
    </row>
    <row r="12145">
      <c r="A12145" s="17"/>
      <c r="H12145" s="18"/>
      <c r="K12145" s="18" t="s">
        <v>316</v>
      </c>
    </row>
    <row r="12146">
      <c r="A12146" s="17"/>
      <c r="H12146" s="18"/>
      <c r="K12146" s="18" t="s">
        <v>316</v>
      </c>
    </row>
    <row r="12147">
      <c r="A12147" s="17"/>
      <c r="H12147" s="18"/>
      <c r="K12147" s="18" t="s">
        <v>316</v>
      </c>
    </row>
    <row r="12148">
      <c r="A12148" s="17"/>
      <c r="H12148" s="18"/>
      <c r="K12148" s="18" t="s">
        <v>316</v>
      </c>
    </row>
    <row r="12149">
      <c r="A12149" s="17"/>
      <c r="H12149" s="18"/>
      <c r="K12149" s="18" t="s">
        <v>316</v>
      </c>
    </row>
    <row r="12150">
      <c r="A12150" s="17"/>
      <c r="H12150" s="18"/>
      <c r="K12150" s="18" t="s">
        <v>316</v>
      </c>
    </row>
    <row r="12151">
      <c r="A12151" s="17"/>
      <c r="H12151" s="18"/>
      <c r="K12151" s="18" t="s">
        <v>316</v>
      </c>
    </row>
    <row r="12152">
      <c r="A12152" s="17"/>
      <c r="H12152" s="18"/>
      <c r="K12152" s="18" t="s">
        <v>316</v>
      </c>
    </row>
    <row r="12153">
      <c r="A12153" s="17"/>
      <c r="H12153" s="18"/>
      <c r="K12153" s="18" t="s">
        <v>316</v>
      </c>
    </row>
    <row r="12154">
      <c r="A12154" s="17"/>
      <c r="H12154" s="18"/>
      <c r="K12154" s="18" t="s">
        <v>316</v>
      </c>
    </row>
    <row r="12155">
      <c r="A12155" s="17"/>
      <c r="H12155" s="18"/>
      <c r="K12155" s="18" t="s">
        <v>316</v>
      </c>
    </row>
    <row r="12156">
      <c r="A12156" s="17"/>
      <c r="H12156" s="18"/>
      <c r="K12156" s="18" t="s">
        <v>316</v>
      </c>
    </row>
    <row r="12157">
      <c r="A12157" s="17"/>
      <c r="H12157" s="18"/>
      <c r="K12157" s="18" t="s">
        <v>316</v>
      </c>
    </row>
    <row r="12158">
      <c r="A12158" s="17"/>
      <c r="H12158" s="18"/>
      <c r="K12158" s="18" t="s">
        <v>316</v>
      </c>
    </row>
    <row r="12159">
      <c r="A12159" s="17"/>
      <c r="H12159" s="18"/>
      <c r="K12159" s="18" t="s">
        <v>316</v>
      </c>
    </row>
    <row r="12160">
      <c r="A12160" s="17"/>
      <c r="H12160" s="18"/>
      <c r="K12160" s="18" t="s">
        <v>316</v>
      </c>
    </row>
    <row r="12161">
      <c r="A12161" s="17"/>
      <c r="H12161" s="18"/>
      <c r="K12161" s="18" t="s">
        <v>316</v>
      </c>
    </row>
    <row r="12162">
      <c r="A12162" s="17"/>
      <c r="H12162" s="18"/>
      <c r="K12162" s="18" t="s">
        <v>316</v>
      </c>
    </row>
    <row r="12163">
      <c r="A12163" s="17"/>
      <c r="H12163" s="18"/>
      <c r="K12163" s="18" t="s">
        <v>316</v>
      </c>
    </row>
    <row r="12164">
      <c r="A12164" s="17"/>
      <c r="H12164" s="18"/>
      <c r="K12164" s="18" t="s">
        <v>316</v>
      </c>
    </row>
    <row r="12165">
      <c r="A12165" s="17"/>
      <c r="H12165" s="18"/>
      <c r="K12165" s="18" t="s">
        <v>316</v>
      </c>
    </row>
    <row r="12166">
      <c r="A12166" s="17"/>
      <c r="H12166" s="18"/>
      <c r="K12166" s="18" t="s">
        <v>316</v>
      </c>
    </row>
    <row r="12167">
      <c r="A12167" s="17"/>
      <c r="H12167" s="18"/>
      <c r="K12167" s="18" t="s">
        <v>316</v>
      </c>
    </row>
    <row r="12168">
      <c r="A12168" s="17"/>
      <c r="H12168" s="18"/>
      <c r="K12168" s="18" t="s">
        <v>316</v>
      </c>
    </row>
    <row r="12169">
      <c r="A12169" s="17"/>
      <c r="H12169" s="18"/>
      <c r="K12169" s="18" t="s">
        <v>316</v>
      </c>
    </row>
    <row r="12170">
      <c r="A12170" s="17"/>
      <c r="H12170" s="18"/>
      <c r="K12170" s="18" t="s">
        <v>316</v>
      </c>
    </row>
    <row r="12171">
      <c r="A12171" s="17"/>
      <c r="H12171" s="18"/>
      <c r="K12171" s="18" t="s">
        <v>316</v>
      </c>
    </row>
    <row r="12172">
      <c r="A12172" s="17"/>
      <c r="H12172" s="18"/>
      <c r="K12172" s="18" t="s">
        <v>316</v>
      </c>
    </row>
    <row r="12173">
      <c r="A12173" s="17"/>
      <c r="H12173" s="18"/>
      <c r="K12173" s="18" t="s">
        <v>316</v>
      </c>
    </row>
    <row r="12174">
      <c r="A12174" s="17"/>
      <c r="H12174" s="18"/>
      <c r="K12174" s="18" t="s">
        <v>316</v>
      </c>
    </row>
    <row r="12175">
      <c r="A12175" s="17"/>
      <c r="H12175" s="18"/>
      <c r="K12175" s="18" t="s">
        <v>316</v>
      </c>
    </row>
    <row r="12176">
      <c r="A12176" s="17"/>
      <c r="H12176" s="18"/>
      <c r="K12176" s="18" t="s">
        <v>316</v>
      </c>
    </row>
    <row r="12177">
      <c r="A12177" s="17"/>
      <c r="H12177" s="18"/>
      <c r="K12177" s="18" t="s">
        <v>316</v>
      </c>
    </row>
    <row r="12178">
      <c r="A12178" s="17"/>
      <c r="H12178" s="18"/>
      <c r="K12178" s="18" t="s">
        <v>316</v>
      </c>
    </row>
    <row r="12179">
      <c r="A12179" s="17"/>
      <c r="H12179" s="18"/>
      <c r="K12179" s="18" t="s">
        <v>316</v>
      </c>
    </row>
    <row r="12180">
      <c r="A12180" s="17"/>
      <c r="H12180" s="18"/>
      <c r="K12180" s="18" t="s">
        <v>316</v>
      </c>
    </row>
    <row r="12181">
      <c r="A12181" s="17"/>
      <c r="H12181" s="18"/>
      <c r="K12181" s="18" t="s">
        <v>316</v>
      </c>
    </row>
    <row r="12182">
      <c r="A12182" s="17"/>
      <c r="H12182" s="18"/>
      <c r="K12182" s="18" t="s">
        <v>316</v>
      </c>
    </row>
    <row r="12183">
      <c r="A12183" s="17"/>
      <c r="H12183" s="18"/>
      <c r="K12183" s="18" t="s">
        <v>316</v>
      </c>
    </row>
    <row r="12184">
      <c r="A12184" s="17"/>
      <c r="H12184" s="18"/>
      <c r="K12184" s="18" t="s">
        <v>316</v>
      </c>
    </row>
    <row r="12185">
      <c r="A12185" s="17"/>
      <c r="H12185" s="18"/>
      <c r="K12185" s="18" t="s">
        <v>316</v>
      </c>
    </row>
    <row r="12186">
      <c r="A12186" s="17"/>
      <c r="H12186" s="18"/>
      <c r="K12186" s="18" t="s">
        <v>316</v>
      </c>
    </row>
    <row r="12187">
      <c r="A12187" s="17"/>
      <c r="H12187" s="18"/>
      <c r="K12187" s="18" t="s">
        <v>316</v>
      </c>
    </row>
    <row r="12188">
      <c r="A12188" s="17"/>
      <c r="H12188" s="18"/>
      <c r="K12188" s="18" t="s">
        <v>316</v>
      </c>
    </row>
    <row r="12189">
      <c r="A12189" s="17"/>
      <c r="H12189" s="18"/>
      <c r="K12189" s="18" t="s">
        <v>316</v>
      </c>
    </row>
    <row r="12190">
      <c r="A12190" s="17"/>
      <c r="H12190" s="18"/>
      <c r="K12190" s="18" t="s">
        <v>316</v>
      </c>
    </row>
    <row r="12191">
      <c r="A12191" s="17"/>
      <c r="H12191" s="18"/>
      <c r="K12191" s="18" t="s">
        <v>316</v>
      </c>
    </row>
    <row r="12192">
      <c r="A12192" s="17"/>
      <c r="H12192" s="18"/>
      <c r="K12192" s="18" t="s">
        <v>316</v>
      </c>
    </row>
    <row r="12193">
      <c r="A12193" s="17"/>
      <c r="H12193" s="18"/>
      <c r="K12193" s="18" t="s">
        <v>316</v>
      </c>
    </row>
    <row r="12194">
      <c r="A12194" s="17"/>
      <c r="H12194" s="18"/>
      <c r="K12194" s="18" t="s">
        <v>316</v>
      </c>
    </row>
    <row r="12195">
      <c r="A12195" s="17"/>
      <c r="H12195" s="18"/>
      <c r="K12195" s="18" t="s">
        <v>316</v>
      </c>
    </row>
    <row r="12196">
      <c r="A12196" s="17"/>
      <c r="H12196" s="18"/>
      <c r="K12196" s="18" t="s">
        <v>316</v>
      </c>
    </row>
    <row r="12197">
      <c r="A12197" s="17"/>
      <c r="H12197" s="18"/>
      <c r="K12197" s="18" t="s">
        <v>316</v>
      </c>
    </row>
    <row r="12198">
      <c r="A12198" s="17"/>
      <c r="H12198" s="18"/>
      <c r="K12198" s="18" t="s">
        <v>316</v>
      </c>
    </row>
    <row r="12199">
      <c r="A12199" s="17"/>
      <c r="H12199" s="18"/>
      <c r="K12199" s="18" t="s">
        <v>316</v>
      </c>
    </row>
    <row r="12200">
      <c r="A12200" s="17"/>
      <c r="H12200" s="18"/>
      <c r="K12200" s="18" t="s">
        <v>316</v>
      </c>
    </row>
    <row r="12201">
      <c r="A12201" s="17"/>
      <c r="H12201" s="18"/>
      <c r="K12201" s="18" t="s">
        <v>316</v>
      </c>
    </row>
    <row r="12202">
      <c r="A12202" s="17"/>
      <c r="H12202" s="18"/>
      <c r="K12202" s="18" t="s">
        <v>316</v>
      </c>
    </row>
    <row r="12203">
      <c r="A12203" s="17"/>
      <c r="H12203" s="18"/>
      <c r="K12203" s="18" t="s">
        <v>316</v>
      </c>
    </row>
    <row r="12204">
      <c r="A12204" s="17"/>
      <c r="H12204" s="18"/>
      <c r="K12204" s="18" t="s">
        <v>316</v>
      </c>
    </row>
    <row r="12205">
      <c r="A12205" s="17"/>
      <c r="H12205" s="18"/>
      <c r="K12205" s="18" t="s">
        <v>316</v>
      </c>
    </row>
    <row r="12206">
      <c r="A12206" s="17"/>
      <c r="H12206" s="18"/>
      <c r="K12206" s="18" t="s">
        <v>316</v>
      </c>
    </row>
    <row r="12207">
      <c r="A12207" s="17"/>
      <c r="H12207" s="18"/>
      <c r="K12207" s="18" t="s">
        <v>316</v>
      </c>
    </row>
    <row r="12208">
      <c r="A12208" s="17"/>
      <c r="H12208" s="18"/>
      <c r="K12208" s="18" t="s">
        <v>316</v>
      </c>
    </row>
    <row r="12209">
      <c r="A12209" s="17"/>
      <c r="H12209" s="18"/>
      <c r="K12209" s="18" t="s">
        <v>316</v>
      </c>
    </row>
    <row r="12210">
      <c r="A12210" s="17"/>
      <c r="H12210" s="18"/>
      <c r="K12210" s="18" t="s">
        <v>316</v>
      </c>
    </row>
    <row r="12211">
      <c r="A12211" s="17"/>
      <c r="H12211" s="18"/>
      <c r="K12211" s="18" t="s">
        <v>316</v>
      </c>
    </row>
    <row r="12212">
      <c r="A12212" s="17"/>
      <c r="H12212" s="18"/>
      <c r="K12212" s="18" t="s">
        <v>316</v>
      </c>
    </row>
    <row r="12213">
      <c r="A12213" s="17"/>
      <c r="H12213" s="18"/>
      <c r="K12213" s="18" t="s">
        <v>316</v>
      </c>
    </row>
    <row r="12214">
      <c r="A12214" s="17"/>
      <c r="H12214" s="18"/>
      <c r="K12214" s="18" t="s">
        <v>316</v>
      </c>
    </row>
    <row r="12215">
      <c r="A12215" s="17"/>
      <c r="H12215" s="18"/>
      <c r="K12215" s="18" t="s">
        <v>316</v>
      </c>
    </row>
    <row r="12216">
      <c r="A12216" s="17"/>
      <c r="H12216" s="18"/>
      <c r="K12216" s="18" t="s">
        <v>316</v>
      </c>
    </row>
    <row r="12217">
      <c r="A12217" s="17"/>
      <c r="H12217" s="18"/>
      <c r="K12217" s="18" t="s">
        <v>316</v>
      </c>
    </row>
    <row r="12218">
      <c r="A12218" s="17"/>
      <c r="H12218" s="18"/>
      <c r="K12218" s="18" t="s">
        <v>316</v>
      </c>
    </row>
    <row r="12219">
      <c r="A12219" s="17"/>
      <c r="H12219" s="18"/>
      <c r="K12219" s="18" t="s">
        <v>316</v>
      </c>
    </row>
    <row r="12220">
      <c r="A12220" s="17"/>
      <c r="H12220" s="18"/>
      <c r="K12220" s="18" t="s">
        <v>316</v>
      </c>
    </row>
    <row r="12221">
      <c r="A12221" s="17"/>
      <c r="H12221" s="18"/>
      <c r="K12221" s="18" t="s">
        <v>316</v>
      </c>
    </row>
    <row r="12222">
      <c r="A12222" s="17"/>
      <c r="H12222" s="18"/>
      <c r="K12222" s="18" t="s">
        <v>316</v>
      </c>
    </row>
    <row r="12223">
      <c r="A12223" s="17"/>
      <c r="H12223" s="18"/>
      <c r="K12223" s="18" t="s">
        <v>316</v>
      </c>
    </row>
    <row r="12224">
      <c r="A12224" s="17"/>
      <c r="H12224" s="18"/>
      <c r="K12224" s="18" t="s">
        <v>316</v>
      </c>
    </row>
    <row r="12225">
      <c r="A12225" s="17"/>
      <c r="H12225" s="18"/>
      <c r="K12225" s="18" t="s">
        <v>316</v>
      </c>
    </row>
    <row r="12226">
      <c r="A12226" s="17"/>
      <c r="H12226" s="18"/>
      <c r="K12226" s="18" t="s">
        <v>316</v>
      </c>
    </row>
    <row r="12227">
      <c r="A12227" s="17"/>
      <c r="H12227" s="18"/>
      <c r="K12227" s="18" t="s">
        <v>316</v>
      </c>
    </row>
    <row r="12228">
      <c r="A12228" s="17"/>
      <c r="H12228" s="18"/>
      <c r="K12228" s="18" t="s">
        <v>316</v>
      </c>
    </row>
    <row r="12229">
      <c r="A12229" s="17"/>
      <c r="H12229" s="18"/>
      <c r="K12229" s="18" t="s">
        <v>316</v>
      </c>
    </row>
    <row r="12230">
      <c r="A12230" s="17"/>
      <c r="H12230" s="18"/>
      <c r="K12230" s="18" t="s">
        <v>316</v>
      </c>
    </row>
    <row r="12231">
      <c r="A12231" s="17"/>
      <c r="H12231" s="18"/>
      <c r="K12231" s="18" t="s">
        <v>316</v>
      </c>
    </row>
    <row r="12232">
      <c r="A12232" s="17"/>
      <c r="H12232" s="18"/>
      <c r="K12232" s="18" t="s">
        <v>316</v>
      </c>
    </row>
    <row r="12233">
      <c r="A12233" s="17"/>
      <c r="H12233" s="18"/>
      <c r="K12233" s="18" t="s">
        <v>316</v>
      </c>
    </row>
    <row r="12234">
      <c r="A12234" s="17"/>
      <c r="H12234" s="18"/>
      <c r="K12234" s="18" t="s">
        <v>316</v>
      </c>
    </row>
    <row r="12235">
      <c r="A12235" s="17"/>
      <c r="H12235" s="18"/>
      <c r="K12235" s="18" t="s">
        <v>316</v>
      </c>
    </row>
    <row r="12236">
      <c r="A12236" s="17"/>
      <c r="H12236" s="18"/>
      <c r="K12236" s="18" t="s">
        <v>316</v>
      </c>
    </row>
    <row r="12237">
      <c r="A12237" s="17"/>
      <c r="H12237" s="18"/>
      <c r="K12237" s="18" t="s">
        <v>316</v>
      </c>
    </row>
    <row r="12238">
      <c r="A12238" s="17"/>
      <c r="H12238" s="18"/>
      <c r="K12238" s="18" t="s">
        <v>316</v>
      </c>
    </row>
    <row r="12239">
      <c r="A12239" s="17"/>
      <c r="H12239" s="18"/>
      <c r="K12239" s="18" t="s">
        <v>316</v>
      </c>
    </row>
    <row r="12240">
      <c r="A12240" s="17"/>
      <c r="H12240" s="18"/>
      <c r="K12240" s="18" t="s">
        <v>316</v>
      </c>
    </row>
    <row r="12241">
      <c r="A12241" s="17"/>
      <c r="H12241" s="18"/>
      <c r="K12241" s="18" t="s">
        <v>316</v>
      </c>
    </row>
    <row r="12242">
      <c r="A12242" s="17"/>
      <c r="H12242" s="18"/>
      <c r="K12242" s="18" t="s">
        <v>316</v>
      </c>
    </row>
    <row r="12243">
      <c r="A12243" s="17"/>
      <c r="H12243" s="18"/>
      <c r="K12243" s="18" t="s">
        <v>316</v>
      </c>
    </row>
    <row r="12244">
      <c r="A12244" s="17"/>
      <c r="H12244" s="18"/>
      <c r="K12244" s="18" t="s">
        <v>316</v>
      </c>
    </row>
    <row r="12245">
      <c r="A12245" s="17"/>
      <c r="H12245" s="18"/>
      <c r="K12245" s="18" t="s">
        <v>316</v>
      </c>
    </row>
    <row r="12246">
      <c r="A12246" s="17"/>
      <c r="H12246" s="18"/>
      <c r="K12246" s="18" t="s">
        <v>316</v>
      </c>
    </row>
    <row r="12247">
      <c r="A12247" s="17"/>
      <c r="H12247" s="18"/>
      <c r="K12247" s="18" t="s">
        <v>316</v>
      </c>
    </row>
    <row r="12248">
      <c r="A12248" s="17"/>
      <c r="H12248" s="18"/>
      <c r="K12248" s="18" t="s">
        <v>316</v>
      </c>
    </row>
    <row r="12249">
      <c r="A12249" s="17"/>
      <c r="H12249" s="18"/>
      <c r="K12249" s="18" t="s">
        <v>316</v>
      </c>
    </row>
    <row r="12250">
      <c r="A12250" s="17"/>
      <c r="H12250" s="18"/>
      <c r="K12250" s="18" t="s">
        <v>316</v>
      </c>
    </row>
    <row r="12251">
      <c r="A12251" s="17"/>
      <c r="H12251" s="18"/>
      <c r="K12251" s="18" t="s">
        <v>316</v>
      </c>
    </row>
    <row r="12252">
      <c r="A12252" s="17"/>
      <c r="H12252" s="18"/>
      <c r="K12252" s="18" t="s">
        <v>316</v>
      </c>
    </row>
    <row r="12253">
      <c r="A12253" s="17"/>
      <c r="H12253" s="18"/>
      <c r="K12253" s="18" t="s">
        <v>316</v>
      </c>
    </row>
    <row r="12254">
      <c r="A12254" s="17"/>
      <c r="H12254" s="18"/>
      <c r="K12254" s="18" t="s">
        <v>316</v>
      </c>
    </row>
    <row r="12255">
      <c r="A12255" s="17"/>
      <c r="H12255" s="18"/>
      <c r="K12255" s="18" t="s">
        <v>316</v>
      </c>
    </row>
    <row r="12256">
      <c r="A12256" s="17"/>
      <c r="H12256" s="18"/>
      <c r="K12256" s="18" t="s">
        <v>316</v>
      </c>
    </row>
    <row r="12257">
      <c r="A12257" s="17"/>
      <c r="H12257" s="18"/>
      <c r="K12257" s="18" t="s">
        <v>316</v>
      </c>
    </row>
    <row r="12258">
      <c r="A12258" s="17"/>
      <c r="H12258" s="18"/>
      <c r="K12258" s="18" t="s">
        <v>316</v>
      </c>
    </row>
    <row r="12259">
      <c r="A12259" s="17"/>
      <c r="H12259" s="18"/>
      <c r="K12259" s="18" t="s">
        <v>316</v>
      </c>
    </row>
    <row r="12260">
      <c r="A12260" s="17"/>
      <c r="H12260" s="18"/>
      <c r="K12260" s="18" t="s">
        <v>316</v>
      </c>
    </row>
    <row r="12261">
      <c r="A12261" s="17"/>
      <c r="H12261" s="18"/>
      <c r="K12261" s="18" t="s">
        <v>316</v>
      </c>
    </row>
    <row r="12262">
      <c r="A12262" s="17"/>
      <c r="H12262" s="18"/>
      <c r="K12262" s="18" t="s">
        <v>316</v>
      </c>
    </row>
    <row r="12263">
      <c r="A12263" s="17"/>
      <c r="H12263" s="18"/>
      <c r="K12263" s="18" t="s">
        <v>316</v>
      </c>
    </row>
    <row r="12264">
      <c r="A12264" s="17"/>
      <c r="H12264" s="18"/>
      <c r="K12264" s="18" t="s">
        <v>316</v>
      </c>
    </row>
    <row r="12265">
      <c r="A12265" s="17"/>
      <c r="H12265" s="18"/>
      <c r="K12265" s="18" t="s">
        <v>316</v>
      </c>
    </row>
    <row r="12266">
      <c r="A12266" s="17"/>
      <c r="H12266" s="18"/>
      <c r="K12266" s="18" t="s">
        <v>316</v>
      </c>
    </row>
    <row r="12267">
      <c r="A12267" s="17"/>
      <c r="H12267" s="18"/>
      <c r="K12267" s="18" t="s">
        <v>316</v>
      </c>
    </row>
    <row r="12268">
      <c r="A12268" s="17"/>
      <c r="H12268" s="18"/>
      <c r="K12268" s="18" t="s">
        <v>316</v>
      </c>
    </row>
    <row r="12269">
      <c r="A12269" s="17"/>
      <c r="H12269" s="18"/>
      <c r="K12269" s="18" t="s">
        <v>316</v>
      </c>
    </row>
    <row r="12270">
      <c r="A12270" s="17"/>
      <c r="H12270" s="18"/>
      <c r="K12270" s="18" t="s">
        <v>316</v>
      </c>
    </row>
    <row r="12271">
      <c r="A12271" s="17"/>
      <c r="H12271" s="18"/>
      <c r="K12271" s="18" t="s">
        <v>316</v>
      </c>
    </row>
    <row r="12272">
      <c r="A12272" s="17"/>
      <c r="H12272" s="18"/>
      <c r="K12272" s="18" t="s">
        <v>316</v>
      </c>
    </row>
    <row r="12273">
      <c r="A12273" s="17"/>
      <c r="H12273" s="18"/>
      <c r="K12273" s="18" t="s">
        <v>316</v>
      </c>
    </row>
    <row r="12274">
      <c r="A12274" s="17"/>
      <c r="H12274" s="18"/>
      <c r="K12274" s="18" t="s">
        <v>316</v>
      </c>
    </row>
    <row r="12275">
      <c r="A12275" s="17"/>
      <c r="H12275" s="18"/>
      <c r="K12275" s="18" t="s">
        <v>316</v>
      </c>
    </row>
    <row r="12276">
      <c r="A12276" s="17"/>
      <c r="H12276" s="18"/>
      <c r="K12276" s="18" t="s">
        <v>316</v>
      </c>
    </row>
    <row r="12277">
      <c r="A12277" s="17"/>
      <c r="H12277" s="18"/>
      <c r="K12277" s="18" t="s">
        <v>316</v>
      </c>
    </row>
    <row r="12278">
      <c r="A12278" s="17"/>
      <c r="H12278" s="18"/>
      <c r="K12278" s="18" t="s">
        <v>316</v>
      </c>
    </row>
    <row r="12279">
      <c r="A12279" s="17"/>
      <c r="H12279" s="18"/>
      <c r="K12279" s="18" t="s">
        <v>316</v>
      </c>
    </row>
    <row r="12280">
      <c r="A12280" s="17"/>
      <c r="H12280" s="18"/>
      <c r="K12280" s="18" t="s">
        <v>316</v>
      </c>
    </row>
    <row r="12281">
      <c r="A12281" s="17"/>
      <c r="H12281" s="18"/>
      <c r="K12281" s="18" t="s">
        <v>316</v>
      </c>
    </row>
    <row r="12282">
      <c r="A12282" s="17"/>
      <c r="H12282" s="18"/>
      <c r="K12282" s="18" t="s">
        <v>316</v>
      </c>
    </row>
    <row r="12283">
      <c r="A12283" s="17"/>
      <c r="H12283" s="18"/>
      <c r="K12283" s="18" t="s">
        <v>316</v>
      </c>
    </row>
    <row r="12284">
      <c r="A12284" s="17"/>
      <c r="H12284" s="18"/>
      <c r="K12284" s="18" t="s">
        <v>316</v>
      </c>
    </row>
    <row r="12285">
      <c r="A12285" s="17"/>
      <c r="H12285" s="18"/>
      <c r="K12285" s="18" t="s">
        <v>316</v>
      </c>
    </row>
    <row r="12286">
      <c r="A12286" s="17"/>
      <c r="H12286" s="18"/>
      <c r="K12286" s="18" t="s">
        <v>316</v>
      </c>
    </row>
    <row r="12287">
      <c r="A12287" s="17"/>
      <c r="H12287" s="18"/>
      <c r="K12287" s="18" t="s">
        <v>316</v>
      </c>
    </row>
    <row r="12288">
      <c r="A12288" s="17"/>
      <c r="H12288" s="18"/>
      <c r="K12288" s="18" t="s">
        <v>316</v>
      </c>
    </row>
    <row r="12289">
      <c r="A12289" s="17"/>
      <c r="H12289" s="18"/>
      <c r="K12289" s="18" t="s">
        <v>316</v>
      </c>
    </row>
    <row r="12290">
      <c r="A12290" s="17"/>
      <c r="H12290" s="18"/>
      <c r="K12290" s="18" t="s">
        <v>316</v>
      </c>
    </row>
    <row r="12291">
      <c r="A12291" s="17"/>
      <c r="H12291" s="18"/>
      <c r="K12291" s="18" t="s">
        <v>316</v>
      </c>
    </row>
    <row r="12292">
      <c r="A12292" s="17"/>
      <c r="H12292" s="18"/>
      <c r="K12292" s="18" t="s">
        <v>316</v>
      </c>
    </row>
    <row r="12293">
      <c r="A12293" s="17"/>
      <c r="H12293" s="18"/>
      <c r="K12293" s="18" t="s">
        <v>316</v>
      </c>
    </row>
    <row r="12294">
      <c r="A12294" s="17"/>
      <c r="H12294" s="18"/>
      <c r="K12294" s="18" t="s">
        <v>316</v>
      </c>
    </row>
    <row r="12295">
      <c r="A12295" s="17"/>
      <c r="H12295" s="18"/>
      <c r="K12295" s="18" t="s">
        <v>316</v>
      </c>
    </row>
    <row r="12296">
      <c r="A12296" s="17"/>
      <c r="H12296" s="18"/>
      <c r="K12296" s="18" t="s">
        <v>316</v>
      </c>
    </row>
    <row r="12297">
      <c r="A12297" s="17"/>
      <c r="H12297" s="18"/>
      <c r="K12297" s="18" t="s">
        <v>316</v>
      </c>
    </row>
    <row r="12298">
      <c r="A12298" s="17"/>
      <c r="H12298" s="18"/>
      <c r="K12298" s="18" t="s">
        <v>316</v>
      </c>
    </row>
    <row r="12299">
      <c r="A12299" s="17"/>
      <c r="H12299" s="18"/>
      <c r="K12299" s="18" t="s">
        <v>316</v>
      </c>
    </row>
    <row r="12300">
      <c r="A12300" s="17"/>
      <c r="H12300" s="18"/>
      <c r="K12300" s="18" t="s">
        <v>316</v>
      </c>
    </row>
    <row r="12301">
      <c r="A12301" s="17"/>
      <c r="H12301" s="18"/>
      <c r="K12301" s="18" t="s">
        <v>316</v>
      </c>
    </row>
    <row r="12302">
      <c r="A12302" s="17"/>
      <c r="H12302" s="18"/>
      <c r="K12302" s="18" t="s">
        <v>316</v>
      </c>
    </row>
    <row r="12303">
      <c r="A12303" s="17"/>
      <c r="H12303" s="18"/>
      <c r="K12303" s="18" t="s">
        <v>316</v>
      </c>
    </row>
    <row r="12304">
      <c r="A12304" s="17"/>
      <c r="H12304" s="18"/>
      <c r="K12304" s="18" t="s">
        <v>316</v>
      </c>
    </row>
    <row r="12305">
      <c r="A12305" s="17"/>
      <c r="H12305" s="18"/>
      <c r="K12305" s="18" t="s">
        <v>316</v>
      </c>
    </row>
    <row r="12306">
      <c r="A12306" s="17"/>
      <c r="H12306" s="18"/>
      <c r="K12306" s="18" t="s">
        <v>316</v>
      </c>
    </row>
    <row r="12307">
      <c r="A12307" s="17"/>
      <c r="H12307" s="18"/>
      <c r="K12307" s="18" t="s">
        <v>316</v>
      </c>
    </row>
    <row r="12308">
      <c r="A12308" s="17"/>
      <c r="H12308" s="18"/>
      <c r="K12308" s="18" t="s">
        <v>316</v>
      </c>
    </row>
    <row r="12309">
      <c r="A12309" s="17"/>
      <c r="H12309" s="18"/>
      <c r="K12309" s="18" t="s">
        <v>316</v>
      </c>
    </row>
    <row r="12310">
      <c r="A12310" s="17"/>
      <c r="H12310" s="18"/>
      <c r="K12310" s="18" t="s">
        <v>316</v>
      </c>
    </row>
    <row r="12311">
      <c r="A12311" s="17"/>
      <c r="H12311" s="18"/>
      <c r="K12311" s="18" t="s">
        <v>316</v>
      </c>
    </row>
    <row r="12312">
      <c r="A12312" s="17"/>
      <c r="H12312" s="18"/>
      <c r="K12312" s="18" t="s">
        <v>316</v>
      </c>
    </row>
    <row r="12313">
      <c r="A12313" s="17"/>
      <c r="H12313" s="18"/>
      <c r="K12313" s="18" t="s">
        <v>316</v>
      </c>
    </row>
    <row r="12314">
      <c r="A12314" s="17"/>
      <c r="H12314" s="18"/>
      <c r="K12314" s="18" t="s">
        <v>316</v>
      </c>
    </row>
    <row r="12315">
      <c r="A12315" s="17"/>
      <c r="H12315" s="18"/>
      <c r="K12315" s="18" t="s">
        <v>316</v>
      </c>
    </row>
    <row r="12316">
      <c r="A12316" s="17"/>
      <c r="H12316" s="18"/>
      <c r="K12316" s="18" t="s">
        <v>316</v>
      </c>
    </row>
    <row r="12317">
      <c r="A12317" s="17"/>
      <c r="H12317" s="18"/>
      <c r="K12317" s="18" t="s">
        <v>316</v>
      </c>
    </row>
    <row r="12318">
      <c r="A12318" s="17"/>
      <c r="H12318" s="18"/>
      <c r="K12318" s="18" t="s">
        <v>316</v>
      </c>
    </row>
    <row r="12319">
      <c r="A12319" s="17"/>
      <c r="H12319" s="18"/>
      <c r="K12319" s="18" t="s">
        <v>316</v>
      </c>
    </row>
    <row r="12320">
      <c r="A12320" s="17"/>
      <c r="H12320" s="18"/>
      <c r="K12320" s="18" t="s">
        <v>316</v>
      </c>
    </row>
    <row r="12321">
      <c r="A12321" s="17"/>
      <c r="H12321" s="18"/>
      <c r="K12321" s="18" t="s">
        <v>316</v>
      </c>
    </row>
    <row r="12322">
      <c r="A12322" s="17"/>
      <c r="H12322" s="18"/>
      <c r="K12322" s="18" t="s">
        <v>316</v>
      </c>
    </row>
    <row r="12323">
      <c r="A12323" s="17"/>
      <c r="H12323" s="18"/>
      <c r="K12323" s="18" t="s">
        <v>316</v>
      </c>
    </row>
    <row r="12324">
      <c r="A12324" s="17"/>
      <c r="H12324" s="18"/>
      <c r="K12324" s="18" t="s">
        <v>316</v>
      </c>
    </row>
    <row r="12325">
      <c r="A12325" s="17"/>
      <c r="H12325" s="18"/>
      <c r="K12325" s="18" t="s">
        <v>316</v>
      </c>
    </row>
    <row r="12326">
      <c r="A12326" s="17"/>
      <c r="H12326" s="18"/>
      <c r="K12326" s="18" t="s">
        <v>316</v>
      </c>
    </row>
    <row r="12327">
      <c r="A12327" s="17"/>
      <c r="H12327" s="18"/>
      <c r="K12327" s="18" t="s">
        <v>316</v>
      </c>
    </row>
    <row r="12328">
      <c r="A12328" s="17"/>
      <c r="H12328" s="18"/>
      <c r="K12328" s="18" t="s">
        <v>316</v>
      </c>
    </row>
    <row r="12329">
      <c r="A12329" s="17"/>
      <c r="H12329" s="18"/>
      <c r="K12329" s="18" t="s">
        <v>316</v>
      </c>
    </row>
    <row r="12330">
      <c r="A12330" s="17"/>
      <c r="H12330" s="18"/>
      <c r="K12330" s="18" t="s">
        <v>316</v>
      </c>
    </row>
    <row r="12331">
      <c r="A12331" s="17"/>
      <c r="H12331" s="18"/>
      <c r="K12331" s="18" t="s">
        <v>316</v>
      </c>
    </row>
    <row r="12332">
      <c r="A12332" s="17"/>
      <c r="H12332" s="18"/>
      <c r="K12332" s="18" t="s">
        <v>316</v>
      </c>
    </row>
    <row r="12333">
      <c r="A12333" s="17"/>
      <c r="H12333" s="18"/>
      <c r="K12333" s="18" t="s">
        <v>316</v>
      </c>
    </row>
    <row r="12334">
      <c r="A12334" s="17"/>
      <c r="H12334" s="18"/>
      <c r="K12334" s="18" t="s">
        <v>316</v>
      </c>
    </row>
    <row r="12335">
      <c r="A12335" s="17"/>
      <c r="H12335" s="18"/>
      <c r="K12335" s="18" t="s">
        <v>316</v>
      </c>
    </row>
    <row r="12336">
      <c r="A12336" s="17"/>
      <c r="H12336" s="18"/>
      <c r="K12336" s="18" t="s">
        <v>316</v>
      </c>
    </row>
    <row r="12337">
      <c r="A12337" s="17"/>
      <c r="H12337" s="18"/>
      <c r="K12337" s="18" t="s">
        <v>316</v>
      </c>
    </row>
    <row r="12338">
      <c r="A12338" s="17"/>
      <c r="H12338" s="18"/>
      <c r="K12338" s="18" t="s">
        <v>316</v>
      </c>
    </row>
    <row r="12339">
      <c r="A12339" s="17"/>
      <c r="H12339" s="18"/>
      <c r="K12339" s="18" t="s">
        <v>316</v>
      </c>
    </row>
    <row r="12340">
      <c r="A12340" s="17"/>
      <c r="H12340" s="18"/>
      <c r="K12340" s="18" t="s">
        <v>316</v>
      </c>
    </row>
    <row r="12341">
      <c r="A12341" s="17"/>
      <c r="H12341" s="18"/>
      <c r="K12341" s="18" t="s">
        <v>316</v>
      </c>
    </row>
    <row r="12342">
      <c r="A12342" s="17"/>
      <c r="H12342" s="18"/>
      <c r="K12342" s="18" t="s">
        <v>316</v>
      </c>
    </row>
    <row r="12343">
      <c r="A12343" s="17"/>
      <c r="H12343" s="18"/>
      <c r="K12343" s="18" t="s">
        <v>316</v>
      </c>
    </row>
    <row r="12344">
      <c r="A12344" s="17"/>
      <c r="H12344" s="18"/>
      <c r="K12344" s="18" t="s">
        <v>316</v>
      </c>
    </row>
    <row r="12345">
      <c r="A12345" s="17"/>
      <c r="H12345" s="18"/>
      <c r="K12345" s="18" t="s">
        <v>316</v>
      </c>
    </row>
    <row r="12346">
      <c r="A12346" s="17"/>
      <c r="H12346" s="18"/>
      <c r="K12346" s="18" t="s">
        <v>316</v>
      </c>
    </row>
    <row r="12347">
      <c r="A12347" s="17"/>
      <c r="H12347" s="18"/>
      <c r="K12347" s="18" t="s">
        <v>316</v>
      </c>
    </row>
    <row r="12348">
      <c r="A12348" s="17"/>
      <c r="H12348" s="18"/>
      <c r="K12348" s="18" t="s">
        <v>316</v>
      </c>
    </row>
    <row r="12349">
      <c r="A12349" s="17"/>
      <c r="H12349" s="18"/>
      <c r="K12349" s="18" t="s">
        <v>316</v>
      </c>
    </row>
    <row r="12350">
      <c r="A12350" s="17"/>
      <c r="H12350" s="18"/>
      <c r="K12350" s="18" t="s">
        <v>316</v>
      </c>
    </row>
    <row r="12351">
      <c r="A12351" s="17"/>
      <c r="H12351" s="18"/>
      <c r="K12351" s="18" t="s">
        <v>316</v>
      </c>
    </row>
    <row r="12352">
      <c r="A12352" s="17"/>
      <c r="H12352" s="18"/>
      <c r="K12352" s="18" t="s">
        <v>316</v>
      </c>
    </row>
    <row r="12353">
      <c r="A12353" s="17"/>
      <c r="H12353" s="18"/>
      <c r="K12353" s="18" t="s">
        <v>316</v>
      </c>
    </row>
    <row r="12354">
      <c r="A12354" s="17"/>
      <c r="H12354" s="18"/>
      <c r="K12354" s="18" t="s">
        <v>316</v>
      </c>
    </row>
    <row r="12355">
      <c r="A12355" s="17"/>
      <c r="H12355" s="18"/>
      <c r="K12355" s="18" t="s">
        <v>316</v>
      </c>
    </row>
    <row r="12356">
      <c r="A12356" s="17"/>
      <c r="H12356" s="18"/>
      <c r="K12356" s="18" t="s">
        <v>316</v>
      </c>
    </row>
    <row r="12357">
      <c r="A12357" s="17"/>
      <c r="H12357" s="18"/>
      <c r="K12357" s="18" t="s">
        <v>316</v>
      </c>
    </row>
    <row r="12358">
      <c r="A12358" s="17"/>
      <c r="H12358" s="18"/>
      <c r="K12358" s="18" t="s">
        <v>316</v>
      </c>
    </row>
    <row r="12359">
      <c r="A12359" s="17"/>
      <c r="H12359" s="18"/>
      <c r="K12359" s="18" t="s">
        <v>316</v>
      </c>
    </row>
    <row r="12360">
      <c r="A12360" s="17"/>
      <c r="H12360" s="18"/>
      <c r="K12360" s="18" t="s">
        <v>316</v>
      </c>
    </row>
    <row r="12361">
      <c r="A12361" s="17"/>
      <c r="H12361" s="18"/>
      <c r="K12361" s="18" t="s">
        <v>316</v>
      </c>
    </row>
    <row r="12362">
      <c r="A12362" s="17"/>
      <c r="H12362" s="18"/>
      <c r="K12362" s="18" t="s">
        <v>316</v>
      </c>
    </row>
    <row r="12363">
      <c r="A12363" s="17"/>
      <c r="H12363" s="18"/>
      <c r="K12363" s="18" t="s">
        <v>316</v>
      </c>
    </row>
    <row r="12364">
      <c r="A12364" s="17"/>
      <c r="H12364" s="18"/>
      <c r="K12364" s="18" t="s">
        <v>316</v>
      </c>
    </row>
    <row r="12365">
      <c r="A12365" s="17"/>
      <c r="H12365" s="18"/>
      <c r="K12365" s="18" t="s">
        <v>316</v>
      </c>
    </row>
    <row r="12366">
      <c r="A12366" s="17"/>
      <c r="H12366" s="18"/>
      <c r="K12366" s="18" t="s">
        <v>316</v>
      </c>
    </row>
    <row r="12367">
      <c r="A12367" s="17"/>
      <c r="H12367" s="18"/>
      <c r="K12367" s="18" t="s">
        <v>316</v>
      </c>
    </row>
    <row r="12368">
      <c r="A12368" s="17"/>
      <c r="H12368" s="18"/>
      <c r="K12368" s="18" t="s">
        <v>316</v>
      </c>
    </row>
    <row r="12369">
      <c r="A12369" s="17"/>
      <c r="H12369" s="18"/>
      <c r="K12369" s="18" t="s">
        <v>316</v>
      </c>
    </row>
    <row r="12370">
      <c r="A12370" s="17"/>
      <c r="H12370" s="18"/>
      <c r="K12370" s="18" t="s">
        <v>316</v>
      </c>
    </row>
    <row r="12371">
      <c r="A12371" s="17"/>
      <c r="H12371" s="18"/>
      <c r="K12371" s="18" t="s">
        <v>316</v>
      </c>
    </row>
    <row r="12372">
      <c r="A12372" s="17"/>
      <c r="H12372" s="18"/>
      <c r="K12372" s="18" t="s">
        <v>316</v>
      </c>
    </row>
    <row r="12373">
      <c r="A12373" s="17"/>
      <c r="H12373" s="18"/>
      <c r="K12373" s="18" t="s">
        <v>316</v>
      </c>
    </row>
    <row r="12374">
      <c r="A12374" s="17"/>
      <c r="H12374" s="18"/>
      <c r="K12374" s="18" t="s">
        <v>316</v>
      </c>
    </row>
    <row r="12375">
      <c r="A12375" s="17"/>
      <c r="H12375" s="18"/>
      <c r="K12375" s="18" t="s">
        <v>316</v>
      </c>
    </row>
    <row r="12376">
      <c r="A12376" s="17"/>
      <c r="H12376" s="18"/>
      <c r="K12376" s="18" t="s">
        <v>316</v>
      </c>
    </row>
    <row r="12377">
      <c r="A12377" s="17"/>
      <c r="H12377" s="18"/>
      <c r="K12377" s="18" t="s">
        <v>316</v>
      </c>
    </row>
    <row r="12378">
      <c r="A12378" s="17"/>
      <c r="H12378" s="18"/>
      <c r="K12378" s="18" t="s">
        <v>316</v>
      </c>
    </row>
    <row r="12379">
      <c r="A12379" s="17"/>
      <c r="H12379" s="18"/>
      <c r="K12379" s="18" t="s">
        <v>316</v>
      </c>
    </row>
    <row r="12380">
      <c r="A12380" s="17"/>
      <c r="H12380" s="18"/>
      <c r="K12380" s="18" t="s">
        <v>316</v>
      </c>
    </row>
    <row r="12381">
      <c r="A12381" s="17"/>
      <c r="H12381" s="18"/>
      <c r="K12381" s="18" t="s">
        <v>316</v>
      </c>
    </row>
    <row r="12382">
      <c r="A12382" s="17"/>
      <c r="H12382" s="18"/>
      <c r="K12382" s="18" t="s">
        <v>316</v>
      </c>
    </row>
    <row r="12383">
      <c r="A12383" s="17"/>
      <c r="H12383" s="18"/>
      <c r="K12383" s="18" t="s">
        <v>316</v>
      </c>
    </row>
    <row r="12384">
      <c r="A12384" s="17"/>
      <c r="H12384" s="18"/>
      <c r="K12384" s="18" t="s">
        <v>316</v>
      </c>
    </row>
    <row r="12385">
      <c r="A12385" s="17"/>
      <c r="H12385" s="18"/>
      <c r="K12385" s="18" t="s">
        <v>316</v>
      </c>
    </row>
    <row r="12386">
      <c r="A12386" s="17"/>
      <c r="H12386" s="18"/>
      <c r="K12386" s="18" t="s">
        <v>316</v>
      </c>
    </row>
    <row r="12387">
      <c r="A12387" s="17"/>
      <c r="H12387" s="18"/>
      <c r="K12387" s="18" t="s">
        <v>316</v>
      </c>
    </row>
    <row r="12388">
      <c r="A12388" s="17"/>
      <c r="H12388" s="18"/>
      <c r="K12388" s="18" t="s">
        <v>316</v>
      </c>
    </row>
    <row r="12389">
      <c r="A12389" s="17"/>
      <c r="H12389" s="18"/>
      <c r="K12389" s="18" t="s">
        <v>316</v>
      </c>
    </row>
    <row r="12390">
      <c r="A12390" s="17"/>
      <c r="H12390" s="18"/>
      <c r="K12390" s="18" t="s">
        <v>316</v>
      </c>
    </row>
    <row r="12391">
      <c r="A12391" s="17"/>
      <c r="H12391" s="18"/>
      <c r="K12391" s="18" t="s">
        <v>316</v>
      </c>
    </row>
    <row r="12392">
      <c r="A12392" s="17"/>
      <c r="H12392" s="18"/>
      <c r="K12392" s="18" t="s">
        <v>316</v>
      </c>
    </row>
    <row r="12393">
      <c r="A12393" s="17"/>
      <c r="H12393" s="18"/>
      <c r="K12393" s="18" t="s">
        <v>316</v>
      </c>
    </row>
    <row r="12394">
      <c r="A12394" s="17"/>
      <c r="H12394" s="18"/>
      <c r="K12394" s="18" t="s">
        <v>316</v>
      </c>
    </row>
    <row r="12395">
      <c r="A12395" s="17"/>
      <c r="H12395" s="18"/>
      <c r="K12395" s="18" t="s">
        <v>316</v>
      </c>
    </row>
    <row r="12396">
      <c r="A12396" s="17"/>
      <c r="H12396" s="18"/>
      <c r="K12396" s="18" t="s">
        <v>316</v>
      </c>
    </row>
    <row r="12397">
      <c r="A12397" s="17"/>
      <c r="H12397" s="18"/>
      <c r="K12397" s="18" t="s">
        <v>316</v>
      </c>
    </row>
    <row r="12398">
      <c r="A12398" s="17"/>
      <c r="H12398" s="18"/>
      <c r="K12398" s="18" t="s">
        <v>316</v>
      </c>
    </row>
    <row r="12399">
      <c r="A12399" s="17"/>
      <c r="H12399" s="18"/>
      <c r="K12399" s="18" t="s">
        <v>316</v>
      </c>
    </row>
    <row r="12400">
      <c r="A12400" s="17"/>
      <c r="H12400" s="18"/>
      <c r="K12400" s="18" t="s">
        <v>316</v>
      </c>
    </row>
    <row r="12401">
      <c r="A12401" s="17"/>
      <c r="H12401" s="18"/>
      <c r="K12401" s="18" t="s">
        <v>316</v>
      </c>
    </row>
    <row r="12402">
      <c r="A12402" s="17"/>
      <c r="H12402" s="18"/>
      <c r="K12402" s="18" t="s">
        <v>316</v>
      </c>
    </row>
    <row r="12403">
      <c r="A12403" s="17"/>
      <c r="H12403" s="18"/>
      <c r="K12403" s="18" t="s">
        <v>316</v>
      </c>
    </row>
    <row r="12404">
      <c r="A12404" s="17"/>
      <c r="H12404" s="18"/>
      <c r="K12404" s="18" t="s">
        <v>316</v>
      </c>
    </row>
    <row r="12405">
      <c r="A12405" s="17"/>
      <c r="H12405" s="18"/>
      <c r="K12405" s="18" t="s">
        <v>316</v>
      </c>
    </row>
    <row r="12406">
      <c r="A12406" s="17"/>
      <c r="H12406" s="18"/>
      <c r="K12406" s="18" t="s">
        <v>316</v>
      </c>
    </row>
    <row r="12407">
      <c r="A12407" s="17"/>
      <c r="H12407" s="18"/>
      <c r="K12407" s="18" t="s">
        <v>316</v>
      </c>
    </row>
    <row r="12408">
      <c r="A12408" s="17"/>
      <c r="H12408" s="18"/>
      <c r="K12408" s="18" t="s">
        <v>316</v>
      </c>
    </row>
    <row r="12409">
      <c r="A12409" s="17"/>
      <c r="H12409" s="18"/>
      <c r="K12409" s="18" t="s">
        <v>316</v>
      </c>
    </row>
    <row r="12410">
      <c r="A12410" s="17"/>
      <c r="H12410" s="18"/>
      <c r="K12410" s="18" t="s">
        <v>316</v>
      </c>
    </row>
    <row r="12411">
      <c r="A12411" s="17"/>
      <c r="H12411" s="18"/>
      <c r="K12411" s="18" t="s">
        <v>316</v>
      </c>
    </row>
    <row r="12412">
      <c r="A12412" s="17"/>
      <c r="H12412" s="18"/>
      <c r="K12412" s="18" t="s">
        <v>316</v>
      </c>
    </row>
    <row r="12413">
      <c r="A12413" s="17"/>
      <c r="H12413" s="18"/>
      <c r="K12413" s="18" t="s">
        <v>316</v>
      </c>
    </row>
    <row r="12414">
      <c r="A12414" s="17"/>
      <c r="H12414" s="18"/>
      <c r="K12414" s="18" t="s">
        <v>316</v>
      </c>
    </row>
    <row r="12415">
      <c r="A12415" s="17"/>
      <c r="H12415" s="18"/>
      <c r="K12415" s="18" t="s">
        <v>316</v>
      </c>
    </row>
    <row r="12416">
      <c r="A12416" s="17"/>
      <c r="H12416" s="18"/>
      <c r="K12416" s="18" t="s">
        <v>316</v>
      </c>
    </row>
    <row r="12417">
      <c r="A12417" s="17"/>
      <c r="H12417" s="18"/>
      <c r="K12417" s="18" t="s">
        <v>316</v>
      </c>
    </row>
    <row r="12418">
      <c r="A12418" s="17"/>
      <c r="H12418" s="18"/>
      <c r="K12418" s="18" t="s">
        <v>316</v>
      </c>
    </row>
    <row r="12419">
      <c r="A12419" s="17"/>
      <c r="H12419" s="18"/>
      <c r="K12419" s="18" t="s">
        <v>316</v>
      </c>
    </row>
    <row r="12420">
      <c r="A12420" s="17"/>
      <c r="H12420" s="18"/>
      <c r="K12420" s="18" t="s">
        <v>316</v>
      </c>
    </row>
    <row r="12421">
      <c r="A12421" s="17"/>
      <c r="H12421" s="18"/>
      <c r="K12421" s="18" t="s">
        <v>316</v>
      </c>
    </row>
    <row r="12422">
      <c r="A12422" s="17"/>
      <c r="H12422" s="18"/>
      <c r="K12422" s="18" t="s">
        <v>316</v>
      </c>
    </row>
    <row r="12423">
      <c r="A12423" s="17"/>
      <c r="H12423" s="18"/>
      <c r="K12423" s="18" t="s">
        <v>316</v>
      </c>
    </row>
    <row r="12424">
      <c r="A12424" s="17"/>
      <c r="H12424" s="18"/>
      <c r="K12424" s="18" t="s">
        <v>316</v>
      </c>
    </row>
    <row r="12425">
      <c r="A12425" s="17"/>
      <c r="H12425" s="18"/>
      <c r="K12425" s="18" t="s">
        <v>316</v>
      </c>
    </row>
    <row r="12426">
      <c r="A12426" s="17"/>
      <c r="H12426" s="18"/>
      <c r="K12426" s="18" t="s">
        <v>316</v>
      </c>
    </row>
    <row r="12427">
      <c r="A12427" s="17"/>
      <c r="H12427" s="18"/>
      <c r="K12427" s="18" t="s">
        <v>316</v>
      </c>
    </row>
    <row r="12428">
      <c r="A12428" s="17"/>
      <c r="H12428" s="18"/>
      <c r="K12428" s="18" t="s">
        <v>316</v>
      </c>
    </row>
    <row r="12429">
      <c r="A12429" s="17"/>
      <c r="H12429" s="18"/>
      <c r="K12429" s="18" t="s">
        <v>316</v>
      </c>
    </row>
    <row r="12430">
      <c r="A12430" s="17"/>
      <c r="H12430" s="18"/>
      <c r="K12430" s="18" t="s">
        <v>316</v>
      </c>
    </row>
    <row r="12431">
      <c r="A12431" s="17"/>
      <c r="H12431" s="18"/>
      <c r="K12431" s="18" t="s">
        <v>316</v>
      </c>
    </row>
    <row r="12432">
      <c r="A12432" s="17"/>
      <c r="H12432" s="18"/>
      <c r="K12432" s="18" t="s">
        <v>316</v>
      </c>
    </row>
    <row r="12433">
      <c r="A12433" s="17"/>
      <c r="H12433" s="18"/>
      <c r="K12433" s="18" t="s">
        <v>316</v>
      </c>
    </row>
    <row r="12434">
      <c r="A12434" s="17"/>
      <c r="H12434" s="18"/>
      <c r="K12434" s="18" t="s">
        <v>316</v>
      </c>
    </row>
    <row r="12435">
      <c r="A12435" s="17"/>
      <c r="H12435" s="18"/>
      <c r="K12435" s="18" t="s">
        <v>316</v>
      </c>
    </row>
    <row r="12436">
      <c r="A12436" s="17"/>
      <c r="H12436" s="18"/>
      <c r="K12436" s="18" t="s">
        <v>316</v>
      </c>
    </row>
    <row r="12437">
      <c r="A12437" s="17"/>
      <c r="H12437" s="18"/>
      <c r="K12437" s="18" t="s">
        <v>316</v>
      </c>
    </row>
    <row r="12438">
      <c r="A12438" s="17"/>
      <c r="H12438" s="18"/>
      <c r="K12438" s="18" t="s">
        <v>316</v>
      </c>
    </row>
    <row r="12439">
      <c r="A12439" s="17"/>
      <c r="H12439" s="18"/>
      <c r="K12439" s="18" t="s">
        <v>316</v>
      </c>
    </row>
    <row r="12440">
      <c r="A12440" s="17"/>
      <c r="H12440" s="18"/>
      <c r="K12440" s="18" t="s">
        <v>316</v>
      </c>
    </row>
    <row r="12441">
      <c r="A12441" s="17"/>
      <c r="H12441" s="18"/>
      <c r="K12441" s="18" t="s">
        <v>316</v>
      </c>
    </row>
    <row r="12442">
      <c r="A12442" s="17"/>
      <c r="H12442" s="18"/>
      <c r="K12442" s="18" t="s">
        <v>316</v>
      </c>
    </row>
    <row r="12443">
      <c r="A12443" s="17"/>
      <c r="H12443" s="18"/>
      <c r="K12443" s="18" t="s">
        <v>316</v>
      </c>
    </row>
    <row r="12444">
      <c r="A12444" s="17"/>
      <c r="H12444" s="18"/>
      <c r="K12444" s="18" t="s">
        <v>316</v>
      </c>
    </row>
    <row r="12445">
      <c r="A12445" s="17"/>
      <c r="H12445" s="18"/>
      <c r="K12445" s="18" t="s">
        <v>316</v>
      </c>
    </row>
    <row r="12446">
      <c r="A12446" s="17"/>
      <c r="H12446" s="18"/>
      <c r="K12446" s="18" t="s">
        <v>316</v>
      </c>
    </row>
    <row r="12447">
      <c r="A12447" s="17"/>
      <c r="H12447" s="18"/>
      <c r="K12447" s="18" t="s">
        <v>316</v>
      </c>
    </row>
    <row r="12448">
      <c r="A12448" s="17"/>
      <c r="H12448" s="18"/>
      <c r="K12448" s="18" t="s">
        <v>316</v>
      </c>
    </row>
    <row r="12449">
      <c r="A12449" s="17"/>
      <c r="H12449" s="18"/>
      <c r="K12449" s="18" t="s">
        <v>316</v>
      </c>
    </row>
    <row r="12450">
      <c r="A12450" s="17"/>
      <c r="H12450" s="18"/>
      <c r="K12450" s="18" t="s">
        <v>316</v>
      </c>
    </row>
    <row r="12451">
      <c r="A12451" s="17"/>
      <c r="H12451" s="18"/>
      <c r="K12451" s="18" t="s">
        <v>316</v>
      </c>
    </row>
    <row r="12452">
      <c r="A12452" s="17"/>
      <c r="H12452" s="18"/>
      <c r="K12452" s="18" t="s">
        <v>316</v>
      </c>
    </row>
    <row r="12453">
      <c r="A12453" s="17"/>
      <c r="H12453" s="18"/>
      <c r="K12453" s="18" t="s">
        <v>316</v>
      </c>
    </row>
    <row r="12454">
      <c r="A12454" s="17"/>
      <c r="H12454" s="18"/>
      <c r="K12454" s="18" t="s">
        <v>316</v>
      </c>
    </row>
    <row r="12455">
      <c r="A12455" s="17"/>
      <c r="H12455" s="18"/>
      <c r="K12455" s="18" t="s">
        <v>316</v>
      </c>
    </row>
    <row r="12456">
      <c r="A12456" s="17"/>
      <c r="H12456" s="18"/>
      <c r="K12456" s="18" t="s">
        <v>316</v>
      </c>
    </row>
    <row r="12457">
      <c r="A12457" s="17"/>
      <c r="H12457" s="18"/>
      <c r="K12457" s="18" t="s">
        <v>316</v>
      </c>
    </row>
    <row r="12458">
      <c r="A12458" s="17"/>
      <c r="H12458" s="18"/>
      <c r="K12458" s="18" t="s">
        <v>316</v>
      </c>
    </row>
    <row r="12459">
      <c r="A12459" s="17"/>
      <c r="H12459" s="18"/>
      <c r="K12459" s="18" t="s">
        <v>316</v>
      </c>
    </row>
    <row r="12460">
      <c r="A12460" s="17"/>
      <c r="H12460" s="18"/>
      <c r="K12460" s="18" t="s">
        <v>316</v>
      </c>
    </row>
    <row r="12461">
      <c r="A12461" s="17"/>
      <c r="H12461" s="18"/>
      <c r="K12461" s="18" t="s">
        <v>316</v>
      </c>
    </row>
    <row r="12462">
      <c r="A12462" s="17"/>
      <c r="H12462" s="18"/>
      <c r="K12462" s="18" t="s">
        <v>316</v>
      </c>
    </row>
    <row r="12463">
      <c r="A12463" s="17"/>
      <c r="H12463" s="18"/>
      <c r="K12463" s="18" t="s">
        <v>316</v>
      </c>
    </row>
    <row r="12464">
      <c r="A12464" s="17"/>
      <c r="H12464" s="18"/>
      <c r="K12464" s="18" t="s">
        <v>316</v>
      </c>
    </row>
    <row r="12465">
      <c r="A12465" s="17"/>
      <c r="H12465" s="18"/>
      <c r="K12465" s="18" t="s">
        <v>316</v>
      </c>
    </row>
    <row r="12466">
      <c r="A12466" s="17"/>
      <c r="H12466" s="18"/>
      <c r="K12466" s="18" t="s">
        <v>316</v>
      </c>
    </row>
    <row r="12467">
      <c r="A12467" s="17"/>
      <c r="H12467" s="18"/>
      <c r="K12467" s="18" t="s">
        <v>316</v>
      </c>
    </row>
    <row r="12468">
      <c r="A12468" s="17"/>
      <c r="H12468" s="18"/>
      <c r="K12468" s="18" t="s">
        <v>316</v>
      </c>
    </row>
    <row r="12469">
      <c r="A12469" s="17"/>
      <c r="H12469" s="18"/>
      <c r="K12469" s="18" t="s">
        <v>316</v>
      </c>
    </row>
    <row r="12470">
      <c r="A12470" s="17"/>
      <c r="H12470" s="18"/>
      <c r="K12470" s="18" t="s">
        <v>316</v>
      </c>
    </row>
    <row r="12471">
      <c r="A12471" s="17"/>
      <c r="H12471" s="18"/>
      <c r="K12471" s="18" t="s">
        <v>316</v>
      </c>
    </row>
    <row r="12472">
      <c r="A12472" s="17"/>
      <c r="H12472" s="18"/>
      <c r="K12472" s="18" t="s">
        <v>316</v>
      </c>
    </row>
    <row r="12473">
      <c r="A12473" s="17"/>
      <c r="H12473" s="18"/>
      <c r="K12473" s="18" t="s">
        <v>316</v>
      </c>
    </row>
    <row r="12474">
      <c r="A12474" s="17"/>
      <c r="H12474" s="18"/>
      <c r="K12474" s="18" t="s">
        <v>316</v>
      </c>
    </row>
    <row r="12475">
      <c r="A12475" s="17"/>
      <c r="H12475" s="18"/>
      <c r="K12475" s="18" t="s">
        <v>316</v>
      </c>
    </row>
    <row r="12476">
      <c r="A12476" s="17"/>
      <c r="H12476" s="18"/>
      <c r="K12476" s="18" t="s">
        <v>316</v>
      </c>
    </row>
    <row r="12477">
      <c r="A12477" s="17"/>
      <c r="H12477" s="18"/>
      <c r="K12477" s="18" t="s">
        <v>316</v>
      </c>
    </row>
    <row r="12478">
      <c r="A12478" s="17"/>
      <c r="H12478" s="18"/>
      <c r="K12478" s="18" t="s">
        <v>316</v>
      </c>
    </row>
    <row r="12479">
      <c r="A12479" s="17"/>
      <c r="H12479" s="18"/>
      <c r="K12479" s="18" t="s">
        <v>316</v>
      </c>
    </row>
    <row r="12480">
      <c r="A12480" s="17"/>
      <c r="H12480" s="18"/>
      <c r="K12480" s="18" t="s">
        <v>316</v>
      </c>
    </row>
    <row r="12481">
      <c r="A12481" s="17"/>
      <c r="H12481" s="18"/>
      <c r="K12481" s="18" t="s">
        <v>316</v>
      </c>
    </row>
    <row r="12482">
      <c r="A12482" s="17"/>
      <c r="H12482" s="18"/>
      <c r="K12482" s="18" t="s">
        <v>316</v>
      </c>
    </row>
    <row r="12483">
      <c r="A12483" s="17"/>
      <c r="H12483" s="18"/>
      <c r="K12483" s="18" t="s">
        <v>316</v>
      </c>
    </row>
    <row r="12484">
      <c r="A12484" s="17"/>
      <c r="H12484" s="18"/>
      <c r="K12484" s="18" t="s">
        <v>316</v>
      </c>
    </row>
    <row r="12485">
      <c r="A12485" s="17"/>
      <c r="H12485" s="18"/>
      <c r="K12485" s="18" t="s">
        <v>316</v>
      </c>
    </row>
    <row r="12486">
      <c r="A12486" s="17"/>
      <c r="H12486" s="18"/>
      <c r="K12486" s="18" t="s">
        <v>316</v>
      </c>
    </row>
    <row r="12487">
      <c r="A12487" s="17"/>
      <c r="H12487" s="18"/>
      <c r="K12487" s="18" t="s">
        <v>316</v>
      </c>
    </row>
    <row r="12488">
      <c r="A12488" s="17"/>
      <c r="H12488" s="18"/>
      <c r="K12488" s="18" t="s">
        <v>316</v>
      </c>
    </row>
    <row r="12489">
      <c r="A12489" s="17"/>
      <c r="H12489" s="18"/>
      <c r="K12489" s="18" t="s">
        <v>316</v>
      </c>
    </row>
    <row r="12490">
      <c r="A12490" s="17"/>
      <c r="H12490" s="18"/>
      <c r="K12490" s="18" t="s">
        <v>316</v>
      </c>
    </row>
    <row r="12491">
      <c r="A12491" s="17"/>
      <c r="H12491" s="18"/>
      <c r="K12491" s="18" t="s">
        <v>316</v>
      </c>
    </row>
    <row r="12492">
      <c r="A12492" s="17"/>
      <c r="H12492" s="18"/>
      <c r="K12492" s="18" t="s">
        <v>316</v>
      </c>
    </row>
    <row r="12493">
      <c r="A12493" s="17"/>
      <c r="H12493" s="18"/>
      <c r="K12493" s="18" t="s">
        <v>316</v>
      </c>
    </row>
    <row r="12494">
      <c r="A12494" s="17"/>
      <c r="H12494" s="18"/>
      <c r="K12494" s="18" t="s">
        <v>316</v>
      </c>
    </row>
    <row r="12495">
      <c r="A12495" s="17"/>
      <c r="H12495" s="18"/>
      <c r="K12495" s="18" t="s">
        <v>316</v>
      </c>
    </row>
    <row r="12496">
      <c r="A12496" s="17"/>
      <c r="H12496" s="18"/>
      <c r="K12496" s="18" t="s">
        <v>316</v>
      </c>
    </row>
    <row r="12497">
      <c r="A12497" s="17"/>
      <c r="H12497" s="18"/>
      <c r="K12497" s="18" t="s">
        <v>316</v>
      </c>
    </row>
    <row r="12498">
      <c r="A12498" s="17"/>
      <c r="H12498" s="18"/>
      <c r="K12498" s="18" t="s">
        <v>316</v>
      </c>
    </row>
    <row r="12499">
      <c r="A12499" s="17"/>
      <c r="H12499" s="18"/>
      <c r="K12499" s="18" t="s">
        <v>316</v>
      </c>
    </row>
    <row r="12500">
      <c r="A12500" s="17"/>
      <c r="H12500" s="18"/>
      <c r="K12500" s="18" t="s">
        <v>316</v>
      </c>
    </row>
    <row r="12501">
      <c r="A12501" s="17"/>
      <c r="H12501" s="18"/>
      <c r="K12501" s="18" t="s">
        <v>316</v>
      </c>
    </row>
    <row r="12502">
      <c r="A12502" s="17"/>
      <c r="H12502" s="18"/>
      <c r="K12502" s="18" t="s">
        <v>316</v>
      </c>
    </row>
    <row r="12503">
      <c r="A12503" s="17"/>
      <c r="H12503" s="18"/>
      <c r="K12503" s="18" t="s">
        <v>316</v>
      </c>
    </row>
    <row r="12504">
      <c r="A12504" s="17"/>
      <c r="H12504" s="18"/>
      <c r="K12504" s="18" t="s">
        <v>316</v>
      </c>
    </row>
    <row r="12505">
      <c r="A12505" s="17"/>
      <c r="H12505" s="18"/>
      <c r="K12505" s="18" t="s">
        <v>316</v>
      </c>
    </row>
    <row r="12506">
      <c r="A12506" s="17"/>
      <c r="H12506" s="18"/>
      <c r="K12506" s="18" t="s">
        <v>316</v>
      </c>
    </row>
    <row r="12507">
      <c r="A12507" s="17"/>
      <c r="H12507" s="18"/>
      <c r="K12507" s="18" t="s">
        <v>316</v>
      </c>
    </row>
    <row r="12508">
      <c r="A12508" s="17"/>
      <c r="H12508" s="18"/>
      <c r="K12508" s="18" t="s">
        <v>316</v>
      </c>
    </row>
    <row r="12509">
      <c r="A12509" s="17"/>
      <c r="H12509" s="18"/>
      <c r="K12509" s="18" t="s">
        <v>316</v>
      </c>
    </row>
    <row r="12510">
      <c r="A12510" s="17"/>
      <c r="H12510" s="18"/>
      <c r="K12510" s="18" t="s">
        <v>316</v>
      </c>
    </row>
    <row r="12511">
      <c r="A12511" s="17"/>
      <c r="H12511" s="18"/>
      <c r="K12511" s="18" t="s">
        <v>316</v>
      </c>
    </row>
    <row r="12512">
      <c r="A12512" s="17"/>
      <c r="H12512" s="18"/>
      <c r="K12512" s="18" t="s">
        <v>316</v>
      </c>
    </row>
    <row r="12513">
      <c r="A12513" s="17"/>
      <c r="H12513" s="18"/>
      <c r="K12513" s="18" t="s">
        <v>316</v>
      </c>
    </row>
    <row r="12514">
      <c r="A12514" s="17"/>
      <c r="H12514" s="18"/>
      <c r="K12514" s="18" t="s">
        <v>316</v>
      </c>
    </row>
    <row r="12515">
      <c r="A12515" s="17"/>
      <c r="H12515" s="18"/>
      <c r="K12515" s="18" t="s">
        <v>316</v>
      </c>
    </row>
    <row r="12516">
      <c r="A12516" s="17"/>
      <c r="H12516" s="18"/>
      <c r="K12516" s="18" t="s">
        <v>316</v>
      </c>
    </row>
    <row r="12517">
      <c r="A12517" s="17"/>
      <c r="H12517" s="18"/>
      <c r="K12517" s="18" t="s">
        <v>316</v>
      </c>
    </row>
    <row r="12518">
      <c r="A12518" s="17"/>
      <c r="H12518" s="18"/>
      <c r="K12518" s="18" t="s">
        <v>316</v>
      </c>
    </row>
    <row r="12519">
      <c r="A12519" s="17"/>
      <c r="H12519" s="18"/>
      <c r="K12519" s="18" t="s">
        <v>316</v>
      </c>
    </row>
    <row r="12520">
      <c r="A12520" s="17"/>
      <c r="H12520" s="18"/>
      <c r="K12520" s="18" t="s">
        <v>316</v>
      </c>
    </row>
    <row r="12521">
      <c r="A12521" s="17"/>
      <c r="H12521" s="18"/>
      <c r="K12521" s="18" t="s">
        <v>316</v>
      </c>
    </row>
    <row r="12522">
      <c r="A12522" s="17"/>
      <c r="H12522" s="18"/>
      <c r="K12522" s="18" t="s">
        <v>316</v>
      </c>
    </row>
    <row r="12523">
      <c r="A12523" s="17"/>
      <c r="H12523" s="18"/>
      <c r="K12523" s="18" t="s">
        <v>316</v>
      </c>
    </row>
    <row r="12524">
      <c r="A12524" s="17"/>
      <c r="H12524" s="18"/>
      <c r="K12524" s="18" t="s">
        <v>316</v>
      </c>
    </row>
    <row r="12525">
      <c r="A12525" s="17"/>
      <c r="H12525" s="18"/>
      <c r="K12525" s="18" t="s">
        <v>316</v>
      </c>
    </row>
    <row r="12526">
      <c r="A12526" s="17"/>
      <c r="H12526" s="18"/>
      <c r="K12526" s="18" t="s">
        <v>316</v>
      </c>
    </row>
    <row r="12527">
      <c r="A12527" s="17"/>
      <c r="H12527" s="18"/>
      <c r="K12527" s="18" t="s">
        <v>316</v>
      </c>
    </row>
    <row r="12528">
      <c r="A12528" s="17"/>
      <c r="H12528" s="18"/>
      <c r="K12528" s="18" t="s">
        <v>316</v>
      </c>
    </row>
    <row r="12529">
      <c r="A12529" s="17"/>
      <c r="H12529" s="18"/>
      <c r="K12529" s="18" t="s">
        <v>316</v>
      </c>
    </row>
    <row r="12530">
      <c r="A12530" s="17"/>
      <c r="H12530" s="18"/>
      <c r="K12530" s="18" t="s">
        <v>316</v>
      </c>
    </row>
    <row r="12531">
      <c r="A12531" s="17"/>
      <c r="H12531" s="18"/>
      <c r="K12531" s="18" t="s">
        <v>316</v>
      </c>
    </row>
    <row r="12532">
      <c r="A12532" s="17"/>
      <c r="H12532" s="18"/>
      <c r="K12532" s="18" t="s">
        <v>316</v>
      </c>
    </row>
    <row r="12533">
      <c r="A12533" s="17"/>
      <c r="H12533" s="18"/>
      <c r="K12533" s="18" t="s">
        <v>316</v>
      </c>
    </row>
    <row r="12534">
      <c r="A12534" s="17"/>
      <c r="H12534" s="18"/>
      <c r="K12534" s="18" t="s">
        <v>316</v>
      </c>
    </row>
    <row r="12535">
      <c r="A12535" s="17"/>
      <c r="H12535" s="18"/>
      <c r="K12535" s="18" t="s">
        <v>316</v>
      </c>
    </row>
    <row r="12536">
      <c r="A12536" s="17"/>
      <c r="H12536" s="18"/>
      <c r="K12536" s="18" t="s">
        <v>316</v>
      </c>
    </row>
    <row r="12537">
      <c r="A12537" s="17"/>
      <c r="H12537" s="18"/>
      <c r="K12537" s="18" t="s">
        <v>316</v>
      </c>
    </row>
    <row r="12538">
      <c r="A12538" s="17"/>
      <c r="H12538" s="18"/>
      <c r="K12538" s="18" t="s">
        <v>316</v>
      </c>
    </row>
    <row r="12539">
      <c r="A12539" s="17"/>
      <c r="H12539" s="18"/>
      <c r="K12539" s="18" t="s">
        <v>316</v>
      </c>
    </row>
    <row r="12540">
      <c r="A12540" s="17"/>
      <c r="H12540" s="18"/>
      <c r="K12540" s="18" t="s">
        <v>316</v>
      </c>
    </row>
    <row r="12541">
      <c r="A12541" s="17"/>
      <c r="H12541" s="18"/>
      <c r="K12541" s="18" t="s">
        <v>316</v>
      </c>
    </row>
    <row r="12542">
      <c r="A12542" s="17"/>
      <c r="H12542" s="18"/>
      <c r="K12542" s="18" t="s">
        <v>316</v>
      </c>
    </row>
    <row r="12543">
      <c r="A12543" s="17"/>
      <c r="H12543" s="18"/>
      <c r="K12543" s="18" t="s">
        <v>316</v>
      </c>
    </row>
    <row r="12544">
      <c r="A12544" s="17"/>
      <c r="H12544" s="18"/>
      <c r="K12544" s="18" t="s">
        <v>316</v>
      </c>
    </row>
    <row r="12545">
      <c r="A12545" s="17"/>
      <c r="H12545" s="18"/>
      <c r="K12545" s="18" t="s">
        <v>316</v>
      </c>
    </row>
    <row r="12546">
      <c r="A12546" s="17"/>
      <c r="H12546" s="18"/>
      <c r="K12546" s="18" t="s">
        <v>316</v>
      </c>
    </row>
    <row r="12547">
      <c r="A12547" s="17"/>
      <c r="H12547" s="18"/>
      <c r="K12547" s="18" t="s">
        <v>316</v>
      </c>
    </row>
    <row r="12548">
      <c r="A12548" s="17"/>
      <c r="H12548" s="18"/>
      <c r="K12548" s="18" t="s">
        <v>316</v>
      </c>
    </row>
    <row r="12549">
      <c r="A12549" s="17"/>
      <c r="H12549" s="18"/>
      <c r="K12549" s="18" t="s">
        <v>316</v>
      </c>
    </row>
    <row r="12550">
      <c r="A12550" s="17"/>
      <c r="H12550" s="18"/>
      <c r="K12550" s="18" t="s">
        <v>316</v>
      </c>
    </row>
    <row r="12551">
      <c r="A12551" s="17"/>
      <c r="H12551" s="18"/>
      <c r="K12551" s="18" t="s">
        <v>316</v>
      </c>
    </row>
    <row r="12552">
      <c r="A12552" s="17"/>
      <c r="H12552" s="18"/>
      <c r="K12552" s="18" t="s">
        <v>316</v>
      </c>
    </row>
    <row r="12553">
      <c r="A12553" s="17"/>
      <c r="H12553" s="18"/>
      <c r="K12553" s="18" t="s">
        <v>316</v>
      </c>
    </row>
    <row r="12554">
      <c r="A12554" s="17"/>
      <c r="H12554" s="18"/>
      <c r="K12554" s="18" t="s">
        <v>316</v>
      </c>
    </row>
    <row r="12555">
      <c r="A12555" s="17"/>
      <c r="H12555" s="18"/>
      <c r="K12555" s="18" t="s">
        <v>316</v>
      </c>
    </row>
    <row r="12556">
      <c r="A12556" s="17"/>
      <c r="H12556" s="18"/>
      <c r="K12556" s="18" t="s">
        <v>316</v>
      </c>
    </row>
    <row r="12557">
      <c r="A12557" s="17"/>
      <c r="H12557" s="18"/>
      <c r="K12557" s="18" t="s">
        <v>316</v>
      </c>
    </row>
    <row r="12558">
      <c r="A12558" s="17"/>
      <c r="H12558" s="18"/>
      <c r="K12558" s="18" t="s">
        <v>316</v>
      </c>
    </row>
    <row r="12559">
      <c r="A12559" s="17"/>
      <c r="H12559" s="18"/>
      <c r="K12559" s="18" t="s">
        <v>316</v>
      </c>
    </row>
    <row r="12560">
      <c r="A12560" s="17"/>
      <c r="H12560" s="18"/>
      <c r="K12560" s="18" t="s">
        <v>316</v>
      </c>
    </row>
    <row r="12561">
      <c r="A12561" s="17"/>
      <c r="H12561" s="18"/>
      <c r="K12561" s="18" t="s">
        <v>316</v>
      </c>
    </row>
    <row r="12562">
      <c r="A12562" s="17"/>
      <c r="H12562" s="18"/>
      <c r="K12562" s="18" t="s">
        <v>316</v>
      </c>
    </row>
    <row r="12563">
      <c r="A12563" s="17"/>
      <c r="H12563" s="18"/>
      <c r="K12563" s="18" t="s">
        <v>316</v>
      </c>
    </row>
    <row r="12564">
      <c r="A12564" s="17"/>
      <c r="H12564" s="18"/>
      <c r="K12564" s="18" t="s">
        <v>316</v>
      </c>
    </row>
    <row r="12565">
      <c r="A12565" s="17"/>
      <c r="H12565" s="18"/>
      <c r="K12565" s="18" t="s">
        <v>316</v>
      </c>
    </row>
    <row r="12566">
      <c r="A12566" s="17"/>
      <c r="H12566" s="18"/>
      <c r="K12566" s="18" t="s">
        <v>316</v>
      </c>
    </row>
    <row r="12567">
      <c r="A12567" s="17"/>
      <c r="H12567" s="18"/>
      <c r="K12567" s="18" t="s">
        <v>316</v>
      </c>
    </row>
    <row r="12568">
      <c r="A12568" s="17"/>
      <c r="H12568" s="18"/>
      <c r="K12568" s="18" t="s">
        <v>316</v>
      </c>
    </row>
    <row r="12569">
      <c r="A12569" s="17"/>
      <c r="H12569" s="18"/>
      <c r="K12569" s="18" t="s">
        <v>316</v>
      </c>
    </row>
    <row r="12570">
      <c r="A12570" s="17"/>
      <c r="H12570" s="18"/>
      <c r="K12570" s="18" t="s">
        <v>316</v>
      </c>
    </row>
    <row r="12571">
      <c r="A12571" s="17"/>
      <c r="H12571" s="18"/>
      <c r="K12571" s="18" t="s">
        <v>316</v>
      </c>
    </row>
    <row r="12572">
      <c r="A12572" s="17"/>
      <c r="H12572" s="18"/>
      <c r="K12572" s="18" t="s">
        <v>316</v>
      </c>
    </row>
    <row r="12573">
      <c r="A12573" s="17"/>
      <c r="H12573" s="18"/>
      <c r="K12573" s="18" t="s">
        <v>316</v>
      </c>
    </row>
    <row r="12574">
      <c r="A12574" s="17"/>
      <c r="H12574" s="18"/>
      <c r="K12574" s="18" t="s">
        <v>316</v>
      </c>
    </row>
    <row r="12575">
      <c r="A12575" s="17"/>
      <c r="H12575" s="18"/>
      <c r="K12575" s="18" t="s">
        <v>316</v>
      </c>
    </row>
    <row r="12576">
      <c r="A12576" s="17"/>
      <c r="H12576" s="18"/>
      <c r="K12576" s="18" t="s">
        <v>316</v>
      </c>
    </row>
    <row r="12577">
      <c r="A12577" s="17"/>
      <c r="H12577" s="18"/>
      <c r="K12577" s="18" t="s">
        <v>316</v>
      </c>
    </row>
    <row r="12578">
      <c r="A12578" s="17"/>
      <c r="H12578" s="18"/>
      <c r="K12578" s="18" t="s">
        <v>316</v>
      </c>
    </row>
    <row r="12579">
      <c r="A12579" s="17"/>
      <c r="H12579" s="18"/>
      <c r="K12579" s="18" t="s">
        <v>316</v>
      </c>
    </row>
    <row r="12580">
      <c r="A12580" s="17"/>
      <c r="H12580" s="18"/>
      <c r="K12580" s="18" t="s">
        <v>316</v>
      </c>
    </row>
    <row r="12581">
      <c r="A12581" s="17"/>
      <c r="H12581" s="18"/>
      <c r="K12581" s="18" t="s">
        <v>316</v>
      </c>
    </row>
    <row r="12582">
      <c r="A12582" s="17"/>
      <c r="H12582" s="18"/>
      <c r="K12582" s="18" t="s">
        <v>316</v>
      </c>
    </row>
    <row r="12583">
      <c r="A12583" s="17"/>
      <c r="H12583" s="18"/>
      <c r="K12583" s="18" t="s">
        <v>316</v>
      </c>
    </row>
    <row r="12584">
      <c r="A12584" s="17"/>
      <c r="H12584" s="18"/>
      <c r="K12584" s="18" t="s">
        <v>316</v>
      </c>
    </row>
    <row r="12585">
      <c r="A12585" s="17"/>
      <c r="H12585" s="18"/>
      <c r="K12585" s="18" t="s">
        <v>316</v>
      </c>
    </row>
    <row r="12586">
      <c r="A12586" s="17"/>
      <c r="H12586" s="18"/>
      <c r="K12586" s="18" t="s">
        <v>316</v>
      </c>
    </row>
    <row r="12587">
      <c r="A12587" s="17"/>
      <c r="H12587" s="18"/>
      <c r="K12587" s="18" t="s">
        <v>316</v>
      </c>
    </row>
    <row r="12588">
      <c r="A12588" s="17"/>
      <c r="H12588" s="18"/>
      <c r="K12588" s="18" t="s">
        <v>316</v>
      </c>
    </row>
    <row r="12589">
      <c r="A12589" s="17"/>
      <c r="H12589" s="18"/>
      <c r="K12589" s="18" t="s">
        <v>316</v>
      </c>
    </row>
    <row r="12590">
      <c r="A12590" s="17"/>
      <c r="H12590" s="18"/>
      <c r="K12590" s="18" t="s">
        <v>316</v>
      </c>
    </row>
    <row r="12591">
      <c r="A12591" s="17"/>
      <c r="H12591" s="18"/>
      <c r="K12591" s="18" t="s">
        <v>316</v>
      </c>
    </row>
    <row r="12592">
      <c r="A12592" s="17"/>
      <c r="H12592" s="18"/>
      <c r="K12592" s="18" t="s">
        <v>316</v>
      </c>
    </row>
    <row r="12593">
      <c r="A12593" s="17"/>
      <c r="H12593" s="18"/>
      <c r="K12593" s="18" t="s">
        <v>316</v>
      </c>
    </row>
    <row r="12594">
      <c r="A12594" s="17"/>
      <c r="H12594" s="18"/>
      <c r="K12594" s="18" t="s">
        <v>316</v>
      </c>
    </row>
    <row r="12595">
      <c r="A12595" s="17"/>
      <c r="H12595" s="18"/>
      <c r="K12595" s="18" t="s">
        <v>316</v>
      </c>
    </row>
    <row r="12596">
      <c r="A12596" s="17"/>
      <c r="H12596" s="18"/>
      <c r="K12596" s="18" t="s">
        <v>316</v>
      </c>
    </row>
    <row r="12597">
      <c r="A12597" s="17"/>
      <c r="H12597" s="18"/>
      <c r="K12597" s="18" t="s">
        <v>316</v>
      </c>
    </row>
    <row r="12598">
      <c r="A12598" s="17"/>
      <c r="H12598" s="18"/>
      <c r="K12598" s="18" t="s">
        <v>316</v>
      </c>
    </row>
    <row r="12599">
      <c r="A12599" s="17"/>
      <c r="H12599" s="18"/>
      <c r="K12599" s="18" t="s">
        <v>316</v>
      </c>
    </row>
    <row r="12600">
      <c r="A12600" s="17"/>
      <c r="H12600" s="18"/>
      <c r="K12600" s="18" t="s">
        <v>316</v>
      </c>
    </row>
    <row r="12601">
      <c r="A12601" s="17"/>
      <c r="H12601" s="18"/>
      <c r="K12601" s="18" t="s">
        <v>316</v>
      </c>
    </row>
    <row r="12602">
      <c r="A12602" s="17"/>
      <c r="H12602" s="18"/>
      <c r="K12602" s="18" t="s">
        <v>316</v>
      </c>
    </row>
    <row r="12603">
      <c r="A12603" s="17"/>
      <c r="H12603" s="18"/>
      <c r="K12603" s="18" t="s">
        <v>316</v>
      </c>
    </row>
    <row r="12604">
      <c r="A12604" s="17"/>
      <c r="H12604" s="18"/>
      <c r="K12604" s="18" t="s">
        <v>316</v>
      </c>
    </row>
    <row r="12605">
      <c r="A12605" s="17"/>
      <c r="H12605" s="18"/>
      <c r="K12605" s="18" t="s">
        <v>316</v>
      </c>
    </row>
    <row r="12606">
      <c r="A12606" s="17"/>
      <c r="H12606" s="18"/>
      <c r="K12606" s="18" t="s">
        <v>316</v>
      </c>
    </row>
    <row r="12607">
      <c r="A12607" s="17"/>
      <c r="H12607" s="18"/>
      <c r="K12607" s="18" t="s">
        <v>316</v>
      </c>
    </row>
    <row r="12608">
      <c r="A12608" s="17"/>
      <c r="H12608" s="18"/>
      <c r="K12608" s="18" t="s">
        <v>316</v>
      </c>
    </row>
    <row r="12609">
      <c r="A12609" s="17"/>
      <c r="H12609" s="18"/>
      <c r="K12609" s="18" t="s">
        <v>316</v>
      </c>
    </row>
    <row r="12610">
      <c r="A12610" s="17"/>
      <c r="H12610" s="18"/>
      <c r="K12610" s="18" t="s">
        <v>316</v>
      </c>
    </row>
    <row r="12611">
      <c r="A12611" s="17"/>
      <c r="H12611" s="18"/>
      <c r="K12611" s="18" t="s">
        <v>316</v>
      </c>
    </row>
    <row r="12612">
      <c r="A12612" s="17"/>
      <c r="H12612" s="18"/>
      <c r="K12612" s="18" t="s">
        <v>316</v>
      </c>
    </row>
    <row r="12613">
      <c r="A12613" s="17"/>
      <c r="H12613" s="18"/>
      <c r="K12613" s="18" t="s">
        <v>316</v>
      </c>
    </row>
    <row r="12614">
      <c r="A12614" s="17"/>
      <c r="H12614" s="18"/>
      <c r="K12614" s="18" t="s">
        <v>316</v>
      </c>
    </row>
    <row r="12615">
      <c r="A12615" s="17"/>
      <c r="H12615" s="18"/>
      <c r="K12615" s="18" t="s">
        <v>316</v>
      </c>
    </row>
    <row r="12616">
      <c r="A12616" s="17"/>
      <c r="H12616" s="18"/>
      <c r="K12616" s="18" t="s">
        <v>316</v>
      </c>
    </row>
    <row r="12617">
      <c r="A12617" s="17"/>
      <c r="H12617" s="18"/>
      <c r="K12617" s="18" t="s">
        <v>316</v>
      </c>
    </row>
    <row r="12618">
      <c r="A12618" s="17"/>
      <c r="H12618" s="18"/>
      <c r="K12618" s="18" t="s">
        <v>316</v>
      </c>
    </row>
    <row r="12619">
      <c r="A12619" s="17"/>
      <c r="H12619" s="18"/>
      <c r="K12619" s="18" t="s">
        <v>316</v>
      </c>
    </row>
    <row r="12620">
      <c r="A12620" s="17"/>
      <c r="H12620" s="18"/>
      <c r="K12620" s="18" t="s">
        <v>316</v>
      </c>
    </row>
    <row r="12621">
      <c r="A12621" s="17"/>
      <c r="H12621" s="18"/>
      <c r="K12621" s="18" t="s">
        <v>316</v>
      </c>
    </row>
    <row r="12622">
      <c r="A12622" s="17"/>
      <c r="H12622" s="18"/>
      <c r="K12622" s="18" t="s">
        <v>316</v>
      </c>
    </row>
    <row r="12623">
      <c r="A12623" s="17"/>
      <c r="H12623" s="18"/>
      <c r="K12623" s="18" t="s">
        <v>316</v>
      </c>
    </row>
    <row r="12624">
      <c r="A12624" s="17"/>
      <c r="H12624" s="18"/>
      <c r="K12624" s="18" t="s">
        <v>316</v>
      </c>
    </row>
    <row r="12625">
      <c r="A12625" s="17"/>
      <c r="H12625" s="18"/>
      <c r="K12625" s="18" t="s">
        <v>316</v>
      </c>
    </row>
    <row r="12626">
      <c r="A12626" s="17"/>
      <c r="H12626" s="18"/>
      <c r="K12626" s="18" t="s">
        <v>316</v>
      </c>
    </row>
    <row r="12627">
      <c r="A12627" s="17"/>
      <c r="H12627" s="18"/>
      <c r="K12627" s="18" t="s">
        <v>316</v>
      </c>
    </row>
    <row r="12628">
      <c r="A12628" s="17"/>
      <c r="H12628" s="18"/>
      <c r="K12628" s="18" t="s">
        <v>316</v>
      </c>
    </row>
    <row r="12629">
      <c r="A12629" s="17"/>
      <c r="H12629" s="18"/>
      <c r="K12629" s="18" t="s">
        <v>316</v>
      </c>
    </row>
    <row r="12630">
      <c r="A12630" s="17"/>
      <c r="H12630" s="18"/>
      <c r="K12630" s="18" t="s">
        <v>316</v>
      </c>
    </row>
    <row r="12631">
      <c r="A12631" s="17"/>
      <c r="H12631" s="18"/>
      <c r="K12631" s="18" t="s">
        <v>316</v>
      </c>
    </row>
    <row r="12632">
      <c r="A12632" s="17"/>
      <c r="H12632" s="18"/>
      <c r="K12632" s="18" t="s">
        <v>316</v>
      </c>
    </row>
    <row r="12633">
      <c r="A12633" s="17"/>
      <c r="H12633" s="18"/>
      <c r="K12633" s="18" t="s">
        <v>316</v>
      </c>
    </row>
    <row r="12634">
      <c r="A12634" s="17"/>
      <c r="H12634" s="18"/>
      <c r="K12634" s="18" t="s">
        <v>316</v>
      </c>
    </row>
    <row r="12635">
      <c r="A12635" s="17"/>
      <c r="H12635" s="18"/>
      <c r="K12635" s="18" t="s">
        <v>316</v>
      </c>
    </row>
    <row r="12636">
      <c r="A12636" s="17"/>
      <c r="H12636" s="18"/>
      <c r="K12636" s="18" t="s">
        <v>316</v>
      </c>
    </row>
    <row r="12637">
      <c r="A12637" s="17"/>
      <c r="H12637" s="18"/>
      <c r="K12637" s="18" t="s">
        <v>316</v>
      </c>
    </row>
    <row r="12638">
      <c r="A12638" s="17"/>
      <c r="H12638" s="18"/>
      <c r="K12638" s="18" t="s">
        <v>316</v>
      </c>
    </row>
    <row r="12639">
      <c r="A12639" s="17"/>
      <c r="H12639" s="18"/>
      <c r="K12639" s="18" t="s">
        <v>316</v>
      </c>
    </row>
    <row r="12640">
      <c r="A12640" s="17"/>
      <c r="H12640" s="18"/>
      <c r="K12640" s="18" t="s">
        <v>316</v>
      </c>
    </row>
    <row r="12641">
      <c r="A12641" s="17"/>
      <c r="H12641" s="18"/>
      <c r="K12641" s="18" t="s">
        <v>316</v>
      </c>
    </row>
    <row r="12642">
      <c r="A12642" s="17"/>
      <c r="H12642" s="18"/>
      <c r="K12642" s="18" t="s">
        <v>316</v>
      </c>
    </row>
    <row r="12643">
      <c r="A12643" s="17"/>
      <c r="H12643" s="18"/>
      <c r="K12643" s="18" t="s">
        <v>316</v>
      </c>
    </row>
    <row r="12644">
      <c r="A12644" s="17"/>
      <c r="H12644" s="18"/>
      <c r="K12644" s="18" t="s">
        <v>316</v>
      </c>
    </row>
    <row r="12645">
      <c r="A12645" s="17"/>
      <c r="H12645" s="18"/>
      <c r="K12645" s="18" t="s">
        <v>316</v>
      </c>
    </row>
    <row r="12646">
      <c r="A12646" s="17"/>
      <c r="H12646" s="18"/>
      <c r="K12646" s="18" t="s">
        <v>316</v>
      </c>
    </row>
    <row r="12647">
      <c r="A12647" s="17"/>
      <c r="H12647" s="18"/>
      <c r="K12647" s="18" t="s">
        <v>316</v>
      </c>
    </row>
    <row r="12648">
      <c r="A12648" s="17"/>
      <c r="H12648" s="18"/>
      <c r="K12648" s="18" t="s">
        <v>316</v>
      </c>
    </row>
    <row r="12649">
      <c r="A12649" s="17"/>
      <c r="H12649" s="18"/>
      <c r="K12649" s="18" t="s">
        <v>316</v>
      </c>
    </row>
    <row r="12650">
      <c r="A12650" s="17"/>
      <c r="H12650" s="18"/>
      <c r="K12650" s="18" t="s">
        <v>316</v>
      </c>
    </row>
    <row r="12651">
      <c r="A12651" s="17"/>
      <c r="H12651" s="18"/>
      <c r="K12651" s="18" t="s">
        <v>316</v>
      </c>
    </row>
    <row r="12652">
      <c r="A12652" s="17"/>
      <c r="H12652" s="18"/>
      <c r="K12652" s="18" t="s">
        <v>316</v>
      </c>
    </row>
    <row r="12653">
      <c r="A12653" s="17"/>
      <c r="H12653" s="18"/>
      <c r="K12653" s="18" t="s">
        <v>316</v>
      </c>
    </row>
    <row r="12654">
      <c r="A12654" s="17"/>
      <c r="H12654" s="18"/>
      <c r="K12654" s="18" t="s">
        <v>316</v>
      </c>
    </row>
    <row r="12655">
      <c r="A12655" s="17"/>
      <c r="H12655" s="18"/>
      <c r="K12655" s="18" t="s">
        <v>316</v>
      </c>
    </row>
    <row r="12656">
      <c r="A12656" s="17"/>
      <c r="H12656" s="18"/>
      <c r="K12656" s="18" t="s">
        <v>316</v>
      </c>
    </row>
    <row r="12657">
      <c r="A12657" s="17"/>
      <c r="H12657" s="18"/>
      <c r="K12657" s="18" t="s">
        <v>316</v>
      </c>
    </row>
    <row r="12658">
      <c r="A12658" s="17"/>
      <c r="H12658" s="18"/>
      <c r="K12658" s="18" t="s">
        <v>316</v>
      </c>
    </row>
    <row r="12659">
      <c r="A12659" s="17"/>
      <c r="H12659" s="18"/>
      <c r="K12659" s="18" t="s">
        <v>316</v>
      </c>
    </row>
    <row r="12660">
      <c r="A12660" s="17"/>
      <c r="H12660" s="18"/>
      <c r="K12660" s="18" t="s">
        <v>316</v>
      </c>
    </row>
    <row r="12661">
      <c r="A12661" s="17"/>
      <c r="H12661" s="18"/>
      <c r="K12661" s="18" t="s">
        <v>316</v>
      </c>
    </row>
    <row r="12662">
      <c r="A12662" s="17"/>
      <c r="H12662" s="18"/>
      <c r="K12662" s="18" t="s">
        <v>316</v>
      </c>
    </row>
    <row r="12663">
      <c r="A12663" s="17"/>
      <c r="H12663" s="18"/>
      <c r="K12663" s="18" t="s">
        <v>316</v>
      </c>
    </row>
    <row r="12664">
      <c r="A12664" s="17"/>
      <c r="H12664" s="18"/>
      <c r="K12664" s="18" t="s">
        <v>316</v>
      </c>
    </row>
    <row r="12665">
      <c r="A12665" s="17"/>
      <c r="H12665" s="18"/>
      <c r="K12665" s="18" t="s">
        <v>316</v>
      </c>
    </row>
    <row r="12666">
      <c r="A12666" s="17"/>
      <c r="H12666" s="18"/>
      <c r="K12666" s="18" t="s">
        <v>316</v>
      </c>
    </row>
    <row r="12667">
      <c r="A12667" s="17"/>
      <c r="H12667" s="18"/>
      <c r="K12667" s="18" t="s">
        <v>316</v>
      </c>
    </row>
    <row r="12668">
      <c r="A12668" s="17"/>
      <c r="H12668" s="18"/>
      <c r="K12668" s="18" t="s">
        <v>316</v>
      </c>
    </row>
    <row r="12669">
      <c r="A12669" s="17"/>
      <c r="H12669" s="18"/>
      <c r="K12669" s="18" t="s">
        <v>316</v>
      </c>
    </row>
    <row r="12670">
      <c r="A12670" s="17"/>
      <c r="H12670" s="18"/>
      <c r="K12670" s="18" t="s">
        <v>316</v>
      </c>
    </row>
    <row r="12671">
      <c r="A12671" s="17"/>
      <c r="H12671" s="18"/>
      <c r="K12671" s="18" t="s">
        <v>316</v>
      </c>
    </row>
    <row r="12672">
      <c r="A12672" s="17"/>
      <c r="H12672" s="18"/>
      <c r="K12672" s="18" t="s">
        <v>316</v>
      </c>
    </row>
    <row r="12673">
      <c r="A12673" s="17"/>
      <c r="H12673" s="18"/>
      <c r="K12673" s="18" t="s">
        <v>316</v>
      </c>
    </row>
    <row r="12674">
      <c r="A12674" s="17"/>
      <c r="H12674" s="18"/>
      <c r="K12674" s="18" t="s">
        <v>316</v>
      </c>
    </row>
    <row r="12675">
      <c r="A12675" s="17"/>
      <c r="H12675" s="18"/>
      <c r="K12675" s="18" t="s">
        <v>316</v>
      </c>
    </row>
    <row r="12676">
      <c r="A12676" s="17"/>
      <c r="H12676" s="18"/>
      <c r="K12676" s="18" t="s">
        <v>316</v>
      </c>
    </row>
    <row r="12677">
      <c r="A12677" s="17"/>
      <c r="H12677" s="18"/>
      <c r="K12677" s="18" t="s">
        <v>316</v>
      </c>
    </row>
    <row r="12678">
      <c r="A12678" s="17"/>
      <c r="H12678" s="18"/>
      <c r="K12678" s="18" t="s">
        <v>316</v>
      </c>
    </row>
    <row r="12679">
      <c r="A12679" s="17"/>
      <c r="H12679" s="18"/>
      <c r="K12679" s="18" t="s">
        <v>316</v>
      </c>
    </row>
    <row r="12680">
      <c r="A12680" s="17"/>
      <c r="H12680" s="18"/>
      <c r="K12680" s="18" t="s">
        <v>316</v>
      </c>
    </row>
    <row r="12681">
      <c r="A12681" s="17"/>
      <c r="H12681" s="18"/>
      <c r="K12681" s="18" t="s">
        <v>316</v>
      </c>
    </row>
    <row r="12682">
      <c r="A12682" s="17"/>
      <c r="H12682" s="18"/>
      <c r="K12682" s="18" t="s">
        <v>316</v>
      </c>
    </row>
    <row r="12683">
      <c r="A12683" s="17"/>
      <c r="H12683" s="18"/>
      <c r="K12683" s="18" t="s">
        <v>316</v>
      </c>
    </row>
    <row r="12684">
      <c r="A12684" s="17"/>
      <c r="H12684" s="18"/>
      <c r="K12684" s="18" t="s">
        <v>316</v>
      </c>
    </row>
    <row r="12685">
      <c r="A12685" s="17"/>
      <c r="H12685" s="18"/>
      <c r="K12685" s="18" t="s">
        <v>316</v>
      </c>
    </row>
    <row r="12686">
      <c r="A12686" s="17"/>
      <c r="H12686" s="18"/>
      <c r="K12686" s="18" t="s">
        <v>316</v>
      </c>
    </row>
    <row r="12687">
      <c r="A12687" s="17"/>
      <c r="H12687" s="18"/>
      <c r="K12687" s="18" t="s">
        <v>316</v>
      </c>
    </row>
    <row r="12688">
      <c r="A12688" s="17"/>
      <c r="H12688" s="18"/>
      <c r="K12688" s="18" t="s">
        <v>316</v>
      </c>
    </row>
    <row r="12689">
      <c r="A12689" s="17"/>
      <c r="H12689" s="18"/>
      <c r="K12689" s="18" t="s">
        <v>316</v>
      </c>
    </row>
    <row r="12690">
      <c r="A12690" s="17"/>
      <c r="H12690" s="18"/>
      <c r="K12690" s="18" t="s">
        <v>316</v>
      </c>
    </row>
    <row r="12691">
      <c r="A12691" s="17"/>
      <c r="H12691" s="18"/>
      <c r="K12691" s="18" t="s">
        <v>316</v>
      </c>
    </row>
    <row r="12692">
      <c r="A12692" s="17"/>
      <c r="H12692" s="18"/>
      <c r="K12692" s="18" t="s">
        <v>316</v>
      </c>
    </row>
    <row r="12693">
      <c r="A12693" s="17"/>
      <c r="H12693" s="18"/>
      <c r="K12693" s="18" t="s">
        <v>316</v>
      </c>
    </row>
    <row r="12694">
      <c r="A12694" s="17"/>
      <c r="H12694" s="18"/>
      <c r="K12694" s="18" t="s">
        <v>316</v>
      </c>
    </row>
    <row r="12695">
      <c r="A12695" s="17"/>
      <c r="H12695" s="18"/>
      <c r="K12695" s="18" t="s">
        <v>316</v>
      </c>
    </row>
    <row r="12696">
      <c r="A12696" s="17"/>
      <c r="H12696" s="18"/>
      <c r="K12696" s="18" t="s">
        <v>316</v>
      </c>
    </row>
    <row r="12697">
      <c r="A12697" s="17"/>
      <c r="H12697" s="18"/>
      <c r="K12697" s="18" t="s">
        <v>316</v>
      </c>
    </row>
    <row r="12698">
      <c r="A12698" s="17"/>
      <c r="H12698" s="18"/>
      <c r="K12698" s="18" t="s">
        <v>316</v>
      </c>
    </row>
    <row r="12699">
      <c r="A12699" s="17"/>
      <c r="H12699" s="18"/>
      <c r="K12699" s="18" t="s">
        <v>316</v>
      </c>
    </row>
    <row r="12700">
      <c r="A12700" s="17"/>
      <c r="H12700" s="18"/>
      <c r="K12700" s="18" t="s">
        <v>316</v>
      </c>
    </row>
    <row r="12701">
      <c r="A12701" s="17"/>
      <c r="H12701" s="18"/>
      <c r="K12701" s="18" t="s">
        <v>316</v>
      </c>
    </row>
    <row r="12702">
      <c r="A12702" s="17"/>
      <c r="H12702" s="18"/>
      <c r="K12702" s="18" t="s">
        <v>316</v>
      </c>
    </row>
    <row r="12703">
      <c r="A12703" s="17"/>
      <c r="H12703" s="18"/>
      <c r="K12703" s="18" t="s">
        <v>316</v>
      </c>
    </row>
    <row r="12704">
      <c r="A12704" s="17"/>
      <c r="H12704" s="18"/>
      <c r="K12704" s="18" t="s">
        <v>316</v>
      </c>
    </row>
    <row r="12705">
      <c r="A12705" s="17"/>
      <c r="H12705" s="18"/>
      <c r="K12705" s="18" t="s">
        <v>316</v>
      </c>
    </row>
    <row r="12706">
      <c r="A12706" s="17"/>
      <c r="H12706" s="18"/>
      <c r="K12706" s="18" t="s">
        <v>316</v>
      </c>
    </row>
    <row r="12707">
      <c r="A12707" s="17"/>
      <c r="H12707" s="18"/>
      <c r="K12707" s="18" t="s">
        <v>316</v>
      </c>
    </row>
    <row r="12708">
      <c r="A12708" s="17"/>
      <c r="H12708" s="18"/>
      <c r="K12708" s="18" t="s">
        <v>316</v>
      </c>
    </row>
    <row r="12709">
      <c r="A12709" s="17"/>
      <c r="H12709" s="18"/>
      <c r="K12709" s="18" t="s">
        <v>316</v>
      </c>
    </row>
    <row r="12710">
      <c r="A12710" s="17"/>
      <c r="H12710" s="18"/>
      <c r="K12710" s="18" t="s">
        <v>316</v>
      </c>
    </row>
    <row r="12711">
      <c r="A12711" s="17"/>
      <c r="H12711" s="18"/>
      <c r="K12711" s="18" t="s">
        <v>316</v>
      </c>
    </row>
    <row r="12712">
      <c r="A12712" s="17"/>
      <c r="H12712" s="18"/>
      <c r="K12712" s="18" t="s">
        <v>316</v>
      </c>
    </row>
    <row r="12713">
      <c r="A12713" s="17"/>
      <c r="H12713" s="18"/>
      <c r="K12713" s="18" t="s">
        <v>316</v>
      </c>
    </row>
    <row r="12714">
      <c r="A12714" s="17"/>
      <c r="H12714" s="18"/>
      <c r="K12714" s="18" t="s">
        <v>316</v>
      </c>
    </row>
    <row r="12715">
      <c r="A12715" s="17"/>
      <c r="H12715" s="18"/>
      <c r="K12715" s="18" t="s">
        <v>316</v>
      </c>
    </row>
    <row r="12716">
      <c r="A12716" s="17"/>
      <c r="H12716" s="18"/>
      <c r="K12716" s="18" t="s">
        <v>316</v>
      </c>
    </row>
    <row r="12717">
      <c r="A12717" s="17"/>
      <c r="H12717" s="18"/>
      <c r="K12717" s="18" t="s">
        <v>316</v>
      </c>
    </row>
    <row r="12718">
      <c r="A12718" s="17"/>
      <c r="H12718" s="18"/>
      <c r="K12718" s="18" t="s">
        <v>316</v>
      </c>
    </row>
    <row r="12719">
      <c r="A12719" s="17"/>
      <c r="H12719" s="18"/>
      <c r="K12719" s="18" t="s">
        <v>316</v>
      </c>
    </row>
    <row r="12720">
      <c r="A12720" s="17"/>
      <c r="H12720" s="18"/>
      <c r="K12720" s="18" t="s">
        <v>316</v>
      </c>
    </row>
    <row r="12721">
      <c r="A12721" s="17"/>
      <c r="H12721" s="18"/>
      <c r="K12721" s="18" t="s">
        <v>316</v>
      </c>
    </row>
    <row r="12722">
      <c r="A12722" s="17"/>
      <c r="H12722" s="18"/>
      <c r="K12722" s="18" t="s">
        <v>316</v>
      </c>
    </row>
    <row r="12723">
      <c r="A12723" s="17"/>
      <c r="H12723" s="18"/>
      <c r="K12723" s="18" t="s">
        <v>316</v>
      </c>
    </row>
    <row r="12724">
      <c r="A12724" s="17"/>
      <c r="H12724" s="18"/>
      <c r="K12724" s="18" t="s">
        <v>316</v>
      </c>
    </row>
    <row r="12725">
      <c r="A12725" s="17"/>
      <c r="H12725" s="18"/>
      <c r="K12725" s="18" t="s">
        <v>316</v>
      </c>
    </row>
    <row r="12726">
      <c r="A12726" s="17"/>
      <c r="H12726" s="18"/>
      <c r="K12726" s="18" t="s">
        <v>316</v>
      </c>
    </row>
    <row r="12727">
      <c r="A12727" s="17"/>
      <c r="H12727" s="18"/>
      <c r="K12727" s="18" t="s">
        <v>316</v>
      </c>
    </row>
    <row r="12728">
      <c r="A12728" s="17"/>
      <c r="H12728" s="18"/>
      <c r="K12728" s="18" t="s">
        <v>316</v>
      </c>
    </row>
    <row r="12729">
      <c r="A12729" s="17"/>
      <c r="H12729" s="18"/>
      <c r="K12729" s="18" t="s">
        <v>316</v>
      </c>
    </row>
    <row r="12730">
      <c r="A12730" s="17"/>
      <c r="H12730" s="18"/>
      <c r="K12730" s="18" t="s">
        <v>316</v>
      </c>
    </row>
    <row r="12731">
      <c r="A12731" s="17"/>
      <c r="H12731" s="18"/>
      <c r="K12731" s="18" t="s">
        <v>316</v>
      </c>
    </row>
    <row r="12732">
      <c r="A12732" s="17"/>
      <c r="H12732" s="18"/>
      <c r="K12732" s="18" t="s">
        <v>316</v>
      </c>
    </row>
    <row r="12733">
      <c r="A12733" s="17"/>
      <c r="H12733" s="18"/>
      <c r="K12733" s="18" t="s">
        <v>316</v>
      </c>
    </row>
    <row r="12734">
      <c r="A12734" s="17"/>
      <c r="H12734" s="18"/>
      <c r="K12734" s="18" t="s">
        <v>316</v>
      </c>
    </row>
    <row r="12735">
      <c r="A12735" s="17"/>
      <c r="H12735" s="18"/>
      <c r="K12735" s="18" t="s">
        <v>316</v>
      </c>
    </row>
    <row r="12736">
      <c r="A12736" s="17"/>
      <c r="H12736" s="18"/>
      <c r="K12736" s="18" t="s">
        <v>316</v>
      </c>
    </row>
    <row r="12737">
      <c r="A12737" s="17"/>
      <c r="H12737" s="18"/>
      <c r="K12737" s="18" t="s">
        <v>316</v>
      </c>
    </row>
    <row r="12738">
      <c r="A12738" s="17"/>
      <c r="H12738" s="18"/>
      <c r="K12738" s="18" t="s">
        <v>316</v>
      </c>
    </row>
    <row r="12739">
      <c r="A12739" s="17"/>
      <c r="H12739" s="18"/>
      <c r="K12739" s="18" t="s">
        <v>316</v>
      </c>
    </row>
    <row r="12740">
      <c r="A12740" s="17"/>
      <c r="H12740" s="18"/>
      <c r="K12740" s="18" t="s">
        <v>316</v>
      </c>
    </row>
    <row r="12741">
      <c r="A12741" s="17"/>
      <c r="H12741" s="18"/>
      <c r="K12741" s="18" t="s">
        <v>316</v>
      </c>
    </row>
    <row r="12742">
      <c r="A12742" s="17"/>
      <c r="H12742" s="18"/>
      <c r="K12742" s="18" t="s">
        <v>316</v>
      </c>
    </row>
    <row r="12743">
      <c r="A12743" s="17"/>
      <c r="H12743" s="18"/>
      <c r="K12743" s="18" t="s">
        <v>316</v>
      </c>
    </row>
    <row r="12744">
      <c r="A12744" s="17"/>
      <c r="H12744" s="18"/>
      <c r="K12744" s="18" t="s">
        <v>316</v>
      </c>
    </row>
    <row r="12745">
      <c r="A12745" s="17"/>
      <c r="H12745" s="18"/>
      <c r="K12745" s="18" t="s">
        <v>316</v>
      </c>
    </row>
    <row r="12746">
      <c r="A12746" s="17"/>
      <c r="H12746" s="18"/>
      <c r="K12746" s="18" t="s">
        <v>316</v>
      </c>
    </row>
    <row r="12747">
      <c r="A12747" s="17"/>
      <c r="H12747" s="18"/>
      <c r="K12747" s="18" t="s">
        <v>316</v>
      </c>
    </row>
    <row r="12748">
      <c r="A12748" s="17"/>
      <c r="H12748" s="18"/>
      <c r="K12748" s="18" t="s">
        <v>316</v>
      </c>
    </row>
    <row r="12749">
      <c r="A12749" s="17"/>
      <c r="H12749" s="18"/>
      <c r="K12749" s="18" t="s">
        <v>316</v>
      </c>
    </row>
    <row r="12750">
      <c r="A12750" s="17"/>
      <c r="H12750" s="18"/>
      <c r="K12750" s="18" t="s">
        <v>316</v>
      </c>
    </row>
    <row r="12751">
      <c r="A12751" s="17"/>
      <c r="H12751" s="18"/>
      <c r="K12751" s="18" t="s">
        <v>316</v>
      </c>
    </row>
    <row r="12752">
      <c r="A12752" s="17"/>
      <c r="H12752" s="18"/>
      <c r="K12752" s="18" t="s">
        <v>316</v>
      </c>
    </row>
    <row r="12753">
      <c r="A12753" s="17"/>
      <c r="H12753" s="18"/>
      <c r="K12753" s="18" t="s">
        <v>316</v>
      </c>
    </row>
    <row r="12754">
      <c r="A12754" s="17"/>
      <c r="H12754" s="18"/>
      <c r="K12754" s="18" t="s">
        <v>316</v>
      </c>
    </row>
    <row r="12755">
      <c r="A12755" s="17"/>
      <c r="H12755" s="18"/>
      <c r="K12755" s="18" t="s">
        <v>316</v>
      </c>
    </row>
    <row r="12756">
      <c r="A12756" s="17"/>
      <c r="H12756" s="18"/>
      <c r="K12756" s="18" t="s">
        <v>316</v>
      </c>
    </row>
    <row r="12757">
      <c r="A12757" s="17"/>
      <c r="H12757" s="18"/>
      <c r="K12757" s="18" t="s">
        <v>316</v>
      </c>
    </row>
    <row r="12758">
      <c r="A12758" s="17"/>
      <c r="H12758" s="18"/>
      <c r="K12758" s="18" t="s">
        <v>316</v>
      </c>
    </row>
    <row r="12759">
      <c r="A12759" s="17"/>
      <c r="H12759" s="18"/>
      <c r="K12759" s="18" t="s">
        <v>316</v>
      </c>
    </row>
    <row r="12760">
      <c r="A12760" s="17"/>
      <c r="H12760" s="18"/>
      <c r="K12760" s="18" t="s">
        <v>316</v>
      </c>
    </row>
    <row r="12761">
      <c r="A12761" s="17"/>
      <c r="H12761" s="18"/>
      <c r="K12761" s="18" t="s">
        <v>316</v>
      </c>
    </row>
    <row r="12762">
      <c r="A12762" s="17"/>
      <c r="H12762" s="18"/>
      <c r="K12762" s="18" t="s">
        <v>316</v>
      </c>
    </row>
    <row r="12763">
      <c r="A12763" s="17"/>
      <c r="H12763" s="18"/>
      <c r="K12763" s="18" t="s">
        <v>316</v>
      </c>
    </row>
    <row r="12764">
      <c r="A12764" s="17"/>
      <c r="H12764" s="18"/>
      <c r="K12764" s="18" t="s">
        <v>316</v>
      </c>
    </row>
    <row r="12765">
      <c r="A12765" s="17"/>
      <c r="H12765" s="18"/>
      <c r="K12765" s="18" t="s">
        <v>316</v>
      </c>
    </row>
    <row r="12766">
      <c r="A12766" s="17"/>
      <c r="H12766" s="18"/>
      <c r="K12766" s="18" t="s">
        <v>316</v>
      </c>
    </row>
    <row r="12767">
      <c r="A12767" s="17"/>
      <c r="H12767" s="18"/>
      <c r="K12767" s="18" t="s">
        <v>316</v>
      </c>
    </row>
    <row r="12768">
      <c r="A12768" s="17"/>
      <c r="H12768" s="18"/>
      <c r="K12768" s="18" t="s">
        <v>316</v>
      </c>
    </row>
    <row r="12769">
      <c r="A12769" s="17"/>
      <c r="H12769" s="18"/>
      <c r="K12769" s="18" t="s">
        <v>316</v>
      </c>
    </row>
    <row r="12770">
      <c r="A12770" s="17"/>
      <c r="H12770" s="18"/>
      <c r="K12770" s="18" t="s">
        <v>316</v>
      </c>
    </row>
    <row r="12771">
      <c r="A12771" s="17"/>
      <c r="H12771" s="18"/>
      <c r="K12771" s="18" t="s">
        <v>316</v>
      </c>
    </row>
    <row r="12772">
      <c r="A12772" s="17"/>
      <c r="H12772" s="18"/>
      <c r="K12772" s="18" t="s">
        <v>316</v>
      </c>
    </row>
    <row r="12773">
      <c r="A12773" s="17"/>
      <c r="H12773" s="18"/>
      <c r="K12773" s="18" t="s">
        <v>316</v>
      </c>
    </row>
    <row r="12774">
      <c r="A12774" s="17"/>
      <c r="H12774" s="18"/>
      <c r="K12774" s="18" t="s">
        <v>316</v>
      </c>
    </row>
    <row r="12775">
      <c r="A12775" s="17"/>
      <c r="H12775" s="18"/>
      <c r="K12775" s="18" t="s">
        <v>316</v>
      </c>
    </row>
    <row r="12776">
      <c r="A12776" s="17"/>
      <c r="H12776" s="18"/>
      <c r="K12776" s="18" t="s">
        <v>316</v>
      </c>
    </row>
    <row r="12777">
      <c r="A12777" s="17"/>
      <c r="H12777" s="18"/>
      <c r="K12777" s="18" t="s">
        <v>316</v>
      </c>
    </row>
    <row r="12778">
      <c r="A12778" s="17"/>
      <c r="H12778" s="18"/>
      <c r="K12778" s="18" t="s">
        <v>316</v>
      </c>
    </row>
    <row r="12779">
      <c r="A12779" s="17"/>
      <c r="H12779" s="18"/>
      <c r="K12779" s="18" t="s">
        <v>316</v>
      </c>
    </row>
    <row r="12780">
      <c r="A12780" s="17"/>
      <c r="H12780" s="18"/>
      <c r="K12780" s="18" t="s">
        <v>316</v>
      </c>
    </row>
    <row r="12781">
      <c r="A12781" s="17"/>
      <c r="H12781" s="18"/>
      <c r="K12781" s="18" t="s">
        <v>316</v>
      </c>
    </row>
    <row r="12782">
      <c r="A12782" s="17"/>
      <c r="H12782" s="18"/>
      <c r="K12782" s="18" t="s">
        <v>316</v>
      </c>
    </row>
    <row r="12783">
      <c r="A12783" s="17"/>
      <c r="H12783" s="18"/>
      <c r="K12783" s="18" t="s">
        <v>316</v>
      </c>
    </row>
    <row r="12784">
      <c r="A12784" s="17"/>
      <c r="H12784" s="18"/>
      <c r="K12784" s="18" t="s">
        <v>316</v>
      </c>
    </row>
    <row r="12785">
      <c r="A12785" s="17"/>
      <c r="H12785" s="18"/>
      <c r="K12785" s="18" t="s">
        <v>316</v>
      </c>
    </row>
    <row r="12786">
      <c r="A12786" s="17"/>
      <c r="H12786" s="18"/>
      <c r="K12786" s="18" t="s">
        <v>316</v>
      </c>
    </row>
    <row r="12787">
      <c r="A12787" s="17"/>
      <c r="H12787" s="18"/>
      <c r="K12787" s="18" t="s">
        <v>316</v>
      </c>
    </row>
    <row r="12788">
      <c r="A12788" s="17"/>
      <c r="H12788" s="18"/>
      <c r="K12788" s="18" t="s">
        <v>316</v>
      </c>
    </row>
    <row r="12789">
      <c r="A12789" s="17"/>
      <c r="H12789" s="18"/>
      <c r="K12789" s="18" t="s">
        <v>316</v>
      </c>
    </row>
    <row r="12790">
      <c r="A12790" s="17"/>
      <c r="H12790" s="18"/>
      <c r="K12790" s="18" t="s">
        <v>316</v>
      </c>
    </row>
    <row r="12791">
      <c r="A12791" s="17"/>
      <c r="H12791" s="18"/>
      <c r="K12791" s="18" t="s">
        <v>316</v>
      </c>
    </row>
    <row r="12792">
      <c r="A12792" s="17"/>
      <c r="H12792" s="18"/>
      <c r="K12792" s="18" t="s">
        <v>316</v>
      </c>
    </row>
    <row r="12793">
      <c r="A12793" s="17"/>
      <c r="H12793" s="18"/>
      <c r="K12793" s="18" t="s">
        <v>316</v>
      </c>
    </row>
    <row r="12794">
      <c r="A12794" s="17"/>
      <c r="H12794" s="18"/>
      <c r="K12794" s="18" t="s">
        <v>316</v>
      </c>
    </row>
    <row r="12795">
      <c r="A12795" s="17"/>
      <c r="H12795" s="18"/>
      <c r="K12795" s="18" t="s">
        <v>316</v>
      </c>
    </row>
    <row r="12796">
      <c r="A12796" s="17"/>
      <c r="H12796" s="18"/>
      <c r="K12796" s="18" t="s">
        <v>316</v>
      </c>
    </row>
    <row r="12797">
      <c r="A12797" s="17"/>
      <c r="H12797" s="18"/>
      <c r="K12797" s="18" t="s">
        <v>316</v>
      </c>
    </row>
    <row r="12798">
      <c r="A12798" s="17"/>
      <c r="H12798" s="18"/>
      <c r="K12798" s="18" t="s">
        <v>316</v>
      </c>
    </row>
    <row r="12799">
      <c r="A12799" s="17"/>
      <c r="H12799" s="18"/>
      <c r="K12799" s="18" t="s">
        <v>316</v>
      </c>
    </row>
    <row r="12800">
      <c r="A12800" s="17"/>
      <c r="H12800" s="18"/>
      <c r="K12800" s="18" t="s">
        <v>316</v>
      </c>
    </row>
    <row r="12801">
      <c r="A12801" s="17"/>
      <c r="H12801" s="18"/>
      <c r="K12801" s="18" t="s">
        <v>316</v>
      </c>
    </row>
    <row r="12802">
      <c r="A12802" s="17"/>
      <c r="H12802" s="18"/>
      <c r="K12802" s="18" t="s">
        <v>316</v>
      </c>
    </row>
    <row r="12803">
      <c r="A12803" s="17"/>
      <c r="H12803" s="18"/>
      <c r="K12803" s="18" t="s">
        <v>316</v>
      </c>
    </row>
    <row r="12804">
      <c r="A12804" s="17"/>
      <c r="H12804" s="18"/>
      <c r="K12804" s="18" t="s">
        <v>316</v>
      </c>
    </row>
    <row r="12805">
      <c r="A12805" s="17"/>
      <c r="H12805" s="18"/>
      <c r="K12805" s="18" t="s">
        <v>316</v>
      </c>
    </row>
    <row r="12806">
      <c r="A12806" s="17"/>
      <c r="H12806" s="18"/>
      <c r="K12806" s="18" t="s">
        <v>316</v>
      </c>
    </row>
    <row r="12807">
      <c r="A12807" s="17"/>
      <c r="H12807" s="18"/>
      <c r="K12807" s="18" t="s">
        <v>316</v>
      </c>
    </row>
    <row r="12808">
      <c r="A12808" s="17"/>
      <c r="H12808" s="18"/>
      <c r="K12808" s="18" t="s">
        <v>316</v>
      </c>
    </row>
    <row r="12809">
      <c r="A12809" s="17"/>
      <c r="H12809" s="18"/>
      <c r="K12809" s="18" t="s">
        <v>316</v>
      </c>
    </row>
    <row r="12810">
      <c r="A12810" s="17"/>
      <c r="H12810" s="18"/>
      <c r="K12810" s="18" t="s">
        <v>316</v>
      </c>
    </row>
    <row r="12811">
      <c r="A12811" s="17"/>
      <c r="H12811" s="18"/>
      <c r="K12811" s="18" t="s">
        <v>316</v>
      </c>
    </row>
    <row r="12812">
      <c r="A12812" s="17"/>
      <c r="H12812" s="18"/>
      <c r="K12812" s="18" t="s">
        <v>316</v>
      </c>
    </row>
    <row r="12813">
      <c r="A12813" s="17"/>
      <c r="H12813" s="18"/>
      <c r="K12813" s="18" t="s">
        <v>316</v>
      </c>
    </row>
    <row r="12814">
      <c r="A12814" s="17"/>
      <c r="H12814" s="18"/>
      <c r="K12814" s="18" t="s">
        <v>316</v>
      </c>
    </row>
    <row r="12815">
      <c r="A12815" s="17"/>
      <c r="H12815" s="18"/>
      <c r="K12815" s="18" t="s">
        <v>316</v>
      </c>
    </row>
    <row r="12816">
      <c r="A12816" s="17"/>
      <c r="H12816" s="18"/>
      <c r="K12816" s="18" t="s">
        <v>316</v>
      </c>
    </row>
    <row r="12817">
      <c r="A12817" s="17"/>
      <c r="H12817" s="18"/>
      <c r="K12817" s="18" t="s">
        <v>316</v>
      </c>
    </row>
    <row r="12818">
      <c r="A12818" s="17"/>
      <c r="H12818" s="18"/>
      <c r="K12818" s="18" t="s">
        <v>316</v>
      </c>
    </row>
    <row r="12819">
      <c r="A12819" s="17"/>
      <c r="H12819" s="18"/>
      <c r="K12819" s="18" t="s">
        <v>316</v>
      </c>
    </row>
    <row r="12820">
      <c r="A12820" s="17"/>
      <c r="H12820" s="18"/>
      <c r="K12820" s="18" t="s">
        <v>316</v>
      </c>
    </row>
    <row r="12821">
      <c r="A12821" s="17"/>
      <c r="H12821" s="18"/>
      <c r="K12821" s="18" t="s">
        <v>316</v>
      </c>
    </row>
    <row r="12822">
      <c r="A12822" s="17"/>
      <c r="H12822" s="18"/>
      <c r="K12822" s="18" t="s">
        <v>316</v>
      </c>
    </row>
    <row r="12823">
      <c r="A12823" s="17"/>
      <c r="H12823" s="18"/>
      <c r="K12823" s="18" t="s">
        <v>316</v>
      </c>
    </row>
    <row r="12824">
      <c r="A12824" s="17"/>
      <c r="H12824" s="18"/>
      <c r="K12824" s="18" t="s">
        <v>316</v>
      </c>
    </row>
    <row r="12825">
      <c r="A12825" s="17"/>
      <c r="H12825" s="18"/>
      <c r="K12825" s="18" t="s">
        <v>316</v>
      </c>
    </row>
    <row r="12826">
      <c r="A12826" s="17"/>
      <c r="H12826" s="18"/>
      <c r="K12826" s="18" t="s">
        <v>316</v>
      </c>
    </row>
    <row r="12827">
      <c r="A12827" s="17"/>
      <c r="H12827" s="18"/>
      <c r="K12827" s="18" t="s">
        <v>316</v>
      </c>
    </row>
    <row r="12828">
      <c r="A12828" s="17"/>
      <c r="H12828" s="18"/>
      <c r="K12828" s="18" t="s">
        <v>316</v>
      </c>
    </row>
    <row r="12829">
      <c r="A12829" s="17"/>
      <c r="H12829" s="18"/>
      <c r="K12829" s="18" t="s">
        <v>316</v>
      </c>
    </row>
    <row r="12830">
      <c r="A12830" s="17"/>
      <c r="H12830" s="18"/>
      <c r="K12830" s="18" t="s">
        <v>316</v>
      </c>
    </row>
    <row r="12831">
      <c r="A12831" s="17"/>
      <c r="H12831" s="18"/>
      <c r="K12831" s="18" t="s">
        <v>316</v>
      </c>
    </row>
    <row r="12832">
      <c r="A12832" s="17"/>
      <c r="H12832" s="18"/>
      <c r="K12832" s="18" t="s">
        <v>316</v>
      </c>
    </row>
    <row r="12833">
      <c r="A12833" s="17"/>
      <c r="H12833" s="18"/>
      <c r="K12833" s="18" t="s">
        <v>316</v>
      </c>
    </row>
    <row r="12834">
      <c r="A12834" s="17"/>
      <c r="H12834" s="18"/>
      <c r="K12834" s="18" t="s">
        <v>316</v>
      </c>
    </row>
    <row r="12835">
      <c r="A12835" s="17"/>
      <c r="H12835" s="18"/>
      <c r="K12835" s="18" t="s">
        <v>316</v>
      </c>
    </row>
    <row r="12836">
      <c r="A12836" s="17"/>
      <c r="H12836" s="18"/>
      <c r="K12836" s="18" t="s">
        <v>316</v>
      </c>
    </row>
    <row r="12837">
      <c r="A12837" s="17"/>
      <c r="H12837" s="18"/>
      <c r="K12837" s="18" t="s">
        <v>316</v>
      </c>
    </row>
    <row r="12838">
      <c r="A12838" s="17"/>
      <c r="H12838" s="18"/>
      <c r="K12838" s="18" t="s">
        <v>316</v>
      </c>
    </row>
    <row r="12839">
      <c r="A12839" s="17"/>
      <c r="H12839" s="18"/>
      <c r="K12839" s="18" t="s">
        <v>316</v>
      </c>
    </row>
    <row r="12840">
      <c r="A12840" s="17"/>
      <c r="H12840" s="18"/>
      <c r="K12840" s="18" t="s">
        <v>316</v>
      </c>
    </row>
    <row r="12841">
      <c r="A12841" s="17"/>
      <c r="H12841" s="18"/>
      <c r="K12841" s="18" t="s">
        <v>316</v>
      </c>
    </row>
    <row r="12842">
      <c r="A12842" s="17"/>
      <c r="H12842" s="18"/>
      <c r="K12842" s="18" t="s">
        <v>316</v>
      </c>
    </row>
    <row r="12843">
      <c r="A12843" s="17"/>
      <c r="H12843" s="18"/>
      <c r="K12843" s="18" t="s">
        <v>316</v>
      </c>
    </row>
    <row r="12844">
      <c r="A12844" s="17"/>
      <c r="H12844" s="18"/>
      <c r="K12844" s="18" t="s">
        <v>316</v>
      </c>
    </row>
    <row r="12845">
      <c r="A12845" s="17"/>
      <c r="H12845" s="18"/>
      <c r="K12845" s="18" t="s">
        <v>316</v>
      </c>
    </row>
    <row r="12846">
      <c r="A12846" s="17"/>
      <c r="H12846" s="18"/>
      <c r="K12846" s="18" t="s">
        <v>316</v>
      </c>
    </row>
    <row r="12847">
      <c r="A12847" s="17"/>
      <c r="H12847" s="18"/>
      <c r="K12847" s="18" t="s">
        <v>316</v>
      </c>
    </row>
    <row r="12848">
      <c r="A12848" s="17"/>
      <c r="H12848" s="18"/>
      <c r="K12848" s="18" t="s">
        <v>316</v>
      </c>
    </row>
    <row r="12849">
      <c r="A12849" s="17"/>
      <c r="H12849" s="18"/>
      <c r="K12849" s="18" t="s">
        <v>316</v>
      </c>
    </row>
    <row r="12850">
      <c r="A12850" s="17"/>
      <c r="H12850" s="18"/>
      <c r="K12850" s="18" t="s">
        <v>316</v>
      </c>
    </row>
    <row r="12851">
      <c r="A12851" s="17"/>
      <c r="H12851" s="18"/>
      <c r="K12851" s="18" t="s">
        <v>316</v>
      </c>
    </row>
    <row r="12852">
      <c r="A12852" s="17"/>
      <c r="H12852" s="18"/>
      <c r="K12852" s="18" t="s">
        <v>316</v>
      </c>
    </row>
    <row r="12853">
      <c r="A12853" s="17"/>
      <c r="H12853" s="18"/>
      <c r="K12853" s="18" t="s">
        <v>316</v>
      </c>
    </row>
    <row r="12854">
      <c r="A12854" s="17"/>
      <c r="H12854" s="18"/>
      <c r="K12854" s="18" t="s">
        <v>316</v>
      </c>
    </row>
    <row r="12855">
      <c r="A12855" s="17"/>
      <c r="H12855" s="18"/>
      <c r="K12855" s="18" t="s">
        <v>316</v>
      </c>
    </row>
    <row r="12856">
      <c r="A12856" s="17"/>
      <c r="H12856" s="18"/>
      <c r="K12856" s="18" t="s">
        <v>316</v>
      </c>
    </row>
    <row r="12857">
      <c r="A12857" s="17"/>
      <c r="H12857" s="18"/>
      <c r="K12857" s="18" t="s">
        <v>316</v>
      </c>
    </row>
    <row r="12858">
      <c r="A12858" s="17"/>
      <c r="H12858" s="18"/>
      <c r="K12858" s="18" t="s">
        <v>316</v>
      </c>
    </row>
    <row r="12859">
      <c r="A12859" s="17"/>
      <c r="H12859" s="18"/>
      <c r="K12859" s="18" t="s">
        <v>316</v>
      </c>
    </row>
    <row r="12860">
      <c r="A12860" s="17"/>
      <c r="H12860" s="18"/>
      <c r="K12860" s="18" t="s">
        <v>316</v>
      </c>
    </row>
    <row r="12861">
      <c r="A12861" s="17"/>
      <c r="H12861" s="18"/>
      <c r="K12861" s="18" t="s">
        <v>316</v>
      </c>
    </row>
    <row r="12862">
      <c r="A12862" s="17"/>
      <c r="H12862" s="18"/>
      <c r="K12862" s="18" t="s">
        <v>316</v>
      </c>
    </row>
    <row r="12863">
      <c r="A12863" s="17"/>
      <c r="H12863" s="18"/>
      <c r="K12863" s="18" t="s">
        <v>316</v>
      </c>
    </row>
    <row r="12864">
      <c r="A12864" s="17"/>
      <c r="H12864" s="18"/>
      <c r="K12864" s="18" t="s">
        <v>316</v>
      </c>
    </row>
    <row r="12865">
      <c r="A12865" s="17"/>
      <c r="H12865" s="18"/>
      <c r="K12865" s="18" t="s">
        <v>316</v>
      </c>
    </row>
    <row r="12866">
      <c r="A12866" s="17"/>
      <c r="H12866" s="18"/>
      <c r="K12866" s="18" t="s">
        <v>316</v>
      </c>
    </row>
    <row r="12867">
      <c r="A12867" s="17"/>
      <c r="H12867" s="18"/>
      <c r="K12867" s="18" t="s">
        <v>316</v>
      </c>
    </row>
    <row r="12868">
      <c r="A12868" s="17"/>
      <c r="H12868" s="18"/>
      <c r="K12868" s="18" t="s">
        <v>316</v>
      </c>
    </row>
    <row r="12869">
      <c r="A12869" s="17"/>
      <c r="H12869" s="18"/>
      <c r="K12869" s="18" t="s">
        <v>316</v>
      </c>
    </row>
    <row r="12870">
      <c r="A12870" s="17"/>
      <c r="H12870" s="18"/>
      <c r="K12870" s="18" t="s">
        <v>316</v>
      </c>
    </row>
    <row r="12871">
      <c r="A12871" s="17"/>
      <c r="H12871" s="18"/>
      <c r="K12871" s="18" t="s">
        <v>316</v>
      </c>
    </row>
    <row r="12872">
      <c r="A12872" s="17"/>
      <c r="H12872" s="18"/>
      <c r="K12872" s="18" t="s">
        <v>316</v>
      </c>
    </row>
    <row r="12873">
      <c r="A12873" s="17"/>
      <c r="H12873" s="18"/>
      <c r="K12873" s="18" t="s">
        <v>316</v>
      </c>
    </row>
    <row r="12874">
      <c r="A12874" s="17"/>
      <c r="H12874" s="18"/>
      <c r="K12874" s="18" t="s">
        <v>316</v>
      </c>
    </row>
    <row r="12875">
      <c r="A12875" s="17"/>
      <c r="H12875" s="18"/>
      <c r="K12875" s="18" t="s">
        <v>316</v>
      </c>
    </row>
    <row r="12876">
      <c r="A12876" s="17"/>
      <c r="H12876" s="18"/>
      <c r="K12876" s="18" t="s">
        <v>316</v>
      </c>
    </row>
    <row r="12877">
      <c r="A12877" s="17"/>
      <c r="H12877" s="18"/>
      <c r="K12877" s="18" t="s">
        <v>316</v>
      </c>
    </row>
    <row r="12878">
      <c r="A12878" s="17"/>
      <c r="H12878" s="18"/>
      <c r="K12878" s="18" t="s">
        <v>316</v>
      </c>
    </row>
    <row r="12879">
      <c r="A12879" s="17"/>
      <c r="H12879" s="18"/>
      <c r="K12879" s="18" t="s">
        <v>316</v>
      </c>
    </row>
    <row r="12880">
      <c r="A12880" s="17"/>
      <c r="H12880" s="18"/>
      <c r="K12880" s="18" t="s">
        <v>316</v>
      </c>
    </row>
    <row r="12881">
      <c r="A12881" s="17"/>
      <c r="H12881" s="18"/>
      <c r="K12881" s="18" t="s">
        <v>316</v>
      </c>
    </row>
    <row r="12882">
      <c r="A12882" s="17"/>
      <c r="H12882" s="18"/>
      <c r="K12882" s="18" t="s">
        <v>316</v>
      </c>
    </row>
    <row r="12883">
      <c r="A12883" s="17"/>
      <c r="H12883" s="18"/>
      <c r="K12883" s="18" t="s">
        <v>316</v>
      </c>
    </row>
    <row r="12884">
      <c r="A12884" s="17"/>
      <c r="H12884" s="18"/>
      <c r="K12884" s="18" t="s">
        <v>316</v>
      </c>
    </row>
    <row r="12885">
      <c r="A12885" s="17"/>
      <c r="H12885" s="18"/>
      <c r="K12885" s="18" t="s">
        <v>316</v>
      </c>
    </row>
    <row r="12886">
      <c r="A12886" s="17"/>
      <c r="H12886" s="18"/>
      <c r="K12886" s="18" t="s">
        <v>316</v>
      </c>
    </row>
    <row r="12887">
      <c r="A12887" s="17"/>
      <c r="H12887" s="18"/>
      <c r="K12887" s="18" t="s">
        <v>316</v>
      </c>
    </row>
    <row r="12888">
      <c r="A12888" s="17"/>
      <c r="H12888" s="18"/>
      <c r="K12888" s="18" t="s">
        <v>316</v>
      </c>
    </row>
    <row r="12889">
      <c r="A12889" s="17"/>
      <c r="H12889" s="18"/>
      <c r="K12889" s="18" t="s">
        <v>316</v>
      </c>
    </row>
    <row r="12890">
      <c r="A12890" s="17"/>
      <c r="H12890" s="18"/>
      <c r="K12890" s="18" t="s">
        <v>316</v>
      </c>
    </row>
    <row r="12891">
      <c r="A12891" s="17"/>
      <c r="H12891" s="18"/>
      <c r="K12891" s="18" t="s">
        <v>316</v>
      </c>
    </row>
    <row r="12892">
      <c r="A12892" s="17"/>
      <c r="H12892" s="18"/>
      <c r="K12892" s="18" t="s">
        <v>316</v>
      </c>
    </row>
    <row r="12893">
      <c r="A12893" s="17"/>
      <c r="H12893" s="18"/>
      <c r="K12893" s="18" t="s">
        <v>316</v>
      </c>
    </row>
    <row r="12894">
      <c r="A12894" s="17"/>
      <c r="H12894" s="18"/>
      <c r="K12894" s="18" t="s">
        <v>316</v>
      </c>
    </row>
    <row r="12895">
      <c r="A12895" s="17"/>
      <c r="H12895" s="18"/>
      <c r="K12895" s="18" t="s">
        <v>316</v>
      </c>
    </row>
    <row r="12896">
      <c r="A12896" s="17"/>
      <c r="H12896" s="18"/>
      <c r="K12896" s="18" t="s">
        <v>316</v>
      </c>
    </row>
    <row r="12897">
      <c r="A12897" s="17"/>
      <c r="H12897" s="18"/>
      <c r="K12897" s="18" t="s">
        <v>316</v>
      </c>
    </row>
    <row r="12898">
      <c r="A12898" s="17"/>
      <c r="H12898" s="18"/>
      <c r="K12898" s="18" t="s">
        <v>316</v>
      </c>
    </row>
    <row r="12899">
      <c r="A12899" s="17"/>
      <c r="H12899" s="18"/>
      <c r="K12899" s="18" t="s">
        <v>316</v>
      </c>
    </row>
    <row r="12900">
      <c r="A12900" s="17"/>
      <c r="H12900" s="18"/>
      <c r="K12900" s="18" t="s">
        <v>316</v>
      </c>
    </row>
    <row r="12901">
      <c r="A12901" s="17"/>
      <c r="H12901" s="18"/>
      <c r="K12901" s="18" t="s">
        <v>316</v>
      </c>
    </row>
    <row r="12902">
      <c r="A12902" s="17"/>
      <c r="H12902" s="18"/>
      <c r="K12902" s="18" t="s">
        <v>316</v>
      </c>
    </row>
    <row r="12903">
      <c r="A12903" s="17"/>
      <c r="H12903" s="18"/>
      <c r="K12903" s="18" t="s">
        <v>316</v>
      </c>
    </row>
    <row r="12904">
      <c r="A12904" s="17"/>
      <c r="H12904" s="18"/>
      <c r="K12904" s="18" t="s">
        <v>316</v>
      </c>
    </row>
    <row r="12905">
      <c r="A12905" s="17"/>
      <c r="H12905" s="18"/>
      <c r="K12905" s="18" t="s">
        <v>316</v>
      </c>
    </row>
    <row r="12906">
      <c r="A12906" s="17"/>
      <c r="H12906" s="18"/>
      <c r="K12906" s="18" t="s">
        <v>316</v>
      </c>
    </row>
    <row r="12907">
      <c r="A12907" s="17"/>
      <c r="H12907" s="18"/>
      <c r="K12907" s="18" t="s">
        <v>316</v>
      </c>
    </row>
    <row r="12908">
      <c r="A12908" s="17"/>
      <c r="H12908" s="18"/>
      <c r="K12908" s="18" t="s">
        <v>316</v>
      </c>
    </row>
    <row r="12909">
      <c r="A12909" s="17"/>
      <c r="H12909" s="18"/>
      <c r="K12909" s="18" t="s">
        <v>316</v>
      </c>
    </row>
    <row r="12910">
      <c r="A12910" s="17"/>
      <c r="H12910" s="18"/>
      <c r="K12910" s="18" t="s">
        <v>316</v>
      </c>
    </row>
    <row r="12911">
      <c r="A12911" s="17"/>
      <c r="H12911" s="18"/>
      <c r="K12911" s="18" t="s">
        <v>316</v>
      </c>
    </row>
    <row r="12912">
      <c r="A12912" s="17"/>
      <c r="H12912" s="18"/>
      <c r="K12912" s="18" t="s">
        <v>316</v>
      </c>
    </row>
    <row r="12913">
      <c r="A12913" s="17"/>
      <c r="H12913" s="18"/>
      <c r="K12913" s="18" t="s">
        <v>316</v>
      </c>
    </row>
    <row r="12914">
      <c r="A12914" s="17"/>
      <c r="H12914" s="18"/>
      <c r="K12914" s="18" t="s">
        <v>316</v>
      </c>
    </row>
    <row r="12915">
      <c r="A12915" s="17"/>
      <c r="H12915" s="18"/>
      <c r="K12915" s="18" t="s">
        <v>316</v>
      </c>
    </row>
    <row r="12916">
      <c r="A12916" s="17"/>
      <c r="H12916" s="18"/>
      <c r="K12916" s="18" t="s">
        <v>316</v>
      </c>
    </row>
    <row r="12917">
      <c r="A12917" s="17"/>
      <c r="H12917" s="18"/>
      <c r="K12917" s="18" t="s">
        <v>316</v>
      </c>
    </row>
    <row r="12918">
      <c r="A12918" s="17"/>
      <c r="H12918" s="18"/>
      <c r="K12918" s="18" t="s">
        <v>316</v>
      </c>
    </row>
    <row r="12919">
      <c r="A12919" s="17"/>
      <c r="H12919" s="18"/>
      <c r="K12919" s="18" t="s">
        <v>316</v>
      </c>
    </row>
    <row r="12920">
      <c r="A12920" s="17"/>
      <c r="H12920" s="18"/>
      <c r="K12920" s="18" t="s">
        <v>316</v>
      </c>
    </row>
    <row r="12921">
      <c r="A12921" s="17"/>
      <c r="H12921" s="18"/>
      <c r="K12921" s="18" t="s">
        <v>316</v>
      </c>
    </row>
    <row r="12922">
      <c r="A12922" s="17"/>
      <c r="H12922" s="18"/>
      <c r="K12922" s="18" t="s">
        <v>316</v>
      </c>
    </row>
    <row r="12923">
      <c r="A12923" s="17"/>
      <c r="H12923" s="18"/>
      <c r="K12923" s="18" t="s">
        <v>316</v>
      </c>
    </row>
    <row r="12924">
      <c r="A12924" s="17"/>
      <c r="H12924" s="18"/>
      <c r="K12924" s="18" t="s">
        <v>316</v>
      </c>
    </row>
    <row r="12925">
      <c r="A12925" s="17"/>
      <c r="H12925" s="18"/>
      <c r="K12925" s="18" t="s">
        <v>316</v>
      </c>
    </row>
    <row r="12926">
      <c r="A12926" s="17"/>
      <c r="H12926" s="18"/>
      <c r="K12926" s="18" t="s">
        <v>316</v>
      </c>
    </row>
    <row r="12927">
      <c r="A12927" s="17"/>
      <c r="H12927" s="18"/>
      <c r="K12927" s="18" t="s">
        <v>316</v>
      </c>
    </row>
    <row r="12928">
      <c r="A12928" s="17"/>
      <c r="H12928" s="18"/>
      <c r="K12928" s="18" t="s">
        <v>316</v>
      </c>
    </row>
    <row r="12929">
      <c r="A12929" s="17"/>
      <c r="H12929" s="18"/>
      <c r="K12929" s="18" t="s">
        <v>316</v>
      </c>
    </row>
    <row r="12930">
      <c r="A12930" s="17"/>
      <c r="H12930" s="18"/>
      <c r="K12930" s="18" t="s">
        <v>316</v>
      </c>
    </row>
    <row r="12931">
      <c r="A12931" s="17"/>
      <c r="H12931" s="18"/>
      <c r="K12931" s="18" t="s">
        <v>316</v>
      </c>
    </row>
    <row r="12932">
      <c r="A12932" s="17"/>
      <c r="H12932" s="18"/>
      <c r="K12932" s="18" t="s">
        <v>316</v>
      </c>
    </row>
    <row r="12933">
      <c r="A12933" s="17"/>
      <c r="H12933" s="18"/>
      <c r="K12933" s="18" t="s">
        <v>316</v>
      </c>
    </row>
    <row r="12934">
      <c r="A12934" s="17"/>
      <c r="H12934" s="18"/>
      <c r="K12934" s="18" t="s">
        <v>316</v>
      </c>
    </row>
    <row r="12935">
      <c r="A12935" s="17"/>
      <c r="H12935" s="18"/>
      <c r="K12935" s="18" t="s">
        <v>316</v>
      </c>
    </row>
    <row r="12936">
      <c r="A12936" s="17"/>
      <c r="H12936" s="18"/>
      <c r="K12936" s="18" t="s">
        <v>316</v>
      </c>
    </row>
    <row r="12937">
      <c r="A12937" s="17"/>
      <c r="H12937" s="18"/>
      <c r="K12937" s="18" t="s">
        <v>316</v>
      </c>
    </row>
    <row r="12938">
      <c r="A12938" s="17"/>
      <c r="H12938" s="18"/>
      <c r="K12938" s="18" t="s">
        <v>316</v>
      </c>
    </row>
    <row r="12939">
      <c r="A12939" s="17"/>
      <c r="H12939" s="18"/>
      <c r="K12939" s="18" t="s">
        <v>316</v>
      </c>
    </row>
    <row r="12940">
      <c r="A12940" s="17"/>
      <c r="H12940" s="18"/>
      <c r="K12940" s="18" t="s">
        <v>316</v>
      </c>
    </row>
    <row r="12941">
      <c r="A12941" s="17"/>
      <c r="H12941" s="18"/>
      <c r="K12941" s="18" t="s">
        <v>316</v>
      </c>
    </row>
    <row r="12942">
      <c r="A12942" s="17"/>
      <c r="H12942" s="18"/>
      <c r="K12942" s="18" t="s">
        <v>316</v>
      </c>
    </row>
    <row r="12943">
      <c r="A12943" s="17"/>
      <c r="H12943" s="18"/>
      <c r="K12943" s="18" t="s">
        <v>316</v>
      </c>
    </row>
    <row r="12944">
      <c r="A12944" s="17"/>
      <c r="H12944" s="18"/>
      <c r="K12944" s="18" t="s">
        <v>316</v>
      </c>
    </row>
    <row r="12945">
      <c r="A12945" s="17"/>
      <c r="H12945" s="18"/>
      <c r="K12945" s="18" t="s">
        <v>316</v>
      </c>
    </row>
    <row r="12946">
      <c r="A12946" s="17"/>
      <c r="H12946" s="18"/>
      <c r="K12946" s="18" t="s">
        <v>316</v>
      </c>
    </row>
    <row r="12947">
      <c r="A12947" s="17"/>
      <c r="H12947" s="18"/>
      <c r="K12947" s="18" t="s">
        <v>316</v>
      </c>
    </row>
    <row r="12948">
      <c r="A12948" s="17"/>
      <c r="H12948" s="18"/>
      <c r="K12948" s="18" t="s">
        <v>316</v>
      </c>
    </row>
    <row r="12949">
      <c r="A12949" s="17"/>
      <c r="H12949" s="18"/>
      <c r="K12949" s="18" t="s">
        <v>316</v>
      </c>
    </row>
    <row r="12950">
      <c r="A12950" s="17"/>
      <c r="H12950" s="18"/>
      <c r="K12950" s="18" t="s">
        <v>316</v>
      </c>
    </row>
    <row r="12951">
      <c r="A12951" s="17"/>
      <c r="H12951" s="18"/>
      <c r="K12951" s="18" t="s">
        <v>316</v>
      </c>
    </row>
    <row r="12952">
      <c r="A12952" s="17"/>
      <c r="H12952" s="18"/>
      <c r="K12952" s="18" t="s">
        <v>316</v>
      </c>
    </row>
    <row r="12953">
      <c r="A12953" s="17"/>
      <c r="H12953" s="18"/>
      <c r="K12953" s="18" t="s">
        <v>316</v>
      </c>
    </row>
    <row r="12954">
      <c r="A12954" s="17"/>
      <c r="H12954" s="18"/>
      <c r="K12954" s="18" t="s">
        <v>316</v>
      </c>
    </row>
    <row r="12955">
      <c r="A12955" s="17"/>
      <c r="H12955" s="18"/>
      <c r="K12955" s="18" t="s">
        <v>316</v>
      </c>
    </row>
    <row r="12956">
      <c r="A12956" s="17"/>
      <c r="H12956" s="18"/>
      <c r="K12956" s="18" t="s">
        <v>316</v>
      </c>
    </row>
    <row r="12957">
      <c r="A12957" s="17"/>
      <c r="H12957" s="18"/>
      <c r="K12957" s="18" t="s">
        <v>316</v>
      </c>
    </row>
    <row r="12958">
      <c r="A12958" s="17"/>
      <c r="H12958" s="18"/>
      <c r="K12958" s="18" t="s">
        <v>316</v>
      </c>
    </row>
    <row r="12959">
      <c r="A12959" s="17"/>
      <c r="H12959" s="18"/>
      <c r="K12959" s="18" t="s">
        <v>316</v>
      </c>
    </row>
    <row r="12960">
      <c r="A12960" s="17"/>
      <c r="H12960" s="18"/>
      <c r="K12960" s="18" t="s">
        <v>316</v>
      </c>
    </row>
    <row r="12961">
      <c r="A12961" s="17"/>
      <c r="H12961" s="18"/>
      <c r="K12961" s="18" t="s">
        <v>316</v>
      </c>
    </row>
    <row r="12962">
      <c r="A12962" s="17"/>
      <c r="H12962" s="18"/>
      <c r="K12962" s="18" t="s">
        <v>316</v>
      </c>
    </row>
    <row r="12963">
      <c r="A12963" s="17"/>
      <c r="H12963" s="18"/>
      <c r="K12963" s="18" t="s">
        <v>316</v>
      </c>
    </row>
    <row r="12964">
      <c r="A12964" s="17"/>
      <c r="H12964" s="18"/>
      <c r="K12964" s="18" t="s">
        <v>316</v>
      </c>
    </row>
    <row r="12965">
      <c r="A12965" s="17"/>
      <c r="H12965" s="18"/>
      <c r="K12965" s="18" t="s">
        <v>316</v>
      </c>
    </row>
    <row r="12966">
      <c r="A12966" s="17"/>
      <c r="H12966" s="18"/>
      <c r="K12966" s="18" t="s">
        <v>316</v>
      </c>
    </row>
    <row r="12967">
      <c r="A12967" s="17"/>
      <c r="H12967" s="18"/>
      <c r="K12967" s="18" t="s">
        <v>316</v>
      </c>
    </row>
    <row r="12968">
      <c r="A12968" s="17"/>
      <c r="H12968" s="18"/>
      <c r="K12968" s="18" t="s">
        <v>316</v>
      </c>
    </row>
    <row r="12969">
      <c r="A12969" s="17"/>
      <c r="H12969" s="18"/>
      <c r="K12969" s="18" t="s">
        <v>316</v>
      </c>
    </row>
    <row r="12970">
      <c r="A12970" s="17"/>
      <c r="H12970" s="18"/>
      <c r="K12970" s="18" t="s">
        <v>316</v>
      </c>
    </row>
    <row r="12971">
      <c r="A12971" s="17"/>
      <c r="H12971" s="18"/>
      <c r="K12971" s="18" t="s">
        <v>316</v>
      </c>
    </row>
    <row r="12972">
      <c r="A12972" s="17"/>
      <c r="H12972" s="18"/>
      <c r="K12972" s="18" t="s">
        <v>316</v>
      </c>
    </row>
    <row r="12973">
      <c r="A12973" s="17"/>
      <c r="H12973" s="18"/>
      <c r="K12973" s="18" t="s">
        <v>316</v>
      </c>
    </row>
    <row r="12974">
      <c r="A12974" s="17"/>
      <c r="H12974" s="18"/>
      <c r="K12974" s="18" t="s">
        <v>316</v>
      </c>
    </row>
    <row r="12975">
      <c r="A12975" s="17"/>
      <c r="H12975" s="18"/>
      <c r="K12975" s="18" t="s">
        <v>316</v>
      </c>
    </row>
    <row r="12976">
      <c r="A12976" s="17"/>
      <c r="H12976" s="18"/>
      <c r="K12976" s="18" t="s">
        <v>316</v>
      </c>
    </row>
    <row r="12977">
      <c r="A12977" s="17"/>
      <c r="H12977" s="18"/>
      <c r="K12977" s="18" t="s">
        <v>316</v>
      </c>
    </row>
    <row r="12978">
      <c r="A12978" s="17"/>
      <c r="H12978" s="18"/>
      <c r="K12978" s="18" t="s">
        <v>316</v>
      </c>
    </row>
    <row r="12979">
      <c r="A12979" s="17"/>
      <c r="H12979" s="18"/>
      <c r="K12979" s="18" t="s">
        <v>316</v>
      </c>
    </row>
    <row r="12980">
      <c r="A12980" s="17"/>
      <c r="H12980" s="18"/>
      <c r="K12980" s="18" t="s">
        <v>316</v>
      </c>
    </row>
    <row r="12981">
      <c r="A12981" s="17"/>
      <c r="H12981" s="18"/>
      <c r="K12981" s="18" t="s">
        <v>316</v>
      </c>
    </row>
    <row r="12982">
      <c r="A12982" s="17"/>
      <c r="H12982" s="18"/>
      <c r="K12982" s="18" t="s">
        <v>316</v>
      </c>
    </row>
    <row r="12983">
      <c r="A12983" s="17"/>
      <c r="H12983" s="18"/>
      <c r="K12983" s="18" t="s">
        <v>316</v>
      </c>
    </row>
    <row r="12984">
      <c r="A12984" s="17"/>
      <c r="H12984" s="18"/>
      <c r="K12984" s="18" t="s">
        <v>316</v>
      </c>
    </row>
    <row r="12985">
      <c r="A12985" s="17"/>
      <c r="H12985" s="18"/>
      <c r="K12985" s="18" t="s">
        <v>316</v>
      </c>
    </row>
    <row r="12986">
      <c r="A12986" s="17"/>
      <c r="H12986" s="18"/>
      <c r="K12986" s="18" t="s">
        <v>316</v>
      </c>
    </row>
    <row r="12987">
      <c r="A12987" s="17"/>
      <c r="H12987" s="18"/>
      <c r="K12987" s="18" t="s">
        <v>316</v>
      </c>
    </row>
    <row r="12988">
      <c r="A12988" s="17"/>
      <c r="H12988" s="18"/>
      <c r="K12988" s="18" t="s">
        <v>316</v>
      </c>
    </row>
    <row r="12989">
      <c r="A12989" s="17"/>
      <c r="H12989" s="18"/>
      <c r="K12989" s="18" t="s">
        <v>316</v>
      </c>
    </row>
    <row r="12990">
      <c r="A12990" s="17"/>
      <c r="H12990" s="18"/>
      <c r="K12990" s="18" t="s">
        <v>316</v>
      </c>
    </row>
    <row r="12991">
      <c r="A12991" s="17"/>
      <c r="H12991" s="18"/>
      <c r="K12991" s="18" t="s">
        <v>316</v>
      </c>
    </row>
    <row r="12992">
      <c r="A12992" s="17"/>
      <c r="H12992" s="18"/>
      <c r="K12992" s="18" t="s">
        <v>316</v>
      </c>
    </row>
    <row r="12993">
      <c r="A12993" s="17"/>
      <c r="H12993" s="18"/>
      <c r="K12993" s="18" t="s">
        <v>316</v>
      </c>
    </row>
    <row r="12994">
      <c r="A12994" s="17"/>
      <c r="H12994" s="18"/>
      <c r="K12994" s="18" t="s">
        <v>316</v>
      </c>
    </row>
    <row r="12995">
      <c r="A12995" s="17"/>
      <c r="H12995" s="18"/>
      <c r="K12995" s="18" t="s">
        <v>316</v>
      </c>
    </row>
    <row r="12996">
      <c r="A12996" s="17"/>
      <c r="H12996" s="18"/>
      <c r="K12996" s="18" t="s">
        <v>316</v>
      </c>
    </row>
    <row r="12997">
      <c r="A12997" s="17"/>
      <c r="H12997" s="18"/>
      <c r="K12997" s="18" t="s">
        <v>316</v>
      </c>
    </row>
    <row r="12998">
      <c r="A12998" s="17"/>
      <c r="H12998" s="18"/>
      <c r="K12998" s="18" t="s">
        <v>316</v>
      </c>
    </row>
    <row r="12999">
      <c r="A12999" s="17"/>
      <c r="H12999" s="18"/>
      <c r="K12999" s="18" t="s">
        <v>316</v>
      </c>
    </row>
    <row r="13000">
      <c r="A13000" s="17"/>
      <c r="H13000" s="18"/>
      <c r="K13000" s="18" t="s">
        <v>316</v>
      </c>
    </row>
    <row r="13001">
      <c r="A13001" s="17"/>
      <c r="H13001" s="18"/>
      <c r="K13001" s="18" t="s">
        <v>316</v>
      </c>
    </row>
    <row r="13002">
      <c r="A13002" s="17"/>
      <c r="H13002" s="18"/>
      <c r="K13002" s="18" t="s">
        <v>316</v>
      </c>
    </row>
    <row r="13003">
      <c r="A13003" s="17"/>
      <c r="H13003" s="18"/>
      <c r="K13003" s="18" t="s">
        <v>316</v>
      </c>
    </row>
    <row r="13004">
      <c r="A13004" s="17"/>
      <c r="H13004" s="18"/>
      <c r="K13004" s="18" t="s">
        <v>316</v>
      </c>
    </row>
    <row r="13005">
      <c r="A13005" s="17"/>
      <c r="H13005" s="18"/>
      <c r="K13005" s="18" t="s">
        <v>316</v>
      </c>
    </row>
    <row r="13006">
      <c r="A13006" s="17"/>
      <c r="H13006" s="18"/>
      <c r="K13006" s="18" t="s">
        <v>316</v>
      </c>
    </row>
    <row r="13007">
      <c r="A13007" s="17"/>
      <c r="H13007" s="18"/>
      <c r="K13007" s="18" t="s">
        <v>316</v>
      </c>
    </row>
    <row r="13008">
      <c r="A13008" s="17"/>
      <c r="H13008" s="18"/>
      <c r="K13008" s="18" t="s">
        <v>316</v>
      </c>
    </row>
    <row r="13009">
      <c r="A13009" s="17"/>
      <c r="H13009" s="18"/>
      <c r="K13009" s="18" t="s">
        <v>316</v>
      </c>
    </row>
    <row r="13010">
      <c r="A13010" s="17"/>
      <c r="H13010" s="18"/>
      <c r="K13010" s="18" t="s">
        <v>316</v>
      </c>
    </row>
    <row r="13011">
      <c r="A13011" s="17"/>
      <c r="H13011" s="18"/>
      <c r="K13011" s="18" t="s">
        <v>316</v>
      </c>
    </row>
    <row r="13012">
      <c r="A13012" s="17"/>
      <c r="H13012" s="18"/>
      <c r="K13012" s="18" t="s">
        <v>316</v>
      </c>
    </row>
    <row r="13013">
      <c r="A13013" s="17"/>
      <c r="H13013" s="18"/>
      <c r="K13013" s="18" t="s">
        <v>316</v>
      </c>
    </row>
    <row r="13014">
      <c r="A13014" s="17"/>
      <c r="H13014" s="18"/>
      <c r="K13014" s="18" t="s">
        <v>316</v>
      </c>
    </row>
    <row r="13015">
      <c r="A13015" s="17"/>
      <c r="H13015" s="18"/>
      <c r="K13015" s="18" t="s">
        <v>316</v>
      </c>
    </row>
    <row r="13016">
      <c r="A13016" s="17"/>
      <c r="H13016" s="18"/>
      <c r="K13016" s="18" t="s">
        <v>316</v>
      </c>
    </row>
    <row r="13017">
      <c r="A13017" s="17"/>
      <c r="H13017" s="18"/>
      <c r="K13017" s="18" t="s">
        <v>316</v>
      </c>
    </row>
    <row r="13018">
      <c r="A13018" s="17"/>
      <c r="H13018" s="18"/>
      <c r="K13018" s="18" t="s">
        <v>316</v>
      </c>
    </row>
    <row r="13019">
      <c r="A13019" s="17"/>
      <c r="H13019" s="18"/>
      <c r="K13019" s="18" t="s">
        <v>316</v>
      </c>
    </row>
    <row r="13020">
      <c r="A13020" s="17"/>
      <c r="H13020" s="18"/>
      <c r="K13020" s="18" t="s">
        <v>316</v>
      </c>
    </row>
    <row r="13021">
      <c r="A13021" s="17"/>
      <c r="H13021" s="18"/>
      <c r="K13021" s="18" t="s">
        <v>316</v>
      </c>
    </row>
    <row r="13022">
      <c r="A13022" s="17"/>
      <c r="H13022" s="18"/>
      <c r="K13022" s="18" t="s">
        <v>316</v>
      </c>
    </row>
    <row r="13023">
      <c r="A13023" s="17"/>
      <c r="H13023" s="18"/>
      <c r="K13023" s="18" t="s">
        <v>316</v>
      </c>
    </row>
    <row r="13024">
      <c r="A13024" s="17"/>
      <c r="H13024" s="18"/>
      <c r="K13024" s="18" t="s">
        <v>316</v>
      </c>
    </row>
    <row r="13025">
      <c r="A13025" s="17"/>
      <c r="H13025" s="18"/>
      <c r="K13025" s="18" t="s">
        <v>316</v>
      </c>
    </row>
    <row r="13026">
      <c r="A13026" s="17"/>
      <c r="H13026" s="18"/>
      <c r="K13026" s="18" t="s">
        <v>316</v>
      </c>
    </row>
    <row r="13027">
      <c r="A13027" s="17"/>
      <c r="H13027" s="18"/>
      <c r="K13027" s="18" t="s">
        <v>316</v>
      </c>
    </row>
    <row r="13028">
      <c r="A13028" s="17"/>
      <c r="H13028" s="18"/>
      <c r="K13028" s="18" t="s">
        <v>316</v>
      </c>
    </row>
    <row r="13029">
      <c r="A13029" s="17"/>
      <c r="H13029" s="18"/>
      <c r="K13029" s="18" t="s">
        <v>316</v>
      </c>
    </row>
    <row r="13030">
      <c r="A13030" s="17"/>
      <c r="H13030" s="18"/>
      <c r="K13030" s="18" t="s">
        <v>316</v>
      </c>
    </row>
    <row r="13031">
      <c r="A13031" s="17"/>
      <c r="H13031" s="18"/>
      <c r="K13031" s="18" t="s">
        <v>316</v>
      </c>
    </row>
    <row r="13032">
      <c r="A13032" s="17"/>
      <c r="H13032" s="18"/>
      <c r="K13032" s="18" t="s">
        <v>316</v>
      </c>
    </row>
    <row r="13033">
      <c r="A13033" s="17"/>
      <c r="H13033" s="18"/>
      <c r="K13033" s="18" t="s">
        <v>316</v>
      </c>
    </row>
    <row r="13034">
      <c r="A13034" s="17"/>
      <c r="H13034" s="18"/>
      <c r="K13034" s="18" t="s">
        <v>316</v>
      </c>
    </row>
    <row r="13035">
      <c r="A13035" s="17"/>
      <c r="H13035" s="18"/>
      <c r="K13035" s="18" t="s">
        <v>316</v>
      </c>
    </row>
    <row r="13036">
      <c r="A13036" s="17"/>
      <c r="H13036" s="18"/>
      <c r="K13036" s="18" t="s">
        <v>316</v>
      </c>
    </row>
    <row r="13037">
      <c r="A13037" s="17"/>
      <c r="H13037" s="18"/>
      <c r="K13037" s="18" t="s">
        <v>316</v>
      </c>
    </row>
    <row r="13038">
      <c r="A13038" s="17"/>
      <c r="H13038" s="18"/>
      <c r="K13038" s="18" t="s">
        <v>316</v>
      </c>
    </row>
    <row r="13039">
      <c r="A13039" s="17"/>
      <c r="H13039" s="18"/>
      <c r="K13039" s="18" t="s">
        <v>316</v>
      </c>
    </row>
    <row r="13040">
      <c r="A13040" s="17"/>
      <c r="H13040" s="18"/>
      <c r="K13040" s="18" t="s">
        <v>316</v>
      </c>
    </row>
    <row r="13041">
      <c r="A13041" s="17"/>
      <c r="H13041" s="18"/>
      <c r="K13041" s="18" t="s">
        <v>316</v>
      </c>
    </row>
    <row r="13042">
      <c r="A13042" s="17"/>
      <c r="H13042" s="18"/>
      <c r="K13042" s="18" t="s">
        <v>316</v>
      </c>
    </row>
    <row r="13043">
      <c r="A13043" s="17"/>
      <c r="H13043" s="18"/>
      <c r="K13043" s="18" t="s">
        <v>316</v>
      </c>
    </row>
    <row r="13044">
      <c r="A13044" s="17"/>
      <c r="H13044" s="18"/>
      <c r="K13044" s="18" t="s">
        <v>316</v>
      </c>
    </row>
    <row r="13045">
      <c r="A13045" s="17"/>
      <c r="H13045" s="18"/>
      <c r="K13045" s="18" t="s">
        <v>316</v>
      </c>
    </row>
    <row r="13046">
      <c r="A13046" s="17"/>
      <c r="H13046" s="18"/>
      <c r="K13046" s="18" t="s">
        <v>316</v>
      </c>
    </row>
    <row r="13047">
      <c r="A13047" s="17"/>
      <c r="H13047" s="18"/>
      <c r="K13047" s="18" t="s">
        <v>316</v>
      </c>
    </row>
    <row r="13048">
      <c r="A13048" s="17"/>
      <c r="H13048" s="18"/>
      <c r="K13048" s="18" t="s">
        <v>316</v>
      </c>
    </row>
    <row r="13049">
      <c r="A13049" s="17"/>
      <c r="H13049" s="18"/>
      <c r="K13049" s="18" t="s">
        <v>316</v>
      </c>
    </row>
    <row r="13050">
      <c r="A13050" s="17"/>
      <c r="H13050" s="18"/>
      <c r="K13050" s="18" t="s">
        <v>316</v>
      </c>
    </row>
    <row r="13051">
      <c r="A13051" s="17"/>
      <c r="H13051" s="18"/>
      <c r="K13051" s="18" t="s">
        <v>316</v>
      </c>
    </row>
    <row r="13052">
      <c r="A13052" s="17"/>
      <c r="H13052" s="18"/>
      <c r="K13052" s="18" t="s">
        <v>316</v>
      </c>
    </row>
    <row r="13053">
      <c r="A13053" s="17"/>
      <c r="H13053" s="18"/>
      <c r="K13053" s="18" t="s">
        <v>316</v>
      </c>
    </row>
    <row r="13054">
      <c r="A13054" s="17"/>
      <c r="H13054" s="18"/>
      <c r="K13054" s="18" t="s">
        <v>316</v>
      </c>
    </row>
    <row r="13055">
      <c r="A13055" s="17"/>
      <c r="H13055" s="18"/>
      <c r="K13055" s="18" t="s">
        <v>316</v>
      </c>
    </row>
    <row r="13056">
      <c r="A13056" s="17"/>
      <c r="H13056" s="18"/>
      <c r="K13056" s="18" t="s">
        <v>316</v>
      </c>
    </row>
    <row r="13057">
      <c r="A13057" s="17"/>
      <c r="H13057" s="18"/>
      <c r="K13057" s="18" t="s">
        <v>316</v>
      </c>
    </row>
    <row r="13058">
      <c r="A13058" s="17"/>
      <c r="H13058" s="18"/>
      <c r="K13058" s="18" t="s">
        <v>316</v>
      </c>
    </row>
    <row r="13059">
      <c r="A13059" s="17"/>
      <c r="H13059" s="18"/>
      <c r="K13059" s="18" t="s">
        <v>316</v>
      </c>
    </row>
    <row r="13060">
      <c r="A13060" s="17"/>
      <c r="H13060" s="18"/>
      <c r="K13060" s="18" t="s">
        <v>316</v>
      </c>
    </row>
    <row r="13061">
      <c r="A13061" s="17"/>
      <c r="H13061" s="18"/>
      <c r="K13061" s="18" t="s">
        <v>316</v>
      </c>
    </row>
    <row r="13062">
      <c r="A13062" s="17"/>
      <c r="H13062" s="18"/>
      <c r="K13062" s="18" t="s">
        <v>316</v>
      </c>
    </row>
    <row r="13063">
      <c r="A13063" s="17"/>
      <c r="H13063" s="18"/>
      <c r="K13063" s="18" t="s">
        <v>316</v>
      </c>
    </row>
    <row r="13064">
      <c r="A13064" s="17"/>
      <c r="H13064" s="18"/>
      <c r="K13064" s="18" t="s">
        <v>316</v>
      </c>
    </row>
    <row r="13065">
      <c r="A13065" s="17"/>
      <c r="H13065" s="18"/>
      <c r="K13065" s="18" t="s">
        <v>316</v>
      </c>
    </row>
    <row r="13066">
      <c r="A13066" s="17"/>
      <c r="H13066" s="18"/>
      <c r="K13066" s="18" t="s">
        <v>316</v>
      </c>
    </row>
    <row r="13067">
      <c r="A13067" s="17"/>
      <c r="H13067" s="18"/>
      <c r="K13067" s="18" t="s">
        <v>316</v>
      </c>
    </row>
    <row r="13068">
      <c r="A13068" s="17"/>
      <c r="H13068" s="18"/>
      <c r="K13068" s="18" t="s">
        <v>316</v>
      </c>
    </row>
    <row r="13069">
      <c r="A13069" s="17"/>
      <c r="H13069" s="18"/>
      <c r="K13069" s="18" t="s">
        <v>316</v>
      </c>
    </row>
    <row r="13070">
      <c r="A13070" s="17"/>
      <c r="H13070" s="18"/>
      <c r="K13070" s="18" t="s">
        <v>316</v>
      </c>
    </row>
    <row r="13071">
      <c r="A13071" s="17"/>
      <c r="H13071" s="18"/>
      <c r="K13071" s="18" t="s">
        <v>316</v>
      </c>
    </row>
    <row r="13072">
      <c r="A13072" s="17"/>
      <c r="H13072" s="18"/>
      <c r="K13072" s="18" t="s">
        <v>316</v>
      </c>
    </row>
    <row r="13073">
      <c r="A13073" s="17"/>
      <c r="H13073" s="18"/>
      <c r="K13073" s="18" t="s">
        <v>316</v>
      </c>
    </row>
    <row r="13074">
      <c r="A13074" s="17"/>
      <c r="H13074" s="18"/>
      <c r="K13074" s="18" t="s">
        <v>316</v>
      </c>
    </row>
    <row r="13075">
      <c r="A13075" s="17"/>
      <c r="H13075" s="18"/>
      <c r="K13075" s="18" t="s">
        <v>316</v>
      </c>
    </row>
    <row r="13076">
      <c r="A13076" s="17"/>
      <c r="H13076" s="18"/>
      <c r="K13076" s="18" t="s">
        <v>316</v>
      </c>
    </row>
    <row r="13077">
      <c r="A13077" s="17"/>
      <c r="H13077" s="18"/>
      <c r="K13077" s="18" t="s">
        <v>316</v>
      </c>
    </row>
    <row r="13078">
      <c r="A13078" s="17"/>
      <c r="H13078" s="18"/>
      <c r="K13078" s="18" t="s">
        <v>316</v>
      </c>
    </row>
    <row r="13079">
      <c r="A13079" s="17"/>
      <c r="H13079" s="18"/>
      <c r="K13079" s="18" t="s">
        <v>316</v>
      </c>
    </row>
    <row r="13080">
      <c r="A13080" s="17"/>
      <c r="H13080" s="18"/>
      <c r="K13080" s="18" t="s">
        <v>316</v>
      </c>
    </row>
    <row r="13081">
      <c r="A13081" s="17"/>
      <c r="H13081" s="18"/>
      <c r="K13081" s="18" t="s">
        <v>316</v>
      </c>
    </row>
    <row r="13082">
      <c r="A13082" s="17"/>
      <c r="H13082" s="18"/>
      <c r="K13082" s="18" t="s">
        <v>316</v>
      </c>
    </row>
    <row r="13083">
      <c r="A13083" s="17"/>
      <c r="H13083" s="18"/>
      <c r="K13083" s="18" t="s">
        <v>316</v>
      </c>
    </row>
    <row r="13084">
      <c r="A13084" s="17"/>
      <c r="H13084" s="18"/>
      <c r="K13084" s="18" t="s">
        <v>316</v>
      </c>
    </row>
    <row r="13085">
      <c r="A13085" s="17"/>
      <c r="H13085" s="18"/>
      <c r="K13085" s="18" t="s">
        <v>316</v>
      </c>
    </row>
    <row r="13086">
      <c r="A13086" s="17"/>
      <c r="H13086" s="18"/>
      <c r="K13086" s="18" t="s">
        <v>316</v>
      </c>
    </row>
    <row r="13087">
      <c r="A13087" s="17"/>
      <c r="H13087" s="18"/>
      <c r="K13087" s="18" t="s">
        <v>316</v>
      </c>
    </row>
    <row r="13088">
      <c r="A13088" s="17"/>
      <c r="H13088" s="18"/>
      <c r="K13088" s="18" t="s">
        <v>316</v>
      </c>
    </row>
    <row r="13089">
      <c r="A13089" s="17"/>
      <c r="H13089" s="18"/>
      <c r="K13089" s="18" t="s">
        <v>316</v>
      </c>
    </row>
    <row r="13090">
      <c r="A13090" s="17"/>
      <c r="H13090" s="18"/>
      <c r="K13090" s="18" t="s">
        <v>316</v>
      </c>
    </row>
    <row r="13091">
      <c r="A13091" s="17"/>
      <c r="H13091" s="18"/>
      <c r="K13091" s="18" t="s">
        <v>316</v>
      </c>
    </row>
    <row r="13092">
      <c r="A13092" s="17"/>
      <c r="H13092" s="18"/>
      <c r="K13092" s="18" t="s">
        <v>316</v>
      </c>
    </row>
    <row r="13093">
      <c r="A13093" s="17"/>
      <c r="H13093" s="18"/>
      <c r="K13093" s="18" t="s">
        <v>316</v>
      </c>
    </row>
    <row r="13094">
      <c r="A13094" s="17"/>
      <c r="H13094" s="18"/>
      <c r="K13094" s="18" t="s">
        <v>316</v>
      </c>
    </row>
    <row r="13095">
      <c r="A13095" s="17"/>
      <c r="H13095" s="18"/>
      <c r="K13095" s="18" t="s">
        <v>316</v>
      </c>
    </row>
    <row r="13096">
      <c r="A13096" s="17"/>
      <c r="H13096" s="18"/>
      <c r="K13096" s="18" t="s">
        <v>316</v>
      </c>
    </row>
    <row r="13097">
      <c r="A13097" s="17"/>
      <c r="H13097" s="18"/>
      <c r="K13097" s="18" t="s">
        <v>316</v>
      </c>
    </row>
    <row r="13098">
      <c r="A13098" s="17"/>
      <c r="H13098" s="18"/>
      <c r="K13098" s="18" t="s">
        <v>316</v>
      </c>
    </row>
    <row r="13099">
      <c r="A13099" s="17"/>
      <c r="H13099" s="18"/>
      <c r="K13099" s="18" t="s">
        <v>316</v>
      </c>
    </row>
    <row r="13100">
      <c r="A13100" s="17"/>
      <c r="H13100" s="18"/>
      <c r="K13100" s="18" t="s">
        <v>316</v>
      </c>
    </row>
    <row r="13101">
      <c r="A13101" s="17"/>
      <c r="H13101" s="18"/>
      <c r="K13101" s="18" t="s">
        <v>316</v>
      </c>
    </row>
    <row r="13102">
      <c r="A13102" s="17"/>
      <c r="H13102" s="18"/>
      <c r="K13102" s="18" t="s">
        <v>316</v>
      </c>
    </row>
    <row r="13103">
      <c r="A13103" s="17"/>
      <c r="H13103" s="18"/>
      <c r="K13103" s="18" t="s">
        <v>316</v>
      </c>
    </row>
    <row r="13104">
      <c r="A13104" s="17"/>
      <c r="H13104" s="18"/>
      <c r="K13104" s="18" t="s">
        <v>316</v>
      </c>
    </row>
    <row r="13105">
      <c r="A13105" s="17"/>
      <c r="H13105" s="18"/>
      <c r="K13105" s="18" t="s">
        <v>316</v>
      </c>
    </row>
    <row r="13106">
      <c r="A13106" s="17"/>
      <c r="H13106" s="18"/>
      <c r="K13106" s="18" t="s">
        <v>316</v>
      </c>
    </row>
    <row r="13107">
      <c r="A13107" s="17"/>
      <c r="H13107" s="18"/>
      <c r="K13107" s="18" t="s">
        <v>316</v>
      </c>
    </row>
    <row r="13108">
      <c r="A13108" s="17"/>
      <c r="H13108" s="18"/>
      <c r="K13108" s="18" t="s">
        <v>316</v>
      </c>
    </row>
    <row r="13109">
      <c r="A13109" s="17"/>
      <c r="H13109" s="18"/>
      <c r="K13109" s="18" t="s">
        <v>316</v>
      </c>
    </row>
    <row r="13110">
      <c r="A13110" s="17"/>
      <c r="H13110" s="18"/>
      <c r="K13110" s="18" t="s">
        <v>316</v>
      </c>
    </row>
    <row r="13111">
      <c r="A13111" s="17"/>
      <c r="H13111" s="18"/>
      <c r="K13111" s="18" t="s">
        <v>316</v>
      </c>
    </row>
    <row r="13112">
      <c r="A13112" s="17"/>
      <c r="H13112" s="18"/>
      <c r="K13112" s="18" t="s">
        <v>316</v>
      </c>
    </row>
    <row r="13113">
      <c r="A13113" s="17"/>
      <c r="H13113" s="18"/>
      <c r="K13113" s="18" t="s">
        <v>316</v>
      </c>
    </row>
    <row r="13114">
      <c r="A13114" s="17"/>
      <c r="H13114" s="18"/>
      <c r="K13114" s="18" t="s">
        <v>316</v>
      </c>
    </row>
    <row r="13115">
      <c r="A13115" s="17"/>
      <c r="H13115" s="18"/>
      <c r="K13115" s="18" t="s">
        <v>316</v>
      </c>
    </row>
    <row r="13116">
      <c r="A13116" s="17"/>
      <c r="H13116" s="18"/>
      <c r="K13116" s="18" t="s">
        <v>316</v>
      </c>
    </row>
    <row r="13117">
      <c r="A13117" s="17"/>
      <c r="H13117" s="18"/>
      <c r="K13117" s="18" t="s">
        <v>316</v>
      </c>
    </row>
    <row r="13118">
      <c r="A13118" s="17"/>
      <c r="H13118" s="18"/>
      <c r="K13118" s="18" t="s">
        <v>316</v>
      </c>
    </row>
    <row r="13119">
      <c r="A13119" s="17"/>
      <c r="H13119" s="18"/>
      <c r="K13119" s="18" t="s">
        <v>316</v>
      </c>
    </row>
    <row r="13120">
      <c r="A13120" s="17"/>
      <c r="H13120" s="18"/>
      <c r="K13120" s="18" t="s">
        <v>316</v>
      </c>
    </row>
    <row r="13121">
      <c r="A13121" s="17"/>
      <c r="H13121" s="18"/>
      <c r="K13121" s="18" t="s">
        <v>316</v>
      </c>
    </row>
    <row r="13122">
      <c r="A13122" s="17"/>
      <c r="H13122" s="18"/>
      <c r="K13122" s="18" t="s">
        <v>316</v>
      </c>
    </row>
    <row r="13123">
      <c r="A13123" s="17"/>
      <c r="H13123" s="18"/>
      <c r="K13123" s="18" t="s">
        <v>316</v>
      </c>
    </row>
    <row r="13124">
      <c r="A13124" s="17"/>
      <c r="H13124" s="18"/>
      <c r="K13124" s="18" t="s">
        <v>316</v>
      </c>
    </row>
    <row r="13125">
      <c r="A13125" s="17"/>
      <c r="H13125" s="18"/>
      <c r="K13125" s="18" t="s">
        <v>316</v>
      </c>
    </row>
    <row r="13126">
      <c r="A13126" s="17"/>
      <c r="H13126" s="18"/>
      <c r="K13126" s="18" t="s">
        <v>316</v>
      </c>
    </row>
    <row r="13127">
      <c r="A13127" s="17"/>
      <c r="H13127" s="18"/>
      <c r="K13127" s="18" t="s">
        <v>316</v>
      </c>
    </row>
    <row r="13128">
      <c r="A13128" s="17"/>
      <c r="H13128" s="18"/>
      <c r="K13128" s="18" t="s">
        <v>316</v>
      </c>
    </row>
    <row r="13129">
      <c r="A13129" s="17"/>
      <c r="H13129" s="18"/>
      <c r="K13129" s="18" t="s">
        <v>316</v>
      </c>
    </row>
    <row r="13130">
      <c r="A13130" s="17"/>
      <c r="H13130" s="18"/>
      <c r="K13130" s="18" t="s">
        <v>316</v>
      </c>
    </row>
    <row r="13131">
      <c r="A13131" s="17"/>
      <c r="H13131" s="18"/>
      <c r="K13131" s="18" t="s">
        <v>316</v>
      </c>
    </row>
    <row r="13132">
      <c r="A13132" s="17"/>
      <c r="H13132" s="18"/>
      <c r="K13132" s="18" t="s">
        <v>316</v>
      </c>
    </row>
    <row r="13133">
      <c r="A13133" s="17"/>
      <c r="H13133" s="18"/>
      <c r="K13133" s="18" t="s">
        <v>316</v>
      </c>
    </row>
    <row r="13134">
      <c r="A13134" s="17"/>
      <c r="H13134" s="18"/>
      <c r="K13134" s="18" t="s">
        <v>316</v>
      </c>
    </row>
    <row r="13135">
      <c r="A13135" s="17"/>
      <c r="H13135" s="18"/>
      <c r="K13135" s="18" t="s">
        <v>316</v>
      </c>
    </row>
    <row r="13136">
      <c r="A13136" s="17"/>
      <c r="H13136" s="18"/>
      <c r="K13136" s="18" t="s">
        <v>316</v>
      </c>
    </row>
    <row r="13137">
      <c r="A13137" s="17"/>
      <c r="H13137" s="18"/>
      <c r="K13137" s="18" t="s">
        <v>316</v>
      </c>
    </row>
    <row r="13138">
      <c r="A13138" s="17"/>
      <c r="H13138" s="18"/>
      <c r="K13138" s="18" t="s">
        <v>316</v>
      </c>
    </row>
    <row r="13139">
      <c r="A13139" s="17"/>
      <c r="H13139" s="18"/>
      <c r="K13139" s="18" t="s">
        <v>316</v>
      </c>
    </row>
    <row r="13140">
      <c r="A13140" s="17"/>
      <c r="H13140" s="18"/>
      <c r="K13140" s="18" t="s">
        <v>316</v>
      </c>
    </row>
    <row r="13141">
      <c r="A13141" s="17"/>
      <c r="H13141" s="18"/>
      <c r="K13141" s="18" t="s">
        <v>316</v>
      </c>
    </row>
    <row r="13142">
      <c r="A13142" s="17"/>
      <c r="H13142" s="18"/>
      <c r="K13142" s="18" t="s">
        <v>316</v>
      </c>
    </row>
    <row r="13143">
      <c r="A13143" s="17"/>
      <c r="H13143" s="18"/>
      <c r="K13143" s="18" t="s">
        <v>316</v>
      </c>
    </row>
    <row r="13144">
      <c r="A13144" s="17"/>
      <c r="H13144" s="18"/>
      <c r="K13144" s="18" t="s">
        <v>316</v>
      </c>
    </row>
    <row r="13145">
      <c r="A13145" s="17"/>
      <c r="H13145" s="18"/>
      <c r="K13145" s="18" t="s">
        <v>316</v>
      </c>
    </row>
    <row r="13146">
      <c r="A13146" s="17"/>
      <c r="H13146" s="18"/>
      <c r="K13146" s="18" t="s">
        <v>316</v>
      </c>
    </row>
    <row r="13147">
      <c r="A13147" s="17"/>
      <c r="H13147" s="18"/>
      <c r="K13147" s="18" t="s">
        <v>316</v>
      </c>
    </row>
    <row r="13148">
      <c r="A13148" s="17"/>
      <c r="H13148" s="18"/>
      <c r="K13148" s="18" t="s">
        <v>316</v>
      </c>
    </row>
    <row r="13149">
      <c r="A13149" s="17"/>
      <c r="H13149" s="18"/>
      <c r="K13149" s="18" t="s">
        <v>316</v>
      </c>
    </row>
    <row r="13150">
      <c r="A13150" s="17"/>
      <c r="H13150" s="18"/>
      <c r="K13150" s="18" t="s">
        <v>316</v>
      </c>
    </row>
    <row r="13151">
      <c r="A13151" s="17"/>
      <c r="H13151" s="18"/>
      <c r="K13151" s="18" t="s">
        <v>316</v>
      </c>
    </row>
    <row r="13152">
      <c r="A13152" s="17"/>
      <c r="H13152" s="18"/>
      <c r="K13152" s="18" t="s">
        <v>316</v>
      </c>
    </row>
    <row r="13153">
      <c r="A13153" s="17"/>
      <c r="H13153" s="18"/>
      <c r="K13153" s="18" t="s">
        <v>316</v>
      </c>
    </row>
    <row r="13154">
      <c r="A13154" s="17"/>
      <c r="H13154" s="18"/>
      <c r="K13154" s="18" t="s">
        <v>316</v>
      </c>
    </row>
    <row r="13155">
      <c r="A13155" s="17"/>
      <c r="H13155" s="18"/>
      <c r="K13155" s="18" t="s">
        <v>316</v>
      </c>
    </row>
    <row r="13156">
      <c r="A13156" s="17"/>
      <c r="H13156" s="18"/>
      <c r="K13156" s="18" t="s">
        <v>316</v>
      </c>
    </row>
    <row r="13157">
      <c r="A13157" s="17"/>
      <c r="H13157" s="18"/>
      <c r="K13157" s="18" t="s">
        <v>316</v>
      </c>
    </row>
    <row r="13158">
      <c r="A13158" s="17"/>
      <c r="H13158" s="18"/>
      <c r="K13158" s="18" t="s">
        <v>316</v>
      </c>
    </row>
    <row r="13159">
      <c r="A13159" s="17"/>
      <c r="H13159" s="18"/>
      <c r="K13159" s="18" t="s">
        <v>316</v>
      </c>
    </row>
    <row r="13160">
      <c r="A13160" s="17"/>
      <c r="H13160" s="18"/>
      <c r="K13160" s="18" t="s">
        <v>316</v>
      </c>
    </row>
    <row r="13161">
      <c r="A13161" s="17"/>
      <c r="H13161" s="18"/>
      <c r="K13161" s="18" t="s">
        <v>316</v>
      </c>
    </row>
    <row r="13162">
      <c r="A13162" s="17"/>
      <c r="H13162" s="18"/>
      <c r="K13162" s="18" t="s">
        <v>316</v>
      </c>
    </row>
    <row r="13163">
      <c r="A13163" s="17"/>
      <c r="H13163" s="18"/>
      <c r="K13163" s="18" t="s">
        <v>316</v>
      </c>
    </row>
    <row r="13164">
      <c r="A13164" s="17"/>
      <c r="H13164" s="18"/>
      <c r="K13164" s="18" t="s">
        <v>316</v>
      </c>
    </row>
    <row r="13165">
      <c r="A13165" s="17"/>
      <c r="H13165" s="18"/>
      <c r="K13165" s="18" t="s">
        <v>316</v>
      </c>
    </row>
    <row r="13166">
      <c r="A13166" s="17"/>
      <c r="H13166" s="18"/>
      <c r="K13166" s="18" t="s">
        <v>316</v>
      </c>
    </row>
    <row r="13167">
      <c r="A13167" s="17"/>
      <c r="H13167" s="18"/>
      <c r="K13167" s="18" t="s">
        <v>316</v>
      </c>
    </row>
    <row r="13168">
      <c r="A13168" s="17"/>
      <c r="H13168" s="18"/>
      <c r="K13168" s="18" t="s">
        <v>316</v>
      </c>
    </row>
    <row r="13169">
      <c r="A13169" s="17"/>
      <c r="H13169" s="18"/>
      <c r="K13169" s="18" t="s">
        <v>316</v>
      </c>
    </row>
    <row r="13170">
      <c r="A13170" s="17"/>
      <c r="H13170" s="18"/>
      <c r="K13170" s="18" t="s">
        <v>316</v>
      </c>
    </row>
    <row r="13171">
      <c r="A13171" s="17"/>
      <c r="H13171" s="18"/>
      <c r="K13171" s="18" t="s">
        <v>316</v>
      </c>
    </row>
    <row r="13172">
      <c r="A13172" s="17"/>
      <c r="H13172" s="18"/>
      <c r="K13172" s="18" t="s">
        <v>316</v>
      </c>
    </row>
    <row r="13173">
      <c r="A13173" s="17"/>
      <c r="H13173" s="18"/>
      <c r="K13173" s="18" t="s">
        <v>316</v>
      </c>
    </row>
    <row r="13174">
      <c r="A13174" s="17"/>
      <c r="H13174" s="18"/>
      <c r="K13174" s="18" t="s">
        <v>316</v>
      </c>
    </row>
    <row r="13175">
      <c r="A13175" s="17"/>
      <c r="H13175" s="18"/>
      <c r="K13175" s="18" t="s">
        <v>316</v>
      </c>
    </row>
    <row r="13176">
      <c r="A13176" s="17"/>
      <c r="H13176" s="18"/>
      <c r="K13176" s="18" t="s">
        <v>316</v>
      </c>
    </row>
    <row r="13177">
      <c r="A13177" s="17"/>
      <c r="H13177" s="18"/>
      <c r="K13177" s="18" t="s">
        <v>316</v>
      </c>
    </row>
    <row r="13178">
      <c r="A13178" s="17"/>
      <c r="H13178" s="18"/>
      <c r="K13178" s="18" t="s">
        <v>316</v>
      </c>
    </row>
    <row r="13179">
      <c r="A13179" s="17"/>
      <c r="H13179" s="18"/>
      <c r="K13179" s="18" t="s">
        <v>316</v>
      </c>
    </row>
    <row r="13180">
      <c r="A13180" s="17"/>
      <c r="H13180" s="18"/>
      <c r="K13180" s="18" t="s">
        <v>316</v>
      </c>
    </row>
    <row r="13181">
      <c r="A13181" s="17"/>
      <c r="H13181" s="18"/>
      <c r="K13181" s="18" t="s">
        <v>316</v>
      </c>
    </row>
    <row r="13182">
      <c r="A13182" s="17"/>
      <c r="H13182" s="18"/>
      <c r="K13182" s="18" t="s">
        <v>316</v>
      </c>
    </row>
    <row r="13183">
      <c r="A13183" s="17"/>
      <c r="H13183" s="18"/>
      <c r="K13183" s="18" t="s">
        <v>316</v>
      </c>
    </row>
    <row r="13184">
      <c r="A13184" s="17"/>
      <c r="H13184" s="18"/>
      <c r="K13184" s="18" t="s">
        <v>316</v>
      </c>
    </row>
    <row r="13185">
      <c r="A13185" s="17"/>
      <c r="H13185" s="18"/>
      <c r="K13185" s="18" t="s">
        <v>316</v>
      </c>
    </row>
    <row r="13186">
      <c r="A13186" s="17"/>
      <c r="H13186" s="18"/>
      <c r="K13186" s="18" t="s">
        <v>316</v>
      </c>
    </row>
    <row r="13187">
      <c r="A13187" s="17"/>
      <c r="H13187" s="18"/>
      <c r="K13187" s="18" t="s">
        <v>316</v>
      </c>
    </row>
    <row r="13188">
      <c r="A13188" s="17"/>
      <c r="H13188" s="18"/>
      <c r="K13188" s="18" t="s">
        <v>316</v>
      </c>
    </row>
    <row r="13189">
      <c r="A13189" s="17"/>
      <c r="H13189" s="18"/>
      <c r="K13189" s="18" t="s">
        <v>316</v>
      </c>
    </row>
    <row r="13190">
      <c r="A13190" s="17"/>
      <c r="H13190" s="18"/>
      <c r="K13190" s="18" t="s">
        <v>316</v>
      </c>
    </row>
    <row r="13191">
      <c r="A13191" s="17"/>
      <c r="H13191" s="18"/>
      <c r="K13191" s="18" t="s">
        <v>316</v>
      </c>
    </row>
    <row r="13192">
      <c r="A13192" s="17"/>
      <c r="H13192" s="18"/>
      <c r="K13192" s="18" t="s">
        <v>316</v>
      </c>
    </row>
    <row r="13193">
      <c r="A13193" s="17"/>
      <c r="H13193" s="18"/>
      <c r="K13193" s="18" t="s">
        <v>316</v>
      </c>
    </row>
    <row r="13194">
      <c r="A13194" s="17"/>
      <c r="H13194" s="18"/>
      <c r="K13194" s="18" t="s">
        <v>316</v>
      </c>
    </row>
    <row r="13195">
      <c r="A13195" s="17"/>
      <c r="H13195" s="18"/>
      <c r="K13195" s="18" t="s">
        <v>316</v>
      </c>
    </row>
    <row r="13196">
      <c r="A13196" s="17"/>
      <c r="H13196" s="18"/>
      <c r="K13196" s="18" t="s">
        <v>316</v>
      </c>
    </row>
    <row r="13197">
      <c r="A13197" s="17"/>
      <c r="H13197" s="18"/>
      <c r="K13197" s="18" t="s">
        <v>316</v>
      </c>
    </row>
    <row r="13198">
      <c r="A13198" s="17"/>
      <c r="H13198" s="18"/>
      <c r="K13198" s="18" t="s">
        <v>316</v>
      </c>
    </row>
    <row r="13199">
      <c r="A13199" s="17"/>
      <c r="H13199" s="18"/>
      <c r="K13199" s="18" t="s">
        <v>316</v>
      </c>
    </row>
    <row r="13200">
      <c r="A13200" s="17"/>
      <c r="H13200" s="18"/>
      <c r="K13200" s="18" t="s">
        <v>316</v>
      </c>
    </row>
    <row r="13201">
      <c r="A13201" s="17"/>
      <c r="H13201" s="18"/>
      <c r="K13201" s="18" t="s">
        <v>316</v>
      </c>
    </row>
    <row r="13202">
      <c r="A13202" s="17"/>
      <c r="H13202" s="18"/>
      <c r="K13202" s="18" t="s">
        <v>316</v>
      </c>
    </row>
    <row r="13203">
      <c r="A13203" s="17"/>
      <c r="H13203" s="18"/>
      <c r="K13203" s="18" t="s">
        <v>316</v>
      </c>
    </row>
    <row r="13204">
      <c r="A13204" s="17"/>
      <c r="H13204" s="18"/>
      <c r="K13204" s="18" t="s">
        <v>316</v>
      </c>
    </row>
    <row r="13205">
      <c r="A13205" s="17"/>
      <c r="H13205" s="18"/>
      <c r="K13205" s="18" t="s">
        <v>316</v>
      </c>
    </row>
    <row r="13206">
      <c r="A13206" s="17"/>
      <c r="H13206" s="18"/>
      <c r="K13206" s="18" t="s">
        <v>316</v>
      </c>
    </row>
    <row r="13207">
      <c r="A13207" s="17"/>
      <c r="H13207" s="18"/>
      <c r="K13207" s="18" t="s">
        <v>316</v>
      </c>
    </row>
    <row r="13208">
      <c r="A13208" s="17"/>
      <c r="H13208" s="18"/>
      <c r="K13208" s="18" t="s">
        <v>316</v>
      </c>
    </row>
    <row r="13209">
      <c r="A13209" s="17"/>
      <c r="H13209" s="18"/>
      <c r="K13209" s="18" t="s">
        <v>316</v>
      </c>
    </row>
    <row r="13210">
      <c r="A13210" s="17"/>
      <c r="H13210" s="18"/>
      <c r="K13210" s="18" t="s">
        <v>316</v>
      </c>
    </row>
    <row r="13211">
      <c r="A13211" s="17"/>
      <c r="H13211" s="18"/>
      <c r="K13211" s="18" t="s">
        <v>316</v>
      </c>
    </row>
    <row r="13212">
      <c r="A13212" s="17"/>
      <c r="H13212" s="18"/>
      <c r="K13212" s="18" t="s">
        <v>316</v>
      </c>
    </row>
    <row r="13213">
      <c r="A13213" s="17"/>
      <c r="H13213" s="18"/>
      <c r="K13213" s="18" t="s">
        <v>316</v>
      </c>
    </row>
    <row r="13214">
      <c r="A13214" s="17"/>
      <c r="H13214" s="18"/>
      <c r="K13214" s="18" t="s">
        <v>316</v>
      </c>
    </row>
    <row r="13215">
      <c r="A13215" s="17"/>
      <c r="H13215" s="18"/>
      <c r="K13215" s="18" t="s">
        <v>316</v>
      </c>
    </row>
    <row r="13216">
      <c r="A13216" s="17"/>
      <c r="H13216" s="18"/>
      <c r="K13216" s="18" t="s">
        <v>316</v>
      </c>
    </row>
    <row r="13217">
      <c r="A13217" s="17"/>
      <c r="H13217" s="18"/>
      <c r="K13217" s="18" t="s">
        <v>316</v>
      </c>
    </row>
    <row r="13218">
      <c r="A13218" s="17"/>
      <c r="H13218" s="18"/>
      <c r="K13218" s="18" t="s">
        <v>316</v>
      </c>
    </row>
    <row r="13219">
      <c r="A13219" s="17"/>
      <c r="H13219" s="18"/>
      <c r="K13219" s="18" t="s">
        <v>316</v>
      </c>
    </row>
    <row r="13220">
      <c r="A13220" s="17"/>
      <c r="H13220" s="18"/>
      <c r="K13220" s="18" t="s">
        <v>316</v>
      </c>
    </row>
    <row r="13221">
      <c r="A13221" s="17"/>
      <c r="H13221" s="18"/>
      <c r="K13221" s="18" t="s">
        <v>316</v>
      </c>
    </row>
    <row r="13222">
      <c r="A13222" s="17"/>
      <c r="H13222" s="18"/>
      <c r="K13222" s="18" t="s">
        <v>316</v>
      </c>
    </row>
    <row r="13223">
      <c r="A13223" s="17"/>
      <c r="H13223" s="18"/>
      <c r="K13223" s="18" t="s">
        <v>316</v>
      </c>
    </row>
    <row r="13224">
      <c r="A13224" s="17"/>
      <c r="H13224" s="18"/>
      <c r="K13224" s="18" t="s">
        <v>316</v>
      </c>
    </row>
    <row r="13225">
      <c r="A13225" s="17"/>
      <c r="H13225" s="18"/>
      <c r="K13225" s="18" t="s">
        <v>316</v>
      </c>
    </row>
    <row r="13226">
      <c r="A13226" s="17"/>
      <c r="H13226" s="18"/>
      <c r="K13226" s="18" t="s">
        <v>316</v>
      </c>
    </row>
    <row r="13227">
      <c r="A13227" s="17"/>
      <c r="H13227" s="18"/>
      <c r="K13227" s="18" t="s">
        <v>316</v>
      </c>
    </row>
    <row r="13228">
      <c r="A13228" s="17"/>
      <c r="H13228" s="18"/>
      <c r="K13228" s="18" t="s">
        <v>316</v>
      </c>
    </row>
    <row r="13229">
      <c r="A13229" s="17"/>
      <c r="H13229" s="18"/>
      <c r="K13229" s="18" t="s">
        <v>316</v>
      </c>
    </row>
    <row r="13230">
      <c r="A13230" s="17"/>
      <c r="H13230" s="18"/>
      <c r="K13230" s="18" t="s">
        <v>316</v>
      </c>
    </row>
    <row r="13231">
      <c r="A13231" s="17"/>
      <c r="H13231" s="18"/>
      <c r="K13231" s="18" t="s">
        <v>316</v>
      </c>
    </row>
    <row r="13232">
      <c r="A13232" s="17"/>
      <c r="H13232" s="18"/>
      <c r="K13232" s="18" t="s">
        <v>316</v>
      </c>
    </row>
    <row r="13233">
      <c r="A13233" s="17"/>
      <c r="H13233" s="18"/>
      <c r="K13233" s="18" t="s">
        <v>316</v>
      </c>
    </row>
    <row r="13234">
      <c r="A13234" s="17"/>
      <c r="H13234" s="18"/>
      <c r="K13234" s="18" t="s">
        <v>316</v>
      </c>
    </row>
    <row r="13235">
      <c r="A13235" s="17"/>
      <c r="H13235" s="18"/>
      <c r="K13235" s="18" t="s">
        <v>316</v>
      </c>
    </row>
    <row r="13236">
      <c r="A13236" s="17"/>
      <c r="H13236" s="18"/>
      <c r="K13236" s="18" t="s">
        <v>316</v>
      </c>
    </row>
    <row r="13237">
      <c r="A13237" s="17"/>
      <c r="H13237" s="18"/>
      <c r="K13237" s="18" t="s">
        <v>316</v>
      </c>
    </row>
    <row r="13238">
      <c r="A13238" s="17"/>
      <c r="H13238" s="18"/>
      <c r="K13238" s="18" t="s">
        <v>316</v>
      </c>
    </row>
    <row r="13239">
      <c r="A13239" s="17"/>
      <c r="H13239" s="18"/>
      <c r="K13239" s="18" t="s">
        <v>316</v>
      </c>
    </row>
    <row r="13240">
      <c r="A13240" s="17"/>
      <c r="H13240" s="18"/>
      <c r="K13240" s="18" t="s">
        <v>316</v>
      </c>
    </row>
    <row r="13241">
      <c r="A13241" s="17"/>
      <c r="H13241" s="18"/>
      <c r="K13241" s="18" t="s">
        <v>316</v>
      </c>
    </row>
    <row r="13242">
      <c r="A13242" s="17"/>
      <c r="H13242" s="18"/>
      <c r="K13242" s="18" t="s">
        <v>316</v>
      </c>
    </row>
    <row r="13243">
      <c r="A13243" s="17"/>
      <c r="H13243" s="18"/>
      <c r="K13243" s="18" t="s">
        <v>316</v>
      </c>
    </row>
    <row r="13244">
      <c r="A13244" s="17"/>
      <c r="H13244" s="18"/>
      <c r="K13244" s="18" t="s">
        <v>316</v>
      </c>
    </row>
    <row r="13245">
      <c r="A13245" s="17"/>
      <c r="H13245" s="18"/>
      <c r="K13245" s="18" t="s">
        <v>316</v>
      </c>
    </row>
    <row r="13246">
      <c r="A13246" s="17"/>
      <c r="H13246" s="18"/>
      <c r="K13246" s="18" t="s">
        <v>316</v>
      </c>
    </row>
    <row r="13247">
      <c r="A13247" s="17"/>
      <c r="H13247" s="18"/>
      <c r="K13247" s="18" t="s">
        <v>316</v>
      </c>
    </row>
    <row r="13248">
      <c r="A13248" s="17"/>
      <c r="H13248" s="18"/>
      <c r="K13248" s="18" t="s">
        <v>316</v>
      </c>
    </row>
    <row r="13249">
      <c r="A13249" s="17"/>
      <c r="H13249" s="18"/>
      <c r="K13249" s="18" t="s">
        <v>316</v>
      </c>
    </row>
    <row r="13250">
      <c r="A13250" s="17"/>
      <c r="H13250" s="18"/>
      <c r="K13250" s="18" t="s">
        <v>316</v>
      </c>
    </row>
    <row r="13251">
      <c r="A13251" s="17"/>
      <c r="H13251" s="18"/>
      <c r="K13251" s="18" t="s">
        <v>316</v>
      </c>
    </row>
    <row r="13252">
      <c r="A13252" s="17"/>
      <c r="H13252" s="18"/>
      <c r="K13252" s="18" t="s">
        <v>316</v>
      </c>
    </row>
    <row r="13253">
      <c r="A13253" s="17"/>
      <c r="H13253" s="18"/>
      <c r="K13253" s="18" t="s">
        <v>316</v>
      </c>
    </row>
    <row r="13254">
      <c r="A13254" s="17"/>
      <c r="H13254" s="18"/>
      <c r="K13254" s="18" t="s">
        <v>316</v>
      </c>
    </row>
    <row r="13255">
      <c r="A13255" s="17"/>
      <c r="H13255" s="18"/>
      <c r="K13255" s="18" t="s">
        <v>316</v>
      </c>
    </row>
    <row r="13256">
      <c r="A13256" s="17"/>
      <c r="H13256" s="18"/>
      <c r="K13256" s="18" t="s">
        <v>316</v>
      </c>
    </row>
    <row r="13257">
      <c r="A13257" s="17"/>
      <c r="H13257" s="18"/>
      <c r="K13257" s="18" t="s">
        <v>316</v>
      </c>
    </row>
    <row r="13258">
      <c r="A13258" s="17"/>
      <c r="H13258" s="18"/>
      <c r="K13258" s="18" t="s">
        <v>316</v>
      </c>
    </row>
    <row r="13259">
      <c r="A13259" s="17"/>
      <c r="H13259" s="18"/>
      <c r="K13259" s="18" t="s">
        <v>316</v>
      </c>
    </row>
    <row r="13260">
      <c r="A13260" s="17"/>
      <c r="H13260" s="18"/>
      <c r="K13260" s="18" t="s">
        <v>316</v>
      </c>
    </row>
    <row r="13261">
      <c r="A13261" s="17"/>
      <c r="H13261" s="18"/>
      <c r="K13261" s="18" t="s">
        <v>316</v>
      </c>
    </row>
    <row r="13262">
      <c r="A13262" s="17"/>
      <c r="H13262" s="18"/>
      <c r="K13262" s="18" t="s">
        <v>316</v>
      </c>
    </row>
    <row r="13263">
      <c r="A13263" s="17"/>
      <c r="H13263" s="18"/>
      <c r="K13263" s="18" t="s">
        <v>316</v>
      </c>
    </row>
    <row r="13264">
      <c r="A13264" s="17"/>
      <c r="H13264" s="18"/>
      <c r="K13264" s="18" t="s">
        <v>316</v>
      </c>
    </row>
    <row r="13265">
      <c r="A13265" s="17"/>
      <c r="H13265" s="18"/>
      <c r="K13265" s="18" t="s">
        <v>316</v>
      </c>
    </row>
    <row r="13266">
      <c r="A13266" s="17"/>
      <c r="H13266" s="18"/>
      <c r="K13266" s="18" t="s">
        <v>316</v>
      </c>
    </row>
    <row r="13267">
      <c r="A13267" s="17"/>
      <c r="H13267" s="18"/>
      <c r="K13267" s="18" t="s">
        <v>316</v>
      </c>
    </row>
    <row r="13268">
      <c r="A13268" s="17"/>
      <c r="H13268" s="18"/>
      <c r="K13268" s="18" t="s">
        <v>316</v>
      </c>
    </row>
    <row r="13269">
      <c r="A13269" s="17"/>
      <c r="H13269" s="18"/>
      <c r="K13269" s="18" t="s">
        <v>316</v>
      </c>
    </row>
    <row r="13270">
      <c r="A13270" s="17"/>
      <c r="H13270" s="18"/>
      <c r="K13270" s="18" t="s">
        <v>316</v>
      </c>
    </row>
    <row r="13271">
      <c r="A13271" s="17"/>
      <c r="H13271" s="18"/>
      <c r="K13271" s="18" t="s">
        <v>316</v>
      </c>
    </row>
    <row r="13272">
      <c r="A13272" s="17"/>
      <c r="H13272" s="18"/>
      <c r="K13272" s="18" t="s">
        <v>316</v>
      </c>
    </row>
    <row r="13273">
      <c r="A13273" s="17"/>
      <c r="H13273" s="18"/>
      <c r="K13273" s="18" t="s">
        <v>316</v>
      </c>
    </row>
    <row r="13274">
      <c r="A13274" s="17"/>
      <c r="H13274" s="18"/>
      <c r="K13274" s="18" t="s">
        <v>316</v>
      </c>
    </row>
    <row r="13275">
      <c r="A13275" s="17"/>
      <c r="H13275" s="18"/>
      <c r="K13275" s="18" t="s">
        <v>316</v>
      </c>
    </row>
    <row r="13276">
      <c r="A13276" s="17"/>
      <c r="H13276" s="18"/>
      <c r="K13276" s="18" t="s">
        <v>316</v>
      </c>
    </row>
    <row r="13277">
      <c r="A13277" s="17"/>
      <c r="H13277" s="18"/>
      <c r="K13277" s="18" t="s">
        <v>316</v>
      </c>
    </row>
    <row r="13278">
      <c r="A13278" s="17"/>
      <c r="H13278" s="18"/>
      <c r="K13278" s="18" t="s">
        <v>316</v>
      </c>
    </row>
    <row r="13279">
      <c r="A13279" s="17"/>
      <c r="H13279" s="18"/>
      <c r="K13279" s="18" t="s">
        <v>316</v>
      </c>
    </row>
    <row r="13280">
      <c r="A13280" s="17"/>
      <c r="H13280" s="18"/>
      <c r="K13280" s="18" t="s">
        <v>316</v>
      </c>
    </row>
    <row r="13281">
      <c r="A13281" s="17"/>
      <c r="H13281" s="18"/>
      <c r="K13281" s="18" t="s">
        <v>316</v>
      </c>
    </row>
    <row r="13282">
      <c r="A13282" s="17"/>
      <c r="H13282" s="18"/>
      <c r="K13282" s="18" t="s">
        <v>316</v>
      </c>
    </row>
    <row r="13283">
      <c r="A13283" s="17"/>
      <c r="H13283" s="18"/>
      <c r="K13283" s="18" t="s">
        <v>316</v>
      </c>
    </row>
    <row r="13284">
      <c r="A13284" s="17"/>
      <c r="H13284" s="18"/>
      <c r="K13284" s="18" t="s">
        <v>316</v>
      </c>
    </row>
    <row r="13285">
      <c r="A13285" s="17"/>
      <c r="H13285" s="18"/>
      <c r="K13285" s="18" t="s">
        <v>316</v>
      </c>
    </row>
    <row r="13286">
      <c r="A13286" s="17"/>
      <c r="H13286" s="18"/>
      <c r="K13286" s="18" t="s">
        <v>316</v>
      </c>
    </row>
    <row r="13287">
      <c r="A13287" s="17"/>
      <c r="H13287" s="18"/>
      <c r="K13287" s="18" t="s">
        <v>316</v>
      </c>
    </row>
    <row r="13288">
      <c r="A13288" s="17"/>
      <c r="H13288" s="18"/>
      <c r="K13288" s="18" t="s">
        <v>316</v>
      </c>
    </row>
    <row r="13289">
      <c r="A13289" s="17"/>
      <c r="H13289" s="18"/>
      <c r="K13289" s="18" t="s">
        <v>316</v>
      </c>
    </row>
    <row r="13290">
      <c r="A13290" s="17"/>
      <c r="H13290" s="18"/>
      <c r="K13290" s="18" t="s">
        <v>316</v>
      </c>
    </row>
    <row r="13291">
      <c r="A13291" s="17"/>
      <c r="H13291" s="18"/>
      <c r="K13291" s="18" t="s">
        <v>316</v>
      </c>
    </row>
    <row r="13292">
      <c r="A13292" s="17"/>
      <c r="H13292" s="18"/>
      <c r="K13292" s="18" t="s">
        <v>316</v>
      </c>
    </row>
    <row r="13293">
      <c r="A13293" s="17"/>
      <c r="H13293" s="18"/>
      <c r="K13293" s="18" t="s">
        <v>316</v>
      </c>
    </row>
    <row r="13294">
      <c r="A13294" s="17"/>
      <c r="H13294" s="18"/>
      <c r="K13294" s="18" t="s">
        <v>316</v>
      </c>
    </row>
    <row r="13295">
      <c r="A13295" s="17"/>
      <c r="H13295" s="18"/>
      <c r="K13295" s="18" t="s">
        <v>316</v>
      </c>
    </row>
    <row r="13296">
      <c r="A13296" s="17"/>
      <c r="H13296" s="18"/>
      <c r="K13296" s="18" t="s">
        <v>316</v>
      </c>
    </row>
    <row r="13297">
      <c r="A13297" s="17"/>
      <c r="H13297" s="18"/>
      <c r="K13297" s="18" t="s">
        <v>316</v>
      </c>
    </row>
    <row r="13298">
      <c r="A13298" s="17"/>
      <c r="H13298" s="18"/>
      <c r="K13298" s="18" t="s">
        <v>316</v>
      </c>
    </row>
    <row r="13299">
      <c r="A13299" s="17"/>
      <c r="H13299" s="18"/>
      <c r="K13299" s="18" t="s">
        <v>316</v>
      </c>
    </row>
    <row r="13300">
      <c r="A13300" s="17"/>
      <c r="H13300" s="18"/>
      <c r="K13300" s="18" t="s">
        <v>316</v>
      </c>
    </row>
    <row r="13301">
      <c r="A13301" s="17"/>
      <c r="H13301" s="18"/>
      <c r="K13301" s="18" t="s">
        <v>316</v>
      </c>
    </row>
    <row r="13302">
      <c r="A13302" s="17"/>
      <c r="H13302" s="18"/>
      <c r="K13302" s="18" t="s">
        <v>316</v>
      </c>
    </row>
    <row r="13303">
      <c r="A13303" s="17"/>
      <c r="H13303" s="18"/>
      <c r="K13303" s="18" t="s">
        <v>316</v>
      </c>
    </row>
    <row r="13304">
      <c r="A13304" s="17"/>
      <c r="H13304" s="18"/>
      <c r="K13304" s="18" t="s">
        <v>316</v>
      </c>
    </row>
    <row r="13305">
      <c r="A13305" s="17"/>
      <c r="H13305" s="18"/>
      <c r="K13305" s="18" t="s">
        <v>316</v>
      </c>
    </row>
    <row r="13306">
      <c r="A13306" s="17"/>
      <c r="H13306" s="18"/>
      <c r="K13306" s="18" t="s">
        <v>316</v>
      </c>
    </row>
    <row r="13307">
      <c r="A13307" s="17"/>
      <c r="H13307" s="18"/>
      <c r="K13307" s="18" t="s">
        <v>316</v>
      </c>
    </row>
    <row r="13308">
      <c r="A13308" s="17"/>
      <c r="H13308" s="18"/>
      <c r="K13308" s="18" t="s">
        <v>316</v>
      </c>
    </row>
    <row r="13309">
      <c r="A13309" s="17"/>
      <c r="H13309" s="18"/>
      <c r="K13309" s="18" t="s">
        <v>316</v>
      </c>
    </row>
    <row r="13310">
      <c r="A13310" s="17"/>
      <c r="H13310" s="18"/>
      <c r="K13310" s="18" t="s">
        <v>316</v>
      </c>
    </row>
    <row r="13311">
      <c r="A13311" s="17"/>
      <c r="H13311" s="18"/>
      <c r="K13311" s="18" t="s">
        <v>316</v>
      </c>
    </row>
    <row r="13312">
      <c r="A13312" s="17"/>
      <c r="H13312" s="18"/>
      <c r="K13312" s="18" t="s">
        <v>316</v>
      </c>
    </row>
    <row r="13313">
      <c r="A13313" s="17"/>
      <c r="H13313" s="18"/>
      <c r="K13313" s="18" t="s">
        <v>316</v>
      </c>
    </row>
    <row r="13314">
      <c r="A13314" s="17"/>
      <c r="H13314" s="18"/>
      <c r="K13314" s="18" t="s">
        <v>316</v>
      </c>
    </row>
    <row r="13315">
      <c r="A13315" s="17"/>
      <c r="H13315" s="18"/>
      <c r="K13315" s="18" t="s">
        <v>316</v>
      </c>
    </row>
    <row r="13316">
      <c r="A13316" s="17"/>
      <c r="H13316" s="18"/>
      <c r="K13316" s="18" t="s">
        <v>316</v>
      </c>
    </row>
    <row r="13317">
      <c r="A13317" s="17"/>
      <c r="H13317" s="18"/>
      <c r="K13317" s="18" t="s">
        <v>316</v>
      </c>
    </row>
    <row r="13318">
      <c r="A13318" s="17"/>
      <c r="H13318" s="18"/>
      <c r="K13318" s="18" t="s">
        <v>316</v>
      </c>
    </row>
    <row r="13319">
      <c r="A13319" s="17"/>
      <c r="H13319" s="18"/>
      <c r="K13319" s="18" t="s">
        <v>316</v>
      </c>
    </row>
    <row r="13320">
      <c r="A13320" s="17"/>
      <c r="H13320" s="18"/>
      <c r="K13320" s="18" t="s">
        <v>316</v>
      </c>
    </row>
    <row r="13321">
      <c r="A13321" s="17"/>
      <c r="H13321" s="18"/>
      <c r="K13321" s="18" t="s">
        <v>316</v>
      </c>
    </row>
    <row r="13322">
      <c r="A13322" s="17"/>
      <c r="H13322" s="18"/>
      <c r="K13322" s="18" t="s">
        <v>316</v>
      </c>
    </row>
    <row r="13323">
      <c r="A13323" s="17"/>
      <c r="H13323" s="18"/>
      <c r="K13323" s="18" t="s">
        <v>316</v>
      </c>
    </row>
    <row r="13324">
      <c r="A13324" s="17"/>
      <c r="H13324" s="18"/>
      <c r="K13324" s="18" t="s">
        <v>316</v>
      </c>
    </row>
    <row r="13325">
      <c r="A13325" s="17"/>
      <c r="H13325" s="18"/>
      <c r="K13325" s="18" t="s">
        <v>316</v>
      </c>
    </row>
    <row r="13326">
      <c r="A13326" s="17"/>
      <c r="H13326" s="18"/>
      <c r="K13326" s="18" t="s">
        <v>316</v>
      </c>
    </row>
    <row r="13327">
      <c r="A13327" s="17"/>
      <c r="H13327" s="18"/>
      <c r="K13327" s="18" t="s">
        <v>316</v>
      </c>
    </row>
    <row r="13328">
      <c r="A13328" s="17"/>
      <c r="H13328" s="18"/>
      <c r="K13328" s="18" t="s">
        <v>316</v>
      </c>
    </row>
    <row r="13329">
      <c r="A13329" s="17"/>
      <c r="H13329" s="18"/>
      <c r="K13329" s="18" t="s">
        <v>316</v>
      </c>
    </row>
    <row r="13330">
      <c r="A13330" s="17"/>
      <c r="H13330" s="18"/>
      <c r="K13330" s="18" t="s">
        <v>316</v>
      </c>
    </row>
    <row r="13331">
      <c r="A13331" s="17"/>
      <c r="H13331" s="18"/>
      <c r="K13331" s="18" t="s">
        <v>316</v>
      </c>
    </row>
    <row r="13332">
      <c r="A13332" s="17"/>
      <c r="H13332" s="18"/>
      <c r="K13332" s="18" t="s">
        <v>316</v>
      </c>
    </row>
    <row r="13333">
      <c r="A13333" s="17"/>
      <c r="H13333" s="18"/>
      <c r="K13333" s="18" t="s">
        <v>316</v>
      </c>
    </row>
    <row r="13334">
      <c r="A13334" s="17"/>
      <c r="H13334" s="18"/>
      <c r="K13334" s="18" t="s">
        <v>316</v>
      </c>
    </row>
    <row r="13335">
      <c r="A13335" s="17"/>
      <c r="H13335" s="18"/>
      <c r="K13335" s="18" t="s">
        <v>316</v>
      </c>
    </row>
    <row r="13336">
      <c r="A13336" s="17"/>
      <c r="H13336" s="18"/>
      <c r="K13336" s="18" t="s">
        <v>316</v>
      </c>
    </row>
    <row r="13337">
      <c r="A13337" s="17"/>
      <c r="H13337" s="18"/>
      <c r="K13337" s="18" t="s">
        <v>316</v>
      </c>
    </row>
    <row r="13338">
      <c r="A13338" s="17"/>
      <c r="H13338" s="18"/>
      <c r="K13338" s="18" t="s">
        <v>316</v>
      </c>
    </row>
    <row r="13339">
      <c r="A13339" s="17"/>
      <c r="H13339" s="18"/>
      <c r="K13339" s="18" t="s">
        <v>316</v>
      </c>
    </row>
    <row r="13340">
      <c r="A13340" s="17"/>
      <c r="H13340" s="18"/>
      <c r="K13340" s="18" t="s">
        <v>316</v>
      </c>
    </row>
    <row r="13341">
      <c r="A13341" s="17"/>
      <c r="H13341" s="18"/>
      <c r="K13341" s="18" t="s">
        <v>316</v>
      </c>
    </row>
    <row r="13342">
      <c r="A13342" s="17"/>
      <c r="H13342" s="18"/>
      <c r="K13342" s="18" t="s">
        <v>316</v>
      </c>
    </row>
    <row r="13343">
      <c r="A13343" s="17"/>
      <c r="H13343" s="18"/>
      <c r="K13343" s="18" t="s">
        <v>316</v>
      </c>
    </row>
    <row r="13344">
      <c r="A13344" s="17"/>
      <c r="H13344" s="18"/>
      <c r="K13344" s="18" t="s">
        <v>316</v>
      </c>
    </row>
    <row r="13345">
      <c r="A13345" s="17"/>
      <c r="H13345" s="18"/>
      <c r="K13345" s="18" t="s">
        <v>316</v>
      </c>
    </row>
    <row r="13346">
      <c r="A13346" s="17"/>
      <c r="H13346" s="18"/>
      <c r="K13346" s="18" t="s">
        <v>316</v>
      </c>
    </row>
    <row r="13347">
      <c r="A13347" s="17"/>
      <c r="H13347" s="18"/>
      <c r="K13347" s="18" t="s">
        <v>316</v>
      </c>
    </row>
    <row r="13348">
      <c r="A13348" s="17"/>
      <c r="H13348" s="18"/>
      <c r="K13348" s="18" t="s">
        <v>316</v>
      </c>
    </row>
    <row r="13349">
      <c r="A13349" s="17"/>
      <c r="H13349" s="18"/>
      <c r="K13349" s="18" t="s">
        <v>316</v>
      </c>
    </row>
    <row r="13350">
      <c r="A13350" s="17"/>
      <c r="H13350" s="18"/>
      <c r="K13350" s="18" t="s">
        <v>316</v>
      </c>
    </row>
    <row r="13351">
      <c r="A13351" s="17"/>
      <c r="H13351" s="18"/>
      <c r="K13351" s="18" t="s">
        <v>316</v>
      </c>
    </row>
    <row r="13352">
      <c r="A13352" s="17"/>
      <c r="H13352" s="18"/>
      <c r="K13352" s="18" t="s">
        <v>316</v>
      </c>
    </row>
    <row r="13353">
      <c r="A13353" s="17"/>
      <c r="H13353" s="18"/>
      <c r="K13353" s="18" t="s">
        <v>316</v>
      </c>
    </row>
    <row r="13354">
      <c r="A13354" s="17"/>
      <c r="H13354" s="18"/>
      <c r="K13354" s="18" t="s">
        <v>316</v>
      </c>
    </row>
    <row r="13355">
      <c r="A13355" s="17"/>
      <c r="H13355" s="18"/>
      <c r="K13355" s="18" t="s">
        <v>316</v>
      </c>
    </row>
    <row r="13356">
      <c r="A13356" s="17"/>
      <c r="H13356" s="18"/>
      <c r="K13356" s="18" t="s">
        <v>316</v>
      </c>
    </row>
    <row r="13357">
      <c r="A13357" s="17"/>
      <c r="H13357" s="18"/>
      <c r="K13357" s="18" t="s">
        <v>316</v>
      </c>
    </row>
    <row r="13358">
      <c r="A13358" s="17"/>
      <c r="H13358" s="18"/>
      <c r="K13358" s="18" t="s">
        <v>316</v>
      </c>
    </row>
    <row r="13359">
      <c r="A13359" s="17"/>
      <c r="H13359" s="18"/>
      <c r="K13359" s="18" t="s">
        <v>316</v>
      </c>
    </row>
    <row r="13360">
      <c r="A13360" s="17"/>
      <c r="H13360" s="18"/>
      <c r="K13360" s="18" t="s">
        <v>316</v>
      </c>
    </row>
    <row r="13361">
      <c r="A13361" s="17"/>
      <c r="H13361" s="18"/>
      <c r="K13361" s="18" t="s">
        <v>316</v>
      </c>
    </row>
    <row r="13362">
      <c r="A13362" s="17"/>
      <c r="H13362" s="18"/>
      <c r="K13362" s="18" t="s">
        <v>316</v>
      </c>
    </row>
    <row r="13363">
      <c r="A13363" s="17"/>
      <c r="H13363" s="18"/>
      <c r="K13363" s="18" t="s">
        <v>316</v>
      </c>
    </row>
    <row r="13364">
      <c r="A13364" s="17"/>
      <c r="H13364" s="18"/>
      <c r="K13364" s="18" t="s">
        <v>316</v>
      </c>
    </row>
    <row r="13365">
      <c r="A13365" s="17"/>
      <c r="H13365" s="18"/>
      <c r="K13365" s="18" t="s">
        <v>316</v>
      </c>
    </row>
    <row r="13366">
      <c r="A13366" s="17"/>
      <c r="H13366" s="18"/>
      <c r="K13366" s="18" t="s">
        <v>316</v>
      </c>
    </row>
    <row r="13367">
      <c r="A13367" s="17"/>
      <c r="H13367" s="18"/>
      <c r="K13367" s="18" t="s">
        <v>316</v>
      </c>
    </row>
    <row r="13368">
      <c r="A13368" s="17"/>
      <c r="H13368" s="18"/>
      <c r="K13368" s="18" t="s">
        <v>316</v>
      </c>
    </row>
    <row r="13369">
      <c r="A13369" s="17"/>
      <c r="H13369" s="18"/>
      <c r="K13369" s="18" t="s">
        <v>316</v>
      </c>
    </row>
    <row r="13370">
      <c r="A13370" s="17"/>
      <c r="H13370" s="18"/>
      <c r="K13370" s="18" t="s">
        <v>316</v>
      </c>
    </row>
    <row r="13371">
      <c r="A13371" s="17"/>
      <c r="H13371" s="18"/>
      <c r="K13371" s="18" t="s">
        <v>316</v>
      </c>
    </row>
    <row r="13372">
      <c r="A13372" s="17"/>
      <c r="H13372" s="18"/>
      <c r="K13372" s="18" t="s">
        <v>316</v>
      </c>
    </row>
    <row r="13373">
      <c r="A13373" s="17"/>
      <c r="H13373" s="18"/>
      <c r="K13373" s="18" t="s">
        <v>316</v>
      </c>
    </row>
    <row r="13374">
      <c r="A13374" s="17"/>
      <c r="H13374" s="18"/>
      <c r="K13374" s="18" t="s">
        <v>316</v>
      </c>
    </row>
    <row r="13375">
      <c r="A13375" s="17"/>
      <c r="H13375" s="18"/>
      <c r="K13375" s="18" t="s">
        <v>316</v>
      </c>
    </row>
    <row r="13376">
      <c r="A13376" s="17"/>
      <c r="H13376" s="18"/>
      <c r="K13376" s="18" t="s">
        <v>316</v>
      </c>
    </row>
    <row r="13377">
      <c r="A13377" s="17"/>
      <c r="H13377" s="18"/>
      <c r="K13377" s="18" t="s">
        <v>316</v>
      </c>
    </row>
    <row r="13378">
      <c r="A13378" s="17"/>
      <c r="H13378" s="18"/>
      <c r="K13378" s="18" t="s">
        <v>316</v>
      </c>
    </row>
    <row r="13379">
      <c r="A13379" s="17"/>
      <c r="H13379" s="18"/>
      <c r="K13379" s="18" t="s">
        <v>316</v>
      </c>
    </row>
    <row r="13380">
      <c r="A13380" s="17"/>
      <c r="H13380" s="18"/>
      <c r="K13380" s="18" t="s">
        <v>316</v>
      </c>
    </row>
    <row r="13381">
      <c r="A13381" s="17"/>
      <c r="H13381" s="18"/>
      <c r="K13381" s="18" t="s">
        <v>316</v>
      </c>
    </row>
    <row r="13382">
      <c r="A13382" s="17"/>
      <c r="H13382" s="18"/>
      <c r="K13382" s="18" t="s">
        <v>316</v>
      </c>
    </row>
    <row r="13383">
      <c r="A13383" s="17"/>
      <c r="H13383" s="18"/>
      <c r="K13383" s="18" t="s">
        <v>316</v>
      </c>
    </row>
    <row r="13384">
      <c r="A13384" s="17"/>
      <c r="H13384" s="18"/>
      <c r="K13384" s="18" t="s">
        <v>316</v>
      </c>
    </row>
    <row r="13385">
      <c r="A13385" s="17"/>
      <c r="H13385" s="18"/>
      <c r="K13385" s="18" t="s">
        <v>316</v>
      </c>
    </row>
    <row r="13386">
      <c r="A13386" s="17"/>
      <c r="H13386" s="18"/>
      <c r="K13386" s="18" t="s">
        <v>316</v>
      </c>
    </row>
    <row r="13387">
      <c r="A13387" s="17"/>
      <c r="H13387" s="18"/>
      <c r="K13387" s="18" t="s">
        <v>316</v>
      </c>
    </row>
    <row r="13388">
      <c r="A13388" s="17"/>
      <c r="H13388" s="18"/>
      <c r="K13388" s="18" t="s">
        <v>316</v>
      </c>
    </row>
    <row r="13389">
      <c r="A13389" s="17"/>
      <c r="H13389" s="18"/>
      <c r="K13389" s="18" t="s">
        <v>316</v>
      </c>
    </row>
    <row r="13390">
      <c r="A13390" s="17"/>
      <c r="H13390" s="18"/>
      <c r="K13390" s="18" t="s">
        <v>316</v>
      </c>
    </row>
    <row r="13391">
      <c r="A13391" s="17"/>
      <c r="H13391" s="18"/>
      <c r="K13391" s="18" t="s">
        <v>316</v>
      </c>
    </row>
    <row r="13392">
      <c r="A13392" s="17"/>
      <c r="H13392" s="18"/>
      <c r="K13392" s="18" t="s">
        <v>316</v>
      </c>
    </row>
    <row r="13393">
      <c r="A13393" s="17"/>
      <c r="H13393" s="18"/>
      <c r="K13393" s="18" t="s">
        <v>316</v>
      </c>
    </row>
    <row r="13394">
      <c r="A13394" s="17"/>
      <c r="H13394" s="18"/>
      <c r="K13394" s="18" t="s">
        <v>316</v>
      </c>
    </row>
    <row r="13395">
      <c r="A13395" s="17"/>
      <c r="H13395" s="18"/>
      <c r="K13395" s="18" t="s">
        <v>316</v>
      </c>
    </row>
    <row r="13396">
      <c r="A13396" s="17"/>
      <c r="H13396" s="18"/>
      <c r="K13396" s="18" t="s">
        <v>316</v>
      </c>
    </row>
    <row r="13397">
      <c r="A13397" s="17"/>
      <c r="H13397" s="18"/>
      <c r="K13397" s="18" t="s">
        <v>316</v>
      </c>
    </row>
    <row r="13398">
      <c r="A13398" s="17"/>
      <c r="H13398" s="18"/>
      <c r="K13398" s="18" t="s">
        <v>316</v>
      </c>
    </row>
    <row r="13399">
      <c r="A13399" s="17"/>
      <c r="H13399" s="18"/>
      <c r="K13399" s="18" t="s">
        <v>316</v>
      </c>
    </row>
    <row r="13400">
      <c r="A13400" s="17"/>
      <c r="H13400" s="18"/>
      <c r="K13400" s="18" t="s">
        <v>316</v>
      </c>
    </row>
    <row r="13401">
      <c r="A13401" s="17"/>
      <c r="H13401" s="18"/>
      <c r="K13401" s="18" t="s">
        <v>316</v>
      </c>
    </row>
    <row r="13402">
      <c r="A13402" s="17"/>
      <c r="H13402" s="18"/>
      <c r="K13402" s="18" t="s">
        <v>316</v>
      </c>
    </row>
    <row r="13403">
      <c r="A13403" s="17"/>
      <c r="H13403" s="18"/>
      <c r="K13403" s="18" t="s">
        <v>316</v>
      </c>
    </row>
    <row r="13404">
      <c r="A13404" s="17"/>
      <c r="H13404" s="18"/>
      <c r="K13404" s="18" t="s">
        <v>316</v>
      </c>
    </row>
    <row r="13405">
      <c r="A13405" s="17"/>
      <c r="H13405" s="18"/>
      <c r="K13405" s="18" t="s">
        <v>316</v>
      </c>
    </row>
    <row r="13406">
      <c r="A13406" s="17"/>
      <c r="H13406" s="18"/>
      <c r="K13406" s="18" t="s">
        <v>316</v>
      </c>
    </row>
    <row r="13407">
      <c r="A13407" s="17"/>
      <c r="H13407" s="18"/>
      <c r="K13407" s="18" t="s">
        <v>316</v>
      </c>
    </row>
    <row r="13408">
      <c r="A13408" s="17"/>
      <c r="H13408" s="18"/>
      <c r="K13408" s="18" t="s">
        <v>316</v>
      </c>
    </row>
    <row r="13409">
      <c r="A13409" s="17"/>
      <c r="H13409" s="18"/>
      <c r="K13409" s="18" t="s">
        <v>316</v>
      </c>
    </row>
    <row r="13410">
      <c r="A13410" s="17"/>
      <c r="H13410" s="18"/>
      <c r="K13410" s="18" t="s">
        <v>316</v>
      </c>
    </row>
    <row r="13411">
      <c r="A13411" s="17"/>
      <c r="H13411" s="18"/>
      <c r="K13411" s="18" t="s">
        <v>316</v>
      </c>
    </row>
    <row r="13412">
      <c r="A13412" s="17"/>
      <c r="H13412" s="18"/>
      <c r="K13412" s="18" t="s">
        <v>316</v>
      </c>
    </row>
    <row r="13413">
      <c r="A13413" s="17"/>
      <c r="H13413" s="18"/>
      <c r="K13413" s="18" t="s">
        <v>316</v>
      </c>
    </row>
    <row r="13414">
      <c r="A13414" s="17"/>
      <c r="H13414" s="18"/>
      <c r="K13414" s="18" t="s">
        <v>316</v>
      </c>
    </row>
    <row r="13415">
      <c r="A13415" s="17"/>
      <c r="H13415" s="18"/>
      <c r="K13415" s="18" t="s">
        <v>316</v>
      </c>
    </row>
    <row r="13416">
      <c r="A13416" s="17"/>
      <c r="H13416" s="18"/>
      <c r="K13416" s="18" t="s">
        <v>316</v>
      </c>
    </row>
    <row r="13417">
      <c r="A13417" s="17"/>
      <c r="H13417" s="18"/>
      <c r="K13417" s="18" t="s">
        <v>316</v>
      </c>
    </row>
    <row r="13418">
      <c r="A13418" s="17"/>
      <c r="H13418" s="18"/>
      <c r="K13418" s="18" t="s">
        <v>316</v>
      </c>
    </row>
    <row r="13419">
      <c r="A13419" s="17"/>
      <c r="H13419" s="18"/>
      <c r="K13419" s="18" t="s">
        <v>316</v>
      </c>
    </row>
    <row r="13420">
      <c r="A13420" s="17"/>
      <c r="H13420" s="18"/>
      <c r="K13420" s="18" t="s">
        <v>316</v>
      </c>
    </row>
    <row r="13421">
      <c r="A13421" s="17"/>
      <c r="H13421" s="18"/>
      <c r="K13421" s="18" t="s">
        <v>316</v>
      </c>
    </row>
    <row r="13422">
      <c r="A13422" s="17"/>
      <c r="H13422" s="18"/>
      <c r="K13422" s="18" t="s">
        <v>316</v>
      </c>
    </row>
    <row r="13423">
      <c r="A13423" s="17"/>
      <c r="H13423" s="18"/>
      <c r="K13423" s="18" t="s">
        <v>316</v>
      </c>
    </row>
    <row r="13424">
      <c r="A13424" s="17"/>
      <c r="H13424" s="18"/>
      <c r="K13424" s="18" t="s">
        <v>316</v>
      </c>
    </row>
    <row r="13425">
      <c r="A13425" s="17"/>
      <c r="H13425" s="18"/>
      <c r="K13425" s="18" t="s">
        <v>316</v>
      </c>
    </row>
    <row r="13426">
      <c r="A13426" s="17"/>
      <c r="H13426" s="18"/>
      <c r="K13426" s="18" t="s">
        <v>316</v>
      </c>
    </row>
    <row r="13427">
      <c r="A13427" s="17"/>
      <c r="H13427" s="18"/>
      <c r="K13427" s="18" t="s">
        <v>316</v>
      </c>
    </row>
    <row r="13428">
      <c r="A13428" s="17"/>
      <c r="H13428" s="18"/>
      <c r="K13428" s="18" t="s">
        <v>316</v>
      </c>
    </row>
    <row r="13429">
      <c r="A13429" s="17"/>
      <c r="H13429" s="18"/>
      <c r="K13429" s="18" t="s">
        <v>316</v>
      </c>
    </row>
    <row r="13430">
      <c r="A13430" s="17"/>
      <c r="H13430" s="18"/>
      <c r="K13430" s="18" t="s">
        <v>316</v>
      </c>
    </row>
    <row r="13431">
      <c r="A13431" s="17"/>
      <c r="H13431" s="18"/>
      <c r="K13431" s="18" t="s">
        <v>316</v>
      </c>
    </row>
    <row r="13432">
      <c r="A13432" s="17"/>
      <c r="H13432" s="18"/>
      <c r="K13432" s="18" t="s">
        <v>316</v>
      </c>
    </row>
    <row r="13433">
      <c r="A13433" s="17"/>
      <c r="H13433" s="18"/>
      <c r="K13433" s="18" t="s">
        <v>316</v>
      </c>
    </row>
    <row r="13434">
      <c r="A13434" s="17"/>
      <c r="H13434" s="18"/>
      <c r="K13434" s="18" t="s">
        <v>316</v>
      </c>
    </row>
    <row r="13435">
      <c r="A13435" s="17"/>
      <c r="H13435" s="18"/>
      <c r="K13435" s="18" t="s">
        <v>316</v>
      </c>
    </row>
    <row r="13436">
      <c r="A13436" s="17"/>
      <c r="H13436" s="18"/>
      <c r="K13436" s="18" t="s">
        <v>316</v>
      </c>
    </row>
    <row r="13437">
      <c r="A13437" s="17"/>
      <c r="H13437" s="18"/>
      <c r="K13437" s="18" t="s">
        <v>316</v>
      </c>
    </row>
    <row r="13438">
      <c r="A13438" s="17"/>
      <c r="H13438" s="18"/>
      <c r="K13438" s="18" t="s">
        <v>316</v>
      </c>
    </row>
    <row r="13439">
      <c r="A13439" s="17"/>
      <c r="H13439" s="18"/>
      <c r="K13439" s="18" t="s">
        <v>316</v>
      </c>
    </row>
    <row r="13440">
      <c r="A13440" s="17"/>
      <c r="H13440" s="18"/>
      <c r="K13440" s="18" t="s">
        <v>316</v>
      </c>
    </row>
    <row r="13441">
      <c r="A13441" s="17"/>
      <c r="H13441" s="18"/>
      <c r="K13441" s="18" t="s">
        <v>316</v>
      </c>
    </row>
    <row r="13442">
      <c r="A13442" s="17"/>
      <c r="H13442" s="18"/>
      <c r="K13442" s="18" t="s">
        <v>316</v>
      </c>
    </row>
    <row r="13443">
      <c r="A13443" s="17"/>
      <c r="H13443" s="18"/>
      <c r="K13443" s="18" t="s">
        <v>316</v>
      </c>
    </row>
    <row r="13444">
      <c r="A13444" s="17"/>
      <c r="H13444" s="18"/>
      <c r="K13444" s="18" t="s">
        <v>316</v>
      </c>
    </row>
    <row r="13445">
      <c r="A13445" s="17"/>
      <c r="H13445" s="18"/>
      <c r="K13445" s="18" t="s">
        <v>316</v>
      </c>
    </row>
    <row r="13446">
      <c r="A13446" s="17"/>
      <c r="H13446" s="18"/>
      <c r="K13446" s="18" t="s">
        <v>316</v>
      </c>
    </row>
    <row r="13447">
      <c r="A13447" s="17"/>
      <c r="H13447" s="18"/>
      <c r="K13447" s="18" t="s">
        <v>316</v>
      </c>
    </row>
    <row r="13448">
      <c r="A13448" s="17"/>
      <c r="H13448" s="18"/>
      <c r="K13448" s="18" t="s">
        <v>316</v>
      </c>
    </row>
    <row r="13449">
      <c r="A13449" s="17"/>
      <c r="H13449" s="18"/>
      <c r="K13449" s="18" t="s">
        <v>316</v>
      </c>
    </row>
    <row r="13450">
      <c r="A13450" s="17"/>
      <c r="H13450" s="18"/>
      <c r="K13450" s="18" t="s">
        <v>316</v>
      </c>
    </row>
    <row r="13451">
      <c r="A13451" s="17"/>
      <c r="H13451" s="18"/>
      <c r="K13451" s="18" t="s">
        <v>316</v>
      </c>
    </row>
    <row r="13452">
      <c r="A13452" s="17"/>
      <c r="H13452" s="18"/>
      <c r="K13452" s="18" t="s">
        <v>316</v>
      </c>
    </row>
    <row r="13453">
      <c r="A13453" s="17"/>
      <c r="H13453" s="18"/>
      <c r="K13453" s="18" t="s">
        <v>316</v>
      </c>
    </row>
    <row r="13454">
      <c r="A13454" s="17"/>
      <c r="H13454" s="18"/>
      <c r="K13454" s="18" t="s">
        <v>316</v>
      </c>
    </row>
    <row r="13455">
      <c r="A13455" s="17"/>
      <c r="H13455" s="18"/>
      <c r="K13455" s="18" t="s">
        <v>316</v>
      </c>
    </row>
    <row r="13456">
      <c r="A13456" s="17"/>
      <c r="H13456" s="18"/>
      <c r="K13456" s="18" t="s">
        <v>316</v>
      </c>
    </row>
    <row r="13457">
      <c r="A13457" s="17"/>
      <c r="H13457" s="18"/>
      <c r="K13457" s="18" t="s">
        <v>316</v>
      </c>
    </row>
    <row r="13458">
      <c r="A13458" s="17"/>
      <c r="H13458" s="18"/>
      <c r="K13458" s="18" t="s">
        <v>316</v>
      </c>
    </row>
    <row r="13459">
      <c r="A13459" s="17"/>
      <c r="H13459" s="18"/>
      <c r="K13459" s="18" t="s">
        <v>316</v>
      </c>
    </row>
    <row r="13460">
      <c r="A13460" s="17"/>
      <c r="H13460" s="18"/>
      <c r="K13460" s="18" t="s">
        <v>316</v>
      </c>
    </row>
    <row r="13461">
      <c r="A13461" s="17"/>
      <c r="H13461" s="18"/>
      <c r="K13461" s="18" t="s">
        <v>316</v>
      </c>
    </row>
    <row r="13462">
      <c r="A13462" s="17"/>
      <c r="H13462" s="18"/>
      <c r="K13462" s="18" t="s">
        <v>316</v>
      </c>
    </row>
    <row r="13463">
      <c r="A13463" s="17"/>
      <c r="H13463" s="18"/>
      <c r="K13463" s="18" t="s">
        <v>316</v>
      </c>
    </row>
    <row r="13464">
      <c r="A13464" s="17"/>
      <c r="H13464" s="18"/>
      <c r="K13464" s="18" t="s">
        <v>316</v>
      </c>
    </row>
    <row r="13465">
      <c r="A13465" s="17"/>
      <c r="H13465" s="18"/>
      <c r="K13465" s="18" t="s">
        <v>316</v>
      </c>
    </row>
    <row r="13466">
      <c r="A13466" s="17"/>
      <c r="H13466" s="18"/>
      <c r="K13466" s="18" t="s">
        <v>316</v>
      </c>
    </row>
    <row r="13467">
      <c r="A13467" s="17"/>
      <c r="H13467" s="18"/>
      <c r="K13467" s="18" t="s">
        <v>316</v>
      </c>
    </row>
    <row r="13468">
      <c r="A13468" s="17"/>
      <c r="H13468" s="18"/>
      <c r="K13468" s="18" t="s">
        <v>316</v>
      </c>
    </row>
    <row r="13469">
      <c r="A13469" s="17"/>
      <c r="H13469" s="18"/>
      <c r="K13469" s="18" t="s">
        <v>316</v>
      </c>
    </row>
    <row r="13470">
      <c r="A13470" s="17"/>
      <c r="H13470" s="18"/>
      <c r="K13470" s="18" t="s">
        <v>316</v>
      </c>
    </row>
    <row r="13471">
      <c r="A13471" s="17"/>
      <c r="H13471" s="18"/>
      <c r="K13471" s="18" t="s">
        <v>316</v>
      </c>
    </row>
    <row r="13472">
      <c r="A13472" s="17"/>
      <c r="H13472" s="18"/>
      <c r="K13472" s="18" t="s">
        <v>316</v>
      </c>
    </row>
    <row r="13473">
      <c r="A13473" s="17"/>
      <c r="H13473" s="18"/>
      <c r="K13473" s="18" t="s">
        <v>316</v>
      </c>
    </row>
    <row r="13474">
      <c r="A13474" s="17"/>
      <c r="H13474" s="18"/>
      <c r="K13474" s="18" t="s">
        <v>316</v>
      </c>
    </row>
    <row r="13475">
      <c r="A13475" s="17"/>
      <c r="H13475" s="18"/>
      <c r="K13475" s="18" t="s">
        <v>316</v>
      </c>
    </row>
    <row r="13476">
      <c r="A13476" s="17"/>
      <c r="H13476" s="18"/>
      <c r="K13476" s="18" t="s">
        <v>316</v>
      </c>
    </row>
    <row r="13477">
      <c r="A13477" s="17"/>
      <c r="H13477" s="18"/>
      <c r="K13477" s="18" t="s">
        <v>316</v>
      </c>
    </row>
    <row r="13478">
      <c r="A13478" s="17"/>
      <c r="H13478" s="18"/>
      <c r="K13478" s="18" t="s">
        <v>316</v>
      </c>
    </row>
    <row r="13479">
      <c r="A13479" s="17"/>
      <c r="H13479" s="18"/>
      <c r="K13479" s="18" t="s">
        <v>316</v>
      </c>
    </row>
    <row r="13480">
      <c r="A13480" s="17"/>
      <c r="H13480" s="18"/>
      <c r="K13480" s="18" t="s">
        <v>316</v>
      </c>
    </row>
    <row r="13481">
      <c r="A13481" s="17"/>
      <c r="H13481" s="18"/>
      <c r="K13481" s="18" t="s">
        <v>316</v>
      </c>
    </row>
    <row r="13482">
      <c r="A13482" s="17"/>
      <c r="H13482" s="18"/>
      <c r="K13482" s="18" t="s">
        <v>316</v>
      </c>
    </row>
    <row r="13483">
      <c r="A13483" s="17"/>
      <c r="H13483" s="18"/>
      <c r="K13483" s="18" t="s">
        <v>316</v>
      </c>
    </row>
    <row r="13484">
      <c r="A13484" s="17"/>
      <c r="H13484" s="18"/>
      <c r="K13484" s="18" t="s">
        <v>316</v>
      </c>
    </row>
    <row r="13485">
      <c r="A13485" s="17"/>
      <c r="H13485" s="18"/>
      <c r="K13485" s="18" t="s">
        <v>316</v>
      </c>
    </row>
    <row r="13486">
      <c r="A13486" s="17"/>
      <c r="H13486" s="18"/>
      <c r="K13486" s="18" t="s">
        <v>316</v>
      </c>
    </row>
    <row r="13487">
      <c r="A13487" s="17"/>
      <c r="H13487" s="18"/>
      <c r="K13487" s="18" t="s">
        <v>316</v>
      </c>
    </row>
    <row r="13488">
      <c r="A13488" s="17"/>
      <c r="H13488" s="18"/>
      <c r="K13488" s="18" t="s">
        <v>316</v>
      </c>
    </row>
    <row r="13489">
      <c r="A13489" s="17"/>
      <c r="H13489" s="18"/>
      <c r="K13489" s="18" t="s">
        <v>316</v>
      </c>
    </row>
    <row r="13490">
      <c r="A13490" s="17"/>
      <c r="H13490" s="18"/>
      <c r="K13490" s="18" t="s">
        <v>316</v>
      </c>
    </row>
    <row r="13491">
      <c r="A13491" s="17"/>
      <c r="H13491" s="18"/>
      <c r="K13491" s="18" t="s">
        <v>316</v>
      </c>
    </row>
    <row r="13492">
      <c r="A13492" s="17"/>
      <c r="H13492" s="18"/>
      <c r="K13492" s="18" t="s">
        <v>316</v>
      </c>
    </row>
    <row r="13493">
      <c r="A13493" s="17"/>
      <c r="H13493" s="18"/>
      <c r="K13493" s="18" t="s">
        <v>316</v>
      </c>
    </row>
    <row r="13494">
      <c r="A13494" s="17"/>
      <c r="H13494" s="18"/>
      <c r="K13494" s="18" t="s">
        <v>316</v>
      </c>
    </row>
    <row r="13495">
      <c r="A13495" s="17"/>
      <c r="H13495" s="18"/>
      <c r="K13495" s="18" t="s">
        <v>316</v>
      </c>
    </row>
    <row r="13496">
      <c r="A13496" s="17"/>
      <c r="H13496" s="18"/>
      <c r="K13496" s="18" t="s">
        <v>316</v>
      </c>
    </row>
    <row r="13497">
      <c r="A13497" s="17"/>
      <c r="H13497" s="18"/>
      <c r="K13497" s="18" t="s">
        <v>316</v>
      </c>
    </row>
    <row r="13498">
      <c r="A13498" s="17"/>
      <c r="H13498" s="18"/>
      <c r="K13498" s="18" t="s">
        <v>316</v>
      </c>
    </row>
    <row r="13499">
      <c r="A13499" s="17"/>
      <c r="H13499" s="18"/>
      <c r="K13499" s="18" t="s">
        <v>316</v>
      </c>
    </row>
    <row r="13500">
      <c r="A13500" s="17"/>
      <c r="H13500" s="18"/>
      <c r="K13500" s="18" t="s">
        <v>316</v>
      </c>
    </row>
    <row r="13501">
      <c r="A13501" s="17"/>
      <c r="H13501" s="18"/>
      <c r="K13501" s="18" t="s">
        <v>316</v>
      </c>
    </row>
    <row r="13502">
      <c r="A13502" s="17"/>
      <c r="H13502" s="18"/>
      <c r="K13502" s="18" t="s">
        <v>316</v>
      </c>
    </row>
    <row r="13503">
      <c r="A13503" s="17"/>
      <c r="H13503" s="18"/>
      <c r="K13503" s="18" t="s">
        <v>316</v>
      </c>
    </row>
    <row r="13504">
      <c r="A13504" s="17"/>
      <c r="H13504" s="18"/>
      <c r="K13504" s="18" t="s">
        <v>316</v>
      </c>
    </row>
    <row r="13505">
      <c r="A13505" s="17"/>
      <c r="H13505" s="18"/>
      <c r="K13505" s="18" t="s">
        <v>316</v>
      </c>
    </row>
    <row r="13506">
      <c r="A13506" s="17"/>
      <c r="H13506" s="18"/>
      <c r="K13506" s="18" t="s">
        <v>316</v>
      </c>
    </row>
    <row r="13507">
      <c r="A13507" s="17"/>
      <c r="H13507" s="18"/>
      <c r="K13507" s="18" t="s">
        <v>316</v>
      </c>
    </row>
    <row r="13508">
      <c r="A13508" s="17"/>
      <c r="H13508" s="18"/>
      <c r="K13508" s="18" t="s">
        <v>316</v>
      </c>
    </row>
    <row r="13509">
      <c r="A13509" s="17"/>
      <c r="H13509" s="18"/>
      <c r="K13509" s="18" t="s">
        <v>316</v>
      </c>
    </row>
    <row r="13510">
      <c r="A13510" s="17"/>
      <c r="H13510" s="18"/>
      <c r="K13510" s="18" t="s">
        <v>316</v>
      </c>
    </row>
    <row r="13511">
      <c r="A13511" s="17"/>
      <c r="H13511" s="18"/>
      <c r="K13511" s="18" t="s">
        <v>316</v>
      </c>
    </row>
    <row r="13512">
      <c r="A13512" s="17"/>
      <c r="H13512" s="18"/>
      <c r="K13512" s="18" t="s">
        <v>316</v>
      </c>
    </row>
    <row r="13513">
      <c r="A13513" s="17"/>
      <c r="H13513" s="18"/>
      <c r="K13513" s="18" t="s">
        <v>316</v>
      </c>
    </row>
    <row r="13514">
      <c r="A13514" s="17"/>
      <c r="H13514" s="18"/>
      <c r="K13514" s="18" t="s">
        <v>316</v>
      </c>
    </row>
    <row r="13515">
      <c r="A13515" s="17"/>
      <c r="H13515" s="18"/>
      <c r="K13515" s="18" t="s">
        <v>316</v>
      </c>
    </row>
    <row r="13516">
      <c r="A13516" s="17"/>
      <c r="H13516" s="18"/>
      <c r="K13516" s="18" t="s">
        <v>316</v>
      </c>
    </row>
    <row r="13517">
      <c r="A13517" s="17"/>
      <c r="H13517" s="18"/>
      <c r="K13517" s="18" t="s">
        <v>316</v>
      </c>
    </row>
    <row r="13518">
      <c r="A13518" s="17"/>
      <c r="H13518" s="18"/>
      <c r="K13518" s="18" t="s">
        <v>316</v>
      </c>
    </row>
    <row r="13519">
      <c r="A13519" s="17"/>
      <c r="H13519" s="18"/>
      <c r="K13519" s="18" t="s">
        <v>316</v>
      </c>
    </row>
    <row r="13520">
      <c r="A13520" s="17"/>
      <c r="H13520" s="18"/>
      <c r="K13520" s="18" t="s">
        <v>316</v>
      </c>
    </row>
    <row r="13521">
      <c r="A13521" s="17"/>
      <c r="H13521" s="18"/>
      <c r="K13521" s="18" t="s">
        <v>316</v>
      </c>
    </row>
    <row r="13522">
      <c r="A13522" s="17"/>
      <c r="H13522" s="18"/>
      <c r="K13522" s="18" t="s">
        <v>316</v>
      </c>
    </row>
    <row r="13523">
      <c r="A13523" s="17"/>
      <c r="H13523" s="18"/>
      <c r="K13523" s="18" t="s">
        <v>316</v>
      </c>
    </row>
    <row r="13524">
      <c r="A13524" s="17"/>
      <c r="H13524" s="18"/>
      <c r="K13524" s="18" t="s">
        <v>316</v>
      </c>
    </row>
    <row r="13525">
      <c r="A13525" s="17"/>
      <c r="H13525" s="18"/>
      <c r="K13525" s="18" t="s">
        <v>316</v>
      </c>
    </row>
    <row r="13526">
      <c r="A13526" s="17"/>
      <c r="H13526" s="18"/>
      <c r="K13526" s="18" t="s">
        <v>316</v>
      </c>
    </row>
    <row r="13527">
      <c r="A13527" s="17"/>
      <c r="H13527" s="18"/>
      <c r="K13527" s="18" t="s">
        <v>316</v>
      </c>
    </row>
    <row r="13528">
      <c r="A13528" s="17"/>
      <c r="H13528" s="18"/>
      <c r="K13528" s="18" t="s">
        <v>316</v>
      </c>
    </row>
    <row r="13529">
      <c r="A13529" s="17"/>
      <c r="H13529" s="18"/>
      <c r="K13529" s="18" t="s">
        <v>316</v>
      </c>
    </row>
    <row r="13530">
      <c r="A13530" s="17"/>
      <c r="H13530" s="18"/>
      <c r="K13530" s="18" t="s">
        <v>316</v>
      </c>
    </row>
    <row r="13531">
      <c r="A13531" s="17"/>
      <c r="H13531" s="18"/>
      <c r="K13531" s="18" t="s">
        <v>316</v>
      </c>
    </row>
    <row r="13532">
      <c r="A13532" s="17"/>
      <c r="H13532" s="18"/>
      <c r="K13532" s="18" t="s">
        <v>316</v>
      </c>
    </row>
    <row r="13533">
      <c r="A13533" s="17"/>
      <c r="H13533" s="18"/>
      <c r="K13533" s="18" t="s">
        <v>316</v>
      </c>
    </row>
    <row r="13534">
      <c r="A13534" s="17"/>
      <c r="H13534" s="18"/>
      <c r="K13534" s="18" t="s">
        <v>316</v>
      </c>
    </row>
    <row r="13535">
      <c r="A13535" s="17"/>
      <c r="H13535" s="18"/>
      <c r="K13535" s="18" t="s">
        <v>316</v>
      </c>
    </row>
    <row r="13536">
      <c r="A13536" s="17"/>
      <c r="H13536" s="18"/>
      <c r="K13536" s="18" t="s">
        <v>316</v>
      </c>
    </row>
    <row r="13537">
      <c r="A13537" s="17"/>
      <c r="H13537" s="18"/>
      <c r="K13537" s="18" t="s">
        <v>316</v>
      </c>
    </row>
    <row r="13538">
      <c r="A13538" s="17"/>
      <c r="H13538" s="18"/>
      <c r="K13538" s="18" t="s">
        <v>316</v>
      </c>
    </row>
    <row r="13539">
      <c r="A13539" s="17"/>
      <c r="H13539" s="18"/>
      <c r="K13539" s="18" t="s">
        <v>316</v>
      </c>
    </row>
    <row r="13540">
      <c r="A13540" s="17"/>
      <c r="H13540" s="18"/>
      <c r="K13540" s="18" t="s">
        <v>316</v>
      </c>
    </row>
    <row r="13541">
      <c r="A13541" s="17"/>
      <c r="H13541" s="18"/>
      <c r="K13541" s="18" t="s">
        <v>316</v>
      </c>
    </row>
    <row r="13542">
      <c r="A13542" s="17"/>
      <c r="H13542" s="18"/>
      <c r="K13542" s="18" t="s">
        <v>316</v>
      </c>
    </row>
    <row r="13543">
      <c r="A13543" s="17"/>
      <c r="H13543" s="18"/>
      <c r="K13543" s="18" t="s">
        <v>316</v>
      </c>
    </row>
    <row r="13544">
      <c r="A13544" s="17"/>
      <c r="H13544" s="18"/>
      <c r="K13544" s="18" t="s">
        <v>316</v>
      </c>
    </row>
    <row r="13545">
      <c r="A13545" s="17"/>
      <c r="H13545" s="18"/>
      <c r="K13545" s="18" t="s">
        <v>316</v>
      </c>
    </row>
    <row r="13546">
      <c r="A13546" s="17"/>
      <c r="H13546" s="18"/>
      <c r="K13546" s="18" t="s">
        <v>316</v>
      </c>
    </row>
    <row r="13547">
      <c r="A13547" s="17"/>
      <c r="H13547" s="18"/>
      <c r="K13547" s="18" t="s">
        <v>316</v>
      </c>
    </row>
    <row r="13548">
      <c r="A13548" s="17"/>
      <c r="H13548" s="18"/>
      <c r="K13548" s="18" t="s">
        <v>316</v>
      </c>
    </row>
    <row r="13549">
      <c r="A13549" s="17"/>
      <c r="H13549" s="18"/>
      <c r="K13549" s="18" t="s">
        <v>316</v>
      </c>
    </row>
    <row r="13550">
      <c r="A13550" s="17"/>
      <c r="H13550" s="18"/>
      <c r="K13550" s="18" t="s">
        <v>316</v>
      </c>
    </row>
    <row r="13551">
      <c r="A13551" s="17"/>
      <c r="H13551" s="18"/>
      <c r="K13551" s="18" t="s">
        <v>316</v>
      </c>
    </row>
    <row r="13552">
      <c r="A13552" s="17"/>
      <c r="H13552" s="18"/>
      <c r="K13552" s="18" t="s">
        <v>316</v>
      </c>
    </row>
    <row r="13553">
      <c r="A13553" s="17"/>
      <c r="H13553" s="18"/>
      <c r="K13553" s="18" t="s">
        <v>316</v>
      </c>
    </row>
    <row r="13554">
      <c r="A13554" s="17"/>
      <c r="H13554" s="18"/>
      <c r="K13554" s="18" t="s">
        <v>316</v>
      </c>
    </row>
    <row r="13555">
      <c r="A13555" s="17"/>
      <c r="H13555" s="18"/>
      <c r="K13555" s="18" t="s">
        <v>316</v>
      </c>
    </row>
    <row r="13556">
      <c r="A13556" s="17"/>
      <c r="H13556" s="18"/>
      <c r="K13556" s="18" t="s">
        <v>316</v>
      </c>
    </row>
    <row r="13557">
      <c r="A13557" s="17"/>
      <c r="H13557" s="18"/>
      <c r="K13557" s="18" t="s">
        <v>316</v>
      </c>
    </row>
    <row r="13558">
      <c r="A13558" s="17"/>
      <c r="H13558" s="18"/>
      <c r="K13558" s="18" t="s">
        <v>316</v>
      </c>
    </row>
    <row r="13559">
      <c r="A13559" s="17"/>
      <c r="H13559" s="18"/>
      <c r="K13559" s="18" t="s">
        <v>316</v>
      </c>
    </row>
    <row r="13560">
      <c r="A13560" s="17"/>
      <c r="H13560" s="18"/>
      <c r="K13560" s="18" t="s">
        <v>316</v>
      </c>
    </row>
    <row r="13561">
      <c r="A13561" s="17"/>
      <c r="H13561" s="18"/>
      <c r="K13561" s="18" t="s">
        <v>316</v>
      </c>
    </row>
    <row r="13562">
      <c r="A13562" s="17"/>
      <c r="H13562" s="18"/>
      <c r="K13562" s="18" t="s">
        <v>316</v>
      </c>
    </row>
    <row r="13563">
      <c r="A13563" s="17"/>
      <c r="H13563" s="18"/>
      <c r="K13563" s="18" t="s">
        <v>316</v>
      </c>
    </row>
    <row r="13564">
      <c r="A13564" s="17"/>
      <c r="H13564" s="18"/>
      <c r="K13564" s="18" t="s">
        <v>316</v>
      </c>
    </row>
    <row r="13565">
      <c r="A13565" s="17"/>
      <c r="H13565" s="18"/>
      <c r="K13565" s="18" t="s">
        <v>316</v>
      </c>
    </row>
    <row r="13566">
      <c r="A13566" s="17"/>
      <c r="H13566" s="18"/>
      <c r="K13566" s="18" t="s">
        <v>316</v>
      </c>
    </row>
    <row r="13567">
      <c r="A13567" s="17"/>
      <c r="H13567" s="18"/>
      <c r="K13567" s="18" t="s">
        <v>316</v>
      </c>
    </row>
    <row r="13568">
      <c r="A13568" s="17"/>
      <c r="H13568" s="18"/>
      <c r="K13568" s="18" t="s">
        <v>316</v>
      </c>
    </row>
    <row r="13569">
      <c r="A13569" s="17"/>
      <c r="H13569" s="18"/>
      <c r="K13569" s="18" t="s">
        <v>316</v>
      </c>
    </row>
    <row r="13570">
      <c r="A13570" s="17"/>
      <c r="H13570" s="18"/>
      <c r="K13570" s="18" t="s">
        <v>316</v>
      </c>
    </row>
    <row r="13571">
      <c r="A13571" s="17"/>
      <c r="H13571" s="18"/>
      <c r="K13571" s="18" t="s">
        <v>316</v>
      </c>
    </row>
    <row r="13572">
      <c r="A13572" s="17"/>
      <c r="H13572" s="18"/>
      <c r="K13572" s="18" t="s">
        <v>316</v>
      </c>
    </row>
    <row r="13573">
      <c r="A13573" s="17"/>
      <c r="H13573" s="18"/>
      <c r="K13573" s="18" t="s">
        <v>316</v>
      </c>
    </row>
    <row r="13574">
      <c r="A13574" s="17"/>
      <c r="H13574" s="18"/>
      <c r="K13574" s="18" t="s">
        <v>316</v>
      </c>
    </row>
    <row r="13575">
      <c r="A13575" s="17"/>
      <c r="H13575" s="18"/>
      <c r="K13575" s="18" t="s">
        <v>316</v>
      </c>
    </row>
    <row r="13576">
      <c r="A13576" s="17"/>
      <c r="H13576" s="18"/>
      <c r="K13576" s="18" t="s">
        <v>316</v>
      </c>
    </row>
    <row r="13577">
      <c r="A13577" s="17"/>
      <c r="H13577" s="18"/>
      <c r="K13577" s="18" t="s">
        <v>316</v>
      </c>
    </row>
    <row r="13578">
      <c r="A13578" s="17"/>
      <c r="H13578" s="18"/>
      <c r="K13578" s="18" t="s">
        <v>316</v>
      </c>
    </row>
    <row r="13579">
      <c r="A13579" s="17"/>
      <c r="H13579" s="18"/>
      <c r="K13579" s="18" t="s">
        <v>316</v>
      </c>
    </row>
    <row r="13580">
      <c r="A13580" s="17"/>
      <c r="H13580" s="18"/>
      <c r="K13580" s="18" t="s">
        <v>316</v>
      </c>
    </row>
    <row r="13581">
      <c r="A13581" s="17"/>
      <c r="H13581" s="18"/>
      <c r="K13581" s="18" t="s">
        <v>316</v>
      </c>
    </row>
    <row r="13582">
      <c r="A13582" s="17"/>
      <c r="H13582" s="18"/>
      <c r="K13582" s="18" t="s">
        <v>316</v>
      </c>
    </row>
    <row r="13583">
      <c r="A13583" s="17"/>
      <c r="H13583" s="18"/>
      <c r="K13583" s="18" t="s">
        <v>316</v>
      </c>
    </row>
    <row r="13584">
      <c r="A13584" s="17"/>
      <c r="H13584" s="18"/>
      <c r="K13584" s="18" t="s">
        <v>316</v>
      </c>
    </row>
    <row r="13585">
      <c r="A13585" s="17"/>
      <c r="H13585" s="18"/>
      <c r="K13585" s="18" t="s">
        <v>316</v>
      </c>
    </row>
    <row r="13586">
      <c r="A13586" s="17"/>
      <c r="H13586" s="18"/>
      <c r="K13586" s="18" t="s">
        <v>316</v>
      </c>
    </row>
    <row r="13587">
      <c r="A13587" s="17"/>
      <c r="H13587" s="18"/>
      <c r="K13587" s="18" t="s">
        <v>316</v>
      </c>
    </row>
    <row r="13588">
      <c r="A13588" s="17"/>
      <c r="H13588" s="18"/>
      <c r="K13588" s="18" t="s">
        <v>316</v>
      </c>
    </row>
    <row r="13589">
      <c r="A13589" s="17"/>
      <c r="H13589" s="18"/>
      <c r="K13589" s="18" t="s">
        <v>316</v>
      </c>
    </row>
    <row r="13590">
      <c r="A13590" s="17"/>
      <c r="H13590" s="18"/>
      <c r="K13590" s="18" t="s">
        <v>316</v>
      </c>
    </row>
    <row r="13591">
      <c r="A13591" s="17"/>
      <c r="H13591" s="18"/>
      <c r="K13591" s="18" t="s">
        <v>316</v>
      </c>
    </row>
    <row r="13592">
      <c r="A13592" s="17"/>
      <c r="H13592" s="18"/>
      <c r="K13592" s="18" t="s">
        <v>316</v>
      </c>
    </row>
    <row r="13593">
      <c r="A13593" s="17"/>
      <c r="H13593" s="18"/>
      <c r="K13593" s="18" t="s">
        <v>316</v>
      </c>
    </row>
    <row r="13594">
      <c r="A13594" s="17"/>
      <c r="H13594" s="18"/>
      <c r="K13594" s="18" t="s">
        <v>316</v>
      </c>
    </row>
    <row r="13595">
      <c r="A13595" s="17"/>
      <c r="H13595" s="18"/>
      <c r="K13595" s="18" t="s">
        <v>316</v>
      </c>
    </row>
    <row r="13596">
      <c r="A13596" s="17"/>
      <c r="H13596" s="18"/>
      <c r="K13596" s="18" t="s">
        <v>316</v>
      </c>
    </row>
    <row r="13597">
      <c r="A13597" s="17"/>
      <c r="H13597" s="18"/>
      <c r="K13597" s="18" t="s">
        <v>316</v>
      </c>
    </row>
    <row r="13598">
      <c r="A13598" s="17"/>
      <c r="H13598" s="18"/>
      <c r="K13598" s="18" t="s">
        <v>316</v>
      </c>
    </row>
    <row r="13599">
      <c r="A13599" s="17"/>
      <c r="H13599" s="18"/>
      <c r="K13599" s="18" t="s">
        <v>316</v>
      </c>
    </row>
    <row r="13600">
      <c r="A13600" s="17"/>
      <c r="H13600" s="18"/>
      <c r="K13600" s="18" t="s">
        <v>316</v>
      </c>
    </row>
    <row r="13601">
      <c r="A13601" s="17"/>
      <c r="H13601" s="18"/>
      <c r="K13601" s="18" t="s">
        <v>316</v>
      </c>
    </row>
    <row r="13602">
      <c r="A13602" s="17"/>
      <c r="H13602" s="18"/>
      <c r="K13602" s="18" t="s">
        <v>316</v>
      </c>
    </row>
    <row r="13603">
      <c r="A13603" s="17"/>
      <c r="H13603" s="18"/>
      <c r="K13603" s="18" t="s">
        <v>316</v>
      </c>
    </row>
    <row r="13604">
      <c r="A13604" s="17"/>
      <c r="H13604" s="18"/>
      <c r="K13604" s="18" t="s">
        <v>316</v>
      </c>
    </row>
    <row r="13605">
      <c r="A13605" s="17"/>
      <c r="H13605" s="18"/>
      <c r="K13605" s="18" t="s">
        <v>316</v>
      </c>
    </row>
    <row r="13606">
      <c r="A13606" s="17"/>
      <c r="H13606" s="18"/>
      <c r="K13606" s="18" t="s">
        <v>316</v>
      </c>
    </row>
    <row r="13607">
      <c r="A13607" s="17"/>
      <c r="H13607" s="18"/>
      <c r="K13607" s="18" t="s">
        <v>316</v>
      </c>
    </row>
    <row r="13608">
      <c r="A13608" s="17"/>
      <c r="H13608" s="18"/>
      <c r="K13608" s="18" t="s">
        <v>316</v>
      </c>
    </row>
    <row r="13609">
      <c r="A13609" s="17"/>
      <c r="H13609" s="18"/>
      <c r="K13609" s="18" t="s">
        <v>316</v>
      </c>
    </row>
    <row r="13610">
      <c r="A13610" s="17"/>
      <c r="H13610" s="18"/>
      <c r="K13610" s="18" t="s">
        <v>316</v>
      </c>
    </row>
    <row r="13611">
      <c r="A13611" s="17"/>
      <c r="H13611" s="18"/>
      <c r="K13611" s="18" t="s">
        <v>316</v>
      </c>
    </row>
    <row r="13612">
      <c r="A13612" s="17"/>
      <c r="H13612" s="18"/>
      <c r="K13612" s="18" t="s">
        <v>316</v>
      </c>
    </row>
    <row r="13613">
      <c r="A13613" s="17"/>
      <c r="H13613" s="18"/>
      <c r="K13613" s="18" t="s">
        <v>316</v>
      </c>
    </row>
    <row r="13614">
      <c r="A13614" s="17"/>
      <c r="H13614" s="18"/>
      <c r="K13614" s="18" t="s">
        <v>316</v>
      </c>
    </row>
    <row r="13615">
      <c r="A13615" s="17"/>
      <c r="H13615" s="18"/>
      <c r="K13615" s="18" t="s">
        <v>316</v>
      </c>
    </row>
    <row r="13616">
      <c r="A13616" s="17"/>
      <c r="H13616" s="18"/>
      <c r="K13616" s="18" t="s">
        <v>316</v>
      </c>
    </row>
    <row r="13617">
      <c r="A13617" s="17"/>
      <c r="H13617" s="18"/>
      <c r="K13617" s="18" t="s">
        <v>316</v>
      </c>
    </row>
    <row r="13618">
      <c r="A13618" s="17"/>
      <c r="H13618" s="18"/>
      <c r="K13618" s="18" t="s">
        <v>316</v>
      </c>
    </row>
    <row r="13619">
      <c r="A13619" s="17"/>
      <c r="H13619" s="18"/>
      <c r="K13619" s="18" t="s">
        <v>316</v>
      </c>
    </row>
    <row r="13620">
      <c r="A13620" s="17"/>
      <c r="H13620" s="18"/>
      <c r="K13620" s="18" t="s">
        <v>316</v>
      </c>
    </row>
    <row r="13621">
      <c r="A13621" s="17"/>
      <c r="H13621" s="18"/>
      <c r="K13621" s="18" t="s">
        <v>316</v>
      </c>
    </row>
    <row r="13622">
      <c r="A13622" s="17"/>
      <c r="H13622" s="18"/>
      <c r="K13622" s="18" t="s">
        <v>316</v>
      </c>
    </row>
    <row r="13623">
      <c r="A13623" s="17"/>
      <c r="H13623" s="18"/>
      <c r="K13623" s="18" t="s">
        <v>316</v>
      </c>
    </row>
    <row r="13624">
      <c r="A13624" s="17"/>
      <c r="H13624" s="18"/>
      <c r="K13624" s="18" t="s">
        <v>316</v>
      </c>
    </row>
    <row r="13625">
      <c r="A13625" s="17"/>
      <c r="H13625" s="18"/>
      <c r="K13625" s="18" t="s">
        <v>316</v>
      </c>
    </row>
    <row r="13626">
      <c r="A13626" s="17"/>
      <c r="H13626" s="18"/>
      <c r="K13626" s="18" t="s">
        <v>316</v>
      </c>
    </row>
    <row r="13627">
      <c r="A13627" s="17"/>
      <c r="H13627" s="18"/>
      <c r="K13627" s="18" t="s">
        <v>316</v>
      </c>
    </row>
    <row r="13628">
      <c r="A13628" s="17"/>
      <c r="H13628" s="18"/>
      <c r="K13628" s="18" t="s">
        <v>316</v>
      </c>
    </row>
    <row r="13629">
      <c r="A13629" s="17"/>
      <c r="H13629" s="18"/>
      <c r="K13629" s="18" t="s">
        <v>316</v>
      </c>
    </row>
    <row r="13630">
      <c r="A13630" s="17"/>
      <c r="H13630" s="18"/>
      <c r="K13630" s="18" t="s">
        <v>316</v>
      </c>
    </row>
    <row r="13631">
      <c r="A13631" s="17"/>
      <c r="H13631" s="18"/>
      <c r="K13631" s="18" t="s">
        <v>316</v>
      </c>
    </row>
    <row r="13632">
      <c r="A13632" s="17"/>
      <c r="H13632" s="18"/>
      <c r="K13632" s="18" t="s">
        <v>316</v>
      </c>
    </row>
    <row r="13633">
      <c r="A13633" s="17"/>
      <c r="H13633" s="18"/>
      <c r="K13633" s="18" t="s">
        <v>316</v>
      </c>
    </row>
    <row r="13634">
      <c r="A13634" s="17"/>
      <c r="H13634" s="18"/>
      <c r="K13634" s="18" t="s">
        <v>316</v>
      </c>
    </row>
    <row r="13635">
      <c r="A13635" s="17"/>
      <c r="H13635" s="18"/>
      <c r="K13635" s="18" t="s">
        <v>316</v>
      </c>
    </row>
    <row r="13636">
      <c r="A13636" s="17"/>
      <c r="H13636" s="18"/>
      <c r="K13636" s="18" t="s">
        <v>316</v>
      </c>
    </row>
    <row r="13637">
      <c r="A13637" s="17"/>
      <c r="H13637" s="18"/>
      <c r="K13637" s="18" t="s">
        <v>316</v>
      </c>
    </row>
    <row r="13638">
      <c r="A13638" s="17"/>
      <c r="H13638" s="18"/>
      <c r="K13638" s="18" t="s">
        <v>316</v>
      </c>
    </row>
    <row r="13639">
      <c r="A13639" s="17"/>
      <c r="H13639" s="18"/>
      <c r="K13639" s="18" t="s">
        <v>316</v>
      </c>
    </row>
    <row r="13640">
      <c r="A13640" s="17"/>
      <c r="H13640" s="18"/>
      <c r="K13640" s="18" t="s">
        <v>316</v>
      </c>
    </row>
    <row r="13641">
      <c r="A13641" s="17"/>
      <c r="H13641" s="18"/>
      <c r="K13641" s="18" t="s">
        <v>316</v>
      </c>
    </row>
    <row r="13642">
      <c r="A13642" s="17"/>
      <c r="H13642" s="18"/>
      <c r="K13642" s="18" t="s">
        <v>316</v>
      </c>
    </row>
    <row r="13643">
      <c r="A13643" s="17"/>
      <c r="H13643" s="18"/>
      <c r="K13643" s="18" t="s">
        <v>316</v>
      </c>
    </row>
    <row r="13644">
      <c r="A13644" s="17"/>
      <c r="H13644" s="18"/>
      <c r="K13644" s="18" t="s">
        <v>316</v>
      </c>
    </row>
    <row r="13645">
      <c r="A13645" s="17"/>
      <c r="H13645" s="18"/>
      <c r="K13645" s="18" t="s">
        <v>316</v>
      </c>
    </row>
    <row r="13646">
      <c r="A13646" s="17"/>
      <c r="H13646" s="18"/>
      <c r="K13646" s="18" t="s">
        <v>316</v>
      </c>
    </row>
    <row r="13647">
      <c r="A13647" s="17"/>
      <c r="H13647" s="18"/>
      <c r="K13647" s="18" t="s">
        <v>316</v>
      </c>
    </row>
    <row r="13648">
      <c r="A13648" s="17"/>
      <c r="H13648" s="18"/>
      <c r="K13648" s="18" t="s">
        <v>316</v>
      </c>
    </row>
    <row r="13649">
      <c r="A13649" s="17"/>
      <c r="H13649" s="18"/>
      <c r="K13649" s="18" t="s">
        <v>316</v>
      </c>
    </row>
    <row r="13650">
      <c r="A13650" s="17"/>
      <c r="H13650" s="18"/>
      <c r="K13650" s="18" t="s">
        <v>316</v>
      </c>
    </row>
    <row r="13651">
      <c r="A13651" s="17"/>
      <c r="H13651" s="18"/>
      <c r="K13651" s="18" t="s">
        <v>316</v>
      </c>
    </row>
    <row r="13652">
      <c r="A13652" s="17"/>
      <c r="H13652" s="18"/>
      <c r="K13652" s="18" t="s">
        <v>316</v>
      </c>
    </row>
    <row r="13653">
      <c r="A13653" s="17"/>
      <c r="H13653" s="18"/>
      <c r="K13653" s="18" t="s">
        <v>316</v>
      </c>
    </row>
    <row r="13654">
      <c r="A13654" s="17"/>
      <c r="H13654" s="18"/>
      <c r="K13654" s="18" t="s">
        <v>316</v>
      </c>
    </row>
    <row r="13655">
      <c r="A13655" s="17"/>
      <c r="H13655" s="18"/>
      <c r="K13655" s="18" t="s">
        <v>316</v>
      </c>
    </row>
    <row r="13656">
      <c r="A13656" s="17"/>
      <c r="H13656" s="18"/>
      <c r="K13656" s="18" t="s">
        <v>316</v>
      </c>
    </row>
    <row r="13657">
      <c r="A13657" s="17"/>
      <c r="H13657" s="18"/>
      <c r="K13657" s="18" t="s">
        <v>316</v>
      </c>
    </row>
    <row r="13658">
      <c r="A13658" s="17"/>
      <c r="H13658" s="18"/>
      <c r="K13658" s="18" t="s">
        <v>316</v>
      </c>
    </row>
    <row r="13659">
      <c r="A13659" s="17"/>
      <c r="H13659" s="18"/>
      <c r="K13659" s="18" t="s">
        <v>316</v>
      </c>
    </row>
    <row r="13660">
      <c r="A13660" s="17"/>
      <c r="H13660" s="18"/>
      <c r="K13660" s="18" t="s">
        <v>316</v>
      </c>
    </row>
    <row r="13661">
      <c r="A13661" s="17"/>
      <c r="H13661" s="18"/>
      <c r="K13661" s="18" t="s">
        <v>316</v>
      </c>
    </row>
    <row r="13662">
      <c r="A13662" s="17"/>
      <c r="H13662" s="18"/>
      <c r="K13662" s="18" t="s">
        <v>316</v>
      </c>
    </row>
    <row r="13663">
      <c r="A13663" s="17"/>
      <c r="H13663" s="18"/>
      <c r="K13663" s="18" t="s">
        <v>316</v>
      </c>
    </row>
    <row r="13664">
      <c r="A13664" s="17"/>
      <c r="H13664" s="18"/>
      <c r="K13664" s="18" t="s">
        <v>316</v>
      </c>
    </row>
    <row r="13665">
      <c r="A13665" s="17"/>
      <c r="H13665" s="18"/>
      <c r="K13665" s="18" t="s">
        <v>316</v>
      </c>
    </row>
    <row r="13666">
      <c r="A13666" s="17"/>
      <c r="H13666" s="18"/>
      <c r="K13666" s="18" t="s">
        <v>316</v>
      </c>
    </row>
    <row r="13667">
      <c r="A13667" s="17"/>
      <c r="H13667" s="18"/>
      <c r="K13667" s="18" t="s">
        <v>316</v>
      </c>
    </row>
    <row r="13668">
      <c r="A13668" s="17"/>
      <c r="H13668" s="18"/>
      <c r="K13668" s="18" t="s">
        <v>316</v>
      </c>
    </row>
    <row r="13669">
      <c r="A13669" s="17"/>
      <c r="H13669" s="18"/>
      <c r="K13669" s="18" t="s">
        <v>316</v>
      </c>
    </row>
    <row r="13670">
      <c r="A13670" s="17"/>
      <c r="H13670" s="18"/>
      <c r="K13670" s="18" t="s">
        <v>316</v>
      </c>
    </row>
    <row r="13671">
      <c r="A13671" s="17"/>
      <c r="H13671" s="18"/>
      <c r="K13671" s="18" t="s">
        <v>316</v>
      </c>
    </row>
    <row r="13672">
      <c r="A13672" s="17"/>
      <c r="H13672" s="18"/>
      <c r="K13672" s="18" t="s">
        <v>316</v>
      </c>
    </row>
    <row r="13673">
      <c r="A13673" s="17"/>
      <c r="H13673" s="18"/>
      <c r="K13673" s="18" t="s">
        <v>316</v>
      </c>
    </row>
    <row r="13674">
      <c r="A13674" s="17"/>
      <c r="H13674" s="18"/>
      <c r="K13674" s="18" t="s">
        <v>316</v>
      </c>
    </row>
    <row r="13675">
      <c r="A13675" s="17"/>
      <c r="H13675" s="18"/>
      <c r="K13675" s="18" t="s">
        <v>316</v>
      </c>
    </row>
    <row r="13676">
      <c r="A13676" s="17"/>
      <c r="H13676" s="18"/>
      <c r="K13676" s="18" t="s">
        <v>316</v>
      </c>
    </row>
    <row r="13677">
      <c r="A13677" s="17"/>
      <c r="H13677" s="18"/>
      <c r="K13677" s="18" t="s">
        <v>316</v>
      </c>
    </row>
    <row r="13678">
      <c r="A13678" s="17"/>
      <c r="H13678" s="18"/>
      <c r="K13678" s="18" t="s">
        <v>316</v>
      </c>
    </row>
    <row r="13679">
      <c r="A13679" s="17"/>
      <c r="H13679" s="18"/>
      <c r="K13679" s="18" t="s">
        <v>316</v>
      </c>
    </row>
    <row r="13680">
      <c r="A13680" s="17"/>
      <c r="H13680" s="18"/>
      <c r="K13680" s="18" t="s">
        <v>316</v>
      </c>
    </row>
    <row r="13681">
      <c r="A13681" s="17"/>
      <c r="H13681" s="18"/>
      <c r="K13681" s="18" t="s">
        <v>316</v>
      </c>
    </row>
    <row r="13682">
      <c r="A13682" s="17"/>
      <c r="H13682" s="18"/>
      <c r="K13682" s="18" t="s">
        <v>316</v>
      </c>
    </row>
    <row r="13683">
      <c r="A13683" s="17"/>
      <c r="H13683" s="18"/>
      <c r="K13683" s="18" t="s">
        <v>316</v>
      </c>
    </row>
    <row r="13684">
      <c r="A13684" s="17"/>
      <c r="H13684" s="18"/>
      <c r="K13684" s="18" t="s">
        <v>316</v>
      </c>
    </row>
    <row r="13685">
      <c r="A13685" s="17"/>
      <c r="H13685" s="18"/>
      <c r="K13685" s="18" t="s">
        <v>316</v>
      </c>
    </row>
    <row r="13686">
      <c r="A13686" s="17"/>
      <c r="H13686" s="18"/>
      <c r="K13686" s="18" t="s">
        <v>316</v>
      </c>
    </row>
    <row r="13687">
      <c r="A13687" s="17"/>
      <c r="H13687" s="18"/>
      <c r="K13687" s="18" t="s">
        <v>316</v>
      </c>
    </row>
    <row r="13688">
      <c r="A13688" s="17"/>
      <c r="H13688" s="18"/>
      <c r="K13688" s="18" t="s">
        <v>316</v>
      </c>
    </row>
    <row r="13689">
      <c r="A13689" s="17"/>
      <c r="H13689" s="18"/>
      <c r="K13689" s="18" t="s">
        <v>316</v>
      </c>
    </row>
    <row r="13690">
      <c r="A13690" s="17"/>
      <c r="H13690" s="18"/>
      <c r="K13690" s="18" t="s">
        <v>316</v>
      </c>
    </row>
    <row r="13691">
      <c r="A13691" s="17"/>
      <c r="H13691" s="18"/>
      <c r="K13691" s="18" t="s">
        <v>316</v>
      </c>
    </row>
    <row r="13692">
      <c r="A13692" s="17"/>
      <c r="H13692" s="18"/>
      <c r="K13692" s="18" t="s">
        <v>316</v>
      </c>
    </row>
    <row r="13693">
      <c r="A13693" s="17"/>
      <c r="H13693" s="18"/>
      <c r="K13693" s="18" t="s">
        <v>316</v>
      </c>
    </row>
    <row r="13694">
      <c r="A13694" s="17"/>
      <c r="H13694" s="18"/>
      <c r="K13694" s="18" t="s">
        <v>316</v>
      </c>
    </row>
    <row r="13695">
      <c r="A13695" s="17"/>
      <c r="H13695" s="18"/>
      <c r="K13695" s="18" t="s">
        <v>316</v>
      </c>
    </row>
    <row r="13696">
      <c r="A13696" s="17"/>
      <c r="H13696" s="18"/>
      <c r="K13696" s="18" t="s">
        <v>316</v>
      </c>
    </row>
    <row r="13697">
      <c r="A13697" s="17"/>
      <c r="H13697" s="18"/>
      <c r="K13697" s="18" t="s">
        <v>316</v>
      </c>
    </row>
    <row r="13698">
      <c r="A13698" s="17"/>
      <c r="H13698" s="18"/>
      <c r="K13698" s="18" t="s">
        <v>316</v>
      </c>
    </row>
    <row r="13699">
      <c r="A13699" s="17"/>
      <c r="H13699" s="18"/>
      <c r="K13699" s="18" t="s">
        <v>316</v>
      </c>
    </row>
    <row r="13700">
      <c r="A13700" s="17"/>
      <c r="H13700" s="18"/>
      <c r="K13700" s="18" t="s">
        <v>316</v>
      </c>
    </row>
    <row r="13701">
      <c r="A13701" s="17"/>
      <c r="H13701" s="18"/>
      <c r="K13701" s="18" t="s">
        <v>316</v>
      </c>
    </row>
    <row r="13702">
      <c r="A13702" s="17"/>
      <c r="H13702" s="18"/>
      <c r="K13702" s="18" t="s">
        <v>316</v>
      </c>
    </row>
    <row r="13703">
      <c r="A13703" s="17"/>
      <c r="H13703" s="18"/>
      <c r="K13703" s="18" t="s">
        <v>316</v>
      </c>
    </row>
    <row r="13704">
      <c r="A13704" s="17"/>
      <c r="H13704" s="18"/>
      <c r="K13704" s="18" t="s">
        <v>316</v>
      </c>
    </row>
    <row r="13705">
      <c r="A13705" s="17"/>
      <c r="H13705" s="18"/>
      <c r="K13705" s="18" t="s">
        <v>316</v>
      </c>
    </row>
    <row r="13706">
      <c r="A13706" s="17"/>
      <c r="H13706" s="18"/>
      <c r="K13706" s="18" t="s">
        <v>316</v>
      </c>
    </row>
    <row r="13707">
      <c r="A13707" s="17"/>
      <c r="H13707" s="18"/>
      <c r="K13707" s="18" t="s">
        <v>316</v>
      </c>
    </row>
    <row r="13708">
      <c r="A13708" s="17"/>
      <c r="H13708" s="18"/>
      <c r="K13708" s="18" t="s">
        <v>316</v>
      </c>
    </row>
    <row r="13709">
      <c r="A13709" s="17"/>
      <c r="H13709" s="18"/>
      <c r="K13709" s="18" t="s">
        <v>316</v>
      </c>
    </row>
    <row r="13710">
      <c r="A13710" s="17"/>
      <c r="H13710" s="18"/>
      <c r="K13710" s="18" t="s">
        <v>316</v>
      </c>
    </row>
    <row r="13711">
      <c r="A13711" s="17"/>
      <c r="H13711" s="18"/>
      <c r="K13711" s="18" t="s">
        <v>316</v>
      </c>
    </row>
    <row r="13712">
      <c r="A13712" s="17"/>
      <c r="H13712" s="18"/>
      <c r="K13712" s="18" t="s">
        <v>316</v>
      </c>
    </row>
    <row r="13713">
      <c r="A13713" s="17"/>
      <c r="H13713" s="18"/>
      <c r="K13713" s="18" t="s">
        <v>316</v>
      </c>
    </row>
    <row r="13714">
      <c r="A13714" s="17"/>
      <c r="H13714" s="18"/>
      <c r="K13714" s="18" t="s">
        <v>316</v>
      </c>
    </row>
    <row r="13715">
      <c r="A13715" s="17"/>
      <c r="H13715" s="18"/>
      <c r="K13715" s="18" t="s">
        <v>316</v>
      </c>
    </row>
    <row r="13716">
      <c r="A13716" s="17"/>
      <c r="H13716" s="18"/>
      <c r="K13716" s="18" t="s">
        <v>316</v>
      </c>
    </row>
    <row r="13717">
      <c r="A13717" s="17"/>
      <c r="H13717" s="18"/>
      <c r="K13717" s="18" t="s">
        <v>316</v>
      </c>
    </row>
    <row r="13718">
      <c r="A13718" s="17"/>
      <c r="H13718" s="18"/>
      <c r="K13718" s="18" t="s">
        <v>316</v>
      </c>
    </row>
    <row r="13719">
      <c r="A13719" s="17"/>
      <c r="H13719" s="18"/>
      <c r="K13719" s="18" t="s">
        <v>316</v>
      </c>
    </row>
    <row r="13720">
      <c r="A13720" s="17"/>
      <c r="H13720" s="18"/>
      <c r="K13720" s="18" t="s">
        <v>316</v>
      </c>
    </row>
    <row r="13721">
      <c r="A13721" s="17"/>
      <c r="H13721" s="18"/>
      <c r="K13721" s="18" t="s">
        <v>316</v>
      </c>
    </row>
    <row r="13722">
      <c r="A13722" s="17"/>
      <c r="H13722" s="18"/>
      <c r="K13722" s="18" t="s">
        <v>316</v>
      </c>
    </row>
    <row r="13723">
      <c r="A13723" s="17"/>
      <c r="H13723" s="18"/>
      <c r="K13723" s="18" t="s">
        <v>316</v>
      </c>
    </row>
    <row r="13724">
      <c r="A13724" s="17"/>
      <c r="H13724" s="18"/>
      <c r="K13724" s="18" t="s">
        <v>316</v>
      </c>
    </row>
    <row r="13725">
      <c r="A13725" s="17"/>
      <c r="H13725" s="18"/>
      <c r="K13725" s="18" t="s">
        <v>316</v>
      </c>
    </row>
    <row r="13726">
      <c r="A13726" s="17"/>
      <c r="H13726" s="18"/>
      <c r="K13726" s="18" t="s">
        <v>316</v>
      </c>
    </row>
    <row r="13727">
      <c r="A13727" s="17"/>
      <c r="H13727" s="18"/>
      <c r="K13727" s="18" t="s">
        <v>316</v>
      </c>
    </row>
    <row r="13728">
      <c r="A13728" s="17"/>
      <c r="H13728" s="18"/>
      <c r="K13728" s="18" t="s">
        <v>316</v>
      </c>
    </row>
    <row r="13729">
      <c r="A13729" s="17"/>
      <c r="H13729" s="18"/>
      <c r="K13729" s="18" t="s">
        <v>316</v>
      </c>
    </row>
    <row r="13730">
      <c r="A13730" s="17"/>
      <c r="H13730" s="18"/>
      <c r="K13730" s="18" t="s">
        <v>316</v>
      </c>
    </row>
    <row r="13731">
      <c r="A13731" s="17"/>
      <c r="H13731" s="18"/>
      <c r="K13731" s="18" t="s">
        <v>316</v>
      </c>
    </row>
    <row r="13732">
      <c r="A13732" s="17"/>
      <c r="H13732" s="18"/>
      <c r="K13732" s="18" t="s">
        <v>316</v>
      </c>
    </row>
    <row r="13733">
      <c r="A13733" s="17"/>
      <c r="H13733" s="18"/>
      <c r="K13733" s="18" t="s">
        <v>316</v>
      </c>
    </row>
    <row r="13734">
      <c r="A13734" s="17"/>
      <c r="H13734" s="18"/>
      <c r="K13734" s="18" t="s">
        <v>316</v>
      </c>
    </row>
    <row r="13735">
      <c r="A13735" s="17"/>
      <c r="H13735" s="18"/>
      <c r="K13735" s="18" t="s">
        <v>316</v>
      </c>
    </row>
    <row r="13736">
      <c r="A13736" s="17"/>
      <c r="H13736" s="18"/>
      <c r="K13736" s="18" t="s">
        <v>316</v>
      </c>
    </row>
    <row r="13737">
      <c r="A13737" s="17"/>
      <c r="H13737" s="18"/>
      <c r="K13737" s="18" t="s">
        <v>316</v>
      </c>
    </row>
    <row r="13738">
      <c r="A13738" s="17"/>
      <c r="H13738" s="18"/>
      <c r="K13738" s="18" t="s">
        <v>316</v>
      </c>
    </row>
    <row r="13739">
      <c r="A13739" s="17"/>
      <c r="H13739" s="18"/>
      <c r="K13739" s="18" t="s">
        <v>316</v>
      </c>
    </row>
    <row r="13740">
      <c r="A13740" s="17"/>
      <c r="H13740" s="18"/>
      <c r="K13740" s="18" t="s">
        <v>316</v>
      </c>
    </row>
    <row r="13741">
      <c r="A13741" s="17"/>
      <c r="H13741" s="18"/>
      <c r="K13741" s="18" t="s">
        <v>316</v>
      </c>
    </row>
    <row r="13742">
      <c r="A13742" s="17"/>
      <c r="H13742" s="18"/>
      <c r="K13742" s="18" t="s">
        <v>316</v>
      </c>
    </row>
    <row r="13743">
      <c r="A13743" s="17"/>
      <c r="H13743" s="18"/>
      <c r="K13743" s="18" t="s">
        <v>316</v>
      </c>
    </row>
    <row r="13744">
      <c r="A13744" s="17"/>
      <c r="H13744" s="18"/>
      <c r="K13744" s="18" t="s">
        <v>316</v>
      </c>
    </row>
    <row r="13745">
      <c r="A13745" s="17"/>
      <c r="H13745" s="18"/>
      <c r="K13745" s="18" t="s">
        <v>316</v>
      </c>
    </row>
    <row r="13746">
      <c r="A13746" s="17"/>
      <c r="H13746" s="18"/>
      <c r="K13746" s="18" t="s">
        <v>316</v>
      </c>
    </row>
    <row r="13747">
      <c r="A13747" s="17"/>
      <c r="H13747" s="18"/>
      <c r="K13747" s="18" t="s">
        <v>316</v>
      </c>
    </row>
    <row r="13748">
      <c r="A13748" s="17"/>
      <c r="H13748" s="18"/>
      <c r="K13748" s="18" t="s">
        <v>316</v>
      </c>
    </row>
    <row r="13749">
      <c r="A13749" s="17"/>
      <c r="H13749" s="18"/>
      <c r="K13749" s="18" t="s">
        <v>316</v>
      </c>
    </row>
    <row r="13750">
      <c r="A13750" s="17"/>
      <c r="H13750" s="18"/>
      <c r="K13750" s="18" t="s">
        <v>316</v>
      </c>
    </row>
    <row r="13751">
      <c r="A13751" s="17"/>
      <c r="H13751" s="18"/>
      <c r="K13751" s="18" t="s">
        <v>316</v>
      </c>
    </row>
    <row r="13752">
      <c r="A13752" s="17"/>
      <c r="H13752" s="18"/>
      <c r="K13752" s="18" t="s">
        <v>316</v>
      </c>
    </row>
    <row r="13753">
      <c r="A13753" s="17"/>
      <c r="H13753" s="18"/>
      <c r="K13753" s="18" t="s">
        <v>316</v>
      </c>
    </row>
    <row r="13754">
      <c r="A13754" s="17"/>
      <c r="H13754" s="18"/>
      <c r="K13754" s="18" t="s">
        <v>316</v>
      </c>
    </row>
    <row r="13755">
      <c r="A13755" s="17"/>
      <c r="H13755" s="18"/>
      <c r="K13755" s="18" t="s">
        <v>316</v>
      </c>
    </row>
    <row r="13756">
      <c r="A13756" s="17"/>
      <c r="H13756" s="18"/>
      <c r="K13756" s="18" t="s">
        <v>316</v>
      </c>
    </row>
    <row r="13757">
      <c r="A13757" s="17"/>
      <c r="H13757" s="18"/>
      <c r="K13757" s="18" t="s">
        <v>316</v>
      </c>
    </row>
    <row r="13758">
      <c r="A13758" s="17"/>
      <c r="H13758" s="18"/>
      <c r="K13758" s="18" t="s">
        <v>316</v>
      </c>
    </row>
    <row r="13759">
      <c r="A13759" s="17"/>
      <c r="H13759" s="18"/>
      <c r="K13759" s="18" t="s">
        <v>316</v>
      </c>
    </row>
    <row r="13760">
      <c r="A13760" s="17"/>
      <c r="H13760" s="18"/>
      <c r="K13760" s="18" t="s">
        <v>316</v>
      </c>
    </row>
    <row r="13761">
      <c r="A13761" s="17"/>
      <c r="H13761" s="18"/>
      <c r="K13761" s="18" t="s">
        <v>316</v>
      </c>
    </row>
    <row r="13762">
      <c r="A13762" s="17"/>
      <c r="H13762" s="18"/>
      <c r="K13762" s="18" t="s">
        <v>316</v>
      </c>
    </row>
    <row r="13763">
      <c r="A13763" s="17"/>
      <c r="H13763" s="18"/>
      <c r="K13763" s="18" t="s">
        <v>316</v>
      </c>
    </row>
    <row r="13764">
      <c r="A13764" s="17"/>
      <c r="H13764" s="18"/>
      <c r="K13764" s="18" t="s">
        <v>316</v>
      </c>
    </row>
    <row r="13765">
      <c r="A13765" s="17"/>
      <c r="H13765" s="18"/>
      <c r="K13765" s="18" t="s">
        <v>316</v>
      </c>
    </row>
    <row r="13766">
      <c r="A13766" s="17"/>
      <c r="H13766" s="18"/>
      <c r="K13766" s="18" t="s">
        <v>316</v>
      </c>
    </row>
    <row r="13767">
      <c r="A13767" s="17"/>
      <c r="H13767" s="18"/>
      <c r="K13767" s="18" t="s">
        <v>316</v>
      </c>
    </row>
    <row r="13768">
      <c r="A13768" s="17"/>
      <c r="H13768" s="18"/>
      <c r="K13768" s="18" t="s">
        <v>316</v>
      </c>
    </row>
    <row r="13769">
      <c r="A13769" s="17"/>
      <c r="H13769" s="18"/>
      <c r="K13769" s="18" t="s">
        <v>316</v>
      </c>
    </row>
    <row r="13770">
      <c r="A13770" s="17"/>
      <c r="H13770" s="18"/>
      <c r="K13770" s="18" t="s">
        <v>316</v>
      </c>
    </row>
    <row r="13771">
      <c r="A13771" s="17"/>
      <c r="H13771" s="18"/>
      <c r="K13771" s="18" t="s">
        <v>316</v>
      </c>
    </row>
    <row r="13772">
      <c r="A13772" s="17"/>
      <c r="H13772" s="18"/>
      <c r="K13772" s="18" t="s">
        <v>316</v>
      </c>
    </row>
    <row r="13773">
      <c r="A13773" s="17"/>
      <c r="H13773" s="18"/>
      <c r="K13773" s="18" t="s">
        <v>316</v>
      </c>
    </row>
    <row r="13774">
      <c r="A13774" s="17"/>
      <c r="H13774" s="18"/>
      <c r="K13774" s="18" t="s">
        <v>316</v>
      </c>
    </row>
    <row r="13775">
      <c r="A13775" s="17"/>
      <c r="H13775" s="18"/>
      <c r="K13775" s="18" t="s">
        <v>316</v>
      </c>
    </row>
    <row r="13776">
      <c r="A13776" s="17"/>
      <c r="H13776" s="18"/>
      <c r="K13776" s="18" t="s">
        <v>316</v>
      </c>
    </row>
    <row r="13777">
      <c r="A13777" s="17"/>
      <c r="H13777" s="18"/>
      <c r="K13777" s="18" t="s">
        <v>316</v>
      </c>
    </row>
    <row r="13778">
      <c r="A13778" s="17"/>
      <c r="H13778" s="18"/>
      <c r="K13778" s="18" t="s">
        <v>316</v>
      </c>
    </row>
    <row r="13779">
      <c r="A13779" s="17"/>
      <c r="H13779" s="18"/>
      <c r="K13779" s="18" t="s">
        <v>316</v>
      </c>
    </row>
    <row r="13780">
      <c r="A13780" s="17"/>
      <c r="H13780" s="18"/>
      <c r="K13780" s="18" t="s">
        <v>316</v>
      </c>
    </row>
    <row r="13781">
      <c r="A13781" s="17"/>
      <c r="H13781" s="18"/>
      <c r="K13781" s="18" t="s">
        <v>316</v>
      </c>
    </row>
    <row r="13782">
      <c r="A13782" s="17"/>
      <c r="H13782" s="18"/>
      <c r="K13782" s="18" t="s">
        <v>316</v>
      </c>
    </row>
    <row r="13783">
      <c r="A13783" s="17"/>
      <c r="H13783" s="18"/>
      <c r="K13783" s="18" t="s">
        <v>316</v>
      </c>
    </row>
    <row r="13784">
      <c r="A13784" s="17"/>
      <c r="H13784" s="18"/>
      <c r="K13784" s="18" t="s">
        <v>316</v>
      </c>
    </row>
    <row r="13785">
      <c r="A13785" s="17"/>
      <c r="H13785" s="18"/>
      <c r="K13785" s="18" t="s">
        <v>316</v>
      </c>
    </row>
    <row r="13786">
      <c r="A13786" s="17"/>
      <c r="H13786" s="18"/>
      <c r="K13786" s="18" t="s">
        <v>316</v>
      </c>
    </row>
    <row r="13787">
      <c r="A13787" s="17"/>
      <c r="H13787" s="18"/>
      <c r="K13787" s="18" t="s">
        <v>316</v>
      </c>
    </row>
    <row r="13788">
      <c r="A13788" s="17"/>
      <c r="H13788" s="18"/>
      <c r="K13788" s="18" t="s">
        <v>316</v>
      </c>
    </row>
    <row r="13789">
      <c r="A13789" s="17"/>
      <c r="H13789" s="18"/>
      <c r="K13789" s="18" t="s">
        <v>316</v>
      </c>
    </row>
    <row r="13790">
      <c r="A13790" s="17"/>
      <c r="H13790" s="18"/>
      <c r="K13790" s="18" t="s">
        <v>316</v>
      </c>
    </row>
    <row r="13791">
      <c r="A13791" s="17"/>
      <c r="H13791" s="18"/>
      <c r="K13791" s="18" t="s">
        <v>316</v>
      </c>
    </row>
    <row r="13792">
      <c r="A13792" s="17"/>
      <c r="H13792" s="18"/>
      <c r="K13792" s="18" t="s">
        <v>316</v>
      </c>
    </row>
    <row r="13793">
      <c r="A13793" s="17"/>
      <c r="H13793" s="18"/>
      <c r="K13793" s="18" t="s">
        <v>316</v>
      </c>
    </row>
    <row r="13794">
      <c r="A13794" s="17"/>
      <c r="H13794" s="18"/>
      <c r="K13794" s="18" t="s">
        <v>316</v>
      </c>
    </row>
    <row r="13795">
      <c r="A13795" s="17"/>
      <c r="H13795" s="18"/>
      <c r="K13795" s="18" t="s">
        <v>316</v>
      </c>
    </row>
    <row r="13796">
      <c r="A13796" s="17"/>
      <c r="H13796" s="18"/>
      <c r="K13796" s="18" t="s">
        <v>316</v>
      </c>
    </row>
    <row r="13797">
      <c r="A13797" s="17"/>
      <c r="H13797" s="18"/>
      <c r="K13797" s="18" t="s">
        <v>316</v>
      </c>
    </row>
    <row r="13798">
      <c r="A13798" s="17"/>
      <c r="H13798" s="18"/>
      <c r="K13798" s="18" t="s">
        <v>316</v>
      </c>
    </row>
    <row r="13799">
      <c r="A13799" s="17"/>
      <c r="H13799" s="18"/>
      <c r="K13799" s="18" t="s">
        <v>316</v>
      </c>
    </row>
    <row r="13800">
      <c r="A13800" s="17"/>
      <c r="H13800" s="18"/>
      <c r="K13800" s="18" t="s">
        <v>316</v>
      </c>
    </row>
    <row r="13801">
      <c r="A13801" s="17"/>
      <c r="H13801" s="18"/>
      <c r="K13801" s="18" t="s">
        <v>316</v>
      </c>
    </row>
    <row r="13802">
      <c r="A13802" s="17"/>
      <c r="H13802" s="18"/>
      <c r="K13802" s="18" t="s">
        <v>316</v>
      </c>
    </row>
    <row r="13803">
      <c r="A13803" s="17"/>
      <c r="H13803" s="18"/>
      <c r="K13803" s="18" t="s">
        <v>316</v>
      </c>
    </row>
    <row r="13804">
      <c r="A13804" s="17"/>
      <c r="H13804" s="18"/>
      <c r="K13804" s="18" t="s">
        <v>316</v>
      </c>
    </row>
    <row r="13805">
      <c r="A13805" s="17"/>
      <c r="H13805" s="18"/>
      <c r="K13805" s="18" t="s">
        <v>316</v>
      </c>
    </row>
    <row r="13806">
      <c r="A13806" s="17"/>
      <c r="H13806" s="18"/>
      <c r="K13806" s="18" t="s">
        <v>316</v>
      </c>
    </row>
    <row r="13807">
      <c r="A13807" s="17"/>
      <c r="H13807" s="18"/>
      <c r="K13807" s="18" t="s">
        <v>316</v>
      </c>
    </row>
    <row r="13808">
      <c r="A13808" s="17"/>
      <c r="H13808" s="18"/>
      <c r="K13808" s="18" t="s">
        <v>316</v>
      </c>
    </row>
    <row r="13809">
      <c r="A13809" s="17"/>
      <c r="H13809" s="18"/>
      <c r="K13809" s="18" t="s">
        <v>316</v>
      </c>
    </row>
    <row r="13810">
      <c r="A13810" s="17"/>
      <c r="H13810" s="18"/>
      <c r="K13810" s="18" t="s">
        <v>316</v>
      </c>
    </row>
    <row r="13811">
      <c r="A13811" s="17"/>
      <c r="H13811" s="18"/>
      <c r="K13811" s="18" t="s">
        <v>316</v>
      </c>
    </row>
    <row r="13812">
      <c r="A13812" s="17"/>
      <c r="H13812" s="18"/>
      <c r="K13812" s="18" t="s">
        <v>316</v>
      </c>
    </row>
    <row r="13813">
      <c r="A13813" s="17"/>
      <c r="H13813" s="18"/>
      <c r="K13813" s="18" t="s">
        <v>316</v>
      </c>
    </row>
    <row r="13814">
      <c r="A13814" s="17"/>
      <c r="H13814" s="18"/>
      <c r="K13814" s="18" t="s">
        <v>316</v>
      </c>
    </row>
    <row r="13815">
      <c r="A13815" s="17"/>
      <c r="H13815" s="18"/>
      <c r="K13815" s="18" t="s">
        <v>316</v>
      </c>
    </row>
    <row r="13816">
      <c r="A13816" s="17"/>
      <c r="H13816" s="18"/>
      <c r="K13816" s="18" t="s">
        <v>316</v>
      </c>
    </row>
    <row r="13817">
      <c r="A13817" s="17"/>
      <c r="H13817" s="18"/>
      <c r="K13817" s="18" t="s">
        <v>316</v>
      </c>
    </row>
    <row r="13818">
      <c r="A13818" s="17"/>
      <c r="H13818" s="18"/>
      <c r="K13818" s="18" t="s">
        <v>316</v>
      </c>
    </row>
    <row r="13819">
      <c r="A13819" s="17"/>
      <c r="H13819" s="18"/>
      <c r="K13819" s="18" t="s">
        <v>316</v>
      </c>
    </row>
    <row r="13820">
      <c r="A13820" s="17"/>
      <c r="H13820" s="18"/>
      <c r="K13820" s="18" t="s">
        <v>316</v>
      </c>
    </row>
    <row r="13821">
      <c r="A13821" s="17"/>
      <c r="H13821" s="18"/>
      <c r="K13821" s="18" t="s">
        <v>316</v>
      </c>
    </row>
    <row r="13822">
      <c r="A13822" s="17"/>
      <c r="H13822" s="18"/>
      <c r="K13822" s="18" t="s">
        <v>316</v>
      </c>
    </row>
    <row r="13823">
      <c r="A13823" s="17"/>
      <c r="H13823" s="18"/>
      <c r="K13823" s="18" t="s">
        <v>316</v>
      </c>
    </row>
    <row r="13824">
      <c r="A13824" s="17"/>
      <c r="H13824" s="18"/>
      <c r="K13824" s="18" t="s">
        <v>316</v>
      </c>
    </row>
    <row r="13825">
      <c r="A13825" s="17"/>
      <c r="H13825" s="18"/>
      <c r="K13825" s="18" t="s">
        <v>316</v>
      </c>
    </row>
    <row r="13826">
      <c r="A13826" s="17"/>
      <c r="H13826" s="18"/>
      <c r="K13826" s="18" t="s">
        <v>316</v>
      </c>
    </row>
    <row r="13827">
      <c r="A13827" s="17"/>
      <c r="H13827" s="18"/>
      <c r="K13827" s="18" t="s">
        <v>316</v>
      </c>
    </row>
    <row r="13828">
      <c r="A13828" s="17"/>
      <c r="H13828" s="18"/>
      <c r="K13828" s="18" t="s">
        <v>316</v>
      </c>
    </row>
    <row r="13829">
      <c r="A13829" s="17"/>
      <c r="H13829" s="18"/>
      <c r="K13829" s="18" t="s">
        <v>316</v>
      </c>
    </row>
    <row r="13830">
      <c r="A13830" s="17"/>
      <c r="H13830" s="18"/>
      <c r="K13830" s="18" t="s">
        <v>316</v>
      </c>
    </row>
    <row r="13831">
      <c r="A13831" s="17"/>
      <c r="H13831" s="18"/>
      <c r="K13831" s="18" t="s">
        <v>316</v>
      </c>
    </row>
    <row r="13832">
      <c r="A13832" s="17"/>
      <c r="H13832" s="18"/>
      <c r="K13832" s="18" t="s">
        <v>316</v>
      </c>
    </row>
    <row r="13833">
      <c r="A13833" s="17"/>
      <c r="H13833" s="18"/>
      <c r="K13833" s="18" t="s">
        <v>316</v>
      </c>
    </row>
    <row r="13834">
      <c r="A13834" s="17"/>
      <c r="H13834" s="18"/>
      <c r="K13834" s="18" t="s">
        <v>316</v>
      </c>
    </row>
    <row r="13835">
      <c r="A13835" s="17"/>
      <c r="H13835" s="18"/>
      <c r="K13835" s="18" t="s">
        <v>316</v>
      </c>
    </row>
    <row r="13836">
      <c r="A13836" s="17"/>
      <c r="H13836" s="18"/>
      <c r="K13836" s="18" t="s">
        <v>316</v>
      </c>
    </row>
    <row r="13837">
      <c r="A13837" s="17"/>
      <c r="H13837" s="18"/>
      <c r="K13837" s="18" t="s">
        <v>316</v>
      </c>
    </row>
    <row r="13838">
      <c r="A13838" s="17"/>
      <c r="H13838" s="18"/>
      <c r="K13838" s="18" t="s">
        <v>316</v>
      </c>
    </row>
    <row r="13839">
      <c r="A13839" s="17"/>
      <c r="H13839" s="18"/>
      <c r="K13839" s="18" t="s">
        <v>316</v>
      </c>
    </row>
    <row r="13840">
      <c r="A13840" s="17"/>
      <c r="H13840" s="18"/>
      <c r="K13840" s="18" t="s">
        <v>316</v>
      </c>
    </row>
    <row r="13841">
      <c r="A13841" s="17"/>
      <c r="H13841" s="18"/>
      <c r="K13841" s="18" t="s">
        <v>316</v>
      </c>
    </row>
    <row r="13842">
      <c r="A13842" s="17"/>
      <c r="H13842" s="18"/>
      <c r="K13842" s="18" t="s">
        <v>316</v>
      </c>
    </row>
    <row r="13843">
      <c r="A13843" s="17"/>
      <c r="H13843" s="18"/>
      <c r="K13843" s="18" t="s">
        <v>316</v>
      </c>
    </row>
    <row r="13844">
      <c r="A13844" s="17"/>
      <c r="H13844" s="18"/>
      <c r="K13844" s="18" t="s">
        <v>316</v>
      </c>
    </row>
    <row r="13845">
      <c r="A13845" s="17"/>
      <c r="H13845" s="18"/>
      <c r="K13845" s="18" t="s">
        <v>316</v>
      </c>
    </row>
    <row r="13846">
      <c r="A13846" s="17"/>
      <c r="H13846" s="18"/>
      <c r="K13846" s="18" t="s">
        <v>316</v>
      </c>
    </row>
    <row r="13847">
      <c r="A13847" s="17"/>
      <c r="H13847" s="18"/>
      <c r="K13847" s="18" t="s">
        <v>316</v>
      </c>
    </row>
    <row r="13848">
      <c r="A13848" s="17"/>
      <c r="H13848" s="18"/>
      <c r="K13848" s="18" t="s">
        <v>316</v>
      </c>
    </row>
    <row r="13849">
      <c r="A13849" s="17"/>
      <c r="H13849" s="18"/>
      <c r="K13849" s="18" t="s">
        <v>316</v>
      </c>
    </row>
    <row r="13850">
      <c r="A13850" s="17"/>
      <c r="H13850" s="18"/>
      <c r="K13850" s="18" t="s">
        <v>316</v>
      </c>
    </row>
    <row r="13851">
      <c r="A13851" s="17"/>
      <c r="H13851" s="18"/>
      <c r="K13851" s="18" t="s">
        <v>316</v>
      </c>
    </row>
    <row r="13852">
      <c r="A13852" s="17"/>
      <c r="H13852" s="18"/>
      <c r="K13852" s="18" t="s">
        <v>316</v>
      </c>
    </row>
    <row r="13853">
      <c r="A13853" s="17"/>
      <c r="H13853" s="18"/>
      <c r="K13853" s="18" t="s">
        <v>316</v>
      </c>
    </row>
    <row r="13854">
      <c r="A13854" s="17"/>
      <c r="H13854" s="18"/>
      <c r="K13854" s="18" t="s">
        <v>316</v>
      </c>
    </row>
    <row r="13855">
      <c r="A13855" s="17"/>
      <c r="H13855" s="18"/>
      <c r="K13855" s="18" t="s">
        <v>316</v>
      </c>
    </row>
    <row r="13856">
      <c r="A13856" s="17"/>
      <c r="H13856" s="18"/>
      <c r="K13856" s="18" t="s">
        <v>316</v>
      </c>
    </row>
    <row r="13857">
      <c r="A13857" s="17"/>
      <c r="H13857" s="18"/>
      <c r="K13857" s="18" t="s">
        <v>316</v>
      </c>
    </row>
    <row r="13858">
      <c r="A13858" s="17"/>
      <c r="H13858" s="18"/>
      <c r="K13858" s="18" t="s">
        <v>316</v>
      </c>
    </row>
    <row r="13859">
      <c r="A13859" s="17"/>
      <c r="H13859" s="18"/>
      <c r="K13859" s="18" t="s">
        <v>316</v>
      </c>
    </row>
    <row r="13860">
      <c r="A13860" s="17"/>
      <c r="H13860" s="18"/>
      <c r="K13860" s="18" t="s">
        <v>316</v>
      </c>
    </row>
    <row r="13861">
      <c r="A13861" s="17"/>
      <c r="H13861" s="18"/>
      <c r="K13861" s="18" t="s">
        <v>316</v>
      </c>
    </row>
    <row r="13862">
      <c r="A13862" s="17"/>
      <c r="H13862" s="18"/>
      <c r="K13862" s="18" t="s">
        <v>316</v>
      </c>
    </row>
    <row r="13863">
      <c r="A13863" s="17"/>
      <c r="H13863" s="18"/>
      <c r="K13863" s="18" t="s">
        <v>316</v>
      </c>
    </row>
    <row r="13864">
      <c r="A13864" s="17"/>
      <c r="H13864" s="18"/>
      <c r="K13864" s="18" t="s">
        <v>316</v>
      </c>
    </row>
    <row r="13865">
      <c r="A13865" s="17"/>
      <c r="H13865" s="18"/>
      <c r="K13865" s="18" t="s">
        <v>316</v>
      </c>
    </row>
    <row r="13866">
      <c r="A13866" s="17"/>
      <c r="H13866" s="18"/>
      <c r="K13866" s="18" t="s">
        <v>316</v>
      </c>
    </row>
    <row r="13867">
      <c r="A13867" s="17"/>
      <c r="H13867" s="18"/>
      <c r="K13867" s="18" t="s">
        <v>316</v>
      </c>
    </row>
    <row r="13868">
      <c r="A13868" s="17"/>
      <c r="H13868" s="18"/>
      <c r="K13868" s="18" t="s">
        <v>316</v>
      </c>
    </row>
    <row r="13869">
      <c r="A13869" s="17"/>
      <c r="H13869" s="18"/>
      <c r="K13869" s="18" t="s">
        <v>316</v>
      </c>
    </row>
    <row r="13870">
      <c r="A13870" s="17"/>
      <c r="H13870" s="18"/>
      <c r="K13870" s="18" t="s">
        <v>316</v>
      </c>
    </row>
    <row r="13871">
      <c r="A13871" s="17"/>
      <c r="H13871" s="18"/>
      <c r="K13871" s="18" t="s">
        <v>316</v>
      </c>
    </row>
    <row r="13872">
      <c r="A13872" s="17"/>
      <c r="H13872" s="18"/>
      <c r="K13872" s="18" t="s">
        <v>316</v>
      </c>
    </row>
    <row r="13873">
      <c r="A13873" s="17"/>
      <c r="H13873" s="18"/>
      <c r="K13873" s="18" t="s">
        <v>316</v>
      </c>
    </row>
    <row r="13874">
      <c r="A13874" s="17"/>
      <c r="H13874" s="18"/>
      <c r="K13874" s="18" t="s">
        <v>316</v>
      </c>
    </row>
    <row r="13875">
      <c r="A13875" s="17"/>
      <c r="H13875" s="18"/>
      <c r="K13875" s="18" t="s">
        <v>316</v>
      </c>
    </row>
    <row r="13876">
      <c r="A13876" s="17"/>
      <c r="H13876" s="18"/>
      <c r="K13876" s="18" t="s">
        <v>316</v>
      </c>
    </row>
    <row r="13877">
      <c r="A13877" s="17"/>
      <c r="H13877" s="18"/>
      <c r="K13877" s="18" t="s">
        <v>316</v>
      </c>
    </row>
    <row r="13878">
      <c r="A13878" s="17"/>
      <c r="H13878" s="18"/>
      <c r="K13878" s="18" t="s">
        <v>316</v>
      </c>
    </row>
    <row r="13879">
      <c r="A13879" s="17"/>
      <c r="H13879" s="18"/>
      <c r="K13879" s="18" t="s">
        <v>316</v>
      </c>
    </row>
    <row r="13880">
      <c r="A13880" s="17"/>
      <c r="H13880" s="18"/>
      <c r="K13880" s="18" t="s">
        <v>316</v>
      </c>
    </row>
    <row r="13881">
      <c r="A13881" s="17"/>
      <c r="H13881" s="18"/>
      <c r="K13881" s="18" t="s">
        <v>316</v>
      </c>
    </row>
    <row r="13882">
      <c r="A13882" s="17"/>
      <c r="H13882" s="18"/>
      <c r="K13882" s="18" t="s">
        <v>316</v>
      </c>
    </row>
    <row r="13883">
      <c r="A13883" s="17"/>
      <c r="H13883" s="18"/>
      <c r="K13883" s="18" t="s">
        <v>316</v>
      </c>
    </row>
    <row r="13884">
      <c r="A13884" s="17"/>
      <c r="H13884" s="18"/>
      <c r="K13884" s="18" t="s">
        <v>316</v>
      </c>
    </row>
    <row r="13885">
      <c r="A13885" s="17"/>
      <c r="H13885" s="18"/>
      <c r="K13885" s="18" t="s">
        <v>316</v>
      </c>
    </row>
    <row r="13886">
      <c r="A13886" s="17"/>
      <c r="H13886" s="18"/>
      <c r="K13886" s="18" t="s">
        <v>316</v>
      </c>
    </row>
    <row r="13887">
      <c r="A13887" s="17"/>
      <c r="H13887" s="18"/>
      <c r="K13887" s="18" t="s">
        <v>316</v>
      </c>
    </row>
    <row r="13888">
      <c r="A13888" s="17"/>
      <c r="H13888" s="18"/>
      <c r="K13888" s="18" t="s">
        <v>316</v>
      </c>
    </row>
    <row r="13889">
      <c r="A13889" s="17"/>
      <c r="H13889" s="18"/>
      <c r="K13889" s="18" t="s">
        <v>316</v>
      </c>
    </row>
    <row r="13890">
      <c r="A13890" s="17"/>
      <c r="H13890" s="18"/>
      <c r="K13890" s="18" t="s">
        <v>316</v>
      </c>
    </row>
    <row r="13891">
      <c r="A13891" s="17"/>
      <c r="H13891" s="18"/>
      <c r="K13891" s="18" t="s">
        <v>316</v>
      </c>
    </row>
    <row r="13892">
      <c r="A13892" s="17"/>
      <c r="H13892" s="18"/>
      <c r="K13892" s="18" t="s">
        <v>316</v>
      </c>
    </row>
    <row r="13893">
      <c r="A13893" s="17"/>
      <c r="H13893" s="18"/>
      <c r="K13893" s="18" t="s">
        <v>316</v>
      </c>
    </row>
    <row r="13894">
      <c r="A13894" s="17"/>
      <c r="H13894" s="18"/>
      <c r="K13894" s="18" t="s">
        <v>316</v>
      </c>
    </row>
    <row r="13895">
      <c r="A13895" s="17"/>
      <c r="H13895" s="18"/>
      <c r="K13895" s="18" t="s">
        <v>316</v>
      </c>
    </row>
    <row r="13896">
      <c r="A13896" s="17"/>
      <c r="H13896" s="18"/>
      <c r="K13896" s="18" t="s">
        <v>316</v>
      </c>
    </row>
    <row r="13897">
      <c r="A13897" s="17"/>
      <c r="H13897" s="18"/>
      <c r="K13897" s="18" t="s">
        <v>316</v>
      </c>
    </row>
    <row r="13898">
      <c r="A13898" s="17"/>
      <c r="H13898" s="18"/>
      <c r="K13898" s="18" t="s">
        <v>316</v>
      </c>
    </row>
    <row r="13899">
      <c r="A13899" s="17"/>
      <c r="H13899" s="18"/>
      <c r="K13899" s="18" t="s">
        <v>316</v>
      </c>
    </row>
    <row r="13900">
      <c r="A13900" s="17"/>
      <c r="H13900" s="18"/>
      <c r="K13900" s="18" t="s">
        <v>316</v>
      </c>
    </row>
    <row r="13901">
      <c r="A13901" s="17"/>
      <c r="H13901" s="18"/>
      <c r="K13901" s="18" t="s">
        <v>316</v>
      </c>
    </row>
    <row r="13902">
      <c r="A13902" s="17"/>
      <c r="H13902" s="18"/>
      <c r="K13902" s="18" t="s">
        <v>316</v>
      </c>
    </row>
    <row r="13903">
      <c r="A13903" s="17"/>
      <c r="H13903" s="18"/>
      <c r="K13903" s="18" t="s">
        <v>316</v>
      </c>
    </row>
    <row r="13904">
      <c r="A13904" s="17"/>
      <c r="H13904" s="18"/>
      <c r="K13904" s="18" t="s">
        <v>316</v>
      </c>
    </row>
    <row r="13905">
      <c r="A13905" s="17"/>
      <c r="H13905" s="18"/>
      <c r="K13905" s="18" t="s">
        <v>316</v>
      </c>
    </row>
    <row r="13906">
      <c r="A13906" s="17"/>
      <c r="H13906" s="18"/>
      <c r="K13906" s="18" t="s">
        <v>316</v>
      </c>
    </row>
    <row r="13907">
      <c r="A13907" s="17"/>
      <c r="H13907" s="18"/>
      <c r="K13907" s="18" t="s">
        <v>316</v>
      </c>
    </row>
    <row r="13908">
      <c r="A13908" s="17"/>
      <c r="H13908" s="18"/>
      <c r="K13908" s="18" t="s">
        <v>316</v>
      </c>
    </row>
    <row r="13909">
      <c r="A13909" s="17"/>
      <c r="H13909" s="18"/>
      <c r="K13909" s="18" t="s">
        <v>316</v>
      </c>
    </row>
    <row r="13910">
      <c r="A13910" s="17"/>
      <c r="H13910" s="18"/>
      <c r="K13910" s="18" t="s">
        <v>316</v>
      </c>
    </row>
    <row r="13911">
      <c r="A13911" s="17"/>
      <c r="H13911" s="18"/>
      <c r="K13911" s="18" t="s">
        <v>316</v>
      </c>
    </row>
    <row r="13912">
      <c r="A13912" s="17"/>
      <c r="H13912" s="18"/>
      <c r="K13912" s="18" t="s">
        <v>316</v>
      </c>
    </row>
    <row r="13913">
      <c r="A13913" s="17"/>
      <c r="H13913" s="18"/>
      <c r="K13913" s="18" t="s">
        <v>316</v>
      </c>
    </row>
    <row r="13914">
      <c r="A13914" s="17"/>
      <c r="H13914" s="18"/>
      <c r="K13914" s="18" t="s">
        <v>316</v>
      </c>
    </row>
    <row r="13915">
      <c r="A13915" s="17"/>
      <c r="H13915" s="18"/>
      <c r="K13915" s="18" t="s">
        <v>316</v>
      </c>
    </row>
    <row r="13916">
      <c r="A13916" s="17"/>
      <c r="H13916" s="18"/>
      <c r="K13916" s="18" t="s">
        <v>316</v>
      </c>
    </row>
    <row r="13917">
      <c r="A13917" s="17"/>
      <c r="H13917" s="18"/>
      <c r="K13917" s="18" t="s">
        <v>316</v>
      </c>
    </row>
    <row r="13918">
      <c r="A13918" s="17"/>
      <c r="H13918" s="18"/>
      <c r="K13918" s="18" t="s">
        <v>316</v>
      </c>
    </row>
    <row r="13919">
      <c r="A13919" s="17"/>
      <c r="H13919" s="18"/>
      <c r="K13919" s="18" t="s">
        <v>316</v>
      </c>
    </row>
    <row r="13920">
      <c r="A13920" s="17"/>
      <c r="H13920" s="18"/>
      <c r="K13920" s="18" t="s">
        <v>316</v>
      </c>
    </row>
    <row r="13921">
      <c r="A13921" s="17"/>
      <c r="H13921" s="18"/>
      <c r="K13921" s="18" t="s">
        <v>316</v>
      </c>
    </row>
    <row r="13922">
      <c r="A13922" s="17"/>
      <c r="H13922" s="18"/>
      <c r="K13922" s="18" t="s">
        <v>316</v>
      </c>
    </row>
    <row r="13923">
      <c r="A13923" s="17"/>
      <c r="H13923" s="18"/>
      <c r="K13923" s="18" t="s">
        <v>316</v>
      </c>
    </row>
    <row r="13924">
      <c r="A13924" s="17"/>
      <c r="H13924" s="18"/>
      <c r="K13924" s="18" t="s">
        <v>316</v>
      </c>
    </row>
    <row r="13925">
      <c r="A13925" s="17"/>
      <c r="H13925" s="18"/>
      <c r="K13925" s="18" t="s">
        <v>316</v>
      </c>
    </row>
    <row r="13926">
      <c r="A13926" s="17"/>
      <c r="H13926" s="18"/>
      <c r="K13926" s="18" t="s">
        <v>316</v>
      </c>
    </row>
    <row r="13927">
      <c r="A13927" s="17"/>
      <c r="H13927" s="18"/>
      <c r="K13927" s="18" t="s">
        <v>316</v>
      </c>
    </row>
    <row r="13928">
      <c r="A13928" s="17"/>
      <c r="H13928" s="18"/>
      <c r="K13928" s="18" t="s">
        <v>316</v>
      </c>
    </row>
    <row r="13929">
      <c r="A13929" s="17"/>
      <c r="H13929" s="18"/>
      <c r="K13929" s="18" t="s">
        <v>316</v>
      </c>
    </row>
    <row r="13930">
      <c r="A13930" s="17"/>
      <c r="H13930" s="18"/>
      <c r="K13930" s="18" t="s">
        <v>316</v>
      </c>
    </row>
    <row r="13931">
      <c r="A13931" s="17"/>
      <c r="H13931" s="18"/>
      <c r="K13931" s="18" t="s">
        <v>316</v>
      </c>
    </row>
    <row r="13932">
      <c r="A13932" s="17"/>
      <c r="H13932" s="18"/>
      <c r="K13932" s="18" t="s">
        <v>316</v>
      </c>
    </row>
    <row r="13933">
      <c r="A13933" s="17"/>
      <c r="H13933" s="18"/>
      <c r="K13933" s="18" t="s">
        <v>316</v>
      </c>
    </row>
    <row r="13934">
      <c r="A13934" s="17"/>
      <c r="H13934" s="18"/>
      <c r="K13934" s="18" t="s">
        <v>316</v>
      </c>
    </row>
    <row r="13935">
      <c r="A13935" s="17"/>
      <c r="H13935" s="18"/>
      <c r="K13935" s="18" t="s">
        <v>316</v>
      </c>
    </row>
    <row r="13936">
      <c r="A13936" s="17"/>
      <c r="H13936" s="18"/>
      <c r="K13936" s="18" t="s">
        <v>316</v>
      </c>
    </row>
    <row r="13937">
      <c r="A13937" s="17"/>
      <c r="H13937" s="18"/>
      <c r="K13937" s="18" t="s">
        <v>316</v>
      </c>
    </row>
    <row r="13938">
      <c r="A13938" s="17"/>
      <c r="H13938" s="18"/>
      <c r="K13938" s="18" t="s">
        <v>316</v>
      </c>
    </row>
    <row r="13939">
      <c r="A13939" s="17"/>
      <c r="H13939" s="18"/>
      <c r="K13939" s="18" t="s">
        <v>316</v>
      </c>
    </row>
    <row r="13940">
      <c r="A13940" s="17"/>
      <c r="H13940" s="18"/>
      <c r="K13940" s="18" t="s">
        <v>316</v>
      </c>
    </row>
    <row r="13941">
      <c r="A13941" s="17"/>
      <c r="H13941" s="18"/>
      <c r="K13941" s="18" t="s">
        <v>316</v>
      </c>
    </row>
    <row r="13942">
      <c r="A13942" s="17"/>
      <c r="H13942" s="18"/>
      <c r="K13942" s="18" t="s">
        <v>316</v>
      </c>
    </row>
    <row r="13943">
      <c r="A13943" s="17"/>
      <c r="H13943" s="18"/>
      <c r="K13943" s="18" t="s">
        <v>316</v>
      </c>
    </row>
    <row r="13944">
      <c r="A13944" s="17"/>
      <c r="H13944" s="18"/>
      <c r="K13944" s="18" t="s">
        <v>316</v>
      </c>
    </row>
    <row r="13945">
      <c r="A13945" s="17"/>
      <c r="H13945" s="18"/>
      <c r="K13945" s="18" t="s">
        <v>316</v>
      </c>
    </row>
    <row r="13946">
      <c r="A13946" s="17"/>
      <c r="H13946" s="18"/>
      <c r="K13946" s="18" t="s">
        <v>316</v>
      </c>
    </row>
    <row r="13947">
      <c r="A13947" s="17"/>
      <c r="H13947" s="18"/>
      <c r="K13947" s="18" t="s">
        <v>316</v>
      </c>
    </row>
    <row r="13948">
      <c r="A13948" s="17"/>
      <c r="H13948" s="18"/>
      <c r="K13948" s="18" t="s">
        <v>316</v>
      </c>
    </row>
    <row r="13949">
      <c r="A13949" s="17"/>
      <c r="H13949" s="18"/>
      <c r="K13949" s="18" t="s">
        <v>316</v>
      </c>
    </row>
    <row r="13950">
      <c r="A13950" s="17"/>
      <c r="H13950" s="18"/>
      <c r="K13950" s="18" t="s">
        <v>316</v>
      </c>
    </row>
    <row r="13951">
      <c r="A13951" s="17"/>
      <c r="H13951" s="18"/>
      <c r="K13951" s="18" t="s">
        <v>316</v>
      </c>
    </row>
    <row r="13952">
      <c r="A13952" s="17"/>
      <c r="H13952" s="18"/>
      <c r="K13952" s="18" t="s">
        <v>316</v>
      </c>
    </row>
    <row r="13953">
      <c r="A13953" s="17"/>
      <c r="H13953" s="18"/>
      <c r="K13953" s="18" t="s">
        <v>316</v>
      </c>
    </row>
    <row r="13954">
      <c r="A13954" s="17"/>
      <c r="H13954" s="18"/>
      <c r="K13954" s="18" t="s">
        <v>316</v>
      </c>
    </row>
    <row r="13955">
      <c r="A13955" s="17"/>
      <c r="H13955" s="18"/>
      <c r="K13955" s="18" t="s">
        <v>316</v>
      </c>
    </row>
    <row r="13956">
      <c r="A13956" s="17"/>
      <c r="H13956" s="18"/>
      <c r="K13956" s="18" t="s">
        <v>316</v>
      </c>
    </row>
    <row r="13957">
      <c r="A13957" s="17"/>
      <c r="H13957" s="18"/>
      <c r="K13957" s="18" t="s">
        <v>316</v>
      </c>
    </row>
    <row r="13958">
      <c r="A13958" s="17"/>
      <c r="H13958" s="18"/>
      <c r="K13958" s="18" t="s">
        <v>316</v>
      </c>
    </row>
    <row r="13959">
      <c r="A13959" s="17"/>
      <c r="H13959" s="18"/>
      <c r="K13959" s="18" t="s">
        <v>316</v>
      </c>
    </row>
    <row r="13960">
      <c r="A13960" s="17"/>
      <c r="H13960" s="18"/>
      <c r="K13960" s="18" t="s">
        <v>316</v>
      </c>
    </row>
    <row r="13961">
      <c r="A13961" s="17"/>
      <c r="H13961" s="18"/>
      <c r="K13961" s="18" t="s">
        <v>316</v>
      </c>
    </row>
    <row r="13962">
      <c r="A13962" s="17"/>
      <c r="H13962" s="18"/>
      <c r="K13962" s="18" t="s">
        <v>316</v>
      </c>
    </row>
    <row r="13963">
      <c r="A13963" s="17"/>
      <c r="H13963" s="18"/>
      <c r="K13963" s="18" t="s">
        <v>316</v>
      </c>
    </row>
    <row r="13964">
      <c r="A13964" s="17"/>
      <c r="H13964" s="18"/>
      <c r="K13964" s="18" t="s">
        <v>316</v>
      </c>
    </row>
    <row r="13965">
      <c r="A13965" s="17"/>
      <c r="H13965" s="18"/>
      <c r="K13965" s="18" t="s">
        <v>316</v>
      </c>
    </row>
    <row r="13966">
      <c r="A13966" s="17"/>
      <c r="H13966" s="18"/>
      <c r="K13966" s="18" t="s">
        <v>316</v>
      </c>
    </row>
    <row r="13967">
      <c r="A13967" s="17"/>
      <c r="H13967" s="18"/>
      <c r="K13967" s="18" t="s">
        <v>316</v>
      </c>
    </row>
    <row r="13968">
      <c r="A13968" s="17"/>
      <c r="H13968" s="18"/>
      <c r="K13968" s="18" t="s">
        <v>316</v>
      </c>
    </row>
    <row r="13969">
      <c r="A13969" s="17"/>
      <c r="H13969" s="18"/>
      <c r="K13969" s="18" t="s">
        <v>316</v>
      </c>
    </row>
    <row r="13970">
      <c r="A13970" s="17"/>
      <c r="H13970" s="18"/>
      <c r="K13970" s="18" t="s">
        <v>316</v>
      </c>
    </row>
    <row r="13971">
      <c r="A13971" s="17"/>
      <c r="H13971" s="18"/>
      <c r="K13971" s="18" t="s">
        <v>316</v>
      </c>
    </row>
    <row r="13972">
      <c r="A13972" s="17"/>
      <c r="H13972" s="18"/>
      <c r="K13972" s="18" t="s">
        <v>316</v>
      </c>
    </row>
    <row r="13973">
      <c r="A13973" s="17"/>
      <c r="H13973" s="18"/>
      <c r="K13973" s="18" t="s">
        <v>316</v>
      </c>
    </row>
    <row r="13974">
      <c r="A13974" s="17"/>
      <c r="H13974" s="18"/>
      <c r="K13974" s="18" t="s">
        <v>316</v>
      </c>
    </row>
    <row r="13975">
      <c r="A13975" s="17"/>
      <c r="H13975" s="18"/>
      <c r="K13975" s="18" t="s">
        <v>316</v>
      </c>
    </row>
    <row r="13976">
      <c r="A13976" s="17"/>
      <c r="H13976" s="18"/>
      <c r="K13976" s="18" t="s">
        <v>316</v>
      </c>
    </row>
    <row r="13977">
      <c r="A13977" s="17"/>
      <c r="H13977" s="18"/>
      <c r="K13977" s="18" t="s">
        <v>316</v>
      </c>
    </row>
    <row r="13978">
      <c r="A13978" s="17"/>
      <c r="H13978" s="18"/>
      <c r="K13978" s="18" t="s">
        <v>316</v>
      </c>
    </row>
    <row r="13979">
      <c r="A13979" s="17"/>
      <c r="H13979" s="18"/>
      <c r="K13979" s="18" t="s">
        <v>316</v>
      </c>
    </row>
    <row r="13980">
      <c r="A13980" s="17"/>
      <c r="H13980" s="18"/>
      <c r="K13980" s="18" t="s">
        <v>316</v>
      </c>
    </row>
    <row r="13981">
      <c r="A13981" s="17"/>
      <c r="H13981" s="18"/>
      <c r="K13981" s="18" t="s">
        <v>316</v>
      </c>
    </row>
    <row r="13982">
      <c r="A13982" s="17"/>
      <c r="H13982" s="18"/>
      <c r="K13982" s="18" t="s">
        <v>316</v>
      </c>
    </row>
    <row r="13983">
      <c r="A13983" s="17"/>
      <c r="H13983" s="18"/>
      <c r="K13983" s="18" t="s">
        <v>316</v>
      </c>
    </row>
    <row r="13984">
      <c r="A13984" s="17"/>
      <c r="H13984" s="18"/>
      <c r="K13984" s="18" t="s">
        <v>316</v>
      </c>
    </row>
    <row r="13985">
      <c r="A13985" s="17"/>
      <c r="H13985" s="18"/>
      <c r="K13985" s="18" t="s">
        <v>316</v>
      </c>
    </row>
    <row r="13986">
      <c r="A13986" s="17"/>
      <c r="H13986" s="18"/>
      <c r="K13986" s="18" t="s">
        <v>316</v>
      </c>
    </row>
    <row r="13987">
      <c r="A13987" s="17"/>
      <c r="H13987" s="18"/>
      <c r="K13987" s="18" t="s">
        <v>316</v>
      </c>
    </row>
    <row r="13988">
      <c r="A13988" s="17"/>
      <c r="H13988" s="18"/>
      <c r="K13988" s="18" t="s">
        <v>316</v>
      </c>
    </row>
    <row r="13989">
      <c r="A13989" s="17"/>
      <c r="H13989" s="18"/>
      <c r="K13989" s="18" t="s">
        <v>316</v>
      </c>
    </row>
    <row r="13990">
      <c r="A13990" s="17"/>
      <c r="H13990" s="18"/>
      <c r="K13990" s="18" t="s">
        <v>316</v>
      </c>
    </row>
    <row r="13991">
      <c r="A13991" s="17"/>
      <c r="H13991" s="18"/>
      <c r="K13991" s="18" t="s">
        <v>316</v>
      </c>
    </row>
    <row r="13992">
      <c r="A13992" s="17"/>
      <c r="H13992" s="18"/>
      <c r="K13992" s="18" t="s">
        <v>316</v>
      </c>
    </row>
    <row r="13993">
      <c r="A13993" s="17"/>
      <c r="H13993" s="18"/>
      <c r="K13993" s="18" t="s">
        <v>316</v>
      </c>
    </row>
    <row r="13994">
      <c r="A13994" s="17"/>
      <c r="H13994" s="18"/>
      <c r="K13994" s="18" t="s">
        <v>316</v>
      </c>
    </row>
    <row r="13995">
      <c r="A13995" s="17"/>
      <c r="H13995" s="18"/>
      <c r="K13995" s="18" t="s">
        <v>316</v>
      </c>
    </row>
    <row r="13996">
      <c r="A13996" s="17"/>
      <c r="H13996" s="18"/>
      <c r="K13996" s="18" t="s">
        <v>316</v>
      </c>
    </row>
    <row r="13997">
      <c r="A13997" s="17"/>
      <c r="H13997" s="18"/>
      <c r="K13997" s="18" t="s">
        <v>316</v>
      </c>
    </row>
    <row r="13998">
      <c r="A13998" s="17"/>
      <c r="H13998" s="18"/>
      <c r="K13998" s="18" t="s">
        <v>316</v>
      </c>
    </row>
    <row r="13999">
      <c r="A13999" s="17"/>
      <c r="H13999" s="18"/>
      <c r="K13999" s="18" t="s">
        <v>316</v>
      </c>
    </row>
    <row r="14000">
      <c r="A14000" s="17"/>
      <c r="H14000" s="18"/>
      <c r="K14000" s="18" t="s">
        <v>316</v>
      </c>
    </row>
    <row r="14001">
      <c r="A14001" s="17"/>
      <c r="H14001" s="18"/>
      <c r="K14001" s="18" t="s">
        <v>316</v>
      </c>
    </row>
    <row r="14002">
      <c r="A14002" s="17"/>
      <c r="H14002" s="18"/>
      <c r="K14002" s="18" t="s">
        <v>316</v>
      </c>
    </row>
    <row r="14003">
      <c r="A14003" s="17"/>
      <c r="H14003" s="18"/>
      <c r="K14003" s="18" t="s">
        <v>316</v>
      </c>
    </row>
    <row r="14004">
      <c r="A14004" s="17"/>
      <c r="H14004" s="18"/>
      <c r="K14004" s="18" t="s">
        <v>316</v>
      </c>
    </row>
    <row r="14005">
      <c r="A14005" s="17"/>
      <c r="H14005" s="18"/>
      <c r="K14005" s="18" t="s">
        <v>316</v>
      </c>
    </row>
    <row r="14006">
      <c r="A14006" s="17"/>
      <c r="H14006" s="18"/>
      <c r="K14006" s="18" t="s">
        <v>316</v>
      </c>
    </row>
    <row r="14007">
      <c r="A14007" s="17"/>
      <c r="H14007" s="18"/>
      <c r="K14007" s="18" t="s">
        <v>316</v>
      </c>
    </row>
    <row r="14008">
      <c r="A14008" s="17"/>
      <c r="H14008" s="18"/>
      <c r="K14008" s="18" t="s">
        <v>316</v>
      </c>
    </row>
    <row r="14009">
      <c r="A14009" s="17"/>
      <c r="H14009" s="18"/>
      <c r="K14009" s="18" t="s">
        <v>316</v>
      </c>
    </row>
    <row r="14010">
      <c r="A14010" s="17"/>
      <c r="H14010" s="18"/>
      <c r="K14010" s="18" t="s">
        <v>316</v>
      </c>
    </row>
    <row r="14011">
      <c r="A14011" s="17"/>
      <c r="H14011" s="18"/>
      <c r="K14011" s="18" t="s">
        <v>316</v>
      </c>
    </row>
    <row r="14012">
      <c r="A14012" s="17"/>
      <c r="H14012" s="18"/>
      <c r="K14012" s="18" t="s">
        <v>316</v>
      </c>
    </row>
    <row r="14013">
      <c r="A14013" s="17"/>
      <c r="H14013" s="18"/>
      <c r="K14013" s="18" t="s">
        <v>316</v>
      </c>
    </row>
    <row r="14014">
      <c r="A14014" s="17"/>
      <c r="H14014" s="18"/>
      <c r="K14014" s="18" t="s">
        <v>316</v>
      </c>
    </row>
    <row r="14015">
      <c r="A14015" s="17"/>
      <c r="H14015" s="18"/>
      <c r="K14015" s="18" t="s">
        <v>316</v>
      </c>
    </row>
    <row r="14016">
      <c r="A14016" s="17"/>
      <c r="H14016" s="18"/>
      <c r="K14016" s="18" t="s">
        <v>316</v>
      </c>
    </row>
    <row r="14017">
      <c r="A14017" s="17"/>
      <c r="H14017" s="18"/>
      <c r="K14017" s="18" t="s">
        <v>316</v>
      </c>
    </row>
    <row r="14018">
      <c r="A14018" s="17"/>
      <c r="H14018" s="18"/>
      <c r="K14018" s="18" t="s">
        <v>316</v>
      </c>
    </row>
    <row r="14019">
      <c r="A14019" s="17"/>
      <c r="H14019" s="18"/>
      <c r="K14019" s="18" t="s">
        <v>316</v>
      </c>
    </row>
    <row r="14020">
      <c r="A14020" s="17"/>
      <c r="H14020" s="18"/>
      <c r="K14020" s="18" t="s">
        <v>316</v>
      </c>
    </row>
    <row r="14021">
      <c r="A14021" s="17"/>
      <c r="H14021" s="18"/>
      <c r="K14021" s="18" t="s">
        <v>316</v>
      </c>
    </row>
    <row r="14022">
      <c r="A14022" s="17"/>
      <c r="H14022" s="18"/>
      <c r="K14022" s="18" t="s">
        <v>316</v>
      </c>
    </row>
    <row r="14023">
      <c r="A14023" s="17"/>
      <c r="H14023" s="18"/>
      <c r="K14023" s="18" t="s">
        <v>316</v>
      </c>
    </row>
    <row r="14024">
      <c r="A14024" s="17"/>
      <c r="H14024" s="18"/>
      <c r="K14024" s="18" t="s">
        <v>316</v>
      </c>
    </row>
    <row r="14025">
      <c r="A14025" s="17"/>
      <c r="H14025" s="18"/>
      <c r="K14025" s="18" t="s">
        <v>316</v>
      </c>
    </row>
    <row r="14026">
      <c r="A14026" s="17"/>
      <c r="H14026" s="18"/>
      <c r="K14026" s="18" t="s">
        <v>316</v>
      </c>
    </row>
    <row r="14027">
      <c r="A14027" s="17"/>
      <c r="H14027" s="18"/>
      <c r="K14027" s="18" t="s">
        <v>316</v>
      </c>
    </row>
    <row r="14028">
      <c r="A14028" s="17"/>
      <c r="H14028" s="18"/>
      <c r="K14028" s="18" t="s">
        <v>316</v>
      </c>
    </row>
    <row r="14029">
      <c r="A14029" s="17"/>
      <c r="H14029" s="18"/>
      <c r="K14029" s="18" t="s">
        <v>316</v>
      </c>
    </row>
    <row r="14030">
      <c r="A14030" s="17"/>
      <c r="H14030" s="18"/>
      <c r="K14030" s="18" t="s">
        <v>316</v>
      </c>
    </row>
    <row r="14031">
      <c r="A14031" s="17"/>
      <c r="H14031" s="18"/>
      <c r="K14031" s="18" t="s">
        <v>316</v>
      </c>
    </row>
    <row r="14032">
      <c r="A14032" s="17"/>
      <c r="H14032" s="18"/>
      <c r="K14032" s="18" t="s">
        <v>316</v>
      </c>
    </row>
    <row r="14033">
      <c r="A14033" s="17"/>
      <c r="H14033" s="18"/>
      <c r="K14033" s="18" t="s">
        <v>316</v>
      </c>
    </row>
    <row r="14034">
      <c r="A14034" s="17"/>
      <c r="H14034" s="18"/>
      <c r="K14034" s="18" t="s">
        <v>316</v>
      </c>
    </row>
    <row r="14035">
      <c r="A14035" s="17"/>
      <c r="H14035" s="18"/>
      <c r="K14035" s="18" t="s">
        <v>316</v>
      </c>
    </row>
    <row r="14036">
      <c r="A14036" s="17"/>
      <c r="H14036" s="18"/>
      <c r="K14036" s="18" t="s">
        <v>316</v>
      </c>
    </row>
    <row r="14037">
      <c r="A14037" s="17"/>
      <c r="H14037" s="18"/>
      <c r="K14037" s="18" t="s">
        <v>316</v>
      </c>
    </row>
    <row r="14038">
      <c r="A14038" s="17"/>
      <c r="H14038" s="18"/>
      <c r="K14038" s="18" t="s">
        <v>316</v>
      </c>
    </row>
    <row r="14039">
      <c r="A14039" s="17"/>
      <c r="H14039" s="18"/>
      <c r="K14039" s="18" t="s">
        <v>316</v>
      </c>
    </row>
    <row r="14040">
      <c r="A14040" s="17"/>
      <c r="H14040" s="18"/>
      <c r="K14040" s="18" t="s">
        <v>316</v>
      </c>
    </row>
    <row r="14041">
      <c r="A14041" s="17"/>
      <c r="H14041" s="18"/>
      <c r="K14041" s="18" t="s">
        <v>316</v>
      </c>
    </row>
    <row r="14042">
      <c r="A14042" s="17"/>
      <c r="H14042" s="18"/>
      <c r="K14042" s="18" t="s">
        <v>316</v>
      </c>
    </row>
    <row r="14043">
      <c r="A14043" s="17"/>
      <c r="H14043" s="18"/>
      <c r="K14043" s="18" t="s">
        <v>316</v>
      </c>
    </row>
    <row r="14044">
      <c r="A14044" s="17"/>
      <c r="H14044" s="18"/>
      <c r="K14044" s="18" t="s">
        <v>316</v>
      </c>
    </row>
    <row r="14045">
      <c r="A14045" s="17"/>
      <c r="H14045" s="18"/>
      <c r="K14045" s="18" t="s">
        <v>316</v>
      </c>
    </row>
    <row r="14046">
      <c r="A14046" s="17"/>
      <c r="H14046" s="18"/>
      <c r="K14046" s="18" t="s">
        <v>316</v>
      </c>
    </row>
    <row r="14047">
      <c r="A14047" s="17"/>
      <c r="H14047" s="18"/>
      <c r="K14047" s="18" t="s">
        <v>316</v>
      </c>
    </row>
    <row r="14048">
      <c r="A14048" s="17"/>
      <c r="H14048" s="18"/>
      <c r="K14048" s="18" t="s">
        <v>316</v>
      </c>
    </row>
    <row r="14049">
      <c r="A14049" s="17"/>
      <c r="H14049" s="18"/>
      <c r="K14049" s="18" t="s">
        <v>316</v>
      </c>
    </row>
    <row r="14050">
      <c r="A14050" s="17"/>
      <c r="H14050" s="18"/>
      <c r="K14050" s="18" t="s">
        <v>316</v>
      </c>
    </row>
    <row r="14051">
      <c r="A14051" s="17"/>
      <c r="H14051" s="18"/>
      <c r="K14051" s="18" t="s">
        <v>316</v>
      </c>
    </row>
    <row r="14052">
      <c r="A14052" s="17"/>
      <c r="H14052" s="18"/>
      <c r="K14052" s="18" t="s">
        <v>316</v>
      </c>
    </row>
    <row r="14053">
      <c r="A14053" s="17"/>
      <c r="H14053" s="18"/>
      <c r="K14053" s="18" t="s">
        <v>316</v>
      </c>
    </row>
    <row r="14054">
      <c r="A14054" s="17"/>
      <c r="H14054" s="18"/>
      <c r="K14054" s="18" t="s">
        <v>316</v>
      </c>
    </row>
    <row r="14055">
      <c r="A14055" s="17"/>
      <c r="H14055" s="18"/>
      <c r="K14055" s="18" t="s">
        <v>316</v>
      </c>
    </row>
    <row r="14056">
      <c r="A14056" s="17"/>
      <c r="H14056" s="18"/>
      <c r="K14056" s="18" t="s">
        <v>316</v>
      </c>
    </row>
    <row r="14057">
      <c r="A14057" s="17"/>
      <c r="H14057" s="18"/>
      <c r="K14057" s="18" t="s">
        <v>316</v>
      </c>
    </row>
    <row r="14058">
      <c r="A14058" s="17"/>
      <c r="H14058" s="18"/>
      <c r="K14058" s="18" t="s">
        <v>316</v>
      </c>
    </row>
    <row r="14059">
      <c r="A14059" s="17"/>
      <c r="H14059" s="18"/>
      <c r="K14059" s="18" t="s">
        <v>316</v>
      </c>
    </row>
    <row r="14060">
      <c r="A14060" s="17"/>
      <c r="H14060" s="18"/>
      <c r="K14060" s="18" t="s">
        <v>316</v>
      </c>
    </row>
    <row r="14061">
      <c r="A14061" s="17"/>
      <c r="H14061" s="18"/>
      <c r="K14061" s="18" t="s">
        <v>316</v>
      </c>
    </row>
    <row r="14062">
      <c r="A14062" s="17"/>
      <c r="H14062" s="18"/>
      <c r="K14062" s="18" t="s">
        <v>316</v>
      </c>
    </row>
    <row r="14063">
      <c r="A14063" s="17"/>
      <c r="H14063" s="18"/>
      <c r="K14063" s="18" t="s">
        <v>316</v>
      </c>
    </row>
    <row r="14064">
      <c r="A14064" s="17"/>
      <c r="H14064" s="18"/>
      <c r="K14064" s="18" t="s">
        <v>316</v>
      </c>
    </row>
    <row r="14065">
      <c r="A14065" s="17"/>
      <c r="H14065" s="18"/>
      <c r="K14065" s="18" t="s">
        <v>316</v>
      </c>
    </row>
    <row r="14066">
      <c r="A14066" s="17"/>
      <c r="H14066" s="18"/>
      <c r="K14066" s="18" t="s">
        <v>316</v>
      </c>
    </row>
    <row r="14067">
      <c r="A14067" s="17"/>
      <c r="H14067" s="18"/>
      <c r="K14067" s="18" t="s">
        <v>316</v>
      </c>
    </row>
    <row r="14068">
      <c r="A14068" s="17"/>
      <c r="H14068" s="18"/>
      <c r="K14068" s="18" t="s">
        <v>316</v>
      </c>
    </row>
    <row r="14069">
      <c r="A14069" s="17"/>
      <c r="H14069" s="18"/>
      <c r="K14069" s="18" t="s">
        <v>316</v>
      </c>
    </row>
    <row r="14070">
      <c r="A14070" s="17"/>
      <c r="H14070" s="18"/>
      <c r="K14070" s="18" t="s">
        <v>316</v>
      </c>
    </row>
    <row r="14071">
      <c r="A14071" s="17"/>
      <c r="H14071" s="18"/>
      <c r="K14071" s="18" t="s">
        <v>316</v>
      </c>
    </row>
    <row r="14072">
      <c r="A14072" s="17"/>
      <c r="H14072" s="18"/>
      <c r="K14072" s="18" t="s">
        <v>316</v>
      </c>
    </row>
    <row r="14073">
      <c r="A14073" s="17"/>
      <c r="H14073" s="18"/>
      <c r="K14073" s="18" t="s">
        <v>316</v>
      </c>
    </row>
    <row r="14074">
      <c r="A14074" s="17"/>
      <c r="H14074" s="18"/>
      <c r="K14074" s="18" t="s">
        <v>316</v>
      </c>
    </row>
    <row r="14075">
      <c r="A14075" s="17"/>
      <c r="H14075" s="18"/>
      <c r="K14075" s="18" t="s">
        <v>316</v>
      </c>
    </row>
    <row r="14076">
      <c r="A14076" s="17"/>
      <c r="H14076" s="18"/>
      <c r="K14076" s="18" t="s">
        <v>316</v>
      </c>
    </row>
    <row r="14077">
      <c r="A14077" s="17"/>
      <c r="H14077" s="18"/>
      <c r="K14077" s="18" t="s">
        <v>316</v>
      </c>
    </row>
    <row r="14078">
      <c r="A14078" s="17"/>
      <c r="H14078" s="18"/>
      <c r="K14078" s="18" t="s">
        <v>316</v>
      </c>
    </row>
    <row r="14079">
      <c r="A14079" s="17"/>
      <c r="H14079" s="18"/>
      <c r="K14079" s="18" t="s">
        <v>316</v>
      </c>
    </row>
    <row r="14080">
      <c r="A14080" s="17"/>
      <c r="H14080" s="18"/>
      <c r="K14080" s="18" t="s">
        <v>316</v>
      </c>
    </row>
    <row r="14081">
      <c r="A14081" s="17"/>
      <c r="H14081" s="18"/>
      <c r="K14081" s="18" t="s">
        <v>316</v>
      </c>
    </row>
    <row r="14082">
      <c r="A14082" s="17"/>
      <c r="H14082" s="18"/>
      <c r="K14082" s="18" t="s">
        <v>316</v>
      </c>
    </row>
    <row r="14083">
      <c r="A14083" s="17"/>
      <c r="H14083" s="18"/>
      <c r="K14083" s="18" t="s">
        <v>316</v>
      </c>
    </row>
    <row r="14084">
      <c r="A14084" s="17"/>
      <c r="H14084" s="18"/>
      <c r="K14084" s="18" t="s">
        <v>316</v>
      </c>
    </row>
    <row r="14085">
      <c r="A14085" s="17"/>
      <c r="H14085" s="18"/>
      <c r="K14085" s="18" t="s">
        <v>316</v>
      </c>
    </row>
    <row r="14086">
      <c r="A14086" s="17"/>
      <c r="H14086" s="18"/>
      <c r="K14086" s="18" t="s">
        <v>316</v>
      </c>
    </row>
    <row r="14087">
      <c r="A14087" s="17"/>
      <c r="H14087" s="18"/>
      <c r="K14087" s="18" t="s">
        <v>316</v>
      </c>
    </row>
    <row r="14088">
      <c r="A14088" s="17"/>
      <c r="H14088" s="18"/>
      <c r="K14088" s="18" t="s">
        <v>316</v>
      </c>
    </row>
    <row r="14089">
      <c r="A14089" s="17"/>
      <c r="H14089" s="18"/>
      <c r="K14089" s="18" t="s">
        <v>316</v>
      </c>
    </row>
    <row r="14090">
      <c r="A14090" s="17"/>
      <c r="H14090" s="18"/>
      <c r="K14090" s="18" t="s">
        <v>316</v>
      </c>
    </row>
    <row r="14091">
      <c r="A14091" s="17"/>
      <c r="H14091" s="18"/>
      <c r="K14091" s="18" t="s">
        <v>316</v>
      </c>
    </row>
    <row r="14092">
      <c r="A14092" s="17"/>
      <c r="H14092" s="18"/>
      <c r="K14092" s="18" t="s">
        <v>316</v>
      </c>
    </row>
    <row r="14093">
      <c r="A14093" s="17"/>
      <c r="H14093" s="18"/>
      <c r="K14093" s="18" t="s">
        <v>316</v>
      </c>
    </row>
    <row r="14094">
      <c r="A14094" s="17"/>
      <c r="H14094" s="18"/>
      <c r="K14094" s="18" t="s">
        <v>316</v>
      </c>
    </row>
    <row r="14095">
      <c r="A14095" s="17"/>
      <c r="H14095" s="18"/>
      <c r="K14095" s="18" t="s">
        <v>316</v>
      </c>
    </row>
    <row r="14096">
      <c r="A14096" s="17"/>
      <c r="H14096" s="18"/>
      <c r="K14096" s="18" t="s">
        <v>316</v>
      </c>
    </row>
    <row r="14097">
      <c r="A14097" s="17"/>
      <c r="H14097" s="18"/>
      <c r="K14097" s="18" t="s">
        <v>316</v>
      </c>
    </row>
    <row r="14098">
      <c r="A14098" s="17"/>
      <c r="H14098" s="18"/>
      <c r="K14098" s="18" t="s">
        <v>316</v>
      </c>
    </row>
    <row r="14099">
      <c r="A14099" s="17"/>
      <c r="H14099" s="18"/>
      <c r="K14099" s="18" t="s">
        <v>316</v>
      </c>
    </row>
    <row r="14100">
      <c r="A14100" s="17"/>
      <c r="H14100" s="18"/>
      <c r="K14100" s="18" t="s">
        <v>316</v>
      </c>
    </row>
    <row r="14101">
      <c r="A14101" s="17"/>
      <c r="H14101" s="18"/>
      <c r="K14101" s="18" t="s">
        <v>316</v>
      </c>
    </row>
    <row r="14102">
      <c r="A14102" s="17"/>
      <c r="H14102" s="18"/>
      <c r="K14102" s="18" t="s">
        <v>316</v>
      </c>
    </row>
    <row r="14103">
      <c r="A14103" s="17"/>
      <c r="H14103" s="18"/>
      <c r="K14103" s="18" t="s">
        <v>316</v>
      </c>
    </row>
    <row r="14104">
      <c r="A14104" s="17"/>
      <c r="H14104" s="18"/>
      <c r="K14104" s="18" t="s">
        <v>316</v>
      </c>
    </row>
    <row r="14105">
      <c r="A14105" s="17"/>
      <c r="H14105" s="18"/>
      <c r="K14105" s="18" t="s">
        <v>316</v>
      </c>
    </row>
    <row r="14106">
      <c r="A14106" s="17"/>
      <c r="H14106" s="18"/>
      <c r="K14106" s="18" t="s">
        <v>316</v>
      </c>
    </row>
    <row r="14107">
      <c r="A14107" s="17"/>
      <c r="H14107" s="18"/>
      <c r="K14107" s="18" t="s">
        <v>316</v>
      </c>
    </row>
    <row r="14108">
      <c r="A14108" s="17"/>
      <c r="H14108" s="18"/>
      <c r="K14108" s="18" t="s">
        <v>316</v>
      </c>
    </row>
    <row r="14109">
      <c r="A14109" s="17"/>
      <c r="H14109" s="18"/>
      <c r="K14109" s="18" t="s">
        <v>316</v>
      </c>
    </row>
    <row r="14110">
      <c r="A14110" s="17"/>
      <c r="H14110" s="18"/>
      <c r="K14110" s="18" t="s">
        <v>316</v>
      </c>
    </row>
    <row r="14111">
      <c r="A14111" s="17"/>
      <c r="H14111" s="18"/>
      <c r="K14111" s="18" t="s">
        <v>316</v>
      </c>
    </row>
    <row r="14112">
      <c r="A14112" s="17"/>
      <c r="H14112" s="18"/>
      <c r="K14112" s="18" t="s">
        <v>316</v>
      </c>
    </row>
    <row r="14113">
      <c r="A14113" s="17"/>
      <c r="H14113" s="18"/>
      <c r="K14113" s="18" t="s">
        <v>316</v>
      </c>
    </row>
    <row r="14114">
      <c r="A14114" s="17"/>
      <c r="H14114" s="18"/>
      <c r="K14114" s="18" t="s">
        <v>316</v>
      </c>
    </row>
    <row r="14115">
      <c r="A14115" s="17"/>
      <c r="H14115" s="18"/>
      <c r="K14115" s="18" t="s">
        <v>316</v>
      </c>
    </row>
    <row r="14116">
      <c r="A14116" s="17"/>
      <c r="H14116" s="18"/>
      <c r="K14116" s="18" t="s">
        <v>316</v>
      </c>
    </row>
    <row r="14117">
      <c r="A14117" s="17"/>
      <c r="H14117" s="18"/>
      <c r="K14117" s="18" t="s">
        <v>316</v>
      </c>
    </row>
    <row r="14118">
      <c r="A14118" s="17"/>
      <c r="H14118" s="18"/>
      <c r="K14118" s="18" t="s">
        <v>316</v>
      </c>
    </row>
    <row r="14119">
      <c r="A14119" s="17"/>
      <c r="H14119" s="18"/>
      <c r="K14119" s="18" t="s">
        <v>316</v>
      </c>
    </row>
    <row r="14120">
      <c r="A14120" s="17"/>
      <c r="H14120" s="18"/>
      <c r="K14120" s="18" t="s">
        <v>316</v>
      </c>
    </row>
    <row r="14121">
      <c r="A14121" s="17"/>
      <c r="H14121" s="18"/>
      <c r="K14121" s="18" t="s">
        <v>316</v>
      </c>
    </row>
    <row r="14122">
      <c r="A14122" s="17"/>
      <c r="H14122" s="18"/>
      <c r="K14122" s="18" t="s">
        <v>316</v>
      </c>
    </row>
    <row r="14123">
      <c r="A14123" s="17"/>
      <c r="H14123" s="18"/>
      <c r="K14123" s="18" t="s">
        <v>316</v>
      </c>
    </row>
    <row r="14124">
      <c r="A14124" s="17"/>
      <c r="H14124" s="18"/>
      <c r="K14124" s="18" t="s">
        <v>316</v>
      </c>
    </row>
    <row r="14125">
      <c r="A14125" s="17"/>
      <c r="H14125" s="18"/>
      <c r="K14125" s="18" t="s">
        <v>316</v>
      </c>
    </row>
    <row r="14126">
      <c r="A14126" s="17"/>
      <c r="H14126" s="18"/>
      <c r="K14126" s="18" t="s">
        <v>316</v>
      </c>
    </row>
    <row r="14127">
      <c r="A14127" s="17"/>
      <c r="H14127" s="18"/>
      <c r="K14127" s="18" t="s">
        <v>316</v>
      </c>
    </row>
    <row r="14128">
      <c r="A14128" s="17"/>
      <c r="H14128" s="18"/>
      <c r="K14128" s="18" t="s">
        <v>316</v>
      </c>
    </row>
    <row r="14129">
      <c r="A14129" s="17"/>
      <c r="H14129" s="18"/>
      <c r="K14129" s="18" t="s">
        <v>316</v>
      </c>
    </row>
    <row r="14130">
      <c r="A14130" s="17"/>
      <c r="H14130" s="18"/>
      <c r="K14130" s="18" t="s">
        <v>316</v>
      </c>
    </row>
    <row r="14131">
      <c r="A14131" s="17"/>
      <c r="H14131" s="18"/>
      <c r="K14131" s="18" t="s">
        <v>316</v>
      </c>
    </row>
    <row r="14132">
      <c r="A14132" s="17"/>
      <c r="H14132" s="18"/>
      <c r="K14132" s="18" t="s">
        <v>316</v>
      </c>
    </row>
    <row r="14133">
      <c r="A14133" s="17"/>
      <c r="H14133" s="18"/>
      <c r="K14133" s="18" t="s">
        <v>316</v>
      </c>
    </row>
    <row r="14134">
      <c r="A14134" s="17"/>
      <c r="H14134" s="18"/>
      <c r="K14134" s="18" t="s">
        <v>316</v>
      </c>
    </row>
    <row r="14135">
      <c r="A14135" s="17"/>
      <c r="H14135" s="18"/>
      <c r="K14135" s="18" t="s">
        <v>316</v>
      </c>
    </row>
    <row r="14136">
      <c r="A14136" s="17"/>
      <c r="H14136" s="18"/>
      <c r="K14136" s="18" t="s">
        <v>316</v>
      </c>
    </row>
    <row r="14137">
      <c r="A14137" s="17"/>
      <c r="H14137" s="18"/>
      <c r="K14137" s="18" t="s">
        <v>316</v>
      </c>
    </row>
    <row r="14138">
      <c r="A14138" s="17"/>
      <c r="H14138" s="18"/>
      <c r="K14138" s="18" t="s">
        <v>316</v>
      </c>
    </row>
    <row r="14139">
      <c r="A14139" s="17"/>
      <c r="H14139" s="18"/>
      <c r="K14139" s="18" t="s">
        <v>316</v>
      </c>
    </row>
    <row r="14140">
      <c r="A14140" s="17"/>
      <c r="H14140" s="18"/>
      <c r="K14140" s="18" t="s">
        <v>316</v>
      </c>
    </row>
    <row r="14141">
      <c r="A14141" s="17"/>
      <c r="H14141" s="18"/>
      <c r="K14141" s="18" t="s">
        <v>316</v>
      </c>
    </row>
    <row r="14142">
      <c r="A14142" s="17"/>
      <c r="H14142" s="18"/>
      <c r="K14142" s="18" t="s">
        <v>316</v>
      </c>
    </row>
    <row r="14143">
      <c r="A14143" s="17"/>
      <c r="H14143" s="18"/>
      <c r="K14143" s="18" t="s">
        <v>316</v>
      </c>
    </row>
    <row r="14144">
      <c r="A14144" s="17"/>
      <c r="H14144" s="18"/>
      <c r="K14144" s="18" t="s">
        <v>316</v>
      </c>
    </row>
    <row r="14145">
      <c r="A14145" s="17"/>
      <c r="H14145" s="18"/>
      <c r="K14145" s="18" t="s">
        <v>316</v>
      </c>
    </row>
    <row r="14146">
      <c r="A14146" s="17"/>
      <c r="H14146" s="18"/>
      <c r="K14146" s="18" t="s">
        <v>316</v>
      </c>
    </row>
    <row r="14147">
      <c r="A14147" s="17"/>
      <c r="H14147" s="18"/>
      <c r="K14147" s="18" t="s">
        <v>316</v>
      </c>
    </row>
    <row r="14148">
      <c r="A14148" s="17"/>
      <c r="H14148" s="18"/>
      <c r="K14148" s="18" t="s">
        <v>316</v>
      </c>
    </row>
    <row r="14149">
      <c r="A14149" s="17"/>
      <c r="H14149" s="18"/>
      <c r="K14149" s="18" t="s">
        <v>316</v>
      </c>
    </row>
    <row r="14150">
      <c r="A14150" s="17"/>
      <c r="H14150" s="18"/>
      <c r="K14150" s="18" t="s">
        <v>316</v>
      </c>
    </row>
    <row r="14151">
      <c r="A14151" s="17"/>
      <c r="H14151" s="18"/>
      <c r="K14151" s="18" t="s">
        <v>316</v>
      </c>
    </row>
    <row r="14152">
      <c r="A14152" s="17"/>
      <c r="H14152" s="18"/>
      <c r="K14152" s="18" t="s">
        <v>316</v>
      </c>
    </row>
    <row r="14153">
      <c r="A14153" s="17"/>
      <c r="H14153" s="18"/>
      <c r="K14153" s="18" t="s">
        <v>316</v>
      </c>
    </row>
    <row r="14154">
      <c r="A14154" s="17"/>
      <c r="H14154" s="18"/>
      <c r="K14154" s="18" t="s">
        <v>316</v>
      </c>
    </row>
    <row r="14155">
      <c r="A14155" s="17"/>
      <c r="H14155" s="18"/>
      <c r="K14155" s="18" t="s">
        <v>316</v>
      </c>
    </row>
    <row r="14156">
      <c r="A14156" s="17"/>
      <c r="H14156" s="18"/>
      <c r="K14156" s="18" t="s">
        <v>316</v>
      </c>
    </row>
    <row r="14157">
      <c r="A14157" s="17"/>
      <c r="H14157" s="18"/>
      <c r="K14157" s="18" t="s">
        <v>316</v>
      </c>
    </row>
    <row r="14158">
      <c r="A14158" s="17"/>
      <c r="H14158" s="18"/>
      <c r="K14158" s="18" t="s">
        <v>316</v>
      </c>
    </row>
    <row r="14159">
      <c r="A14159" s="17"/>
      <c r="H14159" s="18"/>
      <c r="K14159" s="18" t="s">
        <v>316</v>
      </c>
    </row>
    <row r="14160">
      <c r="A14160" s="17"/>
      <c r="H14160" s="18"/>
      <c r="K14160" s="18" t="s">
        <v>316</v>
      </c>
    </row>
    <row r="14161">
      <c r="A14161" s="17"/>
      <c r="H14161" s="18"/>
      <c r="K14161" s="18" t="s">
        <v>316</v>
      </c>
    </row>
    <row r="14162">
      <c r="A14162" s="17"/>
      <c r="H14162" s="18"/>
      <c r="K14162" s="18" t="s">
        <v>316</v>
      </c>
    </row>
    <row r="14163">
      <c r="A14163" s="17"/>
      <c r="H14163" s="18"/>
      <c r="K14163" s="18" t="s">
        <v>316</v>
      </c>
    </row>
    <row r="14164">
      <c r="A14164" s="17"/>
      <c r="H14164" s="18"/>
      <c r="K14164" s="18" t="s">
        <v>316</v>
      </c>
    </row>
    <row r="14165">
      <c r="A14165" s="17"/>
      <c r="H14165" s="18"/>
      <c r="K14165" s="18" t="s">
        <v>316</v>
      </c>
    </row>
    <row r="14166">
      <c r="A14166" s="17"/>
      <c r="H14166" s="18"/>
      <c r="K14166" s="18" t="s">
        <v>316</v>
      </c>
    </row>
    <row r="14167">
      <c r="A14167" s="17"/>
      <c r="H14167" s="18"/>
      <c r="K14167" s="18" t="s">
        <v>316</v>
      </c>
    </row>
    <row r="14168">
      <c r="A14168" s="17"/>
      <c r="H14168" s="18"/>
      <c r="K14168" s="18" t="s">
        <v>316</v>
      </c>
    </row>
    <row r="14169">
      <c r="A14169" s="17"/>
      <c r="H14169" s="18"/>
      <c r="K14169" s="18" t="s">
        <v>316</v>
      </c>
    </row>
    <row r="14170">
      <c r="A14170" s="17"/>
      <c r="H14170" s="18"/>
      <c r="K14170" s="18" t="s">
        <v>316</v>
      </c>
    </row>
    <row r="14171">
      <c r="A14171" s="17"/>
      <c r="H14171" s="18"/>
      <c r="K14171" s="18" t="s">
        <v>316</v>
      </c>
    </row>
    <row r="14172">
      <c r="A14172" s="17"/>
      <c r="H14172" s="18"/>
      <c r="K14172" s="18" t="s">
        <v>316</v>
      </c>
    </row>
    <row r="14173">
      <c r="A14173" s="17"/>
      <c r="H14173" s="18"/>
      <c r="K14173" s="18" t="s">
        <v>316</v>
      </c>
    </row>
    <row r="14174">
      <c r="A14174" s="17"/>
      <c r="H14174" s="18"/>
      <c r="K14174" s="18" t="s">
        <v>316</v>
      </c>
    </row>
    <row r="14175">
      <c r="A14175" s="17"/>
      <c r="H14175" s="18"/>
      <c r="K14175" s="18" t="s">
        <v>316</v>
      </c>
    </row>
    <row r="14176">
      <c r="A14176" s="17"/>
      <c r="H14176" s="18"/>
      <c r="K14176" s="18" t="s">
        <v>316</v>
      </c>
    </row>
    <row r="14177">
      <c r="A14177" s="17"/>
      <c r="H14177" s="18"/>
      <c r="K14177" s="18" t="s">
        <v>316</v>
      </c>
    </row>
    <row r="14178">
      <c r="A14178" s="17"/>
      <c r="H14178" s="18"/>
      <c r="K14178" s="18" t="s">
        <v>316</v>
      </c>
    </row>
    <row r="14179">
      <c r="A14179" s="17"/>
      <c r="H14179" s="18"/>
      <c r="K14179" s="18" t="s">
        <v>316</v>
      </c>
    </row>
    <row r="14180">
      <c r="A14180" s="17"/>
      <c r="H14180" s="18"/>
      <c r="K14180" s="18" t="s">
        <v>316</v>
      </c>
    </row>
    <row r="14181">
      <c r="A14181" s="17"/>
      <c r="H14181" s="18"/>
      <c r="K14181" s="18" t="s">
        <v>316</v>
      </c>
    </row>
    <row r="14182">
      <c r="A14182" s="17"/>
      <c r="H14182" s="18"/>
      <c r="K14182" s="18" t="s">
        <v>316</v>
      </c>
    </row>
    <row r="14183">
      <c r="A14183" s="17"/>
      <c r="H14183" s="18"/>
      <c r="K14183" s="18" t="s">
        <v>316</v>
      </c>
    </row>
    <row r="14184">
      <c r="A14184" s="17"/>
      <c r="H14184" s="18"/>
      <c r="K14184" s="18" t="s">
        <v>316</v>
      </c>
    </row>
    <row r="14185">
      <c r="A14185" s="17"/>
      <c r="H14185" s="18"/>
      <c r="K14185" s="18" t="s">
        <v>316</v>
      </c>
    </row>
    <row r="14186">
      <c r="A14186" s="17"/>
      <c r="H14186" s="18"/>
      <c r="K14186" s="18" t="s">
        <v>316</v>
      </c>
    </row>
    <row r="14187">
      <c r="A14187" s="17"/>
      <c r="H14187" s="18"/>
      <c r="K14187" s="18" t="s">
        <v>316</v>
      </c>
    </row>
    <row r="14188">
      <c r="A14188" s="17"/>
      <c r="H14188" s="18"/>
      <c r="K14188" s="18" t="s">
        <v>316</v>
      </c>
    </row>
    <row r="14189">
      <c r="A14189" s="17"/>
      <c r="H14189" s="18"/>
      <c r="K14189" s="18" t="s">
        <v>316</v>
      </c>
    </row>
    <row r="14190">
      <c r="A14190" s="17"/>
      <c r="H14190" s="18"/>
      <c r="K14190" s="18" t="s">
        <v>316</v>
      </c>
    </row>
    <row r="14191">
      <c r="A14191" s="17"/>
      <c r="H14191" s="18"/>
      <c r="K14191" s="18" t="s">
        <v>316</v>
      </c>
    </row>
    <row r="14192">
      <c r="A14192" s="17"/>
      <c r="H14192" s="18"/>
      <c r="K14192" s="18" t="s">
        <v>316</v>
      </c>
    </row>
    <row r="14193">
      <c r="A14193" s="17"/>
      <c r="H14193" s="18"/>
      <c r="K14193" s="18" t="s">
        <v>316</v>
      </c>
    </row>
    <row r="14194">
      <c r="A14194" s="17"/>
      <c r="H14194" s="18"/>
      <c r="K14194" s="18" t="s">
        <v>316</v>
      </c>
    </row>
    <row r="14195">
      <c r="A14195" s="17"/>
      <c r="H14195" s="18"/>
      <c r="K14195" s="18" t="s">
        <v>316</v>
      </c>
    </row>
    <row r="14196">
      <c r="A14196" s="17"/>
      <c r="H14196" s="18"/>
      <c r="K14196" s="18" t="s">
        <v>316</v>
      </c>
    </row>
    <row r="14197">
      <c r="A14197" s="17"/>
      <c r="H14197" s="18"/>
      <c r="K14197" s="18" t="s">
        <v>316</v>
      </c>
    </row>
    <row r="14198">
      <c r="A14198" s="17"/>
      <c r="H14198" s="18"/>
      <c r="K14198" s="18" t="s">
        <v>316</v>
      </c>
    </row>
    <row r="14199">
      <c r="A14199" s="17"/>
      <c r="H14199" s="18"/>
      <c r="K14199" s="18" t="s">
        <v>316</v>
      </c>
    </row>
    <row r="14200">
      <c r="A14200" s="17"/>
      <c r="H14200" s="18"/>
      <c r="K14200" s="18" t="s">
        <v>316</v>
      </c>
    </row>
    <row r="14201">
      <c r="A14201" s="17"/>
      <c r="H14201" s="18"/>
      <c r="K14201" s="18" t="s">
        <v>316</v>
      </c>
    </row>
    <row r="14202">
      <c r="A14202" s="17"/>
      <c r="H14202" s="18"/>
      <c r="K14202" s="18" t="s">
        <v>316</v>
      </c>
    </row>
    <row r="14203">
      <c r="A14203" s="17"/>
      <c r="H14203" s="18"/>
      <c r="K14203" s="18" t="s">
        <v>316</v>
      </c>
    </row>
    <row r="14204">
      <c r="A14204" s="17"/>
      <c r="H14204" s="18"/>
      <c r="K14204" s="18" t="s">
        <v>316</v>
      </c>
    </row>
    <row r="14205">
      <c r="A14205" s="17"/>
      <c r="H14205" s="18"/>
      <c r="K14205" s="18" t="s">
        <v>316</v>
      </c>
    </row>
    <row r="14206">
      <c r="A14206" s="17"/>
      <c r="H14206" s="18"/>
      <c r="K14206" s="18" t="s">
        <v>316</v>
      </c>
    </row>
    <row r="14207">
      <c r="A14207" s="17"/>
      <c r="H14207" s="18"/>
      <c r="K14207" s="18" t="s">
        <v>316</v>
      </c>
    </row>
    <row r="14208">
      <c r="A14208" s="17"/>
      <c r="H14208" s="18"/>
      <c r="K14208" s="18" t="s">
        <v>316</v>
      </c>
    </row>
    <row r="14209">
      <c r="A14209" s="17"/>
      <c r="H14209" s="18"/>
      <c r="K14209" s="18" t="s">
        <v>316</v>
      </c>
    </row>
    <row r="14210">
      <c r="A14210" s="17"/>
      <c r="H14210" s="18"/>
      <c r="K14210" s="18" t="s">
        <v>316</v>
      </c>
    </row>
    <row r="14211">
      <c r="A14211" s="17"/>
      <c r="H14211" s="18"/>
      <c r="K14211" s="18" t="s">
        <v>316</v>
      </c>
    </row>
    <row r="14212">
      <c r="A14212" s="17"/>
      <c r="H14212" s="18"/>
      <c r="K14212" s="18" t="s">
        <v>316</v>
      </c>
    </row>
    <row r="14213">
      <c r="A14213" s="17"/>
      <c r="H14213" s="18"/>
      <c r="K14213" s="18" t="s">
        <v>316</v>
      </c>
    </row>
    <row r="14214">
      <c r="A14214" s="17"/>
      <c r="H14214" s="18"/>
      <c r="K14214" s="18" t="s">
        <v>316</v>
      </c>
    </row>
    <row r="14215">
      <c r="A14215" s="17"/>
      <c r="H14215" s="18"/>
      <c r="K14215" s="18" t="s">
        <v>316</v>
      </c>
    </row>
    <row r="14216">
      <c r="A14216" s="17"/>
      <c r="H14216" s="18"/>
      <c r="K14216" s="18" t="s">
        <v>316</v>
      </c>
    </row>
    <row r="14217">
      <c r="A14217" s="17"/>
      <c r="H14217" s="18"/>
      <c r="K14217" s="18" t="s">
        <v>316</v>
      </c>
    </row>
    <row r="14218">
      <c r="A14218" s="17"/>
      <c r="H14218" s="18"/>
      <c r="K14218" s="18" t="s">
        <v>316</v>
      </c>
    </row>
    <row r="14219">
      <c r="A14219" s="17"/>
      <c r="H14219" s="18"/>
      <c r="K14219" s="18" t="s">
        <v>316</v>
      </c>
    </row>
    <row r="14220">
      <c r="A14220" s="17"/>
      <c r="H14220" s="18"/>
      <c r="K14220" s="18" t="s">
        <v>316</v>
      </c>
    </row>
    <row r="14221">
      <c r="A14221" s="17"/>
      <c r="H14221" s="18"/>
      <c r="K14221" s="18" t="s">
        <v>316</v>
      </c>
    </row>
    <row r="14222">
      <c r="A14222" s="17"/>
      <c r="H14222" s="18"/>
      <c r="K14222" s="18" t="s">
        <v>316</v>
      </c>
    </row>
    <row r="14223">
      <c r="A14223" s="17"/>
      <c r="H14223" s="18"/>
      <c r="K14223" s="18" t="s">
        <v>316</v>
      </c>
    </row>
    <row r="14224">
      <c r="A14224" s="17"/>
      <c r="H14224" s="18"/>
      <c r="K14224" s="18" t="s">
        <v>316</v>
      </c>
    </row>
    <row r="14225">
      <c r="A14225" s="17"/>
      <c r="H14225" s="18"/>
      <c r="K14225" s="18" t="s">
        <v>316</v>
      </c>
    </row>
    <row r="14226">
      <c r="A14226" s="17"/>
      <c r="H14226" s="18"/>
      <c r="K14226" s="18" t="s">
        <v>316</v>
      </c>
    </row>
    <row r="14227">
      <c r="A14227" s="17"/>
      <c r="H14227" s="18"/>
      <c r="K14227" s="18" t="s">
        <v>316</v>
      </c>
    </row>
    <row r="14228">
      <c r="A14228" s="17"/>
      <c r="H14228" s="18"/>
      <c r="K14228" s="18" t="s">
        <v>316</v>
      </c>
    </row>
    <row r="14229">
      <c r="A14229" s="17"/>
      <c r="H14229" s="18"/>
      <c r="K14229" s="18" t="s">
        <v>316</v>
      </c>
    </row>
    <row r="14230">
      <c r="A14230" s="17"/>
      <c r="H14230" s="18"/>
      <c r="K14230" s="18" t="s">
        <v>316</v>
      </c>
    </row>
    <row r="14231">
      <c r="A14231" s="17"/>
      <c r="H14231" s="18"/>
      <c r="K14231" s="18" t="s">
        <v>316</v>
      </c>
    </row>
    <row r="14232">
      <c r="A14232" s="17"/>
      <c r="H14232" s="18"/>
      <c r="K14232" s="18" t="s">
        <v>316</v>
      </c>
    </row>
    <row r="14233">
      <c r="A14233" s="17"/>
      <c r="H14233" s="18"/>
      <c r="K14233" s="18" t="s">
        <v>316</v>
      </c>
    </row>
    <row r="14234">
      <c r="A14234" s="17"/>
      <c r="H14234" s="18"/>
      <c r="K14234" s="18" t="s">
        <v>316</v>
      </c>
    </row>
    <row r="14235">
      <c r="A14235" s="17"/>
      <c r="H14235" s="18"/>
      <c r="K14235" s="18" t="s">
        <v>316</v>
      </c>
    </row>
    <row r="14236">
      <c r="A14236" s="17"/>
      <c r="H14236" s="18"/>
      <c r="K14236" s="18" t="s">
        <v>316</v>
      </c>
    </row>
    <row r="14237">
      <c r="A14237" s="17"/>
      <c r="H14237" s="18"/>
      <c r="K14237" s="18" t="s">
        <v>316</v>
      </c>
    </row>
    <row r="14238">
      <c r="A14238" s="17"/>
      <c r="H14238" s="18"/>
      <c r="K14238" s="18" t="s">
        <v>316</v>
      </c>
    </row>
    <row r="14239">
      <c r="A14239" s="17"/>
      <c r="H14239" s="18"/>
      <c r="K14239" s="18" t="s">
        <v>316</v>
      </c>
    </row>
    <row r="14240">
      <c r="A14240" s="17"/>
      <c r="H14240" s="18"/>
      <c r="K14240" s="18" t="s">
        <v>316</v>
      </c>
    </row>
    <row r="14241">
      <c r="A14241" s="17"/>
      <c r="H14241" s="18"/>
      <c r="K14241" s="18" t="s">
        <v>316</v>
      </c>
    </row>
    <row r="14242">
      <c r="A14242" s="17"/>
      <c r="H14242" s="18"/>
      <c r="K14242" s="18" t="s">
        <v>316</v>
      </c>
    </row>
    <row r="14243">
      <c r="A14243" s="17"/>
      <c r="H14243" s="18"/>
      <c r="K14243" s="18" t="s">
        <v>316</v>
      </c>
    </row>
    <row r="14244">
      <c r="A14244" s="17"/>
      <c r="H14244" s="18"/>
      <c r="K14244" s="18" t="s">
        <v>316</v>
      </c>
    </row>
    <row r="14245">
      <c r="A14245" s="17"/>
      <c r="H14245" s="18"/>
      <c r="K14245" s="18" t="s">
        <v>316</v>
      </c>
    </row>
    <row r="14246">
      <c r="A14246" s="17"/>
      <c r="H14246" s="18"/>
      <c r="K14246" s="18" t="s">
        <v>316</v>
      </c>
    </row>
    <row r="14247">
      <c r="A14247" s="17"/>
      <c r="H14247" s="18"/>
      <c r="K14247" s="18" t="s">
        <v>316</v>
      </c>
    </row>
    <row r="14248">
      <c r="A14248" s="17"/>
      <c r="H14248" s="18"/>
      <c r="K14248" s="18" t="s">
        <v>316</v>
      </c>
    </row>
    <row r="14249">
      <c r="A14249" s="17"/>
      <c r="H14249" s="18"/>
      <c r="K14249" s="18" t="s">
        <v>316</v>
      </c>
    </row>
    <row r="14250">
      <c r="A14250" s="17"/>
      <c r="H14250" s="18"/>
      <c r="K14250" s="18" t="s">
        <v>316</v>
      </c>
    </row>
    <row r="14251">
      <c r="A14251" s="17"/>
      <c r="H14251" s="18"/>
      <c r="K14251" s="18" t="s">
        <v>316</v>
      </c>
    </row>
    <row r="14252">
      <c r="A14252" s="17"/>
      <c r="H14252" s="18"/>
      <c r="K14252" s="18" t="s">
        <v>316</v>
      </c>
    </row>
    <row r="14253">
      <c r="A14253" s="17"/>
      <c r="H14253" s="18"/>
      <c r="K14253" s="18" t="s">
        <v>316</v>
      </c>
    </row>
    <row r="14254">
      <c r="A14254" s="17"/>
      <c r="H14254" s="18"/>
      <c r="K14254" s="18" t="s">
        <v>316</v>
      </c>
    </row>
    <row r="14255">
      <c r="A14255" s="17"/>
      <c r="H14255" s="18"/>
      <c r="K14255" s="18" t="s">
        <v>316</v>
      </c>
    </row>
    <row r="14256">
      <c r="A14256" s="17"/>
      <c r="H14256" s="18"/>
      <c r="K14256" s="18" t="s">
        <v>316</v>
      </c>
    </row>
    <row r="14257">
      <c r="A14257" s="17"/>
      <c r="H14257" s="18"/>
      <c r="K14257" s="18" t="s">
        <v>316</v>
      </c>
    </row>
    <row r="14258">
      <c r="A14258" s="17"/>
      <c r="H14258" s="18"/>
      <c r="K14258" s="18" t="s">
        <v>316</v>
      </c>
    </row>
    <row r="14259">
      <c r="A14259" s="17"/>
      <c r="H14259" s="18"/>
      <c r="K14259" s="18" t="s">
        <v>316</v>
      </c>
    </row>
    <row r="14260">
      <c r="A14260" s="17"/>
      <c r="H14260" s="18"/>
      <c r="K14260" s="18" t="s">
        <v>316</v>
      </c>
    </row>
    <row r="14261">
      <c r="A14261" s="17"/>
      <c r="H14261" s="18"/>
      <c r="K14261" s="18" t="s">
        <v>316</v>
      </c>
    </row>
    <row r="14262">
      <c r="A14262" s="17"/>
      <c r="H14262" s="18"/>
      <c r="K14262" s="18" t="s">
        <v>316</v>
      </c>
    </row>
    <row r="14263">
      <c r="A14263" s="17"/>
      <c r="H14263" s="18"/>
      <c r="K14263" s="18" t="s">
        <v>316</v>
      </c>
    </row>
    <row r="14264">
      <c r="A14264" s="17"/>
      <c r="H14264" s="18"/>
      <c r="K14264" s="18" t="s">
        <v>316</v>
      </c>
    </row>
    <row r="14265">
      <c r="A14265" s="17"/>
      <c r="H14265" s="18"/>
      <c r="K14265" s="18" t="s">
        <v>316</v>
      </c>
    </row>
    <row r="14266">
      <c r="A14266" s="17"/>
      <c r="H14266" s="18"/>
      <c r="K14266" s="18" t="s">
        <v>316</v>
      </c>
    </row>
    <row r="14267">
      <c r="A14267" s="17"/>
      <c r="H14267" s="18"/>
      <c r="K14267" s="18" t="s">
        <v>316</v>
      </c>
    </row>
    <row r="14268">
      <c r="A14268" s="17"/>
      <c r="H14268" s="18"/>
      <c r="K14268" s="18" t="s">
        <v>316</v>
      </c>
    </row>
    <row r="14269">
      <c r="A14269" s="17"/>
      <c r="H14269" s="18"/>
      <c r="K14269" s="18" t="s">
        <v>316</v>
      </c>
    </row>
    <row r="14270">
      <c r="A14270" s="17"/>
      <c r="H14270" s="18"/>
      <c r="K14270" s="18" t="s">
        <v>316</v>
      </c>
    </row>
    <row r="14271">
      <c r="A14271" s="17"/>
      <c r="H14271" s="18"/>
      <c r="K14271" s="18" t="s">
        <v>316</v>
      </c>
    </row>
    <row r="14272">
      <c r="A14272" s="17"/>
      <c r="H14272" s="18"/>
      <c r="K14272" s="18" t="s">
        <v>316</v>
      </c>
    </row>
    <row r="14273">
      <c r="A14273" s="17"/>
      <c r="H14273" s="18"/>
      <c r="K14273" s="18" t="s">
        <v>316</v>
      </c>
    </row>
    <row r="14274">
      <c r="A14274" s="17"/>
      <c r="H14274" s="18"/>
      <c r="K14274" s="18" t="s">
        <v>316</v>
      </c>
    </row>
    <row r="14275">
      <c r="A14275" s="17"/>
      <c r="H14275" s="18"/>
      <c r="K14275" s="18" t="s">
        <v>316</v>
      </c>
    </row>
    <row r="14276">
      <c r="A14276" s="17"/>
      <c r="H14276" s="18"/>
      <c r="K14276" s="18" t="s">
        <v>316</v>
      </c>
    </row>
    <row r="14277">
      <c r="A14277" s="17"/>
      <c r="H14277" s="18"/>
      <c r="K14277" s="18" t="s">
        <v>316</v>
      </c>
    </row>
    <row r="14278">
      <c r="A14278" s="17"/>
      <c r="H14278" s="18"/>
      <c r="K14278" s="18" t="s">
        <v>316</v>
      </c>
    </row>
    <row r="14279">
      <c r="A14279" s="17"/>
      <c r="H14279" s="18"/>
      <c r="K14279" s="18" t="s">
        <v>316</v>
      </c>
    </row>
    <row r="14280">
      <c r="A14280" s="17"/>
      <c r="H14280" s="18"/>
      <c r="K14280" s="18" t="s">
        <v>316</v>
      </c>
    </row>
    <row r="14281">
      <c r="A14281" s="17"/>
      <c r="H14281" s="18"/>
      <c r="K14281" s="18" t="s">
        <v>316</v>
      </c>
    </row>
    <row r="14282">
      <c r="A14282" s="17"/>
      <c r="H14282" s="18"/>
      <c r="K14282" s="18" t="s">
        <v>316</v>
      </c>
    </row>
    <row r="14283">
      <c r="A14283" s="17"/>
      <c r="H14283" s="18"/>
      <c r="K14283" s="18" t="s">
        <v>316</v>
      </c>
    </row>
    <row r="14284">
      <c r="A14284" s="17"/>
      <c r="H14284" s="18"/>
      <c r="K14284" s="18" t="s">
        <v>316</v>
      </c>
    </row>
    <row r="14285">
      <c r="A14285" s="17"/>
      <c r="H14285" s="18"/>
      <c r="K14285" s="18" t="s">
        <v>316</v>
      </c>
    </row>
    <row r="14286">
      <c r="A14286" s="17"/>
      <c r="H14286" s="18"/>
      <c r="K14286" s="18" t="s">
        <v>316</v>
      </c>
    </row>
    <row r="14287">
      <c r="A14287" s="17"/>
      <c r="H14287" s="18"/>
      <c r="K14287" s="18" t="s">
        <v>316</v>
      </c>
    </row>
    <row r="14288">
      <c r="A14288" s="17"/>
      <c r="H14288" s="18"/>
      <c r="K14288" s="18" t="s">
        <v>316</v>
      </c>
    </row>
    <row r="14289">
      <c r="A14289" s="17"/>
      <c r="H14289" s="18"/>
      <c r="K14289" s="18" t="s">
        <v>316</v>
      </c>
    </row>
    <row r="14290">
      <c r="A14290" s="17"/>
      <c r="H14290" s="18"/>
      <c r="K14290" s="18" t="s">
        <v>316</v>
      </c>
    </row>
    <row r="14291">
      <c r="A14291" s="17"/>
      <c r="H14291" s="18"/>
      <c r="K14291" s="18" t="s">
        <v>316</v>
      </c>
    </row>
    <row r="14292">
      <c r="A14292" s="17"/>
      <c r="H14292" s="18"/>
      <c r="K14292" s="18" t="s">
        <v>316</v>
      </c>
    </row>
    <row r="14293">
      <c r="A14293" s="17"/>
      <c r="H14293" s="18"/>
      <c r="K14293" s="18" t="s">
        <v>316</v>
      </c>
    </row>
    <row r="14294">
      <c r="A14294" s="17"/>
      <c r="H14294" s="18"/>
      <c r="K14294" s="18" t="s">
        <v>316</v>
      </c>
    </row>
    <row r="14295">
      <c r="A14295" s="17"/>
      <c r="H14295" s="18"/>
      <c r="K14295" s="18" t="s">
        <v>316</v>
      </c>
    </row>
    <row r="14296">
      <c r="A14296" s="17"/>
      <c r="H14296" s="18"/>
      <c r="K14296" s="18" t="s">
        <v>316</v>
      </c>
    </row>
    <row r="14297">
      <c r="A14297" s="17"/>
      <c r="H14297" s="18"/>
      <c r="K14297" s="18" t="s">
        <v>316</v>
      </c>
    </row>
    <row r="14298">
      <c r="A14298" s="17"/>
      <c r="H14298" s="18"/>
      <c r="K14298" s="18" t="s">
        <v>316</v>
      </c>
    </row>
    <row r="14299">
      <c r="A14299" s="17"/>
      <c r="H14299" s="18"/>
      <c r="K14299" s="18" t="s">
        <v>316</v>
      </c>
    </row>
    <row r="14300">
      <c r="A14300" s="17"/>
      <c r="H14300" s="18"/>
      <c r="K14300" s="18" t="s">
        <v>316</v>
      </c>
    </row>
    <row r="14301">
      <c r="A14301" s="17"/>
      <c r="H14301" s="18"/>
      <c r="K14301" s="18" t="s">
        <v>316</v>
      </c>
    </row>
    <row r="14302">
      <c r="A14302" s="17"/>
      <c r="H14302" s="18"/>
      <c r="K14302" s="18" t="s">
        <v>316</v>
      </c>
    </row>
    <row r="14303">
      <c r="A14303" s="17"/>
      <c r="H14303" s="18"/>
      <c r="K14303" s="18" t="s">
        <v>316</v>
      </c>
    </row>
    <row r="14304">
      <c r="A14304" s="17"/>
      <c r="H14304" s="18"/>
      <c r="K14304" s="18" t="s">
        <v>316</v>
      </c>
    </row>
    <row r="14305">
      <c r="A14305" s="17"/>
      <c r="H14305" s="18"/>
      <c r="K14305" s="18" t="s">
        <v>316</v>
      </c>
    </row>
    <row r="14306">
      <c r="A14306" s="17"/>
      <c r="H14306" s="18"/>
      <c r="K14306" s="18" t="s">
        <v>316</v>
      </c>
    </row>
    <row r="14307">
      <c r="A14307" s="17"/>
      <c r="H14307" s="18"/>
      <c r="K14307" s="18" t="s">
        <v>316</v>
      </c>
    </row>
    <row r="14308">
      <c r="A14308" s="17"/>
      <c r="H14308" s="18"/>
      <c r="K14308" s="18" t="s">
        <v>316</v>
      </c>
    </row>
    <row r="14309">
      <c r="A14309" s="17"/>
      <c r="H14309" s="18"/>
      <c r="K14309" s="18" t="s">
        <v>316</v>
      </c>
    </row>
    <row r="14310">
      <c r="A14310" s="17"/>
      <c r="H14310" s="18"/>
      <c r="K14310" s="18" t="s">
        <v>316</v>
      </c>
    </row>
    <row r="14311">
      <c r="A14311" s="17"/>
      <c r="H14311" s="18"/>
      <c r="K14311" s="18" t="s">
        <v>316</v>
      </c>
    </row>
    <row r="14312">
      <c r="A14312" s="17"/>
      <c r="H14312" s="18"/>
      <c r="K14312" s="18" t="s">
        <v>316</v>
      </c>
    </row>
    <row r="14313">
      <c r="A14313" s="17"/>
      <c r="H14313" s="18"/>
      <c r="K14313" s="18" t="s">
        <v>316</v>
      </c>
    </row>
    <row r="14314">
      <c r="A14314" s="17"/>
      <c r="H14314" s="18"/>
      <c r="K14314" s="18" t="s">
        <v>316</v>
      </c>
    </row>
    <row r="14315">
      <c r="A14315" s="17"/>
      <c r="H14315" s="18"/>
      <c r="K14315" s="18" t="s">
        <v>316</v>
      </c>
    </row>
    <row r="14316">
      <c r="A14316" s="17"/>
      <c r="H14316" s="18"/>
      <c r="K14316" s="18" t="s">
        <v>316</v>
      </c>
    </row>
    <row r="14317">
      <c r="A14317" s="17"/>
      <c r="H14317" s="18"/>
      <c r="K14317" s="18" t="s">
        <v>316</v>
      </c>
    </row>
    <row r="14318">
      <c r="A14318" s="17"/>
      <c r="H14318" s="18"/>
      <c r="K14318" s="18" t="s">
        <v>316</v>
      </c>
    </row>
    <row r="14319">
      <c r="A14319" s="17"/>
      <c r="H14319" s="18"/>
      <c r="K14319" s="18" t="s">
        <v>316</v>
      </c>
    </row>
    <row r="14320">
      <c r="A14320" s="17"/>
      <c r="H14320" s="18"/>
      <c r="K14320" s="18" t="s">
        <v>316</v>
      </c>
    </row>
    <row r="14321">
      <c r="A14321" s="17"/>
      <c r="H14321" s="18"/>
      <c r="K14321" s="18" t="s">
        <v>316</v>
      </c>
    </row>
    <row r="14322">
      <c r="A14322" s="17"/>
      <c r="H14322" s="18"/>
      <c r="K14322" s="18" t="s">
        <v>316</v>
      </c>
    </row>
    <row r="14323">
      <c r="A14323" s="17"/>
      <c r="H14323" s="18"/>
      <c r="K14323" s="18" t="s">
        <v>316</v>
      </c>
    </row>
    <row r="14324">
      <c r="A14324" s="17"/>
      <c r="H14324" s="18"/>
      <c r="K14324" s="18" t="s">
        <v>316</v>
      </c>
    </row>
    <row r="14325">
      <c r="A14325" s="17"/>
      <c r="H14325" s="18"/>
      <c r="K14325" s="18" t="s">
        <v>316</v>
      </c>
    </row>
    <row r="14326">
      <c r="A14326" s="17"/>
      <c r="H14326" s="18"/>
      <c r="K14326" s="18" t="s">
        <v>316</v>
      </c>
    </row>
    <row r="14327">
      <c r="A14327" s="17"/>
      <c r="H14327" s="18"/>
      <c r="K14327" s="18" t="s">
        <v>316</v>
      </c>
    </row>
    <row r="14328">
      <c r="A14328" s="17"/>
      <c r="H14328" s="18"/>
      <c r="K14328" s="18" t="s">
        <v>316</v>
      </c>
    </row>
    <row r="14329">
      <c r="A14329" s="17"/>
      <c r="H14329" s="18"/>
      <c r="K14329" s="18" t="s">
        <v>316</v>
      </c>
    </row>
    <row r="14330">
      <c r="A14330" s="17"/>
      <c r="H14330" s="18"/>
      <c r="K14330" s="18" t="s">
        <v>316</v>
      </c>
    </row>
    <row r="14331">
      <c r="A14331" s="17"/>
      <c r="H14331" s="18"/>
      <c r="K14331" s="18" t="s">
        <v>316</v>
      </c>
    </row>
    <row r="14332">
      <c r="A14332" s="17"/>
      <c r="H14332" s="18"/>
      <c r="K14332" s="18" t="s">
        <v>316</v>
      </c>
    </row>
    <row r="14333">
      <c r="A14333" s="17"/>
      <c r="H14333" s="18"/>
      <c r="K14333" s="18" t="s">
        <v>316</v>
      </c>
    </row>
    <row r="14334">
      <c r="A14334" s="17"/>
      <c r="H14334" s="18"/>
      <c r="K14334" s="18" t="s">
        <v>316</v>
      </c>
    </row>
    <row r="14335">
      <c r="A14335" s="17"/>
      <c r="H14335" s="18"/>
      <c r="K14335" s="18" t="s">
        <v>316</v>
      </c>
    </row>
    <row r="14336">
      <c r="A14336" s="17"/>
      <c r="H14336" s="18"/>
      <c r="K14336" s="18" t="s">
        <v>316</v>
      </c>
    </row>
    <row r="14337">
      <c r="A14337" s="17"/>
      <c r="H14337" s="18"/>
      <c r="K14337" s="18" t="s">
        <v>316</v>
      </c>
    </row>
    <row r="14338">
      <c r="A14338" s="17"/>
      <c r="H14338" s="18"/>
      <c r="K14338" s="18" t="s">
        <v>316</v>
      </c>
    </row>
    <row r="14339">
      <c r="A14339" s="17"/>
      <c r="H14339" s="18"/>
      <c r="K14339" s="18" t="s">
        <v>316</v>
      </c>
    </row>
    <row r="14340">
      <c r="A14340" s="17"/>
      <c r="H14340" s="18"/>
      <c r="K14340" s="18" t="s">
        <v>316</v>
      </c>
    </row>
    <row r="14341">
      <c r="A14341" s="17"/>
      <c r="H14341" s="18"/>
      <c r="K14341" s="18" t="s">
        <v>316</v>
      </c>
    </row>
    <row r="14342">
      <c r="A14342" s="17"/>
      <c r="H14342" s="18"/>
      <c r="K14342" s="18" t="s">
        <v>316</v>
      </c>
    </row>
    <row r="14343">
      <c r="A14343" s="17"/>
      <c r="H14343" s="18"/>
      <c r="K14343" s="18" t="s">
        <v>316</v>
      </c>
    </row>
    <row r="14344">
      <c r="A14344" s="17"/>
      <c r="H14344" s="18"/>
      <c r="K14344" s="18" t="s">
        <v>316</v>
      </c>
    </row>
    <row r="14345">
      <c r="A14345" s="17"/>
      <c r="H14345" s="18"/>
      <c r="K14345" s="18" t="s">
        <v>316</v>
      </c>
    </row>
    <row r="14346">
      <c r="A14346" s="17"/>
      <c r="H14346" s="18"/>
      <c r="K14346" s="18" t="s">
        <v>316</v>
      </c>
    </row>
    <row r="14347">
      <c r="A14347" s="17"/>
      <c r="H14347" s="18"/>
      <c r="K14347" s="18" t="s">
        <v>316</v>
      </c>
    </row>
    <row r="14348">
      <c r="A14348" s="17"/>
      <c r="H14348" s="18"/>
      <c r="K14348" s="18" t="s">
        <v>316</v>
      </c>
    </row>
    <row r="14349">
      <c r="A14349" s="17"/>
      <c r="H14349" s="18"/>
      <c r="K14349" s="18" t="s">
        <v>316</v>
      </c>
    </row>
    <row r="14350">
      <c r="A14350" s="17"/>
      <c r="H14350" s="18"/>
      <c r="K14350" s="18" t="s">
        <v>316</v>
      </c>
    </row>
    <row r="14351">
      <c r="A14351" s="17"/>
      <c r="H14351" s="18"/>
      <c r="K14351" s="18" t="s">
        <v>316</v>
      </c>
    </row>
    <row r="14352">
      <c r="A14352" s="17"/>
      <c r="H14352" s="18"/>
      <c r="K14352" s="18" t="s">
        <v>316</v>
      </c>
    </row>
    <row r="14353">
      <c r="A14353" s="17"/>
      <c r="H14353" s="18"/>
      <c r="K14353" s="18" t="s">
        <v>316</v>
      </c>
    </row>
    <row r="14354">
      <c r="A14354" s="17"/>
      <c r="H14354" s="18"/>
      <c r="K14354" s="18" t="s">
        <v>316</v>
      </c>
    </row>
    <row r="14355">
      <c r="A14355" s="17"/>
      <c r="H14355" s="18"/>
      <c r="K14355" s="18" t="s">
        <v>316</v>
      </c>
    </row>
    <row r="14356">
      <c r="A14356" s="17"/>
      <c r="H14356" s="18"/>
      <c r="K14356" s="18" t="s">
        <v>316</v>
      </c>
    </row>
    <row r="14357">
      <c r="A14357" s="17"/>
      <c r="H14357" s="18"/>
      <c r="K14357" s="18" t="s">
        <v>316</v>
      </c>
    </row>
    <row r="14358">
      <c r="A14358" s="17"/>
      <c r="H14358" s="18"/>
      <c r="K14358" s="18" t="s">
        <v>316</v>
      </c>
    </row>
    <row r="14359">
      <c r="A14359" s="17"/>
      <c r="H14359" s="18"/>
      <c r="K14359" s="18" t="s">
        <v>316</v>
      </c>
    </row>
    <row r="14360">
      <c r="A14360" s="17"/>
      <c r="H14360" s="18"/>
      <c r="K14360" s="18" t="s">
        <v>316</v>
      </c>
    </row>
    <row r="14361">
      <c r="A14361" s="17"/>
      <c r="H14361" s="18"/>
      <c r="K14361" s="18" t="s">
        <v>316</v>
      </c>
    </row>
    <row r="14362">
      <c r="A14362" s="17"/>
      <c r="H14362" s="18"/>
      <c r="K14362" s="18" t="s">
        <v>316</v>
      </c>
    </row>
    <row r="14363">
      <c r="A14363" s="17"/>
      <c r="H14363" s="18"/>
      <c r="K14363" s="18" t="s">
        <v>316</v>
      </c>
    </row>
    <row r="14364">
      <c r="A14364" s="17"/>
      <c r="H14364" s="18"/>
      <c r="K14364" s="18" t="s">
        <v>316</v>
      </c>
    </row>
    <row r="14365">
      <c r="A14365" s="17"/>
      <c r="H14365" s="18"/>
      <c r="K14365" s="18" t="s">
        <v>316</v>
      </c>
    </row>
    <row r="14366">
      <c r="A14366" s="17"/>
      <c r="H14366" s="18"/>
      <c r="K14366" s="18" t="s">
        <v>316</v>
      </c>
    </row>
    <row r="14367">
      <c r="A14367" s="17"/>
      <c r="H14367" s="18"/>
      <c r="K14367" s="18" t="s">
        <v>316</v>
      </c>
    </row>
    <row r="14368">
      <c r="A14368" s="17"/>
      <c r="H14368" s="18"/>
      <c r="K14368" s="18" t="s">
        <v>316</v>
      </c>
    </row>
    <row r="14369">
      <c r="A14369" s="17"/>
      <c r="H14369" s="18"/>
      <c r="K14369" s="18" t="s">
        <v>316</v>
      </c>
    </row>
    <row r="14370">
      <c r="A14370" s="17"/>
      <c r="H14370" s="18"/>
      <c r="K14370" s="18" t="s">
        <v>316</v>
      </c>
    </row>
    <row r="14371">
      <c r="A14371" s="17"/>
      <c r="H14371" s="18"/>
      <c r="K14371" s="18" t="s">
        <v>316</v>
      </c>
    </row>
    <row r="14372">
      <c r="A14372" s="17"/>
      <c r="H14372" s="18"/>
      <c r="K14372" s="18" t="s">
        <v>316</v>
      </c>
    </row>
    <row r="14373">
      <c r="A14373" s="17"/>
      <c r="H14373" s="18"/>
      <c r="K14373" s="18" t="s">
        <v>316</v>
      </c>
    </row>
    <row r="14374">
      <c r="A14374" s="17"/>
      <c r="H14374" s="18"/>
      <c r="K14374" s="18" t="s">
        <v>316</v>
      </c>
    </row>
    <row r="14375">
      <c r="A14375" s="17"/>
      <c r="H14375" s="18"/>
      <c r="K14375" s="18" t="s">
        <v>316</v>
      </c>
    </row>
    <row r="14376">
      <c r="A14376" s="17"/>
      <c r="H14376" s="18"/>
      <c r="K14376" s="18" t="s">
        <v>316</v>
      </c>
    </row>
    <row r="14377">
      <c r="A14377" s="17"/>
      <c r="H14377" s="18"/>
      <c r="K14377" s="18" t="s">
        <v>316</v>
      </c>
    </row>
    <row r="14378">
      <c r="A14378" s="17"/>
      <c r="H14378" s="18"/>
      <c r="K14378" s="18" t="s">
        <v>316</v>
      </c>
    </row>
    <row r="14379">
      <c r="A14379" s="17"/>
      <c r="H14379" s="18"/>
      <c r="K14379" s="18" t="s">
        <v>316</v>
      </c>
    </row>
    <row r="14380">
      <c r="A14380" s="17"/>
      <c r="H14380" s="18"/>
      <c r="K14380" s="18" t="s">
        <v>316</v>
      </c>
    </row>
    <row r="14381">
      <c r="A14381" s="17"/>
      <c r="H14381" s="18"/>
      <c r="K14381" s="18" t="s">
        <v>316</v>
      </c>
    </row>
    <row r="14382">
      <c r="A14382" s="17"/>
      <c r="H14382" s="18"/>
      <c r="K14382" s="18" t="s">
        <v>316</v>
      </c>
    </row>
    <row r="14383">
      <c r="A14383" s="17"/>
      <c r="H14383" s="18"/>
      <c r="K14383" s="18" t="s">
        <v>316</v>
      </c>
    </row>
    <row r="14384">
      <c r="A14384" s="17"/>
      <c r="H14384" s="18"/>
      <c r="K14384" s="18" t="s">
        <v>316</v>
      </c>
    </row>
    <row r="14385">
      <c r="A14385" s="17"/>
      <c r="H14385" s="18"/>
      <c r="K14385" s="18" t="s">
        <v>316</v>
      </c>
    </row>
    <row r="14386">
      <c r="A14386" s="17"/>
      <c r="H14386" s="18"/>
      <c r="K14386" s="18" t="s">
        <v>316</v>
      </c>
    </row>
    <row r="14387">
      <c r="A14387" s="17"/>
      <c r="H14387" s="18"/>
      <c r="K14387" s="18" t="s">
        <v>316</v>
      </c>
    </row>
    <row r="14388">
      <c r="A14388" s="17"/>
      <c r="H14388" s="18"/>
      <c r="K14388" s="18" t="s">
        <v>316</v>
      </c>
    </row>
    <row r="14389">
      <c r="A14389" s="17"/>
      <c r="H14389" s="18"/>
      <c r="K14389" s="18" t="s">
        <v>316</v>
      </c>
    </row>
    <row r="14390">
      <c r="A14390" s="17"/>
      <c r="H14390" s="18"/>
      <c r="K14390" s="18" t="s">
        <v>316</v>
      </c>
    </row>
    <row r="14391">
      <c r="A14391" s="17"/>
      <c r="H14391" s="18"/>
      <c r="K14391" s="18" t="s">
        <v>316</v>
      </c>
    </row>
    <row r="14392">
      <c r="A14392" s="17"/>
      <c r="H14392" s="18"/>
      <c r="K14392" s="18" t="s">
        <v>316</v>
      </c>
    </row>
    <row r="14393">
      <c r="A14393" s="17"/>
      <c r="H14393" s="18"/>
      <c r="K14393" s="18" t="s">
        <v>316</v>
      </c>
    </row>
    <row r="14394">
      <c r="A14394" s="17"/>
      <c r="H14394" s="18"/>
      <c r="K14394" s="18" t="s">
        <v>316</v>
      </c>
    </row>
    <row r="14395">
      <c r="A14395" s="17"/>
      <c r="H14395" s="18"/>
      <c r="K14395" s="18" t="s">
        <v>316</v>
      </c>
    </row>
    <row r="14396">
      <c r="A14396" s="17"/>
      <c r="H14396" s="18"/>
      <c r="K14396" s="18" t="s">
        <v>316</v>
      </c>
    </row>
    <row r="14397">
      <c r="A14397" s="17"/>
      <c r="H14397" s="18"/>
      <c r="K14397" s="18" t="s">
        <v>316</v>
      </c>
    </row>
    <row r="14398">
      <c r="A14398" s="17"/>
      <c r="H14398" s="18"/>
      <c r="K14398" s="18" t="s">
        <v>316</v>
      </c>
    </row>
    <row r="14399">
      <c r="A14399" s="17"/>
      <c r="H14399" s="18"/>
      <c r="K14399" s="18" t="s">
        <v>316</v>
      </c>
    </row>
    <row r="14400">
      <c r="A14400" s="17"/>
      <c r="H14400" s="18"/>
      <c r="K14400" s="18" t="s">
        <v>316</v>
      </c>
    </row>
    <row r="14401">
      <c r="A14401" s="17"/>
      <c r="H14401" s="18"/>
      <c r="K14401" s="18" t="s">
        <v>316</v>
      </c>
    </row>
    <row r="14402">
      <c r="A14402" s="17"/>
      <c r="H14402" s="18"/>
      <c r="K14402" s="18" t="s">
        <v>316</v>
      </c>
    </row>
    <row r="14403">
      <c r="A14403" s="17"/>
      <c r="H14403" s="18"/>
      <c r="K14403" s="18" t="s">
        <v>316</v>
      </c>
    </row>
    <row r="14404">
      <c r="A14404" s="17"/>
      <c r="H14404" s="18"/>
      <c r="K14404" s="18" t="s">
        <v>316</v>
      </c>
    </row>
    <row r="14405">
      <c r="A14405" s="17"/>
      <c r="H14405" s="18"/>
      <c r="K14405" s="18" t="s">
        <v>316</v>
      </c>
    </row>
    <row r="14406">
      <c r="A14406" s="17"/>
      <c r="H14406" s="18"/>
      <c r="K14406" s="18" t="s">
        <v>316</v>
      </c>
    </row>
    <row r="14407">
      <c r="A14407" s="17"/>
      <c r="H14407" s="18"/>
      <c r="K14407" s="18" t="s">
        <v>316</v>
      </c>
    </row>
    <row r="14408">
      <c r="A14408" s="17"/>
      <c r="H14408" s="18"/>
      <c r="K14408" s="18" t="s">
        <v>316</v>
      </c>
    </row>
    <row r="14409">
      <c r="A14409" s="17"/>
      <c r="H14409" s="18"/>
      <c r="K14409" s="18" t="s">
        <v>316</v>
      </c>
    </row>
    <row r="14410">
      <c r="A14410" s="17"/>
      <c r="H14410" s="18"/>
      <c r="K14410" s="18" t="s">
        <v>316</v>
      </c>
    </row>
    <row r="14411">
      <c r="A14411" s="17"/>
      <c r="H14411" s="18"/>
      <c r="K14411" s="18" t="s">
        <v>316</v>
      </c>
    </row>
    <row r="14412">
      <c r="A14412" s="17"/>
      <c r="H14412" s="18"/>
      <c r="K14412" s="18" t="s">
        <v>316</v>
      </c>
    </row>
    <row r="14413">
      <c r="A14413" s="17"/>
      <c r="H14413" s="18"/>
      <c r="K14413" s="18" t="s">
        <v>316</v>
      </c>
    </row>
    <row r="14414">
      <c r="A14414" s="17"/>
      <c r="H14414" s="18"/>
      <c r="K14414" s="18" t="s">
        <v>316</v>
      </c>
    </row>
    <row r="14415">
      <c r="A14415" s="17"/>
      <c r="H14415" s="18"/>
      <c r="K14415" s="18" t="s">
        <v>316</v>
      </c>
    </row>
    <row r="14416">
      <c r="A14416" s="17"/>
      <c r="H14416" s="18"/>
      <c r="K14416" s="18" t="s">
        <v>316</v>
      </c>
    </row>
    <row r="14417">
      <c r="A14417" s="17"/>
      <c r="H14417" s="18"/>
      <c r="K14417" s="18" t="s">
        <v>316</v>
      </c>
    </row>
    <row r="14418">
      <c r="A14418" s="17"/>
      <c r="H14418" s="18"/>
      <c r="K14418" s="18" t="s">
        <v>316</v>
      </c>
    </row>
    <row r="14419">
      <c r="A14419" s="17"/>
      <c r="H14419" s="18"/>
      <c r="K14419" s="18" t="s">
        <v>316</v>
      </c>
    </row>
    <row r="14420">
      <c r="A14420" s="17"/>
      <c r="H14420" s="18"/>
      <c r="K14420" s="18" t="s">
        <v>316</v>
      </c>
    </row>
    <row r="14421">
      <c r="A14421" s="17"/>
      <c r="H14421" s="18"/>
      <c r="K14421" s="18" t="s">
        <v>316</v>
      </c>
    </row>
    <row r="14422">
      <c r="A14422" s="17"/>
      <c r="H14422" s="18"/>
      <c r="K14422" s="18" t="s">
        <v>316</v>
      </c>
    </row>
    <row r="14423">
      <c r="A14423" s="17"/>
      <c r="H14423" s="18"/>
      <c r="K14423" s="18" t="s">
        <v>316</v>
      </c>
    </row>
    <row r="14424">
      <c r="A14424" s="17"/>
      <c r="H14424" s="18"/>
      <c r="K14424" s="18" t="s">
        <v>316</v>
      </c>
    </row>
    <row r="14425">
      <c r="A14425" s="17"/>
      <c r="H14425" s="18"/>
      <c r="K14425" s="18" t="s">
        <v>316</v>
      </c>
    </row>
    <row r="14426">
      <c r="A14426" s="17"/>
      <c r="H14426" s="18"/>
      <c r="K14426" s="18" t="s">
        <v>316</v>
      </c>
    </row>
    <row r="14427">
      <c r="A14427" s="17"/>
      <c r="H14427" s="18"/>
      <c r="K14427" s="18" t="s">
        <v>316</v>
      </c>
    </row>
    <row r="14428">
      <c r="A14428" s="17"/>
      <c r="H14428" s="18"/>
      <c r="K14428" s="18" t="s">
        <v>316</v>
      </c>
    </row>
    <row r="14429">
      <c r="A14429" s="17"/>
      <c r="H14429" s="18"/>
      <c r="K14429" s="18" t="s">
        <v>316</v>
      </c>
    </row>
    <row r="14430">
      <c r="A14430" s="17"/>
      <c r="H14430" s="18"/>
      <c r="K14430" s="18" t="s">
        <v>316</v>
      </c>
    </row>
    <row r="14431">
      <c r="A14431" s="17"/>
      <c r="H14431" s="18"/>
      <c r="K14431" s="18" t="s">
        <v>316</v>
      </c>
    </row>
    <row r="14432">
      <c r="A14432" s="17"/>
      <c r="H14432" s="18"/>
      <c r="K14432" s="18" t="s">
        <v>316</v>
      </c>
    </row>
    <row r="14433">
      <c r="A14433" s="17"/>
      <c r="H14433" s="18"/>
      <c r="K14433" s="18" t="s">
        <v>316</v>
      </c>
    </row>
    <row r="14434">
      <c r="A14434" s="17"/>
      <c r="H14434" s="18"/>
      <c r="K14434" s="18" t="s">
        <v>316</v>
      </c>
    </row>
    <row r="14435">
      <c r="A14435" s="17"/>
      <c r="H14435" s="18"/>
      <c r="K14435" s="18" t="s">
        <v>316</v>
      </c>
    </row>
    <row r="14436">
      <c r="A14436" s="17"/>
      <c r="H14436" s="18"/>
      <c r="K14436" s="18" t="s">
        <v>316</v>
      </c>
    </row>
    <row r="14437">
      <c r="A14437" s="17"/>
      <c r="H14437" s="18"/>
      <c r="K14437" s="18" t="s">
        <v>316</v>
      </c>
    </row>
    <row r="14438">
      <c r="A14438" s="17"/>
      <c r="H14438" s="18"/>
      <c r="K14438" s="18" t="s">
        <v>316</v>
      </c>
    </row>
    <row r="14439">
      <c r="A14439" s="17"/>
      <c r="H14439" s="18"/>
      <c r="K14439" s="18" t="s">
        <v>316</v>
      </c>
    </row>
    <row r="14440">
      <c r="A14440" s="17"/>
      <c r="H14440" s="18"/>
      <c r="K14440" s="18" t="s">
        <v>316</v>
      </c>
    </row>
    <row r="14441">
      <c r="A14441" s="17"/>
      <c r="H14441" s="18"/>
      <c r="K14441" s="18" t="s">
        <v>316</v>
      </c>
    </row>
    <row r="14442">
      <c r="A14442" s="17"/>
      <c r="H14442" s="18"/>
      <c r="K14442" s="18" t="s">
        <v>316</v>
      </c>
    </row>
    <row r="14443">
      <c r="A14443" s="17"/>
      <c r="H14443" s="18"/>
      <c r="K14443" s="18" t="s">
        <v>316</v>
      </c>
    </row>
    <row r="14444">
      <c r="A14444" s="17"/>
      <c r="H14444" s="18"/>
      <c r="K14444" s="18" t="s">
        <v>316</v>
      </c>
    </row>
    <row r="14445">
      <c r="A14445" s="17"/>
      <c r="H14445" s="18"/>
      <c r="K14445" s="18" t="s">
        <v>316</v>
      </c>
    </row>
    <row r="14446">
      <c r="A14446" s="17"/>
      <c r="H14446" s="18"/>
      <c r="K14446" s="18" t="s">
        <v>316</v>
      </c>
    </row>
    <row r="14447">
      <c r="A14447" s="17"/>
      <c r="H14447" s="18"/>
      <c r="K14447" s="18" t="s">
        <v>316</v>
      </c>
    </row>
    <row r="14448">
      <c r="A14448" s="17"/>
      <c r="H14448" s="18"/>
      <c r="K14448" s="18" t="s">
        <v>316</v>
      </c>
    </row>
    <row r="14449">
      <c r="A14449" s="17"/>
      <c r="H14449" s="18"/>
      <c r="K14449" s="18" t="s">
        <v>316</v>
      </c>
    </row>
    <row r="14450">
      <c r="A14450" s="17"/>
      <c r="H14450" s="18"/>
      <c r="K14450" s="18" t="s">
        <v>316</v>
      </c>
    </row>
    <row r="14451">
      <c r="A14451" s="17"/>
      <c r="H14451" s="18"/>
      <c r="K14451" s="18" t="s">
        <v>316</v>
      </c>
    </row>
    <row r="14452">
      <c r="A14452" s="17"/>
      <c r="H14452" s="18"/>
      <c r="K14452" s="18" t="s">
        <v>316</v>
      </c>
    </row>
    <row r="14453">
      <c r="A14453" s="17"/>
      <c r="H14453" s="18"/>
      <c r="K14453" s="18" t="s">
        <v>316</v>
      </c>
    </row>
    <row r="14454">
      <c r="A14454" s="17"/>
      <c r="H14454" s="18"/>
      <c r="K14454" s="18" t="s">
        <v>316</v>
      </c>
    </row>
    <row r="14455">
      <c r="A14455" s="17"/>
      <c r="H14455" s="18"/>
      <c r="K14455" s="18" t="s">
        <v>316</v>
      </c>
    </row>
    <row r="14456">
      <c r="A14456" s="17"/>
      <c r="H14456" s="18"/>
      <c r="K14456" s="18" t="s">
        <v>316</v>
      </c>
    </row>
    <row r="14457">
      <c r="A14457" s="17"/>
      <c r="H14457" s="18"/>
      <c r="K14457" s="18" t="s">
        <v>316</v>
      </c>
    </row>
    <row r="14458">
      <c r="A14458" s="17"/>
      <c r="H14458" s="18"/>
      <c r="K14458" s="18" t="s">
        <v>316</v>
      </c>
    </row>
    <row r="14459">
      <c r="A14459" s="17"/>
      <c r="H14459" s="18"/>
      <c r="K14459" s="18" t="s">
        <v>316</v>
      </c>
    </row>
    <row r="14460">
      <c r="A14460" s="17"/>
      <c r="H14460" s="18"/>
      <c r="K14460" s="18" t="s">
        <v>316</v>
      </c>
    </row>
    <row r="14461">
      <c r="A14461" s="17"/>
      <c r="H14461" s="18"/>
      <c r="K14461" s="18" t="s">
        <v>316</v>
      </c>
    </row>
    <row r="14462">
      <c r="A14462" s="17"/>
      <c r="H14462" s="18"/>
      <c r="K14462" s="18" t="s">
        <v>316</v>
      </c>
    </row>
    <row r="14463">
      <c r="A14463" s="17"/>
      <c r="H14463" s="18"/>
      <c r="K14463" s="18" t="s">
        <v>316</v>
      </c>
    </row>
    <row r="14464">
      <c r="A14464" s="17"/>
      <c r="H14464" s="18"/>
      <c r="K14464" s="18" t="s">
        <v>316</v>
      </c>
    </row>
    <row r="14465">
      <c r="A14465" s="17"/>
      <c r="H14465" s="18"/>
      <c r="K14465" s="18" t="s">
        <v>316</v>
      </c>
    </row>
    <row r="14466">
      <c r="A14466" s="17"/>
      <c r="H14466" s="18"/>
      <c r="K14466" s="18" t="s">
        <v>316</v>
      </c>
    </row>
    <row r="14467">
      <c r="A14467" s="17"/>
      <c r="H14467" s="18"/>
      <c r="K14467" s="18" t="s">
        <v>316</v>
      </c>
    </row>
    <row r="14468">
      <c r="A14468" s="17"/>
      <c r="H14468" s="18"/>
      <c r="K14468" s="18" t="s">
        <v>316</v>
      </c>
    </row>
    <row r="14469">
      <c r="A14469" s="17"/>
      <c r="H14469" s="18"/>
      <c r="K14469" s="18" t="s">
        <v>316</v>
      </c>
    </row>
    <row r="14470">
      <c r="A14470" s="17"/>
      <c r="H14470" s="18"/>
      <c r="K14470" s="18" t="s">
        <v>316</v>
      </c>
    </row>
    <row r="14471">
      <c r="A14471" s="17"/>
      <c r="H14471" s="18"/>
      <c r="K14471" s="18" t="s">
        <v>316</v>
      </c>
    </row>
    <row r="14472">
      <c r="A14472" s="17"/>
      <c r="H14472" s="18"/>
      <c r="K14472" s="18" t="s">
        <v>316</v>
      </c>
    </row>
    <row r="14473">
      <c r="A14473" s="17"/>
      <c r="H14473" s="18"/>
      <c r="K14473" s="18" t="s">
        <v>316</v>
      </c>
    </row>
    <row r="14474">
      <c r="A14474" s="17"/>
      <c r="H14474" s="18"/>
      <c r="K14474" s="18" t="s">
        <v>316</v>
      </c>
    </row>
    <row r="14475">
      <c r="A14475" s="17"/>
      <c r="H14475" s="18"/>
      <c r="K14475" s="18" t="s">
        <v>316</v>
      </c>
    </row>
    <row r="14476">
      <c r="A14476" s="17"/>
      <c r="H14476" s="18"/>
      <c r="K14476" s="18" t="s">
        <v>316</v>
      </c>
    </row>
    <row r="14477">
      <c r="A14477" s="17"/>
      <c r="H14477" s="18"/>
      <c r="K14477" s="18" t="s">
        <v>316</v>
      </c>
    </row>
    <row r="14478">
      <c r="A14478" s="17"/>
      <c r="H14478" s="18"/>
      <c r="K14478" s="18" t="s">
        <v>316</v>
      </c>
    </row>
    <row r="14479">
      <c r="A14479" s="17"/>
      <c r="H14479" s="18"/>
      <c r="K14479" s="18" t="s">
        <v>316</v>
      </c>
    </row>
    <row r="14480">
      <c r="A14480" s="17"/>
      <c r="H14480" s="18"/>
      <c r="K14480" s="18" t="s">
        <v>316</v>
      </c>
    </row>
    <row r="14481">
      <c r="A14481" s="17"/>
      <c r="H14481" s="18"/>
      <c r="K14481" s="18" t="s">
        <v>316</v>
      </c>
    </row>
    <row r="14482">
      <c r="A14482" s="17"/>
      <c r="H14482" s="18"/>
      <c r="K14482" s="18" t="s">
        <v>316</v>
      </c>
    </row>
    <row r="14483">
      <c r="A14483" s="17"/>
      <c r="H14483" s="18"/>
      <c r="K14483" s="18" t="s">
        <v>316</v>
      </c>
    </row>
    <row r="14484">
      <c r="A14484" s="17"/>
      <c r="H14484" s="18"/>
      <c r="K14484" s="18" t="s">
        <v>316</v>
      </c>
    </row>
    <row r="14485">
      <c r="A14485" s="17"/>
      <c r="H14485" s="18"/>
      <c r="K14485" s="18" t="s">
        <v>316</v>
      </c>
    </row>
    <row r="14486">
      <c r="A14486" s="17"/>
      <c r="H14486" s="18"/>
      <c r="K14486" s="18" t="s">
        <v>316</v>
      </c>
    </row>
    <row r="14487">
      <c r="A14487" s="17"/>
      <c r="H14487" s="18"/>
      <c r="K14487" s="18" t="s">
        <v>316</v>
      </c>
    </row>
    <row r="14488">
      <c r="A14488" s="17"/>
      <c r="H14488" s="18"/>
      <c r="K14488" s="18" t="s">
        <v>316</v>
      </c>
    </row>
    <row r="14489">
      <c r="A14489" s="17"/>
      <c r="H14489" s="18"/>
      <c r="K14489" s="18" t="s">
        <v>316</v>
      </c>
    </row>
    <row r="14490">
      <c r="A14490" s="17"/>
      <c r="H14490" s="18"/>
      <c r="K14490" s="18" t="s">
        <v>316</v>
      </c>
    </row>
    <row r="14491">
      <c r="A14491" s="17"/>
      <c r="H14491" s="18"/>
      <c r="K14491" s="18" t="s">
        <v>316</v>
      </c>
    </row>
    <row r="14492">
      <c r="A14492" s="17"/>
      <c r="H14492" s="18"/>
      <c r="K14492" s="18" t="s">
        <v>316</v>
      </c>
    </row>
    <row r="14493">
      <c r="A14493" s="17"/>
      <c r="H14493" s="18"/>
      <c r="K14493" s="18" t="s">
        <v>316</v>
      </c>
    </row>
    <row r="14494">
      <c r="A14494" s="17"/>
      <c r="H14494" s="18"/>
      <c r="K14494" s="18" t="s">
        <v>316</v>
      </c>
    </row>
    <row r="14495">
      <c r="A14495" s="17"/>
      <c r="H14495" s="18"/>
      <c r="K14495" s="18" t="s">
        <v>316</v>
      </c>
    </row>
    <row r="14496">
      <c r="A14496" s="17"/>
      <c r="H14496" s="18"/>
      <c r="K14496" s="18" t="s">
        <v>316</v>
      </c>
    </row>
    <row r="14497">
      <c r="A14497" s="17"/>
      <c r="H14497" s="18"/>
      <c r="K14497" s="18" t="s">
        <v>316</v>
      </c>
    </row>
    <row r="14498">
      <c r="A14498" s="17"/>
      <c r="H14498" s="18"/>
      <c r="K14498" s="18" t="s">
        <v>316</v>
      </c>
    </row>
    <row r="14499">
      <c r="A14499" s="17"/>
      <c r="H14499" s="18"/>
      <c r="K14499" s="18" t="s">
        <v>316</v>
      </c>
    </row>
    <row r="14500">
      <c r="A14500" s="17"/>
      <c r="H14500" s="18"/>
      <c r="K14500" s="18" t="s">
        <v>316</v>
      </c>
    </row>
    <row r="14501">
      <c r="A14501" s="17"/>
      <c r="H14501" s="18"/>
      <c r="K14501" s="18" t="s">
        <v>316</v>
      </c>
    </row>
    <row r="14502">
      <c r="A14502" s="17"/>
      <c r="H14502" s="18"/>
      <c r="K14502" s="18" t="s">
        <v>316</v>
      </c>
    </row>
    <row r="14503">
      <c r="A14503" s="17"/>
      <c r="H14503" s="18"/>
      <c r="K14503" s="18" t="s">
        <v>316</v>
      </c>
    </row>
    <row r="14504">
      <c r="A14504" s="17"/>
      <c r="H14504" s="18"/>
      <c r="K14504" s="18" t="s">
        <v>316</v>
      </c>
    </row>
    <row r="14505">
      <c r="A14505" s="17"/>
      <c r="H14505" s="18"/>
      <c r="K14505" s="18" t="s">
        <v>316</v>
      </c>
    </row>
    <row r="14506">
      <c r="A14506" s="17"/>
      <c r="H14506" s="18"/>
      <c r="K14506" s="18" t="s">
        <v>316</v>
      </c>
    </row>
    <row r="14507">
      <c r="A14507" s="17"/>
      <c r="H14507" s="18"/>
      <c r="K14507" s="18" t="s">
        <v>316</v>
      </c>
    </row>
    <row r="14508">
      <c r="A14508" s="17"/>
      <c r="H14508" s="18"/>
      <c r="K14508" s="18" t="s">
        <v>316</v>
      </c>
    </row>
    <row r="14509">
      <c r="A14509" s="17"/>
      <c r="H14509" s="18"/>
      <c r="K14509" s="18" t="s">
        <v>316</v>
      </c>
    </row>
    <row r="14510">
      <c r="A14510" s="17"/>
      <c r="H14510" s="18"/>
      <c r="K14510" s="18" t="s">
        <v>316</v>
      </c>
    </row>
    <row r="14511">
      <c r="A14511" s="17"/>
      <c r="H14511" s="18"/>
      <c r="K14511" s="18" t="s">
        <v>316</v>
      </c>
    </row>
    <row r="14512">
      <c r="A14512" s="17"/>
      <c r="H14512" s="18"/>
      <c r="K14512" s="18" t="s">
        <v>316</v>
      </c>
    </row>
    <row r="14513">
      <c r="A14513" s="17"/>
      <c r="H14513" s="18"/>
      <c r="K14513" s="18" t="s">
        <v>316</v>
      </c>
    </row>
    <row r="14514">
      <c r="A14514" s="17"/>
      <c r="H14514" s="18"/>
      <c r="K14514" s="18" t="s">
        <v>316</v>
      </c>
    </row>
    <row r="14515">
      <c r="A14515" s="17"/>
      <c r="H14515" s="18"/>
      <c r="K14515" s="18" t="s">
        <v>316</v>
      </c>
    </row>
    <row r="14516">
      <c r="A14516" s="17"/>
      <c r="H14516" s="18"/>
      <c r="K14516" s="18" t="s">
        <v>316</v>
      </c>
    </row>
    <row r="14517">
      <c r="A14517" s="17"/>
      <c r="H14517" s="18"/>
      <c r="K14517" s="18" t="s">
        <v>316</v>
      </c>
    </row>
    <row r="14518">
      <c r="A14518" s="17"/>
      <c r="H14518" s="18"/>
      <c r="K14518" s="18" t="s">
        <v>316</v>
      </c>
    </row>
    <row r="14519">
      <c r="A14519" s="17"/>
      <c r="H14519" s="18"/>
      <c r="K14519" s="18" t="s">
        <v>316</v>
      </c>
    </row>
    <row r="14520">
      <c r="A14520" s="17"/>
      <c r="H14520" s="18"/>
      <c r="K14520" s="18" t="s">
        <v>316</v>
      </c>
    </row>
    <row r="14521">
      <c r="A14521" s="17"/>
      <c r="H14521" s="18"/>
      <c r="K14521" s="18" t="s">
        <v>316</v>
      </c>
    </row>
    <row r="14522">
      <c r="A14522" s="17"/>
      <c r="H14522" s="18"/>
      <c r="K14522" s="18" t="s">
        <v>316</v>
      </c>
    </row>
    <row r="14523">
      <c r="A14523" s="17"/>
      <c r="H14523" s="18"/>
      <c r="K14523" s="18" t="s">
        <v>316</v>
      </c>
    </row>
    <row r="14524">
      <c r="A14524" s="17"/>
      <c r="H14524" s="18"/>
      <c r="K14524" s="18" t="s">
        <v>316</v>
      </c>
    </row>
    <row r="14525">
      <c r="A14525" s="17"/>
      <c r="H14525" s="18"/>
      <c r="K14525" s="18" t="s">
        <v>316</v>
      </c>
    </row>
    <row r="14526">
      <c r="A14526" s="17"/>
      <c r="H14526" s="18"/>
      <c r="K14526" s="18" t="s">
        <v>316</v>
      </c>
    </row>
    <row r="14527">
      <c r="A14527" s="17"/>
      <c r="H14527" s="18"/>
      <c r="K14527" s="18" t="s">
        <v>316</v>
      </c>
    </row>
    <row r="14528">
      <c r="A14528" s="17"/>
      <c r="H14528" s="18"/>
      <c r="K14528" s="18" t="s">
        <v>316</v>
      </c>
    </row>
    <row r="14529">
      <c r="A14529" s="17"/>
      <c r="H14529" s="18"/>
      <c r="K14529" s="18" t="s">
        <v>316</v>
      </c>
    </row>
    <row r="14530">
      <c r="A14530" s="17"/>
      <c r="H14530" s="18"/>
      <c r="K14530" s="18" t="s">
        <v>316</v>
      </c>
    </row>
    <row r="14531">
      <c r="A14531" s="17"/>
      <c r="H14531" s="18"/>
      <c r="K14531" s="18" t="s">
        <v>316</v>
      </c>
    </row>
    <row r="14532">
      <c r="A14532" s="17"/>
      <c r="H14532" s="18"/>
      <c r="K14532" s="18" t="s">
        <v>316</v>
      </c>
    </row>
    <row r="14533">
      <c r="A14533" s="17"/>
      <c r="H14533" s="18"/>
      <c r="K14533" s="18" t="s">
        <v>316</v>
      </c>
    </row>
    <row r="14534">
      <c r="A14534" s="17"/>
      <c r="H14534" s="18"/>
      <c r="K14534" s="18" t="s">
        <v>316</v>
      </c>
    </row>
    <row r="14535">
      <c r="A14535" s="17"/>
      <c r="H14535" s="18"/>
      <c r="K14535" s="18" t="s">
        <v>316</v>
      </c>
    </row>
    <row r="14536">
      <c r="A14536" s="17"/>
      <c r="H14536" s="18"/>
      <c r="K14536" s="18" t="s">
        <v>316</v>
      </c>
    </row>
    <row r="14537">
      <c r="A14537" s="17"/>
      <c r="H14537" s="18"/>
      <c r="K14537" s="18" t="s">
        <v>316</v>
      </c>
    </row>
    <row r="14538">
      <c r="A14538" s="17"/>
      <c r="H14538" s="18"/>
      <c r="K14538" s="18" t="s">
        <v>316</v>
      </c>
    </row>
    <row r="14539">
      <c r="A14539" s="17"/>
      <c r="H14539" s="18"/>
      <c r="K14539" s="18" t="s">
        <v>316</v>
      </c>
    </row>
    <row r="14540">
      <c r="A14540" s="17"/>
      <c r="H14540" s="18"/>
      <c r="K14540" s="18" t="s">
        <v>316</v>
      </c>
    </row>
    <row r="14541">
      <c r="A14541" s="17"/>
      <c r="H14541" s="18"/>
      <c r="K14541" s="18" t="s">
        <v>316</v>
      </c>
    </row>
    <row r="14542">
      <c r="A14542" s="17"/>
      <c r="H14542" s="18"/>
      <c r="K14542" s="18" t="s">
        <v>316</v>
      </c>
    </row>
    <row r="14543">
      <c r="A14543" s="17"/>
      <c r="H14543" s="18"/>
      <c r="K14543" s="18" t="s">
        <v>316</v>
      </c>
    </row>
    <row r="14544">
      <c r="A14544" s="17"/>
      <c r="H14544" s="18"/>
      <c r="K14544" s="18" t="s">
        <v>316</v>
      </c>
    </row>
    <row r="14545">
      <c r="A14545" s="17"/>
      <c r="H14545" s="18"/>
      <c r="K14545" s="18" t="s">
        <v>316</v>
      </c>
    </row>
    <row r="14546">
      <c r="A14546" s="17"/>
      <c r="H14546" s="18"/>
      <c r="K14546" s="18" t="s">
        <v>316</v>
      </c>
    </row>
    <row r="14547">
      <c r="A14547" s="17"/>
      <c r="H14547" s="18"/>
      <c r="K14547" s="18" t="s">
        <v>316</v>
      </c>
    </row>
    <row r="14548">
      <c r="A14548" s="17"/>
      <c r="H14548" s="18"/>
      <c r="K14548" s="18" t="s">
        <v>316</v>
      </c>
    </row>
    <row r="14549">
      <c r="A14549" s="17"/>
      <c r="H14549" s="18"/>
      <c r="K14549" s="18" t="s">
        <v>316</v>
      </c>
    </row>
    <row r="14550">
      <c r="A14550" s="17"/>
      <c r="H14550" s="18"/>
      <c r="K14550" s="18" t="s">
        <v>316</v>
      </c>
    </row>
    <row r="14551">
      <c r="A14551" s="17"/>
      <c r="H14551" s="18"/>
      <c r="K14551" s="18" t="s">
        <v>316</v>
      </c>
    </row>
    <row r="14552">
      <c r="A14552" s="17"/>
      <c r="H14552" s="18"/>
      <c r="K14552" s="18" t="s">
        <v>316</v>
      </c>
    </row>
    <row r="14553">
      <c r="A14553" s="17"/>
      <c r="H14553" s="18"/>
      <c r="K14553" s="18" t="s">
        <v>316</v>
      </c>
    </row>
    <row r="14554">
      <c r="A14554" s="17"/>
      <c r="H14554" s="18"/>
      <c r="K14554" s="18" t="s">
        <v>316</v>
      </c>
    </row>
    <row r="14555">
      <c r="A14555" s="17"/>
      <c r="H14555" s="18"/>
      <c r="K14555" s="18" t="s">
        <v>316</v>
      </c>
    </row>
    <row r="14556">
      <c r="A14556" s="17"/>
      <c r="H14556" s="18"/>
      <c r="K14556" s="18" t="s">
        <v>316</v>
      </c>
    </row>
    <row r="14557">
      <c r="A14557" s="17"/>
      <c r="H14557" s="18"/>
      <c r="K14557" s="18" t="s">
        <v>316</v>
      </c>
    </row>
    <row r="14558">
      <c r="A14558" s="17"/>
      <c r="H14558" s="18"/>
      <c r="K14558" s="18" t="s">
        <v>316</v>
      </c>
    </row>
    <row r="14559">
      <c r="A14559" s="17"/>
      <c r="H14559" s="18"/>
      <c r="K14559" s="18" t="s">
        <v>316</v>
      </c>
    </row>
    <row r="14560">
      <c r="A14560" s="17"/>
      <c r="H14560" s="18"/>
      <c r="K14560" s="18" t="s">
        <v>316</v>
      </c>
    </row>
    <row r="14561">
      <c r="A14561" s="17"/>
      <c r="H14561" s="18"/>
      <c r="K14561" s="18" t="s">
        <v>316</v>
      </c>
    </row>
    <row r="14562">
      <c r="A14562" s="17"/>
      <c r="H14562" s="18"/>
      <c r="K14562" s="18" t="s">
        <v>316</v>
      </c>
    </row>
    <row r="14563">
      <c r="A14563" s="17"/>
      <c r="H14563" s="18"/>
      <c r="K14563" s="18" t="s">
        <v>316</v>
      </c>
    </row>
    <row r="14564">
      <c r="A14564" s="17"/>
      <c r="H14564" s="18"/>
      <c r="K14564" s="18" t="s">
        <v>316</v>
      </c>
    </row>
    <row r="14565">
      <c r="A14565" s="17"/>
      <c r="H14565" s="18"/>
      <c r="K14565" s="18" t="s">
        <v>316</v>
      </c>
    </row>
    <row r="14566">
      <c r="A14566" s="17"/>
      <c r="H14566" s="18"/>
      <c r="K14566" s="18" t="s">
        <v>316</v>
      </c>
    </row>
    <row r="14567">
      <c r="A14567" s="17"/>
      <c r="H14567" s="18"/>
      <c r="K14567" s="18" t="s">
        <v>316</v>
      </c>
    </row>
    <row r="14568">
      <c r="A14568" s="17"/>
      <c r="H14568" s="18"/>
      <c r="K14568" s="18" t="s">
        <v>316</v>
      </c>
    </row>
    <row r="14569">
      <c r="A14569" s="17"/>
      <c r="H14569" s="18"/>
      <c r="K14569" s="18" t="s">
        <v>316</v>
      </c>
    </row>
    <row r="14570">
      <c r="A14570" s="17"/>
      <c r="H14570" s="18"/>
      <c r="K14570" s="18" t="s">
        <v>316</v>
      </c>
    </row>
    <row r="14571">
      <c r="A14571" s="17"/>
      <c r="H14571" s="18"/>
      <c r="K14571" s="18" t="s">
        <v>316</v>
      </c>
    </row>
    <row r="14572">
      <c r="A14572" s="17"/>
      <c r="H14572" s="18"/>
      <c r="K14572" s="18" t="s">
        <v>316</v>
      </c>
    </row>
    <row r="14573">
      <c r="A14573" s="17"/>
      <c r="H14573" s="18"/>
      <c r="K14573" s="18" t="s">
        <v>316</v>
      </c>
    </row>
    <row r="14574">
      <c r="A14574" s="17"/>
      <c r="H14574" s="18"/>
      <c r="K14574" s="18" t="s">
        <v>316</v>
      </c>
    </row>
    <row r="14575">
      <c r="A14575" s="17"/>
      <c r="H14575" s="18"/>
      <c r="K14575" s="18" t="s">
        <v>316</v>
      </c>
    </row>
    <row r="14576">
      <c r="A14576" s="17"/>
      <c r="H14576" s="18"/>
      <c r="K14576" s="18" t="s">
        <v>316</v>
      </c>
    </row>
    <row r="14577">
      <c r="A14577" s="17"/>
      <c r="H14577" s="18"/>
      <c r="K14577" s="18" t="s">
        <v>316</v>
      </c>
    </row>
    <row r="14578">
      <c r="A14578" s="17"/>
      <c r="H14578" s="18"/>
      <c r="K14578" s="18" t="s">
        <v>316</v>
      </c>
    </row>
    <row r="14579">
      <c r="A14579" s="17"/>
      <c r="H14579" s="18"/>
      <c r="K14579" s="18" t="s">
        <v>316</v>
      </c>
    </row>
    <row r="14580">
      <c r="A14580" s="17"/>
      <c r="H14580" s="18"/>
      <c r="K14580" s="18" t="s">
        <v>316</v>
      </c>
    </row>
    <row r="14581">
      <c r="A14581" s="17"/>
      <c r="H14581" s="18"/>
      <c r="K14581" s="18" t="s">
        <v>316</v>
      </c>
    </row>
    <row r="14582">
      <c r="A14582" s="17"/>
      <c r="H14582" s="18"/>
      <c r="K14582" s="18" t="s">
        <v>316</v>
      </c>
    </row>
    <row r="14583">
      <c r="A14583" s="17"/>
      <c r="H14583" s="18"/>
      <c r="K14583" s="18" t="s">
        <v>316</v>
      </c>
    </row>
    <row r="14584">
      <c r="A14584" s="17"/>
      <c r="H14584" s="18"/>
      <c r="K14584" s="18" t="s">
        <v>316</v>
      </c>
    </row>
    <row r="14585">
      <c r="A14585" s="17"/>
      <c r="H14585" s="18"/>
      <c r="K14585" s="18" t="s">
        <v>316</v>
      </c>
    </row>
    <row r="14586">
      <c r="A14586" s="17"/>
      <c r="H14586" s="18"/>
      <c r="K14586" s="18" t="s">
        <v>316</v>
      </c>
    </row>
    <row r="14587">
      <c r="A14587" s="17"/>
      <c r="H14587" s="18"/>
      <c r="K14587" s="18" t="s">
        <v>316</v>
      </c>
    </row>
    <row r="14588">
      <c r="A14588" s="17"/>
      <c r="H14588" s="18"/>
      <c r="K14588" s="18" t="s">
        <v>316</v>
      </c>
    </row>
    <row r="14589">
      <c r="A14589" s="17"/>
      <c r="H14589" s="18"/>
      <c r="K14589" s="18" t="s">
        <v>316</v>
      </c>
    </row>
    <row r="14590">
      <c r="A14590" s="17"/>
      <c r="H14590" s="18"/>
      <c r="K14590" s="18" t="s">
        <v>316</v>
      </c>
    </row>
    <row r="14591">
      <c r="A14591" s="17"/>
      <c r="H14591" s="18"/>
      <c r="K14591" s="18" t="s">
        <v>316</v>
      </c>
    </row>
    <row r="14592">
      <c r="A14592" s="17"/>
      <c r="H14592" s="18"/>
      <c r="K14592" s="18" t="s">
        <v>316</v>
      </c>
    </row>
    <row r="14593">
      <c r="A14593" s="17"/>
      <c r="H14593" s="18"/>
      <c r="K14593" s="18" t="s">
        <v>316</v>
      </c>
    </row>
    <row r="14594">
      <c r="A14594" s="17"/>
      <c r="H14594" s="18"/>
      <c r="K14594" s="18" t="s">
        <v>316</v>
      </c>
    </row>
    <row r="14595">
      <c r="A14595" s="17"/>
      <c r="H14595" s="18"/>
      <c r="K14595" s="18" t="s">
        <v>316</v>
      </c>
    </row>
    <row r="14596">
      <c r="A14596" s="17"/>
      <c r="H14596" s="18"/>
      <c r="K14596" s="18" t="s">
        <v>316</v>
      </c>
    </row>
    <row r="14597">
      <c r="A14597" s="17"/>
      <c r="H14597" s="18"/>
      <c r="K14597" s="18" t="s">
        <v>316</v>
      </c>
    </row>
    <row r="14598">
      <c r="A14598" s="17"/>
      <c r="H14598" s="18"/>
      <c r="K14598" s="18" t="s">
        <v>316</v>
      </c>
    </row>
    <row r="14599">
      <c r="A14599" s="17"/>
      <c r="H14599" s="18"/>
      <c r="K14599" s="18" t="s">
        <v>316</v>
      </c>
    </row>
    <row r="14600">
      <c r="A14600" s="17"/>
      <c r="H14600" s="18"/>
      <c r="K14600" s="18" t="s">
        <v>316</v>
      </c>
    </row>
    <row r="14601">
      <c r="A14601" s="17"/>
      <c r="H14601" s="18"/>
      <c r="K14601" s="18" t="s">
        <v>316</v>
      </c>
    </row>
    <row r="14602">
      <c r="A14602" s="17"/>
      <c r="H14602" s="18"/>
      <c r="K14602" s="18" t="s">
        <v>316</v>
      </c>
    </row>
    <row r="14603">
      <c r="A14603" s="17"/>
      <c r="H14603" s="18"/>
      <c r="K14603" s="18" t="s">
        <v>316</v>
      </c>
    </row>
    <row r="14604">
      <c r="A14604" s="17"/>
      <c r="H14604" s="18"/>
      <c r="K14604" s="18" t="s">
        <v>316</v>
      </c>
    </row>
    <row r="14605">
      <c r="A14605" s="17"/>
      <c r="H14605" s="18"/>
      <c r="K14605" s="18" t="s">
        <v>316</v>
      </c>
    </row>
    <row r="14606">
      <c r="A14606" s="17"/>
      <c r="H14606" s="18"/>
      <c r="K14606" s="18" t="s">
        <v>316</v>
      </c>
    </row>
    <row r="14607">
      <c r="A14607" s="17"/>
      <c r="H14607" s="18"/>
      <c r="K14607" s="18" t="s">
        <v>316</v>
      </c>
    </row>
    <row r="14608">
      <c r="A14608" s="17"/>
      <c r="H14608" s="18"/>
      <c r="K14608" s="18" t="s">
        <v>316</v>
      </c>
    </row>
    <row r="14609">
      <c r="A14609" s="17"/>
      <c r="H14609" s="18"/>
      <c r="K14609" s="18" t="s">
        <v>316</v>
      </c>
    </row>
    <row r="14610">
      <c r="A14610" s="17"/>
      <c r="H14610" s="18"/>
      <c r="K14610" s="18" t="s">
        <v>316</v>
      </c>
    </row>
    <row r="14611">
      <c r="A14611" s="17"/>
      <c r="H14611" s="18"/>
      <c r="K14611" s="18" t="s">
        <v>316</v>
      </c>
    </row>
    <row r="14612">
      <c r="A14612" s="17"/>
      <c r="H14612" s="18"/>
      <c r="K14612" s="18" t="s">
        <v>316</v>
      </c>
    </row>
    <row r="14613">
      <c r="A14613" s="17"/>
      <c r="H14613" s="18"/>
      <c r="K14613" s="18" t="s">
        <v>316</v>
      </c>
    </row>
    <row r="14614">
      <c r="A14614" s="17"/>
      <c r="H14614" s="18"/>
      <c r="K14614" s="18" t="s">
        <v>316</v>
      </c>
    </row>
    <row r="14615">
      <c r="A14615" s="17"/>
      <c r="H14615" s="18"/>
      <c r="K14615" s="18" t="s">
        <v>316</v>
      </c>
    </row>
    <row r="14616">
      <c r="A14616" s="17"/>
      <c r="H14616" s="18"/>
      <c r="K14616" s="18" t="s">
        <v>316</v>
      </c>
    </row>
    <row r="14617">
      <c r="A14617" s="17"/>
      <c r="H14617" s="18"/>
      <c r="K14617" s="18" t="s">
        <v>316</v>
      </c>
    </row>
    <row r="14618">
      <c r="A14618" s="17"/>
      <c r="H14618" s="18"/>
      <c r="K14618" s="18" t="s">
        <v>316</v>
      </c>
    </row>
    <row r="14619">
      <c r="A14619" s="17"/>
      <c r="H14619" s="18"/>
      <c r="K14619" s="18" t="s">
        <v>316</v>
      </c>
    </row>
    <row r="14620">
      <c r="A14620" s="17"/>
      <c r="H14620" s="18"/>
      <c r="K14620" s="18" t="s">
        <v>316</v>
      </c>
    </row>
    <row r="14621">
      <c r="A14621" s="17"/>
      <c r="H14621" s="18"/>
      <c r="K14621" s="18" t="s">
        <v>316</v>
      </c>
    </row>
    <row r="14622">
      <c r="A14622" s="17"/>
      <c r="H14622" s="18"/>
      <c r="K14622" s="18" t="s">
        <v>316</v>
      </c>
    </row>
    <row r="14623">
      <c r="A14623" s="17"/>
      <c r="H14623" s="18"/>
      <c r="K14623" s="18" t="s">
        <v>316</v>
      </c>
    </row>
    <row r="14624">
      <c r="A14624" s="17"/>
      <c r="H14624" s="18"/>
      <c r="K14624" s="18" t="s">
        <v>316</v>
      </c>
    </row>
    <row r="14625">
      <c r="A14625" s="17"/>
      <c r="H14625" s="18"/>
      <c r="K14625" s="18" t="s">
        <v>316</v>
      </c>
    </row>
    <row r="14626">
      <c r="A14626" s="17"/>
      <c r="H14626" s="18"/>
      <c r="K14626" s="18" t="s">
        <v>316</v>
      </c>
    </row>
    <row r="14627">
      <c r="A14627" s="17"/>
      <c r="H14627" s="18"/>
      <c r="K14627" s="18" t="s">
        <v>316</v>
      </c>
    </row>
    <row r="14628">
      <c r="A14628" s="17"/>
      <c r="H14628" s="18"/>
      <c r="K14628" s="18" t="s">
        <v>316</v>
      </c>
    </row>
    <row r="14629">
      <c r="A14629" s="17"/>
      <c r="H14629" s="18"/>
      <c r="K14629" s="18" t="s">
        <v>316</v>
      </c>
    </row>
    <row r="14630">
      <c r="A14630" s="17"/>
      <c r="H14630" s="18"/>
      <c r="K14630" s="18" t="s">
        <v>316</v>
      </c>
    </row>
    <row r="14631">
      <c r="A14631" s="17"/>
      <c r="H14631" s="18"/>
      <c r="K14631" s="18" t="s">
        <v>316</v>
      </c>
    </row>
    <row r="14632">
      <c r="A14632" s="17"/>
      <c r="H14632" s="18"/>
      <c r="K14632" s="18" t="s">
        <v>316</v>
      </c>
    </row>
    <row r="14633">
      <c r="A14633" s="17"/>
      <c r="H14633" s="18"/>
      <c r="K14633" s="18" t="s">
        <v>316</v>
      </c>
    </row>
    <row r="14634">
      <c r="A14634" s="17"/>
      <c r="H14634" s="18"/>
      <c r="K14634" s="18" t="s">
        <v>316</v>
      </c>
    </row>
    <row r="14635">
      <c r="A14635" s="17"/>
      <c r="H14635" s="18"/>
      <c r="K14635" s="18" t="s">
        <v>316</v>
      </c>
    </row>
    <row r="14636">
      <c r="A14636" s="17"/>
      <c r="H14636" s="18"/>
      <c r="K14636" s="18" t="s">
        <v>316</v>
      </c>
    </row>
    <row r="14637">
      <c r="A14637" s="17"/>
      <c r="H14637" s="18"/>
      <c r="K14637" s="18" t="s">
        <v>316</v>
      </c>
    </row>
    <row r="14638">
      <c r="A14638" s="17"/>
      <c r="H14638" s="18"/>
      <c r="K14638" s="18" t="s">
        <v>316</v>
      </c>
    </row>
    <row r="14639">
      <c r="A14639" s="17"/>
      <c r="H14639" s="18"/>
      <c r="K14639" s="18" t="s">
        <v>316</v>
      </c>
    </row>
    <row r="14640">
      <c r="A14640" s="17"/>
      <c r="H14640" s="18"/>
      <c r="K14640" s="18" t="s">
        <v>316</v>
      </c>
    </row>
    <row r="14641">
      <c r="A14641" s="17"/>
      <c r="H14641" s="18"/>
      <c r="K14641" s="18" t="s">
        <v>316</v>
      </c>
    </row>
    <row r="14642">
      <c r="A14642" s="17"/>
      <c r="H14642" s="18"/>
      <c r="K14642" s="18" t="s">
        <v>316</v>
      </c>
    </row>
    <row r="14643">
      <c r="A14643" s="17"/>
      <c r="H14643" s="18"/>
      <c r="K14643" s="18" t="s">
        <v>316</v>
      </c>
    </row>
    <row r="14644">
      <c r="A14644" s="17"/>
      <c r="H14644" s="18"/>
      <c r="K14644" s="18" t="s">
        <v>316</v>
      </c>
    </row>
    <row r="14645">
      <c r="A14645" s="17"/>
      <c r="H14645" s="18"/>
      <c r="K14645" s="18" t="s">
        <v>316</v>
      </c>
    </row>
    <row r="14646">
      <c r="A14646" s="17"/>
      <c r="H14646" s="18"/>
      <c r="K14646" s="18" t="s">
        <v>316</v>
      </c>
    </row>
    <row r="14647">
      <c r="A14647" s="17"/>
      <c r="H14647" s="18"/>
      <c r="K14647" s="18" t="s">
        <v>316</v>
      </c>
    </row>
    <row r="14648">
      <c r="A14648" s="17"/>
      <c r="H14648" s="18"/>
      <c r="K14648" s="18" t="s">
        <v>316</v>
      </c>
    </row>
    <row r="14649">
      <c r="A14649" s="17"/>
      <c r="H14649" s="18"/>
      <c r="K14649" s="18" t="s">
        <v>316</v>
      </c>
    </row>
    <row r="14650">
      <c r="A14650" s="17"/>
      <c r="H14650" s="18"/>
      <c r="K14650" s="18" t="s">
        <v>316</v>
      </c>
    </row>
    <row r="14651">
      <c r="A14651" s="17"/>
      <c r="H14651" s="18"/>
      <c r="K14651" s="18" t="s">
        <v>316</v>
      </c>
    </row>
    <row r="14652">
      <c r="A14652" s="17"/>
      <c r="H14652" s="18"/>
      <c r="K14652" s="18" t="s">
        <v>316</v>
      </c>
    </row>
    <row r="14653">
      <c r="A14653" s="17"/>
      <c r="H14653" s="18"/>
      <c r="K14653" s="18" t="s">
        <v>316</v>
      </c>
    </row>
    <row r="14654">
      <c r="A14654" s="17"/>
      <c r="H14654" s="18"/>
      <c r="K14654" s="18" t="s">
        <v>316</v>
      </c>
    </row>
    <row r="14655">
      <c r="A14655" s="17"/>
      <c r="H14655" s="18"/>
      <c r="K14655" s="18" t="s">
        <v>316</v>
      </c>
    </row>
    <row r="14656">
      <c r="A14656" s="17"/>
      <c r="H14656" s="18"/>
      <c r="K14656" s="18" t="s">
        <v>316</v>
      </c>
    </row>
    <row r="14657">
      <c r="A14657" s="17"/>
      <c r="H14657" s="18"/>
      <c r="K14657" s="18" t="s">
        <v>316</v>
      </c>
    </row>
    <row r="14658">
      <c r="A14658" s="17"/>
      <c r="H14658" s="18"/>
      <c r="K14658" s="18" t="s">
        <v>316</v>
      </c>
    </row>
    <row r="14659">
      <c r="A14659" s="17"/>
      <c r="H14659" s="18"/>
      <c r="K14659" s="18" t="s">
        <v>316</v>
      </c>
    </row>
    <row r="14660">
      <c r="A14660" s="17"/>
      <c r="H14660" s="18"/>
      <c r="K14660" s="18" t="s">
        <v>316</v>
      </c>
    </row>
    <row r="14661">
      <c r="A14661" s="17"/>
      <c r="H14661" s="18"/>
      <c r="K14661" s="18" t="s">
        <v>316</v>
      </c>
    </row>
    <row r="14662">
      <c r="A14662" s="17"/>
      <c r="H14662" s="18"/>
      <c r="K14662" s="18" t="s">
        <v>316</v>
      </c>
    </row>
    <row r="14663">
      <c r="A14663" s="17"/>
      <c r="H14663" s="18"/>
      <c r="K14663" s="18" t="s">
        <v>316</v>
      </c>
    </row>
    <row r="14664">
      <c r="A14664" s="17"/>
      <c r="H14664" s="18"/>
      <c r="K14664" s="18" t="s">
        <v>316</v>
      </c>
    </row>
    <row r="14665">
      <c r="A14665" s="17"/>
      <c r="H14665" s="18"/>
      <c r="K14665" s="18" t="s">
        <v>316</v>
      </c>
    </row>
    <row r="14666">
      <c r="A14666" s="17"/>
      <c r="H14666" s="18"/>
      <c r="K14666" s="18" t="s">
        <v>316</v>
      </c>
    </row>
    <row r="14667">
      <c r="A14667" s="17"/>
      <c r="H14667" s="18"/>
      <c r="K14667" s="18" t="s">
        <v>316</v>
      </c>
    </row>
    <row r="14668">
      <c r="A14668" s="17"/>
      <c r="H14668" s="18"/>
      <c r="K14668" s="18" t="s">
        <v>316</v>
      </c>
    </row>
    <row r="14669">
      <c r="A14669" s="17"/>
      <c r="H14669" s="18"/>
      <c r="K14669" s="18" t="s">
        <v>316</v>
      </c>
    </row>
    <row r="14670">
      <c r="A14670" s="17"/>
      <c r="H14670" s="18"/>
      <c r="K14670" s="18" t="s">
        <v>316</v>
      </c>
    </row>
    <row r="14671">
      <c r="A14671" s="17"/>
      <c r="H14671" s="18"/>
      <c r="K14671" s="18" t="s">
        <v>316</v>
      </c>
    </row>
    <row r="14672">
      <c r="A14672" s="17"/>
      <c r="H14672" s="18"/>
      <c r="K14672" s="18" t="s">
        <v>316</v>
      </c>
    </row>
    <row r="14673">
      <c r="A14673" s="17"/>
      <c r="H14673" s="18"/>
      <c r="K14673" s="18" t="s">
        <v>316</v>
      </c>
    </row>
    <row r="14674">
      <c r="A14674" s="17"/>
      <c r="H14674" s="18"/>
      <c r="K14674" s="18" t="s">
        <v>316</v>
      </c>
    </row>
    <row r="14675">
      <c r="A14675" s="17"/>
      <c r="H14675" s="18"/>
      <c r="K14675" s="18" t="s">
        <v>316</v>
      </c>
    </row>
    <row r="14676">
      <c r="A14676" s="17"/>
      <c r="H14676" s="18"/>
      <c r="K14676" s="18" t="s">
        <v>316</v>
      </c>
    </row>
    <row r="14677">
      <c r="A14677" s="17"/>
      <c r="H14677" s="18"/>
      <c r="K14677" s="18" t="s">
        <v>316</v>
      </c>
    </row>
    <row r="14678">
      <c r="A14678" s="17"/>
      <c r="H14678" s="18"/>
      <c r="K14678" s="18" t="s">
        <v>316</v>
      </c>
    </row>
    <row r="14679">
      <c r="A14679" s="17"/>
      <c r="H14679" s="18"/>
      <c r="K14679" s="18" t="s">
        <v>316</v>
      </c>
    </row>
    <row r="14680">
      <c r="A14680" s="17"/>
      <c r="H14680" s="18"/>
      <c r="K14680" s="18" t="s">
        <v>316</v>
      </c>
    </row>
    <row r="14681">
      <c r="A14681" s="17"/>
      <c r="H14681" s="18"/>
      <c r="K14681" s="18" t="s">
        <v>316</v>
      </c>
    </row>
    <row r="14682">
      <c r="A14682" s="17"/>
      <c r="H14682" s="18"/>
      <c r="K14682" s="18" t="s">
        <v>316</v>
      </c>
    </row>
    <row r="14683">
      <c r="A14683" s="17"/>
      <c r="H14683" s="18"/>
      <c r="K14683" s="18" t="s">
        <v>316</v>
      </c>
    </row>
    <row r="14684">
      <c r="A14684" s="17"/>
      <c r="H14684" s="18"/>
      <c r="K14684" s="18" t="s">
        <v>316</v>
      </c>
    </row>
    <row r="14685">
      <c r="A14685" s="17"/>
      <c r="H14685" s="18"/>
      <c r="K14685" s="18" t="s">
        <v>316</v>
      </c>
    </row>
    <row r="14686">
      <c r="A14686" s="17"/>
      <c r="H14686" s="18"/>
      <c r="K14686" s="18" t="s">
        <v>316</v>
      </c>
    </row>
    <row r="14687">
      <c r="A14687" s="17"/>
      <c r="H14687" s="18"/>
      <c r="K14687" s="18" t="s">
        <v>316</v>
      </c>
    </row>
    <row r="14688">
      <c r="A14688" s="17"/>
      <c r="H14688" s="18"/>
      <c r="K14688" s="18" t="s">
        <v>316</v>
      </c>
    </row>
    <row r="14689">
      <c r="A14689" s="17"/>
      <c r="H14689" s="18"/>
      <c r="K14689" s="18" t="s">
        <v>316</v>
      </c>
    </row>
    <row r="14690">
      <c r="A14690" s="17"/>
      <c r="H14690" s="18"/>
      <c r="K14690" s="18" t="s">
        <v>316</v>
      </c>
    </row>
    <row r="14691">
      <c r="A14691" s="17"/>
      <c r="H14691" s="18"/>
      <c r="K14691" s="18" t="s">
        <v>316</v>
      </c>
    </row>
    <row r="14692">
      <c r="A14692" s="17"/>
      <c r="H14692" s="18"/>
      <c r="K14692" s="18" t="s">
        <v>316</v>
      </c>
    </row>
    <row r="14693">
      <c r="A14693" s="17"/>
      <c r="H14693" s="18"/>
      <c r="K14693" s="18" t="s">
        <v>316</v>
      </c>
    </row>
    <row r="14694">
      <c r="A14694" s="17"/>
      <c r="H14694" s="18"/>
      <c r="K14694" s="18" t="s">
        <v>316</v>
      </c>
    </row>
    <row r="14695">
      <c r="A14695" s="17"/>
      <c r="H14695" s="18"/>
      <c r="K14695" s="18" t="s">
        <v>316</v>
      </c>
    </row>
    <row r="14696">
      <c r="A14696" s="17"/>
      <c r="H14696" s="18"/>
      <c r="K14696" s="18" t="s">
        <v>316</v>
      </c>
    </row>
    <row r="14697">
      <c r="A14697" s="17"/>
      <c r="H14697" s="18"/>
      <c r="K14697" s="18" t="s">
        <v>316</v>
      </c>
    </row>
    <row r="14698">
      <c r="A14698" s="17"/>
      <c r="H14698" s="18"/>
      <c r="K14698" s="18" t="s">
        <v>316</v>
      </c>
    </row>
    <row r="14699">
      <c r="A14699" s="17"/>
      <c r="H14699" s="18"/>
      <c r="K14699" s="18" t="s">
        <v>316</v>
      </c>
    </row>
    <row r="14700">
      <c r="A14700" s="17"/>
      <c r="H14700" s="18"/>
      <c r="K14700" s="18" t="s">
        <v>316</v>
      </c>
    </row>
    <row r="14701">
      <c r="A14701" s="17"/>
      <c r="H14701" s="18"/>
      <c r="K14701" s="18" t="s">
        <v>316</v>
      </c>
    </row>
    <row r="14702">
      <c r="A14702" s="17"/>
      <c r="H14702" s="18"/>
      <c r="K14702" s="18" t="s">
        <v>316</v>
      </c>
    </row>
    <row r="14703">
      <c r="A14703" s="17"/>
      <c r="H14703" s="18"/>
      <c r="K14703" s="18" t="s">
        <v>316</v>
      </c>
    </row>
    <row r="14704">
      <c r="A14704" s="17"/>
      <c r="H14704" s="18"/>
      <c r="K14704" s="18" t="s">
        <v>316</v>
      </c>
    </row>
    <row r="14705">
      <c r="A14705" s="17"/>
      <c r="H14705" s="18"/>
      <c r="K14705" s="18" t="s">
        <v>316</v>
      </c>
    </row>
    <row r="14706">
      <c r="A14706" s="17"/>
      <c r="H14706" s="18"/>
      <c r="K14706" s="18" t="s">
        <v>316</v>
      </c>
    </row>
    <row r="14707">
      <c r="A14707" s="17"/>
      <c r="H14707" s="18"/>
      <c r="K14707" s="18" t="s">
        <v>316</v>
      </c>
    </row>
    <row r="14708">
      <c r="A14708" s="17"/>
      <c r="H14708" s="18"/>
      <c r="K14708" s="18" t="s">
        <v>316</v>
      </c>
    </row>
    <row r="14709">
      <c r="A14709" s="17"/>
      <c r="H14709" s="18"/>
      <c r="K14709" s="18" t="s">
        <v>316</v>
      </c>
    </row>
    <row r="14710">
      <c r="A14710" s="17"/>
      <c r="H14710" s="18"/>
      <c r="K14710" s="18" t="s">
        <v>316</v>
      </c>
    </row>
    <row r="14711">
      <c r="A14711" s="17"/>
      <c r="H14711" s="18"/>
      <c r="K14711" s="18" t="s">
        <v>316</v>
      </c>
    </row>
    <row r="14712">
      <c r="A14712" s="17"/>
      <c r="H14712" s="18"/>
      <c r="K14712" s="18" t="s">
        <v>316</v>
      </c>
    </row>
    <row r="14713">
      <c r="A14713" s="17"/>
      <c r="H14713" s="18"/>
      <c r="K14713" s="18" t="s">
        <v>316</v>
      </c>
    </row>
    <row r="14714">
      <c r="A14714" s="17"/>
      <c r="H14714" s="18"/>
      <c r="K14714" s="18" t="s">
        <v>316</v>
      </c>
    </row>
    <row r="14715">
      <c r="A14715" s="17"/>
      <c r="H14715" s="18"/>
      <c r="K14715" s="18" t="s">
        <v>316</v>
      </c>
    </row>
    <row r="14716">
      <c r="A14716" s="17"/>
      <c r="H14716" s="18"/>
      <c r="K14716" s="18" t="s">
        <v>316</v>
      </c>
    </row>
    <row r="14717">
      <c r="A14717" s="17"/>
      <c r="H14717" s="18"/>
      <c r="K14717" s="18" t="s">
        <v>316</v>
      </c>
    </row>
    <row r="14718">
      <c r="A14718" s="17"/>
      <c r="H14718" s="18"/>
      <c r="K14718" s="18" t="s">
        <v>316</v>
      </c>
    </row>
    <row r="14719">
      <c r="A14719" s="17"/>
      <c r="H14719" s="18"/>
      <c r="K14719" s="18" t="s">
        <v>316</v>
      </c>
    </row>
    <row r="14720">
      <c r="A14720" s="17"/>
      <c r="H14720" s="18"/>
      <c r="K14720" s="18" t="s">
        <v>316</v>
      </c>
    </row>
    <row r="14721">
      <c r="A14721" s="17"/>
      <c r="H14721" s="18"/>
      <c r="K14721" s="18" t="s">
        <v>316</v>
      </c>
    </row>
    <row r="14722">
      <c r="A14722" s="17"/>
      <c r="H14722" s="18"/>
      <c r="K14722" s="18" t="s">
        <v>316</v>
      </c>
    </row>
    <row r="14723">
      <c r="A14723" s="17"/>
      <c r="H14723" s="18"/>
      <c r="K14723" s="18" t="s">
        <v>316</v>
      </c>
    </row>
    <row r="14724">
      <c r="A14724" s="17"/>
      <c r="H14724" s="18"/>
      <c r="K14724" s="18" t="s">
        <v>316</v>
      </c>
    </row>
    <row r="14725">
      <c r="A14725" s="17"/>
      <c r="H14725" s="18"/>
      <c r="K14725" s="18" t="s">
        <v>316</v>
      </c>
    </row>
    <row r="14726">
      <c r="A14726" s="17"/>
      <c r="H14726" s="18"/>
      <c r="K14726" s="18" t="s">
        <v>316</v>
      </c>
    </row>
    <row r="14727">
      <c r="A14727" s="17"/>
      <c r="H14727" s="18"/>
      <c r="K14727" s="18" t="s">
        <v>316</v>
      </c>
    </row>
    <row r="14728">
      <c r="A14728" s="17"/>
      <c r="H14728" s="18"/>
      <c r="K14728" s="18" t="s">
        <v>316</v>
      </c>
    </row>
    <row r="14729">
      <c r="A14729" s="17"/>
      <c r="H14729" s="18"/>
      <c r="K14729" s="18" t="s">
        <v>316</v>
      </c>
    </row>
    <row r="14730">
      <c r="A14730" s="17"/>
      <c r="H14730" s="18"/>
      <c r="K14730" s="18" t="s">
        <v>316</v>
      </c>
    </row>
    <row r="14731">
      <c r="A14731" s="17"/>
      <c r="H14731" s="18"/>
      <c r="K14731" s="18" t="s">
        <v>316</v>
      </c>
    </row>
    <row r="14732">
      <c r="A14732" s="17"/>
      <c r="H14732" s="18"/>
      <c r="K14732" s="18" t="s">
        <v>316</v>
      </c>
    </row>
    <row r="14733">
      <c r="A14733" s="17"/>
      <c r="H14733" s="18"/>
      <c r="K14733" s="18" t="s">
        <v>316</v>
      </c>
    </row>
    <row r="14734">
      <c r="A14734" s="17"/>
      <c r="H14734" s="18"/>
      <c r="K14734" s="18" t="s">
        <v>316</v>
      </c>
    </row>
    <row r="14735">
      <c r="A14735" s="17"/>
      <c r="H14735" s="18"/>
      <c r="K14735" s="18" t="s">
        <v>316</v>
      </c>
    </row>
    <row r="14736">
      <c r="A14736" s="17"/>
      <c r="H14736" s="18"/>
      <c r="K14736" s="18" t="s">
        <v>316</v>
      </c>
    </row>
    <row r="14737">
      <c r="A14737" s="17"/>
      <c r="H14737" s="18"/>
      <c r="K14737" s="18" t="s">
        <v>316</v>
      </c>
    </row>
    <row r="14738">
      <c r="A14738" s="17"/>
      <c r="H14738" s="18"/>
      <c r="K14738" s="18" t="s">
        <v>316</v>
      </c>
    </row>
    <row r="14739">
      <c r="A14739" s="17"/>
      <c r="H14739" s="18"/>
      <c r="K14739" s="18" t="s">
        <v>316</v>
      </c>
    </row>
    <row r="14740">
      <c r="A14740" s="17"/>
      <c r="H14740" s="18"/>
      <c r="K14740" s="18" t="s">
        <v>316</v>
      </c>
    </row>
    <row r="14741">
      <c r="A14741" s="17"/>
      <c r="H14741" s="18"/>
      <c r="K14741" s="18" t="s">
        <v>316</v>
      </c>
    </row>
    <row r="14742">
      <c r="A14742" s="17"/>
      <c r="H14742" s="18"/>
      <c r="K14742" s="18" t="s">
        <v>316</v>
      </c>
    </row>
    <row r="14743">
      <c r="A14743" s="17"/>
      <c r="H14743" s="18"/>
      <c r="K14743" s="18" t="s">
        <v>316</v>
      </c>
    </row>
    <row r="14744">
      <c r="A14744" s="17"/>
      <c r="H14744" s="18"/>
      <c r="K14744" s="18" t="s">
        <v>316</v>
      </c>
    </row>
    <row r="14745">
      <c r="A14745" s="17"/>
      <c r="H14745" s="18"/>
      <c r="K14745" s="18" t="s">
        <v>316</v>
      </c>
    </row>
    <row r="14746">
      <c r="A14746" s="17"/>
      <c r="H14746" s="18"/>
      <c r="K14746" s="18" t="s">
        <v>316</v>
      </c>
    </row>
    <row r="14747">
      <c r="A14747" s="17"/>
      <c r="H14747" s="18"/>
      <c r="K14747" s="18" t="s">
        <v>316</v>
      </c>
    </row>
    <row r="14748">
      <c r="A14748" s="17"/>
      <c r="H14748" s="18"/>
      <c r="K14748" s="18" t="s">
        <v>316</v>
      </c>
    </row>
    <row r="14749">
      <c r="A14749" s="17"/>
      <c r="H14749" s="18"/>
      <c r="K14749" s="18" t="s">
        <v>316</v>
      </c>
    </row>
    <row r="14750">
      <c r="A14750" s="17"/>
      <c r="H14750" s="18"/>
      <c r="K14750" s="18" t="s">
        <v>316</v>
      </c>
    </row>
    <row r="14751">
      <c r="A14751" s="17"/>
      <c r="H14751" s="18"/>
      <c r="K14751" s="18" t="s">
        <v>316</v>
      </c>
    </row>
    <row r="14752">
      <c r="A14752" s="17"/>
      <c r="H14752" s="18"/>
      <c r="K14752" s="18" t="s">
        <v>316</v>
      </c>
    </row>
    <row r="14753">
      <c r="A14753" s="17"/>
      <c r="H14753" s="18"/>
      <c r="K14753" s="18" t="s">
        <v>316</v>
      </c>
    </row>
    <row r="14754">
      <c r="A14754" s="17"/>
      <c r="H14754" s="18"/>
      <c r="K14754" s="18" t="s">
        <v>316</v>
      </c>
    </row>
    <row r="14755">
      <c r="A14755" s="17"/>
      <c r="H14755" s="18"/>
      <c r="K14755" s="18" t="s">
        <v>316</v>
      </c>
    </row>
    <row r="14756">
      <c r="A14756" s="17"/>
      <c r="H14756" s="18"/>
      <c r="K14756" s="18" t="s">
        <v>316</v>
      </c>
    </row>
    <row r="14757">
      <c r="A14757" s="17"/>
      <c r="H14757" s="18"/>
      <c r="K14757" s="18" t="s">
        <v>316</v>
      </c>
    </row>
    <row r="14758">
      <c r="A14758" s="17"/>
      <c r="H14758" s="18"/>
      <c r="K14758" s="18" t="s">
        <v>316</v>
      </c>
    </row>
    <row r="14759">
      <c r="A14759" s="17"/>
      <c r="H14759" s="18"/>
      <c r="K14759" s="18" t="s">
        <v>316</v>
      </c>
    </row>
    <row r="14760">
      <c r="A14760" s="17"/>
      <c r="H14760" s="18"/>
      <c r="K14760" s="18" t="s">
        <v>316</v>
      </c>
    </row>
    <row r="14761">
      <c r="A14761" s="17"/>
      <c r="H14761" s="18"/>
      <c r="K14761" s="18" t="s">
        <v>316</v>
      </c>
    </row>
    <row r="14762">
      <c r="A14762" s="17"/>
      <c r="H14762" s="18"/>
      <c r="K14762" s="18" t="s">
        <v>316</v>
      </c>
    </row>
    <row r="14763">
      <c r="A14763" s="17"/>
      <c r="H14763" s="18"/>
      <c r="K14763" s="18" t="s">
        <v>316</v>
      </c>
    </row>
    <row r="14764">
      <c r="A14764" s="17"/>
      <c r="H14764" s="18"/>
      <c r="K14764" s="18" t="s">
        <v>316</v>
      </c>
    </row>
    <row r="14765">
      <c r="A14765" s="17"/>
      <c r="H14765" s="18"/>
      <c r="K14765" s="18" t="s">
        <v>316</v>
      </c>
    </row>
    <row r="14766">
      <c r="A14766" s="17"/>
      <c r="H14766" s="18"/>
      <c r="K14766" s="18" t="s">
        <v>316</v>
      </c>
    </row>
    <row r="14767">
      <c r="A14767" s="17"/>
      <c r="H14767" s="18"/>
      <c r="K14767" s="18" t="s">
        <v>316</v>
      </c>
    </row>
    <row r="14768">
      <c r="A14768" s="17"/>
      <c r="H14768" s="18"/>
      <c r="K14768" s="18" t="s">
        <v>316</v>
      </c>
    </row>
    <row r="14769">
      <c r="A14769" s="17"/>
      <c r="H14769" s="18"/>
      <c r="K14769" s="18" t="s">
        <v>316</v>
      </c>
    </row>
    <row r="14770">
      <c r="A14770" s="17"/>
      <c r="H14770" s="18"/>
      <c r="K14770" s="18" t="s">
        <v>316</v>
      </c>
    </row>
    <row r="14771">
      <c r="A14771" s="17"/>
      <c r="H14771" s="18"/>
      <c r="K14771" s="18" t="s">
        <v>316</v>
      </c>
    </row>
    <row r="14772">
      <c r="A14772" s="17"/>
      <c r="H14772" s="18"/>
      <c r="K14772" s="18" t="s">
        <v>316</v>
      </c>
    </row>
    <row r="14773">
      <c r="A14773" s="17"/>
      <c r="H14773" s="18"/>
      <c r="K14773" s="18" t="s">
        <v>316</v>
      </c>
    </row>
    <row r="14774">
      <c r="A14774" s="17"/>
      <c r="H14774" s="18"/>
      <c r="K14774" s="18" t="s">
        <v>316</v>
      </c>
    </row>
    <row r="14775">
      <c r="A14775" s="17"/>
      <c r="H14775" s="18"/>
      <c r="K14775" s="18" t="s">
        <v>316</v>
      </c>
    </row>
    <row r="14776">
      <c r="A14776" s="17"/>
      <c r="H14776" s="18"/>
      <c r="K14776" s="18" t="s">
        <v>316</v>
      </c>
    </row>
    <row r="14777">
      <c r="A14777" s="17"/>
      <c r="H14777" s="18"/>
      <c r="K14777" s="18" t="s">
        <v>316</v>
      </c>
    </row>
    <row r="14778">
      <c r="A14778" s="17"/>
      <c r="H14778" s="18"/>
      <c r="K14778" s="18" t="s">
        <v>316</v>
      </c>
    </row>
    <row r="14779">
      <c r="A14779" s="17"/>
      <c r="H14779" s="18"/>
      <c r="K14779" s="18" t="s">
        <v>316</v>
      </c>
    </row>
    <row r="14780">
      <c r="A14780" s="17"/>
      <c r="H14780" s="18"/>
      <c r="K14780" s="18" t="s">
        <v>316</v>
      </c>
    </row>
    <row r="14781">
      <c r="A14781" s="17"/>
      <c r="H14781" s="18"/>
      <c r="K14781" s="18" t="s">
        <v>316</v>
      </c>
    </row>
    <row r="14782">
      <c r="A14782" s="17"/>
      <c r="H14782" s="18"/>
      <c r="K14782" s="18" t="s">
        <v>316</v>
      </c>
    </row>
    <row r="14783">
      <c r="A14783" s="17"/>
      <c r="H14783" s="18"/>
      <c r="K14783" s="18" t="s">
        <v>316</v>
      </c>
    </row>
    <row r="14784">
      <c r="A14784" s="17"/>
      <c r="H14784" s="18"/>
      <c r="K14784" s="18" t="s">
        <v>316</v>
      </c>
    </row>
    <row r="14785">
      <c r="A14785" s="17"/>
      <c r="H14785" s="18"/>
      <c r="K14785" s="18" t="s">
        <v>316</v>
      </c>
    </row>
    <row r="14786">
      <c r="A14786" s="17"/>
      <c r="H14786" s="18"/>
      <c r="K14786" s="18" t="s">
        <v>316</v>
      </c>
    </row>
    <row r="14787">
      <c r="A14787" s="17"/>
      <c r="H14787" s="18"/>
      <c r="K14787" s="18" t="s">
        <v>316</v>
      </c>
    </row>
    <row r="14788">
      <c r="A14788" s="17"/>
      <c r="H14788" s="18"/>
      <c r="K14788" s="18" t="s">
        <v>316</v>
      </c>
    </row>
    <row r="14789">
      <c r="A14789" s="17"/>
      <c r="H14789" s="18"/>
      <c r="K14789" s="18" t="s">
        <v>316</v>
      </c>
    </row>
    <row r="14790">
      <c r="A14790" s="17"/>
      <c r="H14790" s="18"/>
      <c r="K14790" s="18" t="s">
        <v>316</v>
      </c>
    </row>
    <row r="14791">
      <c r="A14791" s="17"/>
      <c r="H14791" s="18"/>
      <c r="K14791" s="18" t="s">
        <v>316</v>
      </c>
    </row>
    <row r="14792">
      <c r="A14792" s="17"/>
      <c r="H14792" s="18"/>
      <c r="K14792" s="18" t="s">
        <v>316</v>
      </c>
    </row>
    <row r="14793">
      <c r="A14793" s="17"/>
      <c r="H14793" s="18"/>
      <c r="K14793" s="18" t="s">
        <v>316</v>
      </c>
    </row>
    <row r="14794">
      <c r="A14794" s="17"/>
      <c r="H14794" s="18"/>
      <c r="K14794" s="18" t="s">
        <v>316</v>
      </c>
    </row>
    <row r="14795">
      <c r="A14795" s="17"/>
      <c r="H14795" s="18"/>
      <c r="K14795" s="18" t="s">
        <v>316</v>
      </c>
    </row>
    <row r="14796">
      <c r="A14796" s="17"/>
      <c r="H14796" s="18"/>
      <c r="K14796" s="18" t="s">
        <v>316</v>
      </c>
    </row>
    <row r="14797">
      <c r="A14797" s="17"/>
      <c r="H14797" s="18"/>
      <c r="K14797" s="18" t="s">
        <v>316</v>
      </c>
    </row>
    <row r="14798">
      <c r="A14798" s="17"/>
      <c r="H14798" s="18"/>
      <c r="K14798" s="18" t="s">
        <v>316</v>
      </c>
    </row>
    <row r="14799">
      <c r="A14799" s="17"/>
      <c r="H14799" s="18"/>
      <c r="K14799" s="18" t="s">
        <v>316</v>
      </c>
    </row>
    <row r="14800">
      <c r="A14800" s="17"/>
      <c r="H14800" s="18"/>
      <c r="K14800" s="18" t="s">
        <v>316</v>
      </c>
    </row>
    <row r="14801">
      <c r="A14801" s="17"/>
      <c r="H14801" s="18"/>
      <c r="K14801" s="18" t="s">
        <v>316</v>
      </c>
    </row>
    <row r="14802">
      <c r="A14802" s="17"/>
      <c r="H14802" s="18"/>
      <c r="K14802" s="18" t="s">
        <v>316</v>
      </c>
    </row>
    <row r="14803">
      <c r="A14803" s="17"/>
      <c r="H14803" s="18"/>
      <c r="K14803" s="18" t="s">
        <v>316</v>
      </c>
    </row>
    <row r="14804">
      <c r="A14804" s="17"/>
      <c r="H14804" s="18"/>
      <c r="K14804" s="18" t="s">
        <v>316</v>
      </c>
    </row>
    <row r="14805">
      <c r="A14805" s="17"/>
      <c r="H14805" s="18"/>
      <c r="K14805" s="18" t="s">
        <v>316</v>
      </c>
    </row>
    <row r="14806">
      <c r="A14806" s="17"/>
      <c r="H14806" s="18"/>
      <c r="K14806" s="18" t="s">
        <v>316</v>
      </c>
    </row>
    <row r="14807">
      <c r="A14807" s="17"/>
      <c r="H14807" s="18"/>
      <c r="K14807" s="18" t="s">
        <v>316</v>
      </c>
    </row>
    <row r="14808">
      <c r="A14808" s="17"/>
      <c r="H14808" s="18"/>
      <c r="K14808" s="18" t="s">
        <v>316</v>
      </c>
    </row>
    <row r="14809">
      <c r="A14809" s="17"/>
      <c r="H14809" s="18"/>
      <c r="K14809" s="18" t="s">
        <v>316</v>
      </c>
    </row>
    <row r="14810">
      <c r="A14810" s="17"/>
      <c r="H14810" s="18"/>
      <c r="K14810" s="18" t="s">
        <v>316</v>
      </c>
    </row>
    <row r="14811">
      <c r="A14811" s="17"/>
      <c r="H14811" s="18"/>
      <c r="K14811" s="18" t="s">
        <v>316</v>
      </c>
    </row>
    <row r="14812">
      <c r="A14812" s="17"/>
      <c r="H14812" s="18"/>
      <c r="K14812" s="18" t="s">
        <v>316</v>
      </c>
    </row>
    <row r="14813">
      <c r="A14813" s="17"/>
      <c r="H14813" s="18"/>
      <c r="K14813" s="18" t="s">
        <v>316</v>
      </c>
    </row>
    <row r="14814">
      <c r="A14814" s="17"/>
      <c r="H14814" s="18"/>
      <c r="K14814" s="18" t="s">
        <v>316</v>
      </c>
    </row>
    <row r="14815">
      <c r="A14815" s="17"/>
      <c r="H14815" s="18"/>
      <c r="K14815" s="18" t="s">
        <v>316</v>
      </c>
    </row>
    <row r="14816">
      <c r="A14816" s="17"/>
      <c r="H14816" s="18"/>
      <c r="K14816" s="18" t="s">
        <v>316</v>
      </c>
    </row>
    <row r="14817">
      <c r="A14817" s="17"/>
      <c r="H14817" s="18"/>
      <c r="K14817" s="18" t="s">
        <v>316</v>
      </c>
    </row>
    <row r="14818">
      <c r="A14818" s="17"/>
      <c r="H14818" s="18"/>
      <c r="K14818" s="18" t="s">
        <v>316</v>
      </c>
    </row>
    <row r="14819">
      <c r="A14819" s="17"/>
      <c r="H14819" s="18"/>
      <c r="K14819" s="18" t="s">
        <v>316</v>
      </c>
    </row>
    <row r="14820">
      <c r="A14820" s="17"/>
      <c r="H14820" s="18"/>
      <c r="K14820" s="18" t="s">
        <v>316</v>
      </c>
    </row>
    <row r="14821">
      <c r="A14821" s="17"/>
      <c r="H14821" s="18"/>
      <c r="K14821" s="18" t="s">
        <v>316</v>
      </c>
    </row>
    <row r="14822">
      <c r="A14822" s="17"/>
      <c r="H14822" s="18"/>
      <c r="K14822" s="18" t="s">
        <v>316</v>
      </c>
    </row>
    <row r="14823">
      <c r="A14823" s="17"/>
      <c r="H14823" s="18"/>
      <c r="K14823" s="18" t="s">
        <v>316</v>
      </c>
    </row>
    <row r="14824">
      <c r="A14824" s="17"/>
      <c r="H14824" s="18"/>
      <c r="K14824" s="18" t="s">
        <v>316</v>
      </c>
    </row>
    <row r="14825">
      <c r="A14825" s="17"/>
      <c r="H14825" s="18"/>
      <c r="K14825" s="18" t="s">
        <v>316</v>
      </c>
    </row>
    <row r="14826">
      <c r="A14826" s="17"/>
      <c r="H14826" s="18"/>
      <c r="K14826" s="18" t="s">
        <v>316</v>
      </c>
    </row>
    <row r="14827">
      <c r="A14827" s="17"/>
      <c r="H14827" s="18"/>
      <c r="K14827" s="18" t="s">
        <v>316</v>
      </c>
    </row>
    <row r="14828">
      <c r="A14828" s="17"/>
      <c r="H14828" s="18"/>
      <c r="K14828" s="18" t="s">
        <v>316</v>
      </c>
    </row>
    <row r="14829">
      <c r="A14829" s="17"/>
      <c r="H14829" s="18"/>
      <c r="K14829" s="18" t="s">
        <v>316</v>
      </c>
    </row>
    <row r="14830">
      <c r="A14830" s="17"/>
      <c r="H14830" s="18"/>
      <c r="K14830" s="18" t="s">
        <v>316</v>
      </c>
    </row>
    <row r="14831">
      <c r="A14831" s="17"/>
      <c r="H14831" s="18"/>
      <c r="K14831" s="18" t="s">
        <v>316</v>
      </c>
    </row>
    <row r="14832">
      <c r="A14832" s="17"/>
      <c r="H14832" s="18"/>
      <c r="K14832" s="18" t="s">
        <v>316</v>
      </c>
    </row>
    <row r="14833">
      <c r="A14833" s="17"/>
      <c r="H14833" s="18"/>
      <c r="K14833" s="18" t="s">
        <v>316</v>
      </c>
    </row>
    <row r="14834">
      <c r="A14834" s="17"/>
      <c r="H14834" s="18"/>
      <c r="K14834" s="18" t="s">
        <v>316</v>
      </c>
    </row>
    <row r="14835">
      <c r="A14835" s="17"/>
      <c r="H14835" s="18"/>
      <c r="K14835" s="18" t="s">
        <v>316</v>
      </c>
    </row>
    <row r="14836">
      <c r="A14836" s="17"/>
      <c r="H14836" s="18"/>
      <c r="K14836" s="18" t="s">
        <v>316</v>
      </c>
    </row>
    <row r="14837">
      <c r="A14837" s="17"/>
      <c r="H14837" s="18"/>
      <c r="K14837" s="18" t="s">
        <v>316</v>
      </c>
    </row>
    <row r="14838">
      <c r="A14838" s="17"/>
      <c r="H14838" s="18"/>
      <c r="K14838" s="18" t="s">
        <v>316</v>
      </c>
    </row>
    <row r="14839">
      <c r="A14839" s="17"/>
      <c r="H14839" s="18"/>
      <c r="K14839" s="18" t="s">
        <v>316</v>
      </c>
    </row>
    <row r="14840">
      <c r="A14840" s="17"/>
      <c r="H14840" s="18"/>
      <c r="K14840" s="18" t="s">
        <v>316</v>
      </c>
    </row>
    <row r="14841">
      <c r="A14841" s="17"/>
      <c r="H14841" s="18"/>
      <c r="K14841" s="18" t="s">
        <v>316</v>
      </c>
    </row>
    <row r="14842">
      <c r="A14842" s="17"/>
      <c r="H14842" s="18"/>
      <c r="K14842" s="18" t="s">
        <v>316</v>
      </c>
    </row>
    <row r="14843">
      <c r="A14843" s="17"/>
      <c r="H14843" s="18"/>
      <c r="K14843" s="18" t="s">
        <v>316</v>
      </c>
    </row>
    <row r="14844">
      <c r="A14844" s="17"/>
      <c r="H14844" s="18"/>
      <c r="K14844" s="18" t="s">
        <v>316</v>
      </c>
    </row>
    <row r="14845">
      <c r="A14845" s="17"/>
      <c r="H14845" s="18"/>
      <c r="K14845" s="18" t="s">
        <v>316</v>
      </c>
    </row>
    <row r="14846">
      <c r="A14846" s="17"/>
      <c r="H14846" s="18"/>
      <c r="K14846" s="18" t="s">
        <v>316</v>
      </c>
    </row>
    <row r="14847">
      <c r="A14847" s="17"/>
      <c r="H14847" s="18"/>
      <c r="K14847" s="18" t="s">
        <v>316</v>
      </c>
    </row>
    <row r="14848">
      <c r="A14848" s="17"/>
      <c r="H14848" s="18"/>
      <c r="K14848" s="18" t="s">
        <v>316</v>
      </c>
    </row>
    <row r="14849">
      <c r="A14849" s="17"/>
      <c r="H14849" s="18"/>
      <c r="K14849" s="18" t="s">
        <v>316</v>
      </c>
    </row>
    <row r="14850">
      <c r="A14850" s="17"/>
      <c r="H14850" s="18"/>
      <c r="K14850" s="18" t="s">
        <v>316</v>
      </c>
    </row>
    <row r="14851">
      <c r="A14851" s="17"/>
      <c r="H14851" s="18"/>
      <c r="K14851" s="18" t="s">
        <v>316</v>
      </c>
    </row>
    <row r="14852">
      <c r="A14852" s="17"/>
      <c r="H14852" s="18"/>
      <c r="K14852" s="18" t="s">
        <v>316</v>
      </c>
    </row>
    <row r="14853">
      <c r="A14853" s="17"/>
      <c r="H14853" s="18"/>
      <c r="K14853" s="18" t="s">
        <v>316</v>
      </c>
    </row>
    <row r="14854">
      <c r="A14854" s="17"/>
      <c r="H14854" s="18"/>
      <c r="K14854" s="18" t="s">
        <v>316</v>
      </c>
    </row>
    <row r="14855">
      <c r="A14855" s="17"/>
      <c r="H14855" s="18"/>
      <c r="K14855" s="18" t="s">
        <v>316</v>
      </c>
    </row>
    <row r="14856">
      <c r="A14856" s="17"/>
      <c r="H14856" s="18"/>
      <c r="K14856" s="18" t="s">
        <v>316</v>
      </c>
    </row>
    <row r="14857">
      <c r="A14857" s="17"/>
      <c r="H14857" s="18"/>
      <c r="K14857" s="18" t="s">
        <v>316</v>
      </c>
    </row>
    <row r="14858">
      <c r="A14858" s="17"/>
      <c r="H14858" s="18"/>
      <c r="K14858" s="18" t="s">
        <v>316</v>
      </c>
    </row>
    <row r="14859">
      <c r="A14859" s="17"/>
      <c r="H14859" s="18"/>
      <c r="K14859" s="18" t="s">
        <v>316</v>
      </c>
    </row>
    <row r="14860">
      <c r="A14860" s="17"/>
      <c r="H14860" s="18"/>
      <c r="K14860" s="18" t="s">
        <v>316</v>
      </c>
    </row>
    <row r="14861">
      <c r="A14861" s="17"/>
      <c r="H14861" s="18"/>
      <c r="K14861" s="18" t="s">
        <v>316</v>
      </c>
    </row>
    <row r="14862">
      <c r="A14862" s="17"/>
      <c r="H14862" s="18"/>
      <c r="K14862" s="18" t="s">
        <v>316</v>
      </c>
    </row>
    <row r="14863">
      <c r="A14863" s="17"/>
      <c r="H14863" s="18"/>
      <c r="K14863" s="18" t="s">
        <v>316</v>
      </c>
    </row>
    <row r="14864">
      <c r="A14864" s="17"/>
      <c r="H14864" s="18"/>
      <c r="K14864" s="18" t="s">
        <v>316</v>
      </c>
    </row>
    <row r="14865">
      <c r="A14865" s="17"/>
      <c r="H14865" s="18"/>
      <c r="K14865" s="18" t="s">
        <v>316</v>
      </c>
    </row>
    <row r="14866">
      <c r="A14866" s="17"/>
      <c r="H14866" s="18"/>
      <c r="K14866" s="18" t="s">
        <v>316</v>
      </c>
    </row>
    <row r="14867">
      <c r="A14867" s="17"/>
      <c r="H14867" s="18"/>
      <c r="K14867" s="18" t="s">
        <v>316</v>
      </c>
    </row>
    <row r="14868">
      <c r="A14868" s="17"/>
      <c r="H14868" s="18"/>
      <c r="K14868" s="18" t="s">
        <v>316</v>
      </c>
    </row>
    <row r="14869">
      <c r="A14869" s="17"/>
      <c r="H14869" s="18"/>
      <c r="K14869" s="18" t="s">
        <v>316</v>
      </c>
    </row>
    <row r="14870">
      <c r="A14870" s="17"/>
      <c r="H14870" s="18"/>
      <c r="K14870" s="18" t="s">
        <v>316</v>
      </c>
    </row>
    <row r="14871">
      <c r="A14871" s="17"/>
      <c r="H14871" s="18"/>
      <c r="K14871" s="18" t="s">
        <v>316</v>
      </c>
    </row>
    <row r="14872">
      <c r="A14872" s="17"/>
      <c r="H14872" s="18"/>
      <c r="K14872" s="18" t="s">
        <v>316</v>
      </c>
    </row>
    <row r="14873">
      <c r="A14873" s="17"/>
      <c r="H14873" s="18"/>
      <c r="K14873" s="18" t="s">
        <v>316</v>
      </c>
    </row>
    <row r="14874">
      <c r="A14874" s="17"/>
      <c r="H14874" s="18"/>
      <c r="K14874" s="18" t="s">
        <v>316</v>
      </c>
    </row>
    <row r="14875">
      <c r="A14875" s="17"/>
      <c r="H14875" s="18"/>
      <c r="K14875" s="18" t="s">
        <v>316</v>
      </c>
    </row>
    <row r="14876">
      <c r="A14876" s="17"/>
      <c r="H14876" s="18"/>
      <c r="K14876" s="18" t="s">
        <v>316</v>
      </c>
    </row>
    <row r="14877">
      <c r="A14877" s="17"/>
      <c r="H14877" s="18"/>
      <c r="K14877" s="18" t="s">
        <v>316</v>
      </c>
    </row>
    <row r="14878">
      <c r="A14878" s="17"/>
      <c r="H14878" s="18"/>
      <c r="K14878" s="18" t="s">
        <v>316</v>
      </c>
    </row>
    <row r="14879">
      <c r="A14879" s="17"/>
      <c r="H14879" s="18"/>
      <c r="K14879" s="18" t="s">
        <v>316</v>
      </c>
    </row>
    <row r="14880">
      <c r="A14880" s="17"/>
      <c r="H14880" s="18"/>
      <c r="K14880" s="18" t="s">
        <v>316</v>
      </c>
    </row>
    <row r="14881">
      <c r="A14881" s="17"/>
      <c r="H14881" s="18"/>
      <c r="K14881" s="18" t="s">
        <v>316</v>
      </c>
    </row>
    <row r="14882">
      <c r="A14882" s="17"/>
      <c r="H14882" s="18"/>
      <c r="K14882" s="18" t="s">
        <v>316</v>
      </c>
    </row>
    <row r="14883">
      <c r="A14883" s="17"/>
      <c r="H14883" s="18"/>
      <c r="K14883" s="18" t="s">
        <v>316</v>
      </c>
    </row>
    <row r="14884">
      <c r="A14884" s="17"/>
      <c r="H14884" s="18"/>
      <c r="K14884" s="18" t="s">
        <v>316</v>
      </c>
    </row>
    <row r="14885">
      <c r="A14885" s="17"/>
      <c r="H14885" s="18"/>
      <c r="K14885" s="18" t="s">
        <v>316</v>
      </c>
    </row>
    <row r="14886">
      <c r="A14886" s="17"/>
      <c r="H14886" s="18"/>
      <c r="K14886" s="18" t="s">
        <v>316</v>
      </c>
    </row>
    <row r="14887">
      <c r="A14887" s="17"/>
      <c r="H14887" s="18"/>
      <c r="K14887" s="18" t="s">
        <v>316</v>
      </c>
    </row>
    <row r="14888">
      <c r="A14888" s="17"/>
      <c r="H14888" s="18"/>
      <c r="K14888" s="18" t="s">
        <v>316</v>
      </c>
    </row>
    <row r="14889">
      <c r="A14889" s="17"/>
      <c r="H14889" s="18"/>
      <c r="K14889" s="18" t="s">
        <v>316</v>
      </c>
    </row>
    <row r="14890">
      <c r="A14890" s="17"/>
      <c r="H14890" s="18"/>
      <c r="K14890" s="18" t="s">
        <v>316</v>
      </c>
    </row>
    <row r="14891">
      <c r="A14891" s="17"/>
      <c r="H14891" s="18"/>
      <c r="K14891" s="18" t="s">
        <v>316</v>
      </c>
    </row>
    <row r="14892">
      <c r="A14892" s="17"/>
      <c r="H14892" s="18"/>
      <c r="K14892" s="18" t="s">
        <v>316</v>
      </c>
    </row>
    <row r="14893">
      <c r="A14893" s="17"/>
      <c r="H14893" s="18"/>
      <c r="K14893" s="18" t="s">
        <v>316</v>
      </c>
    </row>
    <row r="14894">
      <c r="A14894" s="17"/>
      <c r="H14894" s="18"/>
      <c r="K14894" s="18" t="s">
        <v>316</v>
      </c>
    </row>
    <row r="14895">
      <c r="A14895" s="17"/>
      <c r="H14895" s="18"/>
      <c r="K14895" s="18" t="s">
        <v>316</v>
      </c>
    </row>
    <row r="14896">
      <c r="A14896" s="17"/>
      <c r="H14896" s="18"/>
      <c r="K14896" s="18" t="s">
        <v>316</v>
      </c>
    </row>
    <row r="14897">
      <c r="A14897" s="17"/>
      <c r="H14897" s="18"/>
      <c r="K14897" s="18" t="s">
        <v>316</v>
      </c>
    </row>
    <row r="14898">
      <c r="A14898" s="17"/>
      <c r="H14898" s="18"/>
      <c r="K14898" s="18" t="s">
        <v>316</v>
      </c>
    </row>
    <row r="14899">
      <c r="A14899" s="17"/>
      <c r="H14899" s="18"/>
      <c r="K14899" s="18" t="s">
        <v>316</v>
      </c>
    </row>
    <row r="14900">
      <c r="A14900" s="17"/>
      <c r="H14900" s="18"/>
      <c r="K14900" s="18" t="s">
        <v>316</v>
      </c>
    </row>
    <row r="14901">
      <c r="A14901" s="17"/>
      <c r="H14901" s="18"/>
      <c r="K14901" s="18" t="s">
        <v>316</v>
      </c>
    </row>
    <row r="14902">
      <c r="A14902" s="17"/>
      <c r="H14902" s="18"/>
      <c r="K14902" s="18" t="s">
        <v>316</v>
      </c>
    </row>
    <row r="14903">
      <c r="A14903" s="17"/>
      <c r="H14903" s="18"/>
      <c r="K14903" s="18" t="s">
        <v>316</v>
      </c>
    </row>
    <row r="14904">
      <c r="A14904" s="17"/>
      <c r="H14904" s="18"/>
      <c r="K14904" s="18" t="s">
        <v>316</v>
      </c>
    </row>
    <row r="14905">
      <c r="A14905" s="17"/>
      <c r="H14905" s="18"/>
      <c r="K14905" s="18" t="s">
        <v>316</v>
      </c>
    </row>
    <row r="14906">
      <c r="A14906" s="17"/>
      <c r="H14906" s="18"/>
      <c r="K14906" s="18" t="s">
        <v>316</v>
      </c>
    </row>
    <row r="14907">
      <c r="A14907" s="17"/>
      <c r="H14907" s="18"/>
      <c r="K14907" s="18" t="s">
        <v>316</v>
      </c>
    </row>
    <row r="14908">
      <c r="A14908" s="17"/>
      <c r="H14908" s="18"/>
      <c r="K14908" s="18" t="s">
        <v>316</v>
      </c>
    </row>
    <row r="14909">
      <c r="A14909" s="17"/>
      <c r="H14909" s="18"/>
      <c r="K14909" s="18" t="s">
        <v>316</v>
      </c>
    </row>
    <row r="14910">
      <c r="A14910" s="17"/>
      <c r="H14910" s="18"/>
      <c r="K14910" s="18" t="s">
        <v>316</v>
      </c>
    </row>
    <row r="14911">
      <c r="A14911" s="17"/>
      <c r="H14911" s="18"/>
      <c r="K14911" s="18" t="s">
        <v>316</v>
      </c>
    </row>
    <row r="14912">
      <c r="A14912" s="17"/>
      <c r="H14912" s="18"/>
      <c r="K14912" s="18" t="s">
        <v>316</v>
      </c>
    </row>
    <row r="14913">
      <c r="A14913" s="17"/>
      <c r="H14913" s="18"/>
      <c r="K14913" s="18" t="s">
        <v>316</v>
      </c>
    </row>
    <row r="14914">
      <c r="A14914" s="17"/>
      <c r="H14914" s="18"/>
      <c r="K14914" s="18" t="s">
        <v>316</v>
      </c>
    </row>
    <row r="14915">
      <c r="A14915" s="17"/>
      <c r="H14915" s="18"/>
      <c r="K14915" s="18" t="s">
        <v>316</v>
      </c>
    </row>
    <row r="14916">
      <c r="A14916" s="17"/>
      <c r="H14916" s="18"/>
      <c r="K14916" s="18" t="s">
        <v>316</v>
      </c>
    </row>
    <row r="14917">
      <c r="A14917" s="17"/>
      <c r="H14917" s="18"/>
      <c r="K14917" s="18" t="s">
        <v>316</v>
      </c>
    </row>
    <row r="14918">
      <c r="A14918" s="17"/>
      <c r="H14918" s="18"/>
      <c r="K14918" s="18" t="s">
        <v>316</v>
      </c>
    </row>
    <row r="14919">
      <c r="A14919" s="17"/>
      <c r="H14919" s="18"/>
      <c r="K14919" s="18" t="s">
        <v>316</v>
      </c>
    </row>
    <row r="14920">
      <c r="A14920" s="17"/>
      <c r="H14920" s="18"/>
      <c r="K14920" s="18" t="s">
        <v>316</v>
      </c>
    </row>
    <row r="14921">
      <c r="A14921" s="17"/>
      <c r="H14921" s="18"/>
      <c r="K14921" s="18" t="s">
        <v>316</v>
      </c>
    </row>
    <row r="14922">
      <c r="A14922" s="17"/>
      <c r="H14922" s="18"/>
      <c r="K14922" s="18" t="s">
        <v>316</v>
      </c>
    </row>
    <row r="14923">
      <c r="A14923" s="17"/>
      <c r="H14923" s="18"/>
      <c r="K14923" s="18" t="s">
        <v>316</v>
      </c>
    </row>
    <row r="14924">
      <c r="A14924" s="17"/>
      <c r="H14924" s="18"/>
      <c r="K14924" s="18" t="s">
        <v>316</v>
      </c>
    </row>
    <row r="14925">
      <c r="A14925" s="17"/>
      <c r="H14925" s="18"/>
      <c r="K14925" s="18" t="s">
        <v>316</v>
      </c>
    </row>
    <row r="14926">
      <c r="A14926" s="17"/>
      <c r="H14926" s="18"/>
      <c r="K14926" s="18" t="s">
        <v>316</v>
      </c>
    </row>
    <row r="14927">
      <c r="A14927" s="17"/>
      <c r="H14927" s="18"/>
      <c r="K14927" s="18" t="s">
        <v>316</v>
      </c>
    </row>
    <row r="14928">
      <c r="A14928" s="17"/>
      <c r="H14928" s="18"/>
      <c r="K14928" s="18" t="s">
        <v>316</v>
      </c>
    </row>
    <row r="14929">
      <c r="A14929" s="17"/>
      <c r="H14929" s="18"/>
      <c r="K14929" s="18" t="s">
        <v>316</v>
      </c>
    </row>
    <row r="14930">
      <c r="A14930" s="17"/>
      <c r="H14930" s="18"/>
      <c r="K14930" s="18" t="s">
        <v>316</v>
      </c>
    </row>
    <row r="14931">
      <c r="A14931" s="17"/>
      <c r="H14931" s="18"/>
      <c r="K14931" s="18" t="s">
        <v>316</v>
      </c>
    </row>
    <row r="14932">
      <c r="A14932" s="17"/>
      <c r="H14932" s="18"/>
      <c r="K14932" s="18" t="s">
        <v>316</v>
      </c>
    </row>
    <row r="14933">
      <c r="A14933" s="17"/>
      <c r="H14933" s="18"/>
      <c r="K14933" s="18" t="s">
        <v>316</v>
      </c>
    </row>
    <row r="14934">
      <c r="A14934" s="17"/>
      <c r="H14934" s="18"/>
      <c r="K14934" s="18" t="s">
        <v>316</v>
      </c>
    </row>
    <row r="14935">
      <c r="A14935" s="17"/>
      <c r="H14935" s="18"/>
      <c r="K14935" s="18" t="s">
        <v>316</v>
      </c>
    </row>
    <row r="14936">
      <c r="A14936" s="17"/>
      <c r="H14936" s="18"/>
      <c r="K14936" s="18" t="s">
        <v>316</v>
      </c>
    </row>
    <row r="14937">
      <c r="A14937" s="17"/>
      <c r="H14937" s="18"/>
      <c r="K14937" s="18" t="s">
        <v>316</v>
      </c>
    </row>
    <row r="14938">
      <c r="A14938" s="17"/>
      <c r="H14938" s="18"/>
      <c r="K14938" s="18" t="s">
        <v>316</v>
      </c>
    </row>
    <row r="14939">
      <c r="A14939" s="17"/>
      <c r="H14939" s="18"/>
      <c r="K14939" s="18" t="s">
        <v>316</v>
      </c>
    </row>
    <row r="14940">
      <c r="A14940" s="17"/>
      <c r="H14940" s="18"/>
      <c r="K14940" s="18" t="s">
        <v>316</v>
      </c>
    </row>
    <row r="14941">
      <c r="A14941" s="17"/>
      <c r="H14941" s="18"/>
      <c r="K14941" s="18" t="s">
        <v>316</v>
      </c>
    </row>
    <row r="14942">
      <c r="A14942" s="17"/>
      <c r="H14942" s="18"/>
      <c r="K14942" s="18" t="s">
        <v>316</v>
      </c>
    </row>
    <row r="14943">
      <c r="A14943" s="17"/>
      <c r="H14943" s="18"/>
      <c r="K14943" s="18" t="s">
        <v>316</v>
      </c>
    </row>
    <row r="14944">
      <c r="A14944" s="17"/>
      <c r="H14944" s="18"/>
      <c r="K14944" s="18" t="s">
        <v>316</v>
      </c>
    </row>
    <row r="14945">
      <c r="A14945" s="17"/>
      <c r="H14945" s="18"/>
      <c r="K14945" s="18" t="s">
        <v>316</v>
      </c>
    </row>
    <row r="14946">
      <c r="A14946" s="17"/>
      <c r="H14946" s="18"/>
      <c r="K14946" s="18" t="s">
        <v>316</v>
      </c>
    </row>
    <row r="14947">
      <c r="A14947" s="17"/>
      <c r="H14947" s="18"/>
      <c r="K14947" s="18" t="s">
        <v>316</v>
      </c>
    </row>
    <row r="14948">
      <c r="A14948" s="17"/>
      <c r="H14948" s="18"/>
      <c r="K14948" s="18" t="s">
        <v>316</v>
      </c>
    </row>
    <row r="14949">
      <c r="A14949" s="17"/>
      <c r="H14949" s="18"/>
      <c r="K14949" s="18" t="s">
        <v>316</v>
      </c>
    </row>
    <row r="14950">
      <c r="A14950" s="17"/>
      <c r="H14950" s="18"/>
      <c r="K14950" s="18" t="s">
        <v>316</v>
      </c>
    </row>
    <row r="14951">
      <c r="A14951" s="17"/>
      <c r="H14951" s="18"/>
      <c r="K14951" s="18" t="s">
        <v>316</v>
      </c>
    </row>
    <row r="14952">
      <c r="A14952" s="17"/>
      <c r="H14952" s="18"/>
      <c r="K14952" s="18" t="s">
        <v>316</v>
      </c>
    </row>
    <row r="14953">
      <c r="A14953" s="17"/>
      <c r="H14953" s="18"/>
      <c r="K14953" s="18" t="s">
        <v>316</v>
      </c>
    </row>
    <row r="14954">
      <c r="A14954" s="17"/>
      <c r="H14954" s="18"/>
      <c r="K14954" s="18" t="s">
        <v>316</v>
      </c>
    </row>
    <row r="14955">
      <c r="A14955" s="17"/>
      <c r="H14955" s="18"/>
      <c r="K14955" s="18" t="s">
        <v>316</v>
      </c>
    </row>
    <row r="14956">
      <c r="A14956" s="17"/>
      <c r="H14956" s="18"/>
      <c r="K14956" s="18" t="s">
        <v>316</v>
      </c>
    </row>
    <row r="14957">
      <c r="A14957" s="17"/>
      <c r="H14957" s="18"/>
      <c r="K14957" s="18" t="s">
        <v>316</v>
      </c>
    </row>
    <row r="14958">
      <c r="A14958" s="17"/>
      <c r="H14958" s="18"/>
      <c r="K14958" s="18" t="s">
        <v>316</v>
      </c>
    </row>
    <row r="14959">
      <c r="A14959" s="17"/>
      <c r="H14959" s="18"/>
      <c r="K14959" s="18" t="s">
        <v>316</v>
      </c>
    </row>
    <row r="14960">
      <c r="A14960" s="17"/>
      <c r="H14960" s="18"/>
      <c r="K14960" s="18" t="s">
        <v>316</v>
      </c>
    </row>
    <row r="14961">
      <c r="A14961" s="17"/>
      <c r="H14961" s="18"/>
      <c r="K14961" s="18" t="s">
        <v>316</v>
      </c>
    </row>
    <row r="14962">
      <c r="A14962" s="17"/>
      <c r="H14962" s="18"/>
      <c r="K14962" s="18" t="s">
        <v>316</v>
      </c>
    </row>
    <row r="14963">
      <c r="A14963" s="17"/>
      <c r="H14963" s="18"/>
      <c r="K14963" s="18" t="s">
        <v>316</v>
      </c>
    </row>
    <row r="14964">
      <c r="A14964" s="17"/>
      <c r="H14964" s="18"/>
      <c r="K14964" s="18" t="s">
        <v>316</v>
      </c>
    </row>
    <row r="14965">
      <c r="A14965" s="17"/>
      <c r="H14965" s="18"/>
      <c r="K14965" s="18" t="s">
        <v>316</v>
      </c>
    </row>
    <row r="14966">
      <c r="A14966" s="17"/>
      <c r="H14966" s="18"/>
      <c r="K14966" s="18" t="s">
        <v>316</v>
      </c>
    </row>
    <row r="14967">
      <c r="A14967" s="17"/>
      <c r="H14967" s="18"/>
      <c r="K14967" s="18" t="s">
        <v>316</v>
      </c>
    </row>
    <row r="14968">
      <c r="A14968" s="17"/>
      <c r="H14968" s="18"/>
      <c r="K14968" s="18" t="s">
        <v>316</v>
      </c>
    </row>
    <row r="14969">
      <c r="A14969" s="17"/>
      <c r="H14969" s="18"/>
      <c r="K14969" s="18" t="s">
        <v>316</v>
      </c>
    </row>
    <row r="14970">
      <c r="A14970" s="17"/>
      <c r="H14970" s="18"/>
      <c r="K14970" s="18" t="s">
        <v>316</v>
      </c>
    </row>
    <row r="14971">
      <c r="A14971" s="17"/>
      <c r="H14971" s="18"/>
      <c r="K14971" s="18" t="s">
        <v>316</v>
      </c>
    </row>
    <row r="14972">
      <c r="A14972" s="17"/>
      <c r="H14972" s="18"/>
      <c r="K14972" s="18" t="s">
        <v>316</v>
      </c>
    </row>
    <row r="14973">
      <c r="A14973" s="17"/>
      <c r="H14973" s="18"/>
      <c r="K14973" s="18" t="s">
        <v>316</v>
      </c>
    </row>
    <row r="14974">
      <c r="A14974" s="17"/>
      <c r="H14974" s="18"/>
      <c r="K14974" s="18" t="s">
        <v>316</v>
      </c>
    </row>
    <row r="14975">
      <c r="A14975" s="17"/>
      <c r="H14975" s="18"/>
      <c r="K14975" s="18" t="s">
        <v>316</v>
      </c>
    </row>
    <row r="14976">
      <c r="A14976" s="17"/>
      <c r="H14976" s="18"/>
      <c r="K14976" s="18" t="s">
        <v>316</v>
      </c>
    </row>
    <row r="14977">
      <c r="A14977" s="17"/>
      <c r="H14977" s="18"/>
      <c r="K14977" s="18" t="s">
        <v>316</v>
      </c>
    </row>
    <row r="14978">
      <c r="A14978" s="17"/>
      <c r="H14978" s="18"/>
      <c r="K14978" s="18" t="s">
        <v>316</v>
      </c>
    </row>
    <row r="14979">
      <c r="A14979" s="17"/>
      <c r="H14979" s="18"/>
      <c r="K14979" s="18" t="s">
        <v>316</v>
      </c>
    </row>
    <row r="14980">
      <c r="A14980" s="17"/>
      <c r="H14980" s="18"/>
      <c r="K14980" s="18" t="s">
        <v>316</v>
      </c>
    </row>
    <row r="14981">
      <c r="A14981" s="17"/>
      <c r="H14981" s="18"/>
      <c r="K14981" s="18" t="s">
        <v>316</v>
      </c>
    </row>
    <row r="14982">
      <c r="A14982" s="17"/>
      <c r="H14982" s="18"/>
      <c r="K14982" s="18" t="s">
        <v>316</v>
      </c>
    </row>
    <row r="14983">
      <c r="A14983" s="17"/>
      <c r="H14983" s="18"/>
      <c r="K14983" s="18" t="s">
        <v>316</v>
      </c>
    </row>
    <row r="14984">
      <c r="A14984" s="17"/>
      <c r="H14984" s="18"/>
      <c r="K14984" s="18" t="s">
        <v>316</v>
      </c>
    </row>
    <row r="14985">
      <c r="A14985" s="17"/>
      <c r="H14985" s="18"/>
      <c r="K14985" s="18" t="s">
        <v>316</v>
      </c>
    </row>
    <row r="14986">
      <c r="A14986" s="17"/>
      <c r="H14986" s="18"/>
      <c r="K14986" s="18" t="s">
        <v>316</v>
      </c>
    </row>
    <row r="14987">
      <c r="A14987" s="17"/>
      <c r="H14987" s="18"/>
      <c r="K14987" s="18" t="s">
        <v>316</v>
      </c>
    </row>
    <row r="14988">
      <c r="A14988" s="17"/>
      <c r="H14988" s="18"/>
      <c r="K14988" s="18" t="s">
        <v>316</v>
      </c>
    </row>
    <row r="14989">
      <c r="A14989" s="17"/>
      <c r="H14989" s="18"/>
      <c r="K14989" s="18" t="s">
        <v>316</v>
      </c>
    </row>
    <row r="14990">
      <c r="A14990" s="17"/>
      <c r="H14990" s="18"/>
      <c r="K14990" s="18" t="s">
        <v>316</v>
      </c>
    </row>
    <row r="14991">
      <c r="A14991" s="17"/>
      <c r="H14991" s="18"/>
      <c r="K14991" s="18" t="s">
        <v>316</v>
      </c>
    </row>
    <row r="14992">
      <c r="A14992" s="17"/>
      <c r="H14992" s="18"/>
      <c r="K14992" s="18" t="s">
        <v>316</v>
      </c>
    </row>
    <row r="14993">
      <c r="A14993" s="17"/>
      <c r="H14993" s="18"/>
      <c r="K14993" s="18" t="s">
        <v>316</v>
      </c>
    </row>
    <row r="14994">
      <c r="A14994" s="17"/>
      <c r="H14994" s="18"/>
      <c r="K14994" s="18" t="s">
        <v>316</v>
      </c>
    </row>
    <row r="14995">
      <c r="A14995" s="17"/>
      <c r="H14995" s="18"/>
      <c r="K14995" s="18" t="s">
        <v>316</v>
      </c>
    </row>
    <row r="14996">
      <c r="A14996" s="17"/>
      <c r="H14996" s="18"/>
      <c r="K14996" s="18" t="s">
        <v>316</v>
      </c>
    </row>
    <row r="14997">
      <c r="A14997" s="17"/>
      <c r="H14997" s="18"/>
      <c r="K14997" s="18" t="s">
        <v>316</v>
      </c>
    </row>
    <row r="14998">
      <c r="A14998" s="17"/>
      <c r="H14998" s="18"/>
      <c r="K14998" s="18" t="s">
        <v>316</v>
      </c>
    </row>
    <row r="14999">
      <c r="A14999" s="17"/>
      <c r="H14999" s="18"/>
      <c r="K14999" s="18" t="s">
        <v>316</v>
      </c>
    </row>
    <row r="15000">
      <c r="A15000" s="17"/>
      <c r="H15000" s="18"/>
      <c r="K15000" s="18" t="s">
        <v>316</v>
      </c>
    </row>
    <row r="15001">
      <c r="A15001" s="17"/>
      <c r="H15001" s="18"/>
      <c r="K15001" s="18" t="s">
        <v>316</v>
      </c>
    </row>
    <row r="15002">
      <c r="A15002" s="17"/>
      <c r="H15002" s="18"/>
      <c r="K15002" s="18" t="s">
        <v>316</v>
      </c>
    </row>
    <row r="15003">
      <c r="A15003" s="17"/>
      <c r="H15003" s="18"/>
      <c r="K15003" s="18" t="s">
        <v>316</v>
      </c>
    </row>
    <row r="15004">
      <c r="A15004" s="17"/>
      <c r="H15004" s="18"/>
      <c r="K15004" s="18" t="s">
        <v>316</v>
      </c>
    </row>
    <row r="15005">
      <c r="A15005" s="17"/>
      <c r="H15005" s="18"/>
      <c r="K15005" s="18" t="s">
        <v>316</v>
      </c>
    </row>
    <row r="15006">
      <c r="A15006" s="17"/>
      <c r="H15006" s="18"/>
      <c r="K15006" s="18" t="s">
        <v>316</v>
      </c>
    </row>
    <row r="15007">
      <c r="A15007" s="17"/>
      <c r="H15007" s="18"/>
      <c r="K15007" s="18" t="s">
        <v>316</v>
      </c>
    </row>
    <row r="15008">
      <c r="A15008" s="17"/>
      <c r="H15008" s="18"/>
      <c r="K15008" s="18" t="s">
        <v>316</v>
      </c>
    </row>
    <row r="15009">
      <c r="A15009" s="17"/>
      <c r="H15009" s="18"/>
      <c r="K15009" s="18" t="s">
        <v>316</v>
      </c>
    </row>
    <row r="15010">
      <c r="A15010" s="17"/>
      <c r="H15010" s="18"/>
      <c r="K15010" s="18" t="s">
        <v>316</v>
      </c>
    </row>
    <row r="15011">
      <c r="A15011" s="17"/>
      <c r="H15011" s="18"/>
      <c r="K15011" s="18" t="s">
        <v>316</v>
      </c>
    </row>
    <row r="15012">
      <c r="A15012" s="17"/>
      <c r="H15012" s="18"/>
      <c r="K15012" s="18" t="s">
        <v>316</v>
      </c>
    </row>
    <row r="15013">
      <c r="A15013" s="17"/>
      <c r="H15013" s="18"/>
      <c r="K15013" s="18" t="s">
        <v>316</v>
      </c>
    </row>
    <row r="15014">
      <c r="A15014" s="17"/>
      <c r="H15014" s="18"/>
      <c r="K15014" s="18" t="s">
        <v>316</v>
      </c>
    </row>
    <row r="15015">
      <c r="A15015" s="17"/>
      <c r="H15015" s="18"/>
      <c r="K15015" s="18" t="s">
        <v>316</v>
      </c>
    </row>
    <row r="15016">
      <c r="A15016" s="17"/>
      <c r="H15016" s="18"/>
      <c r="K15016" s="18" t="s">
        <v>316</v>
      </c>
    </row>
    <row r="15017">
      <c r="A15017" s="17"/>
      <c r="H15017" s="18"/>
      <c r="K15017" s="18" t="s">
        <v>316</v>
      </c>
    </row>
    <row r="15018">
      <c r="A15018" s="17"/>
      <c r="H15018" s="18"/>
      <c r="K15018" s="18" t="s">
        <v>316</v>
      </c>
    </row>
    <row r="15019">
      <c r="A15019" s="17"/>
      <c r="H15019" s="18"/>
      <c r="K15019" s="18" t="s">
        <v>316</v>
      </c>
    </row>
    <row r="15020">
      <c r="A15020" s="17"/>
      <c r="H15020" s="18"/>
      <c r="K15020" s="18" t="s">
        <v>316</v>
      </c>
    </row>
    <row r="15021">
      <c r="A15021" s="17"/>
      <c r="H15021" s="18"/>
      <c r="K15021" s="18" t="s">
        <v>316</v>
      </c>
    </row>
    <row r="15022">
      <c r="A15022" s="17"/>
      <c r="H15022" s="18"/>
      <c r="K15022" s="18" t="s">
        <v>316</v>
      </c>
    </row>
    <row r="15023">
      <c r="A15023" s="17"/>
      <c r="H15023" s="18"/>
      <c r="K15023" s="18" t="s">
        <v>316</v>
      </c>
    </row>
    <row r="15024">
      <c r="A15024" s="17"/>
      <c r="H15024" s="18"/>
      <c r="K15024" s="18" t="s">
        <v>316</v>
      </c>
    </row>
    <row r="15025">
      <c r="A15025" s="17"/>
      <c r="H15025" s="18"/>
      <c r="K15025" s="18" t="s">
        <v>316</v>
      </c>
    </row>
    <row r="15026">
      <c r="A15026" s="17"/>
      <c r="H15026" s="18"/>
      <c r="K15026" s="18" t="s">
        <v>316</v>
      </c>
    </row>
    <row r="15027">
      <c r="A15027" s="17"/>
      <c r="H15027" s="18"/>
      <c r="K15027" s="18" t="s">
        <v>316</v>
      </c>
    </row>
    <row r="15028">
      <c r="A15028" s="17"/>
      <c r="H15028" s="18"/>
      <c r="K15028" s="18" t="s">
        <v>316</v>
      </c>
    </row>
    <row r="15029">
      <c r="A15029" s="17"/>
      <c r="H15029" s="18"/>
      <c r="K15029" s="18" t="s">
        <v>316</v>
      </c>
    </row>
    <row r="15030">
      <c r="A15030" s="17"/>
      <c r="H15030" s="18"/>
      <c r="K15030" s="18" t="s">
        <v>316</v>
      </c>
    </row>
    <row r="15031">
      <c r="A15031" s="17"/>
      <c r="H15031" s="18"/>
      <c r="K15031" s="18" t="s">
        <v>316</v>
      </c>
    </row>
    <row r="15032">
      <c r="A15032" s="17"/>
      <c r="H15032" s="18"/>
      <c r="K15032" s="18" t="s">
        <v>316</v>
      </c>
    </row>
    <row r="15033">
      <c r="A15033" s="17"/>
      <c r="H15033" s="18"/>
      <c r="K15033" s="18" t="s">
        <v>316</v>
      </c>
    </row>
    <row r="15034">
      <c r="A15034" s="17"/>
      <c r="H15034" s="18"/>
      <c r="K15034" s="18" t="s">
        <v>316</v>
      </c>
    </row>
    <row r="15035">
      <c r="A15035" s="17"/>
      <c r="H15035" s="18"/>
      <c r="K15035" s="18" t="s">
        <v>316</v>
      </c>
    </row>
    <row r="15036">
      <c r="A15036" s="17"/>
      <c r="H15036" s="18"/>
      <c r="K15036" s="18" t="s">
        <v>316</v>
      </c>
    </row>
    <row r="15037">
      <c r="A15037" s="17"/>
      <c r="H15037" s="18"/>
      <c r="K15037" s="18" t="s">
        <v>316</v>
      </c>
    </row>
    <row r="15038">
      <c r="A15038" s="17"/>
      <c r="H15038" s="18"/>
      <c r="K15038" s="18" t="s">
        <v>316</v>
      </c>
    </row>
    <row r="15039">
      <c r="A15039" s="17"/>
      <c r="H15039" s="18"/>
      <c r="K15039" s="18" t="s">
        <v>316</v>
      </c>
    </row>
    <row r="15040">
      <c r="A15040" s="17"/>
      <c r="H15040" s="18"/>
      <c r="K15040" s="18" t="s">
        <v>316</v>
      </c>
    </row>
    <row r="15041">
      <c r="A15041" s="17"/>
      <c r="H15041" s="18"/>
      <c r="K15041" s="18" t="s">
        <v>316</v>
      </c>
    </row>
    <row r="15042">
      <c r="A15042" s="17"/>
      <c r="H15042" s="18"/>
      <c r="K15042" s="18" t="s">
        <v>316</v>
      </c>
    </row>
    <row r="15043">
      <c r="A15043" s="17"/>
      <c r="H15043" s="18"/>
      <c r="K15043" s="18" t="s">
        <v>316</v>
      </c>
    </row>
    <row r="15044">
      <c r="A15044" s="17"/>
      <c r="H15044" s="18"/>
      <c r="K15044" s="18" t="s">
        <v>316</v>
      </c>
    </row>
    <row r="15045">
      <c r="A15045" s="17"/>
      <c r="H15045" s="18"/>
      <c r="K15045" s="18" t="s">
        <v>316</v>
      </c>
    </row>
    <row r="15046">
      <c r="A15046" s="17"/>
      <c r="H15046" s="18"/>
      <c r="K15046" s="18" t="s">
        <v>316</v>
      </c>
    </row>
    <row r="15047">
      <c r="A15047" s="17"/>
      <c r="H15047" s="18"/>
      <c r="K15047" s="18" t="s">
        <v>316</v>
      </c>
    </row>
    <row r="15048">
      <c r="A15048" s="17"/>
      <c r="H15048" s="18"/>
      <c r="K15048" s="18" t="s">
        <v>316</v>
      </c>
    </row>
    <row r="15049">
      <c r="A15049" s="17"/>
      <c r="H15049" s="18"/>
      <c r="K15049" s="18" t="s">
        <v>316</v>
      </c>
    </row>
    <row r="15050">
      <c r="A15050" s="17"/>
      <c r="H15050" s="18"/>
      <c r="K15050" s="18" t="s">
        <v>316</v>
      </c>
    </row>
    <row r="15051">
      <c r="A15051" s="17"/>
      <c r="H15051" s="18"/>
      <c r="K15051" s="18" t="s">
        <v>316</v>
      </c>
    </row>
    <row r="15052">
      <c r="A15052" s="17"/>
      <c r="H15052" s="18"/>
      <c r="K15052" s="18" t="s">
        <v>316</v>
      </c>
    </row>
    <row r="15053">
      <c r="A15053" s="17"/>
      <c r="H15053" s="18"/>
      <c r="K15053" s="18" t="s">
        <v>316</v>
      </c>
    </row>
    <row r="15054">
      <c r="A15054" s="17"/>
      <c r="H15054" s="18"/>
      <c r="K15054" s="18" t="s">
        <v>316</v>
      </c>
    </row>
    <row r="15055">
      <c r="A15055" s="17"/>
      <c r="H15055" s="18"/>
      <c r="K15055" s="18" t="s">
        <v>316</v>
      </c>
    </row>
    <row r="15056">
      <c r="A15056" s="17"/>
      <c r="H15056" s="18"/>
      <c r="K15056" s="18" t="s">
        <v>316</v>
      </c>
    </row>
    <row r="15057">
      <c r="A15057" s="17"/>
      <c r="H15057" s="18"/>
      <c r="K15057" s="18" t="s">
        <v>316</v>
      </c>
    </row>
    <row r="15058">
      <c r="A15058" s="17"/>
      <c r="H15058" s="18"/>
      <c r="K15058" s="18" t="s">
        <v>316</v>
      </c>
    </row>
    <row r="15059">
      <c r="A15059" s="17"/>
      <c r="H15059" s="18"/>
      <c r="K15059" s="18" t="s">
        <v>316</v>
      </c>
    </row>
    <row r="15060">
      <c r="A15060" s="17"/>
      <c r="H15060" s="18"/>
      <c r="K15060" s="18" t="s">
        <v>316</v>
      </c>
    </row>
    <row r="15061">
      <c r="A15061" s="17"/>
      <c r="H15061" s="18"/>
      <c r="K15061" s="18" t="s">
        <v>316</v>
      </c>
    </row>
    <row r="15062">
      <c r="A15062" s="17"/>
      <c r="H15062" s="18"/>
      <c r="K15062" s="18" t="s">
        <v>316</v>
      </c>
    </row>
    <row r="15063">
      <c r="A15063" s="17"/>
      <c r="H15063" s="18"/>
      <c r="K15063" s="18" t="s">
        <v>316</v>
      </c>
    </row>
    <row r="15064">
      <c r="A15064" s="17"/>
      <c r="H15064" s="18"/>
      <c r="K15064" s="18" t="s">
        <v>316</v>
      </c>
    </row>
    <row r="15065">
      <c r="A15065" s="17"/>
      <c r="H15065" s="18"/>
      <c r="K15065" s="18" t="s">
        <v>316</v>
      </c>
    </row>
    <row r="15066">
      <c r="A15066" s="17"/>
      <c r="H15066" s="18"/>
      <c r="K15066" s="18" t="s">
        <v>316</v>
      </c>
    </row>
    <row r="15067">
      <c r="A15067" s="17"/>
      <c r="H15067" s="18"/>
      <c r="K15067" s="18" t="s">
        <v>316</v>
      </c>
    </row>
    <row r="15068">
      <c r="A15068" s="17"/>
      <c r="H15068" s="18"/>
      <c r="K15068" s="18" t="s">
        <v>316</v>
      </c>
    </row>
    <row r="15069">
      <c r="A15069" s="17"/>
      <c r="H15069" s="18"/>
      <c r="K15069" s="18" t="s">
        <v>316</v>
      </c>
    </row>
    <row r="15070">
      <c r="A15070" s="17"/>
      <c r="H15070" s="18"/>
      <c r="K15070" s="18" t="s">
        <v>316</v>
      </c>
    </row>
    <row r="15071">
      <c r="A15071" s="17"/>
      <c r="H15071" s="18"/>
      <c r="K15071" s="18" t="s">
        <v>316</v>
      </c>
    </row>
    <row r="15072">
      <c r="A15072" s="17"/>
      <c r="H15072" s="18"/>
      <c r="K15072" s="18" t="s">
        <v>316</v>
      </c>
    </row>
    <row r="15073">
      <c r="A15073" s="17"/>
      <c r="H15073" s="18"/>
      <c r="K15073" s="18" t="s">
        <v>316</v>
      </c>
    </row>
    <row r="15074">
      <c r="A15074" s="17"/>
      <c r="H15074" s="18"/>
      <c r="K15074" s="18" t="s">
        <v>316</v>
      </c>
    </row>
    <row r="15075">
      <c r="A15075" s="17"/>
      <c r="H15075" s="18"/>
      <c r="K15075" s="18" t="s">
        <v>316</v>
      </c>
    </row>
    <row r="15076">
      <c r="A15076" s="17"/>
      <c r="H15076" s="18"/>
      <c r="K15076" s="18" t="s">
        <v>316</v>
      </c>
    </row>
    <row r="15077">
      <c r="A15077" s="17"/>
      <c r="H15077" s="18"/>
      <c r="K15077" s="18" t="s">
        <v>316</v>
      </c>
    </row>
    <row r="15078">
      <c r="A15078" s="17"/>
      <c r="H15078" s="18"/>
      <c r="K15078" s="18" t="s">
        <v>316</v>
      </c>
    </row>
    <row r="15079">
      <c r="A15079" s="17"/>
      <c r="H15079" s="18"/>
      <c r="K15079" s="18" t="s">
        <v>316</v>
      </c>
    </row>
    <row r="15080">
      <c r="A15080" s="17"/>
      <c r="H15080" s="18"/>
      <c r="K15080" s="18" t="s">
        <v>316</v>
      </c>
    </row>
    <row r="15081">
      <c r="A15081" s="17"/>
      <c r="H15081" s="18"/>
      <c r="K15081" s="18" t="s">
        <v>316</v>
      </c>
    </row>
    <row r="15082">
      <c r="A15082" s="17"/>
      <c r="H15082" s="18"/>
      <c r="K15082" s="18" t="s">
        <v>316</v>
      </c>
    </row>
    <row r="15083">
      <c r="A15083" s="17"/>
      <c r="H15083" s="18"/>
      <c r="K15083" s="18" t="s">
        <v>316</v>
      </c>
    </row>
    <row r="15084">
      <c r="A15084" s="17"/>
      <c r="H15084" s="18"/>
      <c r="K15084" s="18" t="s">
        <v>316</v>
      </c>
    </row>
    <row r="15085">
      <c r="A15085" s="17"/>
      <c r="H15085" s="18"/>
      <c r="K15085" s="18" t="s">
        <v>316</v>
      </c>
    </row>
    <row r="15086">
      <c r="A15086" s="17"/>
      <c r="H15086" s="18"/>
      <c r="K15086" s="18" t="s">
        <v>316</v>
      </c>
    </row>
    <row r="15087">
      <c r="A15087" s="17"/>
      <c r="H15087" s="18"/>
      <c r="K15087" s="18" t="s">
        <v>316</v>
      </c>
    </row>
    <row r="15088">
      <c r="A15088" s="17"/>
      <c r="H15088" s="18"/>
      <c r="K15088" s="18" t="s">
        <v>316</v>
      </c>
    </row>
    <row r="15089">
      <c r="A15089" s="17"/>
      <c r="H15089" s="18"/>
      <c r="K15089" s="18" t="s">
        <v>316</v>
      </c>
    </row>
    <row r="15090">
      <c r="A15090" s="17"/>
      <c r="H15090" s="18"/>
      <c r="K15090" s="18" t="s">
        <v>316</v>
      </c>
    </row>
    <row r="15091">
      <c r="A15091" s="17"/>
      <c r="H15091" s="18"/>
      <c r="K15091" s="18" t="s">
        <v>316</v>
      </c>
    </row>
    <row r="15092">
      <c r="A15092" s="17"/>
      <c r="H15092" s="18"/>
      <c r="K15092" s="18" t="s">
        <v>316</v>
      </c>
    </row>
    <row r="15093">
      <c r="A15093" s="17"/>
      <c r="H15093" s="18"/>
      <c r="K15093" s="18" t="s">
        <v>316</v>
      </c>
    </row>
    <row r="15094">
      <c r="A15094" s="17"/>
      <c r="H15094" s="18"/>
      <c r="K15094" s="18" t="s">
        <v>316</v>
      </c>
    </row>
    <row r="15095">
      <c r="A15095" s="17"/>
      <c r="H15095" s="18"/>
      <c r="K15095" s="18" t="s">
        <v>316</v>
      </c>
    </row>
    <row r="15096">
      <c r="A15096" s="17"/>
      <c r="H15096" s="18"/>
      <c r="K15096" s="18" t="s">
        <v>316</v>
      </c>
    </row>
    <row r="15097">
      <c r="A15097" s="17"/>
      <c r="H15097" s="18"/>
      <c r="K15097" s="18" t="s">
        <v>316</v>
      </c>
    </row>
    <row r="15098">
      <c r="A15098" s="17"/>
      <c r="H15098" s="18"/>
      <c r="K15098" s="18" t="s">
        <v>316</v>
      </c>
    </row>
    <row r="15099">
      <c r="A15099" s="17"/>
      <c r="H15099" s="18"/>
      <c r="K15099" s="18" t="s">
        <v>316</v>
      </c>
    </row>
    <row r="15100">
      <c r="A15100" s="17"/>
      <c r="H15100" s="18"/>
      <c r="K15100" s="18" t="s">
        <v>316</v>
      </c>
    </row>
    <row r="15101">
      <c r="A15101" s="17"/>
      <c r="H15101" s="18"/>
      <c r="K15101" s="18" t="s">
        <v>316</v>
      </c>
    </row>
    <row r="15102">
      <c r="A15102" s="17"/>
      <c r="H15102" s="18"/>
      <c r="K15102" s="18" t="s">
        <v>316</v>
      </c>
    </row>
    <row r="15103">
      <c r="A15103" s="17"/>
      <c r="H15103" s="18"/>
      <c r="K15103" s="18" t="s">
        <v>316</v>
      </c>
    </row>
    <row r="15104">
      <c r="A15104" s="17"/>
      <c r="H15104" s="18"/>
      <c r="K15104" s="18" t="s">
        <v>316</v>
      </c>
    </row>
    <row r="15105">
      <c r="A15105" s="17"/>
      <c r="H15105" s="18"/>
      <c r="K15105" s="18" t="s">
        <v>316</v>
      </c>
    </row>
    <row r="15106">
      <c r="A15106" s="17"/>
      <c r="H15106" s="18"/>
      <c r="K15106" s="18" t="s">
        <v>316</v>
      </c>
    </row>
    <row r="15107">
      <c r="A15107" s="17"/>
      <c r="H15107" s="18"/>
      <c r="K15107" s="18" t="s">
        <v>316</v>
      </c>
    </row>
    <row r="15108">
      <c r="A15108" s="17"/>
      <c r="H15108" s="18"/>
      <c r="K15108" s="18" t="s">
        <v>316</v>
      </c>
    </row>
    <row r="15109">
      <c r="A15109" s="17"/>
      <c r="H15109" s="18"/>
      <c r="K15109" s="18" t="s">
        <v>316</v>
      </c>
    </row>
    <row r="15110">
      <c r="A15110" s="17"/>
      <c r="H15110" s="18"/>
      <c r="K15110" s="18" t="s">
        <v>316</v>
      </c>
    </row>
    <row r="15111">
      <c r="A15111" s="17"/>
      <c r="H15111" s="18"/>
      <c r="K15111" s="18" t="s">
        <v>316</v>
      </c>
    </row>
    <row r="15112">
      <c r="A15112" s="17"/>
      <c r="H15112" s="18"/>
      <c r="K15112" s="18" t="s">
        <v>316</v>
      </c>
    </row>
    <row r="15113">
      <c r="A15113" s="17"/>
      <c r="H15113" s="18"/>
      <c r="K15113" s="18" t="s">
        <v>316</v>
      </c>
    </row>
    <row r="15114">
      <c r="A15114" s="17"/>
      <c r="H15114" s="18"/>
      <c r="K15114" s="18" t="s">
        <v>316</v>
      </c>
    </row>
    <row r="15115">
      <c r="A15115" s="17"/>
      <c r="H15115" s="18"/>
      <c r="K15115" s="18" t="s">
        <v>316</v>
      </c>
    </row>
    <row r="15116">
      <c r="A15116" s="17"/>
      <c r="H15116" s="18"/>
      <c r="K15116" s="18" t="s">
        <v>316</v>
      </c>
    </row>
    <row r="15117">
      <c r="A15117" s="17"/>
      <c r="H15117" s="18"/>
      <c r="K15117" s="18" t="s">
        <v>316</v>
      </c>
    </row>
    <row r="15118">
      <c r="A15118" s="17"/>
      <c r="H15118" s="18"/>
      <c r="K15118" s="18" t="s">
        <v>316</v>
      </c>
    </row>
    <row r="15119">
      <c r="A15119" s="17"/>
      <c r="H15119" s="18"/>
      <c r="K15119" s="18" t="s">
        <v>316</v>
      </c>
    </row>
    <row r="15120">
      <c r="A15120" s="17"/>
      <c r="H15120" s="18"/>
      <c r="K15120" s="18" t="s">
        <v>316</v>
      </c>
    </row>
    <row r="15121">
      <c r="A15121" s="17"/>
      <c r="H15121" s="18"/>
      <c r="K15121" s="18" t="s">
        <v>316</v>
      </c>
    </row>
    <row r="15122">
      <c r="A15122" s="17"/>
      <c r="H15122" s="18"/>
      <c r="K15122" s="18" t="s">
        <v>316</v>
      </c>
    </row>
    <row r="15123">
      <c r="A15123" s="17"/>
      <c r="H15123" s="18"/>
      <c r="K15123" s="18" t="s">
        <v>316</v>
      </c>
    </row>
    <row r="15124">
      <c r="A15124" s="17"/>
      <c r="H15124" s="18"/>
      <c r="K15124" s="18" t="s">
        <v>316</v>
      </c>
    </row>
    <row r="15125">
      <c r="A15125" s="17"/>
      <c r="H15125" s="18"/>
      <c r="K15125" s="18" t="s">
        <v>316</v>
      </c>
    </row>
    <row r="15126">
      <c r="A15126" s="17"/>
      <c r="H15126" s="18"/>
      <c r="K15126" s="18" t="s">
        <v>316</v>
      </c>
    </row>
    <row r="15127">
      <c r="A15127" s="17"/>
      <c r="H15127" s="18"/>
      <c r="K15127" s="18" t="s">
        <v>316</v>
      </c>
    </row>
    <row r="15128">
      <c r="A15128" s="17"/>
      <c r="H15128" s="18"/>
      <c r="K15128" s="18" t="s">
        <v>316</v>
      </c>
    </row>
    <row r="15129">
      <c r="A15129" s="17"/>
      <c r="H15129" s="18"/>
      <c r="K15129" s="18" t="s">
        <v>316</v>
      </c>
    </row>
    <row r="15130">
      <c r="A15130" s="17"/>
      <c r="H15130" s="18"/>
      <c r="K15130" s="18" t="s">
        <v>316</v>
      </c>
    </row>
    <row r="15131">
      <c r="A15131" s="17"/>
      <c r="H15131" s="18"/>
      <c r="K15131" s="18" t="s">
        <v>316</v>
      </c>
    </row>
    <row r="15132">
      <c r="A15132" s="17"/>
      <c r="H15132" s="18"/>
      <c r="K15132" s="18" t="s">
        <v>316</v>
      </c>
    </row>
    <row r="15133">
      <c r="A15133" s="17"/>
      <c r="H15133" s="18"/>
      <c r="K15133" s="18" t="s">
        <v>316</v>
      </c>
    </row>
    <row r="15134">
      <c r="A15134" s="17"/>
      <c r="H15134" s="18"/>
      <c r="K15134" s="18" t="s">
        <v>316</v>
      </c>
    </row>
    <row r="15135">
      <c r="A15135" s="17"/>
      <c r="H15135" s="18"/>
      <c r="K15135" s="18" t="s">
        <v>316</v>
      </c>
    </row>
    <row r="15136">
      <c r="A15136" s="17"/>
      <c r="H15136" s="18"/>
      <c r="K15136" s="18" t="s">
        <v>316</v>
      </c>
    </row>
    <row r="15137">
      <c r="A15137" s="17"/>
      <c r="H15137" s="18"/>
      <c r="K15137" s="18" t="s">
        <v>316</v>
      </c>
    </row>
    <row r="15138">
      <c r="A15138" s="17"/>
      <c r="H15138" s="18"/>
      <c r="K15138" s="18" t="s">
        <v>316</v>
      </c>
    </row>
    <row r="15139">
      <c r="A15139" s="17"/>
      <c r="H15139" s="18"/>
      <c r="K15139" s="18" t="s">
        <v>316</v>
      </c>
    </row>
    <row r="15140">
      <c r="A15140" s="17"/>
      <c r="H15140" s="18"/>
      <c r="K15140" s="18" t="s">
        <v>316</v>
      </c>
    </row>
    <row r="15141">
      <c r="A15141" s="17"/>
      <c r="H15141" s="18"/>
      <c r="K15141" s="18" t="s">
        <v>316</v>
      </c>
    </row>
    <row r="15142">
      <c r="A15142" s="17"/>
      <c r="H15142" s="18"/>
      <c r="K15142" s="18" t="s">
        <v>316</v>
      </c>
    </row>
    <row r="15143">
      <c r="A15143" s="17"/>
      <c r="H15143" s="18"/>
      <c r="K15143" s="18" t="s">
        <v>316</v>
      </c>
    </row>
    <row r="15144">
      <c r="A15144" s="17"/>
      <c r="H15144" s="18"/>
      <c r="K15144" s="18" t="s">
        <v>316</v>
      </c>
    </row>
    <row r="15145">
      <c r="A15145" s="17"/>
      <c r="H15145" s="18"/>
      <c r="K15145" s="18" t="s">
        <v>316</v>
      </c>
    </row>
    <row r="15146">
      <c r="A15146" s="17"/>
      <c r="H15146" s="18"/>
      <c r="K15146" s="18" t="s">
        <v>316</v>
      </c>
    </row>
    <row r="15147">
      <c r="A15147" s="17"/>
      <c r="H15147" s="18"/>
      <c r="K15147" s="18" t="s">
        <v>316</v>
      </c>
    </row>
    <row r="15148">
      <c r="A15148" s="17"/>
      <c r="H15148" s="18"/>
      <c r="K15148" s="18" t="s">
        <v>316</v>
      </c>
    </row>
    <row r="15149">
      <c r="A15149" s="17"/>
      <c r="H15149" s="18"/>
      <c r="K15149" s="18" t="s">
        <v>316</v>
      </c>
    </row>
    <row r="15150">
      <c r="A15150" s="17"/>
      <c r="H15150" s="18"/>
      <c r="K15150" s="18" t="s">
        <v>316</v>
      </c>
    </row>
    <row r="15151">
      <c r="A15151" s="17"/>
      <c r="H15151" s="18"/>
      <c r="K15151" s="18" t="s">
        <v>316</v>
      </c>
    </row>
    <row r="15152">
      <c r="A15152" s="17"/>
      <c r="H15152" s="18"/>
      <c r="K15152" s="18" t="s">
        <v>316</v>
      </c>
    </row>
    <row r="15153">
      <c r="A15153" s="17"/>
      <c r="H15153" s="18"/>
      <c r="K15153" s="18" t="s">
        <v>316</v>
      </c>
    </row>
    <row r="15154">
      <c r="A15154" s="17"/>
      <c r="H15154" s="18"/>
      <c r="K15154" s="18" t="s">
        <v>316</v>
      </c>
    </row>
    <row r="15155">
      <c r="A15155" s="17"/>
      <c r="H15155" s="18"/>
      <c r="K15155" s="18" t="s">
        <v>316</v>
      </c>
    </row>
    <row r="15156">
      <c r="A15156" s="17"/>
      <c r="H15156" s="18"/>
      <c r="K15156" s="18" t="s">
        <v>316</v>
      </c>
    </row>
    <row r="15157">
      <c r="A15157" s="17"/>
      <c r="H15157" s="18"/>
      <c r="K15157" s="18" t="s">
        <v>316</v>
      </c>
    </row>
    <row r="15158">
      <c r="A15158" s="17"/>
      <c r="H15158" s="18"/>
      <c r="K15158" s="18" t="s">
        <v>316</v>
      </c>
    </row>
    <row r="15159">
      <c r="A15159" s="17"/>
      <c r="H15159" s="18"/>
      <c r="K15159" s="18" t="s">
        <v>316</v>
      </c>
    </row>
    <row r="15160">
      <c r="A15160" s="17"/>
      <c r="H15160" s="18"/>
      <c r="K15160" s="18" t="s">
        <v>316</v>
      </c>
    </row>
    <row r="15161">
      <c r="A15161" s="17"/>
      <c r="H15161" s="18"/>
      <c r="K15161" s="18" t="s">
        <v>316</v>
      </c>
    </row>
    <row r="15162">
      <c r="A15162" s="17"/>
      <c r="H15162" s="18"/>
      <c r="K15162" s="18" t="s">
        <v>316</v>
      </c>
    </row>
    <row r="15163">
      <c r="A15163" s="17"/>
      <c r="H15163" s="18"/>
      <c r="K15163" s="18" t="s">
        <v>316</v>
      </c>
    </row>
    <row r="15164">
      <c r="A15164" s="17"/>
      <c r="H15164" s="18"/>
      <c r="K15164" s="18" t="s">
        <v>316</v>
      </c>
    </row>
    <row r="15165">
      <c r="A15165" s="17"/>
      <c r="H15165" s="18"/>
      <c r="K15165" s="18" t="s">
        <v>316</v>
      </c>
    </row>
    <row r="15166">
      <c r="A15166" s="17"/>
      <c r="H15166" s="18"/>
      <c r="K15166" s="18" t="s">
        <v>316</v>
      </c>
    </row>
    <row r="15167">
      <c r="A15167" s="17"/>
      <c r="H15167" s="18"/>
      <c r="K15167" s="18" t="s">
        <v>316</v>
      </c>
    </row>
    <row r="15168">
      <c r="A15168" s="17"/>
      <c r="H15168" s="18"/>
      <c r="K15168" s="18" t="s">
        <v>316</v>
      </c>
    </row>
    <row r="15169">
      <c r="A15169" s="17"/>
      <c r="H15169" s="18"/>
      <c r="K15169" s="18" t="s">
        <v>316</v>
      </c>
    </row>
    <row r="15170">
      <c r="A15170" s="17"/>
      <c r="H15170" s="18"/>
      <c r="K15170" s="18" t="s">
        <v>316</v>
      </c>
    </row>
    <row r="15171">
      <c r="A15171" s="17"/>
      <c r="H15171" s="18"/>
      <c r="K15171" s="18" t="s">
        <v>316</v>
      </c>
    </row>
    <row r="15172">
      <c r="A15172" s="17"/>
      <c r="H15172" s="18"/>
      <c r="K15172" s="18" t="s">
        <v>316</v>
      </c>
    </row>
    <row r="15173">
      <c r="A15173" s="17"/>
      <c r="H15173" s="18"/>
      <c r="K15173" s="18" t="s">
        <v>316</v>
      </c>
    </row>
    <row r="15174">
      <c r="A15174" s="17"/>
      <c r="H15174" s="18"/>
      <c r="K15174" s="18" t="s">
        <v>316</v>
      </c>
    </row>
    <row r="15175">
      <c r="A15175" s="17"/>
      <c r="H15175" s="18"/>
      <c r="K15175" s="18" t="s">
        <v>316</v>
      </c>
    </row>
    <row r="15176">
      <c r="A15176" s="17"/>
      <c r="H15176" s="18"/>
      <c r="K15176" s="18" t="s">
        <v>316</v>
      </c>
    </row>
    <row r="15177">
      <c r="A15177" s="17"/>
      <c r="H15177" s="18"/>
      <c r="K15177" s="18" t="s">
        <v>316</v>
      </c>
    </row>
    <row r="15178">
      <c r="A15178" s="17"/>
      <c r="H15178" s="18"/>
      <c r="K15178" s="18" t="s">
        <v>316</v>
      </c>
    </row>
    <row r="15179">
      <c r="A15179" s="17"/>
      <c r="H15179" s="18"/>
      <c r="K15179" s="18" t="s">
        <v>316</v>
      </c>
    </row>
    <row r="15180">
      <c r="A15180" s="17"/>
      <c r="H15180" s="18"/>
      <c r="K15180" s="18" t="s">
        <v>316</v>
      </c>
    </row>
    <row r="15181">
      <c r="A15181" s="17"/>
      <c r="H15181" s="18"/>
      <c r="K15181" s="18" t="s">
        <v>316</v>
      </c>
    </row>
    <row r="15182">
      <c r="A15182" s="17"/>
      <c r="H15182" s="18"/>
      <c r="K15182" s="18" t="s">
        <v>316</v>
      </c>
    </row>
    <row r="15183">
      <c r="A15183" s="17"/>
      <c r="H15183" s="18"/>
      <c r="K15183" s="18" t="s">
        <v>316</v>
      </c>
    </row>
    <row r="15184">
      <c r="A15184" s="17"/>
      <c r="H15184" s="18"/>
      <c r="K15184" s="18" t="s">
        <v>316</v>
      </c>
    </row>
    <row r="15185">
      <c r="A15185" s="17"/>
      <c r="H15185" s="18"/>
      <c r="K15185" s="18" t="s">
        <v>316</v>
      </c>
    </row>
    <row r="15186">
      <c r="A15186" s="17"/>
      <c r="H15186" s="18"/>
      <c r="K15186" s="18" t="s">
        <v>316</v>
      </c>
    </row>
    <row r="15187">
      <c r="A15187" s="17"/>
      <c r="H15187" s="18"/>
      <c r="K15187" s="18" t="s">
        <v>316</v>
      </c>
    </row>
    <row r="15188">
      <c r="A15188" s="17"/>
      <c r="H15188" s="18"/>
      <c r="K15188" s="18" t="s">
        <v>316</v>
      </c>
    </row>
    <row r="15189">
      <c r="A15189" s="17"/>
      <c r="H15189" s="18"/>
      <c r="K15189" s="18" t="s">
        <v>316</v>
      </c>
    </row>
    <row r="15190">
      <c r="A15190" s="17"/>
      <c r="H15190" s="18"/>
      <c r="K15190" s="18" t="s">
        <v>316</v>
      </c>
    </row>
    <row r="15191">
      <c r="A15191" s="17"/>
      <c r="H15191" s="18"/>
      <c r="K15191" s="18" t="s">
        <v>316</v>
      </c>
    </row>
    <row r="15192">
      <c r="A15192" s="17"/>
      <c r="H15192" s="18"/>
      <c r="K15192" s="18" t="s">
        <v>316</v>
      </c>
    </row>
    <row r="15193">
      <c r="A15193" s="17"/>
      <c r="H15193" s="18"/>
      <c r="K15193" s="18" t="s">
        <v>316</v>
      </c>
    </row>
    <row r="15194">
      <c r="A15194" s="17"/>
      <c r="H15194" s="18"/>
      <c r="K15194" s="18" t="s">
        <v>316</v>
      </c>
    </row>
    <row r="15195">
      <c r="A15195" s="17"/>
      <c r="H15195" s="18"/>
      <c r="K15195" s="18" t="s">
        <v>316</v>
      </c>
    </row>
    <row r="15196">
      <c r="A15196" s="17"/>
      <c r="H15196" s="18"/>
      <c r="K15196" s="18" t="s">
        <v>316</v>
      </c>
    </row>
    <row r="15197">
      <c r="A15197" s="17"/>
      <c r="H15197" s="18"/>
      <c r="K15197" s="18" t="s">
        <v>316</v>
      </c>
    </row>
    <row r="15198">
      <c r="A15198" s="17"/>
      <c r="H15198" s="18"/>
      <c r="K15198" s="18" t="s">
        <v>316</v>
      </c>
    </row>
    <row r="15199">
      <c r="A15199" s="17"/>
      <c r="H15199" s="18"/>
      <c r="K15199" s="18" t="s">
        <v>316</v>
      </c>
    </row>
    <row r="15200">
      <c r="A15200" s="17"/>
      <c r="H15200" s="18"/>
      <c r="K15200" s="18" t="s">
        <v>316</v>
      </c>
    </row>
    <row r="15201">
      <c r="A15201" s="17"/>
      <c r="H15201" s="18"/>
      <c r="K15201" s="18" t="s">
        <v>316</v>
      </c>
    </row>
    <row r="15202">
      <c r="A15202" s="17"/>
      <c r="H15202" s="18"/>
      <c r="K15202" s="18" t="s">
        <v>316</v>
      </c>
    </row>
    <row r="15203">
      <c r="A15203" s="17"/>
      <c r="H15203" s="18"/>
      <c r="K15203" s="18" t="s">
        <v>316</v>
      </c>
    </row>
    <row r="15204">
      <c r="A15204" s="17"/>
      <c r="H15204" s="18"/>
      <c r="K15204" s="18" t="s">
        <v>316</v>
      </c>
    </row>
    <row r="15205">
      <c r="A15205" s="17"/>
      <c r="H15205" s="18"/>
      <c r="K15205" s="18" t="s">
        <v>316</v>
      </c>
    </row>
    <row r="15206">
      <c r="A15206" s="17"/>
      <c r="H15206" s="18"/>
      <c r="K15206" s="18" t="s">
        <v>316</v>
      </c>
    </row>
    <row r="15207">
      <c r="A15207" s="17"/>
      <c r="H15207" s="18"/>
      <c r="K15207" s="18" t="s">
        <v>316</v>
      </c>
    </row>
    <row r="15208">
      <c r="A15208" s="17"/>
      <c r="H15208" s="18"/>
      <c r="K15208" s="18" t="s">
        <v>316</v>
      </c>
    </row>
    <row r="15209">
      <c r="A15209" s="17"/>
      <c r="H15209" s="18"/>
      <c r="K15209" s="18" t="s">
        <v>316</v>
      </c>
    </row>
    <row r="15210">
      <c r="A15210" s="17"/>
      <c r="H15210" s="18"/>
      <c r="K15210" s="18" t="s">
        <v>316</v>
      </c>
    </row>
    <row r="15211">
      <c r="A15211" s="17"/>
      <c r="H15211" s="18"/>
      <c r="K15211" s="18" t="s">
        <v>316</v>
      </c>
    </row>
    <row r="15212">
      <c r="A15212" s="17"/>
      <c r="H15212" s="18"/>
      <c r="K15212" s="18" t="s">
        <v>316</v>
      </c>
    </row>
    <row r="15213">
      <c r="A15213" s="17"/>
      <c r="H15213" s="18"/>
      <c r="K15213" s="18" t="s">
        <v>316</v>
      </c>
    </row>
    <row r="15214">
      <c r="A15214" s="17"/>
      <c r="H15214" s="18"/>
      <c r="K15214" s="18" t="s">
        <v>316</v>
      </c>
    </row>
    <row r="15215">
      <c r="A15215" s="17"/>
      <c r="H15215" s="18"/>
      <c r="K15215" s="18" t="s">
        <v>316</v>
      </c>
    </row>
    <row r="15216">
      <c r="A15216" s="17"/>
      <c r="H15216" s="18"/>
      <c r="K15216" s="18" t="s">
        <v>316</v>
      </c>
    </row>
    <row r="15217">
      <c r="A15217" s="17"/>
      <c r="H15217" s="18"/>
      <c r="K15217" s="18" t="s">
        <v>316</v>
      </c>
    </row>
    <row r="15218">
      <c r="A15218" s="17"/>
      <c r="H15218" s="18"/>
      <c r="K15218" s="18" t="s">
        <v>316</v>
      </c>
    </row>
    <row r="15219">
      <c r="A15219" s="17"/>
      <c r="H15219" s="18"/>
      <c r="K15219" s="18" t="s">
        <v>316</v>
      </c>
    </row>
    <row r="15220">
      <c r="A15220" s="17"/>
      <c r="H15220" s="18"/>
      <c r="K15220" s="18" t="s">
        <v>316</v>
      </c>
    </row>
    <row r="15221">
      <c r="A15221" s="17"/>
      <c r="H15221" s="18"/>
      <c r="K15221" s="18" t="s">
        <v>316</v>
      </c>
    </row>
    <row r="15222">
      <c r="A15222" s="17"/>
      <c r="H15222" s="18"/>
      <c r="K15222" s="18" t="s">
        <v>316</v>
      </c>
    </row>
    <row r="15223">
      <c r="A15223" s="17"/>
      <c r="H15223" s="18"/>
      <c r="K15223" s="18" t="s">
        <v>316</v>
      </c>
    </row>
    <row r="15224">
      <c r="A15224" s="17"/>
      <c r="H15224" s="18"/>
      <c r="K15224" s="18" t="s">
        <v>316</v>
      </c>
    </row>
    <row r="15225">
      <c r="A15225" s="17"/>
      <c r="H15225" s="18"/>
      <c r="K15225" s="18" t="s">
        <v>316</v>
      </c>
    </row>
    <row r="15226">
      <c r="A15226" s="17"/>
      <c r="H15226" s="18"/>
      <c r="K15226" s="18" t="s">
        <v>316</v>
      </c>
    </row>
    <row r="15227">
      <c r="A15227" s="17"/>
      <c r="H15227" s="18"/>
      <c r="K15227" s="18" t="s">
        <v>316</v>
      </c>
    </row>
    <row r="15228">
      <c r="A15228" s="17"/>
      <c r="H15228" s="18"/>
      <c r="K15228" s="18" t="s">
        <v>316</v>
      </c>
    </row>
    <row r="15229">
      <c r="A15229" s="17"/>
      <c r="H15229" s="18"/>
      <c r="K15229" s="18" t="s">
        <v>316</v>
      </c>
    </row>
    <row r="15230">
      <c r="A15230" s="17"/>
      <c r="H15230" s="18"/>
      <c r="K15230" s="18" t="s">
        <v>316</v>
      </c>
    </row>
    <row r="15231">
      <c r="A15231" s="17"/>
      <c r="H15231" s="18"/>
      <c r="K15231" s="18" t="s">
        <v>316</v>
      </c>
    </row>
    <row r="15232">
      <c r="A15232" s="17"/>
      <c r="H15232" s="18"/>
      <c r="K15232" s="18" t="s">
        <v>316</v>
      </c>
    </row>
    <row r="15233">
      <c r="A15233" s="17"/>
      <c r="H15233" s="18"/>
      <c r="K15233" s="18" t="s">
        <v>316</v>
      </c>
    </row>
    <row r="15234">
      <c r="A15234" s="17"/>
      <c r="H15234" s="18"/>
      <c r="K15234" s="18" t="s">
        <v>316</v>
      </c>
    </row>
    <row r="15235">
      <c r="A15235" s="17"/>
      <c r="H15235" s="18"/>
      <c r="K15235" s="18" t="s">
        <v>316</v>
      </c>
    </row>
    <row r="15236">
      <c r="A15236" s="17"/>
      <c r="H15236" s="18"/>
      <c r="K15236" s="18" t="s">
        <v>316</v>
      </c>
    </row>
    <row r="15237">
      <c r="A15237" s="17"/>
      <c r="H15237" s="18"/>
      <c r="K15237" s="18" t="s">
        <v>316</v>
      </c>
    </row>
    <row r="15238">
      <c r="A15238" s="17"/>
      <c r="H15238" s="18"/>
      <c r="K15238" s="18" t="s">
        <v>316</v>
      </c>
    </row>
    <row r="15239">
      <c r="A15239" s="17"/>
      <c r="H15239" s="18"/>
      <c r="K15239" s="18" t="s">
        <v>316</v>
      </c>
    </row>
    <row r="15240">
      <c r="A15240" s="17"/>
      <c r="H15240" s="18"/>
      <c r="K15240" s="18" t="s">
        <v>316</v>
      </c>
    </row>
    <row r="15241">
      <c r="A15241" s="17"/>
      <c r="H15241" s="18"/>
      <c r="K15241" s="18" t="s">
        <v>316</v>
      </c>
    </row>
    <row r="15242">
      <c r="A15242" s="17"/>
      <c r="H15242" s="18"/>
      <c r="K15242" s="18" t="s">
        <v>316</v>
      </c>
    </row>
    <row r="15243">
      <c r="A15243" s="17"/>
      <c r="H15243" s="18"/>
      <c r="K15243" s="18" t="s">
        <v>316</v>
      </c>
    </row>
    <row r="15244">
      <c r="A15244" s="17"/>
      <c r="H15244" s="18"/>
      <c r="K15244" s="18" t="s">
        <v>316</v>
      </c>
    </row>
    <row r="15245">
      <c r="A15245" s="17"/>
      <c r="H15245" s="18"/>
      <c r="K15245" s="18" t="s">
        <v>316</v>
      </c>
    </row>
    <row r="15246">
      <c r="A15246" s="17"/>
      <c r="H15246" s="18"/>
      <c r="K15246" s="18" t="s">
        <v>316</v>
      </c>
    </row>
    <row r="15247">
      <c r="A15247" s="17"/>
      <c r="H15247" s="18"/>
      <c r="K15247" s="18" t="s">
        <v>316</v>
      </c>
    </row>
    <row r="15248">
      <c r="A15248" s="17"/>
      <c r="H15248" s="18"/>
      <c r="K15248" s="18" t="s">
        <v>316</v>
      </c>
    </row>
    <row r="15249">
      <c r="A15249" s="17"/>
      <c r="H15249" s="18"/>
      <c r="K15249" s="18" t="s">
        <v>316</v>
      </c>
    </row>
    <row r="15250">
      <c r="A15250" s="17"/>
      <c r="H15250" s="18"/>
      <c r="K15250" s="18" t="s">
        <v>316</v>
      </c>
    </row>
    <row r="15251">
      <c r="A15251" s="17"/>
      <c r="H15251" s="18"/>
      <c r="K15251" s="18" t="s">
        <v>316</v>
      </c>
    </row>
    <row r="15252">
      <c r="A15252" s="17"/>
      <c r="H15252" s="18"/>
      <c r="K15252" s="18" t="s">
        <v>316</v>
      </c>
    </row>
    <row r="15253">
      <c r="A15253" s="17"/>
      <c r="H15253" s="18"/>
      <c r="K15253" s="18" t="s">
        <v>316</v>
      </c>
    </row>
    <row r="15254">
      <c r="A15254" s="17"/>
      <c r="H15254" s="18"/>
      <c r="K15254" s="18" t="s">
        <v>316</v>
      </c>
    </row>
    <row r="15255">
      <c r="A15255" s="17"/>
      <c r="H15255" s="18"/>
      <c r="K15255" s="18" t="s">
        <v>316</v>
      </c>
    </row>
    <row r="15256">
      <c r="A15256" s="17"/>
      <c r="H15256" s="18"/>
      <c r="K15256" s="18" t="s">
        <v>316</v>
      </c>
    </row>
    <row r="15257">
      <c r="A15257" s="17"/>
      <c r="H15257" s="18"/>
      <c r="K15257" s="18" t="s">
        <v>316</v>
      </c>
    </row>
    <row r="15258">
      <c r="A15258" s="17"/>
      <c r="H15258" s="18"/>
      <c r="K15258" s="18" t="s">
        <v>316</v>
      </c>
    </row>
    <row r="15259">
      <c r="A15259" s="17"/>
      <c r="H15259" s="18"/>
      <c r="K15259" s="18" t="s">
        <v>316</v>
      </c>
    </row>
    <row r="15260">
      <c r="A15260" s="17"/>
      <c r="H15260" s="18"/>
      <c r="K15260" s="18" t="s">
        <v>316</v>
      </c>
    </row>
    <row r="15261">
      <c r="A15261" s="17"/>
      <c r="H15261" s="18"/>
      <c r="K15261" s="18" t="s">
        <v>316</v>
      </c>
    </row>
    <row r="15262">
      <c r="A15262" s="17"/>
      <c r="H15262" s="18"/>
      <c r="K15262" s="18" t="s">
        <v>316</v>
      </c>
    </row>
    <row r="15263">
      <c r="A15263" s="17"/>
      <c r="H15263" s="18"/>
      <c r="K15263" s="18" t="s">
        <v>316</v>
      </c>
    </row>
    <row r="15264">
      <c r="A15264" s="17"/>
      <c r="H15264" s="18"/>
      <c r="K15264" s="18" t="s">
        <v>316</v>
      </c>
    </row>
    <row r="15265">
      <c r="A15265" s="17"/>
      <c r="H15265" s="18"/>
      <c r="K15265" s="18" t="s">
        <v>316</v>
      </c>
    </row>
    <row r="15266">
      <c r="A15266" s="17"/>
      <c r="H15266" s="18"/>
      <c r="K15266" s="18" t="s">
        <v>316</v>
      </c>
    </row>
    <row r="15267">
      <c r="A15267" s="17"/>
      <c r="H15267" s="18"/>
      <c r="K15267" s="18" t="s">
        <v>316</v>
      </c>
    </row>
    <row r="15268">
      <c r="A15268" s="17"/>
      <c r="H15268" s="18"/>
      <c r="K15268" s="18" t="s">
        <v>316</v>
      </c>
    </row>
    <row r="15269">
      <c r="A15269" s="17"/>
      <c r="H15269" s="18"/>
      <c r="K15269" s="18" t="s">
        <v>316</v>
      </c>
    </row>
    <row r="15270">
      <c r="A15270" s="17"/>
      <c r="H15270" s="18"/>
      <c r="K15270" s="18" t="s">
        <v>316</v>
      </c>
    </row>
    <row r="15271">
      <c r="A15271" s="17"/>
      <c r="H15271" s="18"/>
      <c r="K15271" s="18" t="s">
        <v>316</v>
      </c>
    </row>
    <row r="15272">
      <c r="A15272" s="17"/>
      <c r="H15272" s="18"/>
      <c r="K15272" s="18" t="s">
        <v>316</v>
      </c>
    </row>
    <row r="15273">
      <c r="A15273" s="17"/>
      <c r="H15273" s="18"/>
      <c r="K15273" s="18" t="s">
        <v>316</v>
      </c>
    </row>
    <row r="15274">
      <c r="A15274" s="17"/>
      <c r="H15274" s="18"/>
      <c r="K15274" s="18" t="s">
        <v>316</v>
      </c>
    </row>
    <row r="15275">
      <c r="A15275" s="17"/>
      <c r="H15275" s="18"/>
      <c r="K15275" s="18" t="s">
        <v>316</v>
      </c>
    </row>
    <row r="15276">
      <c r="A15276" s="17"/>
      <c r="H15276" s="18"/>
      <c r="K15276" s="18" t="s">
        <v>316</v>
      </c>
    </row>
    <row r="15277">
      <c r="A15277" s="17"/>
      <c r="H15277" s="18"/>
      <c r="K15277" s="18" t="s">
        <v>316</v>
      </c>
    </row>
    <row r="15278">
      <c r="A15278" s="17"/>
      <c r="H15278" s="18"/>
      <c r="K15278" s="18" t="s">
        <v>316</v>
      </c>
    </row>
    <row r="15279">
      <c r="A15279" s="17"/>
      <c r="H15279" s="18"/>
      <c r="K15279" s="18" t="s">
        <v>316</v>
      </c>
    </row>
    <row r="15280">
      <c r="A15280" s="17"/>
      <c r="H15280" s="18"/>
      <c r="K15280" s="18" t="s">
        <v>316</v>
      </c>
    </row>
    <row r="15281">
      <c r="A15281" s="17"/>
      <c r="H15281" s="18"/>
      <c r="K15281" s="18" t="s">
        <v>316</v>
      </c>
    </row>
    <row r="15282">
      <c r="A15282" s="17"/>
      <c r="H15282" s="18"/>
      <c r="K15282" s="18" t="s">
        <v>316</v>
      </c>
    </row>
    <row r="15283">
      <c r="A15283" s="17"/>
      <c r="H15283" s="18"/>
      <c r="K15283" s="18" t="s">
        <v>316</v>
      </c>
    </row>
    <row r="15284">
      <c r="A15284" s="17"/>
      <c r="H15284" s="18"/>
      <c r="K15284" s="18" t="s">
        <v>316</v>
      </c>
    </row>
    <row r="15285">
      <c r="A15285" s="17"/>
      <c r="H15285" s="18"/>
      <c r="K15285" s="18" t="s">
        <v>316</v>
      </c>
    </row>
    <row r="15286">
      <c r="A15286" s="17"/>
      <c r="H15286" s="18"/>
      <c r="K15286" s="18" t="s">
        <v>316</v>
      </c>
    </row>
    <row r="15287">
      <c r="A15287" s="17"/>
      <c r="H15287" s="18"/>
      <c r="K15287" s="18" t="s">
        <v>316</v>
      </c>
    </row>
    <row r="15288">
      <c r="A15288" s="17"/>
      <c r="H15288" s="18"/>
      <c r="K15288" s="18" t="s">
        <v>316</v>
      </c>
    </row>
    <row r="15289">
      <c r="A15289" s="17"/>
      <c r="H15289" s="18"/>
      <c r="K15289" s="18" t="s">
        <v>316</v>
      </c>
    </row>
    <row r="15290">
      <c r="A15290" s="17"/>
      <c r="H15290" s="18"/>
      <c r="K15290" s="18" t="s">
        <v>316</v>
      </c>
    </row>
    <row r="15291">
      <c r="A15291" s="17"/>
      <c r="H15291" s="18"/>
      <c r="K15291" s="18" t="s">
        <v>316</v>
      </c>
    </row>
    <row r="15292">
      <c r="A15292" s="17"/>
      <c r="H15292" s="18"/>
      <c r="K15292" s="18" t="s">
        <v>316</v>
      </c>
    </row>
    <row r="15293">
      <c r="A15293" s="17"/>
      <c r="H15293" s="18"/>
      <c r="K15293" s="18" t="s">
        <v>316</v>
      </c>
    </row>
    <row r="15294">
      <c r="A15294" s="17"/>
      <c r="H15294" s="18"/>
      <c r="K15294" s="18" t="s">
        <v>316</v>
      </c>
    </row>
    <row r="15295">
      <c r="A15295" s="17"/>
      <c r="H15295" s="18"/>
      <c r="K15295" s="18" t="s">
        <v>316</v>
      </c>
    </row>
    <row r="15296">
      <c r="A15296" s="17"/>
      <c r="H15296" s="18"/>
      <c r="K15296" s="18" t="s">
        <v>316</v>
      </c>
    </row>
    <row r="15297">
      <c r="A15297" s="17"/>
      <c r="H15297" s="18"/>
      <c r="K15297" s="18" t="s">
        <v>316</v>
      </c>
    </row>
    <row r="15298">
      <c r="A15298" s="17"/>
      <c r="H15298" s="18"/>
      <c r="K15298" s="18" t="s">
        <v>316</v>
      </c>
    </row>
    <row r="15299">
      <c r="A15299" s="17"/>
      <c r="H15299" s="18"/>
      <c r="K15299" s="18" t="s">
        <v>316</v>
      </c>
    </row>
    <row r="15300">
      <c r="A15300" s="17"/>
      <c r="H15300" s="18"/>
      <c r="K15300" s="18" t="s">
        <v>316</v>
      </c>
    </row>
    <row r="15301">
      <c r="A15301" s="17"/>
      <c r="H15301" s="18"/>
      <c r="K15301" s="18" t="s">
        <v>316</v>
      </c>
    </row>
    <row r="15302">
      <c r="A15302" s="17"/>
      <c r="H15302" s="18"/>
      <c r="K15302" s="18" t="s">
        <v>316</v>
      </c>
    </row>
    <row r="15303">
      <c r="A15303" s="17"/>
      <c r="H15303" s="18"/>
      <c r="K15303" s="18" t="s">
        <v>316</v>
      </c>
    </row>
    <row r="15304">
      <c r="A15304" s="17"/>
      <c r="H15304" s="18"/>
      <c r="K15304" s="18" t="s">
        <v>316</v>
      </c>
    </row>
    <row r="15305">
      <c r="A15305" s="17"/>
      <c r="H15305" s="18"/>
      <c r="K15305" s="18" t="s">
        <v>316</v>
      </c>
    </row>
    <row r="15306">
      <c r="A15306" s="17"/>
      <c r="H15306" s="18"/>
      <c r="K15306" s="18" t="s">
        <v>316</v>
      </c>
    </row>
    <row r="15307">
      <c r="A15307" s="17"/>
      <c r="H15307" s="18"/>
      <c r="K15307" s="18" t="s">
        <v>316</v>
      </c>
    </row>
    <row r="15308">
      <c r="A15308" s="17"/>
      <c r="H15308" s="18"/>
      <c r="K15308" s="18" t="s">
        <v>316</v>
      </c>
    </row>
    <row r="15309">
      <c r="A15309" s="17"/>
      <c r="H15309" s="18"/>
      <c r="K15309" s="18" t="s">
        <v>316</v>
      </c>
    </row>
    <row r="15310">
      <c r="A15310" s="17"/>
      <c r="H15310" s="18"/>
      <c r="K15310" s="18" t="s">
        <v>316</v>
      </c>
    </row>
    <row r="15311">
      <c r="A15311" s="17"/>
      <c r="H15311" s="18"/>
      <c r="K15311" s="18" t="s">
        <v>316</v>
      </c>
    </row>
    <row r="15312">
      <c r="A15312" s="17"/>
      <c r="H15312" s="18"/>
      <c r="K15312" s="18" t="s">
        <v>316</v>
      </c>
    </row>
    <row r="15313">
      <c r="A15313" s="17"/>
      <c r="H15313" s="18"/>
      <c r="K15313" s="18" t="s">
        <v>316</v>
      </c>
    </row>
    <row r="15314">
      <c r="A15314" s="17"/>
      <c r="H15314" s="18"/>
      <c r="K15314" s="18" t="s">
        <v>316</v>
      </c>
    </row>
    <row r="15315">
      <c r="A15315" s="17"/>
      <c r="H15315" s="18"/>
      <c r="K15315" s="18" t="s">
        <v>316</v>
      </c>
    </row>
    <row r="15316">
      <c r="A15316" s="17"/>
      <c r="H15316" s="18"/>
      <c r="K15316" s="18" t="s">
        <v>316</v>
      </c>
    </row>
    <row r="15317">
      <c r="A15317" s="17"/>
      <c r="H15317" s="18"/>
      <c r="K15317" s="18" t="s">
        <v>316</v>
      </c>
    </row>
    <row r="15318">
      <c r="A15318" s="17"/>
      <c r="H15318" s="18"/>
      <c r="K15318" s="18" t="s">
        <v>316</v>
      </c>
    </row>
    <row r="15319">
      <c r="A15319" s="17"/>
      <c r="H15319" s="18"/>
      <c r="K15319" s="18" t="s">
        <v>316</v>
      </c>
    </row>
    <row r="15320">
      <c r="A15320" s="17"/>
      <c r="H15320" s="18"/>
      <c r="K15320" s="18" t="s">
        <v>316</v>
      </c>
    </row>
    <row r="15321">
      <c r="A15321" s="17"/>
      <c r="H15321" s="18"/>
      <c r="K15321" s="18" t="s">
        <v>316</v>
      </c>
    </row>
    <row r="15322">
      <c r="A15322" s="17"/>
      <c r="H15322" s="18"/>
      <c r="K15322" s="18" t="s">
        <v>316</v>
      </c>
    </row>
    <row r="15323">
      <c r="A15323" s="17"/>
      <c r="H15323" s="18"/>
      <c r="K15323" s="18" t="s">
        <v>316</v>
      </c>
    </row>
    <row r="15324">
      <c r="A15324" s="17"/>
      <c r="H15324" s="18"/>
      <c r="K15324" s="18" t="s">
        <v>316</v>
      </c>
    </row>
    <row r="15325">
      <c r="A15325" s="17"/>
      <c r="H15325" s="18"/>
      <c r="K15325" s="18" t="s">
        <v>316</v>
      </c>
    </row>
    <row r="15326">
      <c r="A15326" s="17"/>
      <c r="H15326" s="18"/>
      <c r="K15326" s="18" t="s">
        <v>316</v>
      </c>
    </row>
    <row r="15327">
      <c r="A15327" s="17"/>
      <c r="H15327" s="18"/>
      <c r="K15327" s="18" t="s">
        <v>316</v>
      </c>
    </row>
    <row r="15328">
      <c r="A15328" s="17"/>
      <c r="H15328" s="18"/>
      <c r="K15328" s="18" t="s">
        <v>316</v>
      </c>
    </row>
    <row r="15329">
      <c r="A15329" s="17"/>
      <c r="H15329" s="18"/>
      <c r="K15329" s="18" t="s">
        <v>316</v>
      </c>
    </row>
    <row r="15330">
      <c r="A15330" s="17"/>
      <c r="H15330" s="18"/>
      <c r="K15330" s="18" t="s">
        <v>316</v>
      </c>
    </row>
    <row r="15331">
      <c r="A15331" s="17"/>
      <c r="H15331" s="18"/>
      <c r="K15331" s="18" t="s">
        <v>316</v>
      </c>
    </row>
    <row r="15332">
      <c r="A15332" s="17"/>
      <c r="H15332" s="18"/>
      <c r="K15332" s="18" t="s">
        <v>316</v>
      </c>
    </row>
    <row r="15333">
      <c r="A15333" s="17"/>
      <c r="H15333" s="18"/>
      <c r="K15333" s="18" t="s">
        <v>316</v>
      </c>
    </row>
    <row r="15334">
      <c r="A15334" s="17"/>
      <c r="H15334" s="18"/>
      <c r="K15334" s="18" t="s">
        <v>316</v>
      </c>
    </row>
    <row r="15335">
      <c r="A15335" s="17"/>
      <c r="H15335" s="18"/>
      <c r="K15335" s="18" t="s">
        <v>316</v>
      </c>
    </row>
    <row r="15336">
      <c r="A15336" s="17"/>
      <c r="H15336" s="18"/>
      <c r="K15336" s="18" t="s">
        <v>316</v>
      </c>
    </row>
    <row r="15337">
      <c r="A15337" s="17"/>
      <c r="H15337" s="18"/>
      <c r="K15337" s="18" t="s">
        <v>316</v>
      </c>
    </row>
    <row r="15338">
      <c r="A15338" s="17"/>
      <c r="H15338" s="18"/>
      <c r="K15338" s="18" t="s">
        <v>316</v>
      </c>
    </row>
    <row r="15339">
      <c r="A15339" s="17"/>
      <c r="H15339" s="18"/>
      <c r="K15339" s="18" t="s">
        <v>316</v>
      </c>
    </row>
    <row r="15340">
      <c r="A15340" s="17"/>
      <c r="H15340" s="18"/>
      <c r="K15340" s="18" t="s">
        <v>316</v>
      </c>
    </row>
    <row r="15341">
      <c r="A15341" s="17"/>
      <c r="H15341" s="18"/>
      <c r="K15341" s="18" t="s">
        <v>316</v>
      </c>
    </row>
    <row r="15342">
      <c r="A15342" s="17"/>
      <c r="H15342" s="18"/>
      <c r="K15342" s="18" t="s">
        <v>316</v>
      </c>
    </row>
    <row r="15343">
      <c r="A15343" s="17"/>
      <c r="H15343" s="18"/>
      <c r="K15343" s="18" t="s">
        <v>316</v>
      </c>
    </row>
    <row r="15344">
      <c r="A15344" s="17"/>
      <c r="H15344" s="18"/>
      <c r="K15344" s="18" t="s">
        <v>316</v>
      </c>
    </row>
    <row r="15345">
      <c r="A15345" s="17"/>
      <c r="H15345" s="18"/>
      <c r="K15345" s="18" t="s">
        <v>316</v>
      </c>
    </row>
    <row r="15346">
      <c r="A15346" s="17"/>
      <c r="H15346" s="18"/>
      <c r="K15346" s="18" t="s">
        <v>316</v>
      </c>
    </row>
    <row r="15347">
      <c r="A15347" s="17"/>
      <c r="H15347" s="18"/>
      <c r="K15347" s="18" t="s">
        <v>316</v>
      </c>
    </row>
    <row r="15348">
      <c r="A15348" s="17"/>
      <c r="H15348" s="18"/>
      <c r="K15348" s="18" t="s">
        <v>316</v>
      </c>
    </row>
    <row r="15349">
      <c r="A15349" s="17"/>
      <c r="H15349" s="18"/>
      <c r="K15349" s="18" t="s">
        <v>316</v>
      </c>
    </row>
    <row r="15350">
      <c r="A15350" s="17"/>
      <c r="H15350" s="18"/>
      <c r="K15350" s="18" t="s">
        <v>316</v>
      </c>
    </row>
    <row r="15351">
      <c r="A15351" s="17"/>
      <c r="H15351" s="18"/>
      <c r="K15351" s="18" t="s">
        <v>316</v>
      </c>
    </row>
    <row r="15352">
      <c r="A15352" s="17"/>
      <c r="H15352" s="18"/>
      <c r="K15352" s="18" t="s">
        <v>316</v>
      </c>
    </row>
    <row r="15353">
      <c r="A15353" s="17"/>
      <c r="H15353" s="18"/>
      <c r="K15353" s="18" t="s">
        <v>316</v>
      </c>
    </row>
    <row r="15354">
      <c r="A15354" s="17"/>
      <c r="H15354" s="18"/>
      <c r="K15354" s="18" t="s">
        <v>316</v>
      </c>
    </row>
    <row r="15355">
      <c r="A15355" s="17"/>
      <c r="H15355" s="18"/>
      <c r="K15355" s="18" t="s">
        <v>316</v>
      </c>
    </row>
    <row r="15356">
      <c r="A15356" s="17"/>
      <c r="H15356" s="18"/>
      <c r="K15356" s="18" t="s">
        <v>316</v>
      </c>
    </row>
    <row r="15357">
      <c r="A15357" s="17"/>
      <c r="H15357" s="18"/>
      <c r="K15357" s="18" t="s">
        <v>316</v>
      </c>
    </row>
    <row r="15358">
      <c r="A15358" s="17"/>
      <c r="H15358" s="18"/>
      <c r="K15358" s="18" t="s">
        <v>316</v>
      </c>
    </row>
    <row r="15359">
      <c r="A15359" s="17"/>
      <c r="H15359" s="18"/>
      <c r="K15359" s="18" t="s">
        <v>316</v>
      </c>
    </row>
    <row r="15360">
      <c r="A15360" s="17"/>
      <c r="H15360" s="18"/>
      <c r="K15360" s="18" t="s">
        <v>316</v>
      </c>
    </row>
    <row r="15361">
      <c r="A15361" s="17"/>
      <c r="H15361" s="18"/>
      <c r="K15361" s="18" t="s">
        <v>316</v>
      </c>
    </row>
    <row r="15362">
      <c r="A15362" s="17"/>
      <c r="H15362" s="18"/>
      <c r="K15362" s="18" t="s">
        <v>316</v>
      </c>
    </row>
    <row r="15363">
      <c r="A15363" s="17"/>
      <c r="H15363" s="18"/>
      <c r="K15363" s="18" t="s">
        <v>316</v>
      </c>
    </row>
    <row r="15364">
      <c r="A15364" s="17"/>
      <c r="H15364" s="18"/>
      <c r="K15364" s="18" t="s">
        <v>316</v>
      </c>
    </row>
    <row r="15365">
      <c r="A15365" s="17"/>
      <c r="H15365" s="18"/>
      <c r="K15365" s="18" t="s">
        <v>316</v>
      </c>
    </row>
    <row r="15366">
      <c r="A15366" s="17"/>
      <c r="H15366" s="18"/>
      <c r="K15366" s="18" t="s">
        <v>316</v>
      </c>
    </row>
    <row r="15367">
      <c r="A15367" s="17"/>
      <c r="H15367" s="18"/>
      <c r="K15367" s="18" t="s">
        <v>316</v>
      </c>
    </row>
    <row r="15368">
      <c r="A15368" s="17"/>
      <c r="H15368" s="18"/>
      <c r="K15368" s="18" t="s">
        <v>316</v>
      </c>
    </row>
    <row r="15369">
      <c r="A15369" s="17"/>
      <c r="H15369" s="18"/>
      <c r="K15369" s="18" t="s">
        <v>316</v>
      </c>
    </row>
    <row r="15370">
      <c r="A15370" s="17"/>
      <c r="H15370" s="18"/>
      <c r="K15370" s="18" t="s">
        <v>316</v>
      </c>
    </row>
    <row r="15371">
      <c r="A15371" s="17"/>
      <c r="H15371" s="18"/>
      <c r="K15371" s="18" t="s">
        <v>316</v>
      </c>
    </row>
    <row r="15372">
      <c r="A15372" s="17"/>
      <c r="H15372" s="18"/>
      <c r="K15372" s="18" t="s">
        <v>316</v>
      </c>
    </row>
    <row r="15373">
      <c r="A15373" s="17"/>
      <c r="H15373" s="18"/>
      <c r="K15373" s="18" t="s">
        <v>316</v>
      </c>
    </row>
    <row r="15374">
      <c r="A15374" s="17"/>
      <c r="H15374" s="18"/>
      <c r="K15374" s="18" t="s">
        <v>316</v>
      </c>
    </row>
    <row r="15375">
      <c r="A15375" s="17"/>
      <c r="H15375" s="18"/>
      <c r="K15375" s="18" t="s">
        <v>316</v>
      </c>
    </row>
    <row r="15376">
      <c r="A15376" s="17"/>
      <c r="H15376" s="18"/>
      <c r="K15376" s="18" t="s">
        <v>316</v>
      </c>
    </row>
    <row r="15377">
      <c r="A15377" s="17"/>
      <c r="H15377" s="18"/>
      <c r="K15377" s="18" t="s">
        <v>316</v>
      </c>
    </row>
    <row r="15378">
      <c r="A15378" s="17"/>
      <c r="H15378" s="18"/>
      <c r="K15378" s="18" t="s">
        <v>316</v>
      </c>
    </row>
    <row r="15379">
      <c r="A15379" s="17"/>
      <c r="H15379" s="18"/>
      <c r="K15379" s="18" t="s">
        <v>316</v>
      </c>
    </row>
    <row r="15380">
      <c r="A15380" s="17"/>
      <c r="H15380" s="18"/>
      <c r="K15380" s="18" t="s">
        <v>316</v>
      </c>
    </row>
    <row r="15381">
      <c r="A15381" s="17"/>
      <c r="H15381" s="18"/>
      <c r="K15381" s="18" t="s">
        <v>316</v>
      </c>
    </row>
    <row r="15382">
      <c r="A15382" s="17"/>
      <c r="H15382" s="18"/>
      <c r="K15382" s="18" t="s">
        <v>316</v>
      </c>
    </row>
    <row r="15383">
      <c r="A15383" s="17"/>
      <c r="H15383" s="18"/>
      <c r="K15383" s="18" t="s">
        <v>316</v>
      </c>
    </row>
    <row r="15384">
      <c r="A15384" s="17"/>
      <c r="H15384" s="18"/>
      <c r="K15384" s="18" t="s">
        <v>316</v>
      </c>
    </row>
    <row r="15385">
      <c r="A15385" s="17"/>
      <c r="H15385" s="18"/>
      <c r="K15385" s="18" t="s">
        <v>316</v>
      </c>
    </row>
    <row r="15386">
      <c r="A15386" s="17"/>
      <c r="H15386" s="18"/>
      <c r="K15386" s="18" t="s">
        <v>316</v>
      </c>
    </row>
    <row r="15387">
      <c r="A15387" s="17"/>
      <c r="H15387" s="18"/>
      <c r="K15387" s="18" t="s">
        <v>316</v>
      </c>
    </row>
    <row r="15388">
      <c r="A15388" s="17"/>
      <c r="H15388" s="18"/>
      <c r="K15388" s="18" t="s">
        <v>316</v>
      </c>
    </row>
    <row r="15389">
      <c r="A15389" s="17"/>
      <c r="H15389" s="18"/>
      <c r="K15389" s="18" t="s">
        <v>316</v>
      </c>
    </row>
    <row r="15390">
      <c r="A15390" s="17"/>
      <c r="H15390" s="18"/>
      <c r="K15390" s="18" t="s">
        <v>316</v>
      </c>
    </row>
    <row r="15391">
      <c r="A15391" s="17"/>
      <c r="H15391" s="18"/>
      <c r="K15391" s="18" t="s">
        <v>316</v>
      </c>
    </row>
    <row r="15392">
      <c r="A15392" s="17"/>
      <c r="H15392" s="18"/>
      <c r="K15392" s="18" t="s">
        <v>316</v>
      </c>
    </row>
    <row r="15393">
      <c r="A15393" s="17"/>
      <c r="H15393" s="18"/>
      <c r="K15393" s="18" t="s">
        <v>316</v>
      </c>
    </row>
    <row r="15394">
      <c r="A15394" s="17"/>
      <c r="H15394" s="18"/>
      <c r="K15394" s="18" t="s">
        <v>316</v>
      </c>
    </row>
    <row r="15395">
      <c r="A15395" s="17"/>
      <c r="H15395" s="18"/>
      <c r="K15395" s="18" t="s">
        <v>316</v>
      </c>
    </row>
    <row r="15396">
      <c r="A15396" s="17"/>
      <c r="H15396" s="18"/>
      <c r="K15396" s="18" t="s">
        <v>316</v>
      </c>
    </row>
    <row r="15397">
      <c r="A15397" s="17"/>
      <c r="H15397" s="18"/>
      <c r="K15397" s="18" t="s">
        <v>316</v>
      </c>
    </row>
    <row r="15398">
      <c r="A15398" s="17"/>
      <c r="H15398" s="18"/>
      <c r="K15398" s="18" t="s">
        <v>316</v>
      </c>
    </row>
    <row r="15399">
      <c r="A15399" s="17"/>
      <c r="H15399" s="18"/>
      <c r="K15399" s="18" t="s">
        <v>316</v>
      </c>
    </row>
    <row r="15400">
      <c r="A15400" s="17"/>
      <c r="H15400" s="18"/>
      <c r="K15400" s="18" t="s">
        <v>316</v>
      </c>
    </row>
    <row r="15401">
      <c r="A15401" s="17"/>
      <c r="H15401" s="18"/>
      <c r="K15401" s="18" t="s">
        <v>316</v>
      </c>
    </row>
    <row r="15402">
      <c r="A15402" s="17"/>
      <c r="H15402" s="18"/>
      <c r="K15402" s="18" t="s">
        <v>316</v>
      </c>
    </row>
    <row r="15403">
      <c r="A15403" s="17"/>
      <c r="H15403" s="18"/>
      <c r="K15403" s="18" t="s">
        <v>316</v>
      </c>
    </row>
    <row r="15404">
      <c r="A15404" s="17"/>
      <c r="H15404" s="18"/>
      <c r="K15404" s="18" t="s">
        <v>316</v>
      </c>
    </row>
    <row r="15405">
      <c r="A15405" s="17"/>
      <c r="H15405" s="18"/>
      <c r="K15405" s="18" t="s">
        <v>316</v>
      </c>
    </row>
    <row r="15406">
      <c r="A15406" s="17"/>
      <c r="H15406" s="18"/>
      <c r="K15406" s="18" t="s">
        <v>316</v>
      </c>
    </row>
    <row r="15407">
      <c r="A15407" s="17"/>
      <c r="H15407" s="18"/>
      <c r="K15407" s="18" t="s">
        <v>316</v>
      </c>
    </row>
    <row r="15408">
      <c r="A15408" s="17"/>
      <c r="H15408" s="18"/>
      <c r="K15408" s="18" t="s">
        <v>316</v>
      </c>
    </row>
    <row r="15409">
      <c r="A15409" s="17"/>
      <c r="H15409" s="18"/>
      <c r="K15409" s="18" t="s">
        <v>316</v>
      </c>
    </row>
    <row r="15410">
      <c r="A15410" s="17"/>
      <c r="H15410" s="18"/>
      <c r="K15410" s="18" t="s">
        <v>316</v>
      </c>
    </row>
    <row r="15411">
      <c r="A15411" s="17"/>
      <c r="H15411" s="18"/>
      <c r="K15411" s="18" t="s">
        <v>316</v>
      </c>
    </row>
    <row r="15412">
      <c r="A15412" s="17"/>
      <c r="H15412" s="18"/>
      <c r="K15412" s="18" t="s">
        <v>316</v>
      </c>
    </row>
    <row r="15413">
      <c r="A15413" s="17"/>
      <c r="H15413" s="18"/>
      <c r="K15413" s="18" t="s">
        <v>316</v>
      </c>
    </row>
    <row r="15414">
      <c r="A15414" s="17"/>
      <c r="H15414" s="18"/>
      <c r="K15414" s="18" t="s">
        <v>316</v>
      </c>
    </row>
    <row r="15415">
      <c r="A15415" s="17"/>
      <c r="H15415" s="18"/>
      <c r="K15415" s="18" t="s">
        <v>316</v>
      </c>
    </row>
    <row r="15416">
      <c r="A15416" s="17"/>
      <c r="H15416" s="18"/>
      <c r="K15416" s="18" t="s">
        <v>316</v>
      </c>
    </row>
    <row r="15417">
      <c r="A15417" s="17"/>
      <c r="H15417" s="18"/>
      <c r="K15417" s="18" t="s">
        <v>316</v>
      </c>
    </row>
    <row r="15418">
      <c r="A15418" s="17"/>
      <c r="H15418" s="18"/>
      <c r="K15418" s="18" t="s">
        <v>316</v>
      </c>
    </row>
    <row r="15419">
      <c r="A15419" s="17"/>
      <c r="H15419" s="18"/>
      <c r="K15419" s="18" t="s">
        <v>316</v>
      </c>
    </row>
    <row r="15420">
      <c r="A15420" s="17"/>
      <c r="H15420" s="18"/>
      <c r="K15420" s="18" t="s">
        <v>316</v>
      </c>
    </row>
    <row r="15421">
      <c r="A15421" s="17"/>
      <c r="H15421" s="18"/>
      <c r="K15421" s="18" t="s">
        <v>316</v>
      </c>
    </row>
    <row r="15422">
      <c r="A15422" s="17"/>
      <c r="H15422" s="18"/>
      <c r="K15422" s="18" t="s">
        <v>316</v>
      </c>
    </row>
    <row r="15423">
      <c r="A15423" s="17"/>
      <c r="H15423" s="18"/>
      <c r="K15423" s="18" t="s">
        <v>316</v>
      </c>
    </row>
    <row r="15424">
      <c r="A15424" s="17"/>
      <c r="H15424" s="18"/>
      <c r="K15424" s="18" t="s">
        <v>316</v>
      </c>
    </row>
    <row r="15425">
      <c r="A15425" s="17"/>
      <c r="H15425" s="18"/>
      <c r="K15425" s="18" t="s">
        <v>316</v>
      </c>
    </row>
    <row r="15426">
      <c r="A15426" s="17"/>
      <c r="H15426" s="18"/>
      <c r="K15426" s="18" t="s">
        <v>316</v>
      </c>
    </row>
    <row r="15427">
      <c r="A15427" s="17"/>
      <c r="H15427" s="18"/>
      <c r="K15427" s="18" t="s">
        <v>316</v>
      </c>
    </row>
    <row r="15428">
      <c r="A15428" s="17"/>
      <c r="H15428" s="18"/>
      <c r="K15428" s="18" t="s">
        <v>316</v>
      </c>
    </row>
    <row r="15429">
      <c r="A15429" s="17"/>
      <c r="H15429" s="18"/>
      <c r="K15429" s="18" t="s">
        <v>316</v>
      </c>
    </row>
    <row r="15430">
      <c r="A15430" s="17"/>
      <c r="H15430" s="18"/>
      <c r="K15430" s="18" t="s">
        <v>316</v>
      </c>
    </row>
    <row r="15431">
      <c r="A15431" s="17"/>
      <c r="H15431" s="18"/>
      <c r="K15431" s="18" t="s">
        <v>316</v>
      </c>
    </row>
    <row r="15432">
      <c r="A15432" s="17"/>
      <c r="H15432" s="18"/>
      <c r="K15432" s="18" t="s">
        <v>316</v>
      </c>
    </row>
    <row r="15433">
      <c r="A15433" s="17"/>
      <c r="H15433" s="18"/>
      <c r="K15433" s="18" t="s">
        <v>316</v>
      </c>
    </row>
    <row r="15434">
      <c r="A15434" s="17"/>
      <c r="H15434" s="18"/>
      <c r="K15434" s="18" t="s">
        <v>316</v>
      </c>
    </row>
    <row r="15435">
      <c r="A15435" s="17"/>
      <c r="H15435" s="18"/>
      <c r="K15435" s="18" t="s">
        <v>316</v>
      </c>
    </row>
    <row r="15436">
      <c r="A15436" s="17"/>
      <c r="H15436" s="18"/>
      <c r="K15436" s="18" t="s">
        <v>316</v>
      </c>
    </row>
    <row r="15437">
      <c r="A15437" s="17"/>
      <c r="H15437" s="18"/>
      <c r="K15437" s="18" t="s">
        <v>316</v>
      </c>
    </row>
    <row r="15438">
      <c r="A15438" s="17"/>
      <c r="H15438" s="18"/>
      <c r="K15438" s="18" t="s">
        <v>316</v>
      </c>
    </row>
    <row r="15439">
      <c r="A15439" s="17"/>
      <c r="H15439" s="18"/>
      <c r="K15439" s="18" t="s">
        <v>316</v>
      </c>
    </row>
    <row r="15440">
      <c r="A15440" s="17"/>
      <c r="H15440" s="18"/>
      <c r="K15440" s="18" t="s">
        <v>316</v>
      </c>
    </row>
    <row r="15441">
      <c r="A15441" s="17"/>
      <c r="H15441" s="18"/>
      <c r="K15441" s="18" t="s">
        <v>316</v>
      </c>
    </row>
    <row r="15442">
      <c r="A15442" s="17"/>
      <c r="H15442" s="18"/>
      <c r="K15442" s="18" t="s">
        <v>316</v>
      </c>
    </row>
    <row r="15443">
      <c r="A15443" s="17"/>
      <c r="H15443" s="18"/>
      <c r="K15443" s="18" t="s">
        <v>316</v>
      </c>
    </row>
    <row r="15444">
      <c r="A15444" s="17"/>
      <c r="H15444" s="18"/>
      <c r="K15444" s="18" t="s">
        <v>316</v>
      </c>
    </row>
    <row r="15445">
      <c r="A15445" s="17"/>
      <c r="H15445" s="18"/>
      <c r="K15445" s="18" t="s">
        <v>316</v>
      </c>
    </row>
    <row r="15446">
      <c r="A15446" s="17"/>
      <c r="H15446" s="18"/>
      <c r="K15446" s="18" t="s">
        <v>316</v>
      </c>
    </row>
    <row r="15447">
      <c r="A15447" s="17"/>
      <c r="H15447" s="18"/>
      <c r="K15447" s="18" t="s">
        <v>316</v>
      </c>
    </row>
    <row r="15448">
      <c r="A15448" s="17"/>
      <c r="H15448" s="18"/>
      <c r="K15448" s="18" t="s">
        <v>316</v>
      </c>
    </row>
    <row r="15449">
      <c r="A15449" s="17"/>
      <c r="H15449" s="18"/>
      <c r="K15449" s="18" t="s">
        <v>316</v>
      </c>
    </row>
    <row r="15450">
      <c r="A15450" s="17"/>
      <c r="H15450" s="18"/>
      <c r="K15450" s="18" t="s">
        <v>316</v>
      </c>
    </row>
    <row r="15451">
      <c r="A15451" s="17"/>
      <c r="H15451" s="18"/>
      <c r="K15451" s="18" t="s">
        <v>316</v>
      </c>
    </row>
    <row r="15452">
      <c r="A15452" s="17"/>
      <c r="H15452" s="18"/>
      <c r="K15452" s="18" t="s">
        <v>316</v>
      </c>
    </row>
    <row r="15453">
      <c r="A15453" s="17"/>
      <c r="H15453" s="18"/>
      <c r="K15453" s="18" t="s">
        <v>316</v>
      </c>
    </row>
    <row r="15454">
      <c r="A15454" s="17"/>
      <c r="H15454" s="18"/>
      <c r="K15454" s="18" t="s">
        <v>316</v>
      </c>
    </row>
    <row r="15455">
      <c r="A15455" s="17"/>
      <c r="H15455" s="18"/>
      <c r="K15455" s="18" t="s">
        <v>316</v>
      </c>
    </row>
    <row r="15456">
      <c r="A15456" s="17"/>
      <c r="H15456" s="18"/>
      <c r="K15456" s="18" t="s">
        <v>316</v>
      </c>
    </row>
    <row r="15457">
      <c r="A15457" s="17"/>
      <c r="H15457" s="18"/>
      <c r="K15457" s="18" t="s">
        <v>316</v>
      </c>
    </row>
    <row r="15458">
      <c r="A15458" s="17"/>
      <c r="H15458" s="18"/>
      <c r="K15458" s="18" t="s">
        <v>316</v>
      </c>
    </row>
    <row r="15459">
      <c r="A15459" s="17"/>
      <c r="H15459" s="18"/>
      <c r="K15459" s="18" t="s">
        <v>316</v>
      </c>
    </row>
    <row r="15460">
      <c r="A15460" s="17"/>
      <c r="H15460" s="18"/>
      <c r="K15460" s="18" t="s">
        <v>316</v>
      </c>
    </row>
    <row r="15461">
      <c r="A15461" s="17"/>
      <c r="H15461" s="18"/>
      <c r="K15461" s="18" t="s">
        <v>316</v>
      </c>
    </row>
    <row r="15462">
      <c r="A15462" s="17"/>
      <c r="H15462" s="18"/>
      <c r="K15462" s="18" t="s">
        <v>316</v>
      </c>
    </row>
    <row r="15463">
      <c r="A15463" s="17"/>
      <c r="H15463" s="18"/>
      <c r="K15463" s="18" t="s">
        <v>316</v>
      </c>
    </row>
    <row r="15464">
      <c r="A15464" s="17"/>
      <c r="H15464" s="18"/>
      <c r="K15464" s="18" t="s">
        <v>316</v>
      </c>
    </row>
    <row r="15465">
      <c r="A15465" s="17"/>
      <c r="H15465" s="18"/>
      <c r="K15465" s="18" t="s">
        <v>316</v>
      </c>
    </row>
    <row r="15466">
      <c r="A15466" s="17"/>
      <c r="H15466" s="18"/>
      <c r="K15466" s="18" t="s">
        <v>316</v>
      </c>
    </row>
    <row r="15467">
      <c r="A15467" s="17"/>
      <c r="H15467" s="18"/>
      <c r="K15467" s="18" t="s">
        <v>316</v>
      </c>
    </row>
    <row r="15468">
      <c r="A15468" s="17"/>
      <c r="H15468" s="18"/>
      <c r="K15468" s="18" t="s">
        <v>316</v>
      </c>
    </row>
    <row r="15469">
      <c r="A15469" s="17"/>
      <c r="H15469" s="18"/>
      <c r="K15469" s="18" t="s">
        <v>316</v>
      </c>
    </row>
    <row r="15470">
      <c r="A15470" s="17"/>
      <c r="H15470" s="18"/>
      <c r="K15470" s="18" t="s">
        <v>316</v>
      </c>
    </row>
    <row r="15471">
      <c r="A15471" s="17"/>
      <c r="H15471" s="18"/>
      <c r="K15471" s="18" t="s">
        <v>316</v>
      </c>
    </row>
    <row r="15472">
      <c r="A15472" s="17"/>
      <c r="H15472" s="18"/>
      <c r="K15472" s="18" t="s">
        <v>316</v>
      </c>
    </row>
    <row r="15473">
      <c r="A15473" s="17"/>
      <c r="H15473" s="18"/>
      <c r="K15473" s="18" t="s">
        <v>316</v>
      </c>
    </row>
    <row r="15474">
      <c r="A15474" s="17"/>
      <c r="H15474" s="18"/>
      <c r="K15474" s="18" t="s">
        <v>316</v>
      </c>
    </row>
    <row r="15475">
      <c r="A15475" s="17"/>
      <c r="H15475" s="18"/>
      <c r="K15475" s="18" t="s">
        <v>316</v>
      </c>
    </row>
    <row r="15476">
      <c r="A15476" s="17"/>
      <c r="H15476" s="18"/>
      <c r="K15476" s="18" t="s">
        <v>316</v>
      </c>
    </row>
    <row r="15477">
      <c r="A15477" s="17"/>
      <c r="H15477" s="18"/>
      <c r="K15477" s="18" t="s">
        <v>316</v>
      </c>
    </row>
    <row r="15478">
      <c r="A15478" s="17"/>
      <c r="H15478" s="18"/>
      <c r="K15478" s="18" t="s">
        <v>316</v>
      </c>
    </row>
    <row r="15479">
      <c r="A15479" s="17"/>
      <c r="H15479" s="18"/>
      <c r="K15479" s="18" t="s">
        <v>316</v>
      </c>
    </row>
    <row r="15480">
      <c r="A15480" s="17"/>
      <c r="H15480" s="18"/>
      <c r="K15480" s="18" t="s">
        <v>316</v>
      </c>
    </row>
    <row r="15481">
      <c r="A15481" s="17"/>
      <c r="H15481" s="18"/>
      <c r="K15481" s="18" t="s">
        <v>316</v>
      </c>
    </row>
    <row r="15482">
      <c r="A15482" s="17"/>
      <c r="H15482" s="18"/>
      <c r="K15482" s="18" t="s">
        <v>316</v>
      </c>
    </row>
    <row r="15483">
      <c r="A15483" s="17"/>
      <c r="H15483" s="18"/>
      <c r="K15483" s="18" t="s">
        <v>316</v>
      </c>
    </row>
    <row r="15484">
      <c r="A15484" s="17"/>
      <c r="H15484" s="18"/>
      <c r="K15484" s="18" t="s">
        <v>316</v>
      </c>
    </row>
    <row r="15485">
      <c r="A15485" s="17"/>
      <c r="H15485" s="18"/>
      <c r="K15485" s="18" t="s">
        <v>316</v>
      </c>
    </row>
    <row r="15486">
      <c r="A15486" s="17"/>
      <c r="H15486" s="18"/>
      <c r="K15486" s="18" t="s">
        <v>316</v>
      </c>
    </row>
    <row r="15487">
      <c r="A15487" s="17"/>
      <c r="H15487" s="18"/>
      <c r="K15487" s="18" t="s">
        <v>316</v>
      </c>
    </row>
    <row r="15488">
      <c r="A15488" s="17"/>
      <c r="H15488" s="18"/>
      <c r="K15488" s="18" t="s">
        <v>316</v>
      </c>
    </row>
    <row r="15489">
      <c r="A15489" s="17"/>
      <c r="H15489" s="18"/>
      <c r="K15489" s="18" t="s">
        <v>316</v>
      </c>
    </row>
    <row r="15490">
      <c r="A15490" s="17"/>
      <c r="H15490" s="18"/>
      <c r="K15490" s="18" t="s">
        <v>316</v>
      </c>
    </row>
    <row r="15491">
      <c r="A15491" s="17"/>
      <c r="H15491" s="18"/>
      <c r="K15491" s="18" t="s">
        <v>316</v>
      </c>
    </row>
    <row r="15492">
      <c r="A15492" s="17"/>
      <c r="H15492" s="18"/>
      <c r="K15492" s="18" t="s">
        <v>316</v>
      </c>
    </row>
    <row r="15493">
      <c r="A15493" s="17"/>
      <c r="H15493" s="18"/>
      <c r="K15493" s="18" t="s">
        <v>316</v>
      </c>
    </row>
    <row r="15494">
      <c r="A15494" s="17"/>
      <c r="H15494" s="18"/>
      <c r="K15494" s="18" t="s">
        <v>316</v>
      </c>
    </row>
    <row r="15495">
      <c r="A15495" s="17"/>
      <c r="H15495" s="18"/>
      <c r="K15495" s="18" t="s">
        <v>316</v>
      </c>
    </row>
    <row r="15496">
      <c r="A15496" s="17"/>
      <c r="H15496" s="18"/>
      <c r="K15496" s="18" t="s">
        <v>316</v>
      </c>
    </row>
    <row r="15497">
      <c r="A15497" s="17"/>
      <c r="H15497" s="18"/>
      <c r="K15497" s="18" t="s">
        <v>316</v>
      </c>
    </row>
    <row r="15498">
      <c r="A15498" s="17"/>
      <c r="H15498" s="18"/>
      <c r="K15498" s="18" t="s">
        <v>316</v>
      </c>
    </row>
    <row r="15499">
      <c r="A15499" s="17"/>
      <c r="H15499" s="18"/>
      <c r="K15499" s="18" t="s">
        <v>316</v>
      </c>
    </row>
    <row r="15500">
      <c r="A15500" s="17"/>
      <c r="H15500" s="18"/>
      <c r="K15500" s="18" t="s">
        <v>316</v>
      </c>
    </row>
    <row r="15501">
      <c r="A15501" s="17"/>
      <c r="H15501" s="18"/>
      <c r="K15501" s="18" t="s">
        <v>316</v>
      </c>
    </row>
    <row r="15502">
      <c r="A15502" s="17"/>
      <c r="H15502" s="18"/>
      <c r="K15502" s="18" t="s">
        <v>316</v>
      </c>
    </row>
    <row r="15503">
      <c r="A15503" s="17"/>
      <c r="H15503" s="18"/>
      <c r="K15503" s="18" t="s">
        <v>316</v>
      </c>
    </row>
    <row r="15504">
      <c r="A15504" s="17"/>
      <c r="H15504" s="18"/>
      <c r="K15504" s="18" t="s">
        <v>316</v>
      </c>
    </row>
    <row r="15505">
      <c r="A15505" s="17"/>
      <c r="H15505" s="18"/>
      <c r="K15505" s="18" t="s">
        <v>316</v>
      </c>
    </row>
    <row r="15506">
      <c r="A15506" s="17"/>
      <c r="H15506" s="18"/>
      <c r="K15506" s="18" t="s">
        <v>316</v>
      </c>
    </row>
    <row r="15507">
      <c r="A15507" s="17"/>
      <c r="H15507" s="18"/>
      <c r="K15507" s="18" t="s">
        <v>316</v>
      </c>
    </row>
    <row r="15508">
      <c r="A15508" s="17"/>
      <c r="H15508" s="18"/>
      <c r="K15508" s="18" t="s">
        <v>316</v>
      </c>
    </row>
    <row r="15509">
      <c r="A15509" s="17"/>
      <c r="H15509" s="18"/>
      <c r="K15509" s="18" t="s">
        <v>316</v>
      </c>
    </row>
    <row r="15510">
      <c r="A15510" s="17"/>
      <c r="H15510" s="18"/>
      <c r="K15510" s="18" t="s">
        <v>316</v>
      </c>
    </row>
    <row r="15511">
      <c r="A15511" s="17"/>
      <c r="H15511" s="18"/>
      <c r="K15511" s="18" t="s">
        <v>316</v>
      </c>
    </row>
    <row r="15512">
      <c r="A15512" s="17"/>
      <c r="H15512" s="18"/>
      <c r="K15512" s="18" t="s">
        <v>316</v>
      </c>
    </row>
    <row r="15513">
      <c r="A15513" s="17"/>
      <c r="H15513" s="18"/>
      <c r="K15513" s="18" t="s">
        <v>316</v>
      </c>
    </row>
    <row r="15514">
      <c r="A15514" s="17"/>
      <c r="H15514" s="18"/>
      <c r="K15514" s="18" t="s">
        <v>316</v>
      </c>
    </row>
    <row r="15515">
      <c r="A15515" s="17"/>
      <c r="H15515" s="18"/>
      <c r="K15515" s="18" t="s">
        <v>316</v>
      </c>
    </row>
    <row r="15516">
      <c r="A15516" s="17"/>
      <c r="H15516" s="18"/>
      <c r="K15516" s="18" t="s">
        <v>316</v>
      </c>
    </row>
    <row r="15517">
      <c r="A15517" s="17"/>
      <c r="H15517" s="18"/>
      <c r="K15517" s="18" t="s">
        <v>316</v>
      </c>
    </row>
    <row r="15518">
      <c r="A15518" s="17"/>
      <c r="H15518" s="18"/>
      <c r="K15518" s="18" t="s">
        <v>316</v>
      </c>
    </row>
    <row r="15519">
      <c r="A15519" s="17"/>
      <c r="H15519" s="18"/>
      <c r="K15519" s="18" t="s">
        <v>316</v>
      </c>
    </row>
    <row r="15520">
      <c r="A15520" s="17"/>
      <c r="H15520" s="18"/>
      <c r="K15520" s="18" t="s">
        <v>316</v>
      </c>
    </row>
    <row r="15521">
      <c r="A15521" s="17"/>
      <c r="H15521" s="18"/>
      <c r="K15521" s="18" t="s">
        <v>316</v>
      </c>
    </row>
    <row r="15522">
      <c r="A15522" s="17"/>
      <c r="H15522" s="18"/>
      <c r="K15522" s="18" t="s">
        <v>316</v>
      </c>
    </row>
    <row r="15523">
      <c r="A15523" s="17"/>
      <c r="H15523" s="18"/>
      <c r="K15523" s="18" t="s">
        <v>316</v>
      </c>
    </row>
    <row r="15524">
      <c r="A15524" s="17"/>
      <c r="H15524" s="18"/>
      <c r="K15524" s="18" t="s">
        <v>316</v>
      </c>
    </row>
    <row r="15525">
      <c r="A15525" s="17"/>
      <c r="H15525" s="18"/>
      <c r="K15525" s="18" t="s">
        <v>316</v>
      </c>
    </row>
    <row r="15526">
      <c r="A15526" s="17"/>
      <c r="H15526" s="18"/>
      <c r="K15526" s="18" t="s">
        <v>316</v>
      </c>
    </row>
    <row r="15527">
      <c r="A15527" s="17"/>
      <c r="H15527" s="18"/>
      <c r="K15527" s="18" t="s">
        <v>316</v>
      </c>
    </row>
    <row r="15528">
      <c r="A15528" s="17"/>
      <c r="H15528" s="18"/>
      <c r="K15528" s="18" t="s">
        <v>316</v>
      </c>
    </row>
    <row r="15529">
      <c r="A15529" s="17"/>
      <c r="H15529" s="18"/>
      <c r="K15529" s="18" t="s">
        <v>316</v>
      </c>
    </row>
    <row r="15530">
      <c r="A15530" s="17"/>
      <c r="H15530" s="18"/>
      <c r="K15530" s="18" t="s">
        <v>316</v>
      </c>
    </row>
    <row r="15531">
      <c r="A15531" s="17"/>
      <c r="H15531" s="18"/>
      <c r="K15531" s="18" t="s">
        <v>316</v>
      </c>
    </row>
    <row r="15532">
      <c r="A15532" s="17"/>
      <c r="H15532" s="18"/>
      <c r="K15532" s="18" t="s">
        <v>316</v>
      </c>
    </row>
    <row r="15533">
      <c r="A15533" s="17"/>
      <c r="H15533" s="18"/>
      <c r="K15533" s="18" t="s">
        <v>316</v>
      </c>
    </row>
    <row r="15534">
      <c r="A15534" s="17"/>
      <c r="H15534" s="18"/>
      <c r="K15534" s="18" t="s">
        <v>316</v>
      </c>
    </row>
    <row r="15535">
      <c r="A15535" s="17"/>
      <c r="H15535" s="18"/>
      <c r="K15535" s="18" t="s">
        <v>316</v>
      </c>
    </row>
    <row r="15536">
      <c r="A15536" s="17"/>
      <c r="H15536" s="18"/>
      <c r="K15536" s="18" t="s">
        <v>316</v>
      </c>
    </row>
    <row r="15537">
      <c r="A15537" s="17"/>
      <c r="H15537" s="18"/>
      <c r="K15537" s="18" t="s">
        <v>316</v>
      </c>
    </row>
    <row r="15538">
      <c r="A15538" s="17"/>
      <c r="H15538" s="18"/>
      <c r="K15538" s="18" t="s">
        <v>316</v>
      </c>
    </row>
    <row r="15539">
      <c r="A15539" s="17"/>
      <c r="H15539" s="18"/>
      <c r="K15539" s="18" t="s">
        <v>316</v>
      </c>
    </row>
    <row r="15540">
      <c r="A15540" s="17"/>
      <c r="H15540" s="18"/>
      <c r="K15540" s="18" t="s">
        <v>316</v>
      </c>
    </row>
    <row r="15541">
      <c r="A15541" s="17"/>
      <c r="H15541" s="18"/>
      <c r="K15541" s="18" t="s">
        <v>316</v>
      </c>
    </row>
    <row r="15542">
      <c r="A15542" s="17"/>
      <c r="H15542" s="18"/>
      <c r="K15542" s="18" t="s">
        <v>316</v>
      </c>
    </row>
    <row r="15543">
      <c r="A15543" s="17"/>
      <c r="H15543" s="18"/>
      <c r="K15543" s="18" t="s">
        <v>316</v>
      </c>
    </row>
    <row r="15544">
      <c r="A15544" s="17"/>
      <c r="H15544" s="18"/>
      <c r="K15544" s="18" t="s">
        <v>316</v>
      </c>
    </row>
    <row r="15545">
      <c r="A15545" s="17"/>
      <c r="H15545" s="18"/>
      <c r="K15545" s="18" t="s">
        <v>316</v>
      </c>
    </row>
    <row r="15546">
      <c r="A15546" s="17"/>
      <c r="H15546" s="18"/>
      <c r="K15546" s="18" t="s">
        <v>316</v>
      </c>
    </row>
    <row r="15547">
      <c r="A15547" s="17"/>
      <c r="H15547" s="18"/>
      <c r="K15547" s="18" t="s">
        <v>316</v>
      </c>
    </row>
    <row r="15548">
      <c r="A15548" s="17"/>
      <c r="H15548" s="18"/>
      <c r="K15548" s="18" t="s">
        <v>316</v>
      </c>
    </row>
    <row r="15549">
      <c r="A15549" s="17"/>
      <c r="H15549" s="18"/>
      <c r="K15549" s="18" t="s">
        <v>316</v>
      </c>
    </row>
    <row r="15550">
      <c r="A15550" s="17"/>
      <c r="H15550" s="18"/>
      <c r="K15550" s="18" t="s">
        <v>316</v>
      </c>
    </row>
    <row r="15551">
      <c r="A15551" s="17"/>
      <c r="H15551" s="18"/>
      <c r="K15551" s="18" t="s">
        <v>316</v>
      </c>
    </row>
    <row r="15552">
      <c r="A15552" s="17"/>
      <c r="H15552" s="18"/>
      <c r="K15552" s="18" t="s">
        <v>316</v>
      </c>
    </row>
    <row r="15553">
      <c r="A15553" s="17"/>
      <c r="H15553" s="18"/>
      <c r="K15553" s="18" t="s">
        <v>316</v>
      </c>
    </row>
    <row r="15554">
      <c r="A15554" s="17"/>
      <c r="H15554" s="18"/>
      <c r="K15554" s="18" t="s">
        <v>316</v>
      </c>
    </row>
    <row r="15555">
      <c r="A15555" s="17"/>
      <c r="H15555" s="18"/>
      <c r="K15555" s="18" t="s">
        <v>316</v>
      </c>
    </row>
    <row r="15556">
      <c r="A15556" s="17"/>
      <c r="H15556" s="18"/>
      <c r="K15556" s="18" t="s">
        <v>316</v>
      </c>
    </row>
    <row r="15557">
      <c r="A15557" s="17"/>
      <c r="H15557" s="18"/>
      <c r="K15557" s="18" t="s">
        <v>316</v>
      </c>
    </row>
    <row r="15558">
      <c r="A15558" s="17"/>
      <c r="H15558" s="18"/>
      <c r="K15558" s="18" t="s">
        <v>316</v>
      </c>
    </row>
    <row r="15559">
      <c r="A15559" s="17"/>
      <c r="H15559" s="18"/>
      <c r="K15559" s="18" t="s">
        <v>316</v>
      </c>
    </row>
    <row r="15560">
      <c r="A15560" s="17"/>
      <c r="H15560" s="18"/>
      <c r="K15560" s="18" t="s">
        <v>316</v>
      </c>
    </row>
    <row r="15561">
      <c r="A15561" s="17"/>
      <c r="H15561" s="18"/>
      <c r="K15561" s="18" t="s">
        <v>316</v>
      </c>
    </row>
    <row r="15562">
      <c r="A15562" s="17"/>
      <c r="H15562" s="18"/>
      <c r="K15562" s="18" t="s">
        <v>316</v>
      </c>
    </row>
    <row r="15563">
      <c r="A15563" s="17"/>
      <c r="H15563" s="18"/>
      <c r="K15563" s="18" t="s">
        <v>316</v>
      </c>
    </row>
    <row r="15564">
      <c r="A15564" s="17"/>
      <c r="H15564" s="18"/>
      <c r="K15564" s="18" t="s">
        <v>316</v>
      </c>
    </row>
    <row r="15565">
      <c r="A15565" s="17"/>
      <c r="H15565" s="18"/>
      <c r="K15565" s="18" t="s">
        <v>316</v>
      </c>
    </row>
    <row r="15566">
      <c r="A15566" s="17"/>
      <c r="H15566" s="18"/>
      <c r="K15566" s="18" t="s">
        <v>316</v>
      </c>
    </row>
    <row r="15567">
      <c r="A15567" s="17"/>
      <c r="H15567" s="18"/>
      <c r="K15567" s="18" t="s">
        <v>316</v>
      </c>
    </row>
    <row r="15568">
      <c r="A15568" s="17"/>
      <c r="H15568" s="18"/>
      <c r="K15568" s="18" t="s">
        <v>316</v>
      </c>
    </row>
    <row r="15569">
      <c r="A15569" s="17"/>
      <c r="H15569" s="18"/>
      <c r="K15569" s="18" t="s">
        <v>316</v>
      </c>
    </row>
    <row r="15570">
      <c r="A15570" s="17"/>
      <c r="H15570" s="18"/>
      <c r="K15570" s="18" t="s">
        <v>316</v>
      </c>
    </row>
    <row r="15571">
      <c r="A15571" s="17"/>
      <c r="H15571" s="18"/>
      <c r="K15571" s="18" t="s">
        <v>316</v>
      </c>
    </row>
    <row r="15572">
      <c r="A15572" s="17"/>
      <c r="H15572" s="18"/>
      <c r="K15572" s="18" t="s">
        <v>316</v>
      </c>
    </row>
    <row r="15573">
      <c r="A15573" s="17"/>
      <c r="H15573" s="18"/>
      <c r="K15573" s="18" t="s">
        <v>316</v>
      </c>
    </row>
    <row r="15574">
      <c r="A15574" s="17"/>
      <c r="H15574" s="18"/>
      <c r="K15574" s="18" t="s">
        <v>316</v>
      </c>
    </row>
    <row r="15575">
      <c r="A15575" s="17"/>
      <c r="H15575" s="18"/>
      <c r="K15575" s="18" t="s">
        <v>316</v>
      </c>
    </row>
    <row r="15576">
      <c r="A15576" s="17"/>
      <c r="H15576" s="18"/>
      <c r="K15576" s="18" t="s">
        <v>316</v>
      </c>
    </row>
    <row r="15577">
      <c r="A15577" s="17"/>
      <c r="H15577" s="18"/>
      <c r="K15577" s="18" t="s">
        <v>316</v>
      </c>
    </row>
    <row r="15578">
      <c r="A15578" s="17"/>
      <c r="H15578" s="18"/>
      <c r="K15578" s="18" t="s">
        <v>316</v>
      </c>
    </row>
    <row r="15579">
      <c r="A15579" s="17"/>
      <c r="H15579" s="18"/>
      <c r="K15579" s="18" t="s">
        <v>316</v>
      </c>
    </row>
    <row r="15580">
      <c r="A15580" s="17"/>
      <c r="H15580" s="18"/>
      <c r="K15580" s="18" t="s">
        <v>316</v>
      </c>
    </row>
    <row r="15581">
      <c r="A15581" s="17"/>
      <c r="H15581" s="18"/>
      <c r="K15581" s="18" t="s">
        <v>316</v>
      </c>
    </row>
    <row r="15582">
      <c r="A15582" s="17"/>
      <c r="H15582" s="18"/>
      <c r="K15582" s="18" t="s">
        <v>316</v>
      </c>
    </row>
    <row r="15583">
      <c r="A15583" s="17"/>
      <c r="H15583" s="18"/>
      <c r="K15583" s="18" t="s">
        <v>316</v>
      </c>
    </row>
    <row r="15584">
      <c r="A15584" s="17"/>
      <c r="H15584" s="18"/>
      <c r="K15584" s="18" t="s">
        <v>316</v>
      </c>
    </row>
    <row r="15585">
      <c r="A15585" s="17"/>
      <c r="H15585" s="18"/>
      <c r="K15585" s="18" t="s">
        <v>316</v>
      </c>
    </row>
    <row r="15586">
      <c r="A15586" s="17"/>
      <c r="H15586" s="18"/>
      <c r="K15586" s="18" t="s">
        <v>316</v>
      </c>
    </row>
    <row r="15587">
      <c r="A15587" s="17"/>
      <c r="H15587" s="18"/>
      <c r="K15587" s="18" t="s">
        <v>316</v>
      </c>
    </row>
    <row r="15588">
      <c r="A15588" s="17"/>
      <c r="H15588" s="18"/>
      <c r="K15588" s="18" t="s">
        <v>316</v>
      </c>
    </row>
    <row r="15589">
      <c r="A15589" s="17"/>
      <c r="H15589" s="18"/>
      <c r="K15589" s="18" t="s">
        <v>316</v>
      </c>
    </row>
    <row r="15590">
      <c r="A15590" s="17"/>
      <c r="H15590" s="18"/>
      <c r="K15590" s="18" t="s">
        <v>316</v>
      </c>
    </row>
    <row r="15591">
      <c r="A15591" s="17"/>
      <c r="H15591" s="18"/>
      <c r="K15591" s="18" t="s">
        <v>316</v>
      </c>
    </row>
    <row r="15592">
      <c r="A15592" s="17"/>
      <c r="H15592" s="18"/>
      <c r="K15592" s="18" t="s">
        <v>316</v>
      </c>
    </row>
    <row r="15593">
      <c r="A15593" s="17"/>
      <c r="H15593" s="18"/>
      <c r="K15593" s="18" t="s">
        <v>316</v>
      </c>
    </row>
    <row r="15594">
      <c r="A15594" s="17"/>
      <c r="H15594" s="18"/>
      <c r="K15594" s="18" t="s">
        <v>316</v>
      </c>
    </row>
    <row r="15595">
      <c r="A15595" s="17"/>
      <c r="H15595" s="18"/>
      <c r="K15595" s="18" t="s">
        <v>316</v>
      </c>
    </row>
    <row r="15596">
      <c r="A15596" s="17"/>
      <c r="H15596" s="18"/>
      <c r="K15596" s="18" t="s">
        <v>316</v>
      </c>
    </row>
    <row r="15597">
      <c r="A15597" s="17"/>
      <c r="H15597" s="18"/>
      <c r="K15597" s="18" t="s">
        <v>316</v>
      </c>
    </row>
    <row r="15598">
      <c r="A15598" s="17"/>
      <c r="H15598" s="18"/>
      <c r="K15598" s="18" t="s">
        <v>316</v>
      </c>
    </row>
    <row r="15599">
      <c r="A15599" s="17"/>
      <c r="H15599" s="18"/>
      <c r="K15599" s="18" t="s">
        <v>316</v>
      </c>
    </row>
    <row r="15600">
      <c r="A15600" s="17"/>
      <c r="H15600" s="18"/>
      <c r="K15600" s="18" t="s">
        <v>316</v>
      </c>
    </row>
    <row r="15601">
      <c r="A15601" s="17"/>
      <c r="H15601" s="18"/>
      <c r="K15601" s="18" t="s">
        <v>316</v>
      </c>
    </row>
    <row r="15602">
      <c r="A15602" s="17"/>
      <c r="H15602" s="18"/>
      <c r="K15602" s="18" t="s">
        <v>316</v>
      </c>
    </row>
    <row r="15603">
      <c r="A15603" s="17"/>
      <c r="H15603" s="18"/>
      <c r="K15603" s="18" t="s">
        <v>316</v>
      </c>
    </row>
    <row r="15604">
      <c r="A15604" s="17"/>
      <c r="H15604" s="18"/>
      <c r="K15604" s="18" t="s">
        <v>316</v>
      </c>
    </row>
    <row r="15605">
      <c r="A15605" s="17"/>
      <c r="H15605" s="18"/>
      <c r="K15605" s="18" t="s">
        <v>316</v>
      </c>
    </row>
    <row r="15606">
      <c r="A15606" s="17"/>
      <c r="H15606" s="18"/>
      <c r="K15606" s="18" t="s">
        <v>316</v>
      </c>
    </row>
    <row r="15607">
      <c r="A15607" s="17"/>
      <c r="H15607" s="18"/>
      <c r="K15607" s="18" t="s">
        <v>316</v>
      </c>
    </row>
    <row r="15608">
      <c r="A15608" s="17"/>
      <c r="H15608" s="18"/>
      <c r="K15608" s="18" t="s">
        <v>316</v>
      </c>
    </row>
    <row r="15609">
      <c r="A15609" s="17"/>
      <c r="H15609" s="18"/>
      <c r="K15609" s="18" t="s">
        <v>316</v>
      </c>
    </row>
    <row r="15610">
      <c r="A15610" s="17"/>
      <c r="H15610" s="18"/>
      <c r="K15610" s="18" t="s">
        <v>316</v>
      </c>
    </row>
    <row r="15611">
      <c r="A15611" s="17"/>
      <c r="H15611" s="18"/>
      <c r="K15611" s="18" t="s">
        <v>316</v>
      </c>
    </row>
    <row r="15612">
      <c r="A15612" s="17"/>
      <c r="H15612" s="18"/>
      <c r="K15612" s="18" t="s">
        <v>316</v>
      </c>
    </row>
    <row r="15613">
      <c r="A15613" s="17"/>
      <c r="H15613" s="18"/>
      <c r="K15613" s="18" t="s">
        <v>316</v>
      </c>
    </row>
    <row r="15614">
      <c r="A15614" s="17"/>
      <c r="H15614" s="18"/>
      <c r="K15614" s="18" t="s">
        <v>316</v>
      </c>
    </row>
    <row r="15615">
      <c r="A15615" s="17"/>
      <c r="H15615" s="18"/>
      <c r="K15615" s="18" t="s">
        <v>316</v>
      </c>
    </row>
    <row r="15616">
      <c r="A15616" s="17"/>
      <c r="H15616" s="18"/>
      <c r="K15616" s="18" t="s">
        <v>316</v>
      </c>
    </row>
    <row r="15617">
      <c r="A15617" s="17"/>
      <c r="H15617" s="18"/>
      <c r="K15617" s="18" t="s">
        <v>316</v>
      </c>
    </row>
    <row r="15618">
      <c r="A15618" s="17"/>
      <c r="H15618" s="18"/>
      <c r="K15618" s="18" t="s">
        <v>316</v>
      </c>
    </row>
    <row r="15619">
      <c r="A15619" s="17"/>
      <c r="H15619" s="18"/>
      <c r="K15619" s="18" t="s">
        <v>316</v>
      </c>
    </row>
    <row r="15620">
      <c r="A15620" s="17"/>
      <c r="H15620" s="18"/>
      <c r="K15620" s="18" t="s">
        <v>316</v>
      </c>
    </row>
    <row r="15621">
      <c r="A15621" s="17"/>
      <c r="H15621" s="18"/>
      <c r="K15621" s="18" t="s">
        <v>316</v>
      </c>
    </row>
    <row r="15622">
      <c r="A15622" s="17"/>
      <c r="H15622" s="18"/>
      <c r="K15622" s="18" t="s">
        <v>316</v>
      </c>
    </row>
    <row r="15623">
      <c r="A15623" s="17"/>
      <c r="H15623" s="18"/>
      <c r="K15623" s="18" t="s">
        <v>316</v>
      </c>
    </row>
    <row r="15624">
      <c r="A15624" s="17"/>
      <c r="H15624" s="18"/>
      <c r="K15624" s="18" t="s">
        <v>316</v>
      </c>
    </row>
    <row r="15625">
      <c r="A15625" s="17"/>
      <c r="H15625" s="18"/>
      <c r="K15625" s="18" t="s">
        <v>316</v>
      </c>
    </row>
    <row r="15626">
      <c r="A15626" s="17"/>
      <c r="H15626" s="18"/>
      <c r="K15626" s="18" t="s">
        <v>316</v>
      </c>
    </row>
    <row r="15627">
      <c r="A15627" s="17"/>
      <c r="H15627" s="18"/>
      <c r="K15627" s="18" t="s">
        <v>316</v>
      </c>
    </row>
    <row r="15628">
      <c r="A15628" s="17"/>
      <c r="H15628" s="18"/>
      <c r="K15628" s="18" t="s">
        <v>316</v>
      </c>
    </row>
    <row r="15629">
      <c r="A15629" s="17"/>
      <c r="H15629" s="18"/>
      <c r="K15629" s="18" t="s">
        <v>316</v>
      </c>
    </row>
    <row r="15630">
      <c r="A15630" s="17"/>
      <c r="H15630" s="18"/>
      <c r="K15630" s="18" t="s">
        <v>316</v>
      </c>
    </row>
    <row r="15631">
      <c r="A15631" s="17"/>
      <c r="H15631" s="18"/>
      <c r="K15631" s="18" t="s">
        <v>316</v>
      </c>
    </row>
    <row r="15632">
      <c r="A15632" s="17"/>
      <c r="H15632" s="18"/>
      <c r="K15632" s="18" t="s">
        <v>316</v>
      </c>
    </row>
    <row r="15633">
      <c r="A15633" s="17"/>
      <c r="H15633" s="18"/>
      <c r="K15633" s="18" t="s">
        <v>316</v>
      </c>
    </row>
    <row r="15634">
      <c r="A15634" s="17"/>
      <c r="H15634" s="18"/>
      <c r="K15634" s="18" t="s">
        <v>316</v>
      </c>
    </row>
    <row r="15635">
      <c r="A15635" s="17"/>
      <c r="H15635" s="18"/>
      <c r="K15635" s="18" t="s">
        <v>316</v>
      </c>
    </row>
    <row r="15636">
      <c r="A15636" s="17"/>
      <c r="H15636" s="18"/>
      <c r="K15636" s="18" t="s">
        <v>316</v>
      </c>
    </row>
    <row r="15637">
      <c r="A15637" s="17"/>
      <c r="H15637" s="18"/>
      <c r="K15637" s="18" t="s">
        <v>316</v>
      </c>
    </row>
    <row r="15638">
      <c r="A15638" s="17"/>
      <c r="H15638" s="18"/>
      <c r="K15638" s="18" t="s">
        <v>316</v>
      </c>
    </row>
    <row r="15639">
      <c r="A15639" s="17"/>
      <c r="H15639" s="18"/>
      <c r="K15639" s="18" t="s">
        <v>316</v>
      </c>
    </row>
    <row r="15640">
      <c r="A15640" s="17"/>
      <c r="H15640" s="18"/>
      <c r="K15640" s="18" t="s">
        <v>316</v>
      </c>
    </row>
    <row r="15641">
      <c r="A15641" s="17"/>
      <c r="H15641" s="18"/>
      <c r="K15641" s="18" t="s">
        <v>316</v>
      </c>
    </row>
    <row r="15642">
      <c r="A15642" s="17"/>
      <c r="H15642" s="18"/>
      <c r="K15642" s="18" t="s">
        <v>316</v>
      </c>
    </row>
    <row r="15643">
      <c r="A15643" s="17"/>
      <c r="H15643" s="18"/>
      <c r="K15643" s="18" t="s">
        <v>316</v>
      </c>
    </row>
    <row r="15644">
      <c r="A15644" s="17"/>
      <c r="H15644" s="18"/>
      <c r="K15644" s="18" t="s">
        <v>316</v>
      </c>
    </row>
    <row r="15645">
      <c r="A15645" s="17"/>
      <c r="H15645" s="18"/>
      <c r="K15645" s="18" t="s">
        <v>316</v>
      </c>
    </row>
    <row r="15646">
      <c r="A15646" s="17"/>
      <c r="H15646" s="18"/>
      <c r="K15646" s="18" t="s">
        <v>316</v>
      </c>
    </row>
    <row r="15647">
      <c r="A15647" s="17"/>
      <c r="H15647" s="18"/>
      <c r="K15647" s="18" t="s">
        <v>316</v>
      </c>
    </row>
    <row r="15648">
      <c r="A15648" s="17"/>
      <c r="H15648" s="18"/>
      <c r="K15648" s="18" t="s">
        <v>316</v>
      </c>
    </row>
    <row r="15649">
      <c r="A15649" s="17"/>
      <c r="H15649" s="18"/>
      <c r="K15649" s="18" t="s">
        <v>316</v>
      </c>
    </row>
    <row r="15650">
      <c r="A15650" s="17"/>
      <c r="H15650" s="18"/>
      <c r="K15650" s="18" t="s">
        <v>316</v>
      </c>
    </row>
    <row r="15651">
      <c r="A15651" s="17"/>
      <c r="H15651" s="18"/>
      <c r="K15651" s="18" t="s">
        <v>316</v>
      </c>
    </row>
    <row r="15652">
      <c r="A15652" s="17"/>
      <c r="H15652" s="18"/>
      <c r="K15652" s="18" t="s">
        <v>316</v>
      </c>
    </row>
    <row r="15653">
      <c r="A15653" s="17"/>
      <c r="H15653" s="18"/>
      <c r="K15653" s="18" t="s">
        <v>316</v>
      </c>
    </row>
    <row r="15654">
      <c r="A15654" s="17"/>
      <c r="H15654" s="18"/>
      <c r="K15654" s="18" t="s">
        <v>316</v>
      </c>
    </row>
    <row r="15655">
      <c r="A15655" s="17"/>
      <c r="H15655" s="18"/>
      <c r="K15655" s="18" t="s">
        <v>316</v>
      </c>
    </row>
    <row r="15656">
      <c r="A15656" s="17"/>
      <c r="H15656" s="18"/>
      <c r="K15656" s="18" t="s">
        <v>316</v>
      </c>
    </row>
    <row r="15657">
      <c r="A15657" s="17"/>
      <c r="H15657" s="18"/>
      <c r="K15657" s="18" t="s">
        <v>316</v>
      </c>
    </row>
    <row r="15658">
      <c r="A15658" s="17"/>
      <c r="H15658" s="18"/>
      <c r="K15658" s="18" t="s">
        <v>316</v>
      </c>
    </row>
    <row r="15659">
      <c r="A15659" s="17"/>
      <c r="H15659" s="18"/>
      <c r="K15659" s="18" t="s">
        <v>316</v>
      </c>
    </row>
    <row r="15660">
      <c r="A15660" s="17"/>
      <c r="H15660" s="18"/>
      <c r="K15660" s="18" t="s">
        <v>316</v>
      </c>
    </row>
    <row r="15661">
      <c r="A15661" s="17"/>
      <c r="H15661" s="18"/>
      <c r="K15661" s="18" t="s">
        <v>316</v>
      </c>
    </row>
    <row r="15662">
      <c r="A15662" s="17"/>
      <c r="H15662" s="18"/>
      <c r="K15662" s="18" t="s">
        <v>316</v>
      </c>
    </row>
    <row r="15663">
      <c r="A15663" s="17"/>
      <c r="H15663" s="18"/>
      <c r="K15663" s="18" t="s">
        <v>316</v>
      </c>
    </row>
    <row r="15664">
      <c r="A15664" s="17"/>
      <c r="H15664" s="18"/>
      <c r="K15664" s="18" t="s">
        <v>316</v>
      </c>
    </row>
    <row r="15665">
      <c r="A15665" s="17"/>
      <c r="H15665" s="18"/>
      <c r="K15665" s="18" t="s">
        <v>316</v>
      </c>
    </row>
    <row r="15666">
      <c r="A15666" s="17"/>
      <c r="H15666" s="18"/>
      <c r="K15666" s="18" t="s">
        <v>316</v>
      </c>
    </row>
    <row r="15667">
      <c r="A15667" s="17"/>
      <c r="H15667" s="18"/>
      <c r="K15667" s="18" t="s">
        <v>316</v>
      </c>
    </row>
    <row r="15668">
      <c r="A15668" s="17"/>
      <c r="H15668" s="18"/>
      <c r="K15668" s="18" t="s">
        <v>316</v>
      </c>
    </row>
    <row r="15669">
      <c r="A15669" s="17"/>
      <c r="H15669" s="18"/>
      <c r="K15669" s="18" t="s">
        <v>316</v>
      </c>
    </row>
    <row r="15670">
      <c r="A15670" s="17"/>
      <c r="H15670" s="18"/>
      <c r="K15670" s="18" t="s">
        <v>316</v>
      </c>
    </row>
    <row r="15671">
      <c r="A15671" s="17"/>
      <c r="H15671" s="18"/>
      <c r="K15671" s="18" t="s">
        <v>316</v>
      </c>
    </row>
    <row r="15672">
      <c r="A15672" s="17"/>
      <c r="H15672" s="18"/>
      <c r="K15672" s="18" t="s">
        <v>316</v>
      </c>
    </row>
    <row r="15673">
      <c r="A15673" s="17"/>
      <c r="H15673" s="18"/>
      <c r="K15673" s="18" t="s">
        <v>316</v>
      </c>
    </row>
    <row r="15674">
      <c r="A15674" s="17"/>
      <c r="H15674" s="18"/>
      <c r="K15674" s="18" t="s">
        <v>316</v>
      </c>
    </row>
    <row r="15675">
      <c r="A15675" s="17"/>
      <c r="H15675" s="18"/>
      <c r="K15675" s="18" t="s">
        <v>316</v>
      </c>
    </row>
    <row r="15676">
      <c r="A15676" s="17"/>
      <c r="H15676" s="18"/>
      <c r="K15676" s="18" t="s">
        <v>316</v>
      </c>
    </row>
    <row r="15677">
      <c r="A15677" s="17"/>
      <c r="H15677" s="18"/>
      <c r="K15677" s="18" t="s">
        <v>316</v>
      </c>
    </row>
    <row r="15678">
      <c r="A15678" s="17"/>
      <c r="H15678" s="18"/>
      <c r="K15678" s="18" t="s">
        <v>316</v>
      </c>
    </row>
    <row r="15679">
      <c r="A15679" s="17"/>
      <c r="H15679" s="18"/>
      <c r="K15679" s="18" t="s">
        <v>316</v>
      </c>
    </row>
    <row r="15680">
      <c r="A15680" s="17"/>
      <c r="H15680" s="18"/>
      <c r="K15680" s="18" t="s">
        <v>316</v>
      </c>
    </row>
    <row r="15681">
      <c r="A15681" s="17"/>
      <c r="H15681" s="18"/>
      <c r="K15681" s="18" t="s">
        <v>316</v>
      </c>
    </row>
    <row r="15682">
      <c r="A15682" s="17"/>
      <c r="H15682" s="18"/>
      <c r="K15682" s="18" t="s">
        <v>316</v>
      </c>
    </row>
    <row r="15683">
      <c r="A15683" s="17"/>
      <c r="H15683" s="18"/>
      <c r="K15683" s="18" t="s">
        <v>316</v>
      </c>
    </row>
    <row r="15684">
      <c r="A15684" s="17"/>
      <c r="H15684" s="18"/>
      <c r="K15684" s="18" t="s">
        <v>316</v>
      </c>
    </row>
    <row r="15685">
      <c r="A15685" s="17"/>
      <c r="H15685" s="18"/>
      <c r="K15685" s="18" t="s">
        <v>316</v>
      </c>
    </row>
    <row r="15686">
      <c r="A15686" s="17"/>
      <c r="H15686" s="18"/>
      <c r="K15686" s="18" t="s">
        <v>316</v>
      </c>
    </row>
    <row r="15687">
      <c r="A15687" s="17"/>
      <c r="H15687" s="18"/>
      <c r="K15687" s="18" t="s">
        <v>316</v>
      </c>
    </row>
    <row r="15688">
      <c r="A15688" s="17"/>
      <c r="H15688" s="18"/>
      <c r="K15688" s="18" t="s">
        <v>316</v>
      </c>
    </row>
    <row r="15689">
      <c r="A15689" s="17"/>
      <c r="H15689" s="18"/>
      <c r="K15689" s="18" t="s">
        <v>316</v>
      </c>
    </row>
    <row r="15690">
      <c r="A15690" s="17"/>
      <c r="H15690" s="18"/>
      <c r="K15690" s="18" t="s">
        <v>316</v>
      </c>
    </row>
    <row r="15691">
      <c r="A15691" s="17"/>
      <c r="H15691" s="18"/>
      <c r="K15691" s="18" t="s">
        <v>316</v>
      </c>
    </row>
    <row r="15692">
      <c r="A15692" s="17"/>
      <c r="H15692" s="18"/>
      <c r="K15692" s="18" t="s">
        <v>316</v>
      </c>
    </row>
    <row r="15693">
      <c r="A15693" s="17"/>
      <c r="H15693" s="18"/>
      <c r="K15693" s="18" t="s">
        <v>316</v>
      </c>
    </row>
    <row r="15694">
      <c r="A15694" s="17"/>
      <c r="H15694" s="18"/>
      <c r="K15694" s="18" t="s">
        <v>316</v>
      </c>
    </row>
    <row r="15695">
      <c r="A15695" s="17"/>
      <c r="H15695" s="18"/>
      <c r="K15695" s="18" t="s">
        <v>316</v>
      </c>
    </row>
    <row r="15696">
      <c r="A15696" s="17"/>
      <c r="H15696" s="18"/>
      <c r="K15696" s="18" t="s">
        <v>316</v>
      </c>
    </row>
    <row r="15697">
      <c r="A15697" s="17"/>
      <c r="H15697" s="18"/>
      <c r="K15697" s="18" t="s">
        <v>316</v>
      </c>
    </row>
    <row r="15698">
      <c r="A15698" s="17"/>
      <c r="H15698" s="18"/>
      <c r="K15698" s="18" t="s">
        <v>316</v>
      </c>
    </row>
    <row r="15699">
      <c r="A15699" s="17"/>
      <c r="H15699" s="18"/>
      <c r="K15699" s="18" t="s">
        <v>316</v>
      </c>
    </row>
    <row r="15700">
      <c r="A15700" s="17"/>
      <c r="H15700" s="18"/>
      <c r="K15700" s="18" t="s">
        <v>316</v>
      </c>
    </row>
    <row r="15701">
      <c r="A15701" s="17"/>
      <c r="H15701" s="18"/>
      <c r="K15701" s="18" t="s">
        <v>316</v>
      </c>
    </row>
    <row r="15702">
      <c r="A15702" s="17"/>
      <c r="H15702" s="18"/>
      <c r="K15702" s="18" t="s">
        <v>316</v>
      </c>
    </row>
    <row r="15703">
      <c r="A15703" s="17"/>
      <c r="H15703" s="18"/>
      <c r="K15703" s="18" t="s">
        <v>316</v>
      </c>
    </row>
    <row r="15704">
      <c r="A15704" s="17"/>
      <c r="H15704" s="18"/>
      <c r="K15704" s="18" t="s">
        <v>316</v>
      </c>
    </row>
    <row r="15705">
      <c r="A15705" s="17"/>
      <c r="H15705" s="18"/>
      <c r="K15705" s="18" t="s">
        <v>316</v>
      </c>
    </row>
    <row r="15706">
      <c r="A15706" s="17"/>
      <c r="H15706" s="18"/>
      <c r="K15706" s="18" t="s">
        <v>316</v>
      </c>
    </row>
    <row r="15707">
      <c r="A15707" s="17"/>
      <c r="H15707" s="18"/>
      <c r="K15707" s="18" t="s">
        <v>316</v>
      </c>
    </row>
    <row r="15708">
      <c r="A15708" s="17"/>
      <c r="H15708" s="18"/>
      <c r="K15708" s="18" t="s">
        <v>316</v>
      </c>
    </row>
    <row r="15709">
      <c r="A15709" s="17"/>
      <c r="H15709" s="18"/>
      <c r="K15709" s="18" t="s">
        <v>316</v>
      </c>
    </row>
    <row r="15710">
      <c r="A15710" s="17"/>
      <c r="H15710" s="18"/>
      <c r="K15710" s="18" t="s">
        <v>316</v>
      </c>
    </row>
    <row r="15711">
      <c r="A15711" s="17"/>
      <c r="H15711" s="18"/>
      <c r="K15711" s="18" t="s">
        <v>316</v>
      </c>
    </row>
    <row r="15712">
      <c r="A15712" s="17"/>
      <c r="H15712" s="18"/>
      <c r="K15712" s="18" t="s">
        <v>316</v>
      </c>
    </row>
    <row r="15713">
      <c r="A15713" s="17"/>
      <c r="H15713" s="18"/>
      <c r="K15713" s="18" t="s">
        <v>316</v>
      </c>
    </row>
    <row r="15714">
      <c r="A15714" s="17"/>
      <c r="H15714" s="18"/>
      <c r="K15714" s="18" t="s">
        <v>316</v>
      </c>
    </row>
    <row r="15715">
      <c r="A15715" s="17"/>
      <c r="H15715" s="18"/>
      <c r="K15715" s="18" t="s">
        <v>316</v>
      </c>
    </row>
    <row r="15716">
      <c r="A15716" s="17"/>
      <c r="H15716" s="18"/>
      <c r="K15716" s="18" t="s">
        <v>316</v>
      </c>
    </row>
    <row r="15717">
      <c r="A15717" s="17"/>
      <c r="H15717" s="18"/>
      <c r="K15717" s="18" t="s">
        <v>316</v>
      </c>
    </row>
    <row r="15718">
      <c r="A15718" s="17"/>
      <c r="H15718" s="18"/>
      <c r="K15718" s="18" t="s">
        <v>316</v>
      </c>
    </row>
    <row r="15719">
      <c r="A15719" s="17"/>
      <c r="H15719" s="18"/>
      <c r="K15719" s="18" t="s">
        <v>316</v>
      </c>
    </row>
    <row r="15720">
      <c r="A15720" s="17"/>
      <c r="H15720" s="18"/>
      <c r="K15720" s="18" t="s">
        <v>316</v>
      </c>
    </row>
    <row r="15721">
      <c r="A15721" s="17"/>
      <c r="H15721" s="18"/>
      <c r="K15721" s="18" t="s">
        <v>316</v>
      </c>
    </row>
    <row r="15722">
      <c r="A15722" s="17"/>
      <c r="H15722" s="18"/>
      <c r="K15722" s="18" t="s">
        <v>316</v>
      </c>
    </row>
    <row r="15723">
      <c r="A15723" s="17"/>
      <c r="H15723" s="18"/>
      <c r="K15723" s="18" t="s">
        <v>316</v>
      </c>
    </row>
    <row r="15724">
      <c r="A15724" s="17"/>
      <c r="H15724" s="18"/>
      <c r="K15724" s="18" t="s">
        <v>316</v>
      </c>
    </row>
    <row r="15725">
      <c r="A15725" s="17"/>
      <c r="H15725" s="18"/>
      <c r="K15725" s="18" t="s">
        <v>316</v>
      </c>
    </row>
    <row r="15726">
      <c r="A15726" s="17"/>
      <c r="H15726" s="18"/>
      <c r="K15726" s="18" t="s">
        <v>316</v>
      </c>
    </row>
    <row r="15727">
      <c r="A15727" s="17"/>
      <c r="H15727" s="18"/>
      <c r="K15727" s="18" t="s">
        <v>316</v>
      </c>
    </row>
    <row r="15728">
      <c r="A15728" s="17"/>
      <c r="H15728" s="18"/>
      <c r="K15728" s="18" t="s">
        <v>316</v>
      </c>
    </row>
    <row r="15729">
      <c r="A15729" s="17"/>
      <c r="H15729" s="18"/>
      <c r="K15729" s="18" t="s">
        <v>316</v>
      </c>
    </row>
    <row r="15730">
      <c r="A15730" s="17"/>
      <c r="H15730" s="18"/>
      <c r="K15730" s="18" t="s">
        <v>316</v>
      </c>
    </row>
    <row r="15731">
      <c r="A15731" s="17"/>
      <c r="H15731" s="18"/>
      <c r="K15731" s="18" t="s">
        <v>316</v>
      </c>
    </row>
    <row r="15732">
      <c r="A15732" s="17"/>
      <c r="H15732" s="18"/>
      <c r="K15732" s="18" t="s">
        <v>316</v>
      </c>
    </row>
    <row r="15733">
      <c r="A15733" s="17"/>
      <c r="H15733" s="18"/>
      <c r="K15733" s="18" t="s">
        <v>316</v>
      </c>
    </row>
    <row r="15734">
      <c r="A15734" s="17"/>
      <c r="H15734" s="18"/>
      <c r="K15734" s="18" t="s">
        <v>316</v>
      </c>
    </row>
    <row r="15735">
      <c r="A15735" s="17"/>
      <c r="H15735" s="18"/>
      <c r="K15735" s="18" t="s">
        <v>316</v>
      </c>
    </row>
    <row r="15736">
      <c r="A15736" s="17"/>
      <c r="H15736" s="18"/>
      <c r="K15736" s="18" t="s">
        <v>316</v>
      </c>
    </row>
    <row r="15737">
      <c r="A15737" s="17"/>
      <c r="H15737" s="18"/>
      <c r="K15737" s="18" t="s">
        <v>316</v>
      </c>
    </row>
    <row r="15738">
      <c r="A15738" s="17"/>
      <c r="H15738" s="18"/>
      <c r="K15738" s="18" t="s">
        <v>316</v>
      </c>
    </row>
    <row r="15739">
      <c r="A15739" s="17"/>
      <c r="H15739" s="18"/>
      <c r="K15739" s="18" t="s">
        <v>316</v>
      </c>
    </row>
    <row r="15740">
      <c r="A15740" s="17"/>
      <c r="H15740" s="18"/>
      <c r="K15740" s="18" t="s">
        <v>316</v>
      </c>
    </row>
    <row r="15741">
      <c r="A15741" s="17"/>
      <c r="H15741" s="18"/>
      <c r="K15741" s="18" t="s">
        <v>316</v>
      </c>
    </row>
    <row r="15742">
      <c r="A15742" s="17"/>
      <c r="H15742" s="18"/>
      <c r="K15742" s="18" t="s">
        <v>316</v>
      </c>
    </row>
    <row r="15743">
      <c r="A15743" s="17"/>
      <c r="H15743" s="18"/>
      <c r="K15743" s="18" t="s">
        <v>316</v>
      </c>
    </row>
    <row r="15744">
      <c r="A15744" s="17"/>
      <c r="H15744" s="18"/>
      <c r="K15744" s="18" t="s">
        <v>316</v>
      </c>
    </row>
    <row r="15745">
      <c r="A15745" s="17"/>
      <c r="H15745" s="18"/>
      <c r="K15745" s="18" t="s">
        <v>316</v>
      </c>
    </row>
    <row r="15746">
      <c r="A15746" s="17"/>
      <c r="H15746" s="18"/>
      <c r="K15746" s="18" t="s">
        <v>316</v>
      </c>
    </row>
    <row r="15747">
      <c r="A15747" s="17"/>
      <c r="H15747" s="18"/>
      <c r="K15747" s="18" t="s">
        <v>316</v>
      </c>
    </row>
    <row r="15748">
      <c r="A15748" s="17"/>
      <c r="H15748" s="18"/>
      <c r="K15748" s="18" t="s">
        <v>316</v>
      </c>
    </row>
    <row r="15749">
      <c r="A15749" s="17"/>
      <c r="H15749" s="18"/>
      <c r="K15749" s="18" t="s">
        <v>316</v>
      </c>
    </row>
    <row r="15750">
      <c r="A15750" s="17"/>
      <c r="H15750" s="18"/>
      <c r="K15750" s="18" t="s">
        <v>316</v>
      </c>
    </row>
    <row r="15751">
      <c r="A15751" s="17"/>
      <c r="H15751" s="18"/>
      <c r="K15751" s="18" t="s">
        <v>316</v>
      </c>
    </row>
    <row r="15752">
      <c r="A15752" s="17"/>
      <c r="H15752" s="18"/>
      <c r="K15752" s="18" t="s">
        <v>316</v>
      </c>
    </row>
    <row r="15753">
      <c r="A15753" s="17"/>
      <c r="H15753" s="18"/>
      <c r="K15753" s="18" t="s">
        <v>316</v>
      </c>
    </row>
    <row r="15754">
      <c r="A15754" s="17"/>
      <c r="H15754" s="18"/>
      <c r="K15754" s="18" t="s">
        <v>316</v>
      </c>
    </row>
    <row r="15755">
      <c r="A15755" s="17"/>
      <c r="H15755" s="18"/>
      <c r="K15755" s="18" t="s">
        <v>316</v>
      </c>
    </row>
    <row r="15756">
      <c r="A15756" s="17"/>
      <c r="H15756" s="18"/>
      <c r="K15756" s="18" t="s">
        <v>316</v>
      </c>
    </row>
    <row r="15757">
      <c r="A15757" s="17"/>
      <c r="H15757" s="18"/>
      <c r="K15757" s="18" t="s">
        <v>316</v>
      </c>
    </row>
    <row r="15758">
      <c r="A15758" s="17"/>
      <c r="H15758" s="18"/>
      <c r="K15758" s="18" t="s">
        <v>316</v>
      </c>
    </row>
    <row r="15759">
      <c r="A15759" s="17"/>
      <c r="H15759" s="18"/>
      <c r="K15759" s="18" t="s">
        <v>316</v>
      </c>
    </row>
    <row r="15760">
      <c r="A15760" s="17"/>
      <c r="H15760" s="18"/>
      <c r="K15760" s="18" t="s">
        <v>316</v>
      </c>
    </row>
    <row r="15761">
      <c r="A15761" s="17"/>
      <c r="H15761" s="18"/>
      <c r="K15761" s="18" t="s">
        <v>316</v>
      </c>
    </row>
    <row r="15762">
      <c r="A15762" s="17"/>
      <c r="H15762" s="18"/>
      <c r="K15762" s="18" t="s">
        <v>316</v>
      </c>
    </row>
    <row r="15763">
      <c r="A15763" s="17"/>
      <c r="H15763" s="18"/>
      <c r="K15763" s="18" t="s">
        <v>316</v>
      </c>
    </row>
    <row r="15764">
      <c r="A15764" s="17"/>
      <c r="H15764" s="18"/>
      <c r="K15764" s="18" t="s">
        <v>316</v>
      </c>
    </row>
    <row r="15765">
      <c r="A15765" s="17"/>
      <c r="H15765" s="18"/>
      <c r="K15765" s="18" t="s">
        <v>316</v>
      </c>
    </row>
    <row r="15766">
      <c r="A15766" s="17"/>
      <c r="H15766" s="18"/>
      <c r="K15766" s="18" t="s">
        <v>316</v>
      </c>
    </row>
    <row r="15767">
      <c r="A15767" s="17"/>
      <c r="H15767" s="18"/>
      <c r="K15767" s="18" t="s">
        <v>316</v>
      </c>
    </row>
    <row r="15768">
      <c r="A15768" s="17"/>
      <c r="H15768" s="18"/>
      <c r="K15768" s="18" t="s">
        <v>316</v>
      </c>
    </row>
    <row r="15769">
      <c r="A15769" s="17"/>
      <c r="H15769" s="18"/>
      <c r="K15769" s="18" t="s">
        <v>316</v>
      </c>
    </row>
    <row r="15770">
      <c r="A15770" s="17"/>
      <c r="H15770" s="18"/>
      <c r="K15770" s="18" t="s">
        <v>316</v>
      </c>
    </row>
    <row r="15771">
      <c r="A15771" s="17"/>
      <c r="H15771" s="18"/>
      <c r="K15771" s="18" t="s">
        <v>316</v>
      </c>
    </row>
    <row r="15772">
      <c r="A15772" s="17"/>
      <c r="H15772" s="18"/>
      <c r="K15772" s="18" t="s">
        <v>316</v>
      </c>
    </row>
    <row r="15773">
      <c r="A15773" s="17"/>
      <c r="H15773" s="18"/>
      <c r="K15773" s="18" t="s">
        <v>316</v>
      </c>
    </row>
    <row r="15774">
      <c r="A15774" s="17"/>
      <c r="H15774" s="18"/>
      <c r="K15774" s="18" t="s">
        <v>316</v>
      </c>
    </row>
    <row r="15775">
      <c r="A15775" s="17"/>
      <c r="H15775" s="18"/>
      <c r="K15775" s="18" t="s">
        <v>316</v>
      </c>
    </row>
    <row r="15776">
      <c r="A15776" s="17"/>
      <c r="H15776" s="18"/>
      <c r="K15776" s="18" t="s">
        <v>316</v>
      </c>
    </row>
    <row r="15777">
      <c r="A15777" s="17"/>
      <c r="H15777" s="18"/>
      <c r="K15777" s="18" t="s">
        <v>316</v>
      </c>
    </row>
    <row r="15778">
      <c r="A15778" s="17"/>
      <c r="H15778" s="18"/>
      <c r="K15778" s="18" t="s">
        <v>316</v>
      </c>
    </row>
    <row r="15779">
      <c r="A15779" s="17"/>
      <c r="H15779" s="18"/>
      <c r="K15779" s="18" t="s">
        <v>316</v>
      </c>
    </row>
    <row r="15780">
      <c r="A15780" s="17"/>
      <c r="H15780" s="18"/>
      <c r="K15780" s="18" t="s">
        <v>316</v>
      </c>
    </row>
    <row r="15781">
      <c r="A15781" s="17"/>
      <c r="H15781" s="18"/>
      <c r="K15781" s="18" t="s">
        <v>316</v>
      </c>
    </row>
    <row r="15782">
      <c r="A15782" s="17"/>
      <c r="H15782" s="18"/>
      <c r="K15782" s="18" t="s">
        <v>316</v>
      </c>
    </row>
    <row r="15783">
      <c r="A15783" s="17"/>
      <c r="H15783" s="18"/>
      <c r="K15783" s="18" t="s">
        <v>316</v>
      </c>
    </row>
    <row r="15784">
      <c r="A15784" s="17"/>
      <c r="H15784" s="18"/>
      <c r="K15784" s="18" t="s">
        <v>316</v>
      </c>
    </row>
    <row r="15785">
      <c r="A15785" s="17"/>
      <c r="H15785" s="18"/>
      <c r="K15785" s="18" t="s">
        <v>316</v>
      </c>
    </row>
    <row r="15786">
      <c r="A15786" s="17"/>
      <c r="H15786" s="18"/>
      <c r="K15786" s="18" t="s">
        <v>316</v>
      </c>
    </row>
    <row r="15787">
      <c r="A15787" s="17"/>
      <c r="H15787" s="18"/>
      <c r="K15787" s="18" t="s">
        <v>316</v>
      </c>
    </row>
    <row r="15788">
      <c r="A15788" s="17"/>
      <c r="H15788" s="18"/>
      <c r="K15788" s="18" t="s">
        <v>316</v>
      </c>
    </row>
    <row r="15789">
      <c r="A15789" s="17"/>
      <c r="H15789" s="18"/>
      <c r="K15789" s="18" t="s">
        <v>316</v>
      </c>
    </row>
    <row r="15790">
      <c r="A15790" s="17"/>
      <c r="H15790" s="18"/>
      <c r="K15790" s="18" t="s">
        <v>316</v>
      </c>
    </row>
    <row r="15791">
      <c r="A15791" s="17"/>
      <c r="H15791" s="18"/>
      <c r="K15791" s="18" t="s">
        <v>316</v>
      </c>
    </row>
    <row r="15792">
      <c r="A15792" s="17"/>
      <c r="H15792" s="18"/>
      <c r="K15792" s="18" t="s">
        <v>316</v>
      </c>
    </row>
    <row r="15793">
      <c r="A15793" s="17"/>
      <c r="H15793" s="18"/>
      <c r="K15793" s="18" t="s">
        <v>316</v>
      </c>
    </row>
    <row r="15794">
      <c r="A15794" s="17"/>
      <c r="H15794" s="18"/>
      <c r="K15794" s="18" t="s">
        <v>316</v>
      </c>
    </row>
    <row r="15795">
      <c r="A15795" s="17"/>
      <c r="H15795" s="18"/>
      <c r="K15795" s="18" t="s">
        <v>316</v>
      </c>
    </row>
    <row r="15796">
      <c r="A15796" s="17"/>
      <c r="H15796" s="18"/>
      <c r="K15796" s="18" t="s">
        <v>316</v>
      </c>
    </row>
    <row r="15797">
      <c r="A15797" s="17"/>
      <c r="H15797" s="18"/>
      <c r="K15797" s="18" t="s">
        <v>316</v>
      </c>
    </row>
    <row r="15798">
      <c r="A15798" s="17"/>
      <c r="H15798" s="18"/>
      <c r="K15798" s="18" t="s">
        <v>316</v>
      </c>
    </row>
    <row r="15799">
      <c r="A15799" s="17"/>
      <c r="H15799" s="18"/>
      <c r="K15799" s="18" t="s">
        <v>316</v>
      </c>
    </row>
    <row r="15800">
      <c r="A15800" s="17"/>
      <c r="H15800" s="18"/>
      <c r="K15800" s="18" t="s">
        <v>316</v>
      </c>
    </row>
    <row r="15801">
      <c r="A15801" s="17"/>
      <c r="H15801" s="18"/>
      <c r="K15801" s="18" t="s">
        <v>316</v>
      </c>
    </row>
    <row r="15802">
      <c r="A15802" s="17"/>
      <c r="H15802" s="18"/>
      <c r="K15802" s="18" t="s">
        <v>316</v>
      </c>
    </row>
    <row r="15803">
      <c r="A15803" s="17"/>
      <c r="H15803" s="18"/>
      <c r="K15803" s="18" t="s">
        <v>316</v>
      </c>
    </row>
    <row r="15804">
      <c r="A15804" s="17"/>
      <c r="H15804" s="18"/>
      <c r="K15804" s="18" t="s">
        <v>316</v>
      </c>
    </row>
    <row r="15805">
      <c r="A15805" s="17"/>
      <c r="H15805" s="18"/>
      <c r="K15805" s="18" t="s">
        <v>316</v>
      </c>
    </row>
    <row r="15806">
      <c r="A15806" s="17"/>
      <c r="H15806" s="18"/>
      <c r="K15806" s="18" t="s">
        <v>316</v>
      </c>
    </row>
    <row r="15807">
      <c r="A15807" s="17"/>
      <c r="H15807" s="18"/>
      <c r="K15807" s="18" t="s">
        <v>316</v>
      </c>
    </row>
    <row r="15808">
      <c r="A15808" s="17"/>
      <c r="H15808" s="18"/>
      <c r="K15808" s="18" t="s">
        <v>316</v>
      </c>
    </row>
    <row r="15809">
      <c r="A15809" s="17"/>
      <c r="H15809" s="18"/>
      <c r="K15809" s="18" t="s">
        <v>316</v>
      </c>
    </row>
    <row r="15810">
      <c r="A15810" s="17"/>
      <c r="H15810" s="18"/>
      <c r="K15810" s="18" t="s">
        <v>316</v>
      </c>
    </row>
    <row r="15811">
      <c r="A15811" s="17"/>
      <c r="H15811" s="18"/>
      <c r="K15811" s="18" t="s">
        <v>316</v>
      </c>
    </row>
    <row r="15812">
      <c r="A15812" s="17"/>
      <c r="H15812" s="18"/>
      <c r="K15812" s="18" t="s">
        <v>316</v>
      </c>
    </row>
    <row r="15813">
      <c r="A15813" s="17"/>
      <c r="H15813" s="18"/>
      <c r="K15813" s="18" t="s">
        <v>316</v>
      </c>
    </row>
    <row r="15814">
      <c r="A15814" s="17"/>
      <c r="H15814" s="18"/>
      <c r="K15814" s="18" t="s">
        <v>316</v>
      </c>
    </row>
    <row r="15815">
      <c r="A15815" s="17"/>
      <c r="H15815" s="18"/>
      <c r="K15815" s="18" t="s">
        <v>316</v>
      </c>
    </row>
    <row r="15816">
      <c r="A15816" s="17"/>
      <c r="H15816" s="18"/>
      <c r="K15816" s="18" t="s">
        <v>316</v>
      </c>
    </row>
    <row r="15817">
      <c r="A15817" s="17"/>
      <c r="H15817" s="18"/>
      <c r="K15817" s="18" t="s">
        <v>316</v>
      </c>
    </row>
    <row r="15818">
      <c r="A15818" s="17"/>
      <c r="H15818" s="18"/>
      <c r="K15818" s="18" t="s">
        <v>316</v>
      </c>
    </row>
    <row r="15819">
      <c r="A15819" s="17"/>
      <c r="H15819" s="18"/>
      <c r="K15819" s="18" t="s">
        <v>316</v>
      </c>
    </row>
    <row r="15820">
      <c r="A15820" s="17"/>
      <c r="H15820" s="18"/>
      <c r="K15820" s="18" t="s">
        <v>316</v>
      </c>
    </row>
    <row r="15821">
      <c r="A15821" s="17"/>
      <c r="H15821" s="18"/>
      <c r="K15821" s="18" t="s">
        <v>316</v>
      </c>
    </row>
    <row r="15822">
      <c r="A15822" s="17"/>
      <c r="H15822" s="18"/>
      <c r="K15822" s="18" t="s">
        <v>316</v>
      </c>
    </row>
    <row r="15823">
      <c r="A15823" s="17"/>
      <c r="H15823" s="18"/>
      <c r="K15823" s="18" t="s">
        <v>316</v>
      </c>
    </row>
    <row r="15824">
      <c r="A15824" s="17"/>
      <c r="H15824" s="18"/>
      <c r="K15824" s="18" t="s">
        <v>316</v>
      </c>
    </row>
    <row r="15825">
      <c r="A15825" s="17"/>
      <c r="H15825" s="18"/>
      <c r="K15825" s="18" t="s">
        <v>316</v>
      </c>
    </row>
    <row r="15826">
      <c r="A15826" s="17"/>
      <c r="H15826" s="18"/>
      <c r="K15826" s="18" t="s">
        <v>316</v>
      </c>
    </row>
    <row r="15827">
      <c r="A15827" s="17"/>
      <c r="H15827" s="18"/>
      <c r="K15827" s="18" t="s">
        <v>316</v>
      </c>
    </row>
    <row r="15828">
      <c r="A15828" s="17"/>
      <c r="H15828" s="18"/>
      <c r="K15828" s="18" t="s">
        <v>316</v>
      </c>
    </row>
    <row r="15829">
      <c r="A15829" s="17"/>
      <c r="H15829" s="18"/>
      <c r="K15829" s="18" t="s">
        <v>316</v>
      </c>
    </row>
    <row r="15830">
      <c r="A15830" s="17"/>
      <c r="H15830" s="18"/>
      <c r="K15830" s="18" t="s">
        <v>316</v>
      </c>
    </row>
    <row r="15831">
      <c r="A15831" s="17"/>
      <c r="H15831" s="18"/>
      <c r="K15831" s="18" t="s">
        <v>316</v>
      </c>
    </row>
    <row r="15832">
      <c r="A15832" s="17"/>
      <c r="H15832" s="18"/>
      <c r="K15832" s="18" t="s">
        <v>316</v>
      </c>
    </row>
    <row r="15833">
      <c r="A15833" s="17"/>
      <c r="H15833" s="18"/>
      <c r="K15833" s="18" t="s">
        <v>316</v>
      </c>
    </row>
    <row r="15834">
      <c r="A15834" s="17"/>
      <c r="H15834" s="18"/>
      <c r="K15834" s="18" t="s">
        <v>316</v>
      </c>
    </row>
    <row r="15835">
      <c r="A15835" s="17"/>
      <c r="H15835" s="18"/>
      <c r="K15835" s="18" t="s">
        <v>316</v>
      </c>
    </row>
    <row r="15836">
      <c r="A15836" s="17"/>
      <c r="H15836" s="18"/>
      <c r="K15836" s="18" t="s">
        <v>316</v>
      </c>
    </row>
    <row r="15837">
      <c r="A15837" s="17"/>
      <c r="H15837" s="18"/>
      <c r="K15837" s="18" t="s">
        <v>316</v>
      </c>
    </row>
    <row r="15838">
      <c r="A15838" s="17"/>
      <c r="H15838" s="18"/>
      <c r="K15838" s="18" t="s">
        <v>316</v>
      </c>
    </row>
    <row r="15839">
      <c r="A15839" s="17"/>
      <c r="H15839" s="18"/>
      <c r="K15839" s="18" t="s">
        <v>316</v>
      </c>
    </row>
    <row r="15840">
      <c r="A15840" s="17"/>
      <c r="H15840" s="18"/>
      <c r="K15840" s="18" t="s">
        <v>316</v>
      </c>
    </row>
    <row r="15841">
      <c r="A15841" s="17"/>
      <c r="H15841" s="18"/>
      <c r="K15841" s="18" t="s">
        <v>316</v>
      </c>
    </row>
    <row r="15842">
      <c r="A15842" s="17"/>
      <c r="H15842" s="18"/>
      <c r="K15842" s="18" t="s">
        <v>316</v>
      </c>
    </row>
    <row r="15843">
      <c r="A15843" s="17"/>
      <c r="H15843" s="18"/>
      <c r="K15843" s="18" t="s">
        <v>316</v>
      </c>
    </row>
    <row r="15844">
      <c r="A15844" s="17"/>
      <c r="H15844" s="18"/>
      <c r="K15844" s="18" t="s">
        <v>316</v>
      </c>
    </row>
    <row r="15845">
      <c r="A15845" s="17"/>
      <c r="H15845" s="18"/>
      <c r="K15845" s="18" t="s">
        <v>316</v>
      </c>
    </row>
    <row r="15846">
      <c r="A15846" s="17"/>
      <c r="H15846" s="18"/>
      <c r="K15846" s="18" t="s">
        <v>316</v>
      </c>
    </row>
    <row r="15847">
      <c r="A15847" s="17"/>
      <c r="H15847" s="18"/>
      <c r="K15847" s="18" t="s">
        <v>316</v>
      </c>
    </row>
    <row r="15848">
      <c r="A15848" s="17"/>
      <c r="H15848" s="18"/>
      <c r="K15848" s="18" t="s">
        <v>316</v>
      </c>
    </row>
    <row r="15849">
      <c r="A15849" s="17"/>
      <c r="H15849" s="18"/>
      <c r="K15849" s="18" t="s">
        <v>316</v>
      </c>
    </row>
    <row r="15850">
      <c r="A15850" s="17"/>
      <c r="H15850" s="18"/>
      <c r="K15850" s="18" t="s">
        <v>316</v>
      </c>
    </row>
    <row r="15851">
      <c r="A15851" s="17"/>
      <c r="H15851" s="18"/>
      <c r="K15851" s="18" t="s">
        <v>316</v>
      </c>
    </row>
    <row r="15852">
      <c r="A15852" s="17"/>
      <c r="H15852" s="18"/>
      <c r="K15852" s="18" t="s">
        <v>316</v>
      </c>
    </row>
    <row r="15853">
      <c r="A15853" s="17"/>
      <c r="H15853" s="18"/>
      <c r="K15853" s="18" t="s">
        <v>316</v>
      </c>
    </row>
    <row r="15854">
      <c r="A15854" s="17"/>
      <c r="H15854" s="18"/>
      <c r="K15854" s="18" t="s">
        <v>316</v>
      </c>
    </row>
    <row r="15855">
      <c r="A15855" s="17"/>
      <c r="H15855" s="18"/>
      <c r="K15855" s="18" t="s">
        <v>316</v>
      </c>
    </row>
    <row r="15856">
      <c r="A15856" s="17"/>
      <c r="H15856" s="18"/>
      <c r="K15856" s="18" t="s">
        <v>316</v>
      </c>
    </row>
    <row r="15857">
      <c r="A15857" s="17"/>
      <c r="H15857" s="18"/>
      <c r="K15857" s="18" t="s">
        <v>316</v>
      </c>
    </row>
    <row r="15858">
      <c r="A15858" s="17"/>
      <c r="H15858" s="18"/>
      <c r="K15858" s="18" t="s">
        <v>316</v>
      </c>
    </row>
    <row r="15859">
      <c r="A15859" s="17"/>
      <c r="H15859" s="18"/>
      <c r="K15859" s="18" t="s">
        <v>316</v>
      </c>
    </row>
    <row r="15860">
      <c r="A15860" s="17"/>
      <c r="H15860" s="18"/>
      <c r="K15860" s="18" t="s">
        <v>316</v>
      </c>
    </row>
    <row r="15861">
      <c r="A15861" s="17"/>
      <c r="H15861" s="18"/>
      <c r="K15861" s="18" t="s">
        <v>316</v>
      </c>
    </row>
    <row r="15862">
      <c r="A15862" s="17"/>
      <c r="H15862" s="18"/>
      <c r="K15862" s="18" t="s">
        <v>316</v>
      </c>
    </row>
    <row r="15863">
      <c r="A15863" s="17"/>
      <c r="H15863" s="18"/>
      <c r="K15863" s="18" t="s">
        <v>316</v>
      </c>
    </row>
    <row r="15864">
      <c r="A15864" s="17"/>
      <c r="H15864" s="18"/>
      <c r="K15864" s="18" t="s">
        <v>316</v>
      </c>
    </row>
    <row r="15865">
      <c r="A15865" s="17"/>
      <c r="H15865" s="18"/>
      <c r="K15865" s="18" t="s">
        <v>316</v>
      </c>
    </row>
    <row r="15866">
      <c r="A15866" s="17"/>
      <c r="H15866" s="18"/>
      <c r="K15866" s="18" t="s">
        <v>316</v>
      </c>
    </row>
    <row r="15867">
      <c r="A15867" s="17"/>
      <c r="H15867" s="18"/>
      <c r="K15867" s="18" t="s">
        <v>316</v>
      </c>
    </row>
    <row r="15868">
      <c r="A15868" s="17"/>
      <c r="H15868" s="18"/>
      <c r="K15868" s="18" t="s">
        <v>316</v>
      </c>
    </row>
    <row r="15869">
      <c r="A15869" s="17"/>
      <c r="H15869" s="18"/>
      <c r="K15869" s="18" t="s">
        <v>316</v>
      </c>
    </row>
    <row r="15870">
      <c r="A15870" s="17"/>
      <c r="H15870" s="18"/>
      <c r="K15870" s="18" t="s">
        <v>316</v>
      </c>
    </row>
    <row r="15871">
      <c r="A15871" s="17"/>
      <c r="H15871" s="18"/>
      <c r="K15871" s="18" t="s">
        <v>316</v>
      </c>
    </row>
    <row r="15872">
      <c r="A15872" s="17"/>
      <c r="H15872" s="18"/>
      <c r="K15872" s="18" t="s">
        <v>316</v>
      </c>
    </row>
    <row r="15873">
      <c r="A15873" s="17"/>
      <c r="H15873" s="18"/>
      <c r="K15873" s="18" t="s">
        <v>316</v>
      </c>
    </row>
    <row r="15874">
      <c r="A15874" s="17"/>
      <c r="H15874" s="18"/>
      <c r="K15874" s="18" t="s">
        <v>316</v>
      </c>
    </row>
    <row r="15875">
      <c r="A15875" s="17"/>
      <c r="H15875" s="18"/>
      <c r="K15875" s="18" t="s">
        <v>316</v>
      </c>
    </row>
    <row r="15876">
      <c r="A15876" s="17"/>
      <c r="H15876" s="18"/>
      <c r="K15876" s="18" t="s">
        <v>316</v>
      </c>
    </row>
    <row r="15877">
      <c r="A15877" s="17"/>
      <c r="H15877" s="18"/>
      <c r="K15877" s="18" t="s">
        <v>316</v>
      </c>
    </row>
    <row r="15878">
      <c r="A15878" s="17"/>
      <c r="H15878" s="18"/>
      <c r="K15878" s="18" t="s">
        <v>316</v>
      </c>
    </row>
    <row r="15879">
      <c r="A15879" s="17"/>
      <c r="H15879" s="18"/>
      <c r="K15879" s="18" t="s">
        <v>316</v>
      </c>
    </row>
    <row r="15880">
      <c r="A15880" s="17"/>
      <c r="H15880" s="18"/>
      <c r="K15880" s="18" t="s">
        <v>316</v>
      </c>
    </row>
    <row r="15881">
      <c r="A15881" s="17"/>
      <c r="H15881" s="18"/>
      <c r="K15881" s="18" t="s">
        <v>316</v>
      </c>
    </row>
    <row r="15882">
      <c r="A15882" s="17"/>
      <c r="H15882" s="18"/>
      <c r="K15882" s="18" t="s">
        <v>316</v>
      </c>
    </row>
    <row r="15883">
      <c r="A15883" s="17"/>
      <c r="H15883" s="18"/>
      <c r="K15883" s="18" t="s">
        <v>316</v>
      </c>
    </row>
    <row r="15884">
      <c r="A15884" s="17"/>
      <c r="H15884" s="18"/>
      <c r="K15884" s="18" t="s">
        <v>316</v>
      </c>
    </row>
    <row r="15885">
      <c r="A15885" s="17"/>
      <c r="H15885" s="18"/>
      <c r="K15885" s="18" t="s">
        <v>316</v>
      </c>
    </row>
    <row r="15886">
      <c r="A15886" s="17"/>
      <c r="H15886" s="18"/>
      <c r="K15886" s="18" t="s">
        <v>316</v>
      </c>
    </row>
    <row r="15887">
      <c r="A15887" s="17"/>
      <c r="H15887" s="18"/>
      <c r="K15887" s="18" t="s">
        <v>316</v>
      </c>
    </row>
    <row r="15888">
      <c r="A15888" s="17"/>
      <c r="H15888" s="18"/>
      <c r="K15888" s="18" t="s">
        <v>316</v>
      </c>
    </row>
    <row r="15889">
      <c r="A15889" s="17"/>
      <c r="H15889" s="18"/>
      <c r="K15889" s="18" t="s">
        <v>316</v>
      </c>
    </row>
    <row r="15890">
      <c r="A15890" s="17"/>
      <c r="H15890" s="18"/>
      <c r="K15890" s="18" t="s">
        <v>316</v>
      </c>
    </row>
    <row r="15891">
      <c r="A15891" s="17"/>
      <c r="H15891" s="18"/>
      <c r="K15891" s="18" t="s">
        <v>316</v>
      </c>
    </row>
    <row r="15892">
      <c r="A15892" s="17"/>
      <c r="H15892" s="18"/>
      <c r="K15892" s="18" t="s">
        <v>316</v>
      </c>
    </row>
    <row r="15893">
      <c r="A15893" s="17"/>
      <c r="H15893" s="18"/>
      <c r="K15893" s="18" t="s">
        <v>316</v>
      </c>
    </row>
    <row r="15894">
      <c r="A15894" s="17"/>
      <c r="H15894" s="18"/>
      <c r="K15894" s="18" t="s">
        <v>316</v>
      </c>
    </row>
    <row r="15895">
      <c r="A15895" s="17"/>
      <c r="H15895" s="18"/>
      <c r="K15895" s="18" t="s">
        <v>316</v>
      </c>
    </row>
    <row r="15896">
      <c r="A15896" s="17"/>
      <c r="H15896" s="18"/>
      <c r="K15896" s="18" t="s">
        <v>316</v>
      </c>
    </row>
    <row r="15897">
      <c r="A15897" s="17"/>
      <c r="H15897" s="18"/>
      <c r="K15897" s="18" t="s">
        <v>316</v>
      </c>
    </row>
    <row r="15898">
      <c r="A15898" s="17"/>
      <c r="H15898" s="18"/>
      <c r="K15898" s="18" t="s">
        <v>316</v>
      </c>
    </row>
    <row r="15899">
      <c r="A15899" s="17"/>
      <c r="H15899" s="18"/>
      <c r="K15899" s="18" t="s">
        <v>316</v>
      </c>
    </row>
    <row r="15900">
      <c r="A15900" s="17"/>
      <c r="H15900" s="18"/>
      <c r="K15900" s="18" t="s">
        <v>316</v>
      </c>
    </row>
    <row r="15901">
      <c r="A15901" s="17"/>
      <c r="H15901" s="18"/>
      <c r="K15901" s="18" t="s">
        <v>316</v>
      </c>
    </row>
    <row r="15902">
      <c r="A15902" s="17"/>
      <c r="H15902" s="18"/>
      <c r="K15902" s="18" t="s">
        <v>316</v>
      </c>
    </row>
    <row r="15903">
      <c r="A15903" s="17"/>
      <c r="H15903" s="18"/>
      <c r="K15903" s="18" t="s">
        <v>316</v>
      </c>
    </row>
    <row r="15904">
      <c r="A15904" s="17"/>
      <c r="H15904" s="18"/>
      <c r="K15904" s="18" t="s">
        <v>316</v>
      </c>
    </row>
    <row r="15905">
      <c r="A15905" s="17"/>
      <c r="H15905" s="18"/>
      <c r="K15905" s="18" t="s">
        <v>316</v>
      </c>
    </row>
    <row r="15906">
      <c r="A15906" s="17"/>
      <c r="H15906" s="18"/>
      <c r="K15906" s="18" t="s">
        <v>316</v>
      </c>
    </row>
    <row r="15907">
      <c r="A15907" s="17"/>
      <c r="H15907" s="18"/>
      <c r="K15907" s="18" t="s">
        <v>316</v>
      </c>
    </row>
    <row r="15908">
      <c r="A15908" s="17"/>
      <c r="H15908" s="18"/>
      <c r="K15908" s="18" t="s">
        <v>316</v>
      </c>
    </row>
    <row r="15909">
      <c r="A15909" s="17"/>
      <c r="H15909" s="18"/>
      <c r="K15909" s="18" t="s">
        <v>316</v>
      </c>
    </row>
    <row r="15910">
      <c r="A15910" s="17"/>
      <c r="H15910" s="18"/>
      <c r="K15910" s="18" t="s">
        <v>316</v>
      </c>
    </row>
    <row r="15911">
      <c r="A15911" s="17"/>
      <c r="H15911" s="18"/>
      <c r="K15911" s="18" t="s">
        <v>316</v>
      </c>
    </row>
    <row r="15912">
      <c r="A15912" s="17"/>
      <c r="H15912" s="18"/>
      <c r="K15912" s="18" t="s">
        <v>316</v>
      </c>
    </row>
    <row r="15913">
      <c r="A15913" s="17"/>
      <c r="H15913" s="18"/>
      <c r="K15913" s="18" t="s">
        <v>316</v>
      </c>
    </row>
    <row r="15914">
      <c r="A15914" s="17"/>
      <c r="H15914" s="18"/>
      <c r="K15914" s="18" t="s">
        <v>316</v>
      </c>
    </row>
    <row r="15915">
      <c r="A15915" s="17"/>
      <c r="H15915" s="18"/>
      <c r="K15915" s="18" t="s">
        <v>316</v>
      </c>
    </row>
    <row r="15916">
      <c r="A15916" s="17"/>
      <c r="H15916" s="18"/>
      <c r="K15916" s="18" t="s">
        <v>316</v>
      </c>
    </row>
    <row r="15917">
      <c r="A15917" s="17"/>
      <c r="H15917" s="18"/>
      <c r="K15917" s="18" t="s">
        <v>316</v>
      </c>
    </row>
    <row r="15918">
      <c r="A15918" s="17"/>
      <c r="H15918" s="18"/>
      <c r="K15918" s="18" t="s">
        <v>316</v>
      </c>
    </row>
    <row r="15919">
      <c r="A15919" s="17"/>
      <c r="H15919" s="18"/>
      <c r="K15919" s="18" t="s">
        <v>316</v>
      </c>
    </row>
    <row r="15920">
      <c r="A15920" s="17"/>
      <c r="H15920" s="18"/>
      <c r="K15920" s="18" t="s">
        <v>316</v>
      </c>
    </row>
    <row r="15921">
      <c r="A15921" s="17"/>
      <c r="H15921" s="18"/>
      <c r="K15921" s="18" t="s">
        <v>316</v>
      </c>
    </row>
    <row r="15922">
      <c r="A15922" s="17"/>
      <c r="H15922" s="18"/>
      <c r="K15922" s="18" t="s">
        <v>316</v>
      </c>
    </row>
    <row r="15923">
      <c r="A15923" s="17"/>
      <c r="H15923" s="18"/>
      <c r="K15923" s="18" t="s">
        <v>316</v>
      </c>
    </row>
    <row r="15924">
      <c r="A15924" s="17"/>
      <c r="H15924" s="18"/>
      <c r="K15924" s="18" t="s">
        <v>316</v>
      </c>
    </row>
    <row r="15925">
      <c r="A15925" s="17"/>
      <c r="H15925" s="18"/>
      <c r="K15925" s="18" t="s">
        <v>316</v>
      </c>
    </row>
    <row r="15926">
      <c r="A15926" s="17"/>
      <c r="H15926" s="18"/>
      <c r="K15926" s="18" t="s">
        <v>316</v>
      </c>
    </row>
    <row r="15927">
      <c r="A15927" s="17"/>
      <c r="H15927" s="18"/>
      <c r="K15927" s="18" t="s">
        <v>316</v>
      </c>
    </row>
    <row r="15928">
      <c r="A15928" s="17"/>
      <c r="H15928" s="18"/>
      <c r="K15928" s="18" t="s">
        <v>316</v>
      </c>
    </row>
    <row r="15929">
      <c r="A15929" s="17"/>
      <c r="H15929" s="18"/>
      <c r="K15929" s="18" t="s">
        <v>316</v>
      </c>
    </row>
    <row r="15930">
      <c r="A15930" s="17"/>
      <c r="H15930" s="18"/>
      <c r="K15930" s="18" t="s">
        <v>316</v>
      </c>
    </row>
    <row r="15931">
      <c r="A15931" s="17"/>
      <c r="H15931" s="18"/>
      <c r="K15931" s="18" t="s">
        <v>316</v>
      </c>
    </row>
    <row r="15932">
      <c r="A15932" s="17"/>
      <c r="H15932" s="18"/>
      <c r="K15932" s="18" t="s">
        <v>316</v>
      </c>
    </row>
    <row r="15933">
      <c r="A15933" s="17"/>
      <c r="H15933" s="18"/>
      <c r="K15933" s="18" t="s">
        <v>316</v>
      </c>
    </row>
    <row r="15934">
      <c r="A15934" s="17"/>
      <c r="H15934" s="18"/>
      <c r="K15934" s="18" t="s">
        <v>316</v>
      </c>
    </row>
    <row r="15935">
      <c r="A15935" s="17"/>
      <c r="H15935" s="18"/>
      <c r="K15935" s="18" t="s">
        <v>316</v>
      </c>
    </row>
    <row r="15936">
      <c r="A15936" s="17"/>
      <c r="H15936" s="18"/>
      <c r="K15936" s="18" t="s">
        <v>316</v>
      </c>
    </row>
    <row r="15937">
      <c r="A15937" s="17"/>
      <c r="H15937" s="18"/>
      <c r="K15937" s="18" t="s">
        <v>316</v>
      </c>
    </row>
    <row r="15938">
      <c r="A15938" s="17"/>
      <c r="H15938" s="18"/>
      <c r="K15938" s="18" t="s">
        <v>316</v>
      </c>
    </row>
    <row r="15939">
      <c r="A15939" s="17"/>
      <c r="H15939" s="18"/>
      <c r="K15939" s="18" t="s">
        <v>316</v>
      </c>
    </row>
    <row r="15940">
      <c r="A15940" s="17"/>
      <c r="H15940" s="18"/>
      <c r="K15940" s="18" t="s">
        <v>316</v>
      </c>
    </row>
    <row r="15941">
      <c r="A15941" s="17"/>
      <c r="H15941" s="18"/>
      <c r="K15941" s="18" t="s">
        <v>316</v>
      </c>
    </row>
    <row r="15942">
      <c r="A15942" s="17"/>
      <c r="H15942" s="18"/>
      <c r="K15942" s="18" t="s">
        <v>316</v>
      </c>
    </row>
    <row r="15943">
      <c r="A15943" s="17"/>
      <c r="H15943" s="18"/>
      <c r="K15943" s="18" t="s">
        <v>316</v>
      </c>
    </row>
    <row r="15944">
      <c r="A15944" s="17"/>
      <c r="H15944" s="18"/>
      <c r="K15944" s="18" t="s">
        <v>316</v>
      </c>
    </row>
    <row r="15945">
      <c r="A15945" s="17"/>
      <c r="H15945" s="18"/>
      <c r="K15945" s="18" t="s">
        <v>316</v>
      </c>
    </row>
    <row r="15946">
      <c r="A15946" s="17"/>
      <c r="H15946" s="18"/>
      <c r="K15946" s="18" t="s">
        <v>316</v>
      </c>
    </row>
    <row r="15947">
      <c r="A15947" s="17"/>
      <c r="H15947" s="18"/>
      <c r="K15947" s="18" t="s">
        <v>316</v>
      </c>
    </row>
    <row r="15948">
      <c r="A15948" s="17"/>
      <c r="H15948" s="18"/>
      <c r="K15948" s="18" t="s">
        <v>316</v>
      </c>
    </row>
    <row r="15949">
      <c r="A15949" s="17"/>
      <c r="H15949" s="18"/>
      <c r="K15949" s="18" t="s">
        <v>316</v>
      </c>
    </row>
    <row r="15950">
      <c r="A15950" s="17"/>
      <c r="H15950" s="18"/>
      <c r="K15950" s="18" t="s">
        <v>316</v>
      </c>
    </row>
    <row r="15951">
      <c r="A15951" s="17"/>
      <c r="H15951" s="18"/>
      <c r="K15951" s="18" t="s">
        <v>316</v>
      </c>
    </row>
    <row r="15952">
      <c r="A15952" s="17"/>
      <c r="H15952" s="18"/>
      <c r="K15952" s="18" t="s">
        <v>316</v>
      </c>
    </row>
    <row r="15953">
      <c r="A15953" s="17"/>
      <c r="H15953" s="18"/>
      <c r="K15953" s="18" t="s">
        <v>316</v>
      </c>
    </row>
    <row r="15954">
      <c r="A15954" s="17"/>
      <c r="H15954" s="18"/>
      <c r="K15954" s="18" t="s">
        <v>316</v>
      </c>
    </row>
    <row r="15955">
      <c r="A15955" s="17"/>
      <c r="H15955" s="18"/>
      <c r="K15955" s="18" t="s">
        <v>316</v>
      </c>
    </row>
    <row r="15956">
      <c r="A15956" s="17"/>
      <c r="H15956" s="18"/>
      <c r="K15956" s="18" t="s">
        <v>316</v>
      </c>
    </row>
    <row r="15957">
      <c r="A15957" s="17"/>
      <c r="H15957" s="18"/>
      <c r="K15957" s="18" t="s">
        <v>316</v>
      </c>
    </row>
    <row r="15958">
      <c r="A15958" s="17"/>
      <c r="H15958" s="18"/>
      <c r="K15958" s="18" t="s">
        <v>316</v>
      </c>
    </row>
    <row r="15959">
      <c r="A15959" s="17"/>
      <c r="H15959" s="18"/>
      <c r="K15959" s="18" t="s">
        <v>316</v>
      </c>
    </row>
    <row r="15960">
      <c r="A15960" s="17"/>
      <c r="H15960" s="18"/>
      <c r="K15960" s="18" t="s">
        <v>316</v>
      </c>
    </row>
    <row r="15961">
      <c r="A15961" s="17"/>
      <c r="H15961" s="18"/>
      <c r="K15961" s="18" t="s">
        <v>316</v>
      </c>
    </row>
    <row r="15962">
      <c r="A15962" s="17"/>
      <c r="H15962" s="18"/>
      <c r="K15962" s="18" t="s">
        <v>316</v>
      </c>
    </row>
    <row r="15963">
      <c r="A15963" s="17"/>
      <c r="H15963" s="18"/>
      <c r="K15963" s="18" t="s">
        <v>316</v>
      </c>
    </row>
    <row r="15964">
      <c r="A15964" s="17"/>
      <c r="H15964" s="18"/>
      <c r="K15964" s="18" t="s">
        <v>316</v>
      </c>
    </row>
    <row r="15965">
      <c r="A15965" s="17"/>
      <c r="H15965" s="18"/>
      <c r="K15965" s="18" t="s">
        <v>316</v>
      </c>
    </row>
    <row r="15966">
      <c r="A15966" s="17"/>
      <c r="H15966" s="18"/>
      <c r="K15966" s="18" t="s">
        <v>316</v>
      </c>
    </row>
    <row r="15967">
      <c r="A15967" s="17"/>
      <c r="H15967" s="18"/>
      <c r="K15967" s="18" t="s">
        <v>316</v>
      </c>
    </row>
    <row r="15968">
      <c r="A15968" s="17"/>
      <c r="H15968" s="18"/>
      <c r="K15968" s="18" t="s">
        <v>316</v>
      </c>
    </row>
    <row r="15969">
      <c r="A15969" s="17"/>
      <c r="H15969" s="18"/>
      <c r="K15969" s="18" t="s">
        <v>316</v>
      </c>
    </row>
    <row r="15970">
      <c r="A15970" s="17"/>
      <c r="H15970" s="18"/>
      <c r="K15970" s="18" t="s">
        <v>316</v>
      </c>
    </row>
    <row r="15971">
      <c r="A15971" s="17"/>
      <c r="H15971" s="18"/>
      <c r="K15971" s="18" t="s">
        <v>316</v>
      </c>
    </row>
    <row r="15972">
      <c r="A15972" s="17"/>
      <c r="H15972" s="18"/>
      <c r="K15972" s="18" t="s">
        <v>316</v>
      </c>
    </row>
    <row r="15973">
      <c r="A15973" s="17"/>
      <c r="H15973" s="18"/>
      <c r="K15973" s="18" t="s">
        <v>316</v>
      </c>
    </row>
    <row r="15974">
      <c r="A15974" s="17"/>
      <c r="H15974" s="18"/>
      <c r="K15974" s="18" t="s">
        <v>316</v>
      </c>
    </row>
    <row r="15975">
      <c r="A15975" s="17"/>
      <c r="H15975" s="18"/>
      <c r="K15975" s="18" t="s">
        <v>316</v>
      </c>
    </row>
    <row r="15976">
      <c r="A15976" s="17"/>
      <c r="H15976" s="18"/>
      <c r="K15976" s="18" t="s">
        <v>316</v>
      </c>
    </row>
    <row r="15977">
      <c r="A15977" s="17"/>
      <c r="H15977" s="18"/>
      <c r="K15977" s="18" t="s">
        <v>316</v>
      </c>
    </row>
    <row r="15978">
      <c r="A15978" s="17"/>
      <c r="H15978" s="18"/>
      <c r="K15978" s="18" t="s">
        <v>316</v>
      </c>
    </row>
    <row r="15979">
      <c r="A15979" s="17"/>
      <c r="H15979" s="18"/>
      <c r="K15979" s="18" t="s">
        <v>316</v>
      </c>
    </row>
    <row r="15980">
      <c r="A15980" s="17"/>
      <c r="H15980" s="18"/>
      <c r="K15980" s="18" t="s">
        <v>316</v>
      </c>
    </row>
    <row r="15981">
      <c r="A15981" s="17"/>
      <c r="H15981" s="18"/>
      <c r="K15981" s="18" t="s">
        <v>316</v>
      </c>
    </row>
    <row r="15982">
      <c r="A15982" s="17"/>
      <c r="H15982" s="18"/>
      <c r="K15982" s="18" t="s">
        <v>316</v>
      </c>
    </row>
    <row r="15983">
      <c r="A15983" s="17"/>
      <c r="H15983" s="18"/>
      <c r="K15983" s="18" t="s">
        <v>316</v>
      </c>
    </row>
    <row r="15984">
      <c r="A15984" s="17"/>
      <c r="H15984" s="18"/>
      <c r="K15984" s="18" t="s">
        <v>316</v>
      </c>
    </row>
    <row r="15985">
      <c r="A15985" s="17"/>
      <c r="H15985" s="18"/>
      <c r="K15985" s="18" t="s">
        <v>316</v>
      </c>
    </row>
    <row r="15986">
      <c r="A15986" s="17"/>
      <c r="H15986" s="18"/>
      <c r="K15986" s="18" t="s">
        <v>316</v>
      </c>
    </row>
    <row r="15987">
      <c r="A15987" s="17"/>
      <c r="H15987" s="18"/>
      <c r="K15987" s="18" t="s">
        <v>316</v>
      </c>
    </row>
    <row r="15988">
      <c r="A15988" s="17"/>
      <c r="H15988" s="18"/>
      <c r="K15988" s="18" t="s">
        <v>316</v>
      </c>
    </row>
    <row r="15989">
      <c r="A15989" s="17"/>
      <c r="H15989" s="18"/>
      <c r="K15989" s="18" t="s">
        <v>316</v>
      </c>
    </row>
    <row r="15990">
      <c r="A15990" s="17"/>
      <c r="H15990" s="18"/>
      <c r="K15990" s="18" t="s">
        <v>316</v>
      </c>
    </row>
    <row r="15991">
      <c r="A15991" s="17"/>
      <c r="H15991" s="18"/>
      <c r="K15991" s="18" t="s">
        <v>316</v>
      </c>
    </row>
    <row r="15992">
      <c r="A15992" s="17"/>
      <c r="H15992" s="18"/>
      <c r="K15992" s="18" t="s">
        <v>316</v>
      </c>
    </row>
    <row r="15993">
      <c r="A15993" s="17"/>
      <c r="H15993" s="18"/>
      <c r="K15993" s="18" t="s">
        <v>316</v>
      </c>
    </row>
    <row r="15994">
      <c r="A15994" s="17"/>
      <c r="H15994" s="18"/>
      <c r="K15994" s="18" t="s">
        <v>316</v>
      </c>
    </row>
    <row r="15995">
      <c r="A15995" s="17"/>
      <c r="H15995" s="18"/>
      <c r="K15995" s="18" t="s">
        <v>316</v>
      </c>
    </row>
    <row r="15996">
      <c r="A15996" s="17"/>
      <c r="H15996" s="18"/>
      <c r="K15996" s="18" t="s">
        <v>316</v>
      </c>
    </row>
    <row r="15997">
      <c r="A15997" s="17"/>
      <c r="H15997" s="18"/>
      <c r="K15997" s="18" t="s">
        <v>316</v>
      </c>
    </row>
    <row r="15998">
      <c r="A15998" s="17"/>
      <c r="H15998" s="18"/>
      <c r="K15998" s="18" t="s">
        <v>316</v>
      </c>
    </row>
    <row r="15999">
      <c r="A15999" s="17"/>
      <c r="H15999" s="18"/>
      <c r="K15999" s="18" t="s">
        <v>316</v>
      </c>
    </row>
    <row r="16000">
      <c r="A16000" s="17"/>
      <c r="H16000" s="18"/>
      <c r="K16000" s="18" t="s">
        <v>316</v>
      </c>
    </row>
    <row r="16001">
      <c r="A16001" s="17"/>
      <c r="H16001" s="18"/>
      <c r="K16001" s="18" t="s">
        <v>316</v>
      </c>
    </row>
    <row r="16002">
      <c r="A16002" s="17"/>
      <c r="H16002" s="18"/>
      <c r="K16002" s="18" t="s">
        <v>316</v>
      </c>
    </row>
    <row r="16003">
      <c r="A16003" s="17"/>
      <c r="H16003" s="18"/>
      <c r="K16003" s="18" t="s">
        <v>316</v>
      </c>
    </row>
    <row r="16004">
      <c r="A16004" s="17"/>
      <c r="H16004" s="18"/>
      <c r="K16004" s="18" t="s">
        <v>316</v>
      </c>
    </row>
    <row r="16005">
      <c r="A16005" s="17"/>
      <c r="H16005" s="18"/>
      <c r="K16005" s="18" t="s">
        <v>316</v>
      </c>
    </row>
    <row r="16006">
      <c r="A16006" s="17"/>
      <c r="H16006" s="18"/>
      <c r="K16006" s="18" t="s">
        <v>316</v>
      </c>
    </row>
    <row r="16007">
      <c r="A16007" s="17"/>
      <c r="H16007" s="18"/>
      <c r="K16007" s="18" t="s">
        <v>316</v>
      </c>
    </row>
    <row r="16008">
      <c r="A16008" s="17"/>
      <c r="H16008" s="18"/>
      <c r="K16008" s="18" t="s">
        <v>316</v>
      </c>
    </row>
    <row r="16009">
      <c r="A16009" s="17"/>
      <c r="H16009" s="18"/>
      <c r="K16009" s="18" t="s">
        <v>316</v>
      </c>
    </row>
    <row r="16010">
      <c r="A16010" s="17"/>
      <c r="H16010" s="18"/>
      <c r="K16010" s="18" t="s">
        <v>316</v>
      </c>
    </row>
    <row r="16011">
      <c r="A16011" s="17"/>
      <c r="H16011" s="18"/>
      <c r="K16011" s="18" t="s">
        <v>316</v>
      </c>
    </row>
    <row r="16012">
      <c r="A16012" s="17"/>
      <c r="H16012" s="18"/>
      <c r="K16012" s="18" t="s">
        <v>316</v>
      </c>
    </row>
    <row r="16013">
      <c r="A16013" s="17"/>
      <c r="H16013" s="18"/>
      <c r="K16013" s="18" t="s">
        <v>316</v>
      </c>
    </row>
    <row r="16014">
      <c r="A16014" s="17"/>
      <c r="H16014" s="18"/>
      <c r="K16014" s="18" t="s">
        <v>316</v>
      </c>
    </row>
    <row r="16015">
      <c r="A16015" s="17"/>
      <c r="H16015" s="18"/>
      <c r="K16015" s="18" t="s">
        <v>316</v>
      </c>
    </row>
    <row r="16016">
      <c r="A16016" s="17"/>
      <c r="H16016" s="18"/>
      <c r="K16016" s="18" t="s">
        <v>316</v>
      </c>
    </row>
    <row r="16017">
      <c r="A16017" s="17"/>
      <c r="H16017" s="18"/>
      <c r="K16017" s="18" t="s">
        <v>316</v>
      </c>
    </row>
    <row r="16018">
      <c r="A16018" s="17"/>
      <c r="H16018" s="18"/>
      <c r="K16018" s="18" t="s">
        <v>316</v>
      </c>
    </row>
    <row r="16019">
      <c r="A16019" s="17"/>
      <c r="H16019" s="18"/>
      <c r="K16019" s="18" t="s">
        <v>316</v>
      </c>
    </row>
    <row r="16020">
      <c r="A16020" s="17"/>
      <c r="H16020" s="18"/>
      <c r="K16020" s="18" t="s">
        <v>316</v>
      </c>
    </row>
    <row r="16021">
      <c r="A16021" s="17"/>
      <c r="H16021" s="18"/>
      <c r="K16021" s="18" t="s">
        <v>316</v>
      </c>
    </row>
    <row r="16022">
      <c r="A16022" s="17"/>
      <c r="H16022" s="18"/>
      <c r="K16022" s="18" t="s">
        <v>316</v>
      </c>
    </row>
    <row r="16023">
      <c r="A16023" s="17"/>
      <c r="H16023" s="18"/>
      <c r="K16023" s="18" t="s">
        <v>316</v>
      </c>
    </row>
    <row r="16024">
      <c r="A16024" s="17"/>
      <c r="H16024" s="18"/>
      <c r="K16024" s="18" t="s">
        <v>316</v>
      </c>
    </row>
    <row r="16025">
      <c r="A16025" s="17"/>
      <c r="H16025" s="18"/>
      <c r="K16025" s="18" t="s">
        <v>316</v>
      </c>
    </row>
    <row r="16026">
      <c r="A16026" s="17"/>
      <c r="H16026" s="18"/>
      <c r="K16026" s="18" t="s">
        <v>316</v>
      </c>
    </row>
    <row r="16027">
      <c r="A16027" s="17"/>
      <c r="H16027" s="18"/>
      <c r="K16027" s="18" t="s">
        <v>316</v>
      </c>
    </row>
    <row r="16028">
      <c r="A16028" s="17"/>
      <c r="H16028" s="18"/>
      <c r="K16028" s="18" t="s">
        <v>316</v>
      </c>
    </row>
    <row r="16029">
      <c r="A16029" s="17"/>
      <c r="H16029" s="18"/>
      <c r="K16029" s="18" t="s">
        <v>316</v>
      </c>
    </row>
    <row r="16030">
      <c r="A16030" s="17"/>
      <c r="H16030" s="18"/>
      <c r="K16030" s="18" t="s">
        <v>316</v>
      </c>
    </row>
    <row r="16031">
      <c r="A16031" s="17"/>
      <c r="H16031" s="18"/>
      <c r="K16031" s="18" t="s">
        <v>316</v>
      </c>
    </row>
    <row r="16032">
      <c r="A16032" s="17"/>
      <c r="H16032" s="18"/>
      <c r="K16032" s="18" t="s">
        <v>316</v>
      </c>
    </row>
    <row r="16033">
      <c r="A16033" s="17"/>
      <c r="H16033" s="18"/>
      <c r="K16033" s="18" t="s">
        <v>316</v>
      </c>
    </row>
    <row r="16034">
      <c r="A16034" s="17"/>
      <c r="H16034" s="18"/>
      <c r="K16034" s="18" t="s">
        <v>316</v>
      </c>
    </row>
    <row r="16035">
      <c r="A16035" s="17"/>
      <c r="H16035" s="18"/>
      <c r="K16035" s="18" t="s">
        <v>316</v>
      </c>
    </row>
    <row r="16036">
      <c r="A16036" s="17"/>
      <c r="H16036" s="18"/>
      <c r="K16036" s="18" t="s">
        <v>316</v>
      </c>
    </row>
    <row r="16037">
      <c r="A16037" s="17"/>
      <c r="H16037" s="18"/>
      <c r="K16037" s="18" t="s">
        <v>316</v>
      </c>
    </row>
    <row r="16038">
      <c r="A16038" s="17"/>
      <c r="H16038" s="18"/>
      <c r="K16038" s="18" t="s">
        <v>316</v>
      </c>
    </row>
    <row r="16039">
      <c r="A16039" s="17"/>
      <c r="H16039" s="18"/>
      <c r="K16039" s="18" t="s">
        <v>316</v>
      </c>
    </row>
    <row r="16040">
      <c r="A16040" s="17"/>
      <c r="H16040" s="18"/>
      <c r="K16040" s="18" t="s">
        <v>316</v>
      </c>
    </row>
    <row r="16041">
      <c r="A16041" s="17"/>
      <c r="H16041" s="18"/>
      <c r="K16041" s="18" t="s">
        <v>316</v>
      </c>
    </row>
    <row r="16042">
      <c r="A16042" s="17"/>
      <c r="H16042" s="18"/>
      <c r="K16042" s="18" t="s">
        <v>316</v>
      </c>
    </row>
    <row r="16043">
      <c r="A16043" s="17"/>
      <c r="H16043" s="18"/>
      <c r="K16043" s="18" t="s">
        <v>316</v>
      </c>
    </row>
    <row r="16044">
      <c r="A16044" s="17"/>
      <c r="H16044" s="18"/>
      <c r="K16044" s="18" t="s">
        <v>316</v>
      </c>
    </row>
    <row r="16045">
      <c r="A16045" s="17"/>
      <c r="H16045" s="18"/>
      <c r="K16045" s="18" t="s">
        <v>316</v>
      </c>
    </row>
    <row r="16046">
      <c r="A16046" s="17"/>
      <c r="H16046" s="18"/>
      <c r="K16046" s="18" t="s">
        <v>316</v>
      </c>
    </row>
    <row r="16047">
      <c r="A16047" s="17"/>
      <c r="H16047" s="18"/>
      <c r="K16047" s="18" t="s">
        <v>316</v>
      </c>
    </row>
    <row r="16048">
      <c r="A16048" s="17"/>
      <c r="H16048" s="18"/>
      <c r="K16048" s="18" t="s">
        <v>316</v>
      </c>
    </row>
    <row r="16049">
      <c r="A16049" s="17"/>
      <c r="H16049" s="18"/>
      <c r="K16049" s="18" t="s">
        <v>316</v>
      </c>
    </row>
    <row r="16050">
      <c r="A16050" s="17"/>
      <c r="H16050" s="18"/>
      <c r="K16050" s="18" t="s">
        <v>316</v>
      </c>
    </row>
    <row r="16051">
      <c r="A16051" s="17"/>
      <c r="H16051" s="18"/>
      <c r="K16051" s="18" t="s">
        <v>316</v>
      </c>
    </row>
    <row r="16052">
      <c r="A16052" s="17"/>
      <c r="H16052" s="18"/>
      <c r="K16052" s="18" t="s">
        <v>316</v>
      </c>
    </row>
    <row r="16053">
      <c r="A16053" s="17"/>
      <c r="H16053" s="18"/>
      <c r="K16053" s="18" t="s">
        <v>316</v>
      </c>
    </row>
    <row r="16054">
      <c r="A16054" s="17"/>
      <c r="H16054" s="18"/>
      <c r="K16054" s="18" t="s">
        <v>316</v>
      </c>
    </row>
    <row r="16055">
      <c r="A16055" s="17"/>
      <c r="H16055" s="18"/>
      <c r="K16055" s="18" t="s">
        <v>316</v>
      </c>
    </row>
    <row r="16056">
      <c r="A16056" s="17"/>
      <c r="H16056" s="18"/>
      <c r="K16056" s="18" t="s">
        <v>316</v>
      </c>
    </row>
    <row r="16057">
      <c r="A16057" s="17"/>
      <c r="H16057" s="18"/>
      <c r="K16057" s="18" t="s">
        <v>316</v>
      </c>
    </row>
    <row r="16058">
      <c r="A16058" s="17"/>
      <c r="H16058" s="18"/>
      <c r="K16058" s="18" t="s">
        <v>316</v>
      </c>
    </row>
    <row r="16059">
      <c r="A16059" s="17"/>
      <c r="H16059" s="18"/>
      <c r="K16059" s="18" t="s">
        <v>316</v>
      </c>
    </row>
    <row r="16060">
      <c r="A16060" s="17"/>
      <c r="H16060" s="18"/>
      <c r="K16060" s="18" t="s">
        <v>316</v>
      </c>
    </row>
    <row r="16061">
      <c r="A16061" s="17"/>
      <c r="H16061" s="18"/>
      <c r="K16061" s="18" t="s">
        <v>316</v>
      </c>
    </row>
    <row r="16062">
      <c r="A16062" s="17"/>
      <c r="H16062" s="18"/>
      <c r="K16062" s="18" t="s">
        <v>316</v>
      </c>
    </row>
    <row r="16063">
      <c r="A16063" s="17"/>
      <c r="H16063" s="18"/>
      <c r="K16063" s="18" t="s">
        <v>316</v>
      </c>
    </row>
    <row r="16064">
      <c r="A16064" s="17"/>
      <c r="H16064" s="18"/>
      <c r="K16064" s="18" t="s">
        <v>316</v>
      </c>
    </row>
    <row r="16065">
      <c r="A16065" s="17"/>
      <c r="H16065" s="18"/>
      <c r="K16065" s="18" t="s">
        <v>316</v>
      </c>
    </row>
    <row r="16066">
      <c r="A16066" s="17"/>
      <c r="H16066" s="18"/>
      <c r="K16066" s="18" t="s">
        <v>316</v>
      </c>
    </row>
    <row r="16067">
      <c r="A16067" s="17"/>
      <c r="H16067" s="18"/>
      <c r="K16067" s="18" t="s">
        <v>316</v>
      </c>
    </row>
    <row r="16068">
      <c r="A16068" s="17"/>
      <c r="H16068" s="18"/>
      <c r="K16068" s="18" t="s">
        <v>316</v>
      </c>
    </row>
    <row r="16069">
      <c r="A16069" s="17"/>
      <c r="H16069" s="18"/>
      <c r="K16069" s="18" t="s">
        <v>316</v>
      </c>
    </row>
    <row r="16070">
      <c r="A16070" s="17"/>
      <c r="H16070" s="18"/>
      <c r="K16070" s="18" t="s">
        <v>316</v>
      </c>
    </row>
    <row r="16071">
      <c r="A16071" s="17"/>
      <c r="H16071" s="18"/>
      <c r="K16071" s="18" t="s">
        <v>316</v>
      </c>
    </row>
    <row r="16072">
      <c r="A16072" s="17"/>
      <c r="H16072" s="18"/>
      <c r="K16072" s="18" t="s">
        <v>316</v>
      </c>
    </row>
    <row r="16073">
      <c r="A16073" s="17"/>
      <c r="H16073" s="18"/>
      <c r="K16073" s="18" t="s">
        <v>316</v>
      </c>
    </row>
    <row r="16074">
      <c r="A16074" s="17"/>
      <c r="H16074" s="18"/>
      <c r="K16074" s="18" t="s">
        <v>316</v>
      </c>
    </row>
    <row r="16075">
      <c r="A16075" s="17"/>
      <c r="H16075" s="18"/>
      <c r="K16075" s="18" t="s">
        <v>316</v>
      </c>
    </row>
    <row r="16076">
      <c r="A16076" s="17"/>
      <c r="H16076" s="18"/>
      <c r="K16076" s="18" t="s">
        <v>316</v>
      </c>
    </row>
    <row r="16077">
      <c r="A16077" s="17"/>
      <c r="H16077" s="18"/>
      <c r="K16077" s="18" t="s">
        <v>316</v>
      </c>
    </row>
    <row r="16078">
      <c r="A16078" s="17"/>
      <c r="H16078" s="18"/>
      <c r="K16078" s="18" t="s">
        <v>316</v>
      </c>
    </row>
    <row r="16079">
      <c r="A16079" s="17"/>
      <c r="H16079" s="18"/>
      <c r="K16079" s="18" t="s">
        <v>316</v>
      </c>
    </row>
    <row r="16080">
      <c r="A16080" s="17"/>
      <c r="H16080" s="18"/>
      <c r="K16080" s="18" t="s">
        <v>316</v>
      </c>
    </row>
    <row r="16081">
      <c r="A16081" s="17"/>
      <c r="H16081" s="18"/>
      <c r="K16081" s="18" t="s">
        <v>316</v>
      </c>
    </row>
    <row r="16082">
      <c r="A16082" s="17"/>
      <c r="H16082" s="18"/>
      <c r="K16082" s="18" t="s">
        <v>316</v>
      </c>
    </row>
    <row r="16083">
      <c r="A16083" s="17"/>
      <c r="H16083" s="18"/>
      <c r="K16083" s="18" t="s">
        <v>316</v>
      </c>
    </row>
    <row r="16084">
      <c r="A16084" s="17"/>
      <c r="H16084" s="18"/>
      <c r="K16084" s="18" t="s">
        <v>316</v>
      </c>
    </row>
    <row r="16085">
      <c r="A16085" s="17"/>
      <c r="H16085" s="18"/>
      <c r="K16085" s="18" t="s">
        <v>316</v>
      </c>
    </row>
    <row r="16086">
      <c r="A16086" s="17"/>
      <c r="H16086" s="18"/>
      <c r="K16086" s="18" t="s">
        <v>316</v>
      </c>
    </row>
    <row r="16087">
      <c r="A16087" s="17"/>
      <c r="H16087" s="18"/>
      <c r="K16087" s="18" t="s">
        <v>316</v>
      </c>
    </row>
    <row r="16088">
      <c r="A16088" s="17"/>
      <c r="H16088" s="18"/>
      <c r="K16088" s="18" t="s">
        <v>316</v>
      </c>
    </row>
    <row r="16089">
      <c r="A16089" s="17"/>
      <c r="H16089" s="18"/>
      <c r="K16089" s="18" t="s">
        <v>316</v>
      </c>
    </row>
    <row r="16090">
      <c r="A16090" s="17"/>
      <c r="H16090" s="18"/>
      <c r="K16090" s="18" t="s">
        <v>316</v>
      </c>
    </row>
    <row r="16091">
      <c r="A16091" s="17"/>
      <c r="H16091" s="18"/>
      <c r="K16091" s="18" t="s">
        <v>316</v>
      </c>
    </row>
    <row r="16092">
      <c r="A16092" s="17"/>
      <c r="H16092" s="18"/>
      <c r="K16092" s="18" t="s">
        <v>316</v>
      </c>
    </row>
    <row r="16093">
      <c r="A16093" s="17"/>
      <c r="H16093" s="18"/>
      <c r="K16093" s="18" t="s">
        <v>316</v>
      </c>
    </row>
    <row r="16094">
      <c r="A16094" s="17"/>
      <c r="H16094" s="18"/>
      <c r="K16094" s="18" t="s">
        <v>316</v>
      </c>
    </row>
    <row r="16095">
      <c r="A16095" s="17"/>
      <c r="H16095" s="18"/>
      <c r="K16095" s="18" t="s">
        <v>316</v>
      </c>
    </row>
    <row r="16096">
      <c r="A16096" s="17"/>
      <c r="H16096" s="18"/>
      <c r="K16096" s="18" t="s">
        <v>316</v>
      </c>
    </row>
    <row r="16097">
      <c r="A16097" s="17"/>
      <c r="H16097" s="18"/>
      <c r="K16097" s="18" t="s">
        <v>316</v>
      </c>
    </row>
    <row r="16098">
      <c r="A16098" s="17"/>
      <c r="H16098" s="18"/>
      <c r="K16098" s="18" t="s">
        <v>316</v>
      </c>
    </row>
    <row r="16099">
      <c r="A16099" s="17"/>
      <c r="H16099" s="18"/>
      <c r="K16099" s="18" t="s">
        <v>316</v>
      </c>
    </row>
    <row r="16100">
      <c r="A16100" s="17"/>
      <c r="H16100" s="18"/>
      <c r="K16100" s="18" t="s">
        <v>316</v>
      </c>
    </row>
    <row r="16101">
      <c r="A16101" s="17"/>
      <c r="H16101" s="18"/>
      <c r="K16101" s="18" t="s">
        <v>316</v>
      </c>
    </row>
    <row r="16102">
      <c r="A16102" s="17"/>
      <c r="H16102" s="18"/>
      <c r="K16102" s="18" t="s">
        <v>316</v>
      </c>
    </row>
    <row r="16103">
      <c r="A16103" s="17"/>
      <c r="H16103" s="18"/>
      <c r="K16103" s="18" t="s">
        <v>316</v>
      </c>
    </row>
    <row r="16104">
      <c r="A16104" s="17"/>
      <c r="H16104" s="18"/>
      <c r="K16104" s="18" t="s">
        <v>316</v>
      </c>
    </row>
    <row r="16105">
      <c r="A16105" s="17"/>
      <c r="H16105" s="18"/>
      <c r="K16105" s="18" t="s">
        <v>316</v>
      </c>
    </row>
    <row r="16106">
      <c r="A16106" s="17"/>
      <c r="H16106" s="18"/>
      <c r="K16106" s="18" t="s">
        <v>316</v>
      </c>
    </row>
    <row r="16107">
      <c r="A16107" s="17"/>
      <c r="H16107" s="18"/>
      <c r="K16107" s="18" t="s">
        <v>316</v>
      </c>
    </row>
    <row r="16108">
      <c r="A16108" s="17"/>
      <c r="H16108" s="18"/>
      <c r="K16108" s="18" t="s">
        <v>316</v>
      </c>
    </row>
    <row r="16109">
      <c r="A16109" s="17"/>
      <c r="H16109" s="18"/>
      <c r="K16109" s="18" t="s">
        <v>316</v>
      </c>
    </row>
    <row r="16110">
      <c r="A16110" s="17"/>
      <c r="H16110" s="18"/>
      <c r="K16110" s="18" t="s">
        <v>316</v>
      </c>
    </row>
    <row r="16111">
      <c r="A16111" s="17"/>
      <c r="H16111" s="18"/>
      <c r="K16111" s="18" t="s">
        <v>316</v>
      </c>
    </row>
    <row r="16112">
      <c r="A16112" s="17"/>
      <c r="H16112" s="18"/>
      <c r="K16112" s="18" t="s">
        <v>316</v>
      </c>
    </row>
    <row r="16113">
      <c r="A16113" s="17"/>
      <c r="H16113" s="18"/>
      <c r="K16113" s="18" t="s">
        <v>316</v>
      </c>
    </row>
    <row r="16114">
      <c r="A16114" s="17"/>
      <c r="H16114" s="18"/>
      <c r="K16114" s="18" t="s">
        <v>316</v>
      </c>
    </row>
    <row r="16115">
      <c r="A16115" s="17"/>
      <c r="H16115" s="18"/>
      <c r="K16115" s="18" t="s">
        <v>316</v>
      </c>
    </row>
    <row r="16116">
      <c r="A16116" s="17"/>
      <c r="H16116" s="18"/>
      <c r="K16116" s="18" t="s">
        <v>316</v>
      </c>
    </row>
    <row r="16117">
      <c r="A16117" s="17"/>
      <c r="H16117" s="18"/>
      <c r="K16117" s="18" t="s">
        <v>316</v>
      </c>
    </row>
    <row r="16118">
      <c r="A16118" s="17"/>
      <c r="H16118" s="18"/>
      <c r="K16118" s="18" t="s">
        <v>316</v>
      </c>
    </row>
    <row r="16119">
      <c r="A16119" s="17"/>
      <c r="H16119" s="18"/>
      <c r="K16119" s="18" t="s">
        <v>316</v>
      </c>
    </row>
    <row r="16120">
      <c r="A16120" s="17"/>
      <c r="H16120" s="18"/>
      <c r="K16120" s="18" t="s">
        <v>316</v>
      </c>
    </row>
    <row r="16121">
      <c r="A16121" s="17"/>
      <c r="H16121" s="18"/>
      <c r="K16121" s="18" t="s">
        <v>316</v>
      </c>
    </row>
    <row r="16122">
      <c r="A16122" s="17"/>
      <c r="H16122" s="18"/>
      <c r="K16122" s="18" t="s">
        <v>316</v>
      </c>
    </row>
    <row r="16123">
      <c r="A16123" s="17"/>
      <c r="H16123" s="18"/>
      <c r="K16123" s="18" t="s">
        <v>316</v>
      </c>
    </row>
    <row r="16124">
      <c r="A16124" s="17"/>
      <c r="H16124" s="18"/>
      <c r="K16124" s="18" t="s">
        <v>316</v>
      </c>
    </row>
    <row r="16125">
      <c r="A16125" s="17"/>
      <c r="H16125" s="18"/>
      <c r="K16125" s="18" t="s">
        <v>316</v>
      </c>
    </row>
    <row r="16126">
      <c r="A16126" s="17"/>
      <c r="H16126" s="18"/>
      <c r="K16126" s="18" t="s">
        <v>316</v>
      </c>
    </row>
    <row r="16127">
      <c r="A16127" s="17"/>
      <c r="H16127" s="18"/>
      <c r="K16127" s="18" t="s">
        <v>316</v>
      </c>
    </row>
    <row r="16128">
      <c r="A16128" s="17"/>
      <c r="H16128" s="18"/>
      <c r="K16128" s="18" t="s">
        <v>316</v>
      </c>
    </row>
    <row r="16129">
      <c r="A16129" s="17"/>
      <c r="H16129" s="18"/>
      <c r="K16129" s="18" t="s">
        <v>316</v>
      </c>
    </row>
    <row r="16130">
      <c r="A16130" s="17"/>
      <c r="H16130" s="18"/>
      <c r="K16130" s="18" t="s">
        <v>316</v>
      </c>
    </row>
    <row r="16131">
      <c r="A16131" s="17"/>
      <c r="H16131" s="18"/>
      <c r="K16131" s="18" t="s">
        <v>316</v>
      </c>
    </row>
    <row r="16132">
      <c r="A16132" s="17"/>
      <c r="H16132" s="18"/>
      <c r="K16132" s="18" t="s">
        <v>316</v>
      </c>
    </row>
    <row r="16133">
      <c r="A16133" s="17"/>
      <c r="H16133" s="18"/>
      <c r="K16133" s="18" t="s">
        <v>316</v>
      </c>
    </row>
    <row r="16134">
      <c r="A16134" s="17"/>
      <c r="H16134" s="18"/>
      <c r="K16134" s="18" t="s">
        <v>316</v>
      </c>
    </row>
    <row r="16135">
      <c r="A16135" s="17"/>
      <c r="H16135" s="18"/>
      <c r="K16135" s="18" t="s">
        <v>316</v>
      </c>
    </row>
    <row r="16136">
      <c r="A16136" s="17"/>
      <c r="H16136" s="18"/>
      <c r="K16136" s="18" t="s">
        <v>316</v>
      </c>
    </row>
    <row r="16137">
      <c r="A16137" s="17"/>
      <c r="H16137" s="18"/>
      <c r="K16137" s="18" t="s">
        <v>316</v>
      </c>
    </row>
    <row r="16138">
      <c r="A16138" s="17"/>
      <c r="H16138" s="18"/>
      <c r="K16138" s="18" t="s">
        <v>316</v>
      </c>
    </row>
    <row r="16139">
      <c r="A16139" s="17"/>
      <c r="H16139" s="18"/>
      <c r="K16139" s="18" t="s">
        <v>316</v>
      </c>
    </row>
    <row r="16140">
      <c r="A16140" s="17"/>
      <c r="H16140" s="18"/>
      <c r="K16140" s="18" t="s">
        <v>316</v>
      </c>
    </row>
    <row r="16141">
      <c r="A16141" s="17"/>
      <c r="H16141" s="18"/>
      <c r="K16141" s="18" t="s">
        <v>316</v>
      </c>
    </row>
    <row r="16142">
      <c r="A16142" s="17"/>
      <c r="H16142" s="18"/>
      <c r="K16142" s="18" t="s">
        <v>316</v>
      </c>
    </row>
    <row r="16143">
      <c r="A16143" s="17"/>
      <c r="H16143" s="18"/>
      <c r="K16143" s="18" t="s">
        <v>316</v>
      </c>
    </row>
    <row r="16144">
      <c r="A16144" s="17"/>
      <c r="H16144" s="18"/>
      <c r="K16144" s="18" t="s">
        <v>316</v>
      </c>
    </row>
    <row r="16145">
      <c r="A16145" s="17"/>
      <c r="H16145" s="18"/>
      <c r="K16145" s="18" t="s">
        <v>316</v>
      </c>
    </row>
    <row r="16146">
      <c r="A16146" s="17"/>
      <c r="H16146" s="18"/>
      <c r="K16146" s="18" t="s">
        <v>316</v>
      </c>
    </row>
    <row r="16147">
      <c r="A16147" s="17"/>
      <c r="H16147" s="18"/>
      <c r="K16147" s="18" t="s">
        <v>316</v>
      </c>
    </row>
    <row r="16148">
      <c r="A16148" s="17"/>
      <c r="H16148" s="18"/>
      <c r="K16148" s="18" t="s">
        <v>316</v>
      </c>
    </row>
    <row r="16149">
      <c r="A16149" s="17"/>
      <c r="H16149" s="18"/>
      <c r="K16149" s="18" t="s">
        <v>316</v>
      </c>
    </row>
    <row r="16150">
      <c r="A16150" s="17"/>
      <c r="H16150" s="18"/>
      <c r="K16150" s="18" t="s">
        <v>316</v>
      </c>
    </row>
    <row r="16151">
      <c r="A16151" s="17"/>
      <c r="H16151" s="18"/>
      <c r="K16151" s="18" t="s">
        <v>316</v>
      </c>
    </row>
    <row r="16152">
      <c r="A16152" s="17"/>
      <c r="H16152" s="18"/>
      <c r="K16152" s="18" t="s">
        <v>316</v>
      </c>
    </row>
    <row r="16153">
      <c r="A16153" s="17"/>
      <c r="H16153" s="18"/>
      <c r="K16153" s="18" t="s">
        <v>316</v>
      </c>
    </row>
    <row r="16154">
      <c r="A16154" s="17"/>
      <c r="H16154" s="18"/>
      <c r="K16154" s="18" t="s">
        <v>316</v>
      </c>
    </row>
    <row r="16155">
      <c r="A16155" s="17"/>
      <c r="H16155" s="18"/>
      <c r="K16155" s="18" t="s">
        <v>316</v>
      </c>
    </row>
    <row r="16156">
      <c r="A16156" s="17"/>
      <c r="H16156" s="18"/>
      <c r="K16156" s="18" t="s">
        <v>316</v>
      </c>
    </row>
    <row r="16157">
      <c r="A16157" s="17"/>
      <c r="H16157" s="18"/>
      <c r="K16157" s="18" t="s">
        <v>316</v>
      </c>
    </row>
    <row r="16158">
      <c r="A16158" s="17"/>
      <c r="H16158" s="18"/>
      <c r="K16158" s="18" t="s">
        <v>316</v>
      </c>
    </row>
    <row r="16159">
      <c r="A16159" s="17"/>
      <c r="H16159" s="18"/>
      <c r="K16159" s="18" t="s">
        <v>316</v>
      </c>
    </row>
    <row r="16160">
      <c r="A16160" s="17"/>
      <c r="H16160" s="18"/>
      <c r="K16160" s="18" t="s">
        <v>316</v>
      </c>
    </row>
    <row r="16161">
      <c r="A16161" s="17"/>
      <c r="H16161" s="18"/>
      <c r="K16161" s="18" t="s">
        <v>316</v>
      </c>
    </row>
    <row r="16162">
      <c r="A16162" s="17"/>
      <c r="H16162" s="18"/>
      <c r="K16162" s="18" t="s">
        <v>316</v>
      </c>
    </row>
    <row r="16163">
      <c r="A16163" s="17"/>
      <c r="H16163" s="18"/>
      <c r="K16163" s="18" t="s">
        <v>316</v>
      </c>
    </row>
    <row r="16164">
      <c r="A16164" s="17"/>
      <c r="H16164" s="18"/>
      <c r="K16164" s="18" t="s">
        <v>316</v>
      </c>
    </row>
    <row r="16165">
      <c r="A16165" s="17"/>
      <c r="H16165" s="18"/>
      <c r="K16165" s="18" t="s">
        <v>316</v>
      </c>
    </row>
    <row r="16166">
      <c r="A16166" s="17"/>
      <c r="H16166" s="18"/>
      <c r="K16166" s="18" t="s">
        <v>316</v>
      </c>
    </row>
    <row r="16167">
      <c r="A16167" s="17"/>
      <c r="H16167" s="18"/>
      <c r="K16167" s="18" t="s">
        <v>316</v>
      </c>
    </row>
    <row r="16168">
      <c r="A16168" s="17"/>
      <c r="H16168" s="18"/>
      <c r="K16168" s="18" t="s">
        <v>316</v>
      </c>
    </row>
    <row r="16169">
      <c r="A16169" s="17"/>
      <c r="H16169" s="18"/>
      <c r="K16169" s="18" t="s">
        <v>316</v>
      </c>
    </row>
    <row r="16170">
      <c r="A16170" s="17"/>
      <c r="H16170" s="18"/>
      <c r="K16170" s="18" t="s">
        <v>316</v>
      </c>
    </row>
    <row r="16171">
      <c r="A16171" s="17"/>
      <c r="H16171" s="18"/>
      <c r="K16171" s="18" t="s">
        <v>316</v>
      </c>
    </row>
    <row r="16172">
      <c r="A16172" s="17"/>
      <c r="H16172" s="18"/>
      <c r="K16172" s="18" t="s">
        <v>316</v>
      </c>
    </row>
    <row r="16173">
      <c r="A16173" s="17"/>
      <c r="H16173" s="18"/>
      <c r="K16173" s="18" t="s">
        <v>316</v>
      </c>
    </row>
    <row r="16174">
      <c r="A16174" s="17"/>
      <c r="H16174" s="18"/>
      <c r="K16174" s="18" t="s">
        <v>316</v>
      </c>
    </row>
    <row r="16175">
      <c r="A16175" s="17"/>
      <c r="H16175" s="18"/>
      <c r="K16175" s="18" t="s">
        <v>316</v>
      </c>
    </row>
    <row r="16176">
      <c r="A16176" s="17"/>
      <c r="H16176" s="18"/>
      <c r="K16176" s="18" t="s">
        <v>316</v>
      </c>
    </row>
    <row r="16177">
      <c r="A16177" s="17"/>
      <c r="H16177" s="18"/>
      <c r="K16177" s="18" t="s">
        <v>316</v>
      </c>
    </row>
    <row r="16178">
      <c r="A16178" s="17"/>
      <c r="H16178" s="18"/>
      <c r="K16178" s="18" t="s">
        <v>316</v>
      </c>
    </row>
    <row r="16179">
      <c r="A16179" s="17"/>
      <c r="H16179" s="18"/>
      <c r="K16179" s="18" t="s">
        <v>316</v>
      </c>
    </row>
    <row r="16180">
      <c r="A16180" s="17"/>
      <c r="H16180" s="18"/>
      <c r="K16180" s="18" t="s">
        <v>316</v>
      </c>
    </row>
    <row r="16181">
      <c r="A16181" s="17"/>
      <c r="H16181" s="18"/>
      <c r="K16181" s="18" t="s">
        <v>316</v>
      </c>
    </row>
    <row r="16182">
      <c r="A16182" s="17"/>
      <c r="H16182" s="18"/>
      <c r="K16182" s="18" t="s">
        <v>316</v>
      </c>
    </row>
    <row r="16183">
      <c r="A16183" s="17"/>
      <c r="H16183" s="18"/>
      <c r="K16183" s="18" t="s">
        <v>316</v>
      </c>
    </row>
    <row r="16184">
      <c r="A16184" s="17"/>
      <c r="H16184" s="18"/>
      <c r="K16184" s="18" t="s">
        <v>316</v>
      </c>
    </row>
    <row r="16185">
      <c r="A16185" s="17"/>
      <c r="H16185" s="18"/>
      <c r="K16185" s="18" t="s">
        <v>316</v>
      </c>
    </row>
    <row r="16186">
      <c r="A16186" s="17"/>
      <c r="H16186" s="18"/>
      <c r="K16186" s="18" t="s">
        <v>316</v>
      </c>
    </row>
    <row r="16187">
      <c r="A16187" s="17"/>
      <c r="H16187" s="18"/>
      <c r="K16187" s="18" t="s">
        <v>316</v>
      </c>
    </row>
    <row r="16188">
      <c r="A16188" s="17"/>
      <c r="H16188" s="18"/>
      <c r="K16188" s="18" t="s">
        <v>316</v>
      </c>
    </row>
    <row r="16189">
      <c r="A16189" s="17"/>
      <c r="H16189" s="18"/>
      <c r="K16189" s="18" t="s">
        <v>316</v>
      </c>
    </row>
    <row r="16190">
      <c r="A16190" s="17"/>
      <c r="H16190" s="18"/>
      <c r="K16190" s="18" t="s">
        <v>316</v>
      </c>
    </row>
    <row r="16191">
      <c r="A16191" s="17"/>
      <c r="H16191" s="18"/>
      <c r="K16191" s="18" t="s">
        <v>316</v>
      </c>
    </row>
    <row r="16192">
      <c r="A16192" s="17"/>
      <c r="H16192" s="18"/>
      <c r="K16192" s="18" t="s">
        <v>316</v>
      </c>
    </row>
    <row r="16193">
      <c r="A16193" s="17"/>
      <c r="H16193" s="18"/>
      <c r="K16193" s="18" t="s">
        <v>316</v>
      </c>
    </row>
    <row r="16194">
      <c r="A16194" s="17"/>
      <c r="H16194" s="18"/>
      <c r="K16194" s="18" t="s">
        <v>316</v>
      </c>
    </row>
    <row r="16195">
      <c r="A16195" s="17"/>
      <c r="H16195" s="18"/>
      <c r="K16195" s="18" t="s">
        <v>316</v>
      </c>
    </row>
    <row r="16196">
      <c r="A16196" s="17"/>
      <c r="H16196" s="18"/>
      <c r="K16196" s="18" t="s">
        <v>316</v>
      </c>
    </row>
    <row r="16197">
      <c r="A16197" s="17"/>
      <c r="H16197" s="18"/>
      <c r="K16197" s="18" t="s">
        <v>316</v>
      </c>
    </row>
    <row r="16198">
      <c r="A16198" s="17"/>
      <c r="H16198" s="18"/>
      <c r="K16198" s="18" t="s">
        <v>316</v>
      </c>
    </row>
    <row r="16199">
      <c r="A16199" s="17"/>
      <c r="H16199" s="18"/>
      <c r="K16199" s="18" t="s">
        <v>316</v>
      </c>
    </row>
    <row r="16200">
      <c r="A16200" s="17"/>
      <c r="H16200" s="18"/>
      <c r="K16200" s="18" t="s">
        <v>316</v>
      </c>
    </row>
    <row r="16201">
      <c r="A16201" s="17"/>
      <c r="H16201" s="18"/>
      <c r="K16201" s="18" t="s">
        <v>316</v>
      </c>
    </row>
    <row r="16202">
      <c r="A16202" s="17"/>
      <c r="H16202" s="18"/>
      <c r="K16202" s="18" t="s">
        <v>316</v>
      </c>
    </row>
    <row r="16203">
      <c r="A16203" s="17"/>
      <c r="H16203" s="18"/>
      <c r="K16203" s="18" t="s">
        <v>316</v>
      </c>
    </row>
    <row r="16204">
      <c r="A16204" s="17"/>
      <c r="H16204" s="18"/>
      <c r="K16204" s="18" t="s">
        <v>316</v>
      </c>
    </row>
    <row r="16205">
      <c r="A16205" s="17"/>
      <c r="H16205" s="18"/>
      <c r="K16205" s="18" t="s">
        <v>316</v>
      </c>
    </row>
    <row r="16206">
      <c r="A16206" s="17"/>
      <c r="H16206" s="18"/>
      <c r="K16206" s="18" t="s">
        <v>316</v>
      </c>
    </row>
    <row r="16207">
      <c r="A16207" s="17"/>
      <c r="H16207" s="18"/>
      <c r="K16207" s="18" t="s">
        <v>316</v>
      </c>
    </row>
    <row r="16208">
      <c r="A16208" s="17"/>
      <c r="H16208" s="18"/>
      <c r="K16208" s="18" t="s">
        <v>316</v>
      </c>
    </row>
    <row r="16209">
      <c r="A16209" s="17"/>
      <c r="H16209" s="18"/>
      <c r="K16209" s="18" t="s">
        <v>316</v>
      </c>
    </row>
    <row r="16210">
      <c r="A16210" s="17"/>
      <c r="H16210" s="18"/>
      <c r="K16210" s="18" t="s">
        <v>316</v>
      </c>
    </row>
    <row r="16211">
      <c r="A16211" s="17"/>
      <c r="H16211" s="18"/>
      <c r="K16211" s="18" t="s">
        <v>316</v>
      </c>
    </row>
    <row r="16212">
      <c r="A16212" s="17"/>
      <c r="H16212" s="18"/>
      <c r="K16212" s="18" t="s">
        <v>316</v>
      </c>
    </row>
    <row r="16213">
      <c r="A16213" s="17"/>
      <c r="H16213" s="18"/>
      <c r="K16213" s="18" t="s">
        <v>316</v>
      </c>
    </row>
    <row r="16214">
      <c r="A16214" s="17"/>
      <c r="H16214" s="18"/>
      <c r="K16214" s="18" t="s">
        <v>316</v>
      </c>
    </row>
    <row r="16215">
      <c r="A16215" s="17"/>
      <c r="H16215" s="18"/>
      <c r="K16215" s="18" t="s">
        <v>316</v>
      </c>
    </row>
    <row r="16216">
      <c r="A16216" s="17"/>
      <c r="H16216" s="18"/>
      <c r="K16216" s="18" t="s">
        <v>316</v>
      </c>
    </row>
    <row r="16217">
      <c r="A16217" s="17"/>
      <c r="H16217" s="18"/>
      <c r="K16217" s="18" t="s">
        <v>316</v>
      </c>
    </row>
    <row r="16218">
      <c r="A16218" s="17"/>
      <c r="H16218" s="18"/>
      <c r="K16218" s="18" t="s">
        <v>316</v>
      </c>
    </row>
    <row r="16219">
      <c r="A16219" s="17"/>
      <c r="H16219" s="18"/>
      <c r="K16219" s="18" t="s">
        <v>316</v>
      </c>
    </row>
    <row r="16220">
      <c r="A16220" s="17"/>
      <c r="H16220" s="18"/>
      <c r="K16220" s="18" t="s">
        <v>316</v>
      </c>
    </row>
    <row r="16221">
      <c r="A16221" s="17"/>
      <c r="H16221" s="18"/>
      <c r="K16221" s="18" t="s">
        <v>316</v>
      </c>
    </row>
    <row r="16222">
      <c r="A16222" s="17"/>
      <c r="H16222" s="18"/>
      <c r="K16222" s="18" t="s">
        <v>316</v>
      </c>
    </row>
    <row r="16223">
      <c r="A16223" s="17"/>
      <c r="H16223" s="18"/>
      <c r="K16223" s="18" t="s">
        <v>316</v>
      </c>
    </row>
    <row r="16224">
      <c r="A16224" s="17"/>
      <c r="H16224" s="18"/>
      <c r="K16224" s="18" t="s">
        <v>316</v>
      </c>
    </row>
    <row r="16225">
      <c r="A16225" s="17"/>
      <c r="H16225" s="18"/>
      <c r="K16225" s="18" t="s">
        <v>316</v>
      </c>
    </row>
    <row r="16226">
      <c r="A16226" s="17"/>
      <c r="H16226" s="18"/>
      <c r="K16226" s="18" t="s">
        <v>316</v>
      </c>
    </row>
    <row r="16227">
      <c r="A16227" s="17"/>
      <c r="H16227" s="18"/>
      <c r="K16227" s="18" t="s">
        <v>316</v>
      </c>
    </row>
    <row r="16228">
      <c r="A16228" s="17"/>
      <c r="H16228" s="18"/>
      <c r="K16228" s="18" t="s">
        <v>316</v>
      </c>
    </row>
    <row r="16229">
      <c r="A16229" s="17"/>
      <c r="H16229" s="18"/>
      <c r="K16229" s="18" t="s">
        <v>316</v>
      </c>
    </row>
    <row r="16230">
      <c r="A16230" s="17"/>
      <c r="H16230" s="18"/>
      <c r="K16230" s="18" t="s">
        <v>316</v>
      </c>
    </row>
    <row r="16231">
      <c r="A16231" s="17"/>
      <c r="H16231" s="18"/>
      <c r="K16231" s="18" t="s">
        <v>316</v>
      </c>
    </row>
    <row r="16232">
      <c r="A16232" s="17"/>
      <c r="H16232" s="18"/>
      <c r="K16232" s="18" t="s">
        <v>316</v>
      </c>
    </row>
    <row r="16233">
      <c r="A16233" s="17"/>
      <c r="H16233" s="18"/>
      <c r="K16233" s="18" t="s">
        <v>316</v>
      </c>
    </row>
    <row r="16234">
      <c r="A16234" s="17"/>
      <c r="H16234" s="18"/>
      <c r="K16234" s="18" t="s">
        <v>316</v>
      </c>
    </row>
    <row r="16235">
      <c r="A16235" s="17"/>
      <c r="H16235" s="18"/>
      <c r="K16235" s="18" t="s">
        <v>316</v>
      </c>
    </row>
    <row r="16236">
      <c r="A16236" s="17"/>
      <c r="H16236" s="18"/>
      <c r="K16236" s="18" t="s">
        <v>316</v>
      </c>
    </row>
    <row r="16237">
      <c r="A16237" s="17"/>
      <c r="H16237" s="18"/>
      <c r="K16237" s="18" t="s">
        <v>316</v>
      </c>
    </row>
    <row r="16238">
      <c r="A16238" s="17"/>
      <c r="H16238" s="18"/>
      <c r="K16238" s="18" t="s">
        <v>316</v>
      </c>
    </row>
    <row r="16239">
      <c r="A16239" s="17"/>
      <c r="H16239" s="18"/>
      <c r="K16239" s="18" t="s">
        <v>316</v>
      </c>
    </row>
    <row r="16240">
      <c r="A16240" s="17"/>
      <c r="H16240" s="18"/>
      <c r="K16240" s="18" t="s">
        <v>316</v>
      </c>
    </row>
    <row r="16241">
      <c r="A16241" s="17"/>
      <c r="H16241" s="18"/>
      <c r="K16241" s="18" t="s">
        <v>316</v>
      </c>
    </row>
    <row r="16242">
      <c r="A16242" s="17"/>
      <c r="H16242" s="18"/>
      <c r="K16242" s="18" t="s">
        <v>316</v>
      </c>
    </row>
    <row r="16243">
      <c r="A16243" s="17"/>
      <c r="H16243" s="18"/>
      <c r="K16243" s="18" t="s">
        <v>316</v>
      </c>
    </row>
    <row r="16244">
      <c r="A16244" s="17"/>
      <c r="H16244" s="18"/>
      <c r="K16244" s="18" t="s">
        <v>316</v>
      </c>
    </row>
    <row r="16245">
      <c r="A16245" s="17"/>
      <c r="H16245" s="18"/>
      <c r="K16245" s="18" t="s">
        <v>316</v>
      </c>
    </row>
    <row r="16246">
      <c r="A16246" s="17"/>
      <c r="H16246" s="18"/>
      <c r="K16246" s="18" t="s">
        <v>316</v>
      </c>
    </row>
    <row r="16247">
      <c r="A16247" s="17"/>
      <c r="H16247" s="18"/>
      <c r="K16247" s="18" t="s">
        <v>316</v>
      </c>
    </row>
    <row r="16248">
      <c r="A16248" s="17"/>
      <c r="H16248" s="18"/>
      <c r="K16248" s="18" t="s">
        <v>316</v>
      </c>
    </row>
    <row r="16249">
      <c r="A16249" s="17"/>
      <c r="H16249" s="18"/>
      <c r="K16249" s="18" t="s">
        <v>316</v>
      </c>
    </row>
    <row r="16250">
      <c r="A16250" s="17"/>
      <c r="H16250" s="18"/>
      <c r="K16250" s="18" t="s">
        <v>316</v>
      </c>
    </row>
    <row r="16251">
      <c r="A16251" s="17"/>
      <c r="H16251" s="18"/>
      <c r="K16251" s="18" t="s">
        <v>316</v>
      </c>
    </row>
    <row r="16252">
      <c r="A16252" s="17"/>
      <c r="H16252" s="18"/>
      <c r="K16252" s="18" t="s">
        <v>316</v>
      </c>
    </row>
    <row r="16253">
      <c r="A16253" s="17"/>
      <c r="H16253" s="18"/>
      <c r="K16253" s="18" t="s">
        <v>316</v>
      </c>
    </row>
    <row r="16254">
      <c r="A16254" s="17"/>
      <c r="H16254" s="18"/>
      <c r="K16254" s="18" t="s">
        <v>316</v>
      </c>
    </row>
    <row r="16255">
      <c r="A16255" s="17"/>
      <c r="H16255" s="18"/>
      <c r="K16255" s="18" t="s">
        <v>316</v>
      </c>
    </row>
    <row r="16256">
      <c r="A16256" s="17"/>
      <c r="H16256" s="18"/>
      <c r="K16256" s="18" t="s">
        <v>316</v>
      </c>
    </row>
    <row r="16257">
      <c r="A16257" s="17"/>
      <c r="H16257" s="18"/>
      <c r="K16257" s="18" t="s">
        <v>316</v>
      </c>
    </row>
    <row r="16258">
      <c r="A16258" s="17"/>
      <c r="H16258" s="18"/>
      <c r="K16258" s="18" t="s">
        <v>316</v>
      </c>
    </row>
    <row r="16259">
      <c r="A16259" s="17"/>
      <c r="H16259" s="18"/>
      <c r="K16259" s="18" t="s">
        <v>316</v>
      </c>
    </row>
    <row r="16260">
      <c r="A16260" s="17"/>
      <c r="H16260" s="18"/>
      <c r="K16260" s="18" t="s">
        <v>316</v>
      </c>
    </row>
    <row r="16261">
      <c r="A16261" s="17"/>
      <c r="H16261" s="18"/>
      <c r="K16261" s="18" t="s">
        <v>316</v>
      </c>
    </row>
    <row r="16262">
      <c r="A16262" s="17"/>
      <c r="H16262" s="18"/>
      <c r="K16262" s="18" t="s">
        <v>316</v>
      </c>
    </row>
    <row r="16263">
      <c r="A16263" s="17"/>
      <c r="H16263" s="18"/>
      <c r="K16263" s="18" t="s">
        <v>316</v>
      </c>
    </row>
    <row r="16264">
      <c r="A16264" s="17"/>
      <c r="H16264" s="18"/>
      <c r="K16264" s="18" t="s">
        <v>316</v>
      </c>
    </row>
    <row r="16265">
      <c r="A16265" s="17"/>
      <c r="H16265" s="18"/>
      <c r="K16265" s="18" t="s">
        <v>316</v>
      </c>
    </row>
    <row r="16266">
      <c r="A16266" s="17"/>
      <c r="H16266" s="18"/>
      <c r="K16266" s="18" t="s">
        <v>316</v>
      </c>
    </row>
    <row r="16267">
      <c r="A16267" s="17"/>
      <c r="H16267" s="18"/>
      <c r="K16267" s="18" t="s">
        <v>316</v>
      </c>
    </row>
    <row r="16268">
      <c r="A16268" s="17"/>
      <c r="H16268" s="18"/>
      <c r="K16268" s="18" t="s">
        <v>316</v>
      </c>
    </row>
    <row r="16269">
      <c r="A16269" s="17"/>
      <c r="H16269" s="18"/>
      <c r="K16269" s="18" t="s">
        <v>316</v>
      </c>
    </row>
    <row r="16270">
      <c r="A16270" s="17"/>
      <c r="H16270" s="18"/>
      <c r="K16270" s="18" t="s">
        <v>316</v>
      </c>
    </row>
    <row r="16271">
      <c r="A16271" s="17"/>
      <c r="H16271" s="18"/>
      <c r="K16271" s="18" t="s">
        <v>316</v>
      </c>
    </row>
    <row r="16272">
      <c r="A16272" s="17"/>
      <c r="H16272" s="18"/>
      <c r="K16272" s="18" t="s">
        <v>316</v>
      </c>
    </row>
    <row r="16273">
      <c r="A16273" s="17"/>
      <c r="H16273" s="18"/>
      <c r="K16273" s="18" t="s">
        <v>316</v>
      </c>
    </row>
    <row r="16274">
      <c r="A16274" s="17"/>
      <c r="H16274" s="18"/>
      <c r="K16274" s="18" t="s">
        <v>316</v>
      </c>
    </row>
    <row r="16275">
      <c r="A16275" s="17"/>
      <c r="H16275" s="18"/>
      <c r="K16275" s="18" t="s">
        <v>316</v>
      </c>
    </row>
    <row r="16276">
      <c r="A16276" s="17"/>
      <c r="H16276" s="18"/>
      <c r="K16276" s="18" t="s">
        <v>316</v>
      </c>
    </row>
    <row r="16277">
      <c r="A16277" s="17"/>
      <c r="H16277" s="18"/>
      <c r="K16277" s="18" t="s">
        <v>316</v>
      </c>
    </row>
    <row r="16278">
      <c r="A16278" s="17"/>
      <c r="H16278" s="18"/>
      <c r="K16278" s="18" t="s">
        <v>316</v>
      </c>
    </row>
    <row r="16279">
      <c r="A16279" s="17"/>
      <c r="H16279" s="18"/>
      <c r="K16279" s="18" t="s">
        <v>316</v>
      </c>
    </row>
    <row r="16280">
      <c r="A16280" s="17"/>
      <c r="H16280" s="18"/>
      <c r="K16280" s="18" t="s">
        <v>316</v>
      </c>
    </row>
    <row r="16281">
      <c r="A16281" s="17"/>
      <c r="H16281" s="18"/>
      <c r="K16281" s="18" t="s">
        <v>316</v>
      </c>
    </row>
    <row r="16282">
      <c r="A16282" s="17"/>
      <c r="H16282" s="18"/>
      <c r="K16282" s="18" t="s">
        <v>316</v>
      </c>
    </row>
    <row r="16283">
      <c r="A16283" s="17"/>
      <c r="H16283" s="18"/>
      <c r="K16283" s="18" t="s">
        <v>316</v>
      </c>
    </row>
    <row r="16284">
      <c r="A16284" s="17"/>
      <c r="H16284" s="18"/>
      <c r="K16284" s="18" t="s">
        <v>316</v>
      </c>
    </row>
    <row r="16285">
      <c r="A16285" s="17"/>
      <c r="H16285" s="18"/>
      <c r="K16285" s="18" t="s">
        <v>316</v>
      </c>
    </row>
    <row r="16286">
      <c r="A16286" s="17"/>
      <c r="H16286" s="18"/>
      <c r="K16286" s="18" t="s">
        <v>316</v>
      </c>
    </row>
    <row r="16287">
      <c r="A16287" s="17"/>
      <c r="H16287" s="18"/>
      <c r="K16287" s="18" t="s">
        <v>316</v>
      </c>
    </row>
    <row r="16288">
      <c r="A16288" s="17"/>
      <c r="H16288" s="18"/>
      <c r="K16288" s="18" t="s">
        <v>316</v>
      </c>
    </row>
    <row r="16289">
      <c r="A16289" s="17"/>
      <c r="H16289" s="18"/>
      <c r="K16289" s="18" t="s">
        <v>316</v>
      </c>
    </row>
    <row r="16290">
      <c r="A16290" s="17"/>
      <c r="H16290" s="18"/>
      <c r="K16290" s="18" t="s">
        <v>316</v>
      </c>
    </row>
    <row r="16291">
      <c r="A16291" s="17"/>
      <c r="H16291" s="18"/>
      <c r="K16291" s="18" t="s">
        <v>316</v>
      </c>
    </row>
    <row r="16292">
      <c r="A16292" s="17"/>
      <c r="H16292" s="18"/>
      <c r="K16292" s="18" t="s">
        <v>316</v>
      </c>
    </row>
    <row r="16293">
      <c r="A16293" s="17"/>
      <c r="H16293" s="18"/>
      <c r="K16293" s="18" t="s">
        <v>316</v>
      </c>
    </row>
    <row r="16294">
      <c r="A16294" s="17"/>
      <c r="H16294" s="18"/>
      <c r="K16294" s="18" t="s">
        <v>316</v>
      </c>
    </row>
    <row r="16295">
      <c r="A16295" s="17"/>
      <c r="H16295" s="18"/>
      <c r="K16295" s="18" t="s">
        <v>316</v>
      </c>
    </row>
    <row r="16296">
      <c r="A16296" s="17"/>
      <c r="H16296" s="18"/>
      <c r="K16296" s="18" t="s">
        <v>316</v>
      </c>
    </row>
    <row r="16297">
      <c r="A16297" s="17"/>
      <c r="H16297" s="18"/>
      <c r="K16297" s="18" t="s">
        <v>316</v>
      </c>
    </row>
    <row r="16298">
      <c r="A16298" s="17"/>
      <c r="H16298" s="18"/>
      <c r="K16298" s="18" t="s">
        <v>316</v>
      </c>
    </row>
    <row r="16299">
      <c r="A16299" s="17"/>
      <c r="H16299" s="18"/>
      <c r="K16299" s="18" t="s">
        <v>316</v>
      </c>
    </row>
    <row r="16300">
      <c r="A16300" s="17"/>
      <c r="H16300" s="18"/>
      <c r="K16300" s="18" t="s">
        <v>316</v>
      </c>
    </row>
    <row r="16301">
      <c r="A16301" s="17"/>
      <c r="H16301" s="18"/>
      <c r="K16301" s="18" t="s">
        <v>316</v>
      </c>
    </row>
    <row r="16302">
      <c r="A16302" s="17"/>
      <c r="H16302" s="18"/>
      <c r="K16302" s="18" t="s">
        <v>316</v>
      </c>
    </row>
    <row r="16303">
      <c r="A16303" s="17"/>
      <c r="H16303" s="18"/>
      <c r="K16303" s="18" t="s">
        <v>316</v>
      </c>
    </row>
    <row r="16304">
      <c r="A16304" s="17"/>
      <c r="H16304" s="18"/>
      <c r="K16304" s="18" t="s">
        <v>316</v>
      </c>
    </row>
    <row r="16305">
      <c r="A16305" s="17"/>
      <c r="H16305" s="18"/>
      <c r="K16305" s="18" t="s">
        <v>316</v>
      </c>
    </row>
    <row r="16306">
      <c r="A16306" s="17"/>
      <c r="H16306" s="18"/>
      <c r="K16306" s="18" t="s">
        <v>316</v>
      </c>
    </row>
    <row r="16307">
      <c r="A16307" s="17"/>
      <c r="H16307" s="18"/>
      <c r="K16307" s="18" t="s">
        <v>316</v>
      </c>
    </row>
    <row r="16308">
      <c r="A16308" s="17"/>
      <c r="H16308" s="18"/>
      <c r="K16308" s="18" t="s">
        <v>316</v>
      </c>
    </row>
    <row r="16309">
      <c r="A16309" s="17"/>
      <c r="H16309" s="18"/>
      <c r="K16309" s="18" t="s">
        <v>316</v>
      </c>
    </row>
    <row r="16310">
      <c r="A16310" s="17"/>
      <c r="H16310" s="18"/>
      <c r="K16310" s="18" t="s">
        <v>316</v>
      </c>
    </row>
    <row r="16311">
      <c r="A16311" s="17"/>
      <c r="H16311" s="18"/>
      <c r="K16311" s="18" t="s">
        <v>316</v>
      </c>
    </row>
    <row r="16312">
      <c r="A16312" s="17"/>
      <c r="H16312" s="18"/>
      <c r="K16312" s="18" t="s">
        <v>316</v>
      </c>
    </row>
    <row r="16313">
      <c r="A16313" s="17"/>
      <c r="H16313" s="18"/>
      <c r="K16313" s="18" t="s">
        <v>316</v>
      </c>
    </row>
    <row r="16314">
      <c r="A16314" s="17"/>
      <c r="H16314" s="18"/>
      <c r="K16314" s="18" t="s">
        <v>316</v>
      </c>
    </row>
    <row r="16315">
      <c r="A16315" s="17"/>
      <c r="H16315" s="18"/>
      <c r="K16315" s="18" t="s">
        <v>316</v>
      </c>
    </row>
    <row r="16316">
      <c r="A16316" s="17"/>
      <c r="H16316" s="18"/>
      <c r="K16316" s="18" t="s">
        <v>316</v>
      </c>
    </row>
    <row r="16317">
      <c r="A16317" s="17"/>
      <c r="H16317" s="18"/>
      <c r="K16317" s="18" t="s">
        <v>316</v>
      </c>
    </row>
    <row r="16318">
      <c r="A16318" s="17"/>
      <c r="H16318" s="18"/>
      <c r="K16318" s="18" t="s">
        <v>316</v>
      </c>
    </row>
    <row r="16319">
      <c r="A16319" s="17"/>
      <c r="H16319" s="18"/>
      <c r="K16319" s="18" t="s">
        <v>316</v>
      </c>
    </row>
    <row r="16320">
      <c r="A16320" s="17"/>
      <c r="H16320" s="18"/>
      <c r="K16320" s="18" t="s">
        <v>316</v>
      </c>
    </row>
    <row r="16321">
      <c r="A16321" s="17"/>
      <c r="H16321" s="18"/>
      <c r="K16321" s="18" t="s">
        <v>316</v>
      </c>
    </row>
    <row r="16322">
      <c r="A16322" s="17"/>
      <c r="H16322" s="18"/>
      <c r="K16322" s="18" t="s">
        <v>316</v>
      </c>
    </row>
    <row r="16323">
      <c r="A16323" s="17"/>
      <c r="H16323" s="18"/>
      <c r="K16323" s="18" t="s">
        <v>316</v>
      </c>
    </row>
    <row r="16324">
      <c r="A16324" s="17"/>
      <c r="H16324" s="18"/>
      <c r="K16324" s="18" t="s">
        <v>316</v>
      </c>
    </row>
    <row r="16325">
      <c r="A16325" s="17"/>
      <c r="H16325" s="18"/>
      <c r="K16325" s="18" t="s">
        <v>316</v>
      </c>
    </row>
    <row r="16326">
      <c r="A16326" s="17"/>
      <c r="H16326" s="18"/>
      <c r="K16326" s="18" t="s">
        <v>316</v>
      </c>
    </row>
    <row r="16327">
      <c r="A16327" s="17"/>
      <c r="H16327" s="18"/>
      <c r="K16327" s="18" t="s">
        <v>316</v>
      </c>
    </row>
    <row r="16328">
      <c r="A16328" s="17"/>
      <c r="H16328" s="18"/>
      <c r="K16328" s="18" t="s">
        <v>316</v>
      </c>
    </row>
    <row r="16329">
      <c r="A16329" s="17"/>
      <c r="H16329" s="18"/>
      <c r="K16329" s="18" t="s">
        <v>316</v>
      </c>
    </row>
    <row r="16330">
      <c r="A16330" s="17"/>
      <c r="H16330" s="18"/>
      <c r="K16330" s="18" t="s">
        <v>316</v>
      </c>
    </row>
    <row r="16331">
      <c r="A16331" s="17"/>
      <c r="H16331" s="18"/>
      <c r="K16331" s="18" t="s">
        <v>316</v>
      </c>
    </row>
    <row r="16332">
      <c r="A16332" s="17"/>
      <c r="H16332" s="18"/>
      <c r="K16332" s="18" t="s">
        <v>316</v>
      </c>
    </row>
    <row r="16333">
      <c r="A16333" s="17"/>
      <c r="H16333" s="18"/>
      <c r="K16333" s="18" t="s">
        <v>316</v>
      </c>
    </row>
    <row r="16334">
      <c r="A16334" s="17"/>
      <c r="H16334" s="18"/>
      <c r="K16334" s="18" t="s">
        <v>316</v>
      </c>
    </row>
    <row r="16335">
      <c r="A16335" s="17"/>
      <c r="H16335" s="18"/>
      <c r="K16335" s="18" t="s">
        <v>316</v>
      </c>
    </row>
    <row r="16336">
      <c r="A16336" s="17"/>
      <c r="H16336" s="18"/>
      <c r="K16336" s="18" t="s">
        <v>316</v>
      </c>
    </row>
    <row r="16337">
      <c r="A16337" s="17"/>
      <c r="H16337" s="18"/>
      <c r="K16337" s="18" t="s">
        <v>316</v>
      </c>
    </row>
    <row r="16338">
      <c r="A16338" s="17"/>
      <c r="H16338" s="18"/>
      <c r="K16338" s="18" t="s">
        <v>316</v>
      </c>
    </row>
    <row r="16339">
      <c r="A16339" s="17"/>
      <c r="H16339" s="18"/>
      <c r="K16339" s="18" t="s">
        <v>316</v>
      </c>
    </row>
    <row r="16340">
      <c r="A16340" s="17"/>
      <c r="H16340" s="18"/>
      <c r="K16340" s="18" t="s">
        <v>316</v>
      </c>
    </row>
    <row r="16341">
      <c r="A16341" s="17"/>
      <c r="H16341" s="18"/>
      <c r="K16341" s="18" t="s">
        <v>316</v>
      </c>
    </row>
    <row r="16342">
      <c r="A16342" s="17"/>
      <c r="H16342" s="18"/>
      <c r="K16342" s="18" t="s">
        <v>316</v>
      </c>
    </row>
    <row r="16343">
      <c r="A16343" s="17"/>
      <c r="H16343" s="18"/>
      <c r="K16343" s="18" t="s">
        <v>316</v>
      </c>
    </row>
    <row r="16344">
      <c r="A16344" s="17"/>
      <c r="H16344" s="18"/>
      <c r="K16344" s="18" t="s">
        <v>316</v>
      </c>
    </row>
    <row r="16345">
      <c r="A16345" s="17"/>
      <c r="H16345" s="18"/>
      <c r="K16345" s="18" t="s">
        <v>316</v>
      </c>
    </row>
    <row r="16346">
      <c r="A16346" s="17"/>
      <c r="H16346" s="18"/>
      <c r="K16346" s="18" t="s">
        <v>316</v>
      </c>
    </row>
    <row r="16347">
      <c r="A16347" s="17"/>
      <c r="H16347" s="18"/>
      <c r="K16347" s="18" t="s">
        <v>316</v>
      </c>
    </row>
    <row r="16348">
      <c r="A16348" s="17"/>
      <c r="H16348" s="18"/>
      <c r="K16348" s="18" t="s">
        <v>316</v>
      </c>
    </row>
    <row r="16349">
      <c r="A16349" s="17"/>
      <c r="H16349" s="18"/>
      <c r="K16349" s="18" t="s">
        <v>316</v>
      </c>
    </row>
    <row r="16350">
      <c r="A16350" s="17"/>
      <c r="H16350" s="18"/>
      <c r="K16350" s="18" t="s">
        <v>316</v>
      </c>
    </row>
    <row r="16351">
      <c r="A16351" s="17"/>
      <c r="H16351" s="18"/>
      <c r="K16351" s="18" t="s">
        <v>316</v>
      </c>
    </row>
    <row r="16352">
      <c r="A16352" s="17"/>
      <c r="H16352" s="18"/>
      <c r="K16352" s="18" t="s">
        <v>316</v>
      </c>
    </row>
    <row r="16353">
      <c r="A16353" s="17"/>
      <c r="H16353" s="18"/>
      <c r="K16353" s="18" t="s">
        <v>316</v>
      </c>
    </row>
    <row r="16354">
      <c r="A16354" s="17"/>
      <c r="H16354" s="18"/>
      <c r="K16354" s="18" t="s">
        <v>316</v>
      </c>
    </row>
    <row r="16355">
      <c r="A16355" s="17"/>
      <c r="H16355" s="18"/>
      <c r="K16355" s="18" t="s">
        <v>316</v>
      </c>
    </row>
    <row r="16356">
      <c r="A16356" s="17"/>
      <c r="H16356" s="18"/>
      <c r="K16356" s="18" t="s">
        <v>316</v>
      </c>
    </row>
    <row r="16357">
      <c r="A16357" s="17"/>
      <c r="H16357" s="18"/>
      <c r="K16357" s="18" t="s">
        <v>316</v>
      </c>
    </row>
    <row r="16358">
      <c r="A16358" s="17"/>
      <c r="H16358" s="18"/>
      <c r="K16358" s="18" t="s">
        <v>316</v>
      </c>
    </row>
    <row r="16359">
      <c r="A16359" s="17"/>
      <c r="H16359" s="18"/>
      <c r="K16359" s="18" t="s">
        <v>316</v>
      </c>
    </row>
    <row r="16360">
      <c r="A16360" s="17"/>
      <c r="H16360" s="18"/>
      <c r="K16360" s="18" t="s">
        <v>316</v>
      </c>
    </row>
    <row r="16361">
      <c r="A16361" s="17"/>
      <c r="H16361" s="18"/>
      <c r="K16361" s="18" t="s">
        <v>316</v>
      </c>
    </row>
    <row r="16362">
      <c r="A16362" s="17"/>
      <c r="H16362" s="18"/>
      <c r="K16362" s="18" t="s">
        <v>316</v>
      </c>
    </row>
    <row r="16363">
      <c r="A16363" s="17"/>
      <c r="H16363" s="18"/>
      <c r="K16363" s="18" t="s">
        <v>316</v>
      </c>
    </row>
    <row r="16364">
      <c r="A16364" s="17"/>
      <c r="H16364" s="18"/>
      <c r="K16364" s="18" t="s">
        <v>316</v>
      </c>
    </row>
    <row r="16365">
      <c r="A16365" s="17"/>
      <c r="H16365" s="18"/>
      <c r="K16365" s="18" t="s">
        <v>316</v>
      </c>
    </row>
    <row r="16366">
      <c r="A16366" s="17"/>
      <c r="H16366" s="18"/>
      <c r="K16366" s="18" t="s">
        <v>316</v>
      </c>
    </row>
    <row r="16367">
      <c r="A16367" s="17"/>
      <c r="H16367" s="18"/>
      <c r="K16367" s="18" t="s">
        <v>316</v>
      </c>
    </row>
    <row r="16368">
      <c r="A16368" s="17"/>
      <c r="H16368" s="18"/>
      <c r="K16368" s="18" t="s">
        <v>316</v>
      </c>
    </row>
    <row r="16369">
      <c r="A16369" s="17"/>
      <c r="H16369" s="18"/>
      <c r="K16369" s="18" t="s">
        <v>316</v>
      </c>
    </row>
    <row r="16370">
      <c r="A16370" s="17"/>
      <c r="H16370" s="18"/>
      <c r="K16370" s="18" t="s">
        <v>316</v>
      </c>
    </row>
    <row r="16371">
      <c r="A16371" s="17"/>
      <c r="H16371" s="18"/>
      <c r="K16371" s="18" t="s">
        <v>316</v>
      </c>
    </row>
    <row r="16372">
      <c r="A16372" s="17"/>
      <c r="H16372" s="18"/>
      <c r="K16372" s="18" t="s">
        <v>316</v>
      </c>
    </row>
    <row r="16373">
      <c r="A16373" s="17"/>
      <c r="H16373" s="18"/>
      <c r="K16373" s="18" t="s">
        <v>316</v>
      </c>
    </row>
    <row r="16374">
      <c r="A16374" s="17"/>
      <c r="H16374" s="18"/>
      <c r="K16374" s="18" t="s">
        <v>316</v>
      </c>
    </row>
    <row r="16375">
      <c r="A16375" s="17"/>
      <c r="H16375" s="18"/>
      <c r="K16375" s="18" t="s">
        <v>316</v>
      </c>
    </row>
    <row r="16376">
      <c r="A16376" s="17"/>
      <c r="H16376" s="18"/>
      <c r="K16376" s="18" t="s">
        <v>316</v>
      </c>
    </row>
    <row r="16377">
      <c r="A16377" s="17"/>
      <c r="H16377" s="18"/>
      <c r="K16377" s="18" t="s">
        <v>316</v>
      </c>
    </row>
    <row r="16378">
      <c r="A16378" s="17"/>
      <c r="H16378" s="18"/>
      <c r="K16378" s="18" t="s">
        <v>316</v>
      </c>
    </row>
    <row r="16379">
      <c r="A16379" s="17"/>
      <c r="H16379" s="18"/>
      <c r="K16379" s="18" t="s">
        <v>316</v>
      </c>
    </row>
    <row r="16380">
      <c r="A16380" s="17"/>
      <c r="H16380" s="18"/>
      <c r="K16380" s="18" t="s">
        <v>316</v>
      </c>
    </row>
    <row r="16381">
      <c r="A16381" s="17"/>
      <c r="H16381" s="18"/>
      <c r="K16381" s="18" t="s">
        <v>316</v>
      </c>
    </row>
    <row r="16382">
      <c r="A16382" s="17"/>
      <c r="H16382" s="18"/>
      <c r="K16382" s="18" t="s">
        <v>316</v>
      </c>
    </row>
    <row r="16383">
      <c r="A16383" s="17"/>
      <c r="H16383" s="18"/>
      <c r="K16383" s="18" t="s">
        <v>316</v>
      </c>
    </row>
    <row r="16384">
      <c r="A16384" s="17"/>
      <c r="H16384" s="18"/>
      <c r="K16384" s="18" t="s">
        <v>316</v>
      </c>
    </row>
    <row r="16385">
      <c r="A16385" s="17"/>
      <c r="H16385" s="18"/>
      <c r="K16385" s="18" t="s">
        <v>316</v>
      </c>
    </row>
    <row r="16386">
      <c r="A16386" s="17"/>
      <c r="H16386" s="18"/>
      <c r="K16386" s="18" t="s">
        <v>316</v>
      </c>
    </row>
    <row r="16387">
      <c r="A16387" s="17"/>
      <c r="H16387" s="18"/>
      <c r="K16387" s="18" t="s">
        <v>316</v>
      </c>
    </row>
    <row r="16388">
      <c r="A16388" s="17"/>
      <c r="H16388" s="18"/>
      <c r="K16388" s="18" t="s">
        <v>316</v>
      </c>
    </row>
    <row r="16389">
      <c r="A16389" s="17"/>
      <c r="H16389" s="18"/>
      <c r="K16389" s="18" t="s">
        <v>316</v>
      </c>
    </row>
    <row r="16390">
      <c r="A16390" s="17"/>
      <c r="H16390" s="18"/>
      <c r="K16390" s="18" t="s">
        <v>316</v>
      </c>
    </row>
    <row r="16391">
      <c r="A16391" s="17"/>
      <c r="H16391" s="18"/>
      <c r="K16391" s="18" t="s">
        <v>316</v>
      </c>
    </row>
    <row r="16392">
      <c r="A16392" s="17"/>
      <c r="H16392" s="18"/>
      <c r="K16392" s="18" t="s">
        <v>316</v>
      </c>
    </row>
    <row r="16393">
      <c r="A16393" s="17"/>
      <c r="H16393" s="18"/>
      <c r="K16393" s="18" t="s">
        <v>316</v>
      </c>
    </row>
    <row r="16394">
      <c r="A16394" s="17"/>
      <c r="H16394" s="18"/>
      <c r="K16394" s="18" t="s">
        <v>316</v>
      </c>
    </row>
    <row r="16395">
      <c r="A16395" s="17"/>
      <c r="H16395" s="18"/>
      <c r="K16395" s="18" t="s">
        <v>316</v>
      </c>
    </row>
    <row r="16396">
      <c r="A16396" s="17"/>
      <c r="H16396" s="18"/>
      <c r="K16396" s="18" t="s">
        <v>316</v>
      </c>
    </row>
    <row r="16397">
      <c r="A16397" s="17"/>
      <c r="H16397" s="18"/>
      <c r="K16397" s="18" t="s">
        <v>316</v>
      </c>
    </row>
    <row r="16398">
      <c r="A16398" s="17"/>
      <c r="H16398" s="18"/>
      <c r="K16398" s="18" t="s">
        <v>316</v>
      </c>
    </row>
    <row r="16399">
      <c r="A16399" s="17"/>
      <c r="H16399" s="18"/>
      <c r="K16399" s="18" t="s">
        <v>316</v>
      </c>
    </row>
    <row r="16400">
      <c r="A16400" s="17"/>
      <c r="H16400" s="18"/>
      <c r="K16400" s="18" t="s">
        <v>316</v>
      </c>
    </row>
    <row r="16401">
      <c r="A16401" s="17"/>
      <c r="H16401" s="18"/>
      <c r="K16401" s="18" t="s">
        <v>316</v>
      </c>
    </row>
    <row r="16402">
      <c r="A16402" s="17"/>
      <c r="H16402" s="18"/>
      <c r="K16402" s="18" t="s">
        <v>316</v>
      </c>
    </row>
    <row r="16403">
      <c r="A16403" s="17"/>
      <c r="H16403" s="18"/>
      <c r="K16403" s="18" t="s">
        <v>316</v>
      </c>
    </row>
    <row r="16404">
      <c r="A16404" s="17"/>
      <c r="H16404" s="18"/>
      <c r="K16404" s="18" t="s">
        <v>316</v>
      </c>
    </row>
    <row r="16405">
      <c r="A16405" s="17"/>
      <c r="H16405" s="18"/>
      <c r="K16405" s="18" t="s">
        <v>316</v>
      </c>
    </row>
    <row r="16406">
      <c r="A16406" s="17"/>
      <c r="H16406" s="18"/>
      <c r="K16406" s="18" t="s">
        <v>316</v>
      </c>
    </row>
    <row r="16407">
      <c r="A16407" s="17"/>
      <c r="H16407" s="18"/>
      <c r="K16407" s="18" t="s">
        <v>316</v>
      </c>
    </row>
    <row r="16408">
      <c r="A16408" s="17"/>
      <c r="H16408" s="18"/>
      <c r="K16408" s="18" t="s">
        <v>316</v>
      </c>
    </row>
    <row r="16409">
      <c r="A16409" s="17"/>
      <c r="H16409" s="18"/>
      <c r="K16409" s="18" t="s">
        <v>316</v>
      </c>
    </row>
    <row r="16410">
      <c r="A16410" s="17"/>
      <c r="H16410" s="18"/>
      <c r="K16410" s="18" t="s">
        <v>316</v>
      </c>
    </row>
    <row r="16411">
      <c r="A16411" s="17"/>
      <c r="H16411" s="18"/>
      <c r="K16411" s="18" t="s">
        <v>316</v>
      </c>
    </row>
    <row r="16412">
      <c r="A16412" s="17"/>
      <c r="H16412" s="18"/>
      <c r="K16412" s="18" t="s">
        <v>316</v>
      </c>
    </row>
    <row r="16413">
      <c r="A16413" s="17"/>
      <c r="H16413" s="18"/>
      <c r="K16413" s="18" t="s">
        <v>316</v>
      </c>
    </row>
    <row r="16414">
      <c r="A16414" s="17"/>
      <c r="H16414" s="18"/>
      <c r="K16414" s="18" t="s">
        <v>316</v>
      </c>
    </row>
    <row r="16415">
      <c r="A16415" s="17"/>
      <c r="H16415" s="18"/>
      <c r="K16415" s="18" t="s">
        <v>316</v>
      </c>
    </row>
    <row r="16416">
      <c r="A16416" s="17"/>
      <c r="H16416" s="18"/>
      <c r="K16416" s="18" t="s">
        <v>316</v>
      </c>
    </row>
    <row r="16417">
      <c r="A16417" s="17"/>
      <c r="H16417" s="18"/>
      <c r="K16417" s="18" t="s">
        <v>316</v>
      </c>
    </row>
    <row r="16418">
      <c r="A16418" s="17"/>
      <c r="H16418" s="18"/>
      <c r="K16418" s="18" t="s">
        <v>316</v>
      </c>
    </row>
    <row r="16419">
      <c r="A16419" s="17"/>
      <c r="H16419" s="18"/>
      <c r="K16419" s="18" t="s">
        <v>316</v>
      </c>
    </row>
    <row r="16420">
      <c r="A16420" s="17"/>
      <c r="H16420" s="18"/>
      <c r="K16420" s="18" t="s">
        <v>316</v>
      </c>
    </row>
    <row r="16421">
      <c r="A16421" s="17"/>
      <c r="H16421" s="18"/>
      <c r="K16421" s="18" t="s">
        <v>316</v>
      </c>
    </row>
    <row r="16422">
      <c r="A16422" s="17"/>
      <c r="H16422" s="18"/>
      <c r="K16422" s="18" t="s">
        <v>316</v>
      </c>
    </row>
    <row r="16423">
      <c r="A16423" s="17"/>
      <c r="H16423" s="18"/>
      <c r="K16423" s="18" t="s">
        <v>316</v>
      </c>
    </row>
    <row r="16424">
      <c r="A16424" s="17"/>
      <c r="H16424" s="18"/>
      <c r="K16424" s="18" t="s">
        <v>316</v>
      </c>
    </row>
    <row r="16425">
      <c r="A16425" s="17"/>
      <c r="H16425" s="18"/>
      <c r="K16425" s="18" t="s">
        <v>316</v>
      </c>
    </row>
    <row r="16426">
      <c r="A16426" s="17"/>
      <c r="H16426" s="18"/>
      <c r="K16426" s="18" t="s">
        <v>316</v>
      </c>
    </row>
    <row r="16427">
      <c r="A16427" s="17"/>
      <c r="H16427" s="18"/>
      <c r="K16427" s="18" t="s">
        <v>316</v>
      </c>
    </row>
    <row r="16428">
      <c r="A16428" s="17"/>
      <c r="H16428" s="18"/>
      <c r="K16428" s="18" t="s">
        <v>316</v>
      </c>
    </row>
    <row r="16429">
      <c r="A16429" s="17"/>
      <c r="H16429" s="18"/>
      <c r="K16429" s="18" t="s">
        <v>316</v>
      </c>
    </row>
    <row r="16430">
      <c r="A16430" s="17"/>
      <c r="H16430" s="18"/>
      <c r="K16430" s="18" t="s">
        <v>316</v>
      </c>
    </row>
    <row r="16431">
      <c r="A16431" s="17"/>
      <c r="H16431" s="18"/>
      <c r="K16431" s="18" t="s">
        <v>316</v>
      </c>
    </row>
    <row r="16432">
      <c r="A16432" s="17"/>
      <c r="H16432" s="18"/>
      <c r="K16432" s="18" t="s">
        <v>316</v>
      </c>
    </row>
    <row r="16433">
      <c r="A16433" s="17"/>
      <c r="H16433" s="18"/>
      <c r="K16433" s="18" t="s">
        <v>316</v>
      </c>
    </row>
    <row r="16434">
      <c r="A16434" s="17"/>
      <c r="H16434" s="18"/>
      <c r="K16434" s="18" t="s">
        <v>316</v>
      </c>
    </row>
    <row r="16435">
      <c r="A16435" s="17"/>
      <c r="H16435" s="18"/>
      <c r="K16435" s="18" t="s">
        <v>316</v>
      </c>
    </row>
    <row r="16436">
      <c r="A16436" s="17"/>
      <c r="H16436" s="18"/>
      <c r="K16436" s="18" t="s">
        <v>316</v>
      </c>
    </row>
    <row r="16437">
      <c r="A16437" s="17"/>
      <c r="H16437" s="18"/>
      <c r="K16437" s="18" t="s">
        <v>316</v>
      </c>
    </row>
    <row r="16438">
      <c r="A16438" s="17"/>
      <c r="H16438" s="18"/>
      <c r="K16438" s="18" t="s">
        <v>316</v>
      </c>
    </row>
    <row r="16439">
      <c r="A16439" s="17"/>
      <c r="H16439" s="18"/>
      <c r="K16439" s="18" t="s">
        <v>316</v>
      </c>
    </row>
    <row r="16440">
      <c r="A16440" s="17"/>
      <c r="H16440" s="18"/>
      <c r="K16440" s="18" t="s">
        <v>316</v>
      </c>
    </row>
    <row r="16441">
      <c r="A16441" s="17"/>
      <c r="H16441" s="18"/>
      <c r="K16441" s="18" t="s">
        <v>316</v>
      </c>
    </row>
    <row r="16442">
      <c r="A16442" s="17"/>
      <c r="H16442" s="18"/>
      <c r="K16442" s="18" t="s">
        <v>316</v>
      </c>
    </row>
    <row r="16443">
      <c r="A16443" s="17"/>
      <c r="H16443" s="18"/>
      <c r="K16443" s="18" t="s">
        <v>316</v>
      </c>
    </row>
    <row r="16444">
      <c r="A16444" s="17"/>
      <c r="H16444" s="18"/>
      <c r="K16444" s="18" t="s">
        <v>316</v>
      </c>
    </row>
    <row r="16445">
      <c r="A16445" s="17"/>
      <c r="H16445" s="18"/>
      <c r="K16445" s="18" t="s">
        <v>316</v>
      </c>
    </row>
    <row r="16446">
      <c r="A16446" s="17"/>
      <c r="H16446" s="18"/>
      <c r="K16446" s="18" t="s">
        <v>316</v>
      </c>
    </row>
    <row r="16447">
      <c r="A16447" s="17"/>
      <c r="H16447" s="18"/>
      <c r="K16447" s="18" t="s">
        <v>316</v>
      </c>
    </row>
    <row r="16448">
      <c r="A16448" s="17"/>
      <c r="H16448" s="18"/>
      <c r="K16448" s="18" t="s">
        <v>316</v>
      </c>
    </row>
    <row r="16449">
      <c r="A16449" s="17"/>
      <c r="H16449" s="18"/>
      <c r="K16449" s="18" t="s">
        <v>316</v>
      </c>
    </row>
    <row r="16450">
      <c r="A16450" s="17"/>
      <c r="H16450" s="18"/>
      <c r="K16450" s="18" t="s">
        <v>316</v>
      </c>
    </row>
    <row r="16451">
      <c r="A16451" s="17"/>
      <c r="H16451" s="18"/>
      <c r="K16451" s="18" t="s">
        <v>316</v>
      </c>
    </row>
    <row r="16452">
      <c r="A16452" s="17"/>
      <c r="H16452" s="18"/>
      <c r="K16452" s="18" t="s">
        <v>316</v>
      </c>
    </row>
    <row r="16453">
      <c r="A16453" s="17"/>
      <c r="H16453" s="18"/>
      <c r="K16453" s="18" t="s">
        <v>316</v>
      </c>
    </row>
    <row r="16454">
      <c r="A16454" s="17"/>
      <c r="H16454" s="18"/>
      <c r="K16454" s="18" t="s">
        <v>316</v>
      </c>
    </row>
    <row r="16455">
      <c r="A16455" s="17"/>
      <c r="H16455" s="18"/>
      <c r="K16455" s="18" t="s">
        <v>316</v>
      </c>
    </row>
    <row r="16456">
      <c r="A16456" s="17"/>
      <c r="H16456" s="18"/>
      <c r="K16456" s="18" t="s">
        <v>316</v>
      </c>
    </row>
    <row r="16457">
      <c r="A16457" s="17"/>
      <c r="H16457" s="18"/>
      <c r="K16457" s="18" t="s">
        <v>316</v>
      </c>
    </row>
    <row r="16458">
      <c r="A16458" s="17"/>
      <c r="H16458" s="18"/>
      <c r="K16458" s="18" t="s">
        <v>316</v>
      </c>
    </row>
    <row r="16459">
      <c r="A16459" s="17"/>
      <c r="H16459" s="18"/>
      <c r="K16459" s="18" t="s">
        <v>316</v>
      </c>
    </row>
    <row r="16460">
      <c r="A16460" s="17"/>
      <c r="H16460" s="18"/>
      <c r="K16460" s="18" t="s">
        <v>316</v>
      </c>
    </row>
    <row r="16461">
      <c r="A16461" s="17"/>
      <c r="H16461" s="18"/>
      <c r="K16461" s="18" t="s">
        <v>316</v>
      </c>
    </row>
    <row r="16462">
      <c r="A16462" s="17"/>
      <c r="H16462" s="18"/>
      <c r="K16462" s="18" t="s">
        <v>316</v>
      </c>
    </row>
    <row r="16463">
      <c r="A16463" s="17"/>
      <c r="H16463" s="18"/>
      <c r="K16463" s="18" t="s">
        <v>316</v>
      </c>
    </row>
    <row r="16464">
      <c r="A16464" s="17"/>
      <c r="H16464" s="18"/>
      <c r="K16464" s="18" t="s">
        <v>316</v>
      </c>
    </row>
    <row r="16465">
      <c r="A16465" s="17"/>
      <c r="H16465" s="18"/>
      <c r="K16465" s="18" t="s">
        <v>316</v>
      </c>
    </row>
    <row r="16466">
      <c r="A16466" s="17"/>
      <c r="H16466" s="18"/>
      <c r="K16466" s="18" t="s">
        <v>316</v>
      </c>
    </row>
    <row r="16467">
      <c r="A16467" s="17"/>
      <c r="H16467" s="18"/>
      <c r="K16467" s="18" t="s">
        <v>316</v>
      </c>
    </row>
    <row r="16468">
      <c r="A16468" s="17"/>
      <c r="H16468" s="18"/>
      <c r="K16468" s="18" t="s">
        <v>316</v>
      </c>
    </row>
    <row r="16469">
      <c r="A16469" s="17"/>
      <c r="H16469" s="18"/>
      <c r="K16469" s="18" t="s">
        <v>316</v>
      </c>
    </row>
    <row r="16470">
      <c r="A16470" s="17"/>
      <c r="H16470" s="18"/>
      <c r="K16470" s="18" t="s">
        <v>316</v>
      </c>
    </row>
    <row r="16471">
      <c r="A16471" s="17"/>
      <c r="H16471" s="18"/>
      <c r="K16471" s="18" t="s">
        <v>316</v>
      </c>
    </row>
    <row r="16472">
      <c r="A16472" s="17"/>
      <c r="H16472" s="18"/>
      <c r="K16472" s="18" t="s">
        <v>316</v>
      </c>
    </row>
    <row r="16473">
      <c r="A16473" s="17"/>
      <c r="H16473" s="18"/>
      <c r="K16473" s="18" t="s">
        <v>316</v>
      </c>
    </row>
    <row r="16474">
      <c r="A16474" s="17"/>
      <c r="H16474" s="18"/>
      <c r="K16474" s="18" t="s">
        <v>316</v>
      </c>
    </row>
    <row r="16475">
      <c r="A16475" s="17"/>
      <c r="H16475" s="18"/>
      <c r="K16475" s="18" t="s">
        <v>316</v>
      </c>
    </row>
    <row r="16476">
      <c r="A16476" s="17"/>
      <c r="H16476" s="18"/>
      <c r="K16476" s="18" t="s">
        <v>316</v>
      </c>
    </row>
    <row r="16477">
      <c r="A16477" s="17"/>
      <c r="H16477" s="18"/>
      <c r="K16477" s="18" t="s">
        <v>316</v>
      </c>
    </row>
    <row r="16478">
      <c r="A16478" s="17"/>
      <c r="H16478" s="18"/>
      <c r="K16478" s="18" t="s">
        <v>316</v>
      </c>
    </row>
    <row r="16479">
      <c r="A16479" s="17"/>
      <c r="H16479" s="18"/>
      <c r="K16479" s="18" t="s">
        <v>316</v>
      </c>
    </row>
    <row r="16480">
      <c r="A16480" s="17"/>
      <c r="H16480" s="18"/>
      <c r="K16480" s="18" t="s">
        <v>316</v>
      </c>
    </row>
    <row r="16481">
      <c r="A16481" s="17"/>
      <c r="H16481" s="18"/>
      <c r="K16481" s="18" t="s">
        <v>316</v>
      </c>
    </row>
    <row r="16482">
      <c r="A16482" s="17"/>
      <c r="H16482" s="18"/>
      <c r="K16482" s="18" t="s">
        <v>316</v>
      </c>
    </row>
    <row r="16483">
      <c r="A16483" s="17"/>
      <c r="H16483" s="18"/>
      <c r="K16483" s="18" t="s">
        <v>316</v>
      </c>
    </row>
    <row r="16484">
      <c r="A16484" s="17"/>
      <c r="H16484" s="18"/>
      <c r="K16484" s="18" t="s">
        <v>316</v>
      </c>
    </row>
    <row r="16485">
      <c r="A16485" s="17"/>
      <c r="H16485" s="18"/>
      <c r="K16485" s="18" t="s">
        <v>316</v>
      </c>
    </row>
    <row r="16486">
      <c r="A16486" s="17"/>
      <c r="H16486" s="18"/>
      <c r="K16486" s="18" t="s">
        <v>316</v>
      </c>
    </row>
    <row r="16487">
      <c r="A16487" s="17"/>
      <c r="H16487" s="18"/>
      <c r="K16487" s="18" t="s">
        <v>316</v>
      </c>
    </row>
    <row r="16488">
      <c r="A16488" s="17"/>
      <c r="H16488" s="18"/>
      <c r="K16488" s="18" t="s">
        <v>316</v>
      </c>
    </row>
    <row r="16489">
      <c r="A16489" s="17"/>
      <c r="H16489" s="18"/>
      <c r="K16489" s="18" t="s">
        <v>316</v>
      </c>
    </row>
    <row r="16490">
      <c r="A16490" s="17"/>
      <c r="H16490" s="18"/>
      <c r="K16490" s="18" t="s">
        <v>316</v>
      </c>
    </row>
    <row r="16491">
      <c r="A16491" s="17"/>
      <c r="H16491" s="18"/>
      <c r="K16491" s="18" t="s">
        <v>316</v>
      </c>
    </row>
    <row r="16492">
      <c r="A16492" s="17"/>
      <c r="H16492" s="18"/>
      <c r="K16492" s="18" t="s">
        <v>316</v>
      </c>
    </row>
    <row r="16493">
      <c r="A16493" s="17"/>
      <c r="H16493" s="18"/>
      <c r="K16493" s="18" t="s">
        <v>316</v>
      </c>
    </row>
    <row r="16494">
      <c r="A16494" s="17"/>
      <c r="H16494" s="18"/>
      <c r="K16494" s="18" t="s">
        <v>316</v>
      </c>
    </row>
    <row r="16495">
      <c r="A16495" s="17"/>
      <c r="H16495" s="18"/>
      <c r="K16495" s="18" t="s">
        <v>316</v>
      </c>
    </row>
    <row r="16496">
      <c r="A16496" s="17"/>
      <c r="H16496" s="18"/>
      <c r="K16496" s="18" t="s">
        <v>316</v>
      </c>
    </row>
    <row r="16497">
      <c r="A16497" s="17"/>
      <c r="H16497" s="18"/>
      <c r="K16497" s="18" t="s">
        <v>316</v>
      </c>
    </row>
    <row r="16498">
      <c r="A16498" s="17"/>
      <c r="H16498" s="18"/>
      <c r="K16498" s="18" t="s">
        <v>316</v>
      </c>
    </row>
    <row r="16499">
      <c r="A16499" s="17"/>
      <c r="H16499" s="18"/>
      <c r="K16499" s="18" t="s">
        <v>316</v>
      </c>
    </row>
    <row r="16500">
      <c r="A16500" s="17"/>
      <c r="H16500" s="18"/>
      <c r="K16500" s="18" t="s">
        <v>316</v>
      </c>
    </row>
    <row r="16501">
      <c r="A16501" s="17"/>
      <c r="H16501" s="18"/>
      <c r="K16501" s="18" t="s">
        <v>316</v>
      </c>
    </row>
    <row r="16502">
      <c r="A16502" s="17"/>
      <c r="H16502" s="18"/>
      <c r="K16502" s="18" t="s">
        <v>316</v>
      </c>
    </row>
    <row r="16503">
      <c r="A16503" s="17"/>
      <c r="H16503" s="18"/>
      <c r="K16503" s="18" t="s">
        <v>316</v>
      </c>
    </row>
    <row r="16504">
      <c r="A16504" s="17"/>
      <c r="H16504" s="18"/>
      <c r="K16504" s="18" t="s">
        <v>316</v>
      </c>
    </row>
    <row r="16505">
      <c r="A16505" s="17"/>
      <c r="H16505" s="18"/>
      <c r="K16505" s="18" t="s">
        <v>316</v>
      </c>
    </row>
    <row r="16506">
      <c r="A16506" s="17"/>
      <c r="H16506" s="18"/>
      <c r="K16506" s="18" t="s">
        <v>316</v>
      </c>
    </row>
    <row r="16507">
      <c r="A16507" s="17"/>
      <c r="H16507" s="18"/>
      <c r="K16507" s="18" t="s">
        <v>316</v>
      </c>
    </row>
    <row r="16508">
      <c r="A16508" s="17"/>
      <c r="H16508" s="18"/>
      <c r="K16508" s="18" t="s">
        <v>316</v>
      </c>
    </row>
    <row r="16509">
      <c r="A16509" s="17"/>
      <c r="H16509" s="18"/>
      <c r="K16509" s="18" t="s">
        <v>316</v>
      </c>
    </row>
    <row r="16510">
      <c r="A16510" s="17"/>
      <c r="H16510" s="18"/>
      <c r="K16510" s="18" t="s">
        <v>316</v>
      </c>
    </row>
    <row r="16511">
      <c r="A16511" s="17"/>
      <c r="H16511" s="18"/>
      <c r="K16511" s="18" t="s">
        <v>316</v>
      </c>
    </row>
    <row r="16512">
      <c r="A16512" s="17"/>
      <c r="H16512" s="18"/>
      <c r="K16512" s="18" t="s">
        <v>316</v>
      </c>
    </row>
    <row r="16513">
      <c r="A16513" s="17"/>
      <c r="H16513" s="18"/>
      <c r="K16513" s="18" t="s">
        <v>316</v>
      </c>
    </row>
    <row r="16514">
      <c r="A16514" s="17"/>
      <c r="H16514" s="18"/>
      <c r="K16514" s="18" t="s">
        <v>316</v>
      </c>
    </row>
    <row r="16515">
      <c r="A16515" s="17"/>
      <c r="H16515" s="18"/>
      <c r="K16515" s="18" t="s">
        <v>316</v>
      </c>
    </row>
    <row r="16516">
      <c r="A16516" s="17"/>
      <c r="H16516" s="18"/>
      <c r="K16516" s="18" t="s">
        <v>316</v>
      </c>
    </row>
    <row r="16517">
      <c r="A16517" s="17"/>
      <c r="H16517" s="18"/>
      <c r="K16517" s="18" t="s">
        <v>316</v>
      </c>
    </row>
    <row r="16518">
      <c r="A16518" s="17"/>
      <c r="H16518" s="18"/>
      <c r="K16518" s="18" t="s">
        <v>316</v>
      </c>
    </row>
    <row r="16519">
      <c r="A16519" s="17"/>
      <c r="H16519" s="18"/>
      <c r="K16519" s="18" t="s">
        <v>316</v>
      </c>
    </row>
    <row r="16520">
      <c r="A16520" s="17"/>
      <c r="H16520" s="18"/>
      <c r="K16520" s="18" t="s">
        <v>316</v>
      </c>
    </row>
    <row r="16521">
      <c r="A16521" s="17"/>
      <c r="H16521" s="18"/>
      <c r="K16521" s="18" t="s">
        <v>316</v>
      </c>
    </row>
    <row r="16522">
      <c r="A16522" s="17"/>
      <c r="H16522" s="18"/>
      <c r="K16522" s="18" t="s">
        <v>316</v>
      </c>
    </row>
    <row r="16523">
      <c r="A16523" s="17"/>
      <c r="H16523" s="18"/>
      <c r="K16523" s="18" t="s">
        <v>316</v>
      </c>
    </row>
    <row r="16524">
      <c r="A16524" s="17"/>
      <c r="H16524" s="18"/>
      <c r="K16524" s="18" t="s">
        <v>316</v>
      </c>
    </row>
    <row r="16525">
      <c r="A16525" s="17"/>
      <c r="H16525" s="18"/>
      <c r="K16525" s="18" t="s">
        <v>316</v>
      </c>
    </row>
    <row r="16526">
      <c r="A16526" s="17"/>
      <c r="H16526" s="18"/>
      <c r="K16526" s="18" t="s">
        <v>316</v>
      </c>
    </row>
    <row r="16527">
      <c r="A16527" s="17"/>
      <c r="H16527" s="18"/>
      <c r="K16527" s="18" t="s">
        <v>316</v>
      </c>
    </row>
    <row r="16528">
      <c r="A16528" s="17"/>
      <c r="H16528" s="18"/>
      <c r="K16528" s="18" t="s">
        <v>316</v>
      </c>
    </row>
    <row r="16529">
      <c r="A16529" s="17"/>
      <c r="H16529" s="18"/>
      <c r="K16529" s="18" t="s">
        <v>316</v>
      </c>
    </row>
    <row r="16530">
      <c r="A16530" s="17"/>
      <c r="H16530" s="18"/>
      <c r="K16530" s="18" t="s">
        <v>316</v>
      </c>
    </row>
    <row r="16531">
      <c r="A16531" s="17"/>
      <c r="H16531" s="18"/>
      <c r="K16531" s="18" t="s">
        <v>316</v>
      </c>
    </row>
    <row r="16532">
      <c r="A16532" s="17"/>
      <c r="H16532" s="18"/>
      <c r="K16532" s="18" t="s">
        <v>316</v>
      </c>
    </row>
    <row r="16533">
      <c r="A16533" s="17"/>
      <c r="H16533" s="18"/>
      <c r="K16533" s="18" t="s">
        <v>316</v>
      </c>
    </row>
    <row r="16534">
      <c r="A16534" s="17"/>
      <c r="H16534" s="18"/>
      <c r="K16534" s="18" t="s">
        <v>316</v>
      </c>
    </row>
    <row r="16535">
      <c r="A16535" s="17"/>
      <c r="H16535" s="18"/>
      <c r="K16535" s="18" t="s">
        <v>316</v>
      </c>
    </row>
    <row r="16536">
      <c r="A16536" s="17"/>
      <c r="H16536" s="18"/>
      <c r="K16536" s="18" t="s">
        <v>316</v>
      </c>
    </row>
    <row r="16537">
      <c r="A16537" s="17"/>
      <c r="H16537" s="18"/>
      <c r="K16537" s="18" t="s">
        <v>316</v>
      </c>
    </row>
    <row r="16538">
      <c r="A16538" s="17"/>
      <c r="H16538" s="18"/>
      <c r="K16538" s="18" t="s">
        <v>316</v>
      </c>
    </row>
    <row r="16539">
      <c r="A16539" s="17"/>
      <c r="H16539" s="18"/>
      <c r="K16539" s="18" t="s">
        <v>316</v>
      </c>
    </row>
    <row r="16540">
      <c r="A16540" s="17"/>
      <c r="H16540" s="18"/>
      <c r="K16540" s="18" t="s">
        <v>316</v>
      </c>
    </row>
    <row r="16541">
      <c r="A16541" s="17"/>
      <c r="H16541" s="18"/>
      <c r="K16541" s="18" t="s">
        <v>316</v>
      </c>
    </row>
    <row r="16542">
      <c r="A16542" s="17"/>
      <c r="H16542" s="18"/>
      <c r="K16542" s="18" t="s">
        <v>316</v>
      </c>
    </row>
    <row r="16543">
      <c r="A16543" s="17"/>
      <c r="H16543" s="18"/>
      <c r="K16543" s="18" t="s">
        <v>316</v>
      </c>
    </row>
    <row r="16544">
      <c r="A16544" s="17"/>
      <c r="H16544" s="18"/>
      <c r="K16544" s="18" t="s">
        <v>316</v>
      </c>
    </row>
    <row r="16545">
      <c r="A16545" s="17"/>
      <c r="H16545" s="18"/>
      <c r="K16545" s="18" t="s">
        <v>316</v>
      </c>
    </row>
    <row r="16546">
      <c r="A16546" s="17"/>
      <c r="H16546" s="18"/>
      <c r="K16546" s="18" t="s">
        <v>316</v>
      </c>
    </row>
    <row r="16547">
      <c r="A16547" s="17"/>
      <c r="H16547" s="18"/>
      <c r="K16547" s="18" t="s">
        <v>316</v>
      </c>
    </row>
    <row r="16548">
      <c r="A16548" s="17"/>
      <c r="H16548" s="18"/>
      <c r="K16548" s="18" t="s">
        <v>316</v>
      </c>
    </row>
    <row r="16549">
      <c r="A16549" s="17"/>
      <c r="H16549" s="18"/>
      <c r="K16549" s="18" t="s">
        <v>316</v>
      </c>
    </row>
    <row r="16550">
      <c r="A16550" s="17"/>
      <c r="H16550" s="18"/>
      <c r="K16550" s="18" t="s">
        <v>316</v>
      </c>
    </row>
    <row r="16551">
      <c r="A16551" s="17"/>
      <c r="H16551" s="18"/>
      <c r="K16551" s="18" t="s">
        <v>316</v>
      </c>
    </row>
    <row r="16552">
      <c r="A16552" s="17"/>
      <c r="H16552" s="18"/>
      <c r="K16552" s="18" t="s">
        <v>316</v>
      </c>
    </row>
    <row r="16553">
      <c r="A16553" s="17"/>
      <c r="H16553" s="18"/>
      <c r="K16553" s="18" t="s">
        <v>316</v>
      </c>
    </row>
    <row r="16554">
      <c r="A16554" s="17"/>
      <c r="H16554" s="18"/>
      <c r="K16554" s="18" t="s">
        <v>316</v>
      </c>
    </row>
    <row r="16555">
      <c r="A16555" s="17"/>
      <c r="H16555" s="18"/>
      <c r="K16555" s="18" t="s">
        <v>316</v>
      </c>
    </row>
    <row r="16556">
      <c r="A16556" s="17"/>
      <c r="H16556" s="18"/>
      <c r="K16556" s="18" t="s">
        <v>316</v>
      </c>
    </row>
    <row r="16557">
      <c r="A16557" s="17"/>
      <c r="H16557" s="18"/>
      <c r="K16557" s="18" t="s">
        <v>316</v>
      </c>
    </row>
    <row r="16558">
      <c r="A16558" s="17"/>
      <c r="H16558" s="18"/>
      <c r="K16558" s="18" t="s">
        <v>316</v>
      </c>
    </row>
    <row r="16559">
      <c r="A16559" s="17"/>
      <c r="H16559" s="18"/>
      <c r="K16559" s="18" t="s">
        <v>316</v>
      </c>
    </row>
    <row r="16560">
      <c r="A16560" s="17"/>
      <c r="H16560" s="18"/>
      <c r="K16560" s="18" t="s">
        <v>316</v>
      </c>
    </row>
    <row r="16561">
      <c r="A16561" s="17"/>
      <c r="H16561" s="18"/>
      <c r="K16561" s="18" t="s">
        <v>316</v>
      </c>
    </row>
    <row r="16562">
      <c r="A16562" s="17"/>
      <c r="H16562" s="18"/>
      <c r="K16562" s="18" t="s">
        <v>316</v>
      </c>
    </row>
    <row r="16563">
      <c r="A16563" s="17"/>
      <c r="H16563" s="18"/>
      <c r="K16563" s="18" t="s">
        <v>316</v>
      </c>
    </row>
    <row r="16564">
      <c r="A16564" s="17"/>
      <c r="H16564" s="18"/>
      <c r="K16564" s="18" t="s">
        <v>316</v>
      </c>
    </row>
    <row r="16565">
      <c r="A16565" s="17"/>
      <c r="H16565" s="18"/>
      <c r="K16565" s="18" t="s">
        <v>316</v>
      </c>
    </row>
    <row r="16566">
      <c r="A16566" s="17"/>
      <c r="H16566" s="18"/>
      <c r="K16566" s="18" t="s">
        <v>316</v>
      </c>
    </row>
    <row r="16567">
      <c r="A16567" s="17"/>
      <c r="H16567" s="18"/>
      <c r="K16567" s="18" t="s">
        <v>316</v>
      </c>
    </row>
    <row r="16568">
      <c r="A16568" s="17"/>
      <c r="H16568" s="18"/>
      <c r="K16568" s="18" t="s">
        <v>316</v>
      </c>
    </row>
    <row r="16569">
      <c r="A16569" s="17"/>
      <c r="H16569" s="18"/>
      <c r="K16569" s="18" t="s">
        <v>316</v>
      </c>
    </row>
    <row r="16570">
      <c r="A16570" s="17"/>
      <c r="H16570" s="18"/>
      <c r="K16570" s="18" t="s">
        <v>316</v>
      </c>
    </row>
    <row r="16571">
      <c r="A16571" s="17"/>
      <c r="H16571" s="18"/>
      <c r="K16571" s="18" t="s">
        <v>316</v>
      </c>
    </row>
    <row r="16572">
      <c r="A16572" s="17"/>
      <c r="H16572" s="18"/>
      <c r="K16572" s="18" t="s">
        <v>316</v>
      </c>
    </row>
    <row r="16573">
      <c r="A16573" s="17"/>
      <c r="H16573" s="18"/>
      <c r="K16573" s="18" t="s">
        <v>316</v>
      </c>
    </row>
    <row r="16574">
      <c r="A16574" s="17"/>
      <c r="H16574" s="18"/>
      <c r="K16574" s="18" t="s">
        <v>316</v>
      </c>
    </row>
    <row r="16575">
      <c r="A16575" s="17"/>
      <c r="H16575" s="18"/>
      <c r="K16575" s="18" t="s">
        <v>316</v>
      </c>
    </row>
    <row r="16576">
      <c r="A16576" s="17"/>
      <c r="H16576" s="18"/>
      <c r="K16576" s="18" t="s">
        <v>316</v>
      </c>
    </row>
    <row r="16577">
      <c r="A16577" s="17"/>
      <c r="H16577" s="18"/>
      <c r="K16577" s="18" t="s">
        <v>316</v>
      </c>
    </row>
    <row r="16578">
      <c r="A16578" s="17"/>
      <c r="H16578" s="18"/>
      <c r="K16578" s="18" t="s">
        <v>316</v>
      </c>
    </row>
    <row r="16579">
      <c r="A16579" s="17"/>
      <c r="H16579" s="18"/>
      <c r="K16579" s="18" t="s">
        <v>316</v>
      </c>
    </row>
    <row r="16580">
      <c r="A16580" s="17"/>
      <c r="H16580" s="18"/>
      <c r="K16580" s="18" t="s">
        <v>316</v>
      </c>
    </row>
    <row r="16581">
      <c r="A16581" s="17"/>
      <c r="H16581" s="18"/>
      <c r="K16581" s="18" t="s">
        <v>316</v>
      </c>
    </row>
    <row r="16582">
      <c r="A16582" s="17"/>
      <c r="H16582" s="18"/>
      <c r="K16582" s="18" t="s">
        <v>316</v>
      </c>
    </row>
    <row r="16583">
      <c r="A16583" s="17"/>
      <c r="H16583" s="18"/>
      <c r="K16583" s="18" t="s">
        <v>316</v>
      </c>
    </row>
    <row r="16584">
      <c r="A16584" s="17"/>
      <c r="H16584" s="18"/>
      <c r="K16584" s="18" t="s">
        <v>316</v>
      </c>
    </row>
    <row r="16585">
      <c r="A16585" s="17"/>
      <c r="H16585" s="18"/>
      <c r="K16585" s="18" t="s">
        <v>316</v>
      </c>
    </row>
    <row r="16586">
      <c r="A16586" s="17"/>
      <c r="H16586" s="18"/>
      <c r="K16586" s="18" t="s">
        <v>316</v>
      </c>
    </row>
    <row r="16587">
      <c r="A16587" s="17"/>
      <c r="H16587" s="18"/>
      <c r="K16587" s="18" t="s">
        <v>316</v>
      </c>
    </row>
    <row r="16588">
      <c r="A16588" s="17"/>
      <c r="H16588" s="18"/>
      <c r="K16588" s="18" t="s">
        <v>316</v>
      </c>
    </row>
    <row r="16589">
      <c r="A16589" s="17"/>
      <c r="H16589" s="18"/>
      <c r="K16589" s="18" t="s">
        <v>316</v>
      </c>
    </row>
    <row r="16590">
      <c r="A16590" s="17"/>
      <c r="H16590" s="18"/>
      <c r="K16590" s="18" t="s">
        <v>316</v>
      </c>
    </row>
    <row r="16591">
      <c r="A16591" s="17"/>
      <c r="H16591" s="18"/>
      <c r="K16591" s="18" t="s">
        <v>316</v>
      </c>
    </row>
    <row r="16592">
      <c r="A16592" s="17"/>
      <c r="H16592" s="18"/>
      <c r="K16592" s="18" t="s">
        <v>316</v>
      </c>
    </row>
    <row r="16593">
      <c r="A16593" s="17"/>
      <c r="H16593" s="18"/>
      <c r="K16593" s="18" t="s">
        <v>316</v>
      </c>
    </row>
    <row r="16594">
      <c r="A16594" s="17"/>
      <c r="H16594" s="18"/>
      <c r="K16594" s="18" t="s">
        <v>316</v>
      </c>
    </row>
    <row r="16595">
      <c r="A16595" s="17"/>
      <c r="H16595" s="18"/>
      <c r="K16595" s="18" t="s">
        <v>316</v>
      </c>
    </row>
    <row r="16596">
      <c r="A16596" s="17"/>
      <c r="H16596" s="18"/>
      <c r="K16596" s="18" t="s">
        <v>316</v>
      </c>
    </row>
    <row r="16597">
      <c r="A16597" s="17"/>
      <c r="H16597" s="18"/>
      <c r="K16597" s="18" t="s">
        <v>316</v>
      </c>
    </row>
    <row r="16598">
      <c r="A16598" s="17"/>
      <c r="H16598" s="18"/>
      <c r="K16598" s="18" t="s">
        <v>316</v>
      </c>
    </row>
    <row r="16599">
      <c r="A16599" s="17"/>
      <c r="H16599" s="18"/>
      <c r="K16599" s="18" t="s">
        <v>316</v>
      </c>
    </row>
    <row r="16600">
      <c r="A16600" s="17"/>
      <c r="H16600" s="18"/>
      <c r="K16600" s="18" t="s">
        <v>316</v>
      </c>
    </row>
    <row r="16601">
      <c r="A16601" s="17"/>
      <c r="H16601" s="18"/>
      <c r="K16601" s="18" t="s">
        <v>316</v>
      </c>
    </row>
    <row r="16602">
      <c r="A16602" s="17"/>
      <c r="H16602" s="18"/>
      <c r="K16602" s="18" t="s">
        <v>316</v>
      </c>
    </row>
    <row r="16603">
      <c r="A16603" s="17"/>
      <c r="H16603" s="18"/>
      <c r="K16603" s="18" t="s">
        <v>316</v>
      </c>
    </row>
    <row r="16604">
      <c r="A16604" s="17"/>
      <c r="H16604" s="18"/>
      <c r="K16604" s="18" t="s">
        <v>316</v>
      </c>
    </row>
    <row r="16605">
      <c r="A16605" s="17"/>
      <c r="H16605" s="18"/>
      <c r="K16605" s="18" t="s">
        <v>316</v>
      </c>
    </row>
    <row r="16606">
      <c r="A16606" s="17"/>
      <c r="H16606" s="18"/>
      <c r="K16606" s="18" t="s">
        <v>316</v>
      </c>
    </row>
    <row r="16607">
      <c r="A16607" s="17"/>
      <c r="H16607" s="18"/>
      <c r="K16607" s="18" t="s">
        <v>316</v>
      </c>
    </row>
    <row r="16608">
      <c r="A16608" s="17"/>
      <c r="H16608" s="18"/>
      <c r="K16608" s="18" t="s">
        <v>316</v>
      </c>
    </row>
    <row r="16609">
      <c r="A16609" s="17"/>
      <c r="H16609" s="18"/>
      <c r="K16609" s="18" t="s">
        <v>316</v>
      </c>
    </row>
    <row r="16610">
      <c r="A16610" s="17"/>
      <c r="H16610" s="18"/>
      <c r="K16610" s="18" t="s">
        <v>316</v>
      </c>
    </row>
    <row r="16611">
      <c r="A16611" s="17"/>
      <c r="H16611" s="18"/>
      <c r="K16611" s="18" t="s">
        <v>316</v>
      </c>
    </row>
    <row r="16612">
      <c r="A16612" s="17"/>
      <c r="H16612" s="18"/>
      <c r="K16612" s="18" t="s">
        <v>316</v>
      </c>
    </row>
    <row r="16613">
      <c r="A16613" s="17"/>
      <c r="H16613" s="18"/>
      <c r="K16613" s="18" t="s">
        <v>316</v>
      </c>
    </row>
    <row r="16614">
      <c r="A16614" s="17"/>
      <c r="H16614" s="18"/>
      <c r="K16614" s="18" t="s">
        <v>316</v>
      </c>
    </row>
    <row r="16615">
      <c r="A16615" s="17"/>
      <c r="H16615" s="18"/>
      <c r="K16615" s="18" t="s">
        <v>316</v>
      </c>
    </row>
    <row r="16616">
      <c r="A16616" s="17"/>
      <c r="H16616" s="18"/>
      <c r="K16616" s="18" t="s">
        <v>316</v>
      </c>
    </row>
    <row r="16617">
      <c r="A16617" s="17"/>
      <c r="H16617" s="18"/>
      <c r="K16617" s="18" t="s">
        <v>316</v>
      </c>
    </row>
    <row r="16618">
      <c r="A16618" s="17"/>
      <c r="H16618" s="18"/>
      <c r="K16618" s="18" t="s">
        <v>316</v>
      </c>
    </row>
    <row r="16619">
      <c r="A16619" s="17"/>
      <c r="H16619" s="18"/>
      <c r="K16619" s="18" t="s">
        <v>316</v>
      </c>
    </row>
    <row r="16620">
      <c r="A16620" s="17"/>
      <c r="H16620" s="18"/>
      <c r="K16620" s="18" t="s">
        <v>316</v>
      </c>
    </row>
    <row r="16621">
      <c r="A16621" s="17"/>
      <c r="H16621" s="18"/>
      <c r="K16621" s="18" t="s">
        <v>316</v>
      </c>
    </row>
    <row r="16622">
      <c r="A16622" s="17"/>
      <c r="H16622" s="18"/>
      <c r="K16622" s="18" t="s">
        <v>316</v>
      </c>
    </row>
    <row r="16623">
      <c r="A16623" s="17"/>
      <c r="H16623" s="18"/>
      <c r="K16623" s="18" t="s">
        <v>316</v>
      </c>
    </row>
    <row r="16624">
      <c r="A16624" s="17"/>
      <c r="H16624" s="18"/>
      <c r="K16624" s="18" t="s">
        <v>316</v>
      </c>
    </row>
    <row r="16625">
      <c r="A16625" s="17"/>
      <c r="H16625" s="18"/>
      <c r="K16625" s="18" t="s">
        <v>316</v>
      </c>
    </row>
    <row r="16626">
      <c r="A16626" s="17"/>
      <c r="H16626" s="18"/>
      <c r="K16626" s="18" t="s">
        <v>316</v>
      </c>
    </row>
    <row r="16627">
      <c r="A16627" s="17"/>
      <c r="H16627" s="18"/>
      <c r="K16627" s="18" t="s">
        <v>316</v>
      </c>
    </row>
    <row r="16628">
      <c r="A16628" s="17"/>
      <c r="H16628" s="18"/>
      <c r="K16628" s="18" t="s">
        <v>316</v>
      </c>
    </row>
    <row r="16629">
      <c r="A16629" s="17"/>
      <c r="H16629" s="18"/>
      <c r="K16629" s="18" t="s">
        <v>316</v>
      </c>
    </row>
    <row r="16630">
      <c r="A16630" s="17"/>
      <c r="H16630" s="18"/>
      <c r="K16630" s="18" t="s">
        <v>316</v>
      </c>
    </row>
    <row r="16631">
      <c r="A16631" s="17"/>
      <c r="H16631" s="18"/>
      <c r="K16631" s="18" t="s">
        <v>316</v>
      </c>
    </row>
    <row r="16632">
      <c r="A16632" s="17"/>
      <c r="H16632" s="18"/>
      <c r="K16632" s="18" t="s">
        <v>316</v>
      </c>
    </row>
    <row r="16633">
      <c r="A16633" s="17"/>
      <c r="H16633" s="18"/>
      <c r="K16633" s="18" t="s">
        <v>316</v>
      </c>
    </row>
    <row r="16634">
      <c r="A16634" s="17"/>
      <c r="H16634" s="18"/>
      <c r="K16634" s="18" t="s">
        <v>316</v>
      </c>
    </row>
    <row r="16635">
      <c r="A16635" s="17"/>
      <c r="H16635" s="18"/>
      <c r="K16635" s="18" t="s">
        <v>316</v>
      </c>
    </row>
    <row r="16636">
      <c r="A16636" s="17"/>
      <c r="H16636" s="18"/>
      <c r="K16636" s="18" t="s">
        <v>316</v>
      </c>
    </row>
    <row r="16637">
      <c r="A16637" s="17"/>
      <c r="H16637" s="18"/>
      <c r="K16637" s="18" t="s">
        <v>316</v>
      </c>
    </row>
    <row r="16638">
      <c r="A16638" s="17"/>
      <c r="H16638" s="18"/>
      <c r="K16638" s="18" t="s">
        <v>316</v>
      </c>
    </row>
    <row r="16639">
      <c r="A16639" s="17"/>
      <c r="H16639" s="18"/>
      <c r="K16639" s="18" t="s">
        <v>316</v>
      </c>
    </row>
    <row r="16640">
      <c r="A16640" s="17"/>
      <c r="H16640" s="18"/>
      <c r="K16640" s="18" t="s">
        <v>316</v>
      </c>
    </row>
    <row r="16641">
      <c r="A16641" s="17"/>
      <c r="H16641" s="18"/>
      <c r="K16641" s="18" t="s">
        <v>316</v>
      </c>
    </row>
    <row r="16642">
      <c r="A16642" s="17"/>
      <c r="H16642" s="18"/>
      <c r="K16642" s="18" t="s">
        <v>316</v>
      </c>
    </row>
    <row r="16643">
      <c r="A16643" s="17"/>
      <c r="H16643" s="18"/>
      <c r="K16643" s="18" t="s">
        <v>316</v>
      </c>
    </row>
    <row r="16644">
      <c r="A16644" s="17"/>
      <c r="H16644" s="18"/>
      <c r="K16644" s="18" t="s">
        <v>316</v>
      </c>
    </row>
    <row r="16645">
      <c r="A16645" s="17"/>
      <c r="H16645" s="18"/>
      <c r="K16645" s="18" t="s">
        <v>316</v>
      </c>
    </row>
    <row r="16646">
      <c r="A16646" s="17"/>
      <c r="H16646" s="18"/>
      <c r="K16646" s="18" t="s">
        <v>316</v>
      </c>
    </row>
    <row r="16647">
      <c r="A16647" s="17"/>
      <c r="H16647" s="18"/>
      <c r="K16647" s="18" t="s">
        <v>316</v>
      </c>
    </row>
    <row r="16648">
      <c r="A16648" s="17"/>
      <c r="H16648" s="18"/>
      <c r="K16648" s="18" t="s">
        <v>316</v>
      </c>
    </row>
    <row r="16649">
      <c r="A16649" s="17"/>
      <c r="H16649" s="18"/>
      <c r="K16649" s="18" t="s">
        <v>316</v>
      </c>
    </row>
    <row r="16650">
      <c r="A16650" s="17"/>
      <c r="H16650" s="18"/>
      <c r="K16650" s="18" t="s">
        <v>316</v>
      </c>
    </row>
    <row r="16651">
      <c r="A16651" s="17"/>
      <c r="H16651" s="18"/>
      <c r="K16651" s="18" t="s">
        <v>316</v>
      </c>
    </row>
    <row r="16652">
      <c r="A16652" s="17"/>
      <c r="H16652" s="18"/>
      <c r="K16652" s="18" t="s">
        <v>316</v>
      </c>
    </row>
    <row r="16653">
      <c r="A16653" s="17"/>
      <c r="H16653" s="18"/>
      <c r="K16653" s="18" t="s">
        <v>316</v>
      </c>
    </row>
    <row r="16654">
      <c r="A16654" s="17"/>
      <c r="H16654" s="18"/>
      <c r="K16654" s="18" t="s">
        <v>316</v>
      </c>
    </row>
    <row r="16655">
      <c r="A16655" s="17"/>
      <c r="H16655" s="18"/>
      <c r="K16655" s="18" t="s">
        <v>316</v>
      </c>
    </row>
    <row r="16656">
      <c r="A16656" s="17"/>
      <c r="H16656" s="18"/>
      <c r="K16656" s="18" t="s">
        <v>316</v>
      </c>
    </row>
    <row r="16657">
      <c r="A16657" s="17"/>
      <c r="H16657" s="18"/>
      <c r="K16657" s="18" t="s">
        <v>316</v>
      </c>
    </row>
    <row r="16658">
      <c r="A16658" s="17"/>
      <c r="H16658" s="18"/>
      <c r="K16658" s="18" t="s">
        <v>316</v>
      </c>
    </row>
    <row r="16659">
      <c r="A16659" s="17"/>
      <c r="H16659" s="18"/>
      <c r="K16659" s="18" t="s">
        <v>316</v>
      </c>
    </row>
    <row r="16660">
      <c r="A16660" s="17"/>
      <c r="H16660" s="18"/>
      <c r="K16660" s="18" t="s">
        <v>316</v>
      </c>
    </row>
    <row r="16661">
      <c r="A16661" s="17"/>
      <c r="H16661" s="18"/>
      <c r="K16661" s="18" t="s">
        <v>316</v>
      </c>
    </row>
    <row r="16662">
      <c r="A16662" s="17"/>
      <c r="H16662" s="18"/>
      <c r="K16662" s="18" t="s">
        <v>316</v>
      </c>
    </row>
    <row r="16663">
      <c r="A16663" s="17"/>
      <c r="H16663" s="18"/>
      <c r="K16663" s="18" t="s">
        <v>316</v>
      </c>
    </row>
    <row r="16664">
      <c r="A16664" s="17"/>
      <c r="H16664" s="18"/>
      <c r="K16664" s="18" t="s">
        <v>316</v>
      </c>
    </row>
    <row r="16665">
      <c r="A16665" s="17"/>
      <c r="H16665" s="18"/>
      <c r="K16665" s="18" t="s">
        <v>316</v>
      </c>
    </row>
    <row r="16666">
      <c r="A16666" s="17"/>
      <c r="H16666" s="18"/>
      <c r="K16666" s="18" t="s">
        <v>316</v>
      </c>
    </row>
    <row r="16667">
      <c r="A16667" s="17"/>
      <c r="H16667" s="18"/>
      <c r="K16667" s="18" t="s">
        <v>316</v>
      </c>
    </row>
    <row r="16668">
      <c r="A16668" s="17"/>
      <c r="H16668" s="18"/>
      <c r="K16668" s="18" t="s">
        <v>316</v>
      </c>
    </row>
    <row r="16669">
      <c r="A16669" s="17"/>
      <c r="H16669" s="18"/>
      <c r="K16669" s="18" t="s">
        <v>316</v>
      </c>
    </row>
    <row r="16670">
      <c r="A16670" s="17"/>
      <c r="H16670" s="18"/>
      <c r="K16670" s="18" t="s">
        <v>316</v>
      </c>
    </row>
    <row r="16671">
      <c r="A16671" s="17"/>
      <c r="H16671" s="18"/>
      <c r="K16671" s="18" t="s">
        <v>316</v>
      </c>
    </row>
    <row r="16672">
      <c r="A16672" s="17"/>
      <c r="H16672" s="18"/>
      <c r="K16672" s="18" t="s">
        <v>316</v>
      </c>
    </row>
    <row r="16673">
      <c r="A16673" s="17"/>
      <c r="H16673" s="18"/>
      <c r="K16673" s="18" t="s">
        <v>316</v>
      </c>
    </row>
    <row r="16674">
      <c r="A16674" s="17"/>
      <c r="H16674" s="18"/>
      <c r="K16674" s="18" t="s">
        <v>316</v>
      </c>
    </row>
    <row r="16675">
      <c r="A16675" s="17"/>
      <c r="H16675" s="18"/>
      <c r="K16675" s="18" t="s">
        <v>316</v>
      </c>
    </row>
    <row r="16676">
      <c r="A16676" s="17"/>
      <c r="H16676" s="18"/>
      <c r="K16676" s="18" t="s">
        <v>316</v>
      </c>
    </row>
    <row r="16677">
      <c r="A16677" s="17"/>
      <c r="H16677" s="18"/>
      <c r="K16677" s="18" t="s">
        <v>316</v>
      </c>
    </row>
    <row r="16678">
      <c r="A16678" s="17"/>
      <c r="H16678" s="18"/>
      <c r="K16678" s="18" t="s">
        <v>316</v>
      </c>
    </row>
    <row r="16679">
      <c r="A16679" s="17"/>
      <c r="H16679" s="18"/>
      <c r="K16679" s="18" t="s">
        <v>316</v>
      </c>
    </row>
    <row r="16680">
      <c r="A16680" s="17"/>
      <c r="H16680" s="18"/>
      <c r="K16680" s="18" t="s">
        <v>316</v>
      </c>
    </row>
    <row r="16681">
      <c r="A16681" s="17"/>
      <c r="H16681" s="18"/>
      <c r="K16681" s="18" t="s">
        <v>316</v>
      </c>
    </row>
    <row r="16682">
      <c r="A16682" s="17"/>
      <c r="H16682" s="18"/>
      <c r="K16682" s="18" t="s">
        <v>316</v>
      </c>
    </row>
    <row r="16683">
      <c r="A16683" s="17"/>
      <c r="H16683" s="18"/>
      <c r="K16683" s="18" t="s">
        <v>316</v>
      </c>
    </row>
    <row r="16684">
      <c r="A16684" s="17"/>
      <c r="H16684" s="18"/>
      <c r="K16684" s="18" t="s">
        <v>316</v>
      </c>
    </row>
    <row r="16685">
      <c r="A16685" s="17"/>
      <c r="H16685" s="18"/>
      <c r="K16685" s="18" t="s">
        <v>316</v>
      </c>
    </row>
    <row r="16686">
      <c r="A16686" s="17"/>
      <c r="H16686" s="18"/>
      <c r="K16686" s="18" t="s">
        <v>316</v>
      </c>
    </row>
    <row r="16687">
      <c r="A16687" s="17"/>
      <c r="H16687" s="18"/>
      <c r="K16687" s="18" t="s">
        <v>316</v>
      </c>
    </row>
    <row r="16688">
      <c r="A16688" s="17"/>
      <c r="H16688" s="18"/>
      <c r="K16688" s="18" t="s">
        <v>316</v>
      </c>
    </row>
    <row r="16689">
      <c r="A16689" s="17"/>
      <c r="H16689" s="18"/>
      <c r="K16689" s="18" t="s">
        <v>316</v>
      </c>
    </row>
    <row r="16690">
      <c r="A16690" s="17"/>
      <c r="H16690" s="18"/>
      <c r="K16690" s="18" t="s">
        <v>316</v>
      </c>
    </row>
    <row r="16691">
      <c r="A16691" s="17"/>
      <c r="H16691" s="18"/>
      <c r="K16691" s="18" t="s">
        <v>316</v>
      </c>
    </row>
    <row r="16692">
      <c r="A16692" s="17"/>
      <c r="H16692" s="18"/>
      <c r="K16692" s="18" t="s">
        <v>316</v>
      </c>
    </row>
    <row r="16693">
      <c r="A16693" s="17"/>
      <c r="H16693" s="18"/>
      <c r="K16693" s="18" t="s">
        <v>316</v>
      </c>
    </row>
    <row r="16694">
      <c r="A16694" s="17"/>
      <c r="H16694" s="18"/>
      <c r="K16694" s="18" t="s">
        <v>316</v>
      </c>
    </row>
    <row r="16695">
      <c r="A16695" s="17"/>
      <c r="H16695" s="18"/>
      <c r="K16695" s="18" t="s">
        <v>316</v>
      </c>
    </row>
    <row r="16696">
      <c r="A16696" s="17"/>
      <c r="H16696" s="18"/>
      <c r="K16696" s="18" t="s">
        <v>316</v>
      </c>
    </row>
    <row r="16697">
      <c r="A16697" s="17"/>
      <c r="H16697" s="18"/>
      <c r="K16697" s="18" t="s">
        <v>316</v>
      </c>
    </row>
    <row r="16698">
      <c r="A16698" s="17"/>
      <c r="H16698" s="18"/>
      <c r="K16698" s="18" t="s">
        <v>316</v>
      </c>
    </row>
    <row r="16699">
      <c r="A16699" s="17"/>
      <c r="H16699" s="18"/>
      <c r="K16699" s="18" t="s">
        <v>316</v>
      </c>
    </row>
    <row r="16700">
      <c r="A16700" s="17"/>
      <c r="H16700" s="18"/>
      <c r="K16700" s="18" t="s">
        <v>316</v>
      </c>
    </row>
    <row r="16701">
      <c r="A16701" s="17"/>
      <c r="H16701" s="18"/>
      <c r="K16701" s="18" t="s">
        <v>316</v>
      </c>
    </row>
    <row r="16702">
      <c r="A16702" s="17"/>
      <c r="H16702" s="18"/>
      <c r="K16702" s="18" t="s">
        <v>316</v>
      </c>
    </row>
    <row r="16703">
      <c r="A16703" s="17"/>
      <c r="H16703" s="18"/>
      <c r="K16703" s="18" t="s">
        <v>316</v>
      </c>
    </row>
    <row r="16704">
      <c r="A16704" s="17"/>
      <c r="H16704" s="18"/>
      <c r="K16704" s="18" t="s">
        <v>316</v>
      </c>
    </row>
    <row r="16705">
      <c r="A16705" s="17"/>
      <c r="H16705" s="18"/>
      <c r="K16705" s="18" t="s">
        <v>316</v>
      </c>
    </row>
    <row r="16706">
      <c r="A16706" s="17"/>
      <c r="H16706" s="18"/>
      <c r="K16706" s="18" t="s">
        <v>316</v>
      </c>
    </row>
    <row r="16707">
      <c r="A16707" s="17"/>
      <c r="H16707" s="18"/>
      <c r="K16707" s="18" t="s">
        <v>316</v>
      </c>
    </row>
    <row r="16708">
      <c r="A16708" s="17"/>
      <c r="H16708" s="18"/>
      <c r="K16708" s="18" t="s">
        <v>316</v>
      </c>
    </row>
    <row r="16709">
      <c r="A16709" s="17"/>
      <c r="H16709" s="18"/>
      <c r="K16709" s="18" t="s">
        <v>316</v>
      </c>
    </row>
    <row r="16710">
      <c r="A16710" s="17"/>
      <c r="H16710" s="18"/>
      <c r="K16710" s="18" t="s">
        <v>316</v>
      </c>
    </row>
    <row r="16711">
      <c r="A16711" s="17"/>
      <c r="H16711" s="18"/>
      <c r="K16711" s="18" t="s">
        <v>316</v>
      </c>
    </row>
    <row r="16712">
      <c r="A16712" s="17"/>
      <c r="H16712" s="18"/>
      <c r="K16712" s="18" t="s">
        <v>316</v>
      </c>
    </row>
    <row r="16713">
      <c r="A16713" s="17"/>
      <c r="H16713" s="18"/>
      <c r="K16713" s="18" t="s">
        <v>316</v>
      </c>
    </row>
    <row r="16714">
      <c r="A16714" s="17"/>
      <c r="H16714" s="18"/>
      <c r="K16714" s="18" t="s">
        <v>316</v>
      </c>
    </row>
    <row r="16715">
      <c r="A16715" s="17"/>
      <c r="H16715" s="18"/>
      <c r="K16715" s="18" t="s">
        <v>316</v>
      </c>
    </row>
    <row r="16716">
      <c r="A16716" s="17"/>
      <c r="H16716" s="18"/>
      <c r="K16716" s="18" t="s">
        <v>316</v>
      </c>
    </row>
    <row r="16717">
      <c r="A16717" s="17"/>
      <c r="H16717" s="18"/>
      <c r="K16717" s="18" t="s">
        <v>316</v>
      </c>
    </row>
    <row r="16718">
      <c r="A16718" s="17"/>
      <c r="H16718" s="18"/>
      <c r="K16718" s="18" t="s">
        <v>316</v>
      </c>
    </row>
    <row r="16719">
      <c r="A16719" s="17"/>
      <c r="H16719" s="18"/>
      <c r="K16719" s="18" t="s">
        <v>316</v>
      </c>
    </row>
    <row r="16720">
      <c r="A16720" s="17"/>
      <c r="H16720" s="18"/>
      <c r="K16720" s="18" t="s">
        <v>316</v>
      </c>
    </row>
    <row r="16721">
      <c r="A16721" s="17"/>
      <c r="H16721" s="18"/>
      <c r="K16721" s="18" t="s">
        <v>316</v>
      </c>
    </row>
    <row r="16722">
      <c r="A16722" s="17"/>
      <c r="H16722" s="18"/>
      <c r="K16722" s="18" t="s">
        <v>316</v>
      </c>
    </row>
    <row r="16723">
      <c r="A16723" s="17"/>
      <c r="H16723" s="18"/>
      <c r="K16723" s="18" t="s">
        <v>316</v>
      </c>
    </row>
    <row r="16724">
      <c r="A16724" s="17"/>
      <c r="H16724" s="18"/>
      <c r="K16724" s="18" t="s">
        <v>316</v>
      </c>
    </row>
    <row r="16725">
      <c r="A16725" s="17"/>
      <c r="H16725" s="18"/>
      <c r="K16725" s="18" t="s">
        <v>316</v>
      </c>
    </row>
    <row r="16726">
      <c r="A16726" s="17"/>
      <c r="H16726" s="18"/>
      <c r="K16726" s="18" t="s">
        <v>316</v>
      </c>
    </row>
    <row r="16727">
      <c r="A16727" s="17"/>
      <c r="H16727" s="18"/>
      <c r="K16727" s="18" t="s">
        <v>316</v>
      </c>
    </row>
    <row r="16728">
      <c r="A16728" s="17"/>
      <c r="H16728" s="18"/>
      <c r="K16728" s="18" t="s">
        <v>316</v>
      </c>
    </row>
    <row r="16729">
      <c r="A16729" s="17"/>
      <c r="H16729" s="18"/>
      <c r="K16729" s="18" t="s">
        <v>316</v>
      </c>
    </row>
    <row r="16730">
      <c r="A16730" s="17"/>
      <c r="H16730" s="18"/>
      <c r="K16730" s="18" t="s">
        <v>316</v>
      </c>
    </row>
    <row r="16731">
      <c r="A16731" s="17"/>
      <c r="H16731" s="18"/>
      <c r="K16731" s="18" t="s">
        <v>316</v>
      </c>
    </row>
    <row r="16732">
      <c r="A16732" s="17"/>
      <c r="H16732" s="18"/>
      <c r="K16732" s="18" t="s">
        <v>316</v>
      </c>
    </row>
    <row r="16733">
      <c r="A16733" s="17"/>
      <c r="H16733" s="18"/>
      <c r="K16733" s="18" t="s">
        <v>316</v>
      </c>
    </row>
    <row r="16734">
      <c r="A16734" s="17"/>
      <c r="H16734" s="18"/>
      <c r="K16734" s="18" t="s">
        <v>316</v>
      </c>
    </row>
    <row r="16735">
      <c r="A16735" s="17"/>
      <c r="H16735" s="18"/>
      <c r="K16735" s="18" t="s">
        <v>316</v>
      </c>
    </row>
    <row r="16736">
      <c r="A16736" s="17"/>
      <c r="H16736" s="18"/>
      <c r="K16736" s="18" t="s">
        <v>316</v>
      </c>
    </row>
    <row r="16737">
      <c r="A16737" s="17"/>
      <c r="H16737" s="18"/>
      <c r="K16737" s="18" t="s">
        <v>316</v>
      </c>
    </row>
    <row r="16738">
      <c r="A16738" s="17"/>
      <c r="H16738" s="18"/>
      <c r="K16738" s="18" t="s">
        <v>316</v>
      </c>
    </row>
    <row r="16739">
      <c r="A16739" s="17"/>
      <c r="H16739" s="18"/>
      <c r="K16739" s="18" t="s">
        <v>316</v>
      </c>
    </row>
    <row r="16740">
      <c r="A16740" s="17"/>
      <c r="H16740" s="18"/>
      <c r="K16740" s="18" t="s">
        <v>316</v>
      </c>
    </row>
    <row r="16741">
      <c r="A16741" s="17"/>
      <c r="H16741" s="18"/>
      <c r="K16741" s="18" t="s">
        <v>316</v>
      </c>
    </row>
    <row r="16742">
      <c r="A16742" s="17"/>
      <c r="H16742" s="18"/>
      <c r="K16742" s="18" t="s">
        <v>316</v>
      </c>
    </row>
    <row r="16743">
      <c r="A16743" s="17"/>
      <c r="H16743" s="18"/>
      <c r="K16743" s="18" t="s">
        <v>316</v>
      </c>
    </row>
    <row r="16744">
      <c r="A16744" s="17"/>
      <c r="H16744" s="18"/>
      <c r="K16744" s="18" t="s">
        <v>316</v>
      </c>
    </row>
    <row r="16745">
      <c r="A16745" s="17"/>
      <c r="H16745" s="18"/>
      <c r="K16745" s="18" t="s">
        <v>316</v>
      </c>
    </row>
    <row r="16746">
      <c r="A16746" s="17"/>
      <c r="H16746" s="18"/>
      <c r="K16746" s="18" t="s">
        <v>316</v>
      </c>
    </row>
    <row r="16747">
      <c r="A16747" s="17"/>
      <c r="H16747" s="18"/>
      <c r="K16747" s="18" t="s">
        <v>316</v>
      </c>
    </row>
    <row r="16748">
      <c r="A16748" s="17"/>
      <c r="H16748" s="18"/>
      <c r="K16748" s="18" t="s">
        <v>316</v>
      </c>
    </row>
    <row r="16749">
      <c r="A16749" s="17"/>
      <c r="H16749" s="18"/>
      <c r="K16749" s="18" t="s">
        <v>316</v>
      </c>
    </row>
    <row r="16750">
      <c r="A16750" s="17"/>
      <c r="H16750" s="18"/>
      <c r="K16750" s="18" t="s">
        <v>316</v>
      </c>
    </row>
    <row r="16751">
      <c r="A16751" s="17"/>
      <c r="H16751" s="18"/>
      <c r="K16751" s="18" t="s">
        <v>316</v>
      </c>
    </row>
    <row r="16752">
      <c r="A16752" s="17"/>
      <c r="H16752" s="18"/>
      <c r="K16752" s="18" t="s">
        <v>316</v>
      </c>
    </row>
    <row r="16753">
      <c r="A16753" s="17"/>
      <c r="H16753" s="18"/>
      <c r="K16753" s="18" t="s">
        <v>316</v>
      </c>
    </row>
    <row r="16754">
      <c r="A16754" s="17"/>
      <c r="H16754" s="18"/>
      <c r="K16754" s="18" t="s">
        <v>316</v>
      </c>
    </row>
    <row r="16755">
      <c r="A16755" s="17"/>
      <c r="H16755" s="18"/>
      <c r="K16755" s="18" t="s">
        <v>316</v>
      </c>
    </row>
    <row r="16756">
      <c r="A16756" s="17"/>
      <c r="H16756" s="18"/>
      <c r="K16756" s="18" t="s">
        <v>316</v>
      </c>
    </row>
    <row r="16757">
      <c r="A16757" s="17"/>
      <c r="H16757" s="18"/>
      <c r="K16757" s="18" t="s">
        <v>316</v>
      </c>
    </row>
    <row r="16758">
      <c r="A16758" s="17"/>
      <c r="H16758" s="18"/>
      <c r="K16758" s="18" t="s">
        <v>316</v>
      </c>
    </row>
    <row r="16759">
      <c r="A16759" s="17"/>
      <c r="H16759" s="18"/>
      <c r="K16759" s="18" t="s">
        <v>316</v>
      </c>
    </row>
    <row r="16760">
      <c r="A16760" s="17"/>
      <c r="H16760" s="18"/>
      <c r="K16760" s="18" t="s">
        <v>316</v>
      </c>
    </row>
    <row r="16761">
      <c r="A16761" s="17"/>
      <c r="H16761" s="18"/>
      <c r="K16761" s="18" t="s">
        <v>316</v>
      </c>
    </row>
    <row r="16762">
      <c r="A16762" s="17"/>
      <c r="H16762" s="18"/>
      <c r="K16762" s="18" t="s">
        <v>316</v>
      </c>
    </row>
    <row r="16763">
      <c r="A16763" s="17"/>
      <c r="H16763" s="18"/>
      <c r="K16763" s="18" t="s">
        <v>316</v>
      </c>
    </row>
    <row r="16764">
      <c r="A16764" s="17"/>
      <c r="H16764" s="18"/>
      <c r="K16764" s="18" t="s">
        <v>316</v>
      </c>
    </row>
    <row r="16765">
      <c r="A16765" s="17"/>
      <c r="H16765" s="18"/>
      <c r="K16765" s="18" t="s">
        <v>316</v>
      </c>
    </row>
    <row r="16766">
      <c r="A16766" s="17"/>
      <c r="H16766" s="18"/>
      <c r="K16766" s="18" t="s">
        <v>316</v>
      </c>
    </row>
    <row r="16767">
      <c r="A16767" s="17"/>
      <c r="H16767" s="18"/>
      <c r="K16767" s="18" t="s">
        <v>316</v>
      </c>
    </row>
    <row r="16768">
      <c r="A16768" s="17"/>
      <c r="H16768" s="18"/>
      <c r="K16768" s="18" t="s">
        <v>316</v>
      </c>
    </row>
    <row r="16769">
      <c r="A16769" s="17"/>
      <c r="H16769" s="18"/>
      <c r="K16769" s="18" t="s">
        <v>316</v>
      </c>
    </row>
    <row r="16770">
      <c r="A16770" s="17"/>
      <c r="H16770" s="18"/>
      <c r="K16770" s="18" t="s">
        <v>316</v>
      </c>
    </row>
    <row r="16771">
      <c r="A16771" s="17"/>
      <c r="H16771" s="18"/>
      <c r="K16771" s="18" t="s">
        <v>316</v>
      </c>
    </row>
    <row r="16772">
      <c r="A16772" s="17"/>
      <c r="H16772" s="18"/>
      <c r="K16772" s="18" t="s">
        <v>316</v>
      </c>
    </row>
    <row r="16773">
      <c r="A16773" s="17"/>
      <c r="H16773" s="18"/>
      <c r="K16773" s="18" t="s">
        <v>316</v>
      </c>
    </row>
    <row r="16774">
      <c r="A16774" s="17"/>
      <c r="H16774" s="18"/>
      <c r="K16774" s="18" t="s">
        <v>316</v>
      </c>
    </row>
    <row r="16775">
      <c r="A16775" s="17"/>
      <c r="H16775" s="18"/>
      <c r="K16775" s="18" t="s">
        <v>316</v>
      </c>
    </row>
    <row r="16776">
      <c r="A16776" s="17"/>
      <c r="H16776" s="18"/>
      <c r="K16776" s="18" t="s">
        <v>316</v>
      </c>
    </row>
    <row r="16777">
      <c r="A16777" s="17"/>
      <c r="H16777" s="18"/>
      <c r="K16777" s="18" t="s">
        <v>316</v>
      </c>
    </row>
    <row r="16778">
      <c r="A16778" s="17"/>
      <c r="H16778" s="18"/>
      <c r="K16778" s="18" t="s">
        <v>316</v>
      </c>
    </row>
    <row r="16779">
      <c r="A16779" s="17"/>
      <c r="H16779" s="18"/>
      <c r="K16779" s="18" t="s">
        <v>316</v>
      </c>
    </row>
    <row r="16780">
      <c r="A16780" s="17"/>
      <c r="H16780" s="18"/>
      <c r="K16780" s="18" t="s">
        <v>316</v>
      </c>
    </row>
    <row r="16781">
      <c r="A16781" s="17"/>
      <c r="H16781" s="18"/>
      <c r="K16781" s="18" t="s">
        <v>316</v>
      </c>
    </row>
    <row r="16782">
      <c r="A16782" s="17"/>
      <c r="H16782" s="18"/>
      <c r="K16782" s="18" t="s">
        <v>316</v>
      </c>
    </row>
    <row r="16783">
      <c r="A16783" s="17"/>
      <c r="H16783" s="18"/>
      <c r="K16783" s="18" t="s">
        <v>316</v>
      </c>
    </row>
    <row r="16784">
      <c r="A16784" s="17"/>
      <c r="H16784" s="18"/>
      <c r="K16784" s="18" t="s">
        <v>316</v>
      </c>
    </row>
    <row r="16785">
      <c r="A16785" s="17"/>
      <c r="H16785" s="18"/>
      <c r="K16785" s="18" t="s">
        <v>316</v>
      </c>
    </row>
    <row r="16786">
      <c r="A16786" s="17"/>
      <c r="H16786" s="18"/>
      <c r="K16786" s="18" t="s">
        <v>316</v>
      </c>
    </row>
    <row r="16787">
      <c r="A16787" s="17"/>
      <c r="H16787" s="18"/>
      <c r="K16787" s="18" t="s">
        <v>316</v>
      </c>
    </row>
    <row r="16788">
      <c r="A16788" s="17"/>
      <c r="H16788" s="18"/>
      <c r="K16788" s="18" t="s">
        <v>316</v>
      </c>
    </row>
    <row r="16789">
      <c r="A16789" s="17"/>
      <c r="H16789" s="18"/>
      <c r="K16789" s="18" t="s">
        <v>316</v>
      </c>
    </row>
    <row r="16790">
      <c r="A16790" s="17"/>
      <c r="H16790" s="18"/>
      <c r="K16790" s="18" t="s">
        <v>316</v>
      </c>
    </row>
    <row r="16791">
      <c r="A16791" s="17"/>
      <c r="H16791" s="18"/>
      <c r="K16791" s="18" t="s">
        <v>316</v>
      </c>
    </row>
    <row r="16792">
      <c r="A16792" s="17"/>
      <c r="H16792" s="18"/>
      <c r="K16792" s="18" t="s">
        <v>316</v>
      </c>
    </row>
    <row r="16793">
      <c r="A16793" s="17"/>
      <c r="H16793" s="18"/>
      <c r="K16793" s="18" t="s">
        <v>316</v>
      </c>
    </row>
    <row r="16794">
      <c r="A16794" s="17"/>
      <c r="H16794" s="18"/>
      <c r="K16794" s="18" t="s">
        <v>316</v>
      </c>
    </row>
    <row r="16795">
      <c r="A16795" s="17"/>
      <c r="H16795" s="18"/>
      <c r="K16795" s="18" t="s">
        <v>316</v>
      </c>
    </row>
    <row r="16796">
      <c r="A16796" s="17"/>
      <c r="H16796" s="18"/>
      <c r="K16796" s="18" t="s">
        <v>316</v>
      </c>
    </row>
    <row r="16797">
      <c r="A16797" s="17"/>
      <c r="H16797" s="18"/>
      <c r="K16797" s="18" t="s">
        <v>316</v>
      </c>
    </row>
    <row r="16798">
      <c r="A16798" s="17"/>
      <c r="H16798" s="18"/>
      <c r="K16798" s="18" t="s">
        <v>316</v>
      </c>
    </row>
    <row r="16799">
      <c r="A16799" s="17"/>
      <c r="H16799" s="18"/>
      <c r="K16799" s="18" t="s">
        <v>316</v>
      </c>
    </row>
    <row r="16800">
      <c r="A16800" s="17"/>
      <c r="H16800" s="18"/>
      <c r="K16800" s="18" t="s">
        <v>316</v>
      </c>
    </row>
    <row r="16801">
      <c r="A16801" s="17"/>
      <c r="H16801" s="18"/>
      <c r="K16801" s="18" t="s">
        <v>316</v>
      </c>
    </row>
    <row r="16802">
      <c r="A16802" s="17"/>
      <c r="H16802" s="18"/>
      <c r="K16802" s="18" t="s">
        <v>316</v>
      </c>
    </row>
    <row r="16803">
      <c r="A16803" s="17"/>
      <c r="H16803" s="18"/>
      <c r="K16803" s="18" t="s">
        <v>316</v>
      </c>
    </row>
    <row r="16804">
      <c r="A16804" s="17"/>
      <c r="H16804" s="18"/>
      <c r="K16804" s="18" t="s">
        <v>316</v>
      </c>
    </row>
    <row r="16805">
      <c r="A16805" s="17"/>
      <c r="H16805" s="18"/>
      <c r="K16805" s="18" t="s">
        <v>316</v>
      </c>
    </row>
    <row r="16806">
      <c r="A16806" s="17"/>
      <c r="H16806" s="18"/>
      <c r="K16806" s="18" t="s">
        <v>316</v>
      </c>
    </row>
    <row r="16807">
      <c r="A16807" s="17"/>
      <c r="H16807" s="18"/>
      <c r="K16807" s="18" t="s">
        <v>316</v>
      </c>
    </row>
    <row r="16808">
      <c r="A16808" s="17"/>
      <c r="H16808" s="18"/>
      <c r="K16808" s="18" t="s">
        <v>316</v>
      </c>
    </row>
    <row r="16809">
      <c r="A16809" s="17"/>
      <c r="H16809" s="18"/>
      <c r="K16809" s="18" t="s">
        <v>316</v>
      </c>
    </row>
    <row r="16810">
      <c r="A16810" s="17"/>
      <c r="H16810" s="18"/>
      <c r="K16810" s="18" t="s">
        <v>316</v>
      </c>
    </row>
    <row r="16811">
      <c r="A16811" s="17"/>
      <c r="H16811" s="18"/>
      <c r="K16811" s="18" t="s">
        <v>316</v>
      </c>
    </row>
    <row r="16812">
      <c r="A16812" s="17"/>
      <c r="H16812" s="18"/>
      <c r="K16812" s="18" t="s">
        <v>316</v>
      </c>
    </row>
    <row r="16813">
      <c r="A16813" s="17"/>
      <c r="H16813" s="18"/>
      <c r="K16813" s="18" t="s">
        <v>316</v>
      </c>
    </row>
    <row r="16814">
      <c r="A16814" s="17"/>
      <c r="H16814" s="18"/>
      <c r="K16814" s="18" t="s">
        <v>316</v>
      </c>
    </row>
    <row r="16815">
      <c r="A16815" s="17"/>
      <c r="H16815" s="18"/>
      <c r="K16815" s="18" t="s">
        <v>316</v>
      </c>
    </row>
    <row r="16816">
      <c r="A16816" s="17"/>
      <c r="H16816" s="18"/>
      <c r="K16816" s="18" t="s">
        <v>316</v>
      </c>
    </row>
    <row r="16817">
      <c r="A16817" s="17"/>
      <c r="H16817" s="18"/>
      <c r="K16817" s="18" t="s">
        <v>316</v>
      </c>
    </row>
    <row r="16818">
      <c r="A16818" s="17"/>
      <c r="H16818" s="18"/>
      <c r="K16818" s="18" t="s">
        <v>316</v>
      </c>
    </row>
    <row r="16819">
      <c r="A16819" s="17"/>
      <c r="H16819" s="18"/>
      <c r="K16819" s="18" t="s">
        <v>316</v>
      </c>
    </row>
    <row r="16820">
      <c r="A16820" s="17"/>
      <c r="H16820" s="18"/>
      <c r="K16820" s="18" t="s">
        <v>316</v>
      </c>
    </row>
    <row r="16821">
      <c r="A16821" s="17"/>
      <c r="H16821" s="18"/>
      <c r="K16821" s="18" t="s">
        <v>316</v>
      </c>
    </row>
    <row r="16822">
      <c r="A16822" s="17"/>
      <c r="H16822" s="18"/>
      <c r="K16822" s="18" t="s">
        <v>316</v>
      </c>
    </row>
    <row r="16823">
      <c r="A16823" s="17"/>
      <c r="H16823" s="18"/>
      <c r="K16823" s="18" t="s">
        <v>316</v>
      </c>
    </row>
    <row r="16824">
      <c r="A16824" s="17"/>
      <c r="H16824" s="18"/>
      <c r="K16824" s="18" t="s">
        <v>316</v>
      </c>
    </row>
    <row r="16825">
      <c r="A16825" s="17"/>
      <c r="H16825" s="18"/>
      <c r="K16825" s="18" t="s">
        <v>316</v>
      </c>
    </row>
    <row r="16826">
      <c r="A16826" s="17"/>
      <c r="H16826" s="18"/>
      <c r="K16826" s="18" t="s">
        <v>316</v>
      </c>
    </row>
    <row r="16827">
      <c r="A16827" s="17"/>
      <c r="H16827" s="18"/>
      <c r="K16827" s="18" t="s">
        <v>316</v>
      </c>
    </row>
    <row r="16828">
      <c r="A16828" s="17"/>
      <c r="H16828" s="18"/>
      <c r="K16828" s="18" t="s">
        <v>316</v>
      </c>
    </row>
    <row r="16829">
      <c r="A16829" s="17"/>
      <c r="H16829" s="18"/>
      <c r="K16829" s="18" t="s">
        <v>316</v>
      </c>
    </row>
    <row r="16830">
      <c r="A16830" s="17"/>
      <c r="H16830" s="18"/>
      <c r="K16830" s="18" t="s">
        <v>316</v>
      </c>
    </row>
    <row r="16831">
      <c r="A16831" s="17"/>
      <c r="H16831" s="18"/>
      <c r="K16831" s="18" t="s">
        <v>316</v>
      </c>
    </row>
    <row r="16832">
      <c r="A16832" s="17"/>
      <c r="H16832" s="18"/>
      <c r="K16832" s="18" t="s">
        <v>316</v>
      </c>
    </row>
    <row r="16833">
      <c r="A16833" s="17"/>
      <c r="H16833" s="18"/>
      <c r="K16833" s="18" t="s">
        <v>316</v>
      </c>
    </row>
    <row r="16834">
      <c r="A16834" s="17"/>
      <c r="H16834" s="18"/>
      <c r="K16834" s="18" t="s">
        <v>316</v>
      </c>
    </row>
    <row r="16835">
      <c r="A16835" s="17"/>
      <c r="H16835" s="18"/>
      <c r="K16835" s="18" t="s">
        <v>316</v>
      </c>
    </row>
    <row r="16836">
      <c r="A16836" s="17"/>
      <c r="H16836" s="18"/>
      <c r="K16836" s="18" t="s">
        <v>316</v>
      </c>
    </row>
    <row r="16837">
      <c r="A16837" s="17"/>
      <c r="H16837" s="18"/>
      <c r="K16837" s="18" t="s">
        <v>316</v>
      </c>
    </row>
    <row r="16838">
      <c r="A16838" s="17"/>
      <c r="H16838" s="18"/>
      <c r="K16838" s="18" t="s">
        <v>316</v>
      </c>
    </row>
    <row r="16839">
      <c r="A16839" s="17"/>
      <c r="H16839" s="18"/>
      <c r="K16839" s="18" t="s">
        <v>316</v>
      </c>
    </row>
    <row r="16840">
      <c r="A16840" s="17"/>
      <c r="H16840" s="18"/>
      <c r="K16840" s="18" t="s">
        <v>316</v>
      </c>
    </row>
    <row r="16841">
      <c r="A16841" s="17"/>
      <c r="H16841" s="18"/>
      <c r="K16841" s="18" t="s">
        <v>316</v>
      </c>
    </row>
    <row r="16842">
      <c r="A16842" s="17"/>
      <c r="H16842" s="18"/>
      <c r="K16842" s="18" t="s">
        <v>316</v>
      </c>
    </row>
    <row r="16843">
      <c r="A16843" s="17"/>
      <c r="H16843" s="18"/>
      <c r="K16843" s="18" t="s">
        <v>316</v>
      </c>
    </row>
    <row r="16844">
      <c r="A16844" s="17"/>
      <c r="H16844" s="18"/>
      <c r="K16844" s="18" t="s">
        <v>316</v>
      </c>
    </row>
    <row r="16845">
      <c r="A16845" s="17"/>
      <c r="H16845" s="18"/>
      <c r="K16845" s="18" t="s">
        <v>316</v>
      </c>
    </row>
    <row r="16846">
      <c r="A16846" s="17"/>
      <c r="H16846" s="18"/>
      <c r="K16846" s="18" t="s">
        <v>316</v>
      </c>
    </row>
    <row r="16847">
      <c r="A16847" s="17"/>
      <c r="H16847" s="18"/>
      <c r="K16847" s="18" t="s">
        <v>316</v>
      </c>
    </row>
    <row r="16848">
      <c r="A16848" s="17"/>
      <c r="H16848" s="18"/>
      <c r="K16848" s="18" t="s">
        <v>316</v>
      </c>
    </row>
    <row r="16849">
      <c r="A16849" s="17"/>
      <c r="H16849" s="18"/>
      <c r="K16849" s="18" t="s">
        <v>316</v>
      </c>
    </row>
    <row r="16850">
      <c r="A16850" s="17"/>
      <c r="H16850" s="18"/>
      <c r="K16850" s="18" t="s">
        <v>316</v>
      </c>
    </row>
    <row r="16851">
      <c r="A16851" s="17"/>
      <c r="H16851" s="18"/>
      <c r="K16851" s="18" t="s">
        <v>316</v>
      </c>
    </row>
    <row r="16852">
      <c r="A16852" s="17"/>
      <c r="H16852" s="18"/>
      <c r="K16852" s="18" t="s">
        <v>316</v>
      </c>
    </row>
    <row r="16853">
      <c r="A16853" s="17"/>
      <c r="H16853" s="18"/>
      <c r="K16853" s="18" t="s">
        <v>316</v>
      </c>
    </row>
    <row r="16854">
      <c r="A16854" s="17"/>
      <c r="H16854" s="18"/>
      <c r="K16854" s="18" t="s">
        <v>316</v>
      </c>
    </row>
    <row r="16855">
      <c r="A16855" s="17"/>
      <c r="H16855" s="18"/>
      <c r="K16855" s="18" t="s">
        <v>316</v>
      </c>
    </row>
    <row r="16856">
      <c r="A16856" s="17"/>
      <c r="H16856" s="18"/>
      <c r="K16856" s="18" t="s">
        <v>316</v>
      </c>
    </row>
    <row r="16857">
      <c r="A16857" s="17"/>
      <c r="H16857" s="18"/>
      <c r="K16857" s="18" t="s">
        <v>316</v>
      </c>
    </row>
    <row r="16858">
      <c r="A16858" s="17"/>
      <c r="H16858" s="18"/>
      <c r="K16858" s="18" t="s">
        <v>316</v>
      </c>
    </row>
    <row r="16859">
      <c r="A16859" s="17"/>
      <c r="H16859" s="18"/>
      <c r="K16859" s="18" t="s">
        <v>316</v>
      </c>
    </row>
    <row r="16860">
      <c r="A16860" s="17"/>
      <c r="H16860" s="18"/>
      <c r="K16860" s="18" t="s">
        <v>316</v>
      </c>
    </row>
    <row r="16861">
      <c r="A16861" s="17"/>
      <c r="H16861" s="18"/>
      <c r="K16861" s="18" t="s">
        <v>316</v>
      </c>
    </row>
    <row r="16862">
      <c r="A16862" s="17"/>
      <c r="H16862" s="18"/>
      <c r="K16862" s="18" t="s">
        <v>316</v>
      </c>
    </row>
    <row r="16863">
      <c r="A16863" s="17"/>
      <c r="H16863" s="18"/>
      <c r="K16863" s="18" t="s">
        <v>316</v>
      </c>
    </row>
    <row r="16864">
      <c r="A16864" s="17"/>
      <c r="H16864" s="18"/>
      <c r="K16864" s="18" t="s">
        <v>316</v>
      </c>
    </row>
    <row r="16865">
      <c r="A16865" s="17"/>
      <c r="H16865" s="18"/>
      <c r="K16865" s="18" t="s">
        <v>316</v>
      </c>
    </row>
    <row r="16866">
      <c r="A16866" s="17"/>
      <c r="H16866" s="18"/>
      <c r="K16866" s="18" t="s">
        <v>316</v>
      </c>
    </row>
    <row r="16867">
      <c r="A16867" s="17"/>
      <c r="H16867" s="18"/>
      <c r="K16867" s="18" t="s">
        <v>316</v>
      </c>
    </row>
    <row r="16868">
      <c r="A16868" s="17"/>
      <c r="H16868" s="18"/>
      <c r="K16868" s="18" t="s">
        <v>316</v>
      </c>
    </row>
    <row r="16869">
      <c r="A16869" s="17"/>
      <c r="H16869" s="18"/>
      <c r="K16869" s="18" t="s">
        <v>316</v>
      </c>
    </row>
    <row r="16870">
      <c r="A16870" s="17"/>
      <c r="H16870" s="18"/>
      <c r="K16870" s="18" t="s">
        <v>316</v>
      </c>
    </row>
    <row r="16871">
      <c r="A16871" s="17"/>
      <c r="H16871" s="18"/>
      <c r="K16871" s="18" t="s">
        <v>316</v>
      </c>
    </row>
    <row r="16872">
      <c r="A16872" s="17"/>
      <c r="H16872" s="18"/>
      <c r="K16872" s="18" t="s">
        <v>316</v>
      </c>
    </row>
    <row r="16873">
      <c r="A16873" s="17"/>
      <c r="H16873" s="18"/>
      <c r="K16873" s="18" t="s">
        <v>316</v>
      </c>
    </row>
    <row r="16874">
      <c r="A16874" s="17"/>
      <c r="H16874" s="18"/>
      <c r="K16874" s="18" t="s">
        <v>316</v>
      </c>
    </row>
    <row r="16875">
      <c r="A16875" s="17"/>
      <c r="H16875" s="18"/>
      <c r="K16875" s="18" t="s">
        <v>316</v>
      </c>
    </row>
    <row r="16876">
      <c r="A16876" s="17"/>
      <c r="H16876" s="18"/>
      <c r="K16876" s="18" t="s">
        <v>316</v>
      </c>
    </row>
    <row r="16877">
      <c r="A16877" s="17"/>
      <c r="H16877" s="18"/>
      <c r="K16877" s="18" t="s">
        <v>316</v>
      </c>
    </row>
    <row r="16878">
      <c r="A16878" s="17"/>
      <c r="H16878" s="18"/>
      <c r="K16878" s="18" t="s">
        <v>316</v>
      </c>
    </row>
    <row r="16879">
      <c r="A16879" s="17"/>
      <c r="H16879" s="18"/>
      <c r="K16879" s="18" t="s">
        <v>316</v>
      </c>
    </row>
    <row r="16880">
      <c r="A16880" s="17"/>
      <c r="H16880" s="18"/>
      <c r="K16880" s="18" t="s">
        <v>316</v>
      </c>
    </row>
    <row r="16881">
      <c r="A16881" s="17"/>
      <c r="H16881" s="18"/>
      <c r="K16881" s="18" t="s">
        <v>316</v>
      </c>
    </row>
    <row r="16882">
      <c r="A16882" s="17"/>
      <c r="H16882" s="18"/>
      <c r="K16882" s="18" t="s">
        <v>316</v>
      </c>
    </row>
    <row r="16883">
      <c r="A16883" s="17"/>
      <c r="H16883" s="18"/>
      <c r="K16883" s="18" t="s">
        <v>316</v>
      </c>
    </row>
    <row r="16884">
      <c r="A16884" s="17"/>
      <c r="H16884" s="18"/>
      <c r="K16884" s="18" t="s">
        <v>316</v>
      </c>
    </row>
    <row r="16885">
      <c r="A16885" s="17"/>
      <c r="H16885" s="18"/>
      <c r="K16885" s="18" t="s">
        <v>316</v>
      </c>
    </row>
    <row r="16886">
      <c r="A16886" s="17"/>
      <c r="H16886" s="18"/>
      <c r="K16886" s="18" t="s">
        <v>316</v>
      </c>
    </row>
    <row r="16887">
      <c r="A16887" s="17"/>
      <c r="H16887" s="18"/>
      <c r="K16887" s="18" t="s">
        <v>316</v>
      </c>
    </row>
    <row r="16888">
      <c r="A16888" s="17"/>
      <c r="H16888" s="18"/>
      <c r="K16888" s="18" t="s">
        <v>316</v>
      </c>
    </row>
    <row r="16889">
      <c r="A16889" s="17"/>
      <c r="H16889" s="18"/>
      <c r="K16889" s="18" t="s">
        <v>316</v>
      </c>
    </row>
    <row r="16890">
      <c r="A16890" s="17"/>
      <c r="H16890" s="18"/>
      <c r="K16890" s="18" t="s">
        <v>316</v>
      </c>
    </row>
    <row r="16891">
      <c r="A16891" s="17"/>
      <c r="H16891" s="18"/>
      <c r="K16891" s="18" t="s">
        <v>316</v>
      </c>
    </row>
    <row r="16892">
      <c r="A16892" s="17"/>
      <c r="H16892" s="18"/>
      <c r="K16892" s="18" t="s">
        <v>316</v>
      </c>
    </row>
    <row r="16893">
      <c r="A16893" s="17"/>
      <c r="H16893" s="18"/>
      <c r="K16893" s="18" t="s">
        <v>316</v>
      </c>
    </row>
    <row r="16894">
      <c r="A16894" s="17"/>
      <c r="H16894" s="18"/>
      <c r="K16894" s="18" t="s">
        <v>316</v>
      </c>
    </row>
    <row r="16895">
      <c r="A16895" s="17"/>
      <c r="H16895" s="18"/>
      <c r="K16895" s="18" t="s">
        <v>316</v>
      </c>
    </row>
    <row r="16896">
      <c r="A16896" s="17"/>
      <c r="H16896" s="18"/>
      <c r="K16896" s="18" t="s">
        <v>316</v>
      </c>
    </row>
    <row r="16897">
      <c r="A16897" s="17"/>
      <c r="H16897" s="18"/>
      <c r="K16897" s="18" t="s">
        <v>316</v>
      </c>
    </row>
    <row r="16898">
      <c r="A16898" s="17"/>
      <c r="H16898" s="18"/>
      <c r="K16898" s="18" t="s">
        <v>316</v>
      </c>
    </row>
    <row r="16899">
      <c r="A16899" s="17"/>
      <c r="H16899" s="18"/>
      <c r="K16899" s="18" t="s">
        <v>316</v>
      </c>
    </row>
    <row r="16900">
      <c r="A16900" s="17"/>
      <c r="H16900" s="18"/>
      <c r="K16900" s="18" t="s">
        <v>316</v>
      </c>
    </row>
    <row r="16901">
      <c r="A16901" s="17"/>
      <c r="H16901" s="18"/>
      <c r="K16901" s="18" t="s">
        <v>316</v>
      </c>
    </row>
    <row r="16902">
      <c r="A16902" s="17"/>
      <c r="H16902" s="18"/>
      <c r="K16902" s="18" t="s">
        <v>316</v>
      </c>
    </row>
    <row r="16903">
      <c r="A16903" s="17"/>
      <c r="H16903" s="18"/>
      <c r="K16903" s="18" t="s">
        <v>316</v>
      </c>
    </row>
    <row r="16904">
      <c r="A16904" s="17"/>
      <c r="H16904" s="18"/>
      <c r="K16904" s="18" t="s">
        <v>316</v>
      </c>
    </row>
    <row r="16905">
      <c r="A16905" s="17"/>
      <c r="H16905" s="18"/>
      <c r="K16905" s="18" t="s">
        <v>316</v>
      </c>
    </row>
    <row r="16906">
      <c r="A16906" s="17"/>
      <c r="H16906" s="18"/>
      <c r="K16906" s="18" t="s">
        <v>316</v>
      </c>
    </row>
    <row r="16907">
      <c r="A16907" s="17"/>
      <c r="H16907" s="18"/>
      <c r="K16907" s="18" t="s">
        <v>316</v>
      </c>
    </row>
    <row r="16908">
      <c r="A16908" s="17"/>
      <c r="H16908" s="18"/>
      <c r="K16908" s="18" t="s">
        <v>316</v>
      </c>
    </row>
    <row r="16909">
      <c r="A16909" s="17"/>
      <c r="H16909" s="18"/>
      <c r="K16909" s="18" t="s">
        <v>316</v>
      </c>
    </row>
    <row r="16910">
      <c r="A16910" s="17"/>
      <c r="H16910" s="18"/>
      <c r="K16910" s="18" t="s">
        <v>316</v>
      </c>
    </row>
    <row r="16911">
      <c r="A16911" s="17"/>
      <c r="H16911" s="18"/>
      <c r="K16911" s="18" t="s">
        <v>316</v>
      </c>
    </row>
    <row r="16912">
      <c r="A16912" s="17"/>
      <c r="H16912" s="18"/>
      <c r="K16912" s="18" t="s">
        <v>316</v>
      </c>
    </row>
    <row r="16913">
      <c r="A16913" s="17"/>
      <c r="H16913" s="18"/>
      <c r="K16913" s="18" t="s">
        <v>316</v>
      </c>
    </row>
    <row r="16914">
      <c r="A16914" s="17"/>
      <c r="H16914" s="18"/>
      <c r="K16914" s="18" t="s">
        <v>316</v>
      </c>
    </row>
    <row r="16915">
      <c r="A16915" s="17"/>
      <c r="H16915" s="18"/>
      <c r="K16915" s="18" t="s">
        <v>316</v>
      </c>
    </row>
    <row r="16916">
      <c r="A16916" s="17"/>
      <c r="H16916" s="18"/>
      <c r="K16916" s="18" t="s">
        <v>316</v>
      </c>
    </row>
    <row r="16917">
      <c r="A16917" s="17"/>
      <c r="H16917" s="18"/>
      <c r="K16917" s="18" t="s">
        <v>316</v>
      </c>
    </row>
    <row r="16918">
      <c r="A16918" s="17"/>
      <c r="H16918" s="18"/>
      <c r="K16918" s="18" t="s">
        <v>316</v>
      </c>
    </row>
    <row r="16919">
      <c r="A16919" s="17"/>
      <c r="H16919" s="18"/>
      <c r="K16919" s="18" t="s">
        <v>316</v>
      </c>
    </row>
    <row r="16920">
      <c r="A16920" s="17"/>
      <c r="H16920" s="18"/>
      <c r="K16920" s="18" t="s">
        <v>316</v>
      </c>
    </row>
    <row r="16921">
      <c r="A16921" s="17"/>
      <c r="H16921" s="18"/>
      <c r="K16921" s="18" t="s">
        <v>316</v>
      </c>
    </row>
    <row r="16922">
      <c r="A16922" s="17"/>
      <c r="H16922" s="18"/>
      <c r="K16922" s="18" t="s">
        <v>316</v>
      </c>
    </row>
    <row r="16923">
      <c r="A16923" s="17"/>
      <c r="H16923" s="18"/>
      <c r="K16923" s="18" t="s">
        <v>316</v>
      </c>
    </row>
    <row r="16924">
      <c r="A16924" s="17"/>
      <c r="H16924" s="18"/>
      <c r="K16924" s="18" t="s">
        <v>316</v>
      </c>
    </row>
    <row r="16925">
      <c r="A16925" s="17"/>
      <c r="H16925" s="18"/>
      <c r="K16925" s="18" t="s">
        <v>316</v>
      </c>
    </row>
    <row r="16926">
      <c r="A16926" s="17"/>
      <c r="H16926" s="18"/>
      <c r="K16926" s="18" t="s">
        <v>316</v>
      </c>
    </row>
    <row r="16927">
      <c r="A16927" s="17"/>
      <c r="H16927" s="18"/>
      <c r="K16927" s="18" t="s">
        <v>316</v>
      </c>
    </row>
    <row r="16928">
      <c r="A16928" s="17"/>
      <c r="H16928" s="18"/>
      <c r="K16928" s="18" t="s">
        <v>316</v>
      </c>
    </row>
    <row r="16929">
      <c r="A16929" s="17"/>
      <c r="H16929" s="18"/>
      <c r="K16929" s="18" t="s">
        <v>316</v>
      </c>
    </row>
    <row r="16930">
      <c r="A16930" s="17"/>
      <c r="H16930" s="18"/>
      <c r="K16930" s="18" t="s">
        <v>316</v>
      </c>
    </row>
    <row r="16931">
      <c r="A16931" s="17"/>
      <c r="H16931" s="18"/>
      <c r="K16931" s="18" t="s">
        <v>316</v>
      </c>
    </row>
    <row r="16932">
      <c r="A16932" s="17"/>
      <c r="H16932" s="18"/>
      <c r="K16932" s="18" t="s">
        <v>316</v>
      </c>
    </row>
    <row r="16933">
      <c r="A16933" s="17"/>
      <c r="H16933" s="18"/>
      <c r="K16933" s="18" t="s">
        <v>316</v>
      </c>
    </row>
    <row r="16934">
      <c r="A16934" s="17"/>
      <c r="H16934" s="18"/>
      <c r="K16934" s="18" t="s">
        <v>316</v>
      </c>
    </row>
    <row r="16935">
      <c r="A16935" s="17"/>
      <c r="H16935" s="18"/>
      <c r="K16935" s="18" t="s">
        <v>316</v>
      </c>
    </row>
    <row r="16936">
      <c r="A16936" s="17"/>
      <c r="H16936" s="18"/>
      <c r="K16936" s="18" t="s">
        <v>316</v>
      </c>
    </row>
    <row r="16937">
      <c r="A16937" s="17"/>
      <c r="H16937" s="18"/>
      <c r="K16937" s="18" t="s">
        <v>316</v>
      </c>
    </row>
    <row r="16938">
      <c r="A16938" s="17"/>
      <c r="H16938" s="18"/>
      <c r="K16938" s="18" t="s">
        <v>316</v>
      </c>
    </row>
    <row r="16939">
      <c r="A16939" s="17"/>
      <c r="H16939" s="18"/>
      <c r="K16939" s="18" t="s">
        <v>316</v>
      </c>
    </row>
    <row r="16940">
      <c r="A16940" s="17"/>
      <c r="H16940" s="18"/>
      <c r="K16940" s="18" t="s">
        <v>316</v>
      </c>
    </row>
    <row r="16941">
      <c r="A16941" s="17"/>
      <c r="H16941" s="18"/>
      <c r="K16941" s="18" t="s">
        <v>316</v>
      </c>
    </row>
    <row r="16942">
      <c r="A16942" s="17"/>
      <c r="H16942" s="18"/>
      <c r="K16942" s="18" t="s">
        <v>316</v>
      </c>
    </row>
    <row r="16943">
      <c r="A16943" s="17"/>
      <c r="H16943" s="18"/>
      <c r="K16943" s="18" t="s">
        <v>316</v>
      </c>
    </row>
    <row r="16944">
      <c r="A16944" s="17"/>
      <c r="H16944" s="18"/>
      <c r="K16944" s="18" t="s">
        <v>316</v>
      </c>
    </row>
    <row r="16945">
      <c r="A16945" s="17"/>
      <c r="H16945" s="18"/>
      <c r="K16945" s="18" t="s">
        <v>316</v>
      </c>
    </row>
    <row r="16946">
      <c r="A16946" s="17"/>
      <c r="H16946" s="18"/>
      <c r="K16946" s="18" t="s">
        <v>316</v>
      </c>
    </row>
    <row r="16947">
      <c r="A16947" s="17"/>
      <c r="H16947" s="18"/>
      <c r="K16947" s="18" t="s">
        <v>316</v>
      </c>
    </row>
    <row r="16948">
      <c r="A16948" s="17"/>
      <c r="H16948" s="18"/>
      <c r="K16948" s="18" t="s">
        <v>316</v>
      </c>
    </row>
    <row r="16949">
      <c r="A16949" s="17"/>
      <c r="H16949" s="18"/>
      <c r="K16949" s="18" t="s">
        <v>316</v>
      </c>
    </row>
    <row r="16950">
      <c r="A16950" s="17"/>
      <c r="H16950" s="18"/>
      <c r="K16950" s="18" t="s">
        <v>316</v>
      </c>
    </row>
    <row r="16951">
      <c r="A16951" s="17"/>
      <c r="H16951" s="18"/>
      <c r="K16951" s="18" t="s">
        <v>316</v>
      </c>
    </row>
    <row r="16952">
      <c r="A16952" s="17"/>
      <c r="H16952" s="18"/>
      <c r="K16952" s="18" t="s">
        <v>316</v>
      </c>
    </row>
    <row r="16953">
      <c r="A16953" s="17"/>
      <c r="H16953" s="18"/>
      <c r="K16953" s="18" t="s">
        <v>316</v>
      </c>
    </row>
    <row r="16954">
      <c r="A16954" s="17"/>
      <c r="H16954" s="18"/>
      <c r="K16954" s="18" t="s">
        <v>316</v>
      </c>
    </row>
    <row r="16955">
      <c r="A16955" s="17"/>
      <c r="H16955" s="18"/>
      <c r="K16955" s="18" t="s">
        <v>316</v>
      </c>
    </row>
    <row r="16956">
      <c r="A16956" s="17"/>
      <c r="H16956" s="18"/>
      <c r="K16956" s="18" t="s">
        <v>316</v>
      </c>
    </row>
    <row r="16957">
      <c r="A16957" s="17"/>
      <c r="H16957" s="18"/>
      <c r="K16957" s="18" t="s">
        <v>316</v>
      </c>
    </row>
    <row r="16958">
      <c r="A16958" s="17"/>
      <c r="H16958" s="18"/>
      <c r="K16958" s="18" t="s">
        <v>316</v>
      </c>
    </row>
    <row r="16959">
      <c r="A16959" s="17"/>
      <c r="H16959" s="18"/>
      <c r="K16959" s="18" t="s">
        <v>316</v>
      </c>
    </row>
    <row r="16960">
      <c r="A16960" s="17"/>
      <c r="H16960" s="18"/>
      <c r="K16960" s="18" t="s">
        <v>316</v>
      </c>
    </row>
    <row r="16961">
      <c r="A16961" s="17"/>
      <c r="H16961" s="18"/>
      <c r="K16961" s="18" t="s">
        <v>316</v>
      </c>
    </row>
    <row r="16962">
      <c r="A16962" s="17"/>
      <c r="H16962" s="18"/>
      <c r="K16962" s="18" t="s">
        <v>316</v>
      </c>
    </row>
    <row r="16963">
      <c r="A16963" s="17"/>
      <c r="H16963" s="18"/>
      <c r="K16963" s="18" t="s">
        <v>316</v>
      </c>
    </row>
    <row r="16964">
      <c r="A16964" s="17"/>
      <c r="H16964" s="18"/>
      <c r="K16964" s="18" t="s">
        <v>316</v>
      </c>
    </row>
    <row r="16965">
      <c r="A16965" s="17"/>
      <c r="H16965" s="18"/>
      <c r="K16965" s="18" t="s">
        <v>316</v>
      </c>
    </row>
    <row r="16966">
      <c r="A16966" s="17"/>
      <c r="H16966" s="18"/>
      <c r="K16966" s="18" t="s">
        <v>316</v>
      </c>
    </row>
    <row r="16967">
      <c r="A16967" s="17"/>
      <c r="H16967" s="18"/>
      <c r="K16967" s="18" t="s">
        <v>316</v>
      </c>
    </row>
    <row r="16968">
      <c r="A16968" s="17"/>
      <c r="H16968" s="18"/>
      <c r="K16968" s="18" t="s">
        <v>316</v>
      </c>
    </row>
    <row r="16969">
      <c r="A16969" s="17"/>
      <c r="H16969" s="18"/>
      <c r="K16969" s="18" t="s">
        <v>316</v>
      </c>
    </row>
    <row r="16970">
      <c r="A16970" s="17"/>
      <c r="H16970" s="18"/>
      <c r="K16970" s="18" t="s">
        <v>316</v>
      </c>
    </row>
    <row r="16971">
      <c r="A16971" s="17"/>
      <c r="H16971" s="18"/>
      <c r="K16971" s="18" t="s">
        <v>316</v>
      </c>
    </row>
    <row r="16972">
      <c r="A16972" s="17"/>
      <c r="H16972" s="18"/>
      <c r="K16972" s="18" t="s">
        <v>316</v>
      </c>
    </row>
    <row r="16973">
      <c r="A16973" s="17"/>
      <c r="H16973" s="18"/>
      <c r="K16973" s="18" t="s">
        <v>316</v>
      </c>
    </row>
    <row r="16974">
      <c r="A16974" s="17"/>
      <c r="H16974" s="18"/>
      <c r="K16974" s="18" t="s">
        <v>316</v>
      </c>
    </row>
    <row r="16975">
      <c r="A16975" s="17"/>
      <c r="H16975" s="18"/>
      <c r="K16975" s="18" t="s">
        <v>316</v>
      </c>
    </row>
    <row r="16976">
      <c r="A16976" s="17"/>
      <c r="H16976" s="18"/>
      <c r="K16976" s="18" t="s">
        <v>316</v>
      </c>
    </row>
    <row r="16977">
      <c r="A16977" s="17"/>
      <c r="H16977" s="18"/>
      <c r="K16977" s="18" t="s">
        <v>316</v>
      </c>
    </row>
    <row r="16978">
      <c r="A16978" s="17"/>
      <c r="H16978" s="18"/>
      <c r="K16978" s="18" t="s">
        <v>316</v>
      </c>
    </row>
    <row r="16979">
      <c r="A16979" s="17"/>
      <c r="H16979" s="18"/>
      <c r="K16979" s="18" t="s">
        <v>316</v>
      </c>
    </row>
    <row r="16980">
      <c r="A16980" s="17"/>
      <c r="H16980" s="18"/>
      <c r="K16980" s="18" t="s">
        <v>316</v>
      </c>
    </row>
    <row r="16981">
      <c r="A16981" s="17"/>
      <c r="H16981" s="18"/>
      <c r="K16981" s="18" t="s">
        <v>316</v>
      </c>
    </row>
    <row r="16982">
      <c r="A16982" s="17"/>
      <c r="H16982" s="18"/>
      <c r="K16982" s="18" t="s">
        <v>316</v>
      </c>
    </row>
    <row r="16983">
      <c r="A16983" s="17"/>
      <c r="H16983" s="18"/>
      <c r="K16983" s="18" t="s">
        <v>316</v>
      </c>
    </row>
    <row r="16984">
      <c r="A16984" s="17"/>
      <c r="H16984" s="18"/>
      <c r="K16984" s="18" t="s">
        <v>316</v>
      </c>
    </row>
    <row r="16985">
      <c r="A16985" s="17"/>
      <c r="H16985" s="18"/>
      <c r="K16985" s="18" t="s">
        <v>316</v>
      </c>
    </row>
    <row r="16986">
      <c r="A16986" s="17"/>
      <c r="H16986" s="18"/>
      <c r="K16986" s="18" t="s">
        <v>316</v>
      </c>
    </row>
    <row r="16987">
      <c r="A16987" s="17"/>
      <c r="H16987" s="18"/>
      <c r="K16987" s="18" t="s">
        <v>316</v>
      </c>
    </row>
    <row r="16988">
      <c r="A16988" s="17"/>
      <c r="H16988" s="18"/>
      <c r="K16988" s="18" t="s">
        <v>316</v>
      </c>
    </row>
    <row r="16989">
      <c r="A16989" s="17"/>
      <c r="H16989" s="18"/>
      <c r="K16989" s="18" t="s">
        <v>316</v>
      </c>
    </row>
    <row r="16990">
      <c r="A16990" s="17"/>
      <c r="H16990" s="18"/>
      <c r="K16990" s="18" t="s">
        <v>316</v>
      </c>
    </row>
    <row r="16991">
      <c r="A16991" s="17"/>
      <c r="H16991" s="18"/>
      <c r="K16991" s="18" t="s">
        <v>316</v>
      </c>
    </row>
    <row r="16992">
      <c r="A16992" s="17"/>
      <c r="H16992" s="18"/>
      <c r="K16992" s="18" t="s">
        <v>316</v>
      </c>
    </row>
    <row r="16993">
      <c r="A16993" s="17"/>
      <c r="H16993" s="18"/>
      <c r="K16993" s="18" t="s">
        <v>316</v>
      </c>
    </row>
    <row r="16994">
      <c r="A16994" s="17"/>
      <c r="H16994" s="18"/>
      <c r="K16994" s="18" t="s">
        <v>316</v>
      </c>
    </row>
    <row r="16995">
      <c r="A16995" s="17"/>
      <c r="H16995" s="18"/>
      <c r="K16995" s="18" t="s">
        <v>316</v>
      </c>
    </row>
    <row r="16996">
      <c r="A16996" s="17"/>
      <c r="H16996" s="18"/>
      <c r="K16996" s="18" t="s">
        <v>316</v>
      </c>
    </row>
    <row r="16997">
      <c r="A16997" s="17"/>
      <c r="H16997" s="18"/>
      <c r="K16997" s="18" t="s">
        <v>316</v>
      </c>
    </row>
    <row r="16998">
      <c r="A16998" s="17"/>
      <c r="H16998" s="18"/>
      <c r="K16998" s="18" t="s">
        <v>316</v>
      </c>
    </row>
    <row r="16999">
      <c r="A16999" s="17"/>
      <c r="H16999" s="18"/>
      <c r="K16999" s="18" t="s">
        <v>316</v>
      </c>
    </row>
    <row r="17000">
      <c r="A17000" s="17"/>
      <c r="H17000" s="18"/>
      <c r="K17000" s="18" t="s">
        <v>316</v>
      </c>
    </row>
    <row r="17001">
      <c r="A17001" s="17"/>
      <c r="H17001" s="18"/>
      <c r="K17001" s="18" t="s">
        <v>316</v>
      </c>
    </row>
    <row r="17002">
      <c r="A17002" s="17"/>
      <c r="H17002" s="18"/>
      <c r="K17002" s="18" t="s">
        <v>316</v>
      </c>
    </row>
    <row r="17003">
      <c r="A17003" s="17"/>
      <c r="H17003" s="18"/>
      <c r="K17003" s="18" t="s">
        <v>316</v>
      </c>
    </row>
    <row r="17004">
      <c r="A17004" s="17"/>
      <c r="H17004" s="18"/>
      <c r="K17004" s="18" t="s">
        <v>316</v>
      </c>
    </row>
    <row r="17005">
      <c r="A17005" s="17"/>
      <c r="H17005" s="18"/>
      <c r="K17005" s="18" t="s">
        <v>316</v>
      </c>
    </row>
    <row r="17006">
      <c r="A17006" s="17"/>
      <c r="H17006" s="18"/>
      <c r="K17006" s="18" t="s">
        <v>316</v>
      </c>
    </row>
    <row r="17007">
      <c r="A17007" s="17"/>
      <c r="H17007" s="18"/>
      <c r="K17007" s="18" t="s">
        <v>316</v>
      </c>
    </row>
    <row r="17008">
      <c r="A17008" s="17"/>
      <c r="H17008" s="18"/>
      <c r="K17008" s="18" t="s">
        <v>316</v>
      </c>
    </row>
    <row r="17009">
      <c r="A17009" s="17"/>
      <c r="H17009" s="18"/>
      <c r="K17009" s="18" t="s">
        <v>316</v>
      </c>
    </row>
    <row r="17010">
      <c r="A17010" s="17"/>
      <c r="H17010" s="18"/>
      <c r="K17010" s="18" t="s">
        <v>316</v>
      </c>
    </row>
    <row r="17011">
      <c r="A17011" s="17"/>
      <c r="H17011" s="18"/>
      <c r="K17011" s="18" t="s">
        <v>316</v>
      </c>
    </row>
    <row r="17012">
      <c r="A17012" s="17"/>
      <c r="H17012" s="18"/>
      <c r="K17012" s="18" t="s">
        <v>316</v>
      </c>
    </row>
    <row r="17013">
      <c r="A17013" s="17"/>
      <c r="H17013" s="18"/>
      <c r="K17013" s="18" t="s">
        <v>316</v>
      </c>
    </row>
    <row r="17014">
      <c r="A17014" s="17"/>
      <c r="H17014" s="18"/>
      <c r="K17014" s="18" t="s">
        <v>316</v>
      </c>
    </row>
    <row r="17015">
      <c r="A17015" s="17"/>
      <c r="H17015" s="18"/>
      <c r="K17015" s="18" t="s">
        <v>316</v>
      </c>
    </row>
    <row r="17016">
      <c r="A17016" s="17"/>
      <c r="H17016" s="18"/>
      <c r="K17016" s="18" t="s">
        <v>316</v>
      </c>
    </row>
    <row r="17017">
      <c r="A17017" s="17"/>
      <c r="H17017" s="18"/>
      <c r="K17017" s="18" t="s">
        <v>316</v>
      </c>
    </row>
    <row r="17018">
      <c r="A17018" s="17"/>
      <c r="H17018" s="18"/>
      <c r="K17018" s="18" t="s">
        <v>316</v>
      </c>
    </row>
    <row r="17019">
      <c r="A17019" s="17"/>
      <c r="H17019" s="18"/>
      <c r="K17019" s="18" t="s">
        <v>316</v>
      </c>
    </row>
    <row r="17020">
      <c r="A17020" s="17"/>
      <c r="H17020" s="18"/>
      <c r="K17020" s="18" t="s">
        <v>316</v>
      </c>
    </row>
    <row r="17021">
      <c r="A17021" s="17"/>
      <c r="H17021" s="18"/>
      <c r="K17021" s="18" t="s">
        <v>316</v>
      </c>
    </row>
    <row r="17022">
      <c r="A17022" s="17"/>
      <c r="H17022" s="18"/>
      <c r="K17022" s="18" t="s">
        <v>316</v>
      </c>
    </row>
    <row r="17023">
      <c r="A17023" s="17"/>
      <c r="H17023" s="18"/>
      <c r="K17023" s="18" t="s">
        <v>316</v>
      </c>
    </row>
    <row r="17024">
      <c r="A17024" s="17"/>
      <c r="H17024" s="18"/>
      <c r="K17024" s="18" t="s">
        <v>316</v>
      </c>
    </row>
    <row r="17025">
      <c r="A17025" s="17"/>
      <c r="H17025" s="18"/>
      <c r="K17025" s="18" t="s">
        <v>316</v>
      </c>
    </row>
    <row r="17026">
      <c r="A17026" s="17"/>
      <c r="H17026" s="18"/>
      <c r="K17026" s="18" t="s">
        <v>316</v>
      </c>
    </row>
    <row r="17027">
      <c r="A17027" s="17"/>
      <c r="H17027" s="18"/>
      <c r="K17027" s="18" t="s">
        <v>316</v>
      </c>
    </row>
    <row r="17028">
      <c r="A17028" s="17"/>
      <c r="H17028" s="18"/>
      <c r="K17028" s="18" t="s">
        <v>316</v>
      </c>
    </row>
    <row r="17029">
      <c r="A17029" s="17"/>
      <c r="H17029" s="18"/>
      <c r="K17029" s="18" t="s">
        <v>316</v>
      </c>
    </row>
    <row r="17030">
      <c r="A17030" s="17"/>
      <c r="H17030" s="18"/>
      <c r="K17030" s="18" t="s">
        <v>316</v>
      </c>
    </row>
    <row r="17031">
      <c r="A17031" s="17"/>
      <c r="H17031" s="18"/>
      <c r="K17031" s="18" t="s">
        <v>316</v>
      </c>
    </row>
    <row r="17032">
      <c r="A17032" s="17"/>
      <c r="H17032" s="18"/>
      <c r="K17032" s="18" t="s">
        <v>316</v>
      </c>
    </row>
    <row r="17033">
      <c r="A17033" s="17"/>
      <c r="H17033" s="18"/>
      <c r="K17033" s="18" t="s">
        <v>316</v>
      </c>
    </row>
    <row r="17034">
      <c r="A17034" s="17"/>
      <c r="H17034" s="18"/>
      <c r="K17034" s="18" t="s">
        <v>316</v>
      </c>
    </row>
    <row r="17035">
      <c r="A17035" s="17"/>
      <c r="H17035" s="18"/>
      <c r="K17035" s="18" t="s">
        <v>316</v>
      </c>
    </row>
    <row r="17036">
      <c r="A17036" s="17"/>
      <c r="H17036" s="18"/>
      <c r="K17036" s="18" t="s">
        <v>316</v>
      </c>
    </row>
    <row r="17037">
      <c r="A17037" s="17"/>
      <c r="H17037" s="18"/>
      <c r="K17037" s="18" t="s">
        <v>316</v>
      </c>
    </row>
    <row r="17038">
      <c r="A17038" s="17"/>
      <c r="H17038" s="18"/>
      <c r="K17038" s="18" t="s">
        <v>316</v>
      </c>
    </row>
    <row r="17039">
      <c r="A17039" s="17"/>
      <c r="H17039" s="18"/>
      <c r="K17039" s="18" t="s">
        <v>316</v>
      </c>
    </row>
    <row r="17040">
      <c r="A17040" s="17"/>
      <c r="H17040" s="18"/>
      <c r="K17040" s="18" t="s">
        <v>316</v>
      </c>
    </row>
    <row r="17041">
      <c r="A17041" s="17"/>
      <c r="H17041" s="18"/>
      <c r="K17041" s="18" t="s">
        <v>316</v>
      </c>
    </row>
    <row r="17042">
      <c r="A17042" s="17"/>
      <c r="H17042" s="18"/>
      <c r="K17042" s="18" t="s">
        <v>316</v>
      </c>
    </row>
    <row r="17043">
      <c r="A17043" s="17"/>
      <c r="H17043" s="18"/>
      <c r="K17043" s="18" t="s">
        <v>316</v>
      </c>
    </row>
    <row r="17044">
      <c r="A17044" s="17"/>
      <c r="H17044" s="18"/>
      <c r="K17044" s="18" t="s">
        <v>316</v>
      </c>
    </row>
    <row r="17045">
      <c r="A17045" s="17"/>
      <c r="H17045" s="18"/>
      <c r="K17045" s="18" t="s">
        <v>316</v>
      </c>
    </row>
    <row r="17046">
      <c r="A17046" s="17"/>
      <c r="H17046" s="18"/>
      <c r="K17046" s="18" t="s">
        <v>316</v>
      </c>
    </row>
    <row r="17047">
      <c r="A17047" s="17"/>
      <c r="H17047" s="18"/>
      <c r="K17047" s="18" t="s">
        <v>316</v>
      </c>
    </row>
    <row r="17048">
      <c r="A17048" s="17"/>
      <c r="H17048" s="18"/>
      <c r="K17048" s="18" t="s">
        <v>316</v>
      </c>
    </row>
    <row r="17049">
      <c r="A17049" s="17"/>
      <c r="H17049" s="18"/>
      <c r="K17049" s="18" t="s">
        <v>316</v>
      </c>
    </row>
    <row r="17050">
      <c r="A17050" s="17"/>
      <c r="H17050" s="18"/>
      <c r="K17050" s="18" t="s">
        <v>316</v>
      </c>
    </row>
    <row r="17051">
      <c r="A17051" s="17"/>
      <c r="H17051" s="18"/>
      <c r="K17051" s="18" t="s">
        <v>316</v>
      </c>
    </row>
    <row r="17052">
      <c r="A17052" s="17"/>
      <c r="H17052" s="18"/>
      <c r="K17052" s="18" t="s">
        <v>316</v>
      </c>
    </row>
    <row r="17053">
      <c r="A17053" s="17"/>
      <c r="H17053" s="18"/>
      <c r="K17053" s="18" t="s">
        <v>316</v>
      </c>
    </row>
    <row r="17054">
      <c r="A17054" s="17"/>
      <c r="H17054" s="18"/>
      <c r="K17054" s="18" t="s">
        <v>316</v>
      </c>
    </row>
    <row r="17055">
      <c r="A17055" s="17"/>
      <c r="H17055" s="18"/>
      <c r="K17055" s="18" t="s">
        <v>316</v>
      </c>
    </row>
    <row r="17056">
      <c r="A17056" s="17"/>
      <c r="H17056" s="18"/>
      <c r="K17056" s="18" t="s">
        <v>316</v>
      </c>
    </row>
    <row r="17057">
      <c r="A17057" s="17"/>
      <c r="H17057" s="18"/>
      <c r="K17057" s="18" t="s">
        <v>316</v>
      </c>
    </row>
    <row r="17058">
      <c r="A17058" s="17"/>
      <c r="H17058" s="18"/>
      <c r="K17058" s="18" t="s">
        <v>316</v>
      </c>
    </row>
    <row r="17059">
      <c r="A17059" s="17"/>
      <c r="H17059" s="18"/>
      <c r="K17059" s="18" t="s">
        <v>316</v>
      </c>
    </row>
    <row r="17060">
      <c r="A17060" s="17"/>
      <c r="H17060" s="18"/>
      <c r="K17060" s="18" t="s">
        <v>316</v>
      </c>
    </row>
    <row r="17061">
      <c r="A17061" s="17"/>
      <c r="H17061" s="18"/>
      <c r="K17061" s="18" t="s">
        <v>316</v>
      </c>
    </row>
    <row r="17062">
      <c r="A17062" s="17"/>
      <c r="H17062" s="18"/>
      <c r="K17062" s="18" t="s">
        <v>316</v>
      </c>
    </row>
    <row r="17063">
      <c r="A17063" s="17"/>
      <c r="H17063" s="18"/>
      <c r="K17063" s="18" t="s">
        <v>316</v>
      </c>
    </row>
    <row r="17064">
      <c r="A17064" s="17"/>
      <c r="H17064" s="18"/>
      <c r="K17064" s="18" t="s">
        <v>316</v>
      </c>
    </row>
    <row r="17065">
      <c r="A17065" s="17"/>
      <c r="H17065" s="18"/>
      <c r="K17065" s="18" t="s">
        <v>316</v>
      </c>
    </row>
    <row r="17066">
      <c r="A17066" s="17"/>
      <c r="H17066" s="18"/>
      <c r="K17066" s="18" t="s">
        <v>316</v>
      </c>
    </row>
    <row r="17067">
      <c r="A17067" s="17"/>
      <c r="H17067" s="18"/>
      <c r="K17067" s="18" t="s">
        <v>316</v>
      </c>
    </row>
    <row r="17068">
      <c r="A17068" s="17"/>
      <c r="H17068" s="18"/>
      <c r="K17068" s="18" t="s">
        <v>316</v>
      </c>
    </row>
    <row r="17069">
      <c r="A17069" s="17"/>
      <c r="H17069" s="18"/>
      <c r="K17069" s="18" t="s">
        <v>316</v>
      </c>
    </row>
    <row r="17070">
      <c r="A17070" s="17"/>
      <c r="H17070" s="18"/>
      <c r="K17070" s="18" t="s">
        <v>316</v>
      </c>
    </row>
    <row r="17071">
      <c r="A17071" s="17"/>
      <c r="H17071" s="18"/>
      <c r="K17071" s="18" t="s">
        <v>316</v>
      </c>
    </row>
    <row r="17072">
      <c r="A17072" s="17"/>
      <c r="H17072" s="18"/>
      <c r="K17072" s="18" t="s">
        <v>316</v>
      </c>
    </row>
    <row r="17073">
      <c r="A17073" s="17"/>
      <c r="H17073" s="18"/>
      <c r="K17073" s="18" t="s">
        <v>316</v>
      </c>
    </row>
    <row r="17074">
      <c r="A17074" s="17"/>
      <c r="H17074" s="18"/>
      <c r="K17074" s="18" t="s">
        <v>316</v>
      </c>
    </row>
    <row r="17075">
      <c r="A17075" s="17"/>
      <c r="H17075" s="18"/>
      <c r="K17075" s="18" t="s">
        <v>316</v>
      </c>
    </row>
    <row r="17076">
      <c r="A17076" s="17"/>
      <c r="H17076" s="18"/>
      <c r="K17076" s="18" t="s">
        <v>316</v>
      </c>
    </row>
    <row r="17077">
      <c r="A17077" s="17"/>
      <c r="H17077" s="18"/>
      <c r="K17077" s="18" t="s">
        <v>316</v>
      </c>
    </row>
    <row r="17078">
      <c r="A17078" s="17"/>
      <c r="H17078" s="18"/>
      <c r="K17078" s="18" t="s">
        <v>316</v>
      </c>
    </row>
    <row r="17079">
      <c r="A17079" s="17"/>
      <c r="H17079" s="18"/>
      <c r="K17079" s="18" t="s">
        <v>316</v>
      </c>
    </row>
    <row r="17080">
      <c r="A17080" s="17"/>
      <c r="H17080" s="18"/>
      <c r="K17080" s="18" t="s">
        <v>316</v>
      </c>
    </row>
    <row r="17081">
      <c r="A17081" s="17"/>
      <c r="H17081" s="18"/>
      <c r="K17081" s="18" t="s">
        <v>316</v>
      </c>
    </row>
    <row r="17082">
      <c r="A17082" s="17"/>
      <c r="H17082" s="18"/>
      <c r="K17082" s="18" t="s">
        <v>316</v>
      </c>
    </row>
    <row r="17083">
      <c r="A17083" s="17"/>
      <c r="H17083" s="18"/>
      <c r="K17083" s="18" t="s">
        <v>316</v>
      </c>
    </row>
    <row r="17084">
      <c r="A17084" s="17"/>
      <c r="H17084" s="18"/>
      <c r="K17084" s="18" t="s">
        <v>316</v>
      </c>
    </row>
    <row r="17085">
      <c r="A17085" s="17"/>
      <c r="H17085" s="18"/>
      <c r="K17085" s="18" t="s">
        <v>316</v>
      </c>
    </row>
    <row r="17086">
      <c r="A17086" s="17"/>
      <c r="H17086" s="18"/>
      <c r="K17086" s="18" t="s">
        <v>316</v>
      </c>
    </row>
    <row r="17087">
      <c r="A17087" s="17"/>
      <c r="H17087" s="18"/>
      <c r="K17087" s="18" t="s">
        <v>316</v>
      </c>
    </row>
    <row r="17088">
      <c r="A17088" s="17"/>
      <c r="H17088" s="18"/>
      <c r="K17088" s="18" t="s">
        <v>316</v>
      </c>
    </row>
    <row r="17089">
      <c r="A17089" s="17"/>
      <c r="H17089" s="18"/>
      <c r="K17089" s="18" t="s">
        <v>316</v>
      </c>
    </row>
    <row r="17090">
      <c r="A17090" s="17"/>
      <c r="H17090" s="18"/>
      <c r="K17090" s="18" t="s">
        <v>316</v>
      </c>
    </row>
    <row r="17091">
      <c r="A17091" s="17"/>
      <c r="H17091" s="18"/>
      <c r="K17091" s="18" t="s">
        <v>316</v>
      </c>
    </row>
    <row r="17092">
      <c r="A17092" s="17"/>
      <c r="H17092" s="18"/>
      <c r="K17092" s="18" t="s">
        <v>316</v>
      </c>
    </row>
    <row r="17093">
      <c r="A17093" s="17"/>
      <c r="H17093" s="18"/>
      <c r="K17093" s="18" t="s">
        <v>316</v>
      </c>
    </row>
    <row r="17094">
      <c r="A17094" s="17"/>
      <c r="H17094" s="18"/>
      <c r="K17094" s="18" t="s">
        <v>316</v>
      </c>
    </row>
    <row r="17095">
      <c r="A17095" s="17"/>
      <c r="H17095" s="18"/>
      <c r="K17095" s="18" t="s">
        <v>316</v>
      </c>
    </row>
    <row r="17096">
      <c r="A17096" s="17"/>
      <c r="H17096" s="18"/>
      <c r="K17096" s="18" t="s">
        <v>316</v>
      </c>
    </row>
    <row r="17097">
      <c r="A17097" s="17"/>
      <c r="H17097" s="18"/>
      <c r="K17097" s="18" t="s">
        <v>316</v>
      </c>
    </row>
    <row r="17098">
      <c r="A17098" s="17"/>
      <c r="H17098" s="18"/>
      <c r="K17098" s="18" t="s">
        <v>316</v>
      </c>
    </row>
    <row r="17099">
      <c r="A17099" s="17"/>
      <c r="H17099" s="18"/>
      <c r="K17099" s="18" t="s">
        <v>316</v>
      </c>
    </row>
    <row r="17100">
      <c r="A17100" s="17"/>
      <c r="H17100" s="18"/>
      <c r="K17100" s="18" t="s">
        <v>316</v>
      </c>
    </row>
    <row r="17101">
      <c r="A17101" s="17"/>
      <c r="H17101" s="18"/>
      <c r="K17101" s="18" t="s">
        <v>316</v>
      </c>
    </row>
    <row r="17102">
      <c r="A17102" s="17"/>
      <c r="H17102" s="18"/>
      <c r="K17102" s="18" t="s">
        <v>316</v>
      </c>
    </row>
    <row r="17103">
      <c r="A17103" s="17"/>
      <c r="H17103" s="18"/>
      <c r="K17103" s="18" t="s">
        <v>316</v>
      </c>
    </row>
    <row r="17104">
      <c r="A17104" s="17"/>
      <c r="H17104" s="18"/>
      <c r="K17104" s="18" t="s">
        <v>316</v>
      </c>
    </row>
    <row r="17105">
      <c r="A17105" s="17"/>
      <c r="H17105" s="18"/>
      <c r="K17105" s="18" t="s">
        <v>316</v>
      </c>
    </row>
    <row r="17106">
      <c r="A17106" s="17"/>
      <c r="H17106" s="18"/>
      <c r="K17106" s="18" t="s">
        <v>316</v>
      </c>
    </row>
    <row r="17107">
      <c r="A17107" s="17"/>
      <c r="H17107" s="18"/>
      <c r="K17107" s="18" t="s">
        <v>316</v>
      </c>
    </row>
    <row r="17108">
      <c r="A17108" s="17"/>
      <c r="H17108" s="18"/>
      <c r="K17108" s="18" t="s">
        <v>316</v>
      </c>
    </row>
    <row r="17109">
      <c r="A17109" s="17"/>
      <c r="H17109" s="18"/>
      <c r="K17109" s="18" t="s">
        <v>316</v>
      </c>
    </row>
    <row r="17110">
      <c r="A17110" s="17"/>
      <c r="H17110" s="18"/>
      <c r="K17110" s="18" t="s">
        <v>316</v>
      </c>
    </row>
    <row r="17111">
      <c r="A17111" s="17"/>
      <c r="H17111" s="18"/>
      <c r="K17111" s="18" t="s">
        <v>316</v>
      </c>
    </row>
    <row r="17112">
      <c r="A17112" s="17"/>
      <c r="H17112" s="18"/>
      <c r="K17112" s="18" t="s">
        <v>316</v>
      </c>
    </row>
    <row r="17113">
      <c r="A17113" s="17"/>
      <c r="H17113" s="18"/>
      <c r="K17113" s="18" t="s">
        <v>316</v>
      </c>
    </row>
    <row r="17114">
      <c r="A17114" s="17"/>
      <c r="H17114" s="18"/>
      <c r="K17114" s="18" t="s">
        <v>316</v>
      </c>
    </row>
    <row r="17115">
      <c r="A17115" s="17"/>
      <c r="H17115" s="18"/>
      <c r="K17115" s="18" t="s">
        <v>316</v>
      </c>
    </row>
    <row r="17116">
      <c r="A17116" s="17"/>
      <c r="H17116" s="18"/>
      <c r="K17116" s="18" t="s">
        <v>316</v>
      </c>
    </row>
    <row r="17117">
      <c r="A17117" s="17"/>
      <c r="H17117" s="18"/>
      <c r="K17117" s="18" t="s">
        <v>316</v>
      </c>
    </row>
    <row r="17118">
      <c r="A17118" s="17"/>
      <c r="H17118" s="18"/>
      <c r="K17118" s="18" t="s">
        <v>316</v>
      </c>
    </row>
    <row r="17119">
      <c r="A17119" s="17"/>
      <c r="H17119" s="18"/>
      <c r="K17119" s="18" t="s">
        <v>316</v>
      </c>
    </row>
    <row r="17120">
      <c r="A17120" s="17"/>
      <c r="H17120" s="18"/>
      <c r="K17120" s="18" t="s">
        <v>316</v>
      </c>
    </row>
    <row r="17121">
      <c r="A17121" s="17"/>
      <c r="H17121" s="18"/>
      <c r="K17121" s="18" t="s">
        <v>316</v>
      </c>
    </row>
    <row r="17122">
      <c r="A17122" s="17"/>
      <c r="H17122" s="18"/>
      <c r="K17122" s="18" t="s">
        <v>316</v>
      </c>
    </row>
    <row r="17123">
      <c r="A17123" s="17"/>
      <c r="H17123" s="18"/>
      <c r="K17123" s="18" t="s">
        <v>316</v>
      </c>
    </row>
    <row r="17124">
      <c r="A17124" s="17"/>
      <c r="H17124" s="18"/>
      <c r="K17124" s="18" t="s">
        <v>316</v>
      </c>
    </row>
    <row r="17125">
      <c r="A17125" s="17"/>
      <c r="H17125" s="18"/>
      <c r="K17125" s="18" t="s">
        <v>316</v>
      </c>
    </row>
    <row r="17126">
      <c r="A17126" s="17"/>
      <c r="H17126" s="18"/>
      <c r="K17126" s="18" t="s">
        <v>316</v>
      </c>
    </row>
    <row r="17127">
      <c r="A17127" s="17"/>
      <c r="H17127" s="18"/>
      <c r="K17127" s="18" t="s">
        <v>316</v>
      </c>
    </row>
    <row r="17128">
      <c r="A17128" s="17"/>
      <c r="H17128" s="18"/>
      <c r="K17128" s="18" t="s">
        <v>316</v>
      </c>
    </row>
    <row r="17129">
      <c r="A17129" s="17"/>
      <c r="H17129" s="18"/>
      <c r="K17129" s="18" t="s">
        <v>316</v>
      </c>
    </row>
    <row r="17130">
      <c r="A17130" s="17"/>
      <c r="H17130" s="18"/>
      <c r="K17130" s="18" t="s">
        <v>316</v>
      </c>
    </row>
    <row r="17131">
      <c r="A17131" s="17"/>
      <c r="H17131" s="18"/>
      <c r="K17131" s="18" t="s">
        <v>316</v>
      </c>
    </row>
    <row r="17132">
      <c r="A17132" s="17"/>
      <c r="H17132" s="18"/>
      <c r="K17132" s="18" t="s">
        <v>316</v>
      </c>
    </row>
    <row r="17133">
      <c r="A17133" s="17"/>
      <c r="H17133" s="18"/>
      <c r="K17133" s="18" t="s">
        <v>316</v>
      </c>
    </row>
    <row r="17134">
      <c r="A17134" s="17"/>
      <c r="H17134" s="18"/>
      <c r="K17134" s="18" t="s">
        <v>316</v>
      </c>
    </row>
    <row r="17135">
      <c r="A17135" s="17"/>
      <c r="H17135" s="18"/>
      <c r="K17135" s="18" t="s">
        <v>316</v>
      </c>
    </row>
    <row r="17136">
      <c r="A17136" s="17"/>
      <c r="H17136" s="18"/>
      <c r="K17136" s="18" t="s">
        <v>316</v>
      </c>
    </row>
    <row r="17137">
      <c r="A17137" s="17"/>
      <c r="H17137" s="18"/>
      <c r="K17137" s="18" t="s">
        <v>316</v>
      </c>
    </row>
    <row r="17138">
      <c r="A17138" s="17"/>
      <c r="H17138" s="18"/>
      <c r="K17138" s="18" t="s">
        <v>316</v>
      </c>
    </row>
    <row r="17139">
      <c r="A17139" s="17"/>
      <c r="H17139" s="18"/>
      <c r="K17139" s="18" t="s">
        <v>316</v>
      </c>
    </row>
    <row r="17140">
      <c r="A17140" s="17"/>
      <c r="H17140" s="18"/>
      <c r="K17140" s="18" t="s">
        <v>316</v>
      </c>
    </row>
    <row r="17141">
      <c r="A17141" s="17"/>
      <c r="H17141" s="18"/>
      <c r="K17141" s="18" t="s">
        <v>316</v>
      </c>
    </row>
    <row r="17142">
      <c r="A17142" s="17"/>
      <c r="H17142" s="18"/>
      <c r="K17142" s="18" t="s">
        <v>316</v>
      </c>
    </row>
    <row r="17143">
      <c r="A17143" s="17"/>
      <c r="H17143" s="18"/>
      <c r="K17143" s="18" t="s">
        <v>316</v>
      </c>
    </row>
    <row r="17144">
      <c r="A17144" s="17"/>
      <c r="H17144" s="18"/>
      <c r="K17144" s="18" t="s">
        <v>316</v>
      </c>
    </row>
    <row r="17145">
      <c r="A17145" s="17"/>
      <c r="H17145" s="18"/>
      <c r="K17145" s="18" t="s">
        <v>316</v>
      </c>
    </row>
    <row r="17146">
      <c r="A17146" s="17"/>
      <c r="H17146" s="18"/>
      <c r="K17146" s="18" t="s">
        <v>316</v>
      </c>
    </row>
    <row r="17147">
      <c r="A17147" s="17"/>
      <c r="H17147" s="18"/>
      <c r="K17147" s="18" t="s">
        <v>316</v>
      </c>
    </row>
    <row r="17148">
      <c r="A17148" s="17"/>
      <c r="H17148" s="18"/>
      <c r="K17148" s="18" t="s">
        <v>316</v>
      </c>
    </row>
    <row r="17149">
      <c r="A17149" s="17"/>
      <c r="H17149" s="18"/>
      <c r="K17149" s="18" t="s">
        <v>316</v>
      </c>
    </row>
    <row r="17150">
      <c r="A17150" s="17"/>
      <c r="H17150" s="18"/>
      <c r="K17150" s="18" t="s">
        <v>316</v>
      </c>
    </row>
    <row r="17151">
      <c r="A17151" s="17"/>
      <c r="H17151" s="18"/>
      <c r="K17151" s="18" t="s">
        <v>316</v>
      </c>
    </row>
    <row r="17152">
      <c r="A17152" s="17"/>
      <c r="H17152" s="18"/>
      <c r="K17152" s="18" t="s">
        <v>316</v>
      </c>
    </row>
    <row r="17153">
      <c r="A17153" s="17"/>
      <c r="H17153" s="18"/>
      <c r="K17153" s="18" t="s">
        <v>316</v>
      </c>
    </row>
    <row r="17154">
      <c r="A17154" s="17"/>
      <c r="H17154" s="18"/>
      <c r="K17154" s="18" t="s">
        <v>316</v>
      </c>
    </row>
    <row r="17155">
      <c r="A17155" s="17"/>
      <c r="H17155" s="18"/>
      <c r="K17155" s="18" t="s">
        <v>316</v>
      </c>
    </row>
    <row r="17156">
      <c r="A17156" s="17"/>
      <c r="H17156" s="18"/>
      <c r="K17156" s="18" t="s">
        <v>316</v>
      </c>
    </row>
    <row r="17157">
      <c r="A17157" s="17"/>
      <c r="H17157" s="18"/>
      <c r="K17157" s="18" t="s">
        <v>316</v>
      </c>
    </row>
    <row r="17158">
      <c r="A17158" s="17"/>
      <c r="H17158" s="18"/>
      <c r="K17158" s="18" t="s">
        <v>316</v>
      </c>
    </row>
    <row r="17159">
      <c r="A17159" s="17"/>
      <c r="H17159" s="18"/>
      <c r="K17159" s="18" t="s">
        <v>316</v>
      </c>
    </row>
    <row r="17160">
      <c r="A17160" s="17"/>
      <c r="H17160" s="18"/>
      <c r="K17160" s="18" t="s">
        <v>316</v>
      </c>
    </row>
    <row r="17161">
      <c r="A17161" s="17"/>
      <c r="H17161" s="18"/>
      <c r="K17161" s="18" t="s">
        <v>316</v>
      </c>
    </row>
    <row r="17162">
      <c r="A17162" s="17"/>
      <c r="H17162" s="18"/>
      <c r="K17162" s="18" t="s">
        <v>316</v>
      </c>
    </row>
    <row r="17163">
      <c r="A17163" s="17"/>
      <c r="H17163" s="18"/>
      <c r="K17163" s="18" t="s">
        <v>316</v>
      </c>
    </row>
    <row r="17164">
      <c r="A17164" s="17"/>
      <c r="H17164" s="18"/>
      <c r="K17164" s="18" t="s">
        <v>316</v>
      </c>
    </row>
    <row r="17165">
      <c r="A17165" s="17"/>
      <c r="H17165" s="18"/>
      <c r="K17165" s="18" t="s">
        <v>316</v>
      </c>
    </row>
    <row r="17166">
      <c r="A17166" s="17"/>
      <c r="H17166" s="18"/>
      <c r="K17166" s="18" t="s">
        <v>316</v>
      </c>
    </row>
    <row r="17167">
      <c r="A17167" s="17"/>
      <c r="H17167" s="18"/>
      <c r="K17167" s="18" t="s">
        <v>316</v>
      </c>
    </row>
    <row r="17168">
      <c r="A17168" s="17"/>
      <c r="H17168" s="18"/>
      <c r="K17168" s="18" t="s">
        <v>316</v>
      </c>
    </row>
    <row r="17169">
      <c r="A17169" s="17"/>
      <c r="H17169" s="18"/>
      <c r="K17169" s="18" t="s">
        <v>316</v>
      </c>
    </row>
    <row r="17170">
      <c r="A17170" s="17"/>
      <c r="H17170" s="18"/>
      <c r="K17170" s="18" t="s">
        <v>316</v>
      </c>
    </row>
    <row r="17171">
      <c r="A17171" s="17"/>
      <c r="H17171" s="18"/>
      <c r="K17171" s="18" t="s">
        <v>316</v>
      </c>
    </row>
    <row r="17172">
      <c r="A17172" s="17"/>
      <c r="H17172" s="18"/>
      <c r="K17172" s="18" t="s">
        <v>316</v>
      </c>
    </row>
    <row r="17173">
      <c r="A17173" s="17"/>
      <c r="H17173" s="18"/>
      <c r="K17173" s="18" t="s">
        <v>316</v>
      </c>
    </row>
    <row r="17174">
      <c r="A17174" s="17"/>
      <c r="H17174" s="18"/>
      <c r="K17174" s="18" t="s">
        <v>316</v>
      </c>
    </row>
    <row r="17175">
      <c r="A17175" s="17"/>
      <c r="H17175" s="18"/>
      <c r="K17175" s="18" t="s">
        <v>316</v>
      </c>
    </row>
    <row r="17176">
      <c r="A17176" s="17"/>
      <c r="H17176" s="18"/>
      <c r="K17176" s="18" t="s">
        <v>316</v>
      </c>
    </row>
    <row r="17177">
      <c r="A17177" s="17"/>
      <c r="H17177" s="18"/>
      <c r="K17177" s="18" t="s">
        <v>316</v>
      </c>
    </row>
    <row r="17178">
      <c r="A17178" s="17"/>
      <c r="H17178" s="18"/>
      <c r="K17178" s="18" t="s">
        <v>316</v>
      </c>
    </row>
    <row r="17179">
      <c r="A17179" s="17"/>
      <c r="H17179" s="18"/>
      <c r="K17179" s="18" t="s">
        <v>316</v>
      </c>
    </row>
    <row r="17180">
      <c r="A17180" s="17"/>
      <c r="H17180" s="18"/>
      <c r="K17180" s="18" t="s">
        <v>316</v>
      </c>
    </row>
    <row r="17181">
      <c r="A17181" s="17"/>
      <c r="H17181" s="18"/>
      <c r="K17181" s="18" t="s">
        <v>316</v>
      </c>
    </row>
    <row r="17182">
      <c r="A17182" s="17"/>
      <c r="H17182" s="18"/>
      <c r="K17182" s="18" t="s">
        <v>316</v>
      </c>
    </row>
    <row r="17183">
      <c r="A17183" s="17"/>
      <c r="H17183" s="18"/>
      <c r="K17183" s="18" t="s">
        <v>316</v>
      </c>
    </row>
    <row r="17184">
      <c r="A17184" s="17"/>
      <c r="H17184" s="18"/>
      <c r="K17184" s="18" t="s">
        <v>316</v>
      </c>
    </row>
    <row r="17185">
      <c r="A17185" s="17"/>
      <c r="H17185" s="18"/>
      <c r="K17185" s="18" t="s">
        <v>316</v>
      </c>
    </row>
    <row r="17186">
      <c r="A17186" s="17"/>
      <c r="H17186" s="18"/>
      <c r="K17186" s="18" t="s">
        <v>316</v>
      </c>
    </row>
    <row r="17187">
      <c r="A17187" s="17"/>
      <c r="H17187" s="18"/>
      <c r="K17187" s="18" t="s">
        <v>316</v>
      </c>
    </row>
    <row r="17188">
      <c r="A17188" s="17"/>
      <c r="H17188" s="18"/>
      <c r="K17188" s="18" t="s">
        <v>316</v>
      </c>
    </row>
    <row r="17189">
      <c r="A17189" s="17"/>
      <c r="H17189" s="18"/>
      <c r="K17189" s="18" t="s">
        <v>316</v>
      </c>
    </row>
    <row r="17190">
      <c r="A17190" s="17"/>
      <c r="H17190" s="18"/>
      <c r="K17190" s="18" t="s">
        <v>316</v>
      </c>
    </row>
    <row r="17191">
      <c r="A17191" s="17"/>
      <c r="H17191" s="18"/>
      <c r="K17191" s="18" t="s">
        <v>316</v>
      </c>
    </row>
    <row r="17192">
      <c r="A17192" s="17"/>
      <c r="H17192" s="18"/>
      <c r="K17192" s="18" t="s">
        <v>316</v>
      </c>
    </row>
    <row r="17193">
      <c r="A17193" s="17"/>
      <c r="H17193" s="18"/>
      <c r="K17193" s="18" t="s">
        <v>316</v>
      </c>
    </row>
    <row r="17194">
      <c r="A17194" s="17"/>
      <c r="H17194" s="18"/>
      <c r="K17194" s="18" t="s">
        <v>316</v>
      </c>
    </row>
    <row r="17195">
      <c r="A17195" s="17"/>
      <c r="H17195" s="18"/>
      <c r="K17195" s="18" t="s">
        <v>316</v>
      </c>
    </row>
    <row r="17196">
      <c r="A17196" s="17"/>
      <c r="H17196" s="18"/>
      <c r="K17196" s="18" t="s">
        <v>316</v>
      </c>
    </row>
    <row r="17197">
      <c r="A17197" s="17"/>
      <c r="H17197" s="18"/>
      <c r="K17197" s="18" t="s">
        <v>316</v>
      </c>
    </row>
    <row r="17198">
      <c r="A17198" s="17"/>
      <c r="H17198" s="18"/>
      <c r="K17198" s="18" t="s">
        <v>316</v>
      </c>
    </row>
    <row r="17199">
      <c r="A17199" s="17"/>
      <c r="H17199" s="18"/>
      <c r="K17199" s="18" t="s">
        <v>316</v>
      </c>
    </row>
    <row r="17200">
      <c r="A17200" s="17"/>
      <c r="H17200" s="18"/>
      <c r="K17200" s="18" t="s">
        <v>316</v>
      </c>
    </row>
    <row r="17201">
      <c r="A17201" s="17"/>
      <c r="H17201" s="18"/>
      <c r="K17201" s="18" t="s">
        <v>316</v>
      </c>
    </row>
    <row r="17202">
      <c r="A17202" s="17"/>
      <c r="H17202" s="18"/>
      <c r="K17202" s="18" t="s">
        <v>316</v>
      </c>
    </row>
    <row r="17203">
      <c r="A17203" s="17"/>
      <c r="H17203" s="18"/>
      <c r="K17203" s="18" t="s">
        <v>316</v>
      </c>
    </row>
    <row r="17204">
      <c r="A17204" s="17"/>
      <c r="H17204" s="18"/>
      <c r="K17204" s="18" t="s">
        <v>316</v>
      </c>
    </row>
    <row r="17205">
      <c r="A17205" s="17"/>
      <c r="H17205" s="18"/>
      <c r="K17205" s="18" t="s">
        <v>316</v>
      </c>
    </row>
    <row r="17206">
      <c r="A17206" s="17"/>
      <c r="H17206" s="18"/>
      <c r="K17206" s="18" t="s">
        <v>316</v>
      </c>
    </row>
    <row r="17207">
      <c r="A17207" s="17"/>
      <c r="H17207" s="18"/>
      <c r="K17207" s="18" t="s">
        <v>316</v>
      </c>
    </row>
    <row r="17208">
      <c r="A17208" s="17"/>
      <c r="H17208" s="18"/>
      <c r="K17208" s="18" t="s">
        <v>316</v>
      </c>
    </row>
    <row r="17209">
      <c r="A17209" s="17"/>
      <c r="H17209" s="18"/>
      <c r="K17209" s="18" t="s">
        <v>316</v>
      </c>
    </row>
    <row r="17210">
      <c r="A17210" s="17"/>
      <c r="H17210" s="18"/>
      <c r="K17210" s="18" t="s">
        <v>316</v>
      </c>
    </row>
    <row r="17211">
      <c r="A17211" s="17"/>
      <c r="H17211" s="18"/>
      <c r="K17211" s="18" t="s">
        <v>316</v>
      </c>
    </row>
    <row r="17212">
      <c r="A17212" s="17"/>
      <c r="H17212" s="18"/>
      <c r="K17212" s="18" t="s">
        <v>316</v>
      </c>
    </row>
    <row r="17213">
      <c r="A17213" s="17"/>
      <c r="H17213" s="18"/>
      <c r="K17213" s="18" t="s">
        <v>316</v>
      </c>
    </row>
    <row r="17214">
      <c r="A17214" s="17"/>
      <c r="H17214" s="18"/>
      <c r="K17214" s="18" t="s">
        <v>316</v>
      </c>
    </row>
    <row r="17215">
      <c r="A17215" s="17"/>
      <c r="H17215" s="18"/>
      <c r="K17215" s="18" t="s">
        <v>316</v>
      </c>
    </row>
    <row r="17216">
      <c r="A17216" s="17"/>
      <c r="H17216" s="18"/>
      <c r="K17216" s="18" t="s">
        <v>316</v>
      </c>
    </row>
    <row r="17217">
      <c r="A17217" s="17"/>
      <c r="H17217" s="18"/>
      <c r="K17217" s="18" t="s">
        <v>316</v>
      </c>
    </row>
    <row r="17218">
      <c r="A17218" s="17"/>
      <c r="H17218" s="18"/>
      <c r="K17218" s="18" t="s">
        <v>316</v>
      </c>
    </row>
    <row r="17219">
      <c r="A17219" s="17"/>
      <c r="H17219" s="18"/>
      <c r="K17219" s="18" t="s">
        <v>316</v>
      </c>
    </row>
    <row r="17220">
      <c r="A17220" s="17"/>
      <c r="H17220" s="18"/>
      <c r="K17220" s="18" t="s">
        <v>316</v>
      </c>
    </row>
    <row r="17221">
      <c r="A17221" s="17"/>
      <c r="H17221" s="18"/>
      <c r="K17221" s="18" t="s">
        <v>316</v>
      </c>
    </row>
    <row r="17222">
      <c r="A17222" s="17"/>
      <c r="H17222" s="18"/>
      <c r="K17222" s="18" t="s">
        <v>316</v>
      </c>
    </row>
    <row r="17223">
      <c r="A17223" s="17"/>
      <c r="H17223" s="18"/>
      <c r="K17223" s="18" t="s">
        <v>316</v>
      </c>
    </row>
    <row r="17224">
      <c r="A17224" s="17"/>
      <c r="H17224" s="18"/>
      <c r="K17224" s="18" t="s">
        <v>316</v>
      </c>
    </row>
    <row r="17225">
      <c r="A17225" s="17"/>
      <c r="H17225" s="18"/>
      <c r="K17225" s="18" t="s">
        <v>316</v>
      </c>
    </row>
    <row r="17226">
      <c r="A17226" s="17"/>
      <c r="H17226" s="18"/>
      <c r="K17226" s="18" t="s">
        <v>316</v>
      </c>
    </row>
    <row r="17227">
      <c r="A17227" s="17"/>
      <c r="H17227" s="18"/>
      <c r="K17227" s="18" t="s">
        <v>316</v>
      </c>
    </row>
    <row r="17228">
      <c r="A17228" s="17"/>
      <c r="H17228" s="18"/>
      <c r="K17228" s="18" t="s">
        <v>316</v>
      </c>
    </row>
    <row r="17229">
      <c r="A17229" s="17"/>
      <c r="H17229" s="18"/>
      <c r="K17229" s="18" t="s">
        <v>316</v>
      </c>
    </row>
    <row r="17230">
      <c r="A17230" s="17"/>
      <c r="H17230" s="18"/>
      <c r="K17230" s="18" t="s">
        <v>316</v>
      </c>
    </row>
    <row r="17231">
      <c r="A17231" s="17"/>
      <c r="H17231" s="18"/>
      <c r="K17231" s="18" t="s">
        <v>316</v>
      </c>
    </row>
    <row r="17232">
      <c r="A17232" s="17"/>
      <c r="H17232" s="18"/>
      <c r="K17232" s="18" t="s">
        <v>316</v>
      </c>
    </row>
    <row r="17233">
      <c r="A17233" s="17"/>
      <c r="H17233" s="18"/>
      <c r="K17233" s="18" t="s">
        <v>316</v>
      </c>
    </row>
    <row r="17234">
      <c r="A17234" s="17"/>
      <c r="H17234" s="18"/>
      <c r="K17234" s="18" t="s">
        <v>316</v>
      </c>
    </row>
    <row r="17235">
      <c r="A17235" s="17"/>
      <c r="H17235" s="18"/>
      <c r="K17235" s="18" t="s">
        <v>316</v>
      </c>
    </row>
    <row r="17236">
      <c r="A17236" s="17"/>
      <c r="H17236" s="18"/>
      <c r="K17236" s="18" t="s">
        <v>316</v>
      </c>
    </row>
    <row r="17237">
      <c r="A17237" s="17"/>
      <c r="H17237" s="18"/>
      <c r="K17237" s="18" t="s">
        <v>316</v>
      </c>
    </row>
    <row r="17238">
      <c r="A17238" s="17"/>
      <c r="H17238" s="18"/>
      <c r="K17238" s="18" t="s">
        <v>316</v>
      </c>
    </row>
    <row r="17239">
      <c r="A17239" s="17"/>
      <c r="H17239" s="18"/>
      <c r="K17239" s="18" t="s">
        <v>316</v>
      </c>
    </row>
    <row r="17240">
      <c r="A17240" s="17"/>
      <c r="H17240" s="18"/>
      <c r="K17240" s="18" t="s">
        <v>316</v>
      </c>
    </row>
    <row r="17241">
      <c r="A17241" s="17"/>
      <c r="H17241" s="18"/>
      <c r="K17241" s="18" t="s">
        <v>316</v>
      </c>
    </row>
    <row r="17242">
      <c r="A17242" s="17"/>
      <c r="H17242" s="18"/>
      <c r="K17242" s="18" t="s">
        <v>316</v>
      </c>
    </row>
    <row r="17243">
      <c r="A17243" s="17"/>
      <c r="H17243" s="18"/>
      <c r="K17243" s="18" t="s">
        <v>316</v>
      </c>
    </row>
    <row r="17244">
      <c r="A17244" s="17"/>
      <c r="H17244" s="18"/>
      <c r="K17244" s="18" t="s">
        <v>316</v>
      </c>
    </row>
    <row r="17245">
      <c r="A17245" s="17"/>
      <c r="H17245" s="18"/>
      <c r="K17245" s="18" t="s">
        <v>316</v>
      </c>
    </row>
    <row r="17246">
      <c r="A17246" s="17"/>
      <c r="H17246" s="18"/>
      <c r="K17246" s="18" t="s">
        <v>316</v>
      </c>
    </row>
    <row r="17247">
      <c r="A17247" s="17"/>
      <c r="H17247" s="18"/>
      <c r="K17247" s="18" t="s">
        <v>316</v>
      </c>
    </row>
    <row r="17248">
      <c r="A17248" s="17"/>
      <c r="H17248" s="18"/>
      <c r="K17248" s="18" t="s">
        <v>316</v>
      </c>
    </row>
    <row r="17249">
      <c r="A17249" s="17"/>
      <c r="H17249" s="18"/>
      <c r="K17249" s="18" t="s">
        <v>316</v>
      </c>
    </row>
    <row r="17250">
      <c r="A17250" s="17"/>
      <c r="H17250" s="18"/>
      <c r="K17250" s="18" t="s">
        <v>316</v>
      </c>
    </row>
    <row r="17251">
      <c r="A17251" s="17"/>
      <c r="H17251" s="18"/>
      <c r="K17251" s="18" t="s">
        <v>316</v>
      </c>
    </row>
    <row r="17252">
      <c r="A17252" s="17"/>
      <c r="H17252" s="18"/>
      <c r="K17252" s="18" t="s">
        <v>316</v>
      </c>
    </row>
    <row r="17253">
      <c r="A17253" s="17"/>
      <c r="H17253" s="18"/>
      <c r="K17253" s="18" t="s">
        <v>316</v>
      </c>
    </row>
    <row r="17254">
      <c r="A17254" s="17"/>
      <c r="H17254" s="18"/>
      <c r="K17254" s="18" t="s">
        <v>316</v>
      </c>
    </row>
    <row r="17255">
      <c r="A17255" s="17"/>
      <c r="H17255" s="18"/>
      <c r="K17255" s="18" t="s">
        <v>316</v>
      </c>
    </row>
    <row r="17256">
      <c r="A17256" s="17"/>
      <c r="H17256" s="18"/>
      <c r="K17256" s="18" t="s">
        <v>316</v>
      </c>
    </row>
    <row r="17257">
      <c r="A17257" s="17"/>
      <c r="H17257" s="18"/>
      <c r="K17257" s="18" t="s">
        <v>316</v>
      </c>
    </row>
    <row r="17258">
      <c r="A17258" s="17"/>
      <c r="H17258" s="18"/>
      <c r="K17258" s="18" t="s">
        <v>316</v>
      </c>
    </row>
    <row r="17259">
      <c r="A17259" s="17"/>
      <c r="H17259" s="18"/>
      <c r="K17259" s="18" t="s">
        <v>316</v>
      </c>
    </row>
    <row r="17260">
      <c r="A17260" s="17"/>
      <c r="H17260" s="18"/>
      <c r="K17260" s="18" t="s">
        <v>316</v>
      </c>
    </row>
    <row r="17261">
      <c r="A17261" s="17"/>
      <c r="H17261" s="18"/>
      <c r="K17261" s="18" t="s">
        <v>316</v>
      </c>
    </row>
    <row r="17262">
      <c r="A17262" s="17"/>
      <c r="H17262" s="18"/>
      <c r="K17262" s="18" t="s">
        <v>316</v>
      </c>
    </row>
    <row r="17263">
      <c r="A17263" s="17"/>
      <c r="H17263" s="18"/>
      <c r="K17263" s="18" t="s">
        <v>316</v>
      </c>
    </row>
    <row r="17264">
      <c r="A17264" s="17"/>
      <c r="H17264" s="18"/>
      <c r="K17264" s="18" t="s">
        <v>316</v>
      </c>
    </row>
    <row r="17265">
      <c r="A17265" s="17"/>
      <c r="H17265" s="18"/>
      <c r="K17265" s="18" t="s">
        <v>316</v>
      </c>
    </row>
    <row r="17266">
      <c r="A17266" s="17"/>
      <c r="H17266" s="18"/>
      <c r="K17266" s="18" t="s">
        <v>316</v>
      </c>
    </row>
    <row r="17267">
      <c r="A17267" s="17"/>
      <c r="H17267" s="18"/>
      <c r="K17267" s="18" t="s">
        <v>316</v>
      </c>
    </row>
    <row r="17268">
      <c r="A17268" s="17"/>
      <c r="H17268" s="18"/>
      <c r="K17268" s="18" t="s">
        <v>316</v>
      </c>
    </row>
    <row r="17269">
      <c r="A17269" s="17"/>
      <c r="H17269" s="18"/>
      <c r="K17269" s="18" t="s">
        <v>316</v>
      </c>
    </row>
    <row r="17270">
      <c r="A17270" s="17"/>
      <c r="H17270" s="18"/>
      <c r="K17270" s="18" t="s">
        <v>316</v>
      </c>
    </row>
    <row r="17271">
      <c r="A17271" s="17"/>
      <c r="H17271" s="18"/>
      <c r="K17271" s="18" t="s">
        <v>316</v>
      </c>
    </row>
    <row r="17272">
      <c r="A17272" s="17"/>
      <c r="H17272" s="18"/>
      <c r="K17272" s="18" t="s">
        <v>316</v>
      </c>
    </row>
    <row r="17273">
      <c r="A17273" s="17"/>
      <c r="H17273" s="18"/>
      <c r="K17273" s="18" t="s">
        <v>316</v>
      </c>
    </row>
    <row r="17274">
      <c r="A17274" s="17"/>
      <c r="H17274" s="18"/>
      <c r="K17274" s="18" t="s">
        <v>316</v>
      </c>
    </row>
    <row r="17275">
      <c r="A17275" s="17"/>
      <c r="H17275" s="18"/>
      <c r="K17275" s="18" t="s">
        <v>316</v>
      </c>
    </row>
    <row r="17276">
      <c r="A17276" s="17"/>
      <c r="H17276" s="18"/>
      <c r="K17276" s="18" t="s">
        <v>316</v>
      </c>
    </row>
    <row r="17277">
      <c r="A17277" s="17"/>
      <c r="H17277" s="18"/>
      <c r="K17277" s="18" t="s">
        <v>316</v>
      </c>
    </row>
    <row r="17278">
      <c r="A17278" s="17"/>
      <c r="H17278" s="18"/>
      <c r="K17278" s="18" t="s">
        <v>316</v>
      </c>
    </row>
    <row r="17279">
      <c r="A17279" s="17"/>
      <c r="H17279" s="18"/>
      <c r="K17279" s="18" t="s">
        <v>316</v>
      </c>
    </row>
    <row r="17280">
      <c r="A17280" s="17"/>
      <c r="H17280" s="18"/>
      <c r="K17280" s="18" t="s">
        <v>316</v>
      </c>
    </row>
    <row r="17281">
      <c r="A17281" s="17"/>
      <c r="H17281" s="18"/>
      <c r="K17281" s="18" t="s">
        <v>316</v>
      </c>
    </row>
    <row r="17282">
      <c r="A17282" s="17"/>
      <c r="H17282" s="18"/>
      <c r="K17282" s="18" t="s">
        <v>316</v>
      </c>
    </row>
    <row r="17283">
      <c r="A17283" s="17"/>
      <c r="H17283" s="18"/>
      <c r="K17283" s="18" t="s">
        <v>316</v>
      </c>
    </row>
    <row r="17284">
      <c r="A17284" s="17"/>
      <c r="H17284" s="18"/>
      <c r="K17284" s="18" t="s">
        <v>316</v>
      </c>
    </row>
    <row r="17285">
      <c r="A17285" s="17"/>
      <c r="H17285" s="18"/>
      <c r="K17285" s="18" t="s">
        <v>316</v>
      </c>
    </row>
    <row r="17286">
      <c r="A17286" s="17"/>
      <c r="H17286" s="18"/>
      <c r="K17286" s="18" t="s">
        <v>316</v>
      </c>
    </row>
    <row r="17287">
      <c r="A17287" s="17"/>
      <c r="H17287" s="18"/>
      <c r="K17287" s="18" t="s">
        <v>316</v>
      </c>
    </row>
    <row r="17288">
      <c r="A17288" s="17"/>
      <c r="H17288" s="18"/>
      <c r="K17288" s="18" t="s">
        <v>316</v>
      </c>
    </row>
    <row r="17289">
      <c r="A17289" s="17"/>
      <c r="H17289" s="18"/>
      <c r="K17289" s="18" t="s">
        <v>316</v>
      </c>
    </row>
    <row r="17290">
      <c r="A17290" s="17"/>
      <c r="H17290" s="18"/>
      <c r="K17290" s="18" t="s">
        <v>316</v>
      </c>
    </row>
    <row r="17291">
      <c r="A17291" s="17"/>
      <c r="H17291" s="18"/>
      <c r="K17291" s="18" t="s">
        <v>316</v>
      </c>
    </row>
    <row r="17292">
      <c r="A17292" s="17"/>
      <c r="H17292" s="18"/>
      <c r="K17292" s="18" t="s">
        <v>316</v>
      </c>
    </row>
    <row r="17293">
      <c r="A17293" s="17"/>
      <c r="H17293" s="18"/>
      <c r="K17293" s="18" t="s">
        <v>316</v>
      </c>
    </row>
    <row r="17294">
      <c r="A17294" s="17"/>
      <c r="H17294" s="18"/>
      <c r="K17294" s="18" t="s">
        <v>316</v>
      </c>
    </row>
    <row r="17295">
      <c r="A17295" s="17"/>
      <c r="H17295" s="18"/>
      <c r="K17295" s="18" t="s">
        <v>316</v>
      </c>
    </row>
    <row r="17296">
      <c r="A17296" s="17"/>
      <c r="H17296" s="18"/>
      <c r="K17296" s="18" t="s">
        <v>316</v>
      </c>
    </row>
    <row r="17297">
      <c r="A17297" s="17"/>
      <c r="H17297" s="18"/>
      <c r="K17297" s="18" t="s">
        <v>316</v>
      </c>
    </row>
    <row r="17298">
      <c r="A17298" s="17"/>
      <c r="H17298" s="18"/>
      <c r="K17298" s="18" t="s">
        <v>316</v>
      </c>
    </row>
    <row r="17299">
      <c r="A17299" s="17"/>
      <c r="H17299" s="18"/>
      <c r="K17299" s="18" t="s">
        <v>316</v>
      </c>
    </row>
    <row r="17300">
      <c r="A17300" s="17"/>
      <c r="H17300" s="18"/>
      <c r="K17300" s="18" t="s">
        <v>316</v>
      </c>
    </row>
    <row r="17301">
      <c r="A17301" s="17"/>
      <c r="H17301" s="18"/>
      <c r="K17301" s="18" t="s">
        <v>316</v>
      </c>
    </row>
    <row r="17302">
      <c r="A17302" s="17"/>
      <c r="H17302" s="18"/>
      <c r="K17302" s="18" t="s">
        <v>316</v>
      </c>
    </row>
    <row r="17303">
      <c r="A17303" s="17"/>
      <c r="H17303" s="18"/>
      <c r="K17303" s="18" t="s">
        <v>316</v>
      </c>
    </row>
    <row r="17304">
      <c r="A17304" s="17"/>
      <c r="H17304" s="18"/>
      <c r="K17304" s="18" t="s">
        <v>316</v>
      </c>
    </row>
    <row r="17305">
      <c r="A17305" s="17"/>
      <c r="H17305" s="18"/>
      <c r="K17305" s="18" t="s">
        <v>316</v>
      </c>
    </row>
    <row r="17306">
      <c r="A17306" s="17"/>
      <c r="H17306" s="18"/>
      <c r="K17306" s="18" t="s">
        <v>316</v>
      </c>
    </row>
    <row r="17307">
      <c r="A17307" s="17"/>
      <c r="H17307" s="18"/>
      <c r="K17307" s="18" t="s">
        <v>316</v>
      </c>
    </row>
    <row r="17308">
      <c r="A17308" s="17"/>
      <c r="H17308" s="18"/>
      <c r="K17308" s="18" t="s">
        <v>316</v>
      </c>
    </row>
    <row r="17309">
      <c r="A17309" s="17"/>
      <c r="H17309" s="18"/>
      <c r="K17309" s="18" t="s">
        <v>316</v>
      </c>
    </row>
    <row r="17310">
      <c r="A17310" s="17"/>
      <c r="H17310" s="18"/>
      <c r="K17310" s="18" t="s">
        <v>316</v>
      </c>
    </row>
    <row r="17311">
      <c r="A17311" s="17"/>
      <c r="H17311" s="18"/>
      <c r="K17311" s="18" t="s">
        <v>316</v>
      </c>
    </row>
    <row r="17312">
      <c r="A17312" s="17"/>
      <c r="H17312" s="18"/>
      <c r="K17312" s="18" t="s">
        <v>316</v>
      </c>
    </row>
    <row r="17313">
      <c r="A17313" s="17"/>
      <c r="H17313" s="18"/>
      <c r="K17313" s="18" t="s">
        <v>316</v>
      </c>
    </row>
    <row r="17314">
      <c r="A17314" s="17"/>
      <c r="H17314" s="18"/>
      <c r="K17314" s="18" t="s">
        <v>316</v>
      </c>
    </row>
    <row r="17315">
      <c r="A17315" s="17"/>
      <c r="H17315" s="18"/>
      <c r="K17315" s="18" t="s">
        <v>316</v>
      </c>
    </row>
    <row r="17316">
      <c r="A17316" s="17"/>
      <c r="H17316" s="18"/>
      <c r="K17316" s="18" t="s">
        <v>316</v>
      </c>
    </row>
    <row r="17317">
      <c r="A17317" s="17"/>
      <c r="H17317" s="18"/>
      <c r="K17317" s="18" t="s">
        <v>316</v>
      </c>
    </row>
    <row r="17318">
      <c r="A17318" s="17"/>
      <c r="H17318" s="18"/>
      <c r="K17318" s="18" t="s">
        <v>316</v>
      </c>
    </row>
    <row r="17319">
      <c r="A17319" s="17"/>
      <c r="H17319" s="18"/>
      <c r="K17319" s="18" t="s">
        <v>316</v>
      </c>
    </row>
    <row r="17320">
      <c r="A17320" s="17"/>
      <c r="H17320" s="18"/>
      <c r="K17320" s="18" t="s">
        <v>316</v>
      </c>
    </row>
    <row r="17321">
      <c r="A17321" s="17"/>
      <c r="H17321" s="18"/>
      <c r="K17321" s="18" t="s">
        <v>316</v>
      </c>
    </row>
    <row r="17322">
      <c r="A17322" s="17"/>
      <c r="H17322" s="18"/>
      <c r="K17322" s="18" t="s">
        <v>316</v>
      </c>
    </row>
    <row r="17323">
      <c r="A17323" s="17"/>
      <c r="H17323" s="18"/>
      <c r="K17323" s="18" t="s">
        <v>316</v>
      </c>
    </row>
    <row r="17324">
      <c r="A17324" s="17"/>
      <c r="H17324" s="18"/>
      <c r="K17324" s="18" t="s">
        <v>316</v>
      </c>
    </row>
    <row r="17325">
      <c r="A17325" s="17"/>
      <c r="H17325" s="18"/>
      <c r="K17325" s="18" t="s">
        <v>316</v>
      </c>
    </row>
    <row r="17326">
      <c r="A17326" s="17"/>
      <c r="H17326" s="18"/>
      <c r="K17326" s="18" t="s">
        <v>316</v>
      </c>
    </row>
    <row r="17327">
      <c r="A17327" s="17"/>
      <c r="H17327" s="18"/>
      <c r="K17327" s="18" t="s">
        <v>316</v>
      </c>
    </row>
    <row r="17328">
      <c r="A17328" s="17"/>
      <c r="H17328" s="18"/>
      <c r="K17328" s="18" t="s">
        <v>316</v>
      </c>
    </row>
    <row r="17329">
      <c r="A17329" s="17"/>
      <c r="H17329" s="18"/>
      <c r="K17329" s="18" t="s">
        <v>316</v>
      </c>
    </row>
    <row r="17330">
      <c r="A17330" s="17"/>
      <c r="H17330" s="18"/>
      <c r="K17330" s="18" t="s">
        <v>316</v>
      </c>
    </row>
    <row r="17331">
      <c r="A17331" s="17"/>
      <c r="H17331" s="18"/>
      <c r="K17331" s="18" t="s">
        <v>316</v>
      </c>
    </row>
    <row r="17332">
      <c r="A17332" s="17"/>
      <c r="H17332" s="18"/>
      <c r="K17332" s="18" t="s">
        <v>316</v>
      </c>
    </row>
    <row r="17333">
      <c r="A17333" s="17"/>
      <c r="H17333" s="18"/>
      <c r="K17333" s="18" t="s">
        <v>316</v>
      </c>
    </row>
    <row r="17334">
      <c r="A17334" s="17"/>
      <c r="H17334" s="18"/>
      <c r="K17334" s="18" t="s">
        <v>316</v>
      </c>
    </row>
    <row r="17335">
      <c r="A17335" s="17"/>
      <c r="H17335" s="18"/>
      <c r="K17335" s="18" t="s">
        <v>316</v>
      </c>
    </row>
    <row r="17336">
      <c r="A17336" s="17"/>
      <c r="H17336" s="18"/>
      <c r="K17336" s="18" t="s">
        <v>316</v>
      </c>
    </row>
    <row r="17337">
      <c r="A17337" s="17"/>
      <c r="H17337" s="18"/>
      <c r="K17337" s="18" t="s">
        <v>316</v>
      </c>
    </row>
    <row r="17338">
      <c r="A17338" s="17"/>
      <c r="H17338" s="18"/>
      <c r="K17338" s="18" t="s">
        <v>316</v>
      </c>
    </row>
    <row r="17339">
      <c r="A17339" s="17"/>
      <c r="H17339" s="18"/>
      <c r="K17339" s="18" t="s">
        <v>316</v>
      </c>
    </row>
    <row r="17340">
      <c r="A17340" s="17"/>
      <c r="H17340" s="18"/>
      <c r="K17340" s="18" t="s">
        <v>316</v>
      </c>
    </row>
    <row r="17341">
      <c r="A17341" s="17"/>
      <c r="H17341" s="18"/>
      <c r="K17341" s="18" t="s">
        <v>316</v>
      </c>
    </row>
    <row r="17342">
      <c r="A17342" s="17"/>
      <c r="H17342" s="18"/>
      <c r="K17342" s="18" t="s">
        <v>316</v>
      </c>
    </row>
    <row r="17343">
      <c r="A17343" s="17"/>
      <c r="H17343" s="18"/>
      <c r="K17343" s="18" t="s">
        <v>316</v>
      </c>
    </row>
    <row r="17344">
      <c r="A17344" s="17"/>
      <c r="H17344" s="18"/>
      <c r="K17344" s="18" t="s">
        <v>316</v>
      </c>
    </row>
    <row r="17345">
      <c r="A17345" s="17"/>
      <c r="H17345" s="18"/>
      <c r="K17345" s="18" t="s">
        <v>316</v>
      </c>
    </row>
    <row r="17346">
      <c r="A17346" s="17"/>
      <c r="H17346" s="18"/>
      <c r="K17346" s="18" t="s">
        <v>316</v>
      </c>
    </row>
    <row r="17347">
      <c r="A17347" s="17"/>
      <c r="H17347" s="18"/>
      <c r="K17347" s="18" t="s">
        <v>316</v>
      </c>
    </row>
    <row r="17348">
      <c r="A17348" s="17"/>
      <c r="H17348" s="18"/>
      <c r="K17348" s="18" t="s">
        <v>316</v>
      </c>
    </row>
    <row r="17349">
      <c r="A17349" s="17"/>
      <c r="H17349" s="18"/>
      <c r="K17349" s="18" t="s">
        <v>316</v>
      </c>
    </row>
    <row r="17350">
      <c r="A17350" s="17"/>
      <c r="H17350" s="18"/>
      <c r="K17350" s="18" t="s">
        <v>316</v>
      </c>
    </row>
    <row r="17351">
      <c r="A17351" s="17"/>
      <c r="H17351" s="18"/>
      <c r="K17351" s="18" t="s">
        <v>316</v>
      </c>
    </row>
    <row r="17352">
      <c r="A17352" s="17"/>
      <c r="H17352" s="18"/>
      <c r="K17352" s="18" t="s">
        <v>316</v>
      </c>
    </row>
    <row r="17353">
      <c r="A17353" s="17"/>
      <c r="H17353" s="18"/>
      <c r="K17353" s="18" t="s">
        <v>316</v>
      </c>
    </row>
    <row r="17354">
      <c r="A17354" s="17"/>
      <c r="H17354" s="18"/>
      <c r="K17354" s="18" t="s">
        <v>316</v>
      </c>
    </row>
    <row r="17355">
      <c r="A17355" s="17"/>
      <c r="H17355" s="18"/>
      <c r="K17355" s="18" t="s">
        <v>316</v>
      </c>
    </row>
    <row r="17356">
      <c r="A17356" s="17"/>
      <c r="H17356" s="18"/>
      <c r="K17356" s="18" t="s">
        <v>316</v>
      </c>
    </row>
    <row r="17357">
      <c r="A17357" s="17"/>
      <c r="H17357" s="18"/>
      <c r="K17357" s="18" t="s">
        <v>316</v>
      </c>
    </row>
    <row r="17358">
      <c r="A17358" s="17"/>
      <c r="H17358" s="18"/>
      <c r="K17358" s="18" t="s">
        <v>316</v>
      </c>
    </row>
    <row r="17359">
      <c r="A17359" s="17"/>
      <c r="H17359" s="18"/>
      <c r="K17359" s="18" t="s">
        <v>316</v>
      </c>
    </row>
    <row r="17360">
      <c r="A17360" s="17"/>
      <c r="H17360" s="18"/>
      <c r="K17360" s="18" t="s">
        <v>316</v>
      </c>
    </row>
    <row r="17361">
      <c r="A17361" s="17"/>
      <c r="H17361" s="18"/>
      <c r="K17361" s="18" t="s">
        <v>316</v>
      </c>
    </row>
    <row r="17362">
      <c r="A17362" s="17"/>
      <c r="H17362" s="18"/>
      <c r="K17362" s="18" t="s">
        <v>316</v>
      </c>
    </row>
    <row r="17363">
      <c r="A17363" s="17"/>
      <c r="H17363" s="18"/>
      <c r="K17363" s="18" t="s">
        <v>316</v>
      </c>
    </row>
    <row r="17364">
      <c r="A17364" s="17"/>
      <c r="H17364" s="18"/>
      <c r="K17364" s="18" t="s">
        <v>316</v>
      </c>
    </row>
    <row r="17365">
      <c r="A17365" s="17"/>
      <c r="H17365" s="18"/>
      <c r="K17365" s="18" t="s">
        <v>316</v>
      </c>
    </row>
    <row r="17366">
      <c r="A17366" s="17"/>
      <c r="H17366" s="18"/>
      <c r="K17366" s="18" t="s">
        <v>316</v>
      </c>
    </row>
    <row r="17367">
      <c r="A17367" s="17"/>
      <c r="H17367" s="18"/>
      <c r="K17367" s="18" t="s">
        <v>316</v>
      </c>
    </row>
    <row r="17368">
      <c r="A17368" s="17"/>
      <c r="H17368" s="18"/>
      <c r="K17368" s="18" t="s">
        <v>316</v>
      </c>
    </row>
    <row r="17369">
      <c r="A17369" s="17"/>
      <c r="H17369" s="18"/>
      <c r="K17369" s="18" t="s">
        <v>316</v>
      </c>
    </row>
    <row r="17370">
      <c r="A17370" s="17"/>
      <c r="H17370" s="18"/>
      <c r="K17370" s="18" t="s">
        <v>316</v>
      </c>
    </row>
    <row r="17371">
      <c r="A17371" s="17"/>
      <c r="H17371" s="18"/>
      <c r="K17371" s="18" t="s">
        <v>316</v>
      </c>
    </row>
    <row r="17372">
      <c r="A17372" s="17"/>
      <c r="H17372" s="18"/>
      <c r="K17372" s="18" t="s">
        <v>316</v>
      </c>
    </row>
    <row r="17373">
      <c r="A17373" s="17"/>
      <c r="H17373" s="18"/>
      <c r="K17373" s="18" t="s">
        <v>316</v>
      </c>
    </row>
    <row r="17374">
      <c r="A17374" s="17"/>
      <c r="H17374" s="18"/>
      <c r="K17374" s="18" t="s">
        <v>316</v>
      </c>
    </row>
    <row r="17375">
      <c r="A17375" s="17"/>
      <c r="H17375" s="18"/>
      <c r="K17375" s="18" t="s">
        <v>316</v>
      </c>
    </row>
    <row r="17376">
      <c r="A17376" s="17"/>
      <c r="H17376" s="18"/>
      <c r="K17376" s="18" t="s">
        <v>316</v>
      </c>
    </row>
    <row r="17377">
      <c r="A17377" s="17"/>
      <c r="H17377" s="18"/>
      <c r="K17377" s="18" t="s">
        <v>316</v>
      </c>
    </row>
    <row r="17378">
      <c r="A17378" s="17"/>
      <c r="H17378" s="18"/>
      <c r="K17378" s="18" t="s">
        <v>316</v>
      </c>
    </row>
    <row r="17379">
      <c r="A17379" s="17"/>
      <c r="H17379" s="18"/>
      <c r="K17379" s="18" t="s">
        <v>316</v>
      </c>
    </row>
    <row r="17380">
      <c r="A17380" s="17"/>
      <c r="H17380" s="18"/>
      <c r="K17380" s="18" t="s">
        <v>316</v>
      </c>
    </row>
    <row r="17381">
      <c r="A17381" s="17"/>
      <c r="H17381" s="18"/>
      <c r="K17381" s="18" t="s">
        <v>316</v>
      </c>
    </row>
    <row r="17382">
      <c r="A17382" s="17"/>
      <c r="H17382" s="18"/>
      <c r="K17382" s="18" t="s">
        <v>316</v>
      </c>
    </row>
    <row r="17383">
      <c r="A17383" s="17"/>
      <c r="H17383" s="18"/>
      <c r="K17383" s="18" t="s">
        <v>316</v>
      </c>
    </row>
    <row r="17384">
      <c r="A17384" s="17"/>
      <c r="H17384" s="18"/>
      <c r="K17384" s="18" t="s">
        <v>316</v>
      </c>
    </row>
    <row r="17385">
      <c r="A17385" s="17"/>
      <c r="H17385" s="18"/>
      <c r="K17385" s="18" t="s">
        <v>316</v>
      </c>
    </row>
    <row r="17386">
      <c r="A17386" s="17"/>
      <c r="H17386" s="18"/>
      <c r="K17386" s="18" t="s">
        <v>316</v>
      </c>
    </row>
    <row r="17387">
      <c r="A17387" s="17"/>
      <c r="H17387" s="18"/>
      <c r="K17387" s="18" t="s">
        <v>316</v>
      </c>
    </row>
    <row r="17388">
      <c r="A17388" s="17"/>
      <c r="H17388" s="18"/>
      <c r="K17388" s="18" t="s">
        <v>316</v>
      </c>
    </row>
    <row r="17389">
      <c r="A17389" s="17"/>
      <c r="H17389" s="18"/>
      <c r="K17389" s="18" t="s">
        <v>316</v>
      </c>
    </row>
    <row r="17390">
      <c r="A17390" s="17"/>
      <c r="H17390" s="18"/>
      <c r="K17390" s="18" t="s">
        <v>316</v>
      </c>
    </row>
    <row r="17391">
      <c r="A17391" s="17"/>
      <c r="H17391" s="18"/>
      <c r="K17391" s="18" t="s">
        <v>316</v>
      </c>
    </row>
    <row r="17392">
      <c r="A17392" s="17"/>
      <c r="H17392" s="18"/>
      <c r="K17392" s="18" t="s">
        <v>316</v>
      </c>
    </row>
    <row r="17393">
      <c r="A17393" s="17"/>
      <c r="H17393" s="18"/>
      <c r="K17393" s="18" t="s">
        <v>316</v>
      </c>
    </row>
    <row r="17394">
      <c r="A17394" s="17"/>
      <c r="H17394" s="18"/>
      <c r="K17394" s="18" t="s">
        <v>316</v>
      </c>
    </row>
    <row r="17395">
      <c r="A17395" s="17"/>
      <c r="H17395" s="18"/>
      <c r="K17395" s="18" t="s">
        <v>316</v>
      </c>
    </row>
    <row r="17396">
      <c r="A17396" s="17"/>
      <c r="H17396" s="18"/>
      <c r="K17396" s="18" t="s">
        <v>316</v>
      </c>
    </row>
    <row r="17397">
      <c r="A17397" s="17"/>
      <c r="H17397" s="18"/>
      <c r="K17397" s="18" t="s">
        <v>316</v>
      </c>
    </row>
    <row r="17398">
      <c r="A17398" s="17"/>
      <c r="H17398" s="18"/>
      <c r="K17398" s="18" t="s">
        <v>316</v>
      </c>
    </row>
    <row r="17399">
      <c r="A17399" s="17"/>
      <c r="H17399" s="18"/>
      <c r="K17399" s="18" t="s">
        <v>316</v>
      </c>
    </row>
    <row r="17400">
      <c r="A17400" s="17"/>
      <c r="H17400" s="18"/>
      <c r="K17400" s="18" t="s">
        <v>316</v>
      </c>
    </row>
    <row r="17401">
      <c r="A17401" s="17"/>
      <c r="H17401" s="18"/>
      <c r="K17401" s="18" t="s">
        <v>316</v>
      </c>
    </row>
    <row r="17402">
      <c r="A17402" s="17"/>
      <c r="H17402" s="18"/>
      <c r="K17402" s="18" t="s">
        <v>316</v>
      </c>
    </row>
    <row r="17403">
      <c r="A17403" s="17"/>
      <c r="H17403" s="18"/>
      <c r="K17403" s="18" t="s">
        <v>316</v>
      </c>
    </row>
    <row r="17404">
      <c r="A17404" s="17"/>
      <c r="H17404" s="18"/>
      <c r="K17404" s="18" t="s">
        <v>316</v>
      </c>
    </row>
    <row r="17405">
      <c r="A17405" s="17"/>
      <c r="H17405" s="18"/>
      <c r="K17405" s="18" t="s">
        <v>316</v>
      </c>
    </row>
    <row r="17406">
      <c r="A17406" s="17"/>
      <c r="H17406" s="18"/>
      <c r="K17406" s="18" t="s">
        <v>316</v>
      </c>
    </row>
    <row r="17407">
      <c r="A17407" s="17"/>
      <c r="H17407" s="18"/>
      <c r="K17407" s="18" t="s">
        <v>316</v>
      </c>
    </row>
    <row r="17408">
      <c r="A17408" s="17"/>
      <c r="H17408" s="18"/>
      <c r="K17408" s="18" t="s">
        <v>316</v>
      </c>
    </row>
    <row r="17409">
      <c r="A17409" s="17"/>
      <c r="H17409" s="18"/>
      <c r="K17409" s="18" t="s">
        <v>316</v>
      </c>
    </row>
    <row r="17410">
      <c r="A17410" s="17"/>
      <c r="H17410" s="18"/>
      <c r="K17410" s="18" t="s">
        <v>316</v>
      </c>
    </row>
    <row r="17411">
      <c r="A17411" s="17"/>
      <c r="H17411" s="18"/>
      <c r="K17411" s="18" t="s">
        <v>316</v>
      </c>
    </row>
    <row r="17412">
      <c r="A17412" s="17"/>
      <c r="H17412" s="18"/>
      <c r="K17412" s="18" t="s">
        <v>316</v>
      </c>
    </row>
    <row r="17413">
      <c r="A17413" s="17"/>
      <c r="H17413" s="18"/>
      <c r="K17413" s="18" t="s">
        <v>316</v>
      </c>
    </row>
    <row r="17414">
      <c r="A17414" s="17"/>
      <c r="H17414" s="18"/>
      <c r="K17414" s="18" t="s">
        <v>316</v>
      </c>
    </row>
    <row r="17415">
      <c r="A17415" s="17"/>
      <c r="H17415" s="18"/>
      <c r="K17415" s="18" t="s">
        <v>316</v>
      </c>
    </row>
    <row r="17416">
      <c r="A17416" s="17"/>
      <c r="H17416" s="18"/>
      <c r="K17416" s="18" t="s">
        <v>316</v>
      </c>
    </row>
    <row r="17417">
      <c r="A17417" s="17"/>
      <c r="H17417" s="18"/>
      <c r="K17417" s="18" t="s">
        <v>316</v>
      </c>
    </row>
    <row r="17418">
      <c r="A17418" s="17"/>
      <c r="H17418" s="18"/>
      <c r="K17418" s="18" t="s">
        <v>316</v>
      </c>
    </row>
    <row r="17419">
      <c r="A17419" s="17"/>
      <c r="H17419" s="18"/>
      <c r="K17419" s="18" t="s">
        <v>316</v>
      </c>
    </row>
    <row r="17420">
      <c r="A17420" s="17"/>
      <c r="H17420" s="18"/>
      <c r="K17420" s="18" t="s">
        <v>316</v>
      </c>
    </row>
    <row r="17421">
      <c r="A17421" s="17"/>
      <c r="H17421" s="18"/>
      <c r="K17421" s="18" t="s">
        <v>316</v>
      </c>
    </row>
    <row r="17422">
      <c r="A17422" s="17"/>
      <c r="H17422" s="18"/>
      <c r="K17422" s="18" t="s">
        <v>316</v>
      </c>
    </row>
    <row r="17423">
      <c r="A17423" s="17"/>
      <c r="H17423" s="18"/>
      <c r="K17423" s="18" t="s">
        <v>316</v>
      </c>
    </row>
    <row r="17424">
      <c r="A17424" s="17"/>
      <c r="H17424" s="18"/>
      <c r="K17424" s="18" t="s">
        <v>316</v>
      </c>
    </row>
    <row r="17425">
      <c r="A17425" s="17"/>
      <c r="H17425" s="18"/>
      <c r="K17425" s="18" t="s">
        <v>316</v>
      </c>
    </row>
    <row r="17426">
      <c r="A17426" s="17"/>
      <c r="H17426" s="18"/>
      <c r="K17426" s="18" t="s">
        <v>316</v>
      </c>
    </row>
    <row r="17427">
      <c r="A17427" s="17"/>
      <c r="H17427" s="18"/>
      <c r="K17427" s="18" t="s">
        <v>316</v>
      </c>
    </row>
    <row r="17428">
      <c r="A17428" s="17"/>
      <c r="H17428" s="18"/>
      <c r="K17428" s="18" t="s">
        <v>316</v>
      </c>
    </row>
    <row r="17429">
      <c r="A17429" s="17"/>
      <c r="H17429" s="18"/>
      <c r="K17429" s="18" t="s">
        <v>316</v>
      </c>
    </row>
    <row r="17430">
      <c r="A17430" s="17"/>
      <c r="H17430" s="18"/>
      <c r="K17430" s="18" t="s">
        <v>316</v>
      </c>
    </row>
    <row r="17431">
      <c r="A17431" s="17"/>
      <c r="H17431" s="18"/>
      <c r="K17431" s="18" t="s">
        <v>316</v>
      </c>
    </row>
    <row r="17432">
      <c r="A17432" s="17"/>
      <c r="H17432" s="18"/>
      <c r="K17432" s="18" t="s">
        <v>316</v>
      </c>
    </row>
    <row r="17433">
      <c r="A17433" s="17"/>
      <c r="H17433" s="18"/>
      <c r="K17433" s="18" t="s">
        <v>316</v>
      </c>
    </row>
    <row r="17434">
      <c r="A17434" s="17"/>
      <c r="H17434" s="18"/>
      <c r="K17434" s="18" t="s">
        <v>316</v>
      </c>
    </row>
    <row r="17435">
      <c r="A17435" s="17"/>
      <c r="H17435" s="18"/>
      <c r="K17435" s="18" t="s">
        <v>316</v>
      </c>
    </row>
    <row r="17436">
      <c r="A17436" s="17"/>
      <c r="H17436" s="18"/>
      <c r="K17436" s="18" t="s">
        <v>316</v>
      </c>
    </row>
    <row r="17437">
      <c r="A17437" s="17"/>
      <c r="H17437" s="18"/>
      <c r="K17437" s="18" t="s">
        <v>316</v>
      </c>
    </row>
    <row r="17438">
      <c r="A17438" s="17"/>
      <c r="H17438" s="18"/>
      <c r="K17438" s="18" t="s">
        <v>316</v>
      </c>
    </row>
    <row r="17439">
      <c r="A17439" s="17"/>
      <c r="H17439" s="18"/>
      <c r="K17439" s="18" t="s">
        <v>316</v>
      </c>
    </row>
    <row r="17440">
      <c r="A17440" s="17"/>
      <c r="H17440" s="18"/>
      <c r="K17440" s="18" t="s">
        <v>316</v>
      </c>
    </row>
    <row r="17441">
      <c r="A17441" s="17"/>
      <c r="H17441" s="18"/>
      <c r="K17441" s="18" t="s">
        <v>316</v>
      </c>
    </row>
    <row r="17442">
      <c r="A17442" s="17"/>
      <c r="H17442" s="18"/>
      <c r="K17442" s="18" t="s">
        <v>316</v>
      </c>
    </row>
    <row r="17443">
      <c r="A17443" s="17"/>
      <c r="H17443" s="18"/>
      <c r="K17443" s="18" t="s">
        <v>316</v>
      </c>
    </row>
    <row r="17444">
      <c r="A17444" s="17"/>
      <c r="H17444" s="18"/>
      <c r="K17444" s="18" t="s">
        <v>316</v>
      </c>
    </row>
    <row r="17445">
      <c r="A17445" s="17"/>
      <c r="H17445" s="18"/>
      <c r="K17445" s="18" t="s">
        <v>316</v>
      </c>
    </row>
    <row r="17446">
      <c r="A17446" s="17"/>
      <c r="H17446" s="18"/>
      <c r="K17446" s="18" t="s">
        <v>316</v>
      </c>
    </row>
    <row r="17447">
      <c r="A17447" s="17"/>
      <c r="H17447" s="18"/>
      <c r="K17447" s="18" t="s">
        <v>316</v>
      </c>
    </row>
    <row r="17448">
      <c r="A17448" s="17"/>
      <c r="H17448" s="18"/>
      <c r="K17448" s="18" t="s">
        <v>316</v>
      </c>
    </row>
    <row r="17449">
      <c r="A17449" s="17"/>
      <c r="H17449" s="18"/>
      <c r="K17449" s="18" t="s">
        <v>316</v>
      </c>
    </row>
    <row r="17450">
      <c r="A17450" s="17"/>
      <c r="H17450" s="18"/>
      <c r="K17450" s="18" t="s">
        <v>316</v>
      </c>
    </row>
    <row r="17451">
      <c r="A17451" s="17"/>
      <c r="H17451" s="18"/>
      <c r="K17451" s="18" t="s">
        <v>316</v>
      </c>
    </row>
    <row r="17452">
      <c r="A17452" s="17"/>
      <c r="H17452" s="18"/>
      <c r="K17452" s="18" t="s">
        <v>316</v>
      </c>
    </row>
    <row r="17453">
      <c r="A17453" s="17"/>
      <c r="H17453" s="18"/>
      <c r="K17453" s="18" t="s">
        <v>316</v>
      </c>
    </row>
    <row r="17454">
      <c r="A17454" s="17"/>
      <c r="H17454" s="18"/>
      <c r="K17454" s="18" t="s">
        <v>316</v>
      </c>
    </row>
    <row r="17455">
      <c r="A17455" s="17"/>
      <c r="H17455" s="18"/>
      <c r="K17455" s="18" t="s">
        <v>316</v>
      </c>
    </row>
    <row r="17456">
      <c r="A17456" s="17"/>
      <c r="H17456" s="18"/>
      <c r="K17456" s="18" t="s">
        <v>316</v>
      </c>
    </row>
    <row r="17457">
      <c r="A17457" s="17"/>
      <c r="H17457" s="18"/>
      <c r="K17457" s="18" t="s">
        <v>316</v>
      </c>
    </row>
    <row r="17458">
      <c r="A17458" s="17"/>
      <c r="H17458" s="18"/>
      <c r="K17458" s="18" t="s">
        <v>316</v>
      </c>
    </row>
    <row r="17459">
      <c r="A17459" s="17"/>
      <c r="H17459" s="18"/>
      <c r="K17459" s="18" t="s">
        <v>316</v>
      </c>
    </row>
    <row r="17460">
      <c r="A17460" s="17"/>
      <c r="H17460" s="18"/>
      <c r="K17460" s="18" t="s">
        <v>316</v>
      </c>
    </row>
    <row r="17461">
      <c r="A17461" s="17"/>
      <c r="H17461" s="18"/>
      <c r="K17461" s="18" t="s">
        <v>316</v>
      </c>
    </row>
    <row r="17462">
      <c r="A17462" s="17"/>
      <c r="H17462" s="18"/>
      <c r="K17462" s="18" t="s">
        <v>316</v>
      </c>
    </row>
    <row r="17463">
      <c r="A17463" s="17"/>
      <c r="H17463" s="18"/>
      <c r="K17463" s="18" t="s">
        <v>316</v>
      </c>
    </row>
    <row r="17464">
      <c r="A17464" s="17"/>
      <c r="H17464" s="18"/>
      <c r="K17464" s="18" t="s">
        <v>316</v>
      </c>
    </row>
    <row r="17465">
      <c r="A17465" s="17"/>
      <c r="H17465" s="18"/>
      <c r="K17465" s="18" t="s">
        <v>316</v>
      </c>
    </row>
    <row r="17466">
      <c r="A17466" s="17"/>
      <c r="H17466" s="18"/>
      <c r="K17466" s="18" t="s">
        <v>316</v>
      </c>
    </row>
    <row r="17467">
      <c r="A17467" s="17"/>
      <c r="H17467" s="18"/>
      <c r="K17467" s="18" t="s">
        <v>316</v>
      </c>
    </row>
    <row r="17468">
      <c r="A17468" s="17"/>
      <c r="H17468" s="18"/>
      <c r="K17468" s="18" t="s">
        <v>316</v>
      </c>
    </row>
    <row r="17469">
      <c r="A17469" s="17"/>
      <c r="H17469" s="18"/>
      <c r="K17469" s="18" t="s">
        <v>316</v>
      </c>
    </row>
    <row r="17470">
      <c r="A17470" s="17"/>
      <c r="H17470" s="18"/>
      <c r="K17470" s="18" t="s">
        <v>316</v>
      </c>
    </row>
    <row r="17471">
      <c r="A17471" s="17"/>
      <c r="H17471" s="18"/>
      <c r="K17471" s="18" t="s">
        <v>316</v>
      </c>
    </row>
    <row r="17472">
      <c r="A17472" s="17"/>
      <c r="H17472" s="18"/>
      <c r="K17472" s="18" t="s">
        <v>316</v>
      </c>
    </row>
    <row r="17473">
      <c r="A17473" s="17"/>
      <c r="H17473" s="18"/>
      <c r="K17473" s="18" t="s">
        <v>316</v>
      </c>
    </row>
    <row r="17474">
      <c r="A17474" s="17"/>
      <c r="H17474" s="18"/>
      <c r="K17474" s="18" t="s">
        <v>316</v>
      </c>
    </row>
    <row r="17475">
      <c r="A17475" s="17"/>
      <c r="H17475" s="18"/>
      <c r="K17475" s="18" t="s">
        <v>316</v>
      </c>
    </row>
    <row r="17476">
      <c r="A17476" s="17"/>
      <c r="H17476" s="18"/>
      <c r="K17476" s="18" t="s">
        <v>316</v>
      </c>
    </row>
    <row r="17477">
      <c r="A17477" s="17"/>
      <c r="H17477" s="18"/>
      <c r="K17477" s="18" t="s">
        <v>316</v>
      </c>
    </row>
    <row r="17478">
      <c r="A17478" s="17"/>
      <c r="H17478" s="18"/>
      <c r="K17478" s="18" t="s">
        <v>316</v>
      </c>
    </row>
    <row r="17479">
      <c r="A17479" s="17"/>
      <c r="H17479" s="18"/>
      <c r="K17479" s="18" t="s">
        <v>316</v>
      </c>
    </row>
    <row r="17480">
      <c r="A17480" s="17"/>
      <c r="H17480" s="18"/>
      <c r="K17480" s="18" t="s">
        <v>316</v>
      </c>
    </row>
    <row r="17481">
      <c r="A17481" s="17"/>
      <c r="H17481" s="18"/>
      <c r="K17481" s="18" t="s">
        <v>316</v>
      </c>
    </row>
    <row r="17482">
      <c r="A17482" s="17"/>
      <c r="H17482" s="18"/>
      <c r="K17482" s="18" t="s">
        <v>316</v>
      </c>
    </row>
    <row r="17483">
      <c r="A17483" s="17"/>
      <c r="H17483" s="18"/>
      <c r="K17483" s="18" t="s">
        <v>316</v>
      </c>
    </row>
    <row r="17484">
      <c r="A17484" s="17"/>
      <c r="H17484" s="18"/>
      <c r="K17484" s="18" t="s">
        <v>316</v>
      </c>
    </row>
    <row r="17485">
      <c r="A17485" s="17"/>
      <c r="H17485" s="18"/>
      <c r="K17485" s="18" t="s">
        <v>316</v>
      </c>
    </row>
    <row r="17486">
      <c r="A17486" s="17"/>
      <c r="H17486" s="18"/>
      <c r="K17486" s="18" t="s">
        <v>316</v>
      </c>
    </row>
    <row r="17487">
      <c r="A17487" s="17"/>
      <c r="H17487" s="18"/>
      <c r="K17487" s="18" t="s">
        <v>316</v>
      </c>
    </row>
    <row r="17488">
      <c r="A17488" s="17"/>
      <c r="H17488" s="18"/>
      <c r="K17488" s="18" t="s">
        <v>316</v>
      </c>
    </row>
    <row r="17489">
      <c r="A17489" s="17"/>
      <c r="H17489" s="18"/>
      <c r="K17489" s="18" t="s">
        <v>316</v>
      </c>
    </row>
    <row r="17490">
      <c r="A17490" s="17"/>
      <c r="H17490" s="18"/>
      <c r="K17490" s="18" t="s">
        <v>316</v>
      </c>
    </row>
    <row r="17491">
      <c r="A17491" s="17"/>
      <c r="H17491" s="18"/>
      <c r="K17491" s="18" t="s">
        <v>316</v>
      </c>
    </row>
    <row r="17492">
      <c r="A17492" s="17"/>
      <c r="H17492" s="18"/>
      <c r="K17492" s="18" t="s">
        <v>316</v>
      </c>
    </row>
    <row r="17493">
      <c r="A17493" s="17"/>
      <c r="H17493" s="18"/>
      <c r="K17493" s="18" t="s">
        <v>316</v>
      </c>
    </row>
    <row r="17494">
      <c r="A17494" s="17"/>
      <c r="H17494" s="18"/>
      <c r="K17494" s="18" t="s">
        <v>316</v>
      </c>
    </row>
    <row r="17495">
      <c r="A17495" s="17"/>
      <c r="H17495" s="18"/>
      <c r="K17495" s="18" t="s">
        <v>316</v>
      </c>
    </row>
    <row r="17496">
      <c r="A17496" s="17"/>
      <c r="H17496" s="18"/>
      <c r="K17496" s="18" t="s">
        <v>316</v>
      </c>
    </row>
    <row r="17497">
      <c r="A17497" s="17"/>
      <c r="H17497" s="18"/>
      <c r="K17497" s="18" t="s">
        <v>316</v>
      </c>
    </row>
    <row r="17498">
      <c r="A17498" s="17"/>
      <c r="H17498" s="18"/>
      <c r="K17498" s="18" t="s">
        <v>316</v>
      </c>
    </row>
    <row r="17499">
      <c r="A17499" s="17"/>
      <c r="H17499" s="18"/>
      <c r="K17499" s="18" t="s">
        <v>316</v>
      </c>
    </row>
    <row r="17500">
      <c r="A17500" s="17"/>
      <c r="H17500" s="18"/>
      <c r="K17500" s="18" t="s">
        <v>316</v>
      </c>
    </row>
    <row r="17501">
      <c r="A17501" s="17"/>
      <c r="H17501" s="18"/>
      <c r="K17501" s="18" t="s">
        <v>316</v>
      </c>
    </row>
    <row r="17502">
      <c r="A17502" s="17"/>
      <c r="H17502" s="18"/>
      <c r="K17502" s="18" t="s">
        <v>316</v>
      </c>
    </row>
    <row r="17503">
      <c r="A17503" s="17"/>
      <c r="H17503" s="18"/>
      <c r="K17503" s="18" t="s">
        <v>316</v>
      </c>
    </row>
    <row r="17504">
      <c r="A17504" s="17"/>
      <c r="H17504" s="18"/>
      <c r="K17504" s="18" t="s">
        <v>316</v>
      </c>
    </row>
    <row r="17505">
      <c r="A17505" s="17"/>
      <c r="H17505" s="18"/>
      <c r="K17505" s="18" t="s">
        <v>316</v>
      </c>
    </row>
    <row r="17506">
      <c r="A17506" s="17"/>
      <c r="H17506" s="18"/>
      <c r="K17506" s="18" t="s">
        <v>316</v>
      </c>
    </row>
    <row r="17507">
      <c r="A17507" s="17"/>
      <c r="H17507" s="18"/>
      <c r="K17507" s="18" t="s">
        <v>316</v>
      </c>
    </row>
    <row r="17508">
      <c r="A17508" s="17"/>
      <c r="H17508" s="18"/>
      <c r="K17508" s="18" t="s">
        <v>316</v>
      </c>
    </row>
    <row r="17509">
      <c r="A17509" s="17"/>
      <c r="H17509" s="18"/>
      <c r="K17509" s="18" t="s">
        <v>316</v>
      </c>
    </row>
    <row r="17510">
      <c r="A17510" s="17"/>
      <c r="H17510" s="18"/>
      <c r="K17510" s="18" t="s">
        <v>316</v>
      </c>
    </row>
    <row r="17511">
      <c r="A17511" s="17"/>
      <c r="H17511" s="18"/>
      <c r="K17511" s="18" t="s">
        <v>316</v>
      </c>
    </row>
    <row r="17512">
      <c r="A17512" s="17"/>
      <c r="H17512" s="18"/>
      <c r="K17512" s="18" t="s">
        <v>316</v>
      </c>
    </row>
    <row r="17513">
      <c r="A17513" s="17"/>
      <c r="H17513" s="18"/>
      <c r="K17513" s="18" t="s">
        <v>316</v>
      </c>
    </row>
    <row r="17514">
      <c r="A17514" s="17"/>
      <c r="H17514" s="18"/>
      <c r="K17514" s="18" t="s">
        <v>316</v>
      </c>
    </row>
    <row r="17515">
      <c r="A17515" s="17"/>
      <c r="H17515" s="18"/>
      <c r="K17515" s="18" t="s">
        <v>316</v>
      </c>
    </row>
    <row r="17516">
      <c r="A17516" s="17"/>
      <c r="H17516" s="18"/>
      <c r="K17516" s="18" t="s">
        <v>316</v>
      </c>
    </row>
    <row r="17517">
      <c r="A17517" s="17"/>
      <c r="H17517" s="18"/>
      <c r="K17517" s="18" t="s">
        <v>316</v>
      </c>
    </row>
    <row r="17518">
      <c r="A17518" s="17"/>
      <c r="H17518" s="18"/>
      <c r="K17518" s="18" t="s">
        <v>316</v>
      </c>
    </row>
    <row r="17519">
      <c r="A17519" s="17"/>
      <c r="H17519" s="18"/>
      <c r="K17519" s="18" t="s">
        <v>316</v>
      </c>
    </row>
    <row r="17520">
      <c r="A17520" s="17"/>
      <c r="H17520" s="18"/>
      <c r="K17520" s="18" t="s">
        <v>316</v>
      </c>
    </row>
    <row r="17521">
      <c r="A17521" s="17"/>
      <c r="H17521" s="18"/>
      <c r="K17521" s="18" t="s">
        <v>316</v>
      </c>
    </row>
    <row r="17522">
      <c r="A17522" s="17"/>
      <c r="H17522" s="18"/>
      <c r="K17522" s="18" t="s">
        <v>316</v>
      </c>
    </row>
    <row r="17523">
      <c r="A17523" s="17"/>
      <c r="H17523" s="18"/>
      <c r="K17523" s="18" t="s">
        <v>316</v>
      </c>
    </row>
    <row r="17524">
      <c r="A17524" s="17"/>
      <c r="H17524" s="18"/>
      <c r="K17524" s="18" t="s">
        <v>316</v>
      </c>
    </row>
    <row r="17525">
      <c r="A17525" s="17"/>
      <c r="H17525" s="18"/>
      <c r="K17525" s="18" t="s">
        <v>316</v>
      </c>
    </row>
    <row r="17526">
      <c r="A17526" s="17"/>
      <c r="H17526" s="18"/>
      <c r="K17526" s="18" t="s">
        <v>316</v>
      </c>
    </row>
    <row r="17527">
      <c r="A17527" s="17"/>
      <c r="H17527" s="18"/>
      <c r="K17527" s="18" t="s">
        <v>316</v>
      </c>
    </row>
    <row r="17528">
      <c r="A17528" s="17"/>
      <c r="H17528" s="18"/>
      <c r="K17528" s="18" t="s">
        <v>316</v>
      </c>
    </row>
    <row r="17529">
      <c r="A17529" s="17"/>
      <c r="H17529" s="18"/>
      <c r="K17529" s="18" t="s">
        <v>316</v>
      </c>
    </row>
    <row r="17530">
      <c r="A17530" s="17"/>
      <c r="H17530" s="18"/>
      <c r="K17530" s="18" t="s">
        <v>316</v>
      </c>
    </row>
    <row r="17531">
      <c r="A17531" s="17"/>
      <c r="H17531" s="18"/>
      <c r="K17531" s="18" t="s">
        <v>316</v>
      </c>
    </row>
    <row r="17532">
      <c r="A17532" s="17"/>
      <c r="H17532" s="18"/>
      <c r="K17532" s="18" t="s">
        <v>316</v>
      </c>
    </row>
    <row r="17533">
      <c r="A17533" s="17"/>
      <c r="H17533" s="18"/>
      <c r="K17533" s="18" t="s">
        <v>316</v>
      </c>
    </row>
    <row r="17534">
      <c r="A17534" s="17"/>
      <c r="H17534" s="18"/>
      <c r="K17534" s="18" t="s">
        <v>316</v>
      </c>
    </row>
    <row r="17535">
      <c r="A17535" s="17"/>
      <c r="H17535" s="18"/>
      <c r="K17535" s="18" t="s">
        <v>316</v>
      </c>
    </row>
    <row r="17536">
      <c r="A17536" s="17"/>
      <c r="H17536" s="18"/>
      <c r="K17536" s="18" t="s">
        <v>316</v>
      </c>
    </row>
    <row r="17537">
      <c r="A17537" s="17"/>
      <c r="H17537" s="18"/>
      <c r="K17537" s="18" t="s">
        <v>316</v>
      </c>
    </row>
    <row r="17538">
      <c r="A17538" s="17"/>
      <c r="H17538" s="18"/>
      <c r="K17538" s="18" t="s">
        <v>316</v>
      </c>
    </row>
    <row r="17539">
      <c r="A17539" s="17"/>
      <c r="H17539" s="18"/>
      <c r="K17539" s="18" t="s">
        <v>316</v>
      </c>
    </row>
    <row r="17540">
      <c r="A17540" s="17"/>
      <c r="H17540" s="18"/>
      <c r="K17540" s="18" t="s">
        <v>316</v>
      </c>
    </row>
    <row r="17541">
      <c r="A17541" s="17"/>
      <c r="H17541" s="18"/>
      <c r="K17541" s="18" t="s">
        <v>316</v>
      </c>
    </row>
    <row r="17542">
      <c r="A17542" s="17"/>
      <c r="H17542" s="18"/>
      <c r="K17542" s="18" t="s">
        <v>316</v>
      </c>
    </row>
    <row r="17543">
      <c r="A17543" s="17"/>
      <c r="H17543" s="18"/>
      <c r="K17543" s="18" t="s">
        <v>316</v>
      </c>
    </row>
    <row r="17544">
      <c r="A17544" s="17"/>
      <c r="H17544" s="18"/>
      <c r="K17544" s="18" t="s">
        <v>316</v>
      </c>
    </row>
    <row r="17545">
      <c r="A17545" s="17"/>
      <c r="H17545" s="18"/>
      <c r="K17545" s="18" t="s">
        <v>316</v>
      </c>
    </row>
    <row r="17546">
      <c r="A17546" s="17"/>
      <c r="H17546" s="18"/>
      <c r="K17546" s="18" t="s">
        <v>316</v>
      </c>
    </row>
    <row r="17547">
      <c r="A17547" s="17"/>
      <c r="H17547" s="18"/>
      <c r="K17547" s="18" t="s">
        <v>316</v>
      </c>
    </row>
    <row r="17548">
      <c r="A17548" s="17"/>
      <c r="H17548" s="18"/>
      <c r="K17548" s="18" t="s">
        <v>316</v>
      </c>
    </row>
    <row r="17549">
      <c r="A17549" s="17"/>
      <c r="H17549" s="18"/>
      <c r="K17549" s="18" t="s">
        <v>316</v>
      </c>
    </row>
    <row r="17550">
      <c r="A17550" s="17"/>
      <c r="H17550" s="18"/>
      <c r="K17550" s="18" t="s">
        <v>316</v>
      </c>
    </row>
    <row r="17551">
      <c r="A17551" s="17"/>
      <c r="H17551" s="18"/>
      <c r="K17551" s="18" t="s">
        <v>316</v>
      </c>
    </row>
    <row r="17552">
      <c r="A17552" s="17"/>
      <c r="H17552" s="18"/>
      <c r="K17552" s="18" t="s">
        <v>316</v>
      </c>
    </row>
    <row r="17553">
      <c r="A17553" s="17"/>
      <c r="H17553" s="18"/>
      <c r="K17553" s="18" t="s">
        <v>316</v>
      </c>
    </row>
    <row r="17554">
      <c r="A17554" s="17"/>
      <c r="H17554" s="18"/>
      <c r="K17554" s="18" t="s">
        <v>316</v>
      </c>
    </row>
    <row r="17555">
      <c r="A17555" s="17"/>
      <c r="H17555" s="18"/>
      <c r="K17555" s="18" t="s">
        <v>316</v>
      </c>
    </row>
    <row r="17556">
      <c r="A17556" s="17"/>
      <c r="H17556" s="18"/>
      <c r="K17556" s="18" t="s">
        <v>316</v>
      </c>
    </row>
    <row r="17557">
      <c r="A17557" s="17"/>
      <c r="H17557" s="18"/>
      <c r="K17557" s="18" t="s">
        <v>316</v>
      </c>
    </row>
    <row r="17558">
      <c r="A17558" s="17"/>
      <c r="H17558" s="18"/>
      <c r="K17558" s="18" t="s">
        <v>316</v>
      </c>
    </row>
    <row r="17559">
      <c r="A17559" s="17"/>
      <c r="H17559" s="18"/>
      <c r="K17559" s="18" t="s">
        <v>316</v>
      </c>
    </row>
    <row r="17560">
      <c r="A17560" s="17"/>
      <c r="H17560" s="18"/>
      <c r="K17560" s="18" t="s">
        <v>316</v>
      </c>
    </row>
    <row r="17561">
      <c r="A17561" s="17"/>
      <c r="H17561" s="18"/>
      <c r="K17561" s="18" t="s">
        <v>316</v>
      </c>
    </row>
    <row r="17562">
      <c r="A17562" s="17"/>
      <c r="H17562" s="18"/>
      <c r="K17562" s="18" t="s">
        <v>316</v>
      </c>
    </row>
    <row r="17563">
      <c r="A17563" s="17"/>
      <c r="H17563" s="18"/>
      <c r="K17563" s="18" t="s">
        <v>316</v>
      </c>
    </row>
    <row r="17564">
      <c r="A17564" s="17"/>
      <c r="H17564" s="18"/>
      <c r="K17564" s="18" t="s">
        <v>316</v>
      </c>
    </row>
    <row r="17565">
      <c r="A17565" s="17"/>
      <c r="H17565" s="18"/>
      <c r="K17565" s="18" t="s">
        <v>316</v>
      </c>
    </row>
    <row r="17566">
      <c r="A17566" s="17"/>
      <c r="H17566" s="18"/>
      <c r="K17566" s="18" t="s">
        <v>316</v>
      </c>
    </row>
    <row r="17567">
      <c r="A17567" s="17"/>
      <c r="H17567" s="18"/>
      <c r="K17567" s="18" t="s">
        <v>316</v>
      </c>
    </row>
    <row r="17568">
      <c r="A17568" s="17"/>
      <c r="H17568" s="18"/>
      <c r="K17568" s="18" t="s">
        <v>316</v>
      </c>
    </row>
    <row r="17569">
      <c r="A17569" s="17"/>
      <c r="H17569" s="18"/>
      <c r="K17569" s="18" t="s">
        <v>316</v>
      </c>
    </row>
    <row r="17570">
      <c r="A17570" s="17"/>
      <c r="H17570" s="18"/>
      <c r="K17570" s="18" t="s">
        <v>316</v>
      </c>
    </row>
    <row r="17571">
      <c r="A17571" s="17"/>
      <c r="H17571" s="18"/>
      <c r="K17571" s="18" t="s">
        <v>316</v>
      </c>
    </row>
    <row r="17572">
      <c r="A17572" s="17"/>
      <c r="H17572" s="18"/>
      <c r="K17572" s="18" t="s">
        <v>316</v>
      </c>
    </row>
    <row r="17573">
      <c r="A17573" s="17"/>
      <c r="H17573" s="18"/>
      <c r="K17573" s="18" t="s">
        <v>316</v>
      </c>
    </row>
    <row r="17574">
      <c r="A17574" s="17"/>
      <c r="H17574" s="18"/>
      <c r="K17574" s="18" t="s">
        <v>316</v>
      </c>
    </row>
    <row r="17575">
      <c r="A17575" s="17"/>
      <c r="H17575" s="18"/>
      <c r="K17575" s="18" t="s">
        <v>316</v>
      </c>
    </row>
    <row r="17576">
      <c r="A17576" s="17"/>
      <c r="H17576" s="18"/>
      <c r="K17576" s="18" t="s">
        <v>316</v>
      </c>
    </row>
    <row r="17577">
      <c r="A17577" s="17"/>
      <c r="H17577" s="18"/>
      <c r="K17577" s="18" t="s">
        <v>316</v>
      </c>
    </row>
    <row r="17578">
      <c r="A17578" s="17"/>
      <c r="H17578" s="18"/>
      <c r="K17578" s="18" t="s">
        <v>316</v>
      </c>
    </row>
    <row r="17579">
      <c r="A17579" s="17"/>
      <c r="H17579" s="18"/>
      <c r="K17579" s="18" t="s">
        <v>316</v>
      </c>
    </row>
    <row r="17580">
      <c r="A17580" s="17"/>
      <c r="H17580" s="18"/>
      <c r="K17580" s="18" t="s">
        <v>316</v>
      </c>
    </row>
    <row r="17581">
      <c r="A17581" s="17"/>
      <c r="H17581" s="18"/>
      <c r="K17581" s="18" t="s">
        <v>316</v>
      </c>
    </row>
    <row r="17582">
      <c r="A17582" s="17"/>
      <c r="H17582" s="18"/>
      <c r="K17582" s="18" t="s">
        <v>316</v>
      </c>
    </row>
    <row r="17583">
      <c r="A17583" s="17"/>
      <c r="H17583" s="18"/>
      <c r="K17583" s="18" t="s">
        <v>316</v>
      </c>
    </row>
    <row r="17584">
      <c r="A17584" s="17"/>
      <c r="H17584" s="18"/>
      <c r="K17584" s="18" t="s">
        <v>316</v>
      </c>
    </row>
    <row r="17585">
      <c r="A17585" s="17"/>
      <c r="H17585" s="18"/>
      <c r="K17585" s="18" t="s">
        <v>316</v>
      </c>
    </row>
    <row r="17586">
      <c r="A17586" s="17"/>
      <c r="H17586" s="18"/>
      <c r="K17586" s="18" t="s">
        <v>316</v>
      </c>
    </row>
    <row r="17587">
      <c r="A17587" s="17"/>
      <c r="H17587" s="18"/>
      <c r="K17587" s="18" t="s">
        <v>316</v>
      </c>
    </row>
    <row r="17588">
      <c r="A17588" s="17"/>
      <c r="H17588" s="18"/>
      <c r="K17588" s="18" t="s">
        <v>316</v>
      </c>
    </row>
    <row r="17589">
      <c r="A17589" s="17"/>
      <c r="H17589" s="18"/>
      <c r="K17589" s="18" t="s">
        <v>316</v>
      </c>
    </row>
    <row r="17590">
      <c r="A17590" s="17"/>
      <c r="H17590" s="18"/>
      <c r="K17590" s="18" t="s">
        <v>316</v>
      </c>
    </row>
    <row r="17591">
      <c r="A17591" s="17"/>
      <c r="H17591" s="18"/>
      <c r="K17591" s="18" t="s">
        <v>316</v>
      </c>
    </row>
    <row r="17592">
      <c r="A17592" s="17"/>
      <c r="H17592" s="18"/>
      <c r="K17592" s="18" t="s">
        <v>316</v>
      </c>
    </row>
    <row r="17593">
      <c r="A17593" s="17"/>
      <c r="H17593" s="18"/>
      <c r="K17593" s="18" t="s">
        <v>316</v>
      </c>
    </row>
    <row r="17594">
      <c r="A17594" s="17"/>
      <c r="H17594" s="18"/>
      <c r="K17594" s="18" t="s">
        <v>316</v>
      </c>
    </row>
    <row r="17595">
      <c r="A17595" s="17"/>
      <c r="H17595" s="18"/>
      <c r="K17595" s="18" t="s">
        <v>316</v>
      </c>
    </row>
    <row r="17596">
      <c r="A17596" s="17"/>
      <c r="H17596" s="18"/>
      <c r="K17596" s="18" t="s">
        <v>316</v>
      </c>
    </row>
    <row r="17597">
      <c r="A17597" s="17"/>
      <c r="H17597" s="18"/>
      <c r="K17597" s="18" t="s">
        <v>316</v>
      </c>
    </row>
    <row r="17598">
      <c r="A17598" s="17"/>
      <c r="H17598" s="18"/>
      <c r="K17598" s="18" t="s">
        <v>316</v>
      </c>
    </row>
    <row r="17599">
      <c r="A17599" s="17"/>
      <c r="H17599" s="18"/>
      <c r="K17599" s="18" t="s">
        <v>316</v>
      </c>
    </row>
    <row r="17600">
      <c r="A17600" s="17"/>
      <c r="H17600" s="18"/>
      <c r="K17600" s="18" t="s">
        <v>316</v>
      </c>
    </row>
    <row r="17601">
      <c r="A17601" s="17"/>
      <c r="H17601" s="18"/>
      <c r="K17601" s="18" t="s">
        <v>316</v>
      </c>
    </row>
    <row r="17602">
      <c r="A17602" s="17"/>
      <c r="H17602" s="18"/>
      <c r="K17602" s="18" t="s">
        <v>316</v>
      </c>
    </row>
    <row r="17603">
      <c r="A17603" s="17"/>
      <c r="H17603" s="18"/>
      <c r="K17603" s="18" t="s">
        <v>316</v>
      </c>
    </row>
    <row r="17604">
      <c r="A17604" s="17"/>
      <c r="H17604" s="18"/>
      <c r="K17604" s="18" t="s">
        <v>316</v>
      </c>
    </row>
    <row r="17605">
      <c r="A17605" s="17"/>
      <c r="H17605" s="18"/>
      <c r="K17605" s="18" t="s">
        <v>316</v>
      </c>
    </row>
    <row r="17606">
      <c r="A17606" s="17"/>
      <c r="H17606" s="18"/>
      <c r="K17606" s="18" t="s">
        <v>316</v>
      </c>
    </row>
    <row r="17607">
      <c r="A17607" s="17"/>
      <c r="H17607" s="18"/>
      <c r="K17607" s="18" t="s">
        <v>316</v>
      </c>
    </row>
    <row r="17608">
      <c r="A17608" s="17"/>
      <c r="H17608" s="18"/>
      <c r="K17608" s="18" t="s">
        <v>316</v>
      </c>
    </row>
    <row r="17609">
      <c r="A17609" s="17"/>
      <c r="H17609" s="18"/>
      <c r="K17609" s="18" t="s">
        <v>316</v>
      </c>
    </row>
    <row r="17610">
      <c r="A17610" s="17"/>
      <c r="H17610" s="18"/>
      <c r="K17610" s="18" t="s">
        <v>316</v>
      </c>
    </row>
    <row r="17611">
      <c r="A17611" s="17"/>
      <c r="H17611" s="18"/>
      <c r="K17611" s="18" t="s">
        <v>316</v>
      </c>
    </row>
    <row r="17612">
      <c r="A17612" s="17"/>
      <c r="H17612" s="18"/>
      <c r="K17612" s="18" t="s">
        <v>316</v>
      </c>
    </row>
    <row r="17613">
      <c r="A17613" s="17"/>
      <c r="H17613" s="18"/>
      <c r="K17613" s="18" t="s">
        <v>316</v>
      </c>
    </row>
    <row r="17614">
      <c r="A17614" s="17"/>
      <c r="H17614" s="18"/>
      <c r="K17614" s="18" t="s">
        <v>316</v>
      </c>
    </row>
    <row r="17615">
      <c r="A17615" s="17"/>
      <c r="H17615" s="18"/>
      <c r="K17615" s="18" t="s">
        <v>316</v>
      </c>
    </row>
    <row r="17616">
      <c r="A17616" s="17"/>
      <c r="H17616" s="18"/>
      <c r="K17616" s="18" t="s">
        <v>316</v>
      </c>
    </row>
    <row r="17617">
      <c r="A17617" s="17"/>
      <c r="H17617" s="18"/>
      <c r="K17617" s="18" t="s">
        <v>316</v>
      </c>
    </row>
    <row r="17618">
      <c r="A17618" s="17"/>
      <c r="H17618" s="18"/>
      <c r="K17618" s="18" t="s">
        <v>316</v>
      </c>
    </row>
    <row r="17619">
      <c r="A17619" s="17"/>
      <c r="H17619" s="18"/>
      <c r="K17619" s="18" t="s">
        <v>316</v>
      </c>
    </row>
    <row r="17620">
      <c r="A17620" s="17"/>
      <c r="H17620" s="18"/>
      <c r="K17620" s="18" t="s">
        <v>316</v>
      </c>
    </row>
    <row r="17621">
      <c r="A17621" s="17"/>
      <c r="H17621" s="18"/>
      <c r="K17621" s="18" t="s">
        <v>316</v>
      </c>
    </row>
    <row r="17622">
      <c r="A17622" s="17"/>
      <c r="H17622" s="18"/>
      <c r="K17622" s="18" t="s">
        <v>316</v>
      </c>
    </row>
    <row r="17623">
      <c r="A17623" s="17"/>
      <c r="H17623" s="18"/>
      <c r="K17623" s="18" t="s">
        <v>316</v>
      </c>
    </row>
    <row r="17624">
      <c r="A17624" s="17"/>
      <c r="H17624" s="18"/>
      <c r="K17624" s="18" t="s">
        <v>316</v>
      </c>
    </row>
    <row r="17625">
      <c r="A17625" s="17"/>
      <c r="H17625" s="18"/>
      <c r="K17625" s="18" t="s">
        <v>316</v>
      </c>
    </row>
    <row r="17626">
      <c r="A17626" s="17"/>
      <c r="H17626" s="18"/>
      <c r="K17626" s="18" t="s">
        <v>316</v>
      </c>
    </row>
    <row r="17627">
      <c r="A17627" s="17"/>
      <c r="H17627" s="18"/>
      <c r="K17627" s="18" t="s">
        <v>316</v>
      </c>
    </row>
    <row r="17628">
      <c r="A17628" s="17"/>
      <c r="H17628" s="18"/>
      <c r="K17628" s="18" t="s">
        <v>316</v>
      </c>
    </row>
    <row r="17629">
      <c r="A17629" s="17"/>
      <c r="H17629" s="18"/>
      <c r="K17629" s="18" t="s">
        <v>316</v>
      </c>
    </row>
    <row r="17630">
      <c r="A17630" s="17"/>
      <c r="H17630" s="18"/>
      <c r="K17630" s="18" t="s">
        <v>316</v>
      </c>
    </row>
    <row r="17631">
      <c r="A17631" s="17"/>
      <c r="H17631" s="18"/>
      <c r="K17631" s="18" t="s">
        <v>316</v>
      </c>
    </row>
    <row r="17632">
      <c r="A17632" s="17"/>
      <c r="H17632" s="18"/>
      <c r="K17632" s="18" t="s">
        <v>316</v>
      </c>
    </row>
    <row r="17633">
      <c r="A17633" s="17"/>
      <c r="H17633" s="18"/>
      <c r="K17633" s="18" t="s">
        <v>316</v>
      </c>
    </row>
    <row r="17634">
      <c r="A17634" s="17"/>
      <c r="H17634" s="18"/>
      <c r="K17634" s="18" t="s">
        <v>316</v>
      </c>
    </row>
    <row r="17635">
      <c r="A17635" s="17"/>
      <c r="H17635" s="18"/>
      <c r="K17635" s="18" t="s">
        <v>316</v>
      </c>
    </row>
    <row r="17636">
      <c r="A17636" s="17"/>
      <c r="H17636" s="18"/>
      <c r="K17636" s="18" t="s">
        <v>316</v>
      </c>
    </row>
    <row r="17637">
      <c r="A17637" s="17"/>
      <c r="H17637" s="18"/>
      <c r="K17637" s="18" t="s">
        <v>316</v>
      </c>
    </row>
    <row r="17638">
      <c r="A17638" s="17"/>
      <c r="H17638" s="18"/>
      <c r="K17638" s="18" t="s">
        <v>316</v>
      </c>
    </row>
    <row r="17639">
      <c r="A17639" s="17"/>
      <c r="H17639" s="18"/>
      <c r="K17639" s="18" t="s">
        <v>316</v>
      </c>
    </row>
    <row r="17640">
      <c r="A17640" s="17"/>
      <c r="H17640" s="18"/>
      <c r="K17640" s="18" t="s">
        <v>316</v>
      </c>
    </row>
    <row r="17641">
      <c r="A17641" s="17"/>
      <c r="H17641" s="18"/>
      <c r="K17641" s="18" t="s">
        <v>316</v>
      </c>
    </row>
    <row r="17642">
      <c r="A17642" s="17"/>
      <c r="H17642" s="18"/>
      <c r="K17642" s="18" t="s">
        <v>316</v>
      </c>
    </row>
    <row r="17643">
      <c r="A17643" s="17"/>
      <c r="H17643" s="18"/>
      <c r="K17643" s="18" t="s">
        <v>316</v>
      </c>
    </row>
    <row r="17644">
      <c r="A17644" s="17"/>
      <c r="H17644" s="18"/>
      <c r="K17644" s="18" t="s">
        <v>316</v>
      </c>
    </row>
    <row r="17645">
      <c r="A17645" s="17"/>
      <c r="H17645" s="18"/>
      <c r="K17645" s="18" t="s">
        <v>316</v>
      </c>
    </row>
    <row r="17646">
      <c r="A17646" s="17"/>
      <c r="H17646" s="18"/>
      <c r="K17646" s="18" t="s">
        <v>316</v>
      </c>
    </row>
    <row r="17647">
      <c r="A17647" s="17"/>
      <c r="H17647" s="18"/>
      <c r="K17647" s="18" t="s">
        <v>316</v>
      </c>
    </row>
    <row r="17648">
      <c r="A17648" s="17"/>
      <c r="H17648" s="18"/>
      <c r="K17648" s="18" t="s">
        <v>316</v>
      </c>
    </row>
    <row r="17649">
      <c r="A17649" s="17"/>
      <c r="H17649" s="18"/>
      <c r="K17649" s="18" t="s">
        <v>316</v>
      </c>
    </row>
    <row r="17650">
      <c r="A17650" s="17"/>
      <c r="H17650" s="18"/>
      <c r="K17650" s="18" t="s">
        <v>316</v>
      </c>
    </row>
    <row r="17651">
      <c r="A17651" s="17"/>
      <c r="H17651" s="18"/>
      <c r="K17651" s="18" t="s">
        <v>316</v>
      </c>
    </row>
    <row r="17652">
      <c r="A17652" s="17"/>
      <c r="H17652" s="18"/>
      <c r="K17652" s="18" t="s">
        <v>316</v>
      </c>
    </row>
    <row r="17653">
      <c r="A17653" s="17"/>
      <c r="H17653" s="18"/>
      <c r="K17653" s="18" t="s">
        <v>316</v>
      </c>
    </row>
    <row r="17654">
      <c r="A17654" s="17"/>
      <c r="H17654" s="18"/>
      <c r="K17654" s="18" t="s">
        <v>316</v>
      </c>
    </row>
    <row r="17655">
      <c r="A17655" s="17"/>
      <c r="H17655" s="18"/>
      <c r="K17655" s="18" t="s">
        <v>316</v>
      </c>
    </row>
    <row r="17656">
      <c r="A17656" s="17"/>
      <c r="H17656" s="18"/>
      <c r="K17656" s="18" t="s">
        <v>316</v>
      </c>
    </row>
    <row r="17657">
      <c r="A17657" s="17"/>
      <c r="H17657" s="18"/>
      <c r="K17657" s="18" t="s">
        <v>316</v>
      </c>
    </row>
    <row r="17658">
      <c r="A17658" s="17"/>
      <c r="H17658" s="18"/>
      <c r="K17658" s="18" t="s">
        <v>316</v>
      </c>
    </row>
    <row r="17659">
      <c r="A17659" s="17"/>
      <c r="H17659" s="18"/>
      <c r="K17659" s="18" t="s">
        <v>316</v>
      </c>
    </row>
    <row r="17660">
      <c r="A17660" s="17"/>
      <c r="H17660" s="18"/>
      <c r="K17660" s="18" t="s">
        <v>316</v>
      </c>
    </row>
    <row r="17661">
      <c r="A17661" s="17"/>
      <c r="H17661" s="18"/>
      <c r="K17661" s="18" t="s">
        <v>316</v>
      </c>
    </row>
    <row r="17662">
      <c r="A17662" s="17"/>
      <c r="H17662" s="18"/>
      <c r="K17662" s="18" t="s">
        <v>316</v>
      </c>
    </row>
    <row r="17663">
      <c r="A17663" s="17"/>
      <c r="H17663" s="18"/>
      <c r="K17663" s="18" t="s">
        <v>316</v>
      </c>
    </row>
    <row r="17664">
      <c r="A17664" s="17"/>
      <c r="H17664" s="18"/>
      <c r="K17664" s="18" t="s">
        <v>316</v>
      </c>
    </row>
    <row r="17665">
      <c r="A17665" s="17"/>
      <c r="H17665" s="18"/>
      <c r="K17665" s="18" t="s">
        <v>316</v>
      </c>
    </row>
    <row r="17666">
      <c r="A17666" s="17"/>
      <c r="H17666" s="18"/>
      <c r="K17666" s="18" t="s">
        <v>316</v>
      </c>
    </row>
    <row r="17667">
      <c r="A17667" s="17"/>
      <c r="H17667" s="18"/>
      <c r="K17667" s="18" t="s">
        <v>316</v>
      </c>
    </row>
    <row r="17668">
      <c r="A17668" s="17"/>
      <c r="H17668" s="18"/>
      <c r="K17668" s="18" t="s">
        <v>316</v>
      </c>
    </row>
    <row r="17669">
      <c r="A17669" s="17"/>
      <c r="H17669" s="18"/>
      <c r="K17669" s="18" t="s">
        <v>316</v>
      </c>
    </row>
    <row r="17670">
      <c r="A17670" s="17"/>
      <c r="H17670" s="18"/>
      <c r="K17670" s="18" t="s">
        <v>316</v>
      </c>
    </row>
    <row r="17671">
      <c r="A17671" s="17"/>
      <c r="H17671" s="18"/>
      <c r="K17671" s="18" t="s">
        <v>316</v>
      </c>
    </row>
    <row r="17672">
      <c r="A17672" s="17"/>
      <c r="H17672" s="18"/>
      <c r="K17672" s="18" t="s">
        <v>316</v>
      </c>
    </row>
    <row r="17673">
      <c r="A17673" s="17"/>
      <c r="H17673" s="18"/>
      <c r="K17673" s="18" t="s">
        <v>316</v>
      </c>
    </row>
    <row r="17674">
      <c r="A17674" s="17"/>
      <c r="H17674" s="18"/>
      <c r="K17674" s="18" t="s">
        <v>316</v>
      </c>
    </row>
    <row r="17675">
      <c r="A17675" s="17"/>
      <c r="H17675" s="18"/>
      <c r="K17675" s="18" t="s">
        <v>316</v>
      </c>
    </row>
    <row r="17676">
      <c r="A17676" s="17"/>
      <c r="H17676" s="18"/>
      <c r="K17676" s="18" t="s">
        <v>316</v>
      </c>
    </row>
    <row r="17677">
      <c r="A17677" s="17"/>
      <c r="H17677" s="18"/>
      <c r="K17677" s="18" t="s">
        <v>316</v>
      </c>
    </row>
    <row r="17678">
      <c r="A17678" s="17"/>
      <c r="H17678" s="18"/>
      <c r="K17678" s="18" t="s">
        <v>316</v>
      </c>
    </row>
    <row r="17679">
      <c r="A17679" s="17"/>
      <c r="H17679" s="18"/>
      <c r="K17679" s="18" t="s">
        <v>316</v>
      </c>
    </row>
    <row r="17680">
      <c r="A17680" s="17"/>
      <c r="H17680" s="18"/>
      <c r="K17680" s="18" t="s">
        <v>316</v>
      </c>
    </row>
    <row r="17681">
      <c r="A17681" s="17"/>
      <c r="H17681" s="18"/>
      <c r="K17681" s="18" t="s">
        <v>316</v>
      </c>
    </row>
    <row r="17682">
      <c r="A17682" s="17"/>
      <c r="H17682" s="18"/>
      <c r="K17682" s="18" t="s">
        <v>316</v>
      </c>
    </row>
    <row r="17683">
      <c r="A17683" s="17"/>
      <c r="H17683" s="18"/>
      <c r="K17683" s="18" t="s">
        <v>316</v>
      </c>
    </row>
    <row r="17684">
      <c r="A17684" s="17"/>
      <c r="H17684" s="18"/>
      <c r="K17684" s="18" t="s">
        <v>316</v>
      </c>
    </row>
    <row r="17685">
      <c r="A17685" s="17"/>
      <c r="H17685" s="18"/>
      <c r="K17685" s="18" t="s">
        <v>316</v>
      </c>
    </row>
    <row r="17686">
      <c r="A17686" s="17"/>
      <c r="H17686" s="18"/>
      <c r="K17686" s="18" t="s">
        <v>316</v>
      </c>
    </row>
    <row r="17687">
      <c r="A17687" s="17"/>
      <c r="H17687" s="18"/>
      <c r="K17687" s="18" t="s">
        <v>316</v>
      </c>
    </row>
    <row r="17688">
      <c r="A17688" s="17"/>
      <c r="H17688" s="18"/>
      <c r="K17688" s="18" t="s">
        <v>316</v>
      </c>
    </row>
    <row r="17689">
      <c r="A17689" s="17"/>
      <c r="H17689" s="18"/>
      <c r="K17689" s="18" t="s">
        <v>316</v>
      </c>
    </row>
    <row r="17690">
      <c r="A17690" s="17"/>
      <c r="H17690" s="18"/>
      <c r="K17690" s="18" t="s">
        <v>316</v>
      </c>
    </row>
    <row r="17691">
      <c r="A17691" s="17"/>
      <c r="H17691" s="18"/>
      <c r="K17691" s="18" t="s">
        <v>316</v>
      </c>
    </row>
    <row r="17692">
      <c r="A17692" s="17"/>
      <c r="H17692" s="18"/>
      <c r="K17692" s="18" t="s">
        <v>316</v>
      </c>
    </row>
    <row r="17693">
      <c r="A17693" s="17"/>
      <c r="H17693" s="18"/>
      <c r="K17693" s="18" t="s">
        <v>316</v>
      </c>
    </row>
    <row r="17694">
      <c r="A17694" s="17"/>
      <c r="H17694" s="18"/>
      <c r="K17694" s="18" t="s">
        <v>316</v>
      </c>
    </row>
    <row r="17695">
      <c r="A17695" s="17"/>
      <c r="H17695" s="18"/>
      <c r="K17695" s="18" t="s">
        <v>316</v>
      </c>
    </row>
    <row r="17696">
      <c r="A17696" s="17"/>
      <c r="H17696" s="18"/>
      <c r="K17696" s="18" t="s">
        <v>316</v>
      </c>
    </row>
    <row r="17697">
      <c r="A17697" s="17"/>
      <c r="H17697" s="18"/>
      <c r="K17697" s="18" t="s">
        <v>316</v>
      </c>
    </row>
    <row r="17698">
      <c r="A17698" s="17"/>
      <c r="H17698" s="18"/>
      <c r="K17698" s="18" t="s">
        <v>316</v>
      </c>
    </row>
    <row r="17699">
      <c r="A17699" s="17"/>
      <c r="H17699" s="18"/>
      <c r="K17699" s="18" t="s">
        <v>316</v>
      </c>
    </row>
    <row r="17700">
      <c r="A17700" s="17"/>
      <c r="H17700" s="18"/>
      <c r="K17700" s="18" t="s">
        <v>316</v>
      </c>
    </row>
    <row r="17701">
      <c r="A17701" s="17"/>
      <c r="H17701" s="18"/>
      <c r="K17701" s="18" t="s">
        <v>316</v>
      </c>
    </row>
    <row r="17702">
      <c r="A17702" s="17"/>
      <c r="H17702" s="18"/>
      <c r="K17702" s="18" t="s">
        <v>316</v>
      </c>
    </row>
    <row r="17703">
      <c r="A17703" s="17"/>
      <c r="H17703" s="18"/>
      <c r="K17703" s="18" t="s">
        <v>316</v>
      </c>
    </row>
    <row r="17704">
      <c r="A17704" s="17"/>
      <c r="H17704" s="18"/>
      <c r="K17704" s="18" t="s">
        <v>316</v>
      </c>
    </row>
    <row r="17705">
      <c r="A17705" s="17"/>
      <c r="H17705" s="18"/>
      <c r="K17705" s="18" t="s">
        <v>316</v>
      </c>
    </row>
    <row r="17706">
      <c r="A17706" s="17"/>
      <c r="H17706" s="18"/>
      <c r="K17706" s="18" t="s">
        <v>316</v>
      </c>
    </row>
    <row r="17707">
      <c r="A17707" s="17"/>
      <c r="H17707" s="18"/>
      <c r="K17707" s="18" t="s">
        <v>316</v>
      </c>
    </row>
    <row r="17708">
      <c r="A17708" s="17"/>
      <c r="H17708" s="18"/>
      <c r="K17708" s="18" t="s">
        <v>316</v>
      </c>
    </row>
    <row r="17709">
      <c r="A17709" s="17"/>
      <c r="H17709" s="18"/>
      <c r="K17709" s="18" t="s">
        <v>316</v>
      </c>
    </row>
    <row r="17710">
      <c r="A17710" s="17"/>
      <c r="H17710" s="18"/>
      <c r="K17710" s="18" t="s">
        <v>316</v>
      </c>
    </row>
    <row r="17711">
      <c r="A17711" s="17"/>
      <c r="H17711" s="18"/>
      <c r="K17711" s="18" t="s">
        <v>316</v>
      </c>
    </row>
    <row r="17712">
      <c r="A17712" s="17"/>
      <c r="H17712" s="18"/>
      <c r="K17712" s="18" t="s">
        <v>316</v>
      </c>
    </row>
    <row r="17713">
      <c r="A17713" s="17"/>
      <c r="H17713" s="18"/>
      <c r="K17713" s="18" t="s">
        <v>316</v>
      </c>
    </row>
    <row r="17714">
      <c r="A17714" s="17"/>
      <c r="H17714" s="18"/>
      <c r="K17714" s="18" t="s">
        <v>316</v>
      </c>
    </row>
    <row r="17715">
      <c r="A17715" s="17"/>
      <c r="H17715" s="18"/>
      <c r="K17715" s="18" t="s">
        <v>316</v>
      </c>
    </row>
    <row r="17716">
      <c r="A17716" s="17"/>
      <c r="H17716" s="18"/>
      <c r="K17716" s="18" t="s">
        <v>316</v>
      </c>
    </row>
    <row r="17717">
      <c r="A17717" s="17"/>
      <c r="H17717" s="18"/>
      <c r="K17717" s="18" t="s">
        <v>316</v>
      </c>
    </row>
    <row r="17718">
      <c r="A17718" s="17"/>
      <c r="H17718" s="18"/>
      <c r="K17718" s="18" t="s">
        <v>316</v>
      </c>
    </row>
    <row r="17719">
      <c r="A17719" s="17"/>
      <c r="H17719" s="18"/>
      <c r="K17719" s="18" t="s">
        <v>316</v>
      </c>
    </row>
    <row r="17720">
      <c r="A17720" s="17"/>
      <c r="H17720" s="18"/>
      <c r="K17720" s="18" t="s">
        <v>316</v>
      </c>
    </row>
    <row r="17721">
      <c r="A17721" s="17"/>
      <c r="H17721" s="18"/>
      <c r="K17721" s="18" t="s">
        <v>316</v>
      </c>
    </row>
    <row r="17722">
      <c r="A17722" s="17"/>
      <c r="H17722" s="18"/>
      <c r="K17722" s="18" t="s">
        <v>316</v>
      </c>
    </row>
    <row r="17723">
      <c r="A17723" s="17"/>
      <c r="H17723" s="18"/>
      <c r="K17723" s="18" t="s">
        <v>316</v>
      </c>
    </row>
    <row r="17724">
      <c r="A17724" s="17"/>
      <c r="H17724" s="18"/>
      <c r="K17724" s="18" t="s">
        <v>316</v>
      </c>
    </row>
    <row r="17725">
      <c r="A17725" s="17"/>
      <c r="H17725" s="18"/>
      <c r="K17725" s="18" t="s">
        <v>316</v>
      </c>
    </row>
    <row r="17726">
      <c r="A17726" s="17"/>
      <c r="H17726" s="18"/>
      <c r="K17726" s="18" t="s">
        <v>316</v>
      </c>
    </row>
    <row r="17727">
      <c r="A17727" s="17"/>
      <c r="H17727" s="18"/>
      <c r="K17727" s="18" t="s">
        <v>316</v>
      </c>
    </row>
    <row r="17728">
      <c r="A17728" s="17"/>
      <c r="H17728" s="18"/>
      <c r="K17728" s="18" t="s">
        <v>316</v>
      </c>
    </row>
    <row r="17729">
      <c r="A17729" s="17"/>
      <c r="H17729" s="18"/>
      <c r="K17729" s="18" t="s">
        <v>316</v>
      </c>
    </row>
    <row r="17730">
      <c r="A17730" s="17"/>
      <c r="H17730" s="18"/>
      <c r="K17730" s="18" t="s">
        <v>316</v>
      </c>
    </row>
    <row r="17731">
      <c r="A17731" s="17"/>
      <c r="H17731" s="18"/>
      <c r="K17731" s="18" t="s">
        <v>316</v>
      </c>
    </row>
    <row r="17732">
      <c r="A17732" s="17"/>
      <c r="H17732" s="18"/>
      <c r="K17732" s="18" t="s">
        <v>316</v>
      </c>
    </row>
    <row r="17733">
      <c r="A17733" s="17"/>
      <c r="H17733" s="18"/>
      <c r="K17733" s="18" t="s">
        <v>316</v>
      </c>
    </row>
    <row r="17734">
      <c r="A17734" s="17"/>
      <c r="H17734" s="18"/>
      <c r="K17734" s="18" t="s">
        <v>316</v>
      </c>
    </row>
    <row r="17735">
      <c r="A17735" s="17"/>
      <c r="H17735" s="18"/>
      <c r="K17735" s="18" t="s">
        <v>316</v>
      </c>
    </row>
    <row r="17736">
      <c r="A17736" s="17"/>
      <c r="H17736" s="18"/>
      <c r="K17736" s="18" t="s">
        <v>316</v>
      </c>
    </row>
    <row r="17737">
      <c r="A17737" s="17"/>
      <c r="H17737" s="18"/>
      <c r="K17737" s="18" t="s">
        <v>316</v>
      </c>
    </row>
    <row r="17738">
      <c r="A17738" s="17"/>
      <c r="H17738" s="18"/>
      <c r="K17738" s="18" t="s">
        <v>316</v>
      </c>
    </row>
    <row r="17739">
      <c r="A17739" s="17"/>
      <c r="H17739" s="18"/>
      <c r="K17739" s="18" t="s">
        <v>316</v>
      </c>
    </row>
    <row r="17740">
      <c r="A17740" s="17"/>
      <c r="H17740" s="18"/>
      <c r="K17740" s="18" t="s">
        <v>316</v>
      </c>
    </row>
    <row r="17741">
      <c r="A17741" s="17"/>
      <c r="H17741" s="18"/>
      <c r="K17741" s="18" t="s">
        <v>316</v>
      </c>
    </row>
    <row r="17742">
      <c r="A17742" s="17"/>
      <c r="H17742" s="18"/>
      <c r="K17742" s="18" t="s">
        <v>316</v>
      </c>
    </row>
    <row r="17743">
      <c r="A17743" s="17"/>
      <c r="H17743" s="18"/>
      <c r="K17743" s="18" t="s">
        <v>316</v>
      </c>
    </row>
    <row r="17744">
      <c r="A17744" s="17"/>
      <c r="H17744" s="18"/>
      <c r="K17744" s="18" t="s">
        <v>316</v>
      </c>
    </row>
    <row r="17745">
      <c r="A17745" s="17"/>
      <c r="H17745" s="18"/>
      <c r="K17745" s="18" t="s">
        <v>316</v>
      </c>
    </row>
    <row r="17746">
      <c r="A17746" s="17"/>
      <c r="H17746" s="18"/>
      <c r="K17746" s="18" t="s">
        <v>316</v>
      </c>
    </row>
    <row r="17747">
      <c r="A17747" s="17"/>
      <c r="H17747" s="18"/>
      <c r="K17747" s="18" t="s">
        <v>316</v>
      </c>
    </row>
    <row r="17748">
      <c r="A17748" s="17"/>
      <c r="H17748" s="18"/>
      <c r="K17748" s="18" t="s">
        <v>316</v>
      </c>
    </row>
    <row r="17749">
      <c r="A17749" s="17"/>
      <c r="H17749" s="18"/>
      <c r="K17749" s="18" t="s">
        <v>316</v>
      </c>
    </row>
    <row r="17750">
      <c r="A17750" s="17"/>
      <c r="H17750" s="18"/>
      <c r="K17750" s="18" t="s">
        <v>316</v>
      </c>
    </row>
    <row r="17751">
      <c r="A17751" s="17"/>
      <c r="H17751" s="18"/>
      <c r="K17751" s="18" t="s">
        <v>316</v>
      </c>
    </row>
    <row r="17752">
      <c r="A17752" s="17"/>
      <c r="H17752" s="18"/>
      <c r="K17752" s="18" t="s">
        <v>316</v>
      </c>
    </row>
    <row r="17753">
      <c r="A17753" s="17"/>
      <c r="H17753" s="18"/>
      <c r="K17753" s="18" t="s">
        <v>316</v>
      </c>
    </row>
    <row r="17754">
      <c r="A17754" s="17"/>
      <c r="H17754" s="18"/>
      <c r="K17754" s="18" t="s">
        <v>316</v>
      </c>
    </row>
    <row r="17755">
      <c r="A17755" s="17"/>
      <c r="H17755" s="18"/>
      <c r="K17755" s="18" t="s">
        <v>316</v>
      </c>
    </row>
    <row r="17756">
      <c r="A17756" s="17"/>
      <c r="H17756" s="18"/>
      <c r="K17756" s="18" t="s">
        <v>316</v>
      </c>
    </row>
    <row r="17757">
      <c r="A17757" s="17"/>
      <c r="H17757" s="18"/>
      <c r="K17757" s="18" t="s">
        <v>316</v>
      </c>
    </row>
    <row r="17758">
      <c r="A17758" s="17"/>
      <c r="H17758" s="18"/>
      <c r="K17758" s="18" t="s">
        <v>316</v>
      </c>
    </row>
    <row r="17759">
      <c r="A17759" s="17"/>
      <c r="H17759" s="18"/>
      <c r="K17759" s="18" t="s">
        <v>316</v>
      </c>
    </row>
    <row r="17760">
      <c r="A17760" s="17"/>
      <c r="H17760" s="18"/>
      <c r="K17760" s="18" t="s">
        <v>316</v>
      </c>
    </row>
    <row r="17761">
      <c r="A17761" s="17"/>
      <c r="H17761" s="18"/>
      <c r="K17761" s="18" t="s">
        <v>316</v>
      </c>
    </row>
    <row r="17762">
      <c r="A17762" s="17"/>
      <c r="H17762" s="18"/>
      <c r="K17762" s="18" t="s">
        <v>316</v>
      </c>
    </row>
    <row r="17763">
      <c r="A17763" s="17"/>
      <c r="H17763" s="18"/>
      <c r="K17763" s="18" t="s">
        <v>316</v>
      </c>
    </row>
    <row r="17764">
      <c r="A17764" s="17"/>
      <c r="H17764" s="18"/>
      <c r="K17764" s="18" t="s">
        <v>316</v>
      </c>
    </row>
    <row r="17765">
      <c r="A17765" s="17"/>
      <c r="H17765" s="18"/>
      <c r="K17765" s="18" t="s">
        <v>316</v>
      </c>
    </row>
    <row r="17766">
      <c r="A17766" s="17"/>
      <c r="H17766" s="18"/>
      <c r="K17766" s="18" t="s">
        <v>316</v>
      </c>
    </row>
    <row r="17767">
      <c r="A17767" s="17"/>
      <c r="H17767" s="18"/>
      <c r="K17767" s="18" t="s">
        <v>316</v>
      </c>
    </row>
    <row r="17768">
      <c r="A17768" s="17"/>
      <c r="H17768" s="18"/>
      <c r="K17768" s="18" t="s">
        <v>316</v>
      </c>
    </row>
    <row r="17769">
      <c r="A17769" s="17"/>
      <c r="H17769" s="18"/>
      <c r="K17769" s="18" t="s">
        <v>316</v>
      </c>
    </row>
    <row r="17770">
      <c r="A17770" s="17"/>
      <c r="H17770" s="18"/>
      <c r="K17770" s="18" t="s">
        <v>316</v>
      </c>
    </row>
    <row r="17771">
      <c r="A17771" s="17"/>
      <c r="H17771" s="18"/>
      <c r="K17771" s="18" t="s">
        <v>316</v>
      </c>
    </row>
    <row r="17772">
      <c r="A17772" s="17"/>
      <c r="H17772" s="18"/>
      <c r="K17772" s="18" t="s">
        <v>316</v>
      </c>
    </row>
    <row r="17773">
      <c r="A17773" s="17"/>
      <c r="H17773" s="18"/>
      <c r="K17773" s="18" t="s">
        <v>316</v>
      </c>
    </row>
    <row r="17774">
      <c r="A17774" s="17"/>
      <c r="H17774" s="18"/>
      <c r="K17774" s="18" t="s">
        <v>316</v>
      </c>
    </row>
    <row r="17775">
      <c r="A17775" s="17"/>
      <c r="H17775" s="18"/>
      <c r="K17775" s="18" t="s">
        <v>316</v>
      </c>
    </row>
    <row r="17776">
      <c r="A17776" s="17"/>
      <c r="H17776" s="18"/>
      <c r="K17776" s="18" t="s">
        <v>316</v>
      </c>
    </row>
    <row r="17777">
      <c r="A17777" s="17"/>
      <c r="H17777" s="18"/>
      <c r="K17777" s="18" t="s">
        <v>316</v>
      </c>
    </row>
    <row r="17778">
      <c r="A17778" s="17"/>
      <c r="H17778" s="18"/>
      <c r="K17778" s="18" t="s">
        <v>316</v>
      </c>
    </row>
    <row r="17779">
      <c r="A17779" s="17"/>
      <c r="H17779" s="18"/>
      <c r="K17779" s="18" t="s">
        <v>316</v>
      </c>
    </row>
    <row r="17780">
      <c r="A17780" s="17"/>
      <c r="H17780" s="18"/>
      <c r="K17780" s="18" t="s">
        <v>316</v>
      </c>
    </row>
    <row r="17781">
      <c r="A17781" s="17"/>
      <c r="H17781" s="18"/>
      <c r="K17781" s="18" t="s">
        <v>316</v>
      </c>
    </row>
    <row r="17782">
      <c r="A17782" s="17"/>
      <c r="H17782" s="18"/>
      <c r="K17782" s="18" t="s">
        <v>316</v>
      </c>
    </row>
    <row r="17783">
      <c r="A17783" s="17"/>
      <c r="H17783" s="18"/>
      <c r="K17783" s="18" t="s">
        <v>316</v>
      </c>
    </row>
    <row r="17784">
      <c r="A17784" s="17"/>
      <c r="H17784" s="18"/>
      <c r="K17784" s="18" t="s">
        <v>316</v>
      </c>
    </row>
    <row r="17785">
      <c r="A17785" s="17"/>
      <c r="H17785" s="18"/>
      <c r="K17785" s="18" t="s">
        <v>316</v>
      </c>
    </row>
    <row r="17786">
      <c r="A17786" s="17"/>
      <c r="H17786" s="18"/>
      <c r="K17786" s="18" t="s">
        <v>316</v>
      </c>
    </row>
    <row r="17787">
      <c r="A17787" s="17"/>
      <c r="H17787" s="18"/>
      <c r="K17787" s="18" t="s">
        <v>316</v>
      </c>
    </row>
    <row r="17788">
      <c r="A17788" s="17"/>
      <c r="H17788" s="18"/>
      <c r="K17788" s="18" t="s">
        <v>316</v>
      </c>
    </row>
    <row r="17789">
      <c r="A17789" s="17"/>
      <c r="H17789" s="18"/>
      <c r="K17789" s="18" t="s">
        <v>316</v>
      </c>
    </row>
    <row r="17790">
      <c r="A17790" s="17"/>
      <c r="H17790" s="18"/>
      <c r="K17790" s="18" t="s">
        <v>316</v>
      </c>
    </row>
    <row r="17791">
      <c r="A17791" s="17"/>
      <c r="H17791" s="18"/>
      <c r="K17791" s="18" t="s">
        <v>316</v>
      </c>
    </row>
    <row r="17792">
      <c r="A17792" s="17"/>
      <c r="H17792" s="18"/>
      <c r="K17792" s="18" t="s">
        <v>316</v>
      </c>
    </row>
    <row r="17793">
      <c r="A17793" s="17"/>
      <c r="H17793" s="18"/>
      <c r="K17793" s="18" t="s">
        <v>316</v>
      </c>
    </row>
    <row r="17794">
      <c r="A17794" s="17"/>
      <c r="H17794" s="18"/>
      <c r="K17794" s="18" t="s">
        <v>316</v>
      </c>
    </row>
    <row r="17795">
      <c r="A17795" s="17"/>
      <c r="H17795" s="18"/>
      <c r="K17795" s="18" t="s">
        <v>316</v>
      </c>
    </row>
    <row r="17796">
      <c r="A17796" s="17"/>
      <c r="H17796" s="18"/>
      <c r="K17796" s="18" t="s">
        <v>316</v>
      </c>
    </row>
    <row r="17797">
      <c r="A17797" s="17"/>
      <c r="H17797" s="18"/>
      <c r="K17797" s="18" t="s">
        <v>316</v>
      </c>
    </row>
    <row r="17798">
      <c r="A17798" s="17"/>
      <c r="H17798" s="18"/>
      <c r="K17798" s="18" t="s">
        <v>316</v>
      </c>
    </row>
    <row r="17799">
      <c r="A17799" s="17"/>
      <c r="H17799" s="18"/>
      <c r="K17799" s="18" t="s">
        <v>316</v>
      </c>
    </row>
    <row r="17800">
      <c r="A17800" s="17"/>
      <c r="H17800" s="18"/>
      <c r="K17800" s="18" t="s">
        <v>316</v>
      </c>
    </row>
    <row r="17801">
      <c r="A17801" s="17"/>
      <c r="H17801" s="18"/>
      <c r="K17801" s="18" t="s">
        <v>316</v>
      </c>
    </row>
    <row r="17802">
      <c r="A17802" s="17"/>
      <c r="H17802" s="18"/>
      <c r="K17802" s="18" t="s">
        <v>316</v>
      </c>
    </row>
    <row r="17803">
      <c r="A17803" s="17"/>
      <c r="H17803" s="18"/>
      <c r="K17803" s="18" t="s">
        <v>316</v>
      </c>
    </row>
    <row r="17804">
      <c r="A17804" s="17"/>
      <c r="H17804" s="18"/>
      <c r="K17804" s="18" t="s">
        <v>316</v>
      </c>
    </row>
    <row r="17805">
      <c r="A17805" s="17"/>
      <c r="H17805" s="18"/>
      <c r="K17805" s="18" t="s">
        <v>316</v>
      </c>
    </row>
    <row r="17806">
      <c r="A17806" s="17"/>
      <c r="H17806" s="18"/>
      <c r="K17806" s="18" t="s">
        <v>316</v>
      </c>
    </row>
    <row r="17807">
      <c r="A17807" s="17"/>
      <c r="H17807" s="18"/>
      <c r="K17807" s="18" t="s">
        <v>316</v>
      </c>
    </row>
    <row r="17808">
      <c r="A17808" s="17"/>
      <c r="H17808" s="18"/>
      <c r="K17808" s="18" t="s">
        <v>316</v>
      </c>
    </row>
    <row r="17809">
      <c r="A17809" s="17"/>
      <c r="H17809" s="18"/>
      <c r="K17809" s="18" t="s">
        <v>316</v>
      </c>
    </row>
    <row r="17810">
      <c r="A17810" s="17"/>
      <c r="H17810" s="18"/>
      <c r="K17810" s="18" t="s">
        <v>316</v>
      </c>
    </row>
    <row r="17811">
      <c r="A17811" s="17"/>
      <c r="H17811" s="18"/>
      <c r="K17811" s="18" t="s">
        <v>316</v>
      </c>
    </row>
    <row r="17812">
      <c r="A17812" s="17"/>
      <c r="H17812" s="18"/>
      <c r="K17812" s="18" t="s">
        <v>316</v>
      </c>
    </row>
    <row r="17813">
      <c r="A17813" s="17"/>
      <c r="H17813" s="18"/>
      <c r="K17813" s="18" t="s">
        <v>316</v>
      </c>
    </row>
    <row r="17814">
      <c r="A17814" s="17"/>
      <c r="H17814" s="18"/>
      <c r="K17814" s="18" t="s">
        <v>316</v>
      </c>
    </row>
    <row r="17815">
      <c r="A17815" s="17"/>
      <c r="H17815" s="18"/>
      <c r="K17815" s="18" t="s">
        <v>316</v>
      </c>
    </row>
    <row r="17816">
      <c r="A17816" s="17"/>
      <c r="H17816" s="18"/>
      <c r="K17816" s="18" t="s">
        <v>316</v>
      </c>
    </row>
    <row r="17817">
      <c r="A17817" s="17"/>
      <c r="H17817" s="18"/>
      <c r="K17817" s="18" t="s">
        <v>316</v>
      </c>
    </row>
    <row r="17818">
      <c r="A17818" s="17"/>
      <c r="H17818" s="18"/>
      <c r="K17818" s="18" t="s">
        <v>316</v>
      </c>
    </row>
    <row r="17819">
      <c r="A17819" s="17"/>
      <c r="H17819" s="18"/>
      <c r="K17819" s="18" t="s">
        <v>316</v>
      </c>
    </row>
    <row r="17820">
      <c r="A17820" s="17"/>
      <c r="H17820" s="18"/>
      <c r="K17820" s="18" t="s">
        <v>316</v>
      </c>
    </row>
    <row r="17821">
      <c r="A17821" s="17"/>
      <c r="H17821" s="18"/>
      <c r="K17821" s="18" t="s">
        <v>316</v>
      </c>
    </row>
    <row r="17822">
      <c r="A17822" s="17"/>
      <c r="H17822" s="18"/>
      <c r="K17822" s="18" t="s">
        <v>316</v>
      </c>
    </row>
    <row r="17823">
      <c r="A17823" s="17"/>
      <c r="H17823" s="18"/>
      <c r="K17823" s="18" t="s">
        <v>316</v>
      </c>
    </row>
    <row r="17824">
      <c r="A17824" s="17"/>
      <c r="H17824" s="18"/>
      <c r="K17824" s="18" t="s">
        <v>316</v>
      </c>
    </row>
    <row r="17825">
      <c r="A17825" s="17"/>
      <c r="H17825" s="18"/>
      <c r="K17825" s="18" t="s">
        <v>316</v>
      </c>
    </row>
    <row r="17826">
      <c r="A17826" s="17"/>
      <c r="H17826" s="18"/>
      <c r="K17826" s="18" t="s">
        <v>316</v>
      </c>
    </row>
    <row r="17827">
      <c r="A17827" s="17"/>
      <c r="H17827" s="18"/>
      <c r="K17827" s="18" t="s">
        <v>316</v>
      </c>
    </row>
    <row r="17828">
      <c r="A17828" s="17"/>
      <c r="H17828" s="18"/>
      <c r="K17828" s="18" t="s">
        <v>316</v>
      </c>
    </row>
    <row r="17829">
      <c r="A17829" s="17"/>
      <c r="H17829" s="18"/>
      <c r="K17829" s="18" t="s">
        <v>316</v>
      </c>
    </row>
    <row r="17830">
      <c r="A17830" s="17"/>
      <c r="H17830" s="18"/>
      <c r="K17830" s="18" t="s">
        <v>316</v>
      </c>
    </row>
    <row r="17831">
      <c r="A17831" s="17"/>
      <c r="H17831" s="18"/>
      <c r="K17831" s="18" t="s">
        <v>316</v>
      </c>
    </row>
    <row r="17832">
      <c r="A17832" s="17"/>
      <c r="H17832" s="18"/>
      <c r="K17832" s="18" t="s">
        <v>316</v>
      </c>
    </row>
    <row r="17833">
      <c r="A17833" s="17"/>
      <c r="H17833" s="18"/>
      <c r="K17833" s="18" t="s">
        <v>316</v>
      </c>
    </row>
    <row r="17834">
      <c r="A17834" s="17"/>
      <c r="H17834" s="18"/>
      <c r="K17834" s="18" t="s">
        <v>316</v>
      </c>
    </row>
    <row r="17835">
      <c r="A17835" s="17"/>
      <c r="H17835" s="18"/>
      <c r="K17835" s="18" t="s">
        <v>316</v>
      </c>
    </row>
    <row r="17836">
      <c r="A17836" s="17"/>
      <c r="H17836" s="18"/>
      <c r="K17836" s="18" t="s">
        <v>316</v>
      </c>
    </row>
    <row r="17837">
      <c r="A17837" s="17"/>
      <c r="H17837" s="18"/>
      <c r="K17837" s="18" t="s">
        <v>316</v>
      </c>
    </row>
    <row r="17838">
      <c r="A17838" s="17"/>
      <c r="H17838" s="18"/>
      <c r="K17838" s="18" t="s">
        <v>316</v>
      </c>
    </row>
    <row r="17839">
      <c r="A17839" s="17"/>
      <c r="H17839" s="18"/>
      <c r="K17839" s="18" t="s">
        <v>316</v>
      </c>
    </row>
    <row r="17840">
      <c r="A17840" s="17"/>
      <c r="H17840" s="18"/>
      <c r="K17840" s="18" t="s">
        <v>316</v>
      </c>
    </row>
    <row r="17841">
      <c r="A17841" s="17"/>
      <c r="H17841" s="18"/>
      <c r="K17841" s="18" t="s">
        <v>316</v>
      </c>
    </row>
    <row r="17842">
      <c r="A17842" s="17"/>
      <c r="H17842" s="18"/>
      <c r="K17842" s="18" t="s">
        <v>316</v>
      </c>
    </row>
    <row r="17843">
      <c r="A17843" s="17"/>
      <c r="H17843" s="18"/>
      <c r="K17843" s="18" t="s">
        <v>316</v>
      </c>
    </row>
    <row r="17844">
      <c r="A17844" s="17"/>
      <c r="H17844" s="18"/>
      <c r="K17844" s="18" t="s">
        <v>316</v>
      </c>
    </row>
    <row r="17845">
      <c r="A17845" s="17"/>
      <c r="H17845" s="18"/>
      <c r="K17845" s="18" t="s">
        <v>316</v>
      </c>
    </row>
    <row r="17846">
      <c r="A17846" s="17"/>
      <c r="H17846" s="18"/>
      <c r="K17846" s="18" t="s">
        <v>316</v>
      </c>
    </row>
    <row r="17847">
      <c r="A17847" s="17"/>
      <c r="H17847" s="18"/>
      <c r="K17847" s="18" t="s">
        <v>316</v>
      </c>
    </row>
    <row r="17848">
      <c r="A17848" s="17"/>
      <c r="H17848" s="18"/>
      <c r="K17848" s="18" t="s">
        <v>316</v>
      </c>
    </row>
    <row r="17849">
      <c r="A17849" s="17"/>
      <c r="H17849" s="18"/>
      <c r="K17849" s="18" t="s">
        <v>316</v>
      </c>
    </row>
    <row r="17850">
      <c r="A17850" s="17"/>
      <c r="H17850" s="18"/>
      <c r="K17850" s="18" t="s">
        <v>316</v>
      </c>
    </row>
    <row r="17851">
      <c r="A17851" s="17"/>
      <c r="H17851" s="18"/>
      <c r="K17851" s="18" t="s">
        <v>316</v>
      </c>
    </row>
    <row r="17852">
      <c r="A17852" s="17"/>
      <c r="H17852" s="18"/>
      <c r="K17852" s="18" t="s">
        <v>316</v>
      </c>
    </row>
    <row r="17853">
      <c r="A17853" s="17"/>
      <c r="H17853" s="18"/>
      <c r="K17853" s="18" t="s">
        <v>316</v>
      </c>
    </row>
    <row r="17854">
      <c r="A17854" s="17"/>
      <c r="H17854" s="18"/>
      <c r="K17854" s="18" t="s">
        <v>316</v>
      </c>
    </row>
    <row r="17855">
      <c r="A17855" s="17"/>
      <c r="H17855" s="18"/>
      <c r="K17855" s="18" t="s">
        <v>316</v>
      </c>
    </row>
    <row r="17856">
      <c r="A17856" s="17"/>
      <c r="H17856" s="18"/>
      <c r="K17856" s="18" t="s">
        <v>316</v>
      </c>
    </row>
    <row r="17857">
      <c r="A17857" s="17"/>
      <c r="H17857" s="18"/>
      <c r="K17857" s="18" t="s">
        <v>316</v>
      </c>
    </row>
    <row r="17858">
      <c r="A17858" s="17"/>
      <c r="H17858" s="18"/>
      <c r="K17858" s="18" t="s">
        <v>316</v>
      </c>
    </row>
    <row r="17859">
      <c r="A17859" s="17"/>
      <c r="H17859" s="18"/>
      <c r="K17859" s="18" t="s">
        <v>316</v>
      </c>
    </row>
    <row r="17860">
      <c r="A17860" s="17"/>
      <c r="H17860" s="18"/>
      <c r="K17860" s="18" t="s">
        <v>316</v>
      </c>
    </row>
    <row r="17861">
      <c r="A17861" s="17"/>
      <c r="H17861" s="18"/>
      <c r="K17861" s="18" t="s">
        <v>316</v>
      </c>
    </row>
    <row r="17862">
      <c r="A17862" s="17"/>
      <c r="H17862" s="18"/>
      <c r="K17862" s="18" t="s">
        <v>316</v>
      </c>
    </row>
    <row r="17863">
      <c r="A17863" s="17"/>
      <c r="H17863" s="18"/>
      <c r="K17863" s="18" t="s">
        <v>316</v>
      </c>
    </row>
    <row r="17864">
      <c r="A17864" s="17"/>
      <c r="H17864" s="18"/>
      <c r="K17864" s="18" t="s">
        <v>316</v>
      </c>
    </row>
    <row r="17865">
      <c r="A17865" s="17"/>
      <c r="H17865" s="18"/>
      <c r="K17865" s="18" t="s">
        <v>316</v>
      </c>
    </row>
    <row r="17866">
      <c r="A17866" s="17"/>
      <c r="H17866" s="18"/>
      <c r="K17866" s="18" t="s">
        <v>316</v>
      </c>
    </row>
    <row r="17867">
      <c r="A17867" s="17"/>
      <c r="H17867" s="18"/>
      <c r="K17867" s="18" t="s">
        <v>316</v>
      </c>
    </row>
    <row r="17868">
      <c r="A17868" s="17"/>
      <c r="H17868" s="18"/>
      <c r="K17868" s="18" t="s">
        <v>316</v>
      </c>
    </row>
    <row r="17869">
      <c r="A17869" s="17"/>
      <c r="H17869" s="18"/>
      <c r="K17869" s="18" t="s">
        <v>316</v>
      </c>
    </row>
    <row r="17870">
      <c r="A17870" s="17"/>
      <c r="H17870" s="18"/>
      <c r="K17870" s="18" t="s">
        <v>316</v>
      </c>
    </row>
    <row r="17871">
      <c r="A17871" s="17"/>
      <c r="H17871" s="18"/>
      <c r="K17871" s="18" t="s">
        <v>316</v>
      </c>
    </row>
    <row r="17872">
      <c r="A17872" s="17"/>
      <c r="H17872" s="18"/>
      <c r="K17872" s="18" t="s">
        <v>316</v>
      </c>
    </row>
    <row r="17873">
      <c r="A17873" s="17"/>
      <c r="H17873" s="18"/>
      <c r="K17873" s="18" t="s">
        <v>316</v>
      </c>
    </row>
    <row r="17874">
      <c r="A17874" s="17"/>
      <c r="H17874" s="18"/>
      <c r="K17874" s="18" t="s">
        <v>316</v>
      </c>
    </row>
    <row r="17875">
      <c r="A17875" s="17"/>
      <c r="H17875" s="18"/>
      <c r="K17875" s="18" t="s">
        <v>316</v>
      </c>
    </row>
    <row r="17876">
      <c r="A17876" s="17"/>
      <c r="H17876" s="18"/>
      <c r="K17876" s="18" t="s">
        <v>316</v>
      </c>
    </row>
    <row r="17877">
      <c r="A17877" s="17"/>
      <c r="H17877" s="18"/>
      <c r="K17877" s="18" t="s">
        <v>316</v>
      </c>
    </row>
    <row r="17878">
      <c r="A17878" s="17"/>
      <c r="H17878" s="18"/>
      <c r="K17878" s="18" t="s">
        <v>316</v>
      </c>
    </row>
    <row r="17879">
      <c r="A17879" s="17"/>
      <c r="H17879" s="18"/>
      <c r="K17879" s="18" t="s">
        <v>316</v>
      </c>
    </row>
    <row r="17880">
      <c r="A17880" s="17"/>
      <c r="H17880" s="18"/>
      <c r="K17880" s="18" t="s">
        <v>316</v>
      </c>
    </row>
    <row r="17881">
      <c r="A17881" s="17"/>
      <c r="H17881" s="18"/>
      <c r="K17881" s="18" t="s">
        <v>316</v>
      </c>
    </row>
    <row r="17882">
      <c r="A17882" s="17"/>
      <c r="H17882" s="18"/>
      <c r="K17882" s="18" t="s">
        <v>316</v>
      </c>
    </row>
    <row r="17883">
      <c r="A17883" s="17"/>
      <c r="H17883" s="18"/>
      <c r="K17883" s="18" t="s">
        <v>316</v>
      </c>
    </row>
    <row r="17884">
      <c r="A17884" s="17"/>
      <c r="H17884" s="18"/>
      <c r="K17884" s="18" t="s">
        <v>316</v>
      </c>
    </row>
    <row r="17885">
      <c r="A17885" s="17"/>
      <c r="H17885" s="18"/>
      <c r="K17885" s="18" t="s">
        <v>316</v>
      </c>
    </row>
    <row r="17886">
      <c r="A17886" s="17"/>
      <c r="H17886" s="18"/>
      <c r="K17886" s="18" t="s">
        <v>316</v>
      </c>
    </row>
    <row r="17887">
      <c r="A17887" s="17"/>
      <c r="H17887" s="18"/>
      <c r="K17887" s="18" t="s">
        <v>316</v>
      </c>
    </row>
    <row r="17888">
      <c r="A17888" s="17"/>
      <c r="H17888" s="18"/>
      <c r="K17888" s="18" t="s">
        <v>316</v>
      </c>
    </row>
    <row r="17889">
      <c r="A17889" s="17"/>
      <c r="H17889" s="18"/>
      <c r="K17889" s="18" t="s">
        <v>316</v>
      </c>
    </row>
    <row r="17890">
      <c r="A17890" s="17"/>
      <c r="H17890" s="18"/>
      <c r="K17890" s="18" t="s">
        <v>316</v>
      </c>
    </row>
    <row r="17891">
      <c r="A17891" s="17"/>
      <c r="H17891" s="18"/>
      <c r="K17891" s="18" t="s">
        <v>316</v>
      </c>
    </row>
    <row r="17892">
      <c r="A17892" s="17"/>
      <c r="H17892" s="18"/>
      <c r="K17892" s="18" t="s">
        <v>316</v>
      </c>
    </row>
    <row r="17893">
      <c r="A17893" s="17"/>
      <c r="H17893" s="18"/>
      <c r="K17893" s="18" t="s">
        <v>316</v>
      </c>
    </row>
    <row r="17894">
      <c r="A17894" s="17"/>
      <c r="H17894" s="18"/>
      <c r="K17894" s="18" t="s">
        <v>316</v>
      </c>
    </row>
    <row r="17895">
      <c r="A17895" s="17"/>
      <c r="H17895" s="18"/>
      <c r="K17895" s="18" t="s">
        <v>316</v>
      </c>
    </row>
    <row r="17896">
      <c r="A17896" s="17"/>
      <c r="H17896" s="18"/>
      <c r="K17896" s="18" t="s">
        <v>316</v>
      </c>
    </row>
    <row r="17897">
      <c r="A17897" s="17"/>
      <c r="H17897" s="18"/>
      <c r="K17897" s="18" t="s">
        <v>316</v>
      </c>
    </row>
    <row r="17898">
      <c r="A17898" s="17"/>
      <c r="H17898" s="18"/>
      <c r="K17898" s="18" t="s">
        <v>316</v>
      </c>
    </row>
    <row r="17899">
      <c r="A17899" s="17"/>
      <c r="H17899" s="18"/>
      <c r="K17899" s="18" t="s">
        <v>316</v>
      </c>
    </row>
    <row r="17900">
      <c r="A17900" s="17"/>
      <c r="H17900" s="18"/>
      <c r="K17900" s="18" t="s">
        <v>316</v>
      </c>
    </row>
    <row r="17901">
      <c r="A17901" s="17"/>
      <c r="H17901" s="18"/>
      <c r="K17901" s="18" t="s">
        <v>316</v>
      </c>
    </row>
    <row r="17902">
      <c r="A17902" s="17"/>
      <c r="H17902" s="18"/>
      <c r="K17902" s="18" t="s">
        <v>316</v>
      </c>
    </row>
    <row r="17903">
      <c r="A17903" s="17"/>
      <c r="H17903" s="18"/>
      <c r="K17903" s="18" t="s">
        <v>316</v>
      </c>
    </row>
    <row r="17904">
      <c r="A17904" s="17"/>
      <c r="H17904" s="18"/>
      <c r="K17904" s="18" t="s">
        <v>316</v>
      </c>
    </row>
    <row r="17905">
      <c r="A17905" s="17"/>
      <c r="H17905" s="18"/>
      <c r="K17905" s="18" t="s">
        <v>316</v>
      </c>
    </row>
    <row r="17906">
      <c r="A17906" s="17"/>
      <c r="H17906" s="18"/>
      <c r="K17906" s="18" t="s">
        <v>316</v>
      </c>
    </row>
    <row r="17907">
      <c r="A17907" s="17"/>
      <c r="H17907" s="18"/>
      <c r="K17907" s="18" t="s">
        <v>316</v>
      </c>
    </row>
    <row r="17908">
      <c r="A17908" s="17"/>
      <c r="H17908" s="18"/>
      <c r="K17908" s="18" t="s">
        <v>316</v>
      </c>
    </row>
    <row r="17909">
      <c r="A17909" s="17"/>
      <c r="H17909" s="18"/>
      <c r="K17909" s="18" t="s">
        <v>316</v>
      </c>
    </row>
    <row r="17910">
      <c r="A17910" s="17"/>
      <c r="H17910" s="18"/>
      <c r="K17910" s="18" t="s">
        <v>316</v>
      </c>
    </row>
    <row r="17911">
      <c r="A17911" s="17"/>
      <c r="H17911" s="18"/>
      <c r="K17911" s="18" t="s">
        <v>316</v>
      </c>
    </row>
    <row r="17912">
      <c r="A17912" s="17"/>
      <c r="H17912" s="18"/>
      <c r="K17912" s="18" t="s">
        <v>316</v>
      </c>
    </row>
    <row r="17913">
      <c r="A17913" s="17"/>
      <c r="H17913" s="18"/>
      <c r="K17913" s="18" t="s">
        <v>316</v>
      </c>
    </row>
    <row r="17914">
      <c r="A17914" s="17"/>
      <c r="H17914" s="18"/>
      <c r="K17914" s="18" t="s">
        <v>316</v>
      </c>
    </row>
    <row r="17915">
      <c r="A17915" s="17"/>
      <c r="H17915" s="18"/>
      <c r="K17915" s="18" t="s">
        <v>316</v>
      </c>
    </row>
    <row r="17916">
      <c r="A17916" s="17"/>
      <c r="H17916" s="18"/>
      <c r="K17916" s="18" t="s">
        <v>316</v>
      </c>
    </row>
    <row r="17917">
      <c r="A17917" s="17"/>
      <c r="H17917" s="18"/>
      <c r="K17917" s="18" t="s">
        <v>316</v>
      </c>
    </row>
    <row r="17918">
      <c r="A17918" s="17"/>
      <c r="H17918" s="18"/>
      <c r="K17918" s="18" t="s">
        <v>316</v>
      </c>
    </row>
    <row r="17919">
      <c r="A17919" s="17"/>
      <c r="H17919" s="18"/>
      <c r="K17919" s="18" t="s">
        <v>316</v>
      </c>
    </row>
    <row r="17920">
      <c r="A17920" s="17"/>
      <c r="H17920" s="18"/>
      <c r="K17920" s="18" t="s">
        <v>316</v>
      </c>
    </row>
    <row r="17921">
      <c r="A17921" s="17"/>
      <c r="H17921" s="18"/>
      <c r="K17921" s="18" t="s">
        <v>316</v>
      </c>
    </row>
    <row r="17922">
      <c r="A17922" s="17"/>
      <c r="H17922" s="18"/>
      <c r="K17922" s="18" t="s">
        <v>316</v>
      </c>
    </row>
    <row r="17923">
      <c r="A17923" s="17"/>
      <c r="H17923" s="18"/>
      <c r="K17923" s="18" t="s">
        <v>316</v>
      </c>
    </row>
    <row r="17924">
      <c r="A17924" s="17"/>
      <c r="H17924" s="18"/>
      <c r="K17924" s="18" t="s">
        <v>316</v>
      </c>
    </row>
    <row r="17925">
      <c r="A17925" s="17"/>
      <c r="H17925" s="18"/>
      <c r="K17925" s="18" t="s">
        <v>316</v>
      </c>
    </row>
    <row r="17926">
      <c r="A17926" s="17"/>
      <c r="H17926" s="18"/>
      <c r="K17926" s="18" t="s">
        <v>316</v>
      </c>
    </row>
    <row r="17927">
      <c r="A17927" s="17"/>
      <c r="H17927" s="18"/>
      <c r="K17927" s="18" t="s">
        <v>316</v>
      </c>
    </row>
    <row r="17928">
      <c r="A17928" s="17"/>
      <c r="H17928" s="18"/>
      <c r="K17928" s="18" t="s">
        <v>316</v>
      </c>
    </row>
    <row r="17929">
      <c r="A17929" s="17"/>
      <c r="H17929" s="18"/>
      <c r="K17929" s="18" t="s">
        <v>316</v>
      </c>
    </row>
    <row r="17930">
      <c r="A17930" s="17"/>
      <c r="H17930" s="18"/>
      <c r="K17930" s="18" t="s">
        <v>316</v>
      </c>
    </row>
    <row r="17931">
      <c r="A17931" s="17"/>
      <c r="H17931" s="18"/>
      <c r="K17931" s="18" t="s">
        <v>316</v>
      </c>
    </row>
    <row r="17932">
      <c r="A17932" s="17"/>
      <c r="H17932" s="18"/>
      <c r="K17932" s="18" t="s">
        <v>316</v>
      </c>
    </row>
    <row r="17933">
      <c r="A17933" s="17"/>
      <c r="H17933" s="18"/>
      <c r="K17933" s="18" t="s">
        <v>316</v>
      </c>
    </row>
    <row r="17934">
      <c r="A17934" s="17"/>
      <c r="H17934" s="18"/>
      <c r="K17934" s="18" t="s">
        <v>316</v>
      </c>
    </row>
    <row r="17935">
      <c r="A17935" s="17"/>
      <c r="H17935" s="18"/>
      <c r="K17935" s="18" t="s">
        <v>316</v>
      </c>
    </row>
    <row r="17936">
      <c r="A17936" s="17"/>
      <c r="H17936" s="18"/>
      <c r="K17936" s="18" t="s">
        <v>316</v>
      </c>
    </row>
    <row r="17937">
      <c r="A17937" s="17"/>
      <c r="H17937" s="18"/>
      <c r="K17937" s="18" t="s">
        <v>316</v>
      </c>
    </row>
    <row r="17938">
      <c r="A17938" s="17"/>
      <c r="H17938" s="18"/>
      <c r="K17938" s="18" t="s">
        <v>316</v>
      </c>
    </row>
    <row r="17939">
      <c r="A17939" s="17"/>
      <c r="H17939" s="18"/>
      <c r="K17939" s="18" t="s">
        <v>316</v>
      </c>
    </row>
    <row r="17940">
      <c r="A17940" s="17"/>
      <c r="H17940" s="18"/>
      <c r="K17940" s="18" t="s">
        <v>316</v>
      </c>
    </row>
    <row r="17941">
      <c r="A17941" s="17"/>
      <c r="H17941" s="18"/>
      <c r="K17941" s="18" t="s">
        <v>316</v>
      </c>
    </row>
    <row r="17942">
      <c r="A17942" s="17"/>
      <c r="H17942" s="18"/>
      <c r="K17942" s="18" t="s">
        <v>316</v>
      </c>
    </row>
    <row r="17943">
      <c r="A17943" s="17"/>
      <c r="H17943" s="18"/>
      <c r="K17943" s="18" t="s">
        <v>316</v>
      </c>
    </row>
    <row r="17944">
      <c r="A17944" s="17"/>
      <c r="H17944" s="18"/>
      <c r="K17944" s="18" t="s">
        <v>316</v>
      </c>
    </row>
    <row r="17945">
      <c r="A17945" s="17"/>
      <c r="H17945" s="18"/>
      <c r="K17945" s="18" t="s">
        <v>316</v>
      </c>
    </row>
    <row r="17946">
      <c r="A17946" s="17"/>
      <c r="H17946" s="18"/>
      <c r="K17946" s="18" t="s">
        <v>316</v>
      </c>
    </row>
    <row r="17947">
      <c r="A17947" s="17"/>
      <c r="H17947" s="18"/>
      <c r="K17947" s="18" t="s">
        <v>316</v>
      </c>
    </row>
    <row r="17948">
      <c r="A17948" s="17"/>
      <c r="H17948" s="18"/>
      <c r="K17948" s="18" t="s">
        <v>316</v>
      </c>
    </row>
    <row r="17949">
      <c r="A17949" s="17"/>
      <c r="H17949" s="18"/>
      <c r="K17949" s="18" t="s">
        <v>316</v>
      </c>
    </row>
    <row r="17950">
      <c r="A17950" s="17"/>
      <c r="H17950" s="18"/>
      <c r="K17950" s="18" t="s">
        <v>316</v>
      </c>
    </row>
    <row r="17951">
      <c r="A17951" s="17"/>
      <c r="H17951" s="18"/>
      <c r="K17951" s="18" t="s">
        <v>316</v>
      </c>
    </row>
    <row r="17952">
      <c r="A17952" s="17"/>
      <c r="H17952" s="18"/>
      <c r="K17952" s="18" t="s">
        <v>316</v>
      </c>
    </row>
    <row r="17953">
      <c r="A17953" s="17"/>
      <c r="H17953" s="18"/>
      <c r="K17953" s="18" t="s">
        <v>316</v>
      </c>
    </row>
    <row r="17954">
      <c r="A17954" s="17"/>
      <c r="H17954" s="18"/>
      <c r="K17954" s="18" t="s">
        <v>316</v>
      </c>
    </row>
    <row r="17955">
      <c r="A17955" s="17"/>
      <c r="H17955" s="18"/>
      <c r="K17955" s="18" t="s">
        <v>316</v>
      </c>
    </row>
    <row r="17956">
      <c r="A17956" s="17"/>
      <c r="H17956" s="18"/>
      <c r="K17956" s="18" t="s">
        <v>316</v>
      </c>
    </row>
    <row r="17957">
      <c r="A17957" s="17"/>
      <c r="H17957" s="18"/>
      <c r="K17957" s="18" t="s">
        <v>316</v>
      </c>
    </row>
    <row r="17958">
      <c r="A17958" s="17"/>
      <c r="H17958" s="18"/>
      <c r="K17958" s="18" t="s">
        <v>316</v>
      </c>
    </row>
    <row r="17959">
      <c r="A17959" s="17"/>
      <c r="H17959" s="18"/>
      <c r="K17959" s="18" t="s">
        <v>316</v>
      </c>
    </row>
    <row r="17960">
      <c r="A17960" s="17"/>
      <c r="H17960" s="18"/>
      <c r="K17960" s="18" t="s">
        <v>316</v>
      </c>
    </row>
    <row r="17961">
      <c r="A17961" s="17"/>
      <c r="H17961" s="18"/>
      <c r="K17961" s="18" t="s">
        <v>316</v>
      </c>
    </row>
    <row r="17962">
      <c r="A17962" s="17"/>
      <c r="H17962" s="18"/>
      <c r="K17962" s="18" t="s">
        <v>316</v>
      </c>
    </row>
    <row r="17963">
      <c r="A17963" s="17"/>
      <c r="H17963" s="18"/>
      <c r="K17963" s="18" t="s">
        <v>316</v>
      </c>
    </row>
    <row r="17964">
      <c r="A17964" s="17"/>
      <c r="H17964" s="18"/>
      <c r="K17964" s="18" t="s">
        <v>316</v>
      </c>
    </row>
    <row r="17965">
      <c r="A17965" s="17"/>
      <c r="H17965" s="18"/>
      <c r="K17965" s="18" t="s">
        <v>316</v>
      </c>
    </row>
    <row r="17966">
      <c r="A17966" s="17"/>
      <c r="H17966" s="18"/>
      <c r="K17966" s="18" t="s">
        <v>316</v>
      </c>
    </row>
    <row r="17967">
      <c r="A17967" s="17"/>
      <c r="H17967" s="18"/>
      <c r="K17967" s="18" t="s">
        <v>316</v>
      </c>
    </row>
    <row r="17968">
      <c r="A17968" s="17"/>
      <c r="H17968" s="18"/>
      <c r="K17968" s="18" t="s">
        <v>316</v>
      </c>
    </row>
    <row r="17969">
      <c r="A17969" s="17"/>
      <c r="H17969" s="18"/>
      <c r="K17969" s="18" t="s">
        <v>316</v>
      </c>
    </row>
    <row r="17970">
      <c r="A17970" s="17"/>
      <c r="H17970" s="18"/>
      <c r="K17970" s="18" t="s">
        <v>316</v>
      </c>
    </row>
    <row r="17971">
      <c r="A17971" s="17"/>
      <c r="H17971" s="18"/>
      <c r="K17971" s="18" t="s">
        <v>316</v>
      </c>
    </row>
    <row r="17972">
      <c r="A17972" s="17"/>
      <c r="H17972" s="18"/>
      <c r="K17972" s="18" t="s">
        <v>316</v>
      </c>
    </row>
    <row r="17973">
      <c r="A17973" s="17"/>
      <c r="H17973" s="18"/>
      <c r="K17973" s="18" t="s">
        <v>316</v>
      </c>
    </row>
    <row r="17974">
      <c r="A17974" s="17"/>
      <c r="H17974" s="18"/>
      <c r="K17974" s="18" t="s">
        <v>316</v>
      </c>
    </row>
    <row r="17975">
      <c r="A17975" s="17"/>
      <c r="H17975" s="18"/>
      <c r="K17975" s="18" t="s">
        <v>316</v>
      </c>
    </row>
    <row r="17976">
      <c r="A17976" s="17"/>
      <c r="H17976" s="18"/>
      <c r="K17976" s="18" t="s">
        <v>316</v>
      </c>
    </row>
    <row r="17977">
      <c r="A17977" s="17"/>
      <c r="H17977" s="18"/>
      <c r="K17977" s="18" t="s">
        <v>316</v>
      </c>
    </row>
    <row r="17978">
      <c r="A17978" s="17"/>
      <c r="H17978" s="18"/>
      <c r="K17978" s="18" t="s">
        <v>316</v>
      </c>
    </row>
    <row r="17979">
      <c r="A17979" s="17"/>
      <c r="H17979" s="18"/>
      <c r="K17979" s="18" t="s">
        <v>316</v>
      </c>
    </row>
    <row r="17980">
      <c r="A17980" s="17"/>
      <c r="H17980" s="18"/>
      <c r="K17980" s="18" t="s">
        <v>316</v>
      </c>
    </row>
    <row r="17981">
      <c r="A17981" s="17"/>
      <c r="H17981" s="18"/>
      <c r="K17981" s="18" t="s">
        <v>316</v>
      </c>
    </row>
    <row r="17982">
      <c r="A17982" s="17"/>
      <c r="H17982" s="18"/>
      <c r="K17982" s="18" t="s">
        <v>316</v>
      </c>
    </row>
    <row r="17983">
      <c r="A17983" s="17"/>
      <c r="H17983" s="18"/>
      <c r="K17983" s="18" t="s">
        <v>316</v>
      </c>
    </row>
    <row r="17984">
      <c r="A17984" s="17"/>
      <c r="H17984" s="18"/>
      <c r="K17984" s="18" t="s">
        <v>316</v>
      </c>
    </row>
    <row r="17985">
      <c r="A17985" s="17"/>
      <c r="H17985" s="18"/>
      <c r="K17985" s="18" t="s">
        <v>316</v>
      </c>
    </row>
    <row r="17986">
      <c r="A17986" s="17"/>
      <c r="H17986" s="18"/>
      <c r="K17986" s="18" t="s">
        <v>316</v>
      </c>
    </row>
    <row r="17987">
      <c r="A17987" s="17"/>
      <c r="H17987" s="18"/>
      <c r="K17987" s="18" t="s">
        <v>316</v>
      </c>
    </row>
    <row r="17988">
      <c r="A17988" s="17"/>
      <c r="H17988" s="18"/>
      <c r="K17988" s="18" t="s">
        <v>316</v>
      </c>
    </row>
    <row r="17989">
      <c r="A17989" s="17"/>
      <c r="H17989" s="18"/>
      <c r="K17989" s="18" t="s">
        <v>316</v>
      </c>
    </row>
    <row r="17990">
      <c r="A17990" s="17"/>
      <c r="H17990" s="18"/>
      <c r="K17990" s="18" t="s">
        <v>316</v>
      </c>
    </row>
    <row r="17991">
      <c r="A17991" s="17"/>
      <c r="H17991" s="18"/>
      <c r="K17991" s="18" t="s">
        <v>316</v>
      </c>
    </row>
    <row r="17992">
      <c r="A17992" s="17"/>
      <c r="H17992" s="18"/>
      <c r="K17992" s="18" t="s">
        <v>316</v>
      </c>
    </row>
    <row r="17993">
      <c r="A17993" s="17"/>
      <c r="H17993" s="18"/>
      <c r="K17993" s="18" t="s">
        <v>316</v>
      </c>
    </row>
    <row r="17994">
      <c r="A17994" s="17"/>
      <c r="H17994" s="18"/>
      <c r="K17994" s="18" t="s">
        <v>316</v>
      </c>
    </row>
    <row r="17995">
      <c r="A17995" s="17"/>
      <c r="H17995" s="18"/>
      <c r="K17995" s="18" t="s">
        <v>316</v>
      </c>
    </row>
    <row r="17996">
      <c r="A17996" s="17"/>
      <c r="H17996" s="18"/>
      <c r="K17996" s="18" t="s">
        <v>316</v>
      </c>
    </row>
    <row r="17997">
      <c r="A17997" s="17"/>
      <c r="H17997" s="18"/>
      <c r="K17997" s="18" t="s">
        <v>316</v>
      </c>
    </row>
    <row r="17998">
      <c r="A17998" s="17"/>
      <c r="H17998" s="18"/>
      <c r="K17998" s="18" t="s">
        <v>316</v>
      </c>
    </row>
    <row r="17999">
      <c r="A17999" s="17"/>
      <c r="H17999" s="18"/>
      <c r="K17999" s="18" t="s">
        <v>316</v>
      </c>
    </row>
    <row r="18000">
      <c r="A18000" s="17"/>
      <c r="H18000" s="18"/>
      <c r="K18000" s="18" t="s">
        <v>316</v>
      </c>
    </row>
    <row r="18001">
      <c r="A18001" s="17"/>
      <c r="H18001" s="18"/>
      <c r="K18001" s="18" t="s">
        <v>316</v>
      </c>
    </row>
    <row r="18002">
      <c r="A18002" s="17"/>
      <c r="H18002" s="18"/>
      <c r="K18002" s="18" t="s">
        <v>316</v>
      </c>
    </row>
    <row r="18003">
      <c r="A18003" s="17"/>
      <c r="H18003" s="18"/>
      <c r="K18003" s="18" t="s">
        <v>316</v>
      </c>
    </row>
    <row r="18004">
      <c r="A18004" s="17"/>
      <c r="H18004" s="18"/>
      <c r="K18004" s="18" t="s">
        <v>316</v>
      </c>
    </row>
    <row r="18005">
      <c r="A18005" s="17"/>
      <c r="H18005" s="18"/>
      <c r="K18005" s="18" t="s">
        <v>316</v>
      </c>
    </row>
    <row r="18006">
      <c r="A18006" s="17"/>
      <c r="H18006" s="18"/>
      <c r="K18006" s="18" t="s">
        <v>316</v>
      </c>
    </row>
    <row r="18007">
      <c r="A18007" s="17"/>
      <c r="H18007" s="18"/>
      <c r="K18007" s="18" t="s">
        <v>316</v>
      </c>
    </row>
    <row r="18008">
      <c r="A18008" s="17"/>
      <c r="H18008" s="18"/>
      <c r="K18008" s="18" t="s">
        <v>316</v>
      </c>
    </row>
    <row r="18009">
      <c r="A18009" s="17"/>
      <c r="H18009" s="18"/>
      <c r="K18009" s="18" t="s">
        <v>316</v>
      </c>
    </row>
    <row r="18010">
      <c r="A18010" s="17"/>
      <c r="H18010" s="18"/>
      <c r="K18010" s="18" t="s">
        <v>316</v>
      </c>
    </row>
    <row r="18011">
      <c r="A18011" s="17"/>
      <c r="H18011" s="18"/>
      <c r="K18011" s="18" t="s">
        <v>316</v>
      </c>
    </row>
    <row r="18012">
      <c r="A18012" s="17"/>
      <c r="H18012" s="18"/>
      <c r="K18012" s="18" t="s">
        <v>316</v>
      </c>
    </row>
    <row r="18013">
      <c r="A18013" s="17"/>
      <c r="H18013" s="18"/>
      <c r="K18013" s="18" t="s">
        <v>316</v>
      </c>
    </row>
    <row r="18014">
      <c r="A18014" s="17"/>
      <c r="H18014" s="18"/>
      <c r="K18014" s="18" t="s">
        <v>316</v>
      </c>
    </row>
    <row r="18015">
      <c r="A18015" s="17"/>
      <c r="H18015" s="18"/>
      <c r="K18015" s="18" t="s">
        <v>316</v>
      </c>
    </row>
    <row r="18016">
      <c r="A18016" s="17"/>
      <c r="H18016" s="18"/>
      <c r="K18016" s="18" t="s">
        <v>316</v>
      </c>
    </row>
    <row r="18017">
      <c r="A18017" s="17"/>
      <c r="H18017" s="18"/>
      <c r="K18017" s="18" t="s">
        <v>316</v>
      </c>
    </row>
    <row r="18018">
      <c r="A18018" s="17"/>
      <c r="H18018" s="18"/>
      <c r="K18018" s="18" t="s">
        <v>316</v>
      </c>
    </row>
    <row r="18019">
      <c r="A18019" s="17"/>
      <c r="H18019" s="18"/>
      <c r="K18019" s="18" t="s">
        <v>316</v>
      </c>
    </row>
    <row r="18020">
      <c r="A18020" s="17"/>
      <c r="H18020" s="18"/>
      <c r="K18020" s="18" t="s">
        <v>316</v>
      </c>
    </row>
    <row r="18021">
      <c r="A18021" s="17"/>
      <c r="H18021" s="18"/>
      <c r="K18021" s="18" t="s">
        <v>316</v>
      </c>
    </row>
    <row r="18022">
      <c r="A18022" s="17"/>
      <c r="H18022" s="18"/>
      <c r="K18022" s="18" t="s">
        <v>316</v>
      </c>
    </row>
    <row r="18023">
      <c r="A18023" s="17"/>
      <c r="H18023" s="18"/>
      <c r="K18023" s="18" t="s">
        <v>316</v>
      </c>
    </row>
    <row r="18024">
      <c r="A18024" s="17"/>
      <c r="H18024" s="18"/>
      <c r="K18024" s="18" t="s">
        <v>316</v>
      </c>
    </row>
    <row r="18025">
      <c r="A18025" s="17"/>
      <c r="H18025" s="18"/>
      <c r="K18025" s="18" t="s">
        <v>316</v>
      </c>
    </row>
    <row r="18026">
      <c r="A18026" s="17"/>
      <c r="H18026" s="18"/>
      <c r="K18026" s="18" t="s">
        <v>316</v>
      </c>
    </row>
    <row r="18027">
      <c r="A18027" s="17"/>
      <c r="H18027" s="18"/>
      <c r="K18027" s="18" t="s">
        <v>316</v>
      </c>
    </row>
    <row r="18028">
      <c r="A18028" s="17"/>
      <c r="H18028" s="18"/>
      <c r="K18028" s="18" t="s">
        <v>316</v>
      </c>
    </row>
    <row r="18029">
      <c r="A18029" s="17"/>
      <c r="H18029" s="18"/>
      <c r="K18029" s="18" t="s">
        <v>316</v>
      </c>
    </row>
    <row r="18030">
      <c r="A18030" s="17"/>
      <c r="H18030" s="18"/>
      <c r="K18030" s="18" t="s">
        <v>316</v>
      </c>
    </row>
    <row r="18031">
      <c r="A18031" s="17"/>
      <c r="H18031" s="18"/>
      <c r="K18031" s="18" t="s">
        <v>316</v>
      </c>
    </row>
    <row r="18032">
      <c r="A18032" s="17"/>
      <c r="H18032" s="18"/>
      <c r="K18032" s="18" t="s">
        <v>316</v>
      </c>
    </row>
    <row r="18033">
      <c r="A18033" s="17"/>
      <c r="H18033" s="18"/>
      <c r="K18033" s="18" t="s">
        <v>316</v>
      </c>
    </row>
    <row r="18034">
      <c r="A18034" s="17"/>
      <c r="H18034" s="18"/>
      <c r="K18034" s="18" t="s">
        <v>316</v>
      </c>
    </row>
    <row r="18035">
      <c r="A18035" s="17"/>
      <c r="H18035" s="18"/>
      <c r="K18035" s="18" t="s">
        <v>316</v>
      </c>
    </row>
    <row r="18036">
      <c r="A18036" s="17"/>
      <c r="H18036" s="18"/>
      <c r="K18036" s="18" t="s">
        <v>316</v>
      </c>
    </row>
    <row r="18037">
      <c r="A18037" s="17"/>
      <c r="H18037" s="18"/>
      <c r="K18037" s="18" t="s">
        <v>316</v>
      </c>
    </row>
    <row r="18038">
      <c r="A18038" s="17"/>
      <c r="H18038" s="18"/>
      <c r="K18038" s="18" t="s">
        <v>316</v>
      </c>
    </row>
    <row r="18039">
      <c r="A18039" s="17"/>
      <c r="H18039" s="18"/>
      <c r="K18039" s="18" t="s">
        <v>316</v>
      </c>
    </row>
    <row r="18040">
      <c r="A18040" s="17"/>
      <c r="H18040" s="18"/>
      <c r="K18040" s="18" t="s">
        <v>316</v>
      </c>
    </row>
    <row r="18041">
      <c r="A18041" s="17"/>
      <c r="H18041" s="18"/>
      <c r="K18041" s="18" t="s">
        <v>316</v>
      </c>
    </row>
    <row r="18042">
      <c r="A18042" s="17"/>
      <c r="H18042" s="18"/>
      <c r="K18042" s="18" t="s">
        <v>316</v>
      </c>
    </row>
    <row r="18043">
      <c r="A18043" s="17"/>
      <c r="H18043" s="18"/>
      <c r="K18043" s="18" t="s">
        <v>316</v>
      </c>
    </row>
    <row r="18044">
      <c r="A18044" s="17"/>
      <c r="H18044" s="18"/>
      <c r="K18044" s="18" t="s">
        <v>316</v>
      </c>
    </row>
    <row r="18045">
      <c r="A18045" s="17"/>
      <c r="H18045" s="18"/>
      <c r="K18045" s="18" t="s">
        <v>316</v>
      </c>
    </row>
    <row r="18046">
      <c r="A18046" s="17"/>
      <c r="H18046" s="18"/>
      <c r="K18046" s="18" t="s">
        <v>316</v>
      </c>
    </row>
    <row r="18047">
      <c r="A18047" s="17"/>
      <c r="H18047" s="18"/>
      <c r="K18047" s="18" t="s">
        <v>316</v>
      </c>
    </row>
    <row r="18048">
      <c r="A18048" s="17"/>
      <c r="H18048" s="18"/>
      <c r="K18048" s="18" t="s">
        <v>316</v>
      </c>
    </row>
    <row r="18049">
      <c r="A18049" s="17"/>
      <c r="H18049" s="18"/>
      <c r="K18049" s="18" t="s">
        <v>316</v>
      </c>
    </row>
    <row r="18050">
      <c r="A18050" s="17"/>
      <c r="H18050" s="18"/>
      <c r="K18050" s="18" t="s">
        <v>316</v>
      </c>
    </row>
    <row r="18051">
      <c r="A18051" s="17"/>
      <c r="H18051" s="18"/>
      <c r="K18051" s="18" t="s">
        <v>316</v>
      </c>
    </row>
    <row r="18052">
      <c r="A18052" s="17"/>
      <c r="H18052" s="18"/>
      <c r="K18052" s="18" t="s">
        <v>316</v>
      </c>
    </row>
    <row r="18053">
      <c r="A18053" s="17"/>
      <c r="H18053" s="18"/>
      <c r="K18053" s="18" t="s">
        <v>316</v>
      </c>
    </row>
    <row r="18054">
      <c r="A18054" s="17"/>
      <c r="H18054" s="18"/>
      <c r="K18054" s="18" t="s">
        <v>316</v>
      </c>
    </row>
    <row r="18055">
      <c r="A18055" s="17"/>
      <c r="H18055" s="18"/>
      <c r="K18055" s="18" t="s">
        <v>316</v>
      </c>
    </row>
    <row r="18056">
      <c r="A18056" s="17"/>
      <c r="H18056" s="18"/>
      <c r="K18056" s="18" t="s">
        <v>316</v>
      </c>
    </row>
    <row r="18057">
      <c r="A18057" s="17"/>
      <c r="H18057" s="18"/>
      <c r="K18057" s="18" t="s">
        <v>316</v>
      </c>
    </row>
    <row r="18058">
      <c r="A18058" s="17"/>
      <c r="H18058" s="18"/>
      <c r="K18058" s="18" t="s">
        <v>316</v>
      </c>
    </row>
    <row r="18059">
      <c r="A18059" s="17"/>
      <c r="H18059" s="18"/>
      <c r="K18059" s="18" t="s">
        <v>316</v>
      </c>
    </row>
    <row r="18060">
      <c r="A18060" s="17"/>
      <c r="H18060" s="18"/>
      <c r="K18060" s="18" t="s">
        <v>316</v>
      </c>
    </row>
    <row r="18061">
      <c r="A18061" s="17"/>
      <c r="H18061" s="18"/>
      <c r="K18061" s="18" t="s">
        <v>316</v>
      </c>
    </row>
    <row r="18062">
      <c r="A18062" s="17"/>
      <c r="H18062" s="18"/>
      <c r="K18062" s="18" t="s">
        <v>316</v>
      </c>
    </row>
    <row r="18063">
      <c r="A18063" s="17"/>
      <c r="H18063" s="18"/>
      <c r="K18063" s="18" t="s">
        <v>316</v>
      </c>
    </row>
    <row r="18064">
      <c r="A18064" s="17"/>
      <c r="H18064" s="18"/>
      <c r="K18064" s="18" t="s">
        <v>316</v>
      </c>
    </row>
    <row r="18065">
      <c r="A18065" s="17"/>
      <c r="H18065" s="18"/>
      <c r="K18065" s="18" t="s">
        <v>316</v>
      </c>
    </row>
    <row r="18066">
      <c r="A18066" s="17"/>
      <c r="H18066" s="18"/>
      <c r="K18066" s="18" t="s">
        <v>316</v>
      </c>
    </row>
    <row r="18067">
      <c r="A18067" s="17"/>
      <c r="H18067" s="18"/>
      <c r="K18067" s="18" t="s">
        <v>316</v>
      </c>
    </row>
    <row r="18068">
      <c r="A18068" s="17"/>
      <c r="H18068" s="18"/>
      <c r="K18068" s="18" t="s">
        <v>316</v>
      </c>
    </row>
    <row r="18069">
      <c r="A18069" s="17"/>
      <c r="H18069" s="18"/>
      <c r="K18069" s="18" t="s">
        <v>316</v>
      </c>
    </row>
    <row r="18070">
      <c r="A18070" s="17"/>
      <c r="H18070" s="18"/>
      <c r="K18070" s="18" t="s">
        <v>316</v>
      </c>
    </row>
    <row r="18071">
      <c r="A18071" s="17"/>
      <c r="H18071" s="18"/>
      <c r="K18071" s="18" t="s">
        <v>316</v>
      </c>
    </row>
    <row r="18072">
      <c r="A18072" s="17"/>
      <c r="H18072" s="18"/>
      <c r="K18072" s="18" t="s">
        <v>316</v>
      </c>
    </row>
    <row r="18073">
      <c r="A18073" s="17"/>
      <c r="H18073" s="18"/>
      <c r="K18073" s="18" t="s">
        <v>316</v>
      </c>
    </row>
    <row r="18074">
      <c r="A18074" s="17"/>
      <c r="H18074" s="18"/>
      <c r="K18074" s="18" t="s">
        <v>316</v>
      </c>
    </row>
    <row r="18075">
      <c r="A18075" s="17"/>
      <c r="H18075" s="18"/>
      <c r="K18075" s="18" t="s">
        <v>316</v>
      </c>
    </row>
    <row r="18076">
      <c r="A18076" s="17"/>
      <c r="H18076" s="18"/>
      <c r="K18076" s="18" t="s">
        <v>316</v>
      </c>
    </row>
    <row r="18077">
      <c r="A18077" s="17"/>
      <c r="H18077" s="18"/>
      <c r="K18077" s="18" t="s">
        <v>316</v>
      </c>
    </row>
    <row r="18078">
      <c r="A18078" s="17"/>
      <c r="H18078" s="18"/>
      <c r="K18078" s="18" t="s">
        <v>316</v>
      </c>
    </row>
    <row r="18079">
      <c r="A18079" s="17"/>
      <c r="H18079" s="18"/>
      <c r="K18079" s="18" t="s">
        <v>316</v>
      </c>
    </row>
    <row r="18080">
      <c r="A18080" s="17"/>
      <c r="H18080" s="18"/>
      <c r="K18080" s="18" t="s">
        <v>316</v>
      </c>
    </row>
    <row r="18081">
      <c r="A18081" s="17"/>
      <c r="H18081" s="18"/>
      <c r="K18081" s="18" t="s">
        <v>316</v>
      </c>
    </row>
    <row r="18082">
      <c r="A18082" s="17"/>
      <c r="H18082" s="18"/>
      <c r="K18082" s="18" t="s">
        <v>316</v>
      </c>
    </row>
    <row r="18083">
      <c r="A18083" s="17"/>
      <c r="H18083" s="18"/>
      <c r="K18083" s="18" t="s">
        <v>316</v>
      </c>
    </row>
    <row r="18084">
      <c r="A18084" s="17"/>
      <c r="H18084" s="18"/>
      <c r="K18084" s="18" t="s">
        <v>316</v>
      </c>
    </row>
    <row r="18085">
      <c r="A18085" s="17"/>
      <c r="H18085" s="18"/>
      <c r="K18085" s="18" t="s">
        <v>316</v>
      </c>
    </row>
    <row r="18086">
      <c r="A18086" s="17"/>
      <c r="H18086" s="18"/>
      <c r="K18086" s="18" t="s">
        <v>316</v>
      </c>
    </row>
    <row r="18087">
      <c r="A18087" s="17"/>
      <c r="H18087" s="18"/>
      <c r="K18087" s="18" t="s">
        <v>316</v>
      </c>
    </row>
    <row r="18088">
      <c r="A18088" s="17"/>
      <c r="H18088" s="18"/>
      <c r="K18088" s="18" t="s">
        <v>316</v>
      </c>
    </row>
    <row r="18089">
      <c r="A18089" s="17"/>
      <c r="H18089" s="18"/>
      <c r="K18089" s="18" t="s">
        <v>316</v>
      </c>
    </row>
    <row r="18090">
      <c r="A18090" s="17"/>
      <c r="H18090" s="18"/>
      <c r="K18090" s="18" t="s">
        <v>316</v>
      </c>
    </row>
    <row r="18091">
      <c r="A18091" s="17"/>
      <c r="H18091" s="18"/>
      <c r="K18091" s="18" t="s">
        <v>316</v>
      </c>
    </row>
    <row r="18092">
      <c r="A18092" s="17"/>
      <c r="H18092" s="18"/>
      <c r="K18092" s="18" t="s">
        <v>316</v>
      </c>
    </row>
    <row r="18093">
      <c r="A18093" s="17"/>
      <c r="H18093" s="18"/>
      <c r="K18093" s="18" t="s">
        <v>316</v>
      </c>
    </row>
    <row r="18094">
      <c r="A18094" s="17"/>
      <c r="H18094" s="18"/>
      <c r="K18094" s="18" t="s">
        <v>316</v>
      </c>
    </row>
    <row r="18095">
      <c r="A18095" s="17"/>
      <c r="H18095" s="18"/>
      <c r="K18095" s="18" t="s">
        <v>316</v>
      </c>
    </row>
    <row r="18096">
      <c r="A18096" s="17"/>
      <c r="H18096" s="18"/>
      <c r="K18096" s="18" t="s">
        <v>316</v>
      </c>
    </row>
    <row r="18097">
      <c r="A18097" s="17"/>
      <c r="H18097" s="18"/>
      <c r="K18097" s="18" t="s">
        <v>316</v>
      </c>
    </row>
    <row r="18098">
      <c r="A18098" s="17"/>
      <c r="H18098" s="18"/>
      <c r="K18098" s="18" t="s">
        <v>316</v>
      </c>
    </row>
    <row r="18099">
      <c r="A18099" s="17"/>
      <c r="H18099" s="18"/>
      <c r="K18099" s="18" t="s">
        <v>316</v>
      </c>
    </row>
    <row r="18100">
      <c r="A18100" s="17"/>
      <c r="H18100" s="18"/>
      <c r="K18100" s="18" t="s">
        <v>316</v>
      </c>
    </row>
    <row r="18101">
      <c r="A18101" s="17"/>
      <c r="H18101" s="18"/>
      <c r="K18101" s="18" t="s">
        <v>316</v>
      </c>
    </row>
    <row r="18102">
      <c r="A18102" s="17"/>
      <c r="H18102" s="18"/>
      <c r="K18102" s="18" t="s">
        <v>316</v>
      </c>
    </row>
    <row r="18103">
      <c r="A18103" s="17"/>
      <c r="H18103" s="18"/>
      <c r="K18103" s="18" t="s">
        <v>316</v>
      </c>
    </row>
    <row r="18104">
      <c r="A18104" s="17"/>
      <c r="H18104" s="18"/>
      <c r="K18104" s="18" t="s">
        <v>316</v>
      </c>
    </row>
    <row r="18105">
      <c r="A18105" s="17"/>
      <c r="H18105" s="18"/>
      <c r="K18105" s="18" t="s">
        <v>316</v>
      </c>
    </row>
    <row r="18106">
      <c r="A18106" s="17"/>
      <c r="H18106" s="18"/>
      <c r="K18106" s="18" t="s">
        <v>316</v>
      </c>
    </row>
    <row r="18107">
      <c r="A18107" s="17"/>
      <c r="H18107" s="18"/>
      <c r="K18107" s="18" t="s">
        <v>316</v>
      </c>
    </row>
    <row r="18108">
      <c r="A18108" s="17"/>
      <c r="H18108" s="18"/>
      <c r="K18108" s="18" t="s">
        <v>316</v>
      </c>
    </row>
    <row r="18109">
      <c r="A18109" s="17"/>
      <c r="H18109" s="18"/>
      <c r="K18109" s="18" t="s">
        <v>316</v>
      </c>
    </row>
    <row r="18110">
      <c r="A18110" s="17"/>
      <c r="H18110" s="18"/>
      <c r="K18110" s="18" t="s">
        <v>316</v>
      </c>
    </row>
    <row r="18111">
      <c r="A18111" s="17"/>
      <c r="H18111" s="18"/>
      <c r="K18111" s="18" t="s">
        <v>316</v>
      </c>
    </row>
    <row r="18112">
      <c r="A18112" s="17"/>
      <c r="H18112" s="18"/>
      <c r="K18112" s="18" t="s">
        <v>316</v>
      </c>
    </row>
    <row r="18113">
      <c r="A18113" s="17"/>
      <c r="H18113" s="18"/>
      <c r="K18113" s="18" t="s">
        <v>316</v>
      </c>
    </row>
    <row r="18114">
      <c r="A18114" s="17"/>
      <c r="H18114" s="18"/>
      <c r="K18114" s="18" t="s">
        <v>316</v>
      </c>
    </row>
    <row r="18115">
      <c r="A18115" s="17"/>
      <c r="H18115" s="18"/>
      <c r="K18115" s="18" t="s">
        <v>316</v>
      </c>
    </row>
    <row r="18116">
      <c r="A18116" s="17"/>
      <c r="H18116" s="18"/>
      <c r="K18116" s="18" t="s">
        <v>316</v>
      </c>
    </row>
    <row r="18117">
      <c r="A18117" s="17"/>
      <c r="H18117" s="18"/>
      <c r="K18117" s="18" t="s">
        <v>316</v>
      </c>
    </row>
    <row r="18118">
      <c r="A18118" s="17"/>
      <c r="H18118" s="18"/>
      <c r="K18118" s="18" t="s">
        <v>316</v>
      </c>
    </row>
    <row r="18119">
      <c r="A18119" s="17"/>
      <c r="H18119" s="18"/>
      <c r="K18119" s="18" t="s">
        <v>316</v>
      </c>
    </row>
    <row r="18120">
      <c r="A18120" s="17"/>
      <c r="H18120" s="18"/>
      <c r="K18120" s="18" t="s">
        <v>316</v>
      </c>
    </row>
    <row r="18121">
      <c r="A18121" s="17"/>
      <c r="H18121" s="18"/>
      <c r="K18121" s="18" t="s">
        <v>316</v>
      </c>
    </row>
    <row r="18122">
      <c r="A18122" s="17"/>
      <c r="H18122" s="18"/>
      <c r="K18122" s="18" t="s">
        <v>316</v>
      </c>
    </row>
    <row r="18123">
      <c r="A18123" s="17"/>
      <c r="H18123" s="18"/>
      <c r="K18123" s="18" t="s">
        <v>316</v>
      </c>
    </row>
    <row r="18124">
      <c r="A18124" s="17"/>
      <c r="H18124" s="18"/>
      <c r="K18124" s="18" t="s">
        <v>316</v>
      </c>
    </row>
    <row r="18125">
      <c r="A18125" s="17"/>
      <c r="H18125" s="18"/>
      <c r="K18125" s="18" t="s">
        <v>316</v>
      </c>
    </row>
    <row r="18126">
      <c r="A18126" s="17"/>
      <c r="H18126" s="18"/>
      <c r="K18126" s="18" t="s">
        <v>316</v>
      </c>
    </row>
    <row r="18127">
      <c r="A18127" s="17"/>
      <c r="H18127" s="18"/>
      <c r="K18127" s="18" t="s">
        <v>316</v>
      </c>
    </row>
    <row r="18128">
      <c r="A18128" s="17"/>
      <c r="H18128" s="18"/>
      <c r="K18128" s="18" t="s">
        <v>316</v>
      </c>
    </row>
    <row r="18129">
      <c r="A18129" s="17"/>
      <c r="H18129" s="18"/>
      <c r="K18129" s="18" t="s">
        <v>316</v>
      </c>
    </row>
    <row r="18130">
      <c r="A18130" s="17"/>
      <c r="H18130" s="18"/>
      <c r="K18130" s="18" t="s">
        <v>316</v>
      </c>
    </row>
    <row r="18131">
      <c r="A18131" s="17"/>
      <c r="H18131" s="18"/>
      <c r="K18131" s="18" t="s">
        <v>316</v>
      </c>
    </row>
    <row r="18132">
      <c r="A18132" s="17"/>
      <c r="H18132" s="18"/>
      <c r="K18132" s="18" t="s">
        <v>316</v>
      </c>
    </row>
    <row r="18133">
      <c r="A18133" s="17"/>
      <c r="H18133" s="18"/>
      <c r="K18133" s="18" t="s">
        <v>316</v>
      </c>
    </row>
    <row r="18134">
      <c r="A18134" s="17"/>
      <c r="H18134" s="18"/>
      <c r="K18134" s="18" t="s">
        <v>316</v>
      </c>
    </row>
    <row r="18135">
      <c r="A18135" s="17"/>
      <c r="H18135" s="18"/>
      <c r="K18135" s="18" t="s">
        <v>316</v>
      </c>
    </row>
    <row r="18136">
      <c r="A18136" s="17"/>
      <c r="H18136" s="18"/>
      <c r="K18136" s="18" t="s">
        <v>316</v>
      </c>
    </row>
    <row r="18137">
      <c r="A18137" s="17"/>
      <c r="H18137" s="18"/>
      <c r="K18137" s="18" t="s">
        <v>316</v>
      </c>
    </row>
    <row r="18138">
      <c r="A18138" s="17"/>
      <c r="H18138" s="18"/>
      <c r="K18138" s="18" t="s">
        <v>316</v>
      </c>
    </row>
    <row r="18139">
      <c r="A18139" s="17"/>
      <c r="H18139" s="18"/>
      <c r="K18139" s="18" t="s">
        <v>316</v>
      </c>
    </row>
    <row r="18140">
      <c r="A18140" s="17"/>
      <c r="H18140" s="18"/>
      <c r="K18140" s="18" t="s">
        <v>316</v>
      </c>
    </row>
    <row r="18141">
      <c r="A18141" s="17"/>
      <c r="H18141" s="18"/>
      <c r="K18141" s="18" t="s">
        <v>316</v>
      </c>
    </row>
    <row r="18142">
      <c r="A18142" s="17"/>
      <c r="H18142" s="18"/>
      <c r="K18142" s="18" t="s">
        <v>316</v>
      </c>
    </row>
    <row r="18143">
      <c r="A18143" s="17"/>
      <c r="H18143" s="18"/>
      <c r="K18143" s="18" t="s">
        <v>316</v>
      </c>
    </row>
    <row r="18144">
      <c r="A18144" s="17"/>
      <c r="H18144" s="18"/>
      <c r="K18144" s="18" t="s">
        <v>316</v>
      </c>
    </row>
    <row r="18145">
      <c r="A18145" s="17"/>
      <c r="H18145" s="18"/>
      <c r="K18145" s="18" t="s">
        <v>316</v>
      </c>
    </row>
    <row r="18146">
      <c r="A18146" s="17"/>
      <c r="H18146" s="18"/>
      <c r="K18146" s="18" t="s">
        <v>316</v>
      </c>
    </row>
    <row r="18147">
      <c r="A18147" s="17"/>
      <c r="H18147" s="18"/>
      <c r="K18147" s="18" t="s">
        <v>316</v>
      </c>
    </row>
    <row r="18148">
      <c r="A18148" s="17"/>
      <c r="H18148" s="18"/>
      <c r="K18148" s="18" t="s">
        <v>316</v>
      </c>
    </row>
    <row r="18149">
      <c r="A18149" s="17"/>
      <c r="H18149" s="18"/>
      <c r="K18149" s="18" t="s">
        <v>316</v>
      </c>
    </row>
    <row r="18150">
      <c r="A18150" s="17"/>
      <c r="H18150" s="18"/>
      <c r="K18150" s="18" t="s">
        <v>316</v>
      </c>
    </row>
    <row r="18151">
      <c r="A18151" s="17"/>
      <c r="H18151" s="18"/>
      <c r="K18151" s="18" t="s">
        <v>316</v>
      </c>
    </row>
    <row r="18152">
      <c r="A18152" s="17"/>
      <c r="H18152" s="18"/>
      <c r="K18152" s="18" t="s">
        <v>316</v>
      </c>
    </row>
    <row r="18153">
      <c r="A18153" s="17"/>
      <c r="H18153" s="18"/>
      <c r="K18153" s="18" t="s">
        <v>316</v>
      </c>
    </row>
    <row r="18154">
      <c r="A18154" s="17"/>
      <c r="H18154" s="18"/>
      <c r="K18154" s="18" t="s">
        <v>316</v>
      </c>
    </row>
    <row r="18155">
      <c r="A18155" s="17"/>
      <c r="H18155" s="18"/>
      <c r="K18155" s="18" t="s">
        <v>316</v>
      </c>
    </row>
    <row r="18156">
      <c r="A18156" s="17"/>
      <c r="H18156" s="18"/>
      <c r="K18156" s="18" t="s">
        <v>316</v>
      </c>
    </row>
    <row r="18157">
      <c r="A18157" s="17"/>
      <c r="H18157" s="18"/>
      <c r="K18157" s="18" t="s">
        <v>316</v>
      </c>
    </row>
    <row r="18158">
      <c r="A18158" s="17"/>
      <c r="H18158" s="18"/>
      <c r="K18158" s="18" t="s">
        <v>316</v>
      </c>
    </row>
    <row r="18159">
      <c r="A18159" s="17"/>
      <c r="H18159" s="18"/>
      <c r="K18159" s="18" t="s">
        <v>316</v>
      </c>
    </row>
    <row r="18160">
      <c r="A18160" s="17"/>
      <c r="H18160" s="18"/>
      <c r="K18160" s="18" t="s">
        <v>316</v>
      </c>
    </row>
    <row r="18161">
      <c r="A18161" s="17"/>
      <c r="H18161" s="18"/>
      <c r="K18161" s="18" t="s">
        <v>316</v>
      </c>
    </row>
    <row r="18162">
      <c r="A18162" s="17"/>
      <c r="H18162" s="18"/>
      <c r="K18162" s="18" t="s">
        <v>316</v>
      </c>
    </row>
    <row r="18163">
      <c r="A18163" s="17"/>
      <c r="H18163" s="18"/>
      <c r="K18163" s="18" t="s">
        <v>316</v>
      </c>
    </row>
    <row r="18164">
      <c r="A18164" s="17"/>
      <c r="H18164" s="18"/>
      <c r="K18164" s="18" t="s">
        <v>316</v>
      </c>
    </row>
    <row r="18165">
      <c r="A18165" s="17"/>
      <c r="H18165" s="18"/>
      <c r="K18165" s="18" t="s">
        <v>316</v>
      </c>
    </row>
    <row r="18166">
      <c r="A18166" s="17"/>
      <c r="H18166" s="18"/>
      <c r="K18166" s="18" t="s">
        <v>316</v>
      </c>
    </row>
    <row r="18167">
      <c r="A18167" s="17"/>
      <c r="H18167" s="18"/>
      <c r="K18167" s="18" t="s">
        <v>316</v>
      </c>
    </row>
    <row r="18168">
      <c r="A18168" s="17"/>
      <c r="H18168" s="18"/>
      <c r="K18168" s="18" t="s">
        <v>316</v>
      </c>
    </row>
    <row r="18169">
      <c r="A18169" s="17"/>
      <c r="H18169" s="18"/>
      <c r="K18169" s="18" t="s">
        <v>316</v>
      </c>
    </row>
    <row r="18170">
      <c r="A18170" s="17"/>
      <c r="H18170" s="18"/>
      <c r="K18170" s="18" t="s">
        <v>316</v>
      </c>
    </row>
    <row r="18171">
      <c r="A18171" s="17"/>
      <c r="H18171" s="18"/>
      <c r="K18171" s="18" t="s">
        <v>316</v>
      </c>
    </row>
    <row r="18172">
      <c r="A18172" s="17"/>
      <c r="H18172" s="18"/>
      <c r="K18172" s="18" t="s">
        <v>316</v>
      </c>
    </row>
    <row r="18173">
      <c r="A18173" s="17"/>
      <c r="H18173" s="18"/>
      <c r="K18173" s="18" t="s">
        <v>316</v>
      </c>
    </row>
    <row r="18174">
      <c r="A18174" s="17"/>
      <c r="H18174" s="18"/>
      <c r="K18174" s="18" t="s">
        <v>316</v>
      </c>
    </row>
    <row r="18175">
      <c r="A18175" s="17"/>
      <c r="H18175" s="18"/>
      <c r="K18175" s="18" t="s">
        <v>316</v>
      </c>
    </row>
    <row r="18176">
      <c r="A18176" s="17"/>
      <c r="H18176" s="18"/>
      <c r="K18176" s="18" t="s">
        <v>316</v>
      </c>
    </row>
    <row r="18177">
      <c r="A18177" s="17"/>
      <c r="H18177" s="18"/>
      <c r="K18177" s="18" t="s">
        <v>316</v>
      </c>
    </row>
    <row r="18178">
      <c r="A18178" s="17"/>
      <c r="H18178" s="18"/>
      <c r="K18178" s="18" t="s">
        <v>316</v>
      </c>
    </row>
    <row r="18179">
      <c r="A18179" s="17"/>
      <c r="H18179" s="18"/>
      <c r="K18179" s="18" t="s">
        <v>316</v>
      </c>
    </row>
    <row r="18180">
      <c r="A18180" s="17"/>
      <c r="H18180" s="18"/>
      <c r="K18180" s="18" t="s">
        <v>316</v>
      </c>
    </row>
    <row r="18181">
      <c r="A18181" s="17"/>
      <c r="H18181" s="18"/>
      <c r="K18181" s="18" t="s">
        <v>316</v>
      </c>
    </row>
    <row r="18182">
      <c r="A18182" s="17"/>
      <c r="H18182" s="18"/>
      <c r="K18182" s="18" t="s">
        <v>316</v>
      </c>
    </row>
    <row r="18183">
      <c r="A18183" s="17"/>
      <c r="H18183" s="18"/>
      <c r="K18183" s="18" t="s">
        <v>316</v>
      </c>
    </row>
    <row r="18184">
      <c r="A18184" s="17"/>
      <c r="H18184" s="18"/>
      <c r="K18184" s="18" t="s">
        <v>316</v>
      </c>
    </row>
    <row r="18185">
      <c r="A18185" s="17"/>
      <c r="H18185" s="18"/>
      <c r="K18185" s="18" t="s">
        <v>316</v>
      </c>
    </row>
    <row r="18186">
      <c r="A18186" s="17"/>
      <c r="H18186" s="18"/>
      <c r="K18186" s="18" t="s">
        <v>316</v>
      </c>
    </row>
    <row r="18187">
      <c r="A18187" s="17"/>
      <c r="H18187" s="18"/>
      <c r="K18187" s="18" t="s">
        <v>316</v>
      </c>
    </row>
    <row r="18188">
      <c r="A18188" s="17"/>
      <c r="H18188" s="18"/>
      <c r="K18188" s="18" t="s">
        <v>316</v>
      </c>
    </row>
    <row r="18189">
      <c r="A18189" s="17"/>
      <c r="H18189" s="18"/>
      <c r="K18189" s="18" t="s">
        <v>316</v>
      </c>
    </row>
    <row r="18190">
      <c r="A18190" s="17"/>
      <c r="H18190" s="18"/>
      <c r="K18190" s="18" t="s">
        <v>316</v>
      </c>
    </row>
    <row r="18191">
      <c r="A18191" s="17"/>
      <c r="H18191" s="18"/>
      <c r="K18191" s="18" t="s">
        <v>316</v>
      </c>
    </row>
    <row r="18192">
      <c r="A18192" s="17"/>
      <c r="H18192" s="18"/>
      <c r="K18192" s="18" t="s">
        <v>316</v>
      </c>
    </row>
    <row r="18193">
      <c r="A18193" s="17"/>
      <c r="H18193" s="18"/>
      <c r="K18193" s="18" t="s">
        <v>316</v>
      </c>
    </row>
    <row r="18194">
      <c r="A18194" s="17"/>
      <c r="H18194" s="18"/>
      <c r="K18194" s="18" t="s">
        <v>316</v>
      </c>
    </row>
    <row r="18195">
      <c r="A18195" s="17"/>
      <c r="H18195" s="18"/>
      <c r="K18195" s="18" t="s">
        <v>316</v>
      </c>
    </row>
    <row r="18196">
      <c r="A18196" s="17"/>
      <c r="H18196" s="18"/>
      <c r="K18196" s="18" t="s">
        <v>316</v>
      </c>
    </row>
    <row r="18197">
      <c r="A18197" s="17"/>
      <c r="H18197" s="18"/>
      <c r="K18197" s="18" t="s">
        <v>316</v>
      </c>
    </row>
    <row r="18198">
      <c r="A18198" s="17"/>
      <c r="H18198" s="18"/>
      <c r="K18198" s="18" t="s">
        <v>316</v>
      </c>
    </row>
    <row r="18199">
      <c r="A18199" s="17"/>
      <c r="H18199" s="18"/>
      <c r="K18199" s="18" t="s">
        <v>316</v>
      </c>
    </row>
    <row r="18200">
      <c r="A18200" s="17"/>
      <c r="H18200" s="18"/>
      <c r="K18200" s="18" t="s">
        <v>316</v>
      </c>
    </row>
    <row r="18201">
      <c r="A18201" s="17"/>
      <c r="H18201" s="18"/>
      <c r="K18201" s="18" t="s">
        <v>316</v>
      </c>
    </row>
    <row r="18202">
      <c r="A18202" s="17"/>
      <c r="H18202" s="18"/>
      <c r="K18202" s="18" t="s">
        <v>316</v>
      </c>
    </row>
    <row r="18203">
      <c r="A18203" s="17"/>
      <c r="H18203" s="18"/>
      <c r="K18203" s="18" t="s">
        <v>316</v>
      </c>
    </row>
    <row r="18204">
      <c r="A18204" s="17"/>
      <c r="H18204" s="18"/>
      <c r="K18204" s="18" t="s">
        <v>316</v>
      </c>
    </row>
    <row r="18205">
      <c r="A18205" s="17"/>
      <c r="H18205" s="18"/>
      <c r="K18205" s="18" t="s">
        <v>316</v>
      </c>
    </row>
    <row r="18206">
      <c r="A18206" s="17"/>
      <c r="H18206" s="18"/>
      <c r="K18206" s="18" t="s">
        <v>316</v>
      </c>
    </row>
    <row r="18207">
      <c r="A18207" s="17"/>
      <c r="H18207" s="18"/>
      <c r="K18207" s="18" t="s">
        <v>316</v>
      </c>
    </row>
    <row r="18208">
      <c r="A18208" s="17"/>
      <c r="H18208" s="18"/>
      <c r="K18208" s="18" t="s">
        <v>316</v>
      </c>
    </row>
    <row r="18209">
      <c r="A18209" s="17"/>
      <c r="H18209" s="18"/>
      <c r="K18209" s="18" t="s">
        <v>316</v>
      </c>
    </row>
    <row r="18210">
      <c r="A18210" s="17"/>
      <c r="H18210" s="18"/>
      <c r="K18210" s="18" t="s">
        <v>316</v>
      </c>
    </row>
    <row r="18211">
      <c r="A18211" s="17"/>
      <c r="H18211" s="18"/>
      <c r="K18211" s="18" t="s">
        <v>316</v>
      </c>
    </row>
    <row r="18212">
      <c r="A18212" s="17"/>
      <c r="H18212" s="18"/>
      <c r="K18212" s="18" t="s">
        <v>316</v>
      </c>
    </row>
    <row r="18213">
      <c r="A18213" s="17"/>
      <c r="H18213" s="18"/>
      <c r="K18213" s="18" t="s">
        <v>316</v>
      </c>
    </row>
    <row r="18214">
      <c r="A18214" s="17"/>
      <c r="H18214" s="18"/>
      <c r="K18214" s="18" t="s">
        <v>316</v>
      </c>
    </row>
    <row r="18215">
      <c r="A18215" s="17"/>
      <c r="H18215" s="18"/>
      <c r="K18215" s="18" t="s">
        <v>316</v>
      </c>
    </row>
    <row r="18216">
      <c r="A18216" s="17"/>
      <c r="H18216" s="18"/>
      <c r="K18216" s="18" t="s">
        <v>316</v>
      </c>
    </row>
    <row r="18217">
      <c r="A18217" s="17"/>
      <c r="H18217" s="18"/>
      <c r="K18217" s="18" t="s">
        <v>316</v>
      </c>
    </row>
    <row r="18218">
      <c r="A18218" s="17"/>
      <c r="H18218" s="18"/>
      <c r="K18218" s="18" t="s">
        <v>316</v>
      </c>
    </row>
    <row r="18219">
      <c r="A18219" s="17"/>
      <c r="H18219" s="18"/>
      <c r="K18219" s="18" t="s">
        <v>316</v>
      </c>
    </row>
    <row r="18220">
      <c r="A18220" s="17"/>
      <c r="H18220" s="18"/>
      <c r="K18220" s="18" t="s">
        <v>316</v>
      </c>
    </row>
    <row r="18221">
      <c r="A18221" s="17"/>
      <c r="H18221" s="18"/>
      <c r="K18221" s="18" t="s">
        <v>316</v>
      </c>
    </row>
    <row r="18222">
      <c r="A18222" s="17"/>
      <c r="H18222" s="18"/>
      <c r="K18222" s="18" t="s">
        <v>316</v>
      </c>
    </row>
    <row r="18223">
      <c r="A18223" s="17"/>
      <c r="H18223" s="18"/>
      <c r="K18223" s="18" t="s">
        <v>316</v>
      </c>
    </row>
    <row r="18224">
      <c r="A18224" s="17"/>
      <c r="H18224" s="18"/>
      <c r="K18224" s="18" t="s">
        <v>316</v>
      </c>
    </row>
    <row r="18225">
      <c r="A18225" s="17"/>
      <c r="H18225" s="18"/>
      <c r="K18225" s="18" t="s">
        <v>316</v>
      </c>
    </row>
    <row r="18226">
      <c r="A18226" s="17"/>
      <c r="H18226" s="18"/>
      <c r="K18226" s="18" t="s">
        <v>316</v>
      </c>
    </row>
    <row r="18227">
      <c r="A18227" s="17"/>
      <c r="H18227" s="18"/>
      <c r="K18227" s="18" t="s">
        <v>316</v>
      </c>
    </row>
    <row r="18228">
      <c r="A18228" s="17"/>
      <c r="H18228" s="18"/>
      <c r="K18228" s="18" t="s">
        <v>316</v>
      </c>
    </row>
    <row r="18229">
      <c r="A18229" s="17"/>
      <c r="H18229" s="18"/>
      <c r="K18229" s="18" t="s">
        <v>316</v>
      </c>
    </row>
    <row r="18230">
      <c r="A18230" s="17"/>
      <c r="H18230" s="18"/>
      <c r="K18230" s="18" t="s">
        <v>316</v>
      </c>
    </row>
    <row r="18231">
      <c r="A18231" s="17"/>
      <c r="H18231" s="18"/>
      <c r="K18231" s="18" t="s">
        <v>316</v>
      </c>
    </row>
    <row r="18232">
      <c r="A18232" s="17"/>
      <c r="H18232" s="18"/>
      <c r="K18232" s="18" t="s">
        <v>316</v>
      </c>
    </row>
    <row r="18233">
      <c r="A18233" s="17"/>
      <c r="H18233" s="18"/>
      <c r="K18233" s="18" t="s">
        <v>316</v>
      </c>
    </row>
    <row r="18234">
      <c r="A18234" s="17"/>
      <c r="H18234" s="18"/>
      <c r="K18234" s="18" t="s">
        <v>316</v>
      </c>
    </row>
    <row r="18235">
      <c r="A18235" s="17"/>
      <c r="H18235" s="18"/>
      <c r="K18235" s="18" t="s">
        <v>316</v>
      </c>
    </row>
    <row r="18236">
      <c r="A18236" s="17"/>
      <c r="H18236" s="18"/>
      <c r="K18236" s="18" t="s">
        <v>316</v>
      </c>
    </row>
    <row r="18237">
      <c r="A18237" s="17"/>
      <c r="H18237" s="18"/>
      <c r="K18237" s="18" t="s">
        <v>316</v>
      </c>
    </row>
    <row r="18238">
      <c r="A18238" s="17"/>
      <c r="H18238" s="18"/>
      <c r="K18238" s="18" t="s">
        <v>316</v>
      </c>
    </row>
    <row r="18239">
      <c r="A18239" s="17"/>
      <c r="H18239" s="18"/>
      <c r="K18239" s="18" t="s">
        <v>316</v>
      </c>
    </row>
    <row r="18240">
      <c r="A18240" s="17"/>
      <c r="H18240" s="18"/>
      <c r="K18240" s="18" t="s">
        <v>316</v>
      </c>
    </row>
    <row r="18241">
      <c r="A18241" s="17"/>
      <c r="H18241" s="18"/>
      <c r="K18241" s="18" t="s">
        <v>316</v>
      </c>
    </row>
    <row r="18242">
      <c r="A18242" s="17"/>
      <c r="H18242" s="18"/>
      <c r="K18242" s="18" t="s">
        <v>316</v>
      </c>
    </row>
    <row r="18243">
      <c r="A18243" s="17"/>
      <c r="H18243" s="18"/>
      <c r="K18243" s="18" t="s">
        <v>316</v>
      </c>
    </row>
    <row r="18244">
      <c r="A18244" s="17"/>
      <c r="H18244" s="18"/>
      <c r="K18244" s="18" t="s">
        <v>316</v>
      </c>
    </row>
    <row r="18245">
      <c r="A18245" s="17"/>
      <c r="H18245" s="18"/>
      <c r="K18245" s="18" t="s">
        <v>316</v>
      </c>
    </row>
    <row r="18246">
      <c r="A18246" s="17"/>
      <c r="H18246" s="18"/>
      <c r="K18246" s="18" t="s">
        <v>316</v>
      </c>
    </row>
    <row r="18247">
      <c r="A18247" s="17"/>
      <c r="H18247" s="18"/>
      <c r="K18247" s="18" t="s">
        <v>316</v>
      </c>
    </row>
    <row r="18248">
      <c r="A18248" s="17"/>
      <c r="H18248" s="18"/>
      <c r="K18248" s="18" t="s">
        <v>316</v>
      </c>
    </row>
    <row r="18249">
      <c r="A18249" s="17"/>
      <c r="H18249" s="18"/>
      <c r="K18249" s="18" t="s">
        <v>316</v>
      </c>
    </row>
    <row r="18250">
      <c r="A18250" s="17"/>
      <c r="H18250" s="18"/>
      <c r="K18250" s="18" t="s">
        <v>316</v>
      </c>
    </row>
    <row r="18251">
      <c r="A18251" s="17"/>
      <c r="H18251" s="18"/>
      <c r="K18251" s="18" t="s">
        <v>316</v>
      </c>
    </row>
    <row r="18252">
      <c r="A18252" s="17"/>
      <c r="H18252" s="18"/>
      <c r="K18252" s="18" t="s">
        <v>316</v>
      </c>
    </row>
    <row r="18253">
      <c r="A18253" s="17"/>
      <c r="H18253" s="18"/>
      <c r="K18253" s="18" t="s">
        <v>316</v>
      </c>
    </row>
    <row r="18254">
      <c r="A18254" s="17"/>
      <c r="H18254" s="18"/>
      <c r="K18254" s="18" t="s">
        <v>316</v>
      </c>
    </row>
    <row r="18255">
      <c r="A18255" s="17"/>
      <c r="H18255" s="18"/>
      <c r="K18255" s="18" t="s">
        <v>316</v>
      </c>
    </row>
    <row r="18256">
      <c r="A18256" s="17"/>
      <c r="H18256" s="18"/>
      <c r="K18256" s="18" t="s">
        <v>316</v>
      </c>
    </row>
    <row r="18257">
      <c r="A18257" s="17"/>
      <c r="H18257" s="18"/>
      <c r="K18257" s="18" t="s">
        <v>316</v>
      </c>
    </row>
    <row r="18258">
      <c r="A18258" s="17"/>
      <c r="H18258" s="18"/>
      <c r="K18258" s="18" t="s">
        <v>316</v>
      </c>
    </row>
    <row r="18259">
      <c r="A18259" s="17"/>
      <c r="H18259" s="18"/>
      <c r="K18259" s="18" t="s">
        <v>316</v>
      </c>
    </row>
    <row r="18260">
      <c r="A18260" s="17"/>
      <c r="H18260" s="18"/>
      <c r="K18260" s="18" t="s">
        <v>316</v>
      </c>
    </row>
    <row r="18261">
      <c r="A18261" s="17"/>
      <c r="H18261" s="18"/>
      <c r="K18261" s="18" t="s">
        <v>316</v>
      </c>
    </row>
    <row r="18262">
      <c r="A18262" s="17"/>
      <c r="H18262" s="18"/>
      <c r="K18262" s="18" t="s">
        <v>316</v>
      </c>
    </row>
    <row r="18263">
      <c r="A18263" s="17"/>
      <c r="H18263" s="18"/>
      <c r="K18263" s="18" t="s">
        <v>316</v>
      </c>
    </row>
    <row r="18264">
      <c r="A18264" s="17"/>
      <c r="H18264" s="18"/>
      <c r="K18264" s="18" t="s">
        <v>316</v>
      </c>
    </row>
    <row r="18265">
      <c r="A18265" s="17"/>
      <c r="H18265" s="18"/>
      <c r="K18265" s="18" t="s">
        <v>316</v>
      </c>
    </row>
    <row r="18266">
      <c r="A18266" s="17"/>
      <c r="H18266" s="18"/>
      <c r="K18266" s="18" t="s">
        <v>316</v>
      </c>
    </row>
    <row r="18267">
      <c r="A18267" s="17"/>
      <c r="H18267" s="18"/>
      <c r="K18267" s="18" t="s">
        <v>316</v>
      </c>
    </row>
    <row r="18268">
      <c r="A18268" s="17"/>
      <c r="H18268" s="18"/>
      <c r="K18268" s="18" t="s">
        <v>316</v>
      </c>
    </row>
    <row r="18269">
      <c r="A18269" s="17"/>
      <c r="H18269" s="18"/>
      <c r="K18269" s="18" t="s">
        <v>316</v>
      </c>
    </row>
    <row r="18270">
      <c r="A18270" s="17"/>
      <c r="H18270" s="18"/>
      <c r="K18270" s="18" t="s">
        <v>316</v>
      </c>
    </row>
    <row r="18271">
      <c r="A18271" s="17"/>
      <c r="H18271" s="18"/>
      <c r="K18271" s="18" t="s">
        <v>316</v>
      </c>
    </row>
    <row r="18272">
      <c r="A18272" s="17"/>
      <c r="H18272" s="18"/>
      <c r="K18272" s="18" t="s">
        <v>316</v>
      </c>
    </row>
    <row r="18273">
      <c r="A18273" s="17"/>
      <c r="H18273" s="18"/>
      <c r="K18273" s="18" t="s">
        <v>316</v>
      </c>
    </row>
    <row r="18274">
      <c r="A18274" s="17"/>
      <c r="H18274" s="18"/>
      <c r="K18274" s="18" t="s">
        <v>316</v>
      </c>
    </row>
    <row r="18275">
      <c r="A18275" s="17"/>
      <c r="H18275" s="18"/>
      <c r="K18275" s="18" t="s">
        <v>316</v>
      </c>
    </row>
    <row r="18276">
      <c r="A18276" s="17"/>
      <c r="H18276" s="18"/>
      <c r="K18276" s="18" t="s">
        <v>316</v>
      </c>
    </row>
    <row r="18277">
      <c r="A18277" s="17"/>
      <c r="H18277" s="18"/>
      <c r="K18277" s="18" t="s">
        <v>316</v>
      </c>
    </row>
    <row r="18278">
      <c r="A18278" s="17"/>
      <c r="H18278" s="18"/>
      <c r="K18278" s="18" t="s">
        <v>316</v>
      </c>
    </row>
    <row r="18279">
      <c r="A18279" s="17"/>
      <c r="H18279" s="18"/>
      <c r="K18279" s="18" t="s">
        <v>316</v>
      </c>
    </row>
    <row r="18280">
      <c r="A18280" s="17"/>
      <c r="H18280" s="18"/>
      <c r="K18280" s="18" t="s">
        <v>316</v>
      </c>
    </row>
    <row r="18281">
      <c r="A18281" s="17"/>
      <c r="H18281" s="18"/>
      <c r="K18281" s="18" t="s">
        <v>316</v>
      </c>
    </row>
    <row r="18282">
      <c r="A18282" s="17"/>
      <c r="H18282" s="18"/>
      <c r="K18282" s="18" t="s">
        <v>316</v>
      </c>
    </row>
    <row r="18283">
      <c r="A18283" s="17"/>
      <c r="H18283" s="18"/>
      <c r="K18283" s="18" t="s">
        <v>316</v>
      </c>
    </row>
    <row r="18284">
      <c r="A18284" s="17"/>
      <c r="H18284" s="18"/>
      <c r="K18284" s="18" t="s">
        <v>316</v>
      </c>
    </row>
    <row r="18285">
      <c r="A18285" s="17"/>
      <c r="H18285" s="18"/>
      <c r="K18285" s="18" t="s">
        <v>316</v>
      </c>
    </row>
    <row r="18286">
      <c r="A18286" s="17"/>
      <c r="H18286" s="18"/>
      <c r="K18286" s="18" t="s">
        <v>316</v>
      </c>
    </row>
    <row r="18287">
      <c r="A18287" s="17"/>
      <c r="H18287" s="18"/>
      <c r="K18287" s="18" t="s">
        <v>316</v>
      </c>
    </row>
    <row r="18288">
      <c r="A18288" s="17"/>
      <c r="H18288" s="18"/>
      <c r="K18288" s="18" t="s">
        <v>316</v>
      </c>
    </row>
    <row r="18289">
      <c r="A18289" s="17"/>
      <c r="H18289" s="18"/>
      <c r="K18289" s="18" t="s">
        <v>316</v>
      </c>
    </row>
    <row r="18290">
      <c r="A18290" s="17"/>
      <c r="H18290" s="18"/>
      <c r="K18290" s="18" t="s">
        <v>316</v>
      </c>
    </row>
    <row r="18291">
      <c r="A18291" s="17"/>
      <c r="H18291" s="18"/>
      <c r="K18291" s="18" t="s">
        <v>316</v>
      </c>
    </row>
    <row r="18292">
      <c r="A18292" s="17"/>
      <c r="H18292" s="18"/>
      <c r="K18292" s="18" t="s">
        <v>316</v>
      </c>
    </row>
    <row r="18293">
      <c r="A18293" s="17"/>
      <c r="H18293" s="18"/>
      <c r="K18293" s="18" t="s">
        <v>316</v>
      </c>
    </row>
    <row r="18294">
      <c r="A18294" s="17"/>
      <c r="H18294" s="18"/>
      <c r="K18294" s="18" t="s">
        <v>316</v>
      </c>
    </row>
    <row r="18295">
      <c r="A18295" s="17"/>
      <c r="H18295" s="18"/>
      <c r="K18295" s="18" t="s">
        <v>316</v>
      </c>
    </row>
    <row r="18296">
      <c r="A18296" s="17"/>
      <c r="H18296" s="18"/>
      <c r="K18296" s="18" t="s">
        <v>316</v>
      </c>
    </row>
    <row r="18297">
      <c r="A18297" s="17"/>
      <c r="H18297" s="18"/>
      <c r="K18297" s="18" t="s">
        <v>316</v>
      </c>
    </row>
    <row r="18298">
      <c r="A18298" s="17"/>
      <c r="H18298" s="18"/>
      <c r="K18298" s="18" t="s">
        <v>316</v>
      </c>
    </row>
    <row r="18299">
      <c r="A18299" s="17"/>
      <c r="H18299" s="18"/>
      <c r="K18299" s="18" t="s">
        <v>316</v>
      </c>
    </row>
    <row r="18300">
      <c r="A18300" s="17"/>
      <c r="H18300" s="18"/>
      <c r="K18300" s="18" t="s">
        <v>316</v>
      </c>
    </row>
    <row r="18301">
      <c r="A18301" s="17"/>
      <c r="H18301" s="18"/>
      <c r="K18301" s="18" t="s">
        <v>316</v>
      </c>
    </row>
    <row r="18302">
      <c r="A18302" s="17"/>
      <c r="H18302" s="18"/>
      <c r="K18302" s="18" t="s">
        <v>316</v>
      </c>
    </row>
    <row r="18303">
      <c r="A18303" s="17"/>
      <c r="H18303" s="18"/>
      <c r="K18303" s="18" t="s">
        <v>316</v>
      </c>
    </row>
    <row r="18304">
      <c r="A18304" s="17"/>
      <c r="H18304" s="18"/>
      <c r="K18304" s="18" t="s">
        <v>316</v>
      </c>
    </row>
    <row r="18305">
      <c r="A18305" s="17"/>
      <c r="H18305" s="18"/>
      <c r="K18305" s="18" t="s">
        <v>316</v>
      </c>
    </row>
    <row r="18306">
      <c r="A18306" s="17"/>
      <c r="H18306" s="18"/>
      <c r="K18306" s="18" t="s">
        <v>316</v>
      </c>
    </row>
    <row r="18307">
      <c r="A18307" s="17"/>
      <c r="H18307" s="18"/>
      <c r="K18307" s="18" t="s">
        <v>316</v>
      </c>
    </row>
    <row r="18308">
      <c r="A18308" s="17"/>
      <c r="H18308" s="18"/>
      <c r="K18308" s="18" t="s">
        <v>316</v>
      </c>
    </row>
    <row r="18309">
      <c r="A18309" s="17"/>
      <c r="H18309" s="18"/>
      <c r="K18309" s="18" t="s">
        <v>316</v>
      </c>
    </row>
    <row r="18310">
      <c r="A18310" s="17"/>
      <c r="H18310" s="18"/>
      <c r="K18310" s="18" t="s">
        <v>316</v>
      </c>
    </row>
    <row r="18311">
      <c r="A18311" s="17"/>
      <c r="H18311" s="18"/>
      <c r="K18311" s="18" t="s">
        <v>316</v>
      </c>
    </row>
    <row r="18312">
      <c r="A18312" s="17"/>
      <c r="H18312" s="18"/>
      <c r="K18312" s="18" t="s">
        <v>316</v>
      </c>
    </row>
    <row r="18313">
      <c r="A18313" s="17"/>
      <c r="H18313" s="18"/>
      <c r="K18313" s="18" t="s">
        <v>316</v>
      </c>
    </row>
    <row r="18314">
      <c r="A18314" s="17"/>
      <c r="H18314" s="18"/>
      <c r="K18314" s="18" t="s">
        <v>316</v>
      </c>
    </row>
    <row r="18315">
      <c r="A18315" s="17"/>
      <c r="H18315" s="18"/>
      <c r="K18315" s="18" t="s">
        <v>316</v>
      </c>
    </row>
    <row r="18316">
      <c r="A18316" s="17"/>
      <c r="H18316" s="18"/>
      <c r="K18316" s="18" t="s">
        <v>316</v>
      </c>
    </row>
    <row r="18317">
      <c r="A18317" s="17"/>
      <c r="H18317" s="18"/>
      <c r="K18317" s="18" t="s">
        <v>316</v>
      </c>
    </row>
    <row r="18318">
      <c r="A18318" s="17"/>
      <c r="H18318" s="18"/>
      <c r="K18318" s="18" t="s">
        <v>316</v>
      </c>
    </row>
    <row r="18319">
      <c r="A18319" s="17"/>
      <c r="H18319" s="18"/>
      <c r="K18319" s="18" t="s">
        <v>316</v>
      </c>
    </row>
    <row r="18320">
      <c r="A18320" s="17"/>
      <c r="H18320" s="18"/>
      <c r="K18320" s="18" t="s">
        <v>316</v>
      </c>
    </row>
    <row r="18321">
      <c r="A18321" s="17"/>
      <c r="H18321" s="18"/>
      <c r="K18321" s="18" t="s">
        <v>316</v>
      </c>
    </row>
    <row r="18322">
      <c r="A18322" s="17"/>
      <c r="H18322" s="18"/>
      <c r="K18322" s="18" t="s">
        <v>316</v>
      </c>
    </row>
    <row r="18323">
      <c r="A18323" s="17"/>
      <c r="H18323" s="18"/>
      <c r="K18323" s="18" t="s">
        <v>316</v>
      </c>
    </row>
    <row r="18324">
      <c r="A18324" s="17"/>
      <c r="H18324" s="18"/>
      <c r="K18324" s="18" t="s">
        <v>316</v>
      </c>
    </row>
    <row r="18325">
      <c r="A18325" s="17"/>
      <c r="H18325" s="18"/>
      <c r="K18325" s="18" t="s">
        <v>316</v>
      </c>
    </row>
    <row r="18326">
      <c r="A18326" s="17"/>
      <c r="H18326" s="18"/>
      <c r="K18326" s="18" t="s">
        <v>316</v>
      </c>
    </row>
    <row r="18327">
      <c r="A18327" s="17"/>
      <c r="H18327" s="18"/>
      <c r="K18327" s="18" t="s">
        <v>316</v>
      </c>
    </row>
    <row r="18328">
      <c r="A18328" s="17"/>
      <c r="H18328" s="18"/>
      <c r="K18328" s="18" t="s">
        <v>316</v>
      </c>
    </row>
    <row r="18329">
      <c r="A18329" s="17"/>
      <c r="H18329" s="18"/>
      <c r="K18329" s="18" t="s">
        <v>316</v>
      </c>
    </row>
    <row r="18330">
      <c r="A18330" s="17"/>
      <c r="H18330" s="18"/>
      <c r="K18330" s="18" t="s">
        <v>316</v>
      </c>
    </row>
    <row r="18331">
      <c r="A18331" s="17"/>
      <c r="H18331" s="18"/>
      <c r="K18331" s="18" t="s">
        <v>316</v>
      </c>
    </row>
    <row r="18332">
      <c r="A18332" s="17"/>
      <c r="H18332" s="18"/>
      <c r="K18332" s="18" t="s">
        <v>316</v>
      </c>
    </row>
    <row r="18333">
      <c r="A18333" s="17"/>
      <c r="H18333" s="18"/>
      <c r="K18333" s="18" t="s">
        <v>316</v>
      </c>
    </row>
    <row r="18334">
      <c r="A18334" s="17"/>
      <c r="H18334" s="18"/>
      <c r="K18334" s="18" t="s">
        <v>316</v>
      </c>
    </row>
    <row r="18335">
      <c r="A18335" s="17"/>
      <c r="H18335" s="18"/>
      <c r="K18335" s="18" t="s">
        <v>316</v>
      </c>
    </row>
    <row r="18336">
      <c r="A18336" s="17"/>
      <c r="H18336" s="18"/>
      <c r="K18336" s="18" t="s">
        <v>316</v>
      </c>
    </row>
    <row r="18337">
      <c r="A18337" s="17"/>
      <c r="H18337" s="18"/>
      <c r="K18337" s="18" t="s">
        <v>316</v>
      </c>
    </row>
    <row r="18338">
      <c r="A18338" s="17"/>
      <c r="H18338" s="18"/>
      <c r="K18338" s="18" t="s">
        <v>316</v>
      </c>
    </row>
    <row r="18339">
      <c r="A18339" s="17"/>
      <c r="H18339" s="18"/>
      <c r="K18339" s="18" t="s">
        <v>316</v>
      </c>
    </row>
    <row r="18340">
      <c r="A18340" s="17"/>
      <c r="H18340" s="18"/>
      <c r="K18340" s="18" t="s">
        <v>316</v>
      </c>
    </row>
    <row r="18341">
      <c r="A18341" s="17"/>
      <c r="H18341" s="18"/>
      <c r="K18341" s="18" t="s">
        <v>316</v>
      </c>
    </row>
    <row r="18342">
      <c r="A18342" s="17"/>
      <c r="H18342" s="18"/>
      <c r="K18342" s="18" t="s">
        <v>316</v>
      </c>
    </row>
    <row r="18343">
      <c r="A18343" s="17"/>
      <c r="H18343" s="18"/>
      <c r="K18343" s="18" t="s">
        <v>316</v>
      </c>
    </row>
    <row r="18344">
      <c r="A18344" s="17"/>
      <c r="H18344" s="18"/>
      <c r="K18344" s="18" t="s">
        <v>316</v>
      </c>
    </row>
    <row r="18345">
      <c r="A18345" s="17"/>
      <c r="H18345" s="18"/>
      <c r="K18345" s="18" t="s">
        <v>316</v>
      </c>
    </row>
    <row r="18346">
      <c r="A18346" s="17"/>
      <c r="H18346" s="18"/>
      <c r="K18346" s="18" t="s">
        <v>316</v>
      </c>
    </row>
    <row r="18347">
      <c r="A18347" s="17"/>
      <c r="H18347" s="18"/>
      <c r="K18347" s="18" t="s">
        <v>316</v>
      </c>
    </row>
    <row r="18348">
      <c r="A18348" s="17"/>
      <c r="H18348" s="18"/>
      <c r="K18348" s="18" t="s">
        <v>316</v>
      </c>
    </row>
    <row r="18349">
      <c r="A18349" s="17"/>
      <c r="H18349" s="18"/>
      <c r="K18349" s="18" t="s">
        <v>316</v>
      </c>
    </row>
    <row r="18350">
      <c r="A18350" s="17"/>
      <c r="H18350" s="18"/>
      <c r="K18350" s="18" t="s">
        <v>316</v>
      </c>
    </row>
    <row r="18351">
      <c r="A18351" s="17"/>
      <c r="H18351" s="18"/>
      <c r="K18351" s="18" t="s">
        <v>316</v>
      </c>
    </row>
    <row r="18352">
      <c r="A18352" s="17"/>
      <c r="H18352" s="18"/>
      <c r="K18352" s="18" t="s">
        <v>316</v>
      </c>
    </row>
    <row r="18353">
      <c r="A18353" s="17"/>
      <c r="H18353" s="18"/>
      <c r="K18353" s="18" t="s">
        <v>316</v>
      </c>
    </row>
    <row r="18354">
      <c r="A18354" s="17"/>
      <c r="H18354" s="18"/>
      <c r="K18354" s="18" t="s">
        <v>316</v>
      </c>
    </row>
    <row r="18355">
      <c r="A18355" s="17"/>
      <c r="H18355" s="18"/>
      <c r="K18355" s="18" t="s">
        <v>316</v>
      </c>
    </row>
    <row r="18356">
      <c r="A18356" s="17"/>
      <c r="H18356" s="18"/>
      <c r="K18356" s="18" t="s">
        <v>316</v>
      </c>
    </row>
    <row r="18357">
      <c r="A18357" s="17"/>
      <c r="H18357" s="18"/>
      <c r="K18357" s="18" t="s">
        <v>316</v>
      </c>
    </row>
    <row r="18358">
      <c r="A18358" s="17"/>
      <c r="H18358" s="18"/>
      <c r="K18358" s="18" t="s">
        <v>316</v>
      </c>
    </row>
    <row r="18359">
      <c r="A18359" s="17"/>
      <c r="H18359" s="18"/>
      <c r="K18359" s="18" t="s">
        <v>316</v>
      </c>
    </row>
    <row r="18360">
      <c r="A18360" s="17"/>
      <c r="H18360" s="18"/>
      <c r="K18360" s="18" t="s">
        <v>316</v>
      </c>
    </row>
    <row r="18361">
      <c r="A18361" s="17"/>
      <c r="H18361" s="18"/>
      <c r="K18361" s="18" t="s">
        <v>316</v>
      </c>
    </row>
    <row r="18362">
      <c r="A18362" s="17"/>
      <c r="H18362" s="18"/>
      <c r="K18362" s="18" t="s">
        <v>316</v>
      </c>
    </row>
    <row r="18363">
      <c r="A18363" s="17"/>
      <c r="H18363" s="18"/>
      <c r="K18363" s="18" t="s">
        <v>316</v>
      </c>
    </row>
    <row r="18364">
      <c r="A18364" s="17"/>
      <c r="H18364" s="18"/>
      <c r="K18364" s="18" t="s">
        <v>316</v>
      </c>
    </row>
    <row r="18365">
      <c r="A18365" s="17"/>
      <c r="H18365" s="18"/>
      <c r="K18365" s="18" t="s">
        <v>316</v>
      </c>
    </row>
    <row r="18366">
      <c r="A18366" s="17"/>
      <c r="H18366" s="18"/>
      <c r="K18366" s="18" t="s">
        <v>316</v>
      </c>
    </row>
    <row r="18367">
      <c r="A18367" s="17"/>
      <c r="H18367" s="18"/>
      <c r="K18367" s="18" t="s">
        <v>316</v>
      </c>
    </row>
    <row r="18368">
      <c r="A18368" s="17"/>
      <c r="H18368" s="18"/>
      <c r="K18368" s="18" t="s">
        <v>316</v>
      </c>
    </row>
    <row r="18369">
      <c r="A18369" s="17"/>
      <c r="H18369" s="18"/>
      <c r="K18369" s="18" t="s">
        <v>316</v>
      </c>
    </row>
    <row r="18370">
      <c r="A18370" s="17"/>
      <c r="H18370" s="18"/>
      <c r="K18370" s="18" t="s">
        <v>316</v>
      </c>
    </row>
    <row r="18371">
      <c r="A18371" s="17"/>
      <c r="H18371" s="18"/>
      <c r="K18371" s="18" t="s">
        <v>316</v>
      </c>
    </row>
    <row r="18372">
      <c r="A18372" s="17"/>
      <c r="H18372" s="18"/>
      <c r="K18372" s="18" t="s">
        <v>316</v>
      </c>
    </row>
    <row r="18373">
      <c r="A18373" s="17"/>
      <c r="H18373" s="18"/>
      <c r="K18373" s="18" t="s">
        <v>316</v>
      </c>
    </row>
    <row r="18374">
      <c r="A18374" s="17"/>
      <c r="H18374" s="18"/>
      <c r="K18374" s="18" t="s">
        <v>316</v>
      </c>
    </row>
    <row r="18375">
      <c r="A18375" s="17"/>
      <c r="H18375" s="18"/>
      <c r="K18375" s="18" t="s">
        <v>316</v>
      </c>
    </row>
    <row r="18376">
      <c r="A18376" s="17"/>
      <c r="H18376" s="18"/>
      <c r="K18376" s="18" t="s">
        <v>316</v>
      </c>
    </row>
    <row r="18377">
      <c r="A18377" s="17"/>
      <c r="H18377" s="18"/>
      <c r="K18377" s="18" t="s">
        <v>316</v>
      </c>
    </row>
    <row r="18378">
      <c r="A18378" s="17"/>
      <c r="H18378" s="18"/>
      <c r="K18378" s="18" t="s">
        <v>316</v>
      </c>
    </row>
    <row r="18379">
      <c r="A18379" s="17"/>
      <c r="H18379" s="18"/>
      <c r="K18379" s="18" t="s">
        <v>316</v>
      </c>
    </row>
    <row r="18380">
      <c r="A18380" s="17"/>
      <c r="H18380" s="18"/>
      <c r="K18380" s="18" t="s">
        <v>316</v>
      </c>
    </row>
    <row r="18381">
      <c r="A18381" s="17"/>
      <c r="H18381" s="18"/>
      <c r="K18381" s="18" t="s">
        <v>316</v>
      </c>
    </row>
    <row r="18382">
      <c r="A18382" s="17"/>
      <c r="H18382" s="18"/>
      <c r="K18382" s="18" t="s">
        <v>316</v>
      </c>
    </row>
    <row r="18383">
      <c r="A18383" s="17"/>
      <c r="H18383" s="18"/>
      <c r="K18383" s="18" t="s">
        <v>316</v>
      </c>
    </row>
    <row r="18384">
      <c r="A18384" s="17"/>
      <c r="H18384" s="18"/>
      <c r="K18384" s="18" t="s">
        <v>316</v>
      </c>
    </row>
    <row r="18385">
      <c r="A18385" s="17"/>
      <c r="H18385" s="18"/>
      <c r="K18385" s="18" t="s">
        <v>316</v>
      </c>
    </row>
    <row r="18386">
      <c r="A18386" s="17"/>
      <c r="H18386" s="18"/>
      <c r="K18386" s="18" t="s">
        <v>316</v>
      </c>
    </row>
    <row r="18387">
      <c r="A18387" s="17"/>
      <c r="H18387" s="18"/>
      <c r="K18387" s="18" t="s">
        <v>316</v>
      </c>
    </row>
    <row r="18388">
      <c r="A18388" s="17"/>
      <c r="H18388" s="18"/>
      <c r="K18388" s="18" t="s">
        <v>316</v>
      </c>
    </row>
    <row r="18389">
      <c r="A18389" s="17"/>
      <c r="H18389" s="18"/>
      <c r="K18389" s="18" t="s">
        <v>316</v>
      </c>
    </row>
    <row r="18390">
      <c r="A18390" s="17"/>
      <c r="H18390" s="18"/>
      <c r="K18390" s="18" t="s">
        <v>316</v>
      </c>
    </row>
    <row r="18391">
      <c r="A18391" s="17"/>
      <c r="H18391" s="18"/>
      <c r="K18391" s="18" t="s">
        <v>316</v>
      </c>
    </row>
    <row r="18392">
      <c r="A18392" s="17"/>
      <c r="H18392" s="18"/>
      <c r="K18392" s="18" t="s">
        <v>316</v>
      </c>
    </row>
    <row r="18393">
      <c r="A18393" s="17"/>
      <c r="H18393" s="18"/>
      <c r="K18393" s="18" t="s">
        <v>316</v>
      </c>
    </row>
    <row r="18394">
      <c r="A18394" s="17"/>
      <c r="H18394" s="18"/>
      <c r="K18394" s="18" t="s">
        <v>316</v>
      </c>
    </row>
    <row r="18395">
      <c r="A18395" s="17"/>
      <c r="H18395" s="18"/>
      <c r="K18395" s="18" t="s">
        <v>316</v>
      </c>
    </row>
    <row r="18396">
      <c r="A18396" s="17"/>
      <c r="H18396" s="18"/>
      <c r="K18396" s="18" t="s">
        <v>316</v>
      </c>
    </row>
    <row r="18397">
      <c r="A18397" s="17"/>
      <c r="H18397" s="18"/>
      <c r="K18397" s="18" t="s">
        <v>316</v>
      </c>
    </row>
    <row r="18398">
      <c r="A18398" s="17"/>
      <c r="H18398" s="18"/>
      <c r="K18398" s="18" t="s">
        <v>316</v>
      </c>
    </row>
    <row r="18399">
      <c r="A18399" s="17"/>
      <c r="H18399" s="18"/>
      <c r="K18399" s="18" t="s">
        <v>316</v>
      </c>
    </row>
    <row r="18400">
      <c r="A18400" s="17"/>
      <c r="H18400" s="18"/>
      <c r="K18400" s="18" t="s">
        <v>316</v>
      </c>
    </row>
    <row r="18401">
      <c r="A18401" s="17"/>
      <c r="H18401" s="18"/>
      <c r="K18401" s="18" t="s">
        <v>316</v>
      </c>
    </row>
    <row r="18402">
      <c r="A18402" s="17"/>
      <c r="H18402" s="18"/>
      <c r="K18402" s="18" t="s">
        <v>316</v>
      </c>
    </row>
    <row r="18403">
      <c r="A18403" s="17"/>
      <c r="H18403" s="18"/>
      <c r="K18403" s="18" t="s">
        <v>316</v>
      </c>
    </row>
    <row r="18404">
      <c r="A18404" s="17"/>
      <c r="H18404" s="18"/>
      <c r="K18404" s="18" t="s">
        <v>316</v>
      </c>
    </row>
    <row r="18405">
      <c r="A18405" s="17"/>
      <c r="H18405" s="18"/>
      <c r="K18405" s="18" t="s">
        <v>316</v>
      </c>
    </row>
    <row r="18406">
      <c r="A18406" s="17"/>
      <c r="H18406" s="18"/>
      <c r="K18406" s="18" t="s">
        <v>316</v>
      </c>
    </row>
    <row r="18407">
      <c r="A18407" s="17"/>
      <c r="H18407" s="18"/>
      <c r="K18407" s="18" t="s">
        <v>316</v>
      </c>
    </row>
    <row r="18408">
      <c r="A18408" s="17"/>
      <c r="H18408" s="18"/>
      <c r="K18408" s="18" t="s">
        <v>316</v>
      </c>
    </row>
    <row r="18409">
      <c r="A18409" s="17"/>
      <c r="H18409" s="18"/>
      <c r="K18409" s="18" t="s">
        <v>316</v>
      </c>
    </row>
    <row r="18410">
      <c r="A18410" s="17"/>
      <c r="H18410" s="18"/>
      <c r="K18410" s="18" t="s">
        <v>316</v>
      </c>
    </row>
    <row r="18411">
      <c r="A18411" s="17"/>
      <c r="H18411" s="18"/>
      <c r="K18411" s="18" t="s">
        <v>316</v>
      </c>
    </row>
    <row r="18412">
      <c r="A18412" s="17"/>
      <c r="H18412" s="18"/>
      <c r="K18412" s="18" t="s">
        <v>316</v>
      </c>
    </row>
    <row r="18413">
      <c r="A18413" s="17"/>
      <c r="H18413" s="18"/>
      <c r="K18413" s="18" t="s">
        <v>316</v>
      </c>
    </row>
    <row r="18414">
      <c r="A18414" s="17"/>
      <c r="H18414" s="18"/>
      <c r="K18414" s="18" t="s">
        <v>316</v>
      </c>
    </row>
    <row r="18415">
      <c r="A18415" s="17"/>
      <c r="H18415" s="18"/>
      <c r="K18415" s="18" t="s">
        <v>316</v>
      </c>
    </row>
    <row r="18416">
      <c r="A18416" s="17"/>
      <c r="H18416" s="18"/>
      <c r="K18416" s="18" t="s">
        <v>316</v>
      </c>
    </row>
    <row r="18417">
      <c r="A18417" s="17"/>
      <c r="H18417" s="18"/>
      <c r="K18417" s="18" t="s">
        <v>316</v>
      </c>
    </row>
    <row r="18418">
      <c r="A18418" s="17"/>
      <c r="H18418" s="18"/>
      <c r="K18418" s="18" t="s">
        <v>316</v>
      </c>
    </row>
    <row r="18419">
      <c r="A18419" s="17"/>
      <c r="H18419" s="18"/>
      <c r="K18419" s="18" t="s">
        <v>316</v>
      </c>
    </row>
    <row r="18420">
      <c r="A18420" s="17"/>
      <c r="H18420" s="18"/>
      <c r="K18420" s="18" t="s">
        <v>316</v>
      </c>
    </row>
    <row r="18421">
      <c r="A18421" s="17"/>
      <c r="H18421" s="18"/>
      <c r="K18421" s="18" t="s">
        <v>316</v>
      </c>
    </row>
    <row r="18422">
      <c r="A18422" s="17"/>
      <c r="H18422" s="18"/>
      <c r="K18422" s="18" t="s">
        <v>316</v>
      </c>
    </row>
    <row r="18423">
      <c r="A18423" s="17"/>
      <c r="H18423" s="18"/>
      <c r="K18423" s="18" t="s">
        <v>316</v>
      </c>
    </row>
    <row r="18424">
      <c r="A18424" s="17"/>
      <c r="H18424" s="18"/>
      <c r="K18424" s="18" t="s">
        <v>316</v>
      </c>
    </row>
    <row r="18425">
      <c r="A18425" s="17"/>
      <c r="H18425" s="18"/>
      <c r="K18425" s="18" t="s">
        <v>316</v>
      </c>
    </row>
    <row r="18426">
      <c r="A18426" s="17"/>
      <c r="H18426" s="18"/>
      <c r="K18426" s="18" t="s">
        <v>316</v>
      </c>
    </row>
    <row r="18427">
      <c r="A18427" s="17"/>
      <c r="H18427" s="18"/>
      <c r="K18427" s="18" t="s">
        <v>316</v>
      </c>
    </row>
    <row r="18428">
      <c r="A18428" s="17"/>
      <c r="H18428" s="18"/>
      <c r="K18428" s="18" t="s">
        <v>316</v>
      </c>
    </row>
    <row r="18429">
      <c r="A18429" s="17"/>
      <c r="H18429" s="18"/>
      <c r="K18429" s="18" t="s">
        <v>316</v>
      </c>
    </row>
    <row r="18430">
      <c r="A18430" s="17"/>
      <c r="H18430" s="18"/>
      <c r="K18430" s="18" t="s">
        <v>316</v>
      </c>
    </row>
    <row r="18431">
      <c r="A18431" s="17"/>
      <c r="H18431" s="18"/>
      <c r="K18431" s="18" t="s">
        <v>316</v>
      </c>
    </row>
    <row r="18432">
      <c r="A18432" s="17"/>
      <c r="H18432" s="18"/>
      <c r="K18432" s="18" t="s">
        <v>316</v>
      </c>
    </row>
    <row r="18433">
      <c r="A18433" s="17"/>
      <c r="H18433" s="18"/>
      <c r="K18433" s="18" t="s">
        <v>316</v>
      </c>
    </row>
    <row r="18434">
      <c r="A18434" s="17"/>
      <c r="H18434" s="18"/>
      <c r="K18434" s="18" t="s">
        <v>316</v>
      </c>
    </row>
    <row r="18435">
      <c r="A18435" s="17"/>
      <c r="H18435" s="18"/>
      <c r="K18435" s="18" t="s">
        <v>316</v>
      </c>
    </row>
    <row r="18436">
      <c r="A18436" s="17"/>
      <c r="H18436" s="18"/>
      <c r="K18436" s="18" t="s">
        <v>316</v>
      </c>
    </row>
    <row r="18437">
      <c r="A18437" s="17"/>
      <c r="H18437" s="18"/>
      <c r="K18437" s="18" t="s">
        <v>316</v>
      </c>
    </row>
    <row r="18438">
      <c r="A18438" s="17"/>
      <c r="H18438" s="18"/>
      <c r="K18438" s="18" t="s">
        <v>316</v>
      </c>
    </row>
    <row r="18439">
      <c r="A18439" s="17"/>
      <c r="H18439" s="18"/>
      <c r="K18439" s="18" t="s">
        <v>316</v>
      </c>
    </row>
    <row r="18440">
      <c r="A18440" s="17"/>
      <c r="H18440" s="18"/>
      <c r="K18440" s="18" t="s">
        <v>316</v>
      </c>
    </row>
    <row r="18441">
      <c r="A18441" s="17"/>
      <c r="H18441" s="18"/>
      <c r="K18441" s="18" t="s">
        <v>316</v>
      </c>
    </row>
    <row r="18442">
      <c r="A18442" s="17"/>
      <c r="H18442" s="18"/>
      <c r="K18442" s="18" t="s">
        <v>316</v>
      </c>
    </row>
    <row r="18443">
      <c r="A18443" s="17"/>
      <c r="H18443" s="18"/>
      <c r="K18443" s="18" t="s">
        <v>316</v>
      </c>
    </row>
    <row r="18444">
      <c r="A18444" s="17"/>
      <c r="H18444" s="18"/>
      <c r="K18444" s="18" t="s">
        <v>316</v>
      </c>
    </row>
    <row r="18445">
      <c r="A18445" s="17"/>
      <c r="H18445" s="18"/>
      <c r="K18445" s="18" t="s">
        <v>316</v>
      </c>
    </row>
    <row r="18446">
      <c r="A18446" s="17"/>
      <c r="H18446" s="18"/>
      <c r="K18446" s="18" t="s">
        <v>316</v>
      </c>
    </row>
    <row r="18447">
      <c r="A18447" s="17"/>
      <c r="H18447" s="18"/>
      <c r="K18447" s="18" t="s">
        <v>316</v>
      </c>
    </row>
    <row r="18448">
      <c r="A18448" s="17"/>
      <c r="H18448" s="18"/>
      <c r="K18448" s="18" t="s">
        <v>316</v>
      </c>
    </row>
    <row r="18449">
      <c r="A18449" s="17"/>
      <c r="H18449" s="18"/>
      <c r="K18449" s="18" t="s">
        <v>316</v>
      </c>
    </row>
    <row r="18450">
      <c r="A18450" s="17"/>
      <c r="H18450" s="18"/>
      <c r="K18450" s="18" t="s">
        <v>316</v>
      </c>
    </row>
    <row r="18451">
      <c r="A18451" s="17"/>
      <c r="H18451" s="18"/>
      <c r="K18451" s="18" t="s">
        <v>316</v>
      </c>
    </row>
    <row r="18452">
      <c r="A18452" s="17"/>
      <c r="H18452" s="18"/>
      <c r="K18452" s="18" t="s">
        <v>316</v>
      </c>
    </row>
    <row r="18453">
      <c r="A18453" s="17"/>
      <c r="H18453" s="18"/>
      <c r="K18453" s="18" t="s">
        <v>316</v>
      </c>
    </row>
    <row r="18454">
      <c r="A18454" s="17"/>
      <c r="H18454" s="18"/>
      <c r="K18454" s="18" t="s">
        <v>316</v>
      </c>
    </row>
    <row r="18455">
      <c r="A18455" s="17"/>
      <c r="H18455" s="18"/>
      <c r="K18455" s="18" t="s">
        <v>316</v>
      </c>
    </row>
    <row r="18456">
      <c r="A18456" s="17"/>
      <c r="H18456" s="18"/>
      <c r="K18456" s="18" t="s">
        <v>316</v>
      </c>
    </row>
    <row r="18457">
      <c r="A18457" s="17"/>
      <c r="H18457" s="18"/>
      <c r="K18457" s="18" t="s">
        <v>316</v>
      </c>
    </row>
    <row r="18458">
      <c r="A18458" s="17"/>
      <c r="H18458" s="18"/>
      <c r="K18458" s="18" t="s">
        <v>316</v>
      </c>
    </row>
    <row r="18459">
      <c r="A18459" s="17"/>
      <c r="H18459" s="18"/>
      <c r="K18459" s="18" t="s">
        <v>316</v>
      </c>
    </row>
    <row r="18460">
      <c r="A18460" s="17"/>
      <c r="H18460" s="18"/>
      <c r="K18460" s="18" t="s">
        <v>316</v>
      </c>
    </row>
    <row r="18461">
      <c r="A18461" s="17"/>
      <c r="H18461" s="18"/>
      <c r="K18461" s="18" t="s">
        <v>316</v>
      </c>
    </row>
    <row r="18462">
      <c r="A18462" s="17"/>
      <c r="H18462" s="18"/>
      <c r="K18462" s="18" t="s">
        <v>316</v>
      </c>
    </row>
    <row r="18463">
      <c r="A18463" s="17"/>
      <c r="H18463" s="18"/>
      <c r="K18463" s="18" t="s">
        <v>316</v>
      </c>
    </row>
    <row r="18464">
      <c r="A18464" s="17"/>
      <c r="H18464" s="18"/>
      <c r="K18464" s="18" t="s">
        <v>316</v>
      </c>
    </row>
    <row r="18465">
      <c r="A18465" s="17"/>
      <c r="H18465" s="18"/>
      <c r="K18465" s="18" t="s">
        <v>316</v>
      </c>
    </row>
    <row r="18466">
      <c r="A18466" s="17"/>
      <c r="H18466" s="18"/>
      <c r="K18466" s="18" t="s">
        <v>316</v>
      </c>
    </row>
    <row r="18467">
      <c r="A18467" s="17"/>
      <c r="H18467" s="18"/>
      <c r="K18467" s="18" t="s">
        <v>316</v>
      </c>
    </row>
    <row r="18468">
      <c r="A18468" s="17"/>
      <c r="H18468" s="18"/>
      <c r="K18468" s="18" t="s">
        <v>316</v>
      </c>
    </row>
    <row r="18469">
      <c r="A18469" s="17"/>
      <c r="H18469" s="18"/>
      <c r="K18469" s="18" t="s">
        <v>316</v>
      </c>
    </row>
    <row r="18470">
      <c r="A18470" s="17"/>
      <c r="H18470" s="18"/>
      <c r="K18470" s="18" t="s">
        <v>316</v>
      </c>
    </row>
    <row r="18471">
      <c r="A18471" s="17"/>
      <c r="H18471" s="18"/>
      <c r="K18471" s="18" t="s">
        <v>316</v>
      </c>
    </row>
    <row r="18472">
      <c r="A18472" s="17"/>
      <c r="H18472" s="18"/>
      <c r="K18472" s="18" t="s">
        <v>316</v>
      </c>
    </row>
    <row r="18473">
      <c r="A18473" s="17"/>
      <c r="H18473" s="18"/>
      <c r="K18473" s="18" t="s">
        <v>316</v>
      </c>
    </row>
    <row r="18474">
      <c r="A18474" s="17"/>
      <c r="H18474" s="18"/>
      <c r="K18474" s="18" t="s">
        <v>316</v>
      </c>
    </row>
    <row r="18475">
      <c r="A18475" s="17"/>
      <c r="H18475" s="18"/>
      <c r="K18475" s="18" t="s">
        <v>316</v>
      </c>
    </row>
    <row r="18476">
      <c r="A18476" s="17"/>
      <c r="H18476" s="18"/>
      <c r="K18476" s="18" t="s">
        <v>316</v>
      </c>
    </row>
    <row r="18477">
      <c r="A18477" s="17"/>
      <c r="H18477" s="18"/>
      <c r="K18477" s="18" t="s">
        <v>316</v>
      </c>
    </row>
    <row r="18478">
      <c r="A18478" s="17"/>
      <c r="H18478" s="18"/>
      <c r="K18478" s="18" t="s">
        <v>316</v>
      </c>
    </row>
    <row r="18479">
      <c r="A18479" s="17"/>
      <c r="H18479" s="18"/>
      <c r="K18479" s="18" t="s">
        <v>316</v>
      </c>
    </row>
    <row r="18480">
      <c r="A18480" s="17"/>
      <c r="H18480" s="18"/>
      <c r="K18480" s="18" t="s">
        <v>316</v>
      </c>
    </row>
    <row r="18481">
      <c r="A18481" s="17"/>
      <c r="H18481" s="18"/>
      <c r="K18481" s="18" t="s">
        <v>316</v>
      </c>
    </row>
    <row r="18482">
      <c r="A18482" s="17"/>
      <c r="H18482" s="18"/>
      <c r="K18482" s="18" t="s">
        <v>316</v>
      </c>
    </row>
    <row r="18483">
      <c r="A18483" s="17"/>
      <c r="H18483" s="18"/>
      <c r="K18483" s="18" t="s">
        <v>316</v>
      </c>
    </row>
    <row r="18484">
      <c r="A18484" s="17"/>
      <c r="H18484" s="18"/>
      <c r="K18484" s="18" t="s">
        <v>316</v>
      </c>
    </row>
    <row r="18485">
      <c r="A18485" s="17"/>
      <c r="H18485" s="18"/>
      <c r="K18485" s="18" t="s">
        <v>316</v>
      </c>
    </row>
    <row r="18486">
      <c r="A18486" s="17"/>
      <c r="H18486" s="18"/>
      <c r="K18486" s="18" t="s">
        <v>316</v>
      </c>
    </row>
    <row r="18487">
      <c r="A18487" s="17"/>
      <c r="H18487" s="18"/>
      <c r="K18487" s="18" t="s">
        <v>316</v>
      </c>
    </row>
    <row r="18488">
      <c r="A18488" s="17"/>
      <c r="H18488" s="18"/>
      <c r="K18488" s="18" t="s">
        <v>316</v>
      </c>
    </row>
    <row r="18489">
      <c r="A18489" s="17"/>
      <c r="H18489" s="18"/>
      <c r="K18489" s="18" t="s">
        <v>316</v>
      </c>
    </row>
    <row r="18490">
      <c r="A18490" s="17"/>
      <c r="H18490" s="18"/>
      <c r="K18490" s="18" t="s">
        <v>316</v>
      </c>
    </row>
    <row r="18491">
      <c r="A18491" s="17"/>
      <c r="H18491" s="18"/>
      <c r="K18491" s="18" t="s">
        <v>316</v>
      </c>
    </row>
    <row r="18492">
      <c r="A18492" s="17"/>
      <c r="H18492" s="18"/>
      <c r="K18492" s="18" t="s">
        <v>316</v>
      </c>
    </row>
    <row r="18493">
      <c r="A18493" s="17"/>
      <c r="H18493" s="18"/>
      <c r="K18493" s="18" t="s">
        <v>316</v>
      </c>
    </row>
    <row r="18494">
      <c r="A18494" s="17"/>
      <c r="H18494" s="18"/>
      <c r="K18494" s="18" t="s">
        <v>316</v>
      </c>
    </row>
    <row r="18495">
      <c r="A18495" s="17"/>
      <c r="H18495" s="18"/>
      <c r="K18495" s="18" t="s">
        <v>316</v>
      </c>
    </row>
    <row r="18496">
      <c r="A18496" s="17"/>
      <c r="H18496" s="18"/>
      <c r="K18496" s="18" t="s">
        <v>316</v>
      </c>
    </row>
    <row r="18497">
      <c r="A18497" s="17"/>
      <c r="H18497" s="18"/>
      <c r="K18497" s="18" t="s">
        <v>316</v>
      </c>
    </row>
    <row r="18498">
      <c r="A18498" s="17"/>
      <c r="H18498" s="18"/>
      <c r="K18498" s="18" t="s">
        <v>316</v>
      </c>
    </row>
    <row r="18499">
      <c r="A18499" s="17"/>
      <c r="H18499" s="18"/>
      <c r="K18499" s="18" t="s">
        <v>316</v>
      </c>
    </row>
    <row r="18500">
      <c r="A18500" s="17"/>
      <c r="H18500" s="18"/>
      <c r="K18500" s="18" t="s">
        <v>316</v>
      </c>
    </row>
    <row r="18501">
      <c r="A18501" s="17"/>
      <c r="H18501" s="18"/>
      <c r="K18501" s="18" t="s">
        <v>316</v>
      </c>
    </row>
    <row r="18502">
      <c r="A18502" s="17"/>
      <c r="H18502" s="18"/>
      <c r="K18502" s="18" t="s">
        <v>316</v>
      </c>
    </row>
    <row r="18503">
      <c r="A18503" s="17"/>
      <c r="H18503" s="18"/>
      <c r="K18503" s="18" t="s">
        <v>316</v>
      </c>
    </row>
    <row r="18504">
      <c r="A18504" s="17"/>
      <c r="H18504" s="18"/>
      <c r="K18504" s="18" t="s">
        <v>316</v>
      </c>
    </row>
    <row r="18505">
      <c r="A18505" s="17"/>
      <c r="H18505" s="18"/>
      <c r="K18505" s="18" t="s">
        <v>316</v>
      </c>
    </row>
    <row r="18506">
      <c r="A18506" s="17"/>
      <c r="H18506" s="18"/>
      <c r="K18506" s="18" t="s">
        <v>316</v>
      </c>
    </row>
    <row r="18507">
      <c r="A18507" s="17"/>
      <c r="H18507" s="18"/>
      <c r="K18507" s="18" t="s">
        <v>316</v>
      </c>
    </row>
    <row r="18508">
      <c r="A18508" s="17"/>
      <c r="H18508" s="18"/>
      <c r="K18508" s="18" t="s">
        <v>316</v>
      </c>
    </row>
    <row r="18509">
      <c r="A18509" s="17"/>
      <c r="H18509" s="18"/>
      <c r="K18509" s="18" t="s">
        <v>316</v>
      </c>
    </row>
    <row r="18510">
      <c r="A18510" s="17"/>
      <c r="H18510" s="18"/>
      <c r="K18510" s="18" t="s">
        <v>316</v>
      </c>
    </row>
    <row r="18511">
      <c r="A18511" s="17"/>
      <c r="H18511" s="18"/>
      <c r="K18511" s="18" t="s">
        <v>316</v>
      </c>
    </row>
    <row r="18512">
      <c r="A18512" s="17"/>
      <c r="H18512" s="18"/>
      <c r="K18512" s="18" t="s">
        <v>316</v>
      </c>
    </row>
    <row r="18513">
      <c r="A18513" s="17"/>
      <c r="H18513" s="18"/>
      <c r="K18513" s="18" t="s">
        <v>316</v>
      </c>
    </row>
    <row r="18514">
      <c r="A18514" s="17"/>
      <c r="H18514" s="18"/>
      <c r="K18514" s="18" t="s">
        <v>316</v>
      </c>
    </row>
    <row r="18515">
      <c r="A18515" s="17"/>
      <c r="H18515" s="18"/>
      <c r="K18515" s="18" t="s">
        <v>316</v>
      </c>
    </row>
    <row r="18516">
      <c r="A18516" s="17"/>
      <c r="H18516" s="18"/>
      <c r="K18516" s="18" t="s">
        <v>316</v>
      </c>
    </row>
    <row r="18517">
      <c r="A18517" s="17"/>
      <c r="H18517" s="18"/>
      <c r="K18517" s="18" t="s">
        <v>316</v>
      </c>
    </row>
    <row r="18518">
      <c r="A18518" s="17"/>
      <c r="H18518" s="18"/>
      <c r="K18518" s="18" t="s">
        <v>316</v>
      </c>
    </row>
    <row r="18519">
      <c r="A18519" s="17"/>
      <c r="H18519" s="18"/>
      <c r="K18519" s="18" t="s">
        <v>316</v>
      </c>
    </row>
    <row r="18520">
      <c r="A18520" s="17"/>
      <c r="H18520" s="18"/>
      <c r="K18520" s="18" t="s">
        <v>316</v>
      </c>
    </row>
    <row r="18521">
      <c r="A18521" s="17"/>
      <c r="H18521" s="18"/>
      <c r="K18521" s="18" t="s">
        <v>316</v>
      </c>
    </row>
    <row r="18522">
      <c r="A18522" s="17"/>
      <c r="H18522" s="18"/>
      <c r="K18522" s="18" t="s">
        <v>316</v>
      </c>
    </row>
    <row r="18523">
      <c r="A18523" s="17"/>
      <c r="H18523" s="18"/>
      <c r="K18523" s="18" t="s">
        <v>316</v>
      </c>
    </row>
    <row r="18524">
      <c r="A18524" s="17"/>
      <c r="H18524" s="18"/>
      <c r="K18524" s="18" t="s">
        <v>316</v>
      </c>
    </row>
    <row r="18525">
      <c r="A18525" s="17"/>
      <c r="H18525" s="18"/>
      <c r="K18525" s="18" t="s">
        <v>316</v>
      </c>
    </row>
    <row r="18526">
      <c r="A18526" s="17"/>
      <c r="H18526" s="18"/>
      <c r="K18526" s="18" t="s">
        <v>316</v>
      </c>
    </row>
    <row r="18527">
      <c r="A18527" s="17"/>
      <c r="H18527" s="18"/>
      <c r="K18527" s="18" t="s">
        <v>316</v>
      </c>
    </row>
    <row r="18528">
      <c r="A18528" s="17"/>
      <c r="H18528" s="18"/>
      <c r="K18528" s="18" t="s">
        <v>316</v>
      </c>
    </row>
    <row r="18529">
      <c r="A18529" s="17"/>
      <c r="H18529" s="18"/>
      <c r="K18529" s="18" t="s">
        <v>316</v>
      </c>
    </row>
    <row r="18530">
      <c r="A18530" s="17"/>
      <c r="H18530" s="18"/>
      <c r="K18530" s="18" t="s">
        <v>316</v>
      </c>
    </row>
    <row r="18531">
      <c r="A18531" s="17"/>
      <c r="H18531" s="18"/>
      <c r="K18531" s="18" t="s">
        <v>316</v>
      </c>
    </row>
    <row r="18532">
      <c r="A18532" s="17"/>
      <c r="H18532" s="18"/>
      <c r="K18532" s="18" t="s">
        <v>316</v>
      </c>
    </row>
    <row r="18533">
      <c r="A18533" s="17"/>
      <c r="H18533" s="18"/>
      <c r="K18533" s="18" t="s">
        <v>316</v>
      </c>
    </row>
    <row r="18534">
      <c r="A18534" s="17"/>
      <c r="H18534" s="18"/>
      <c r="K18534" s="18" t="s">
        <v>316</v>
      </c>
    </row>
    <row r="18535">
      <c r="A18535" s="17"/>
      <c r="H18535" s="18"/>
      <c r="K18535" s="18" t="s">
        <v>316</v>
      </c>
    </row>
    <row r="18536">
      <c r="A18536" s="17"/>
      <c r="H18536" s="18"/>
      <c r="K18536" s="18" t="s">
        <v>316</v>
      </c>
    </row>
    <row r="18537">
      <c r="A18537" s="17"/>
      <c r="H18537" s="18"/>
      <c r="K18537" s="18" t="s">
        <v>316</v>
      </c>
    </row>
    <row r="18538">
      <c r="A18538" s="17"/>
      <c r="H18538" s="18"/>
      <c r="K18538" s="18" t="s">
        <v>316</v>
      </c>
    </row>
    <row r="18539">
      <c r="A18539" s="17"/>
      <c r="H18539" s="18"/>
      <c r="K18539" s="18" t="s">
        <v>316</v>
      </c>
    </row>
    <row r="18540">
      <c r="A18540" s="17"/>
      <c r="H18540" s="18"/>
      <c r="K18540" s="18" t="s">
        <v>316</v>
      </c>
    </row>
    <row r="18541">
      <c r="A18541" s="17"/>
      <c r="H18541" s="18"/>
      <c r="K18541" s="18" t="s">
        <v>316</v>
      </c>
    </row>
    <row r="18542">
      <c r="A18542" s="17"/>
      <c r="H18542" s="18"/>
      <c r="K18542" s="18" t="s">
        <v>316</v>
      </c>
    </row>
    <row r="18543">
      <c r="A18543" s="17"/>
      <c r="H18543" s="18"/>
      <c r="K18543" s="18" t="s">
        <v>316</v>
      </c>
    </row>
    <row r="18544">
      <c r="A18544" s="17"/>
      <c r="H18544" s="18"/>
      <c r="K18544" s="18" t="s">
        <v>316</v>
      </c>
    </row>
    <row r="18545">
      <c r="A18545" s="17"/>
      <c r="H18545" s="18"/>
      <c r="K18545" s="18" t="s">
        <v>316</v>
      </c>
    </row>
    <row r="18546">
      <c r="A18546" s="17"/>
      <c r="H18546" s="18"/>
      <c r="K18546" s="18" t="s">
        <v>316</v>
      </c>
    </row>
    <row r="18547">
      <c r="A18547" s="17"/>
      <c r="H18547" s="18"/>
      <c r="K18547" s="18" t="s">
        <v>316</v>
      </c>
    </row>
    <row r="18548">
      <c r="A18548" s="17"/>
      <c r="H18548" s="18"/>
      <c r="K18548" s="18" t="s">
        <v>316</v>
      </c>
    </row>
    <row r="18549">
      <c r="A18549" s="17"/>
      <c r="H18549" s="18"/>
      <c r="K18549" s="18" t="s">
        <v>316</v>
      </c>
    </row>
    <row r="18550">
      <c r="A18550" s="17"/>
      <c r="H18550" s="18"/>
      <c r="K18550" s="18" t="s">
        <v>316</v>
      </c>
    </row>
    <row r="18551">
      <c r="A18551" s="17"/>
      <c r="H18551" s="18"/>
      <c r="K18551" s="18" t="s">
        <v>316</v>
      </c>
    </row>
    <row r="18552">
      <c r="A18552" s="17"/>
      <c r="H18552" s="18"/>
      <c r="K18552" s="18" t="s">
        <v>316</v>
      </c>
    </row>
    <row r="18553">
      <c r="A18553" s="17"/>
      <c r="H18553" s="18"/>
      <c r="K18553" s="18" t="s">
        <v>316</v>
      </c>
    </row>
    <row r="18554">
      <c r="A18554" s="17"/>
      <c r="H18554" s="18"/>
      <c r="K18554" s="18" t="s">
        <v>316</v>
      </c>
    </row>
    <row r="18555">
      <c r="A18555" s="17"/>
      <c r="H18555" s="18"/>
      <c r="K18555" s="18" t="s">
        <v>316</v>
      </c>
    </row>
    <row r="18556">
      <c r="A18556" s="17"/>
      <c r="H18556" s="18"/>
      <c r="K18556" s="18" t="s">
        <v>316</v>
      </c>
    </row>
    <row r="18557">
      <c r="A18557" s="17"/>
      <c r="H18557" s="18"/>
      <c r="K18557" s="18" t="s">
        <v>316</v>
      </c>
    </row>
    <row r="18558">
      <c r="A18558" s="17"/>
      <c r="H18558" s="18"/>
      <c r="K18558" s="18" t="s">
        <v>316</v>
      </c>
    </row>
    <row r="18559">
      <c r="A18559" s="17"/>
      <c r="H18559" s="18"/>
      <c r="K18559" s="18" t="s">
        <v>316</v>
      </c>
    </row>
    <row r="18560">
      <c r="A18560" s="17"/>
      <c r="H18560" s="18"/>
      <c r="K18560" s="18" t="s">
        <v>316</v>
      </c>
    </row>
    <row r="18561">
      <c r="A18561" s="17"/>
      <c r="H18561" s="18"/>
      <c r="K18561" s="18" t="s">
        <v>316</v>
      </c>
    </row>
    <row r="18562">
      <c r="A18562" s="17"/>
      <c r="H18562" s="18"/>
      <c r="K18562" s="18" t="s">
        <v>316</v>
      </c>
    </row>
    <row r="18563">
      <c r="A18563" s="17"/>
      <c r="H18563" s="18"/>
      <c r="K18563" s="18" t="s">
        <v>316</v>
      </c>
    </row>
    <row r="18564">
      <c r="A18564" s="17"/>
      <c r="H18564" s="18"/>
      <c r="K18564" s="18" t="s">
        <v>316</v>
      </c>
    </row>
    <row r="18565">
      <c r="A18565" s="17"/>
      <c r="H18565" s="18"/>
      <c r="K18565" s="18" t="s">
        <v>316</v>
      </c>
    </row>
    <row r="18566">
      <c r="A18566" s="17"/>
      <c r="H18566" s="18"/>
      <c r="K18566" s="18" t="s">
        <v>316</v>
      </c>
    </row>
    <row r="18567">
      <c r="A18567" s="17"/>
      <c r="H18567" s="18"/>
      <c r="K18567" s="18" t="s">
        <v>316</v>
      </c>
    </row>
    <row r="18568">
      <c r="A18568" s="17"/>
      <c r="H18568" s="18"/>
      <c r="K18568" s="18" t="s">
        <v>316</v>
      </c>
    </row>
    <row r="18569">
      <c r="A18569" s="17"/>
      <c r="H18569" s="18"/>
      <c r="K18569" s="18" t="s">
        <v>316</v>
      </c>
    </row>
    <row r="18570">
      <c r="A18570" s="17"/>
      <c r="H18570" s="18"/>
      <c r="K18570" s="18" t="s">
        <v>316</v>
      </c>
    </row>
    <row r="18571">
      <c r="A18571" s="17"/>
      <c r="H18571" s="18"/>
      <c r="K18571" s="18" t="s">
        <v>316</v>
      </c>
    </row>
    <row r="18572">
      <c r="A18572" s="17"/>
      <c r="H18572" s="18"/>
      <c r="K18572" s="18" t="s">
        <v>316</v>
      </c>
    </row>
    <row r="18573">
      <c r="A18573" s="17"/>
      <c r="H18573" s="18"/>
      <c r="K18573" s="18" t="s">
        <v>316</v>
      </c>
    </row>
    <row r="18574">
      <c r="A18574" s="17"/>
      <c r="H18574" s="18"/>
      <c r="K18574" s="18" t="s">
        <v>316</v>
      </c>
    </row>
    <row r="18575">
      <c r="A18575" s="17"/>
      <c r="H18575" s="18"/>
      <c r="K18575" s="18" t="s">
        <v>316</v>
      </c>
    </row>
    <row r="18576">
      <c r="A18576" s="17"/>
      <c r="H18576" s="18"/>
      <c r="K18576" s="18" t="s">
        <v>316</v>
      </c>
    </row>
    <row r="18577">
      <c r="A18577" s="17"/>
      <c r="H18577" s="18"/>
      <c r="K18577" s="18" t="s">
        <v>316</v>
      </c>
    </row>
    <row r="18578">
      <c r="A18578" s="17"/>
      <c r="H18578" s="18"/>
      <c r="K18578" s="18" t="s">
        <v>316</v>
      </c>
    </row>
    <row r="18579">
      <c r="A18579" s="17"/>
      <c r="H18579" s="18"/>
      <c r="K18579" s="18" t="s">
        <v>316</v>
      </c>
    </row>
    <row r="18580">
      <c r="A18580" s="17"/>
      <c r="H18580" s="18"/>
      <c r="K18580" s="18" t="s">
        <v>316</v>
      </c>
    </row>
    <row r="18581">
      <c r="A18581" s="17"/>
      <c r="H18581" s="18"/>
      <c r="K18581" s="18" t="s">
        <v>316</v>
      </c>
    </row>
    <row r="18582">
      <c r="A18582" s="17"/>
      <c r="H18582" s="18"/>
      <c r="K18582" s="18" t="s">
        <v>316</v>
      </c>
    </row>
    <row r="18583">
      <c r="A18583" s="17"/>
      <c r="H18583" s="18"/>
      <c r="K18583" s="18" t="s">
        <v>316</v>
      </c>
    </row>
    <row r="18584">
      <c r="A18584" s="17"/>
      <c r="H18584" s="18"/>
      <c r="K18584" s="18" t="s">
        <v>316</v>
      </c>
    </row>
    <row r="18585">
      <c r="A18585" s="17"/>
      <c r="H18585" s="18"/>
      <c r="K18585" s="18" t="s">
        <v>316</v>
      </c>
    </row>
    <row r="18586">
      <c r="A18586" s="17"/>
      <c r="H18586" s="18"/>
      <c r="K18586" s="18" t="s">
        <v>316</v>
      </c>
    </row>
    <row r="18587">
      <c r="A18587" s="17"/>
      <c r="H18587" s="18"/>
      <c r="K18587" s="18" t="s">
        <v>316</v>
      </c>
    </row>
    <row r="18588">
      <c r="A18588" s="17"/>
      <c r="H18588" s="18"/>
      <c r="K18588" s="18" t="s">
        <v>316</v>
      </c>
    </row>
    <row r="18589">
      <c r="A18589" s="17"/>
      <c r="H18589" s="18"/>
      <c r="K18589" s="18" t="s">
        <v>316</v>
      </c>
    </row>
    <row r="18590">
      <c r="A18590" s="17"/>
      <c r="H18590" s="18"/>
      <c r="K18590" s="18" t="s">
        <v>316</v>
      </c>
    </row>
    <row r="18591">
      <c r="A18591" s="17"/>
      <c r="H18591" s="18"/>
      <c r="K18591" s="18" t="s">
        <v>316</v>
      </c>
    </row>
    <row r="18592">
      <c r="A18592" s="17"/>
      <c r="H18592" s="18"/>
      <c r="K18592" s="18" t="s">
        <v>316</v>
      </c>
    </row>
    <row r="18593">
      <c r="A18593" s="17"/>
      <c r="H18593" s="18"/>
      <c r="K18593" s="18" t="s">
        <v>316</v>
      </c>
    </row>
    <row r="18594">
      <c r="A18594" s="17"/>
      <c r="H18594" s="18"/>
      <c r="K18594" s="18" t="s">
        <v>316</v>
      </c>
    </row>
    <row r="18595">
      <c r="A18595" s="17"/>
      <c r="H18595" s="18"/>
      <c r="K18595" s="18" t="s">
        <v>316</v>
      </c>
    </row>
    <row r="18596">
      <c r="A18596" s="17"/>
      <c r="H18596" s="18"/>
      <c r="K18596" s="18" t="s">
        <v>316</v>
      </c>
    </row>
    <row r="18597">
      <c r="A18597" s="17"/>
      <c r="H18597" s="18"/>
      <c r="K18597" s="18" t="s">
        <v>316</v>
      </c>
    </row>
    <row r="18598">
      <c r="A18598" s="17"/>
      <c r="H18598" s="18"/>
      <c r="K18598" s="18" t="s">
        <v>316</v>
      </c>
    </row>
    <row r="18599">
      <c r="A18599" s="17"/>
      <c r="H18599" s="18"/>
      <c r="K18599" s="18" t="s">
        <v>316</v>
      </c>
    </row>
    <row r="18600">
      <c r="A18600" s="17"/>
      <c r="H18600" s="18"/>
      <c r="K18600" s="18" t="s">
        <v>316</v>
      </c>
    </row>
    <row r="18601">
      <c r="A18601" s="17"/>
      <c r="H18601" s="18"/>
      <c r="K18601" s="18" t="s">
        <v>316</v>
      </c>
    </row>
    <row r="18602">
      <c r="A18602" s="17"/>
      <c r="H18602" s="18"/>
      <c r="K18602" s="18" t="s">
        <v>316</v>
      </c>
    </row>
    <row r="18603">
      <c r="A18603" s="17"/>
      <c r="H18603" s="18"/>
      <c r="K18603" s="18" t="s">
        <v>316</v>
      </c>
    </row>
    <row r="18604">
      <c r="A18604" s="17"/>
      <c r="H18604" s="18"/>
      <c r="K18604" s="18" t="s">
        <v>316</v>
      </c>
    </row>
    <row r="18605">
      <c r="A18605" s="17"/>
      <c r="H18605" s="18"/>
      <c r="K18605" s="18" t="s">
        <v>316</v>
      </c>
    </row>
    <row r="18606">
      <c r="A18606" s="17"/>
      <c r="H18606" s="18"/>
      <c r="K18606" s="18" t="s">
        <v>316</v>
      </c>
    </row>
    <row r="18607">
      <c r="A18607" s="17"/>
      <c r="H18607" s="18"/>
      <c r="K18607" s="18" t="s">
        <v>316</v>
      </c>
    </row>
    <row r="18608">
      <c r="A18608" s="17"/>
      <c r="H18608" s="18"/>
      <c r="K18608" s="18" t="s">
        <v>316</v>
      </c>
    </row>
    <row r="18609">
      <c r="A18609" s="17"/>
      <c r="H18609" s="18"/>
      <c r="K18609" s="18" t="s">
        <v>316</v>
      </c>
    </row>
    <row r="18610">
      <c r="A18610" s="17"/>
      <c r="H18610" s="18"/>
      <c r="K18610" s="18" t="s">
        <v>316</v>
      </c>
    </row>
    <row r="18611">
      <c r="A18611" s="17"/>
      <c r="H18611" s="18"/>
      <c r="K18611" s="18" t="s">
        <v>316</v>
      </c>
    </row>
    <row r="18612">
      <c r="A18612" s="17"/>
      <c r="H18612" s="18"/>
      <c r="K18612" s="18" t="s">
        <v>316</v>
      </c>
    </row>
    <row r="18613">
      <c r="A18613" s="17"/>
      <c r="H18613" s="18"/>
      <c r="K18613" s="18" t="s">
        <v>316</v>
      </c>
    </row>
    <row r="18614">
      <c r="A18614" s="17"/>
      <c r="H18614" s="18"/>
      <c r="K18614" s="18" t="s">
        <v>316</v>
      </c>
    </row>
    <row r="18615">
      <c r="A18615" s="17"/>
      <c r="H18615" s="18"/>
      <c r="K18615" s="18" t="s">
        <v>316</v>
      </c>
    </row>
    <row r="18616">
      <c r="A18616" s="17"/>
      <c r="H18616" s="18"/>
      <c r="K18616" s="18" t="s">
        <v>316</v>
      </c>
    </row>
    <row r="18617">
      <c r="A18617" s="17"/>
      <c r="H18617" s="18"/>
      <c r="K18617" s="18" t="s">
        <v>316</v>
      </c>
    </row>
    <row r="18618">
      <c r="A18618" s="17"/>
      <c r="H18618" s="18"/>
      <c r="K18618" s="18" t="s">
        <v>316</v>
      </c>
    </row>
    <row r="18619">
      <c r="A18619" s="17"/>
      <c r="H18619" s="18"/>
      <c r="K18619" s="18" t="s">
        <v>316</v>
      </c>
    </row>
    <row r="18620">
      <c r="A18620" s="17"/>
      <c r="H18620" s="18"/>
      <c r="K18620" s="18" t="s">
        <v>316</v>
      </c>
    </row>
    <row r="18621">
      <c r="A18621" s="17"/>
      <c r="H18621" s="18"/>
      <c r="K18621" s="18" t="s">
        <v>316</v>
      </c>
    </row>
    <row r="18622">
      <c r="A18622" s="17"/>
      <c r="H18622" s="18"/>
      <c r="K18622" s="18" t="s">
        <v>316</v>
      </c>
    </row>
    <row r="18623">
      <c r="A18623" s="17"/>
      <c r="H18623" s="18"/>
      <c r="K18623" s="18" t="s">
        <v>316</v>
      </c>
    </row>
    <row r="18624">
      <c r="A18624" s="17"/>
      <c r="H18624" s="18"/>
      <c r="K18624" s="18" t="s">
        <v>316</v>
      </c>
    </row>
    <row r="18625">
      <c r="A18625" s="17"/>
      <c r="H18625" s="18"/>
      <c r="K18625" s="18" t="s">
        <v>316</v>
      </c>
    </row>
    <row r="18626">
      <c r="A18626" s="17"/>
      <c r="H18626" s="18"/>
      <c r="K18626" s="18" t="s">
        <v>316</v>
      </c>
    </row>
    <row r="18627">
      <c r="A18627" s="17"/>
      <c r="H18627" s="18"/>
      <c r="K18627" s="18" t="s">
        <v>316</v>
      </c>
    </row>
    <row r="18628">
      <c r="A18628" s="17"/>
      <c r="H18628" s="18"/>
      <c r="K18628" s="18" t="s">
        <v>316</v>
      </c>
    </row>
    <row r="18629">
      <c r="A18629" s="17"/>
      <c r="H18629" s="18"/>
      <c r="K18629" s="18" t="s">
        <v>316</v>
      </c>
    </row>
    <row r="18630">
      <c r="A18630" s="17"/>
      <c r="H18630" s="18"/>
      <c r="K18630" s="18" t="s">
        <v>316</v>
      </c>
    </row>
    <row r="18631">
      <c r="A18631" s="17"/>
      <c r="H18631" s="18"/>
      <c r="K18631" s="18" t="s">
        <v>316</v>
      </c>
    </row>
    <row r="18632">
      <c r="A18632" s="17"/>
      <c r="H18632" s="18"/>
      <c r="K18632" s="18" t="s">
        <v>316</v>
      </c>
    </row>
    <row r="18633">
      <c r="A18633" s="17"/>
      <c r="H18633" s="18"/>
      <c r="K18633" s="18" t="s">
        <v>316</v>
      </c>
    </row>
    <row r="18634">
      <c r="A18634" s="17"/>
      <c r="H18634" s="18"/>
      <c r="K18634" s="18" t="s">
        <v>316</v>
      </c>
    </row>
    <row r="18635">
      <c r="A18635" s="17"/>
      <c r="H18635" s="18"/>
      <c r="K18635" s="18" t="s">
        <v>316</v>
      </c>
    </row>
    <row r="18636">
      <c r="A18636" s="17"/>
      <c r="H18636" s="18"/>
      <c r="K18636" s="18" t="s">
        <v>316</v>
      </c>
    </row>
    <row r="18637">
      <c r="A18637" s="17"/>
      <c r="H18637" s="18"/>
      <c r="K18637" s="18" t="s">
        <v>316</v>
      </c>
    </row>
    <row r="18638">
      <c r="A18638" s="17"/>
      <c r="H18638" s="18"/>
      <c r="K18638" s="18" t="s">
        <v>316</v>
      </c>
    </row>
    <row r="18639">
      <c r="A18639" s="17"/>
      <c r="H18639" s="18"/>
      <c r="K18639" s="18" t="s">
        <v>316</v>
      </c>
    </row>
    <row r="18640">
      <c r="A18640" s="17"/>
      <c r="H18640" s="18"/>
      <c r="K18640" s="18" t="s">
        <v>316</v>
      </c>
    </row>
    <row r="18641">
      <c r="A18641" s="17"/>
      <c r="H18641" s="18"/>
      <c r="K18641" s="18" t="s">
        <v>316</v>
      </c>
    </row>
    <row r="18642">
      <c r="A18642" s="17"/>
      <c r="H18642" s="18"/>
      <c r="K18642" s="18" t="s">
        <v>316</v>
      </c>
    </row>
    <row r="18643">
      <c r="A18643" s="17"/>
      <c r="H18643" s="18"/>
      <c r="K18643" s="18" t="s">
        <v>316</v>
      </c>
    </row>
    <row r="18644">
      <c r="A18644" s="17"/>
      <c r="H18644" s="18"/>
      <c r="K18644" s="18" t="s">
        <v>316</v>
      </c>
    </row>
    <row r="18645">
      <c r="A18645" s="17"/>
      <c r="H18645" s="18"/>
      <c r="K18645" s="18" t="s">
        <v>316</v>
      </c>
    </row>
    <row r="18646">
      <c r="A18646" s="17"/>
      <c r="H18646" s="18"/>
      <c r="K18646" s="18" t="s">
        <v>316</v>
      </c>
    </row>
    <row r="18647">
      <c r="A18647" s="17"/>
      <c r="H18647" s="18"/>
      <c r="K18647" s="18" t="s">
        <v>316</v>
      </c>
    </row>
    <row r="18648">
      <c r="A18648" s="17"/>
      <c r="H18648" s="18"/>
      <c r="K18648" s="18" t="s">
        <v>316</v>
      </c>
    </row>
    <row r="18649">
      <c r="A18649" s="17"/>
      <c r="H18649" s="18"/>
      <c r="K18649" s="18" t="s">
        <v>316</v>
      </c>
    </row>
    <row r="18650">
      <c r="A18650" s="17"/>
      <c r="H18650" s="18"/>
      <c r="K18650" s="18" t="s">
        <v>316</v>
      </c>
    </row>
    <row r="18651">
      <c r="A18651" s="17"/>
      <c r="H18651" s="18"/>
      <c r="K18651" s="18" t="s">
        <v>316</v>
      </c>
    </row>
    <row r="18652">
      <c r="A18652" s="17"/>
      <c r="H18652" s="18"/>
      <c r="K18652" s="18" t="s">
        <v>316</v>
      </c>
    </row>
    <row r="18653">
      <c r="A18653" s="17"/>
      <c r="H18653" s="18"/>
      <c r="K18653" s="18" t="s">
        <v>316</v>
      </c>
    </row>
    <row r="18654">
      <c r="A18654" s="17"/>
      <c r="H18654" s="18"/>
      <c r="K18654" s="18" t="s">
        <v>316</v>
      </c>
    </row>
    <row r="18655">
      <c r="A18655" s="17"/>
      <c r="H18655" s="18"/>
      <c r="K18655" s="18" t="s">
        <v>316</v>
      </c>
    </row>
    <row r="18656">
      <c r="A18656" s="17"/>
      <c r="H18656" s="18"/>
      <c r="K18656" s="18" t="s">
        <v>316</v>
      </c>
    </row>
    <row r="18657">
      <c r="A18657" s="17"/>
      <c r="H18657" s="18"/>
      <c r="K18657" s="18" t="s">
        <v>316</v>
      </c>
    </row>
    <row r="18658">
      <c r="A18658" s="17"/>
      <c r="H18658" s="18"/>
      <c r="K18658" s="18" t="s">
        <v>316</v>
      </c>
    </row>
    <row r="18659">
      <c r="A18659" s="17"/>
      <c r="H18659" s="18"/>
      <c r="K18659" s="18" t="s">
        <v>316</v>
      </c>
    </row>
    <row r="18660">
      <c r="A18660" s="17"/>
      <c r="H18660" s="18"/>
      <c r="K18660" s="18" t="s">
        <v>316</v>
      </c>
    </row>
    <row r="18661">
      <c r="A18661" s="17"/>
      <c r="H18661" s="18"/>
      <c r="K18661" s="18" t="s">
        <v>316</v>
      </c>
    </row>
    <row r="18662">
      <c r="A18662" s="17"/>
      <c r="H18662" s="18"/>
      <c r="K18662" s="18" t="s">
        <v>316</v>
      </c>
    </row>
    <row r="18663">
      <c r="A18663" s="17"/>
      <c r="H18663" s="18"/>
      <c r="K18663" s="18" t="s">
        <v>316</v>
      </c>
    </row>
    <row r="18664">
      <c r="A18664" s="17"/>
      <c r="H18664" s="18"/>
      <c r="K18664" s="18" t="s">
        <v>316</v>
      </c>
    </row>
    <row r="18665">
      <c r="A18665" s="17"/>
      <c r="H18665" s="18"/>
      <c r="K18665" s="18" t="s">
        <v>316</v>
      </c>
    </row>
    <row r="18666">
      <c r="A18666" s="17"/>
      <c r="H18666" s="18"/>
      <c r="K18666" s="18" t="s">
        <v>316</v>
      </c>
    </row>
    <row r="18667">
      <c r="A18667" s="17"/>
      <c r="H18667" s="18"/>
      <c r="K18667" s="18" t="s">
        <v>316</v>
      </c>
    </row>
    <row r="18668">
      <c r="A18668" s="17"/>
      <c r="H18668" s="18"/>
      <c r="K18668" s="18" t="s">
        <v>316</v>
      </c>
    </row>
    <row r="18669">
      <c r="A18669" s="17"/>
      <c r="H18669" s="18"/>
      <c r="K18669" s="18" t="s">
        <v>316</v>
      </c>
    </row>
    <row r="18670">
      <c r="A18670" s="17"/>
      <c r="H18670" s="18"/>
      <c r="K18670" s="18" t="s">
        <v>316</v>
      </c>
    </row>
    <row r="18671">
      <c r="A18671" s="17"/>
      <c r="H18671" s="18"/>
      <c r="K18671" s="18" t="s">
        <v>316</v>
      </c>
    </row>
    <row r="18672">
      <c r="A18672" s="17"/>
      <c r="H18672" s="18"/>
      <c r="K18672" s="18" t="s">
        <v>316</v>
      </c>
    </row>
    <row r="18673">
      <c r="A18673" s="17"/>
      <c r="H18673" s="18"/>
      <c r="K18673" s="18" t="s">
        <v>316</v>
      </c>
    </row>
    <row r="18674">
      <c r="A18674" s="17"/>
      <c r="H18674" s="18"/>
      <c r="K18674" s="18" t="s">
        <v>316</v>
      </c>
    </row>
    <row r="18675">
      <c r="A18675" s="17"/>
      <c r="H18675" s="18"/>
      <c r="K18675" s="18" t="s">
        <v>316</v>
      </c>
    </row>
    <row r="18676">
      <c r="A18676" s="17"/>
      <c r="H18676" s="18"/>
      <c r="K18676" s="18" t="s">
        <v>316</v>
      </c>
    </row>
    <row r="18677">
      <c r="A18677" s="17"/>
      <c r="H18677" s="18"/>
      <c r="K18677" s="18" t="s">
        <v>316</v>
      </c>
    </row>
    <row r="18678">
      <c r="A18678" s="17"/>
      <c r="H18678" s="18"/>
      <c r="K18678" s="18" t="s">
        <v>316</v>
      </c>
    </row>
    <row r="18679">
      <c r="A18679" s="17"/>
      <c r="H18679" s="18"/>
      <c r="K18679" s="18" t="s">
        <v>316</v>
      </c>
    </row>
    <row r="18680">
      <c r="A18680" s="17"/>
      <c r="H18680" s="18"/>
      <c r="K18680" s="18" t="s">
        <v>316</v>
      </c>
    </row>
    <row r="18681">
      <c r="A18681" s="17"/>
      <c r="H18681" s="18"/>
      <c r="K18681" s="18" t="s">
        <v>316</v>
      </c>
    </row>
    <row r="18682">
      <c r="A18682" s="17"/>
      <c r="H18682" s="18"/>
      <c r="K18682" s="18" t="s">
        <v>316</v>
      </c>
    </row>
    <row r="18683">
      <c r="A18683" s="17"/>
      <c r="H18683" s="18"/>
      <c r="K18683" s="18" t="s">
        <v>316</v>
      </c>
    </row>
    <row r="18684">
      <c r="A18684" s="17"/>
      <c r="H18684" s="18"/>
      <c r="K18684" s="18" t="s">
        <v>316</v>
      </c>
    </row>
    <row r="18685">
      <c r="A18685" s="17"/>
      <c r="H18685" s="18"/>
      <c r="K18685" s="18" t="s">
        <v>316</v>
      </c>
    </row>
    <row r="18686">
      <c r="A18686" s="17"/>
      <c r="H18686" s="18"/>
      <c r="K18686" s="18" t="s">
        <v>316</v>
      </c>
    </row>
    <row r="18687">
      <c r="A18687" s="17"/>
      <c r="H18687" s="18"/>
      <c r="K18687" s="18" t="s">
        <v>316</v>
      </c>
    </row>
    <row r="18688">
      <c r="A18688" s="17"/>
      <c r="H18688" s="18"/>
      <c r="K18688" s="18" t="s">
        <v>316</v>
      </c>
    </row>
    <row r="18689">
      <c r="A18689" s="17"/>
      <c r="H18689" s="18"/>
      <c r="K18689" s="18" t="s">
        <v>316</v>
      </c>
    </row>
    <row r="18690">
      <c r="A18690" s="17"/>
      <c r="H18690" s="18"/>
      <c r="K18690" s="18" t="s">
        <v>316</v>
      </c>
    </row>
    <row r="18691">
      <c r="A18691" s="17"/>
      <c r="H18691" s="18"/>
      <c r="K18691" s="18" t="s">
        <v>316</v>
      </c>
    </row>
    <row r="18692">
      <c r="A18692" s="17"/>
      <c r="H18692" s="18"/>
      <c r="K18692" s="18" t="s">
        <v>316</v>
      </c>
    </row>
    <row r="18693">
      <c r="A18693" s="17"/>
      <c r="H18693" s="18"/>
      <c r="K18693" s="18" t="s">
        <v>316</v>
      </c>
    </row>
    <row r="18694">
      <c r="A18694" s="17"/>
      <c r="H18694" s="18"/>
      <c r="K18694" s="18" t="s">
        <v>316</v>
      </c>
    </row>
    <row r="18695">
      <c r="A18695" s="17"/>
      <c r="H18695" s="18"/>
      <c r="K18695" s="18" t="s">
        <v>316</v>
      </c>
    </row>
    <row r="18696">
      <c r="A18696" s="17"/>
      <c r="H18696" s="18"/>
      <c r="K18696" s="18" t="s">
        <v>316</v>
      </c>
    </row>
    <row r="18697">
      <c r="A18697" s="17"/>
      <c r="H18697" s="18"/>
      <c r="K18697" s="18" t="s">
        <v>316</v>
      </c>
    </row>
    <row r="18698">
      <c r="A18698" s="17"/>
      <c r="H18698" s="18"/>
      <c r="K18698" s="18" t="s">
        <v>316</v>
      </c>
    </row>
    <row r="18699">
      <c r="A18699" s="17"/>
      <c r="H18699" s="18"/>
      <c r="K18699" s="18" t="s">
        <v>316</v>
      </c>
    </row>
    <row r="18700">
      <c r="A18700" s="17"/>
      <c r="H18700" s="18"/>
      <c r="K18700" s="18" t="s">
        <v>316</v>
      </c>
    </row>
    <row r="18701">
      <c r="A18701" s="17"/>
      <c r="H18701" s="18"/>
      <c r="K18701" s="18" t="s">
        <v>316</v>
      </c>
    </row>
    <row r="18702">
      <c r="A18702" s="17"/>
      <c r="H18702" s="18"/>
      <c r="K18702" s="18" t="s">
        <v>316</v>
      </c>
    </row>
    <row r="18703">
      <c r="A18703" s="17"/>
      <c r="H18703" s="18"/>
      <c r="K18703" s="18" t="s">
        <v>316</v>
      </c>
    </row>
    <row r="18704">
      <c r="A18704" s="17"/>
      <c r="H18704" s="18"/>
      <c r="K18704" s="18" t="s">
        <v>316</v>
      </c>
    </row>
    <row r="18705">
      <c r="A18705" s="17"/>
      <c r="H18705" s="18"/>
      <c r="K18705" s="18" t="s">
        <v>316</v>
      </c>
    </row>
    <row r="18706">
      <c r="A18706" s="17"/>
      <c r="H18706" s="18"/>
      <c r="K18706" s="18" t="s">
        <v>316</v>
      </c>
    </row>
    <row r="18707">
      <c r="A18707" s="17"/>
      <c r="H18707" s="18"/>
      <c r="K18707" s="18" t="s">
        <v>316</v>
      </c>
    </row>
    <row r="18708">
      <c r="A18708" s="17"/>
      <c r="H18708" s="18"/>
      <c r="K18708" s="18" t="s">
        <v>316</v>
      </c>
    </row>
    <row r="18709">
      <c r="A18709" s="17"/>
      <c r="H18709" s="18"/>
      <c r="K18709" s="18" t="s">
        <v>316</v>
      </c>
    </row>
    <row r="18710">
      <c r="A18710" s="17"/>
      <c r="H18710" s="18"/>
      <c r="K18710" s="18" t="s">
        <v>316</v>
      </c>
    </row>
    <row r="18711">
      <c r="A18711" s="17"/>
      <c r="H18711" s="18"/>
      <c r="K18711" s="18" t="s">
        <v>316</v>
      </c>
    </row>
    <row r="18712">
      <c r="A18712" s="17"/>
      <c r="H18712" s="18"/>
      <c r="K18712" s="18" t="s">
        <v>316</v>
      </c>
    </row>
    <row r="18713">
      <c r="A18713" s="17"/>
      <c r="H18713" s="18"/>
      <c r="K18713" s="18" t="s">
        <v>316</v>
      </c>
    </row>
    <row r="18714">
      <c r="A18714" s="17"/>
      <c r="H18714" s="18"/>
      <c r="K18714" s="18" t="s">
        <v>316</v>
      </c>
    </row>
    <row r="18715">
      <c r="A18715" s="17"/>
      <c r="H18715" s="18"/>
      <c r="K18715" s="18" t="s">
        <v>316</v>
      </c>
    </row>
    <row r="18716">
      <c r="A18716" s="17"/>
      <c r="H18716" s="18"/>
      <c r="K18716" s="18" t="s">
        <v>316</v>
      </c>
    </row>
    <row r="18717">
      <c r="A18717" s="17"/>
      <c r="H18717" s="18"/>
      <c r="K18717" s="18" t="s">
        <v>316</v>
      </c>
    </row>
    <row r="18718">
      <c r="A18718" s="17"/>
      <c r="H18718" s="18"/>
      <c r="K18718" s="18" t="s">
        <v>316</v>
      </c>
    </row>
    <row r="18719">
      <c r="A18719" s="17"/>
      <c r="H18719" s="18"/>
      <c r="K18719" s="18" t="s">
        <v>316</v>
      </c>
    </row>
    <row r="18720">
      <c r="A18720" s="17"/>
      <c r="H18720" s="18"/>
      <c r="K18720" s="18" t="s">
        <v>316</v>
      </c>
    </row>
    <row r="18721">
      <c r="A18721" s="17"/>
      <c r="H18721" s="18"/>
      <c r="K18721" s="18" t="s">
        <v>316</v>
      </c>
    </row>
    <row r="18722">
      <c r="A18722" s="17"/>
      <c r="H18722" s="18"/>
      <c r="K18722" s="18" t="s">
        <v>316</v>
      </c>
    </row>
    <row r="18723">
      <c r="A18723" s="17"/>
      <c r="H18723" s="18"/>
      <c r="K18723" s="18" t="s">
        <v>316</v>
      </c>
    </row>
    <row r="18724">
      <c r="A18724" s="17"/>
      <c r="H18724" s="18"/>
      <c r="K18724" s="18" t="s">
        <v>316</v>
      </c>
    </row>
    <row r="18725">
      <c r="A18725" s="17"/>
      <c r="H18725" s="18"/>
      <c r="K18725" s="18" t="s">
        <v>316</v>
      </c>
    </row>
    <row r="18726">
      <c r="A18726" s="17"/>
      <c r="H18726" s="18"/>
      <c r="K18726" s="18" t="s">
        <v>316</v>
      </c>
    </row>
    <row r="18727">
      <c r="A18727" s="17"/>
      <c r="H18727" s="18"/>
      <c r="K18727" s="18" t="s">
        <v>316</v>
      </c>
    </row>
    <row r="18728">
      <c r="A18728" s="17"/>
      <c r="H18728" s="18"/>
      <c r="K18728" s="18" t="s">
        <v>316</v>
      </c>
    </row>
    <row r="18729">
      <c r="A18729" s="17"/>
      <c r="H18729" s="18"/>
      <c r="K18729" s="18" t="s">
        <v>316</v>
      </c>
    </row>
    <row r="18730">
      <c r="A18730" s="17"/>
      <c r="H18730" s="18"/>
      <c r="K18730" s="18" t="s">
        <v>316</v>
      </c>
    </row>
    <row r="18731">
      <c r="A18731" s="17"/>
      <c r="H18731" s="18"/>
      <c r="K18731" s="18" t="s">
        <v>316</v>
      </c>
    </row>
    <row r="18732">
      <c r="A18732" s="17"/>
      <c r="H18732" s="18"/>
      <c r="K18732" s="18" t="s">
        <v>316</v>
      </c>
    </row>
    <row r="18733">
      <c r="A18733" s="17"/>
      <c r="H18733" s="18"/>
      <c r="K18733" s="18" t="s">
        <v>316</v>
      </c>
    </row>
    <row r="18734">
      <c r="A18734" s="17"/>
      <c r="H18734" s="18"/>
      <c r="K18734" s="18" t="s">
        <v>316</v>
      </c>
    </row>
    <row r="18735">
      <c r="A18735" s="17"/>
      <c r="H18735" s="18"/>
      <c r="K18735" s="18" t="s">
        <v>316</v>
      </c>
    </row>
    <row r="18736">
      <c r="A18736" s="17"/>
      <c r="H18736" s="18"/>
      <c r="K18736" s="18" t="s">
        <v>316</v>
      </c>
    </row>
    <row r="18737">
      <c r="A18737" s="17"/>
      <c r="H18737" s="18"/>
      <c r="K18737" s="18" t="s">
        <v>316</v>
      </c>
    </row>
    <row r="18738">
      <c r="A18738" s="17"/>
      <c r="H18738" s="18"/>
      <c r="K18738" s="18" t="s">
        <v>316</v>
      </c>
    </row>
    <row r="18739">
      <c r="A18739" s="17"/>
      <c r="H18739" s="18"/>
      <c r="K18739" s="18" t="s">
        <v>316</v>
      </c>
    </row>
    <row r="18740">
      <c r="A18740" s="17"/>
      <c r="H18740" s="18"/>
      <c r="K18740" s="18" t="s">
        <v>316</v>
      </c>
    </row>
    <row r="18741">
      <c r="A18741" s="17"/>
      <c r="H18741" s="18"/>
      <c r="K18741" s="18" t="s">
        <v>316</v>
      </c>
    </row>
    <row r="18742">
      <c r="A18742" s="17"/>
      <c r="H18742" s="18"/>
      <c r="K18742" s="18" t="s">
        <v>316</v>
      </c>
    </row>
    <row r="18743">
      <c r="A18743" s="17"/>
      <c r="H18743" s="18"/>
      <c r="K18743" s="18" t="s">
        <v>316</v>
      </c>
    </row>
    <row r="18744">
      <c r="A18744" s="17"/>
      <c r="H18744" s="18"/>
      <c r="K18744" s="18" t="s">
        <v>316</v>
      </c>
    </row>
    <row r="18745">
      <c r="A18745" s="17"/>
      <c r="H18745" s="18"/>
      <c r="K18745" s="18" t="s">
        <v>316</v>
      </c>
    </row>
    <row r="18746">
      <c r="A18746" s="17"/>
      <c r="H18746" s="18"/>
      <c r="K18746" s="18" t="s">
        <v>316</v>
      </c>
    </row>
    <row r="18747">
      <c r="A18747" s="17"/>
      <c r="H18747" s="18"/>
      <c r="K18747" s="18" t="s">
        <v>316</v>
      </c>
    </row>
    <row r="18748">
      <c r="A18748" s="17"/>
      <c r="H18748" s="18"/>
      <c r="K18748" s="18" t="s">
        <v>316</v>
      </c>
    </row>
    <row r="18749">
      <c r="A18749" s="17"/>
      <c r="H18749" s="18"/>
      <c r="K18749" s="18" t="s">
        <v>316</v>
      </c>
    </row>
    <row r="18750">
      <c r="A18750" s="17"/>
      <c r="H18750" s="18"/>
      <c r="K18750" s="18" t="s">
        <v>316</v>
      </c>
    </row>
    <row r="18751">
      <c r="A18751" s="17"/>
      <c r="H18751" s="18"/>
      <c r="K18751" s="18" t="s">
        <v>316</v>
      </c>
    </row>
    <row r="18752">
      <c r="A18752" s="17"/>
      <c r="H18752" s="18"/>
      <c r="K18752" s="18" t="s">
        <v>316</v>
      </c>
    </row>
    <row r="18753">
      <c r="A18753" s="17"/>
      <c r="H18753" s="18"/>
      <c r="K18753" s="18" t="s">
        <v>316</v>
      </c>
    </row>
    <row r="18754">
      <c r="A18754" s="17"/>
      <c r="H18754" s="18"/>
      <c r="K18754" s="18" t="s">
        <v>316</v>
      </c>
    </row>
    <row r="18755">
      <c r="A18755" s="17"/>
      <c r="H18755" s="18"/>
      <c r="K18755" s="18" t="s">
        <v>316</v>
      </c>
    </row>
    <row r="18756">
      <c r="A18756" s="17"/>
      <c r="H18756" s="18"/>
      <c r="K18756" s="18" t="s">
        <v>316</v>
      </c>
    </row>
    <row r="18757">
      <c r="A18757" s="17"/>
      <c r="H18757" s="18"/>
      <c r="K18757" s="18" t="s">
        <v>316</v>
      </c>
    </row>
    <row r="18758">
      <c r="A18758" s="17"/>
      <c r="H18758" s="18"/>
      <c r="K18758" s="18" t="s">
        <v>316</v>
      </c>
    </row>
    <row r="18759">
      <c r="A18759" s="17"/>
      <c r="H18759" s="18"/>
      <c r="K18759" s="18" t="s">
        <v>316</v>
      </c>
    </row>
    <row r="18760">
      <c r="A18760" s="17"/>
      <c r="H18760" s="18"/>
      <c r="K18760" s="18" t="s">
        <v>316</v>
      </c>
    </row>
    <row r="18761">
      <c r="A18761" s="17"/>
      <c r="H18761" s="18"/>
      <c r="K18761" s="18" t="s">
        <v>316</v>
      </c>
    </row>
    <row r="18762">
      <c r="A18762" s="17"/>
      <c r="H18762" s="18"/>
      <c r="K18762" s="18" t="s">
        <v>316</v>
      </c>
    </row>
    <row r="18763">
      <c r="A18763" s="17"/>
      <c r="H18763" s="18"/>
      <c r="K18763" s="18" t="s">
        <v>316</v>
      </c>
    </row>
    <row r="18764">
      <c r="A18764" s="17"/>
      <c r="H18764" s="18"/>
      <c r="K18764" s="18" t="s">
        <v>316</v>
      </c>
    </row>
    <row r="18765">
      <c r="A18765" s="17"/>
      <c r="H18765" s="18"/>
      <c r="K18765" s="18" t="s">
        <v>316</v>
      </c>
    </row>
    <row r="18766">
      <c r="A18766" s="17"/>
      <c r="H18766" s="18"/>
      <c r="K18766" s="18" t="s">
        <v>316</v>
      </c>
    </row>
    <row r="18767">
      <c r="A18767" s="17"/>
      <c r="H18767" s="18"/>
      <c r="K18767" s="18" t="s">
        <v>316</v>
      </c>
    </row>
    <row r="18768">
      <c r="A18768" s="17"/>
      <c r="H18768" s="18"/>
      <c r="K18768" s="18" t="s">
        <v>316</v>
      </c>
    </row>
    <row r="18769">
      <c r="A18769" s="17"/>
      <c r="H18769" s="18"/>
      <c r="K18769" s="18" t="s">
        <v>316</v>
      </c>
    </row>
    <row r="18770">
      <c r="A18770" s="17"/>
      <c r="H18770" s="18"/>
      <c r="K18770" s="18" t="s">
        <v>316</v>
      </c>
    </row>
    <row r="18771">
      <c r="A18771" s="17"/>
      <c r="H18771" s="18"/>
      <c r="K18771" s="18" t="s">
        <v>316</v>
      </c>
    </row>
    <row r="18772">
      <c r="A18772" s="17"/>
      <c r="H18772" s="18"/>
      <c r="K18772" s="18" t="s">
        <v>316</v>
      </c>
    </row>
    <row r="18773">
      <c r="A18773" s="17"/>
      <c r="H18773" s="18"/>
      <c r="K18773" s="18" t="s">
        <v>316</v>
      </c>
    </row>
    <row r="18774">
      <c r="A18774" s="17"/>
      <c r="H18774" s="18"/>
      <c r="K18774" s="18" t="s">
        <v>316</v>
      </c>
    </row>
    <row r="18775">
      <c r="A18775" s="17"/>
      <c r="H18775" s="18"/>
      <c r="K18775" s="18" t="s">
        <v>316</v>
      </c>
    </row>
    <row r="18776">
      <c r="A18776" s="17"/>
      <c r="H18776" s="18"/>
      <c r="K18776" s="18" t="s">
        <v>316</v>
      </c>
    </row>
    <row r="18777">
      <c r="A18777" s="17"/>
      <c r="H18777" s="18"/>
      <c r="K18777" s="18" t="s">
        <v>316</v>
      </c>
    </row>
    <row r="18778">
      <c r="A18778" s="17"/>
      <c r="H18778" s="18"/>
      <c r="K18778" s="18" t="s">
        <v>316</v>
      </c>
    </row>
    <row r="18779">
      <c r="A18779" s="17"/>
      <c r="H18779" s="18"/>
      <c r="K18779" s="18" t="s">
        <v>316</v>
      </c>
    </row>
    <row r="18780">
      <c r="A18780" s="17"/>
      <c r="H18780" s="18"/>
      <c r="K18780" s="18" t="s">
        <v>316</v>
      </c>
    </row>
    <row r="18781">
      <c r="A18781" s="17"/>
      <c r="H18781" s="18"/>
      <c r="K18781" s="18" t="s">
        <v>316</v>
      </c>
    </row>
    <row r="18782">
      <c r="A18782" s="17"/>
      <c r="H18782" s="18"/>
      <c r="K18782" s="18" t="s">
        <v>316</v>
      </c>
    </row>
    <row r="18783">
      <c r="A18783" s="17"/>
      <c r="H18783" s="18"/>
      <c r="K18783" s="18" t="s">
        <v>316</v>
      </c>
    </row>
    <row r="18784">
      <c r="A18784" s="17"/>
      <c r="H18784" s="18"/>
      <c r="K18784" s="18" t="s">
        <v>316</v>
      </c>
    </row>
    <row r="18785">
      <c r="A18785" s="17"/>
      <c r="H18785" s="18"/>
      <c r="K18785" s="18" t="s">
        <v>316</v>
      </c>
    </row>
    <row r="18786">
      <c r="A18786" s="17"/>
      <c r="H18786" s="18"/>
      <c r="K18786" s="18" t="s">
        <v>316</v>
      </c>
    </row>
    <row r="18787">
      <c r="A18787" s="17"/>
      <c r="H18787" s="18"/>
      <c r="K18787" s="18" t="s">
        <v>316</v>
      </c>
    </row>
    <row r="18788">
      <c r="A18788" s="17"/>
      <c r="H18788" s="18"/>
      <c r="K18788" s="18" t="s">
        <v>316</v>
      </c>
    </row>
    <row r="18789">
      <c r="A18789" s="17"/>
      <c r="H18789" s="18"/>
      <c r="K18789" s="18" t="s">
        <v>316</v>
      </c>
    </row>
    <row r="18790">
      <c r="A18790" s="17"/>
      <c r="H18790" s="18"/>
      <c r="K18790" s="18" t="s">
        <v>316</v>
      </c>
    </row>
    <row r="18791">
      <c r="A18791" s="17"/>
      <c r="H18791" s="18"/>
      <c r="K18791" s="18" t="s">
        <v>316</v>
      </c>
    </row>
    <row r="18792">
      <c r="A18792" s="17"/>
      <c r="H18792" s="18"/>
      <c r="K18792" s="18" t="s">
        <v>316</v>
      </c>
    </row>
    <row r="18793">
      <c r="A18793" s="17"/>
      <c r="H18793" s="18"/>
      <c r="K18793" s="18" t="s">
        <v>316</v>
      </c>
    </row>
    <row r="18794">
      <c r="A18794" s="17"/>
      <c r="H18794" s="18"/>
      <c r="K18794" s="18" t="s">
        <v>316</v>
      </c>
    </row>
    <row r="18795">
      <c r="A18795" s="17"/>
      <c r="H18795" s="18"/>
      <c r="K18795" s="18" t="s">
        <v>316</v>
      </c>
    </row>
    <row r="18796">
      <c r="A18796" s="17"/>
      <c r="H18796" s="18"/>
      <c r="K18796" s="18" t="s">
        <v>316</v>
      </c>
    </row>
    <row r="18797">
      <c r="A18797" s="17"/>
      <c r="H18797" s="18"/>
      <c r="K18797" s="18" t="s">
        <v>316</v>
      </c>
    </row>
    <row r="18798">
      <c r="A18798" s="17"/>
      <c r="H18798" s="18"/>
      <c r="K18798" s="18" t="s">
        <v>316</v>
      </c>
    </row>
    <row r="18799">
      <c r="A18799" s="17"/>
      <c r="H18799" s="18"/>
      <c r="K18799" s="18" t="s">
        <v>316</v>
      </c>
    </row>
    <row r="18800">
      <c r="A18800" s="17"/>
      <c r="H18800" s="18"/>
      <c r="K18800" s="18" t="s">
        <v>316</v>
      </c>
    </row>
    <row r="18801">
      <c r="A18801" s="17"/>
      <c r="H18801" s="18"/>
      <c r="K18801" s="18" t="s">
        <v>316</v>
      </c>
    </row>
    <row r="18802">
      <c r="A18802" s="17"/>
      <c r="H18802" s="18"/>
      <c r="K18802" s="18" t="s">
        <v>316</v>
      </c>
    </row>
    <row r="18803">
      <c r="A18803" s="17"/>
      <c r="H18803" s="18"/>
      <c r="K18803" s="18" t="s">
        <v>316</v>
      </c>
    </row>
    <row r="18804">
      <c r="A18804" s="17"/>
      <c r="H18804" s="18"/>
      <c r="K18804" s="18" t="s">
        <v>316</v>
      </c>
    </row>
    <row r="18805">
      <c r="A18805" s="17"/>
      <c r="H18805" s="18"/>
      <c r="K18805" s="18" t="s">
        <v>316</v>
      </c>
    </row>
    <row r="18806">
      <c r="A18806" s="17"/>
      <c r="H18806" s="18"/>
      <c r="K18806" s="18" t="s">
        <v>316</v>
      </c>
    </row>
    <row r="18807">
      <c r="A18807" s="17"/>
      <c r="H18807" s="18"/>
      <c r="K18807" s="18" t="s">
        <v>316</v>
      </c>
    </row>
    <row r="18808">
      <c r="A18808" s="17"/>
      <c r="H18808" s="18"/>
      <c r="K18808" s="18" t="s">
        <v>316</v>
      </c>
    </row>
    <row r="18809">
      <c r="A18809" s="17"/>
      <c r="H18809" s="18"/>
      <c r="K18809" s="18" t="s">
        <v>316</v>
      </c>
    </row>
    <row r="18810">
      <c r="A18810" s="17"/>
      <c r="H18810" s="18"/>
      <c r="K18810" s="18" t="s">
        <v>316</v>
      </c>
    </row>
    <row r="18811">
      <c r="A18811" s="17"/>
      <c r="H18811" s="18"/>
      <c r="K18811" s="18" t="s">
        <v>316</v>
      </c>
    </row>
    <row r="18812">
      <c r="A18812" s="17"/>
      <c r="H18812" s="18"/>
      <c r="K18812" s="18" t="s">
        <v>316</v>
      </c>
    </row>
    <row r="18813">
      <c r="A18813" s="17"/>
      <c r="H18813" s="18"/>
      <c r="K18813" s="18" t="s">
        <v>316</v>
      </c>
    </row>
    <row r="18814">
      <c r="A18814" s="17"/>
      <c r="H18814" s="18"/>
      <c r="K18814" s="18" t="s">
        <v>316</v>
      </c>
    </row>
    <row r="18815">
      <c r="A18815" s="17"/>
      <c r="H18815" s="18"/>
      <c r="K18815" s="18" t="s">
        <v>316</v>
      </c>
    </row>
    <row r="18816">
      <c r="A18816" s="17"/>
      <c r="H18816" s="18"/>
      <c r="K18816" s="18" t="s">
        <v>316</v>
      </c>
    </row>
    <row r="18817">
      <c r="A18817" s="17"/>
      <c r="H18817" s="18"/>
      <c r="K18817" s="18" t="s">
        <v>316</v>
      </c>
    </row>
    <row r="18818">
      <c r="A18818" s="17"/>
      <c r="H18818" s="18"/>
      <c r="K18818" s="18" t="s">
        <v>316</v>
      </c>
    </row>
    <row r="18819">
      <c r="A18819" s="17"/>
      <c r="H18819" s="18"/>
      <c r="K18819" s="18" t="s">
        <v>316</v>
      </c>
    </row>
    <row r="18820">
      <c r="A18820" s="17"/>
      <c r="H18820" s="18"/>
      <c r="K18820" s="18" t="s">
        <v>316</v>
      </c>
    </row>
    <row r="18821">
      <c r="A18821" s="17"/>
      <c r="H18821" s="18"/>
      <c r="K18821" s="18" t="s">
        <v>316</v>
      </c>
    </row>
    <row r="18822">
      <c r="A18822" s="17"/>
      <c r="H18822" s="18"/>
      <c r="K18822" s="18" t="s">
        <v>316</v>
      </c>
    </row>
    <row r="18823">
      <c r="A18823" s="17"/>
      <c r="H18823" s="18"/>
      <c r="K18823" s="18" t="s">
        <v>316</v>
      </c>
    </row>
    <row r="18824">
      <c r="A18824" s="17"/>
      <c r="H18824" s="18"/>
      <c r="K18824" s="18" t="s">
        <v>316</v>
      </c>
    </row>
    <row r="18825">
      <c r="A18825" s="17"/>
      <c r="H18825" s="18"/>
      <c r="K18825" s="18" t="s">
        <v>316</v>
      </c>
    </row>
    <row r="18826">
      <c r="A18826" s="17"/>
      <c r="H18826" s="18"/>
      <c r="K18826" s="18" t="s">
        <v>316</v>
      </c>
    </row>
    <row r="18827">
      <c r="A18827" s="17"/>
      <c r="H18827" s="18"/>
      <c r="K18827" s="18" t="s">
        <v>316</v>
      </c>
    </row>
    <row r="18828">
      <c r="A18828" s="17"/>
      <c r="H18828" s="18"/>
      <c r="K18828" s="18" t="s">
        <v>316</v>
      </c>
    </row>
    <row r="18829">
      <c r="A18829" s="17"/>
      <c r="H18829" s="18"/>
      <c r="K18829" s="18" t="s">
        <v>316</v>
      </c>
    </row>
    <row r="18830">
      <c r="A18830" s="17"/>
      <c r="H18830" s="18"/>
      <c r="K18830" s="18" t="s">
        <v>316</v>
      </c>
    </row>
    <row r="18831">
      <c r="A18831" s="17"/>
      <c r="H18831" s="18"/>
      <c r="K18831" s="18" t="s">
        <v>316</v>
      </c>
    </row>
    <row r="18832">
      <c r="A18832" s="17"/>
      <c r="H18832" s="18"/>
      <c r="K18832" s="18" t="s">
        <v>316</v>
      </c>
    </row>
    <row r="18833">
      <c r="A18833" s="17"/>
      <c r="H18833" s="18"/>
      <c r="K18833" s="18" t="s">
        <v>316</v>
      </c>
    </row>
    <row r="18834">
      <c r="A18834" s="17"/>
      <c r="H18834" s="18"/>
      <c r="K18834" s="18" t="s">
        <v>316</v>
      </c>
    </row>
    <row r="18835">
      <c r="A18835" s="17"/>
      <c r="H18835" s="18"/>
      <c r="K18835" s="18" t="s">
        <v>316</v>
      </c>
    </row>
    <row r="18836">
      <c r="A18836" s="17"/>
      <c r="H18836" s="18"/>
      <c r="K18836" s="18" t="s">
        <v>316</v>
      </c>
    </row>
    <row r="18837">
      <c r="A18837" s="17"/>
      <c r="H18837" s="18"/>
      <c r="K18837" s="18" t="s">
        <v>316</v>
      </c>
    </row>
    <row r="18838">
      <c r="A18838" s="17"/>
      <c r="H18838" s="18"/>
      <c r="K18838" s="18" t="s">
        <v>316</v>
      </c>
    </row>
    <row r="18839">
      <c r="A18839" s="17"/>
      <c r="H18839" s="18"/>
      <c r="K18839" s="18" t="s">
        <v>316</v>
      </c>
    </row>
    <row r="18840">
      <c r="A18840" s="17"/>
      <c r="H18840" s="18"/>
      <c r="K18840" s="18" t="s">
        <v>316</v>
      </c>
    </row>
    <row r="18841">
      <c r="A18841" s="17"/>
      <c r="H18841" s="18"/>
      <c r="K18841" s="18" t="s">
        <v>316</v>
      </c>
    </row>
    <row r="18842">
      <c r="A18842" s="17"/>
      <c r="H18842" s="18"/>
      <c r="K18842" s="18" t="s">
        <v>316</v>
      </c>
    </row>
    <row r="18843">
      <c r="A18843" s="17"/>
      <c r="H18843" s="18"/>
      <c r="K18843" s="18" t="s">
        <v>316</v>
      </c>
    </row>
    <row r="18844">
      <c r="A18844" s="17"/>
      <c r="H18844" s="18"/>
      <c r="K18844" s="18" t="s">
        <v>316</v>
      </c>
    </row>
    <row r="18845">
      <c r="A18845" s="17"/>
      <c r="H18845" s="18"/>
      <c r="K18845" s="18" t="s">
        <v>316</v>
      </c>
    </row>
    <row r="18846">
      <c r="A18846" s="17"/>
      <c r="H18846" s="18"/>
      <c r="K18846" s="18" t="s">
        <v>316</v>
      </c>
    </row>
    <row r="18847">
      <c r="A18847" s="17"/>
      <c r="H18847" s="18"/>
      <c r="K18847" s="18" t="s">
        <v>316</v>
      </c>
    </row>
    <row r="18848">
      <c r="A18848" s="17"/>
      <c r="H18848" s="18"/>
      <c r="K18848" s="18" t="s">
        <v>316</v>
      </c>
    </row>
    <row r="18849">
      <c r="A18849" s="17"/>
      <c r="H18849" s="18"/>
      <c r="K18849" s="18" t="s">
        <v>316</v>
      </c>
    </row>
    <row r="18850">
      <c r="A18850" s="17"/>
      <c r="H18850" s="18"/>
      <c r="K18850" s="18" t="s">
        <v>316</v>
      </c>
    </row>
    <row r="18851">
      <c r="A18851" s="17"/>
      <c r="H18851" s="18"/>
      <c r="K18851" s="18" t="s">
        <v>316</v>
      </c>
    </row>
    <row r="18852">
      <c r="A18852" s="17"/>
      <c r="H18852" s="18"/>
      <c r="K18852" s="18" t="s">
        <v>316</v>
      </c>
    </row>
    <row r="18853">
      <c r="A18853" s="17"/>
      <c r="H18853" s="18"/>
      <c r="K18853" s="18" t="s">
        <v>316</v>
      </c>
    </row>
    <row r="18854">
      <c r="A18854" s="17"/>
      <c r="H18854" s="18"/>
      <c r="K18854" s="18" t="s">
        <v>316</v>
      </c>
    </row>
    <row r="18855">
      <c r="A18855" s="17"/>
      <c r="H18855" s="18"/>
      <c r="K18855" s="18" t="s">
        <v>316</v>
      </c>
    </row>
    <row r="18856">
      <c r="A18856" s="17"/>
      <c r="H18856" s="18"/>
      <c r="K18856" s="18" t="s">
        <v>316</v>
      </c>
    </row>
    <row r="18857">
      <c r="A18857" s="17"/>
      <c r="H18857" s="18"/>
      <c r="K18857" s="18" t="s">
        <v>316</v>
      </c>
    </row>
    <row r="18858">
      <c r="A18858" s="17"/>
      <c r="H18858" s="18"/>
      <c r="K18858" s="18" t="s">
        <v>316</v>
      </c>
    </row>
    <row r="18859">
      <c r="A18859" s="17"/>
      <c r="H18859" s="18"/>
      <c r="K18859" s="18" t="s">
        <v>316</v>
      </c>
    </row>
    <row r="18860">
      <c r="A18860" s="17"/>
      <c r="H18860" s="18"/>
      <c r="K18860" s="18" t="s">
        <v>316</v>
      </c>
    </row>
    <row r="18861">
      <c r="A18861" s="17"/>
      <c r="H18861" s="18"/>
      <c r="K18861" s="18" t="s">
        <v>316</v>
      </c>
    </row>
    <row r="18862">
      <c r="A18862" s="17"/>
      <c r="H18862" s="18"/>
      <c r="K18862" s="18" t="s">
        <v>316</v>
      </c>
    </row>
    <row r="18863">
      <c r="A18863" s="17"/>
      <c r="H18863" s="18"/>
      <c r="K18863" s="18" t="s">
        <v>316</v>
      </c>
    </row>
    <row r="18864">
      <c r="A18864" s="17"/>
      <c r="H18864" s="18"/>
      <c r="K18864" s="18" t="s">
        <v>316</v>
      </c>
    </row>
    <row r="18865">
      <c r="A18865" s="17"/>
      <c r="H18865" s="18"/>
      <c r="K18865" s="18" t="s">
        <v>316</v>
      </c>
    </row>
    <row r="18866">
      <c r="A18866" s="17"/>
      <c r="H18866" s="18"/>
      <c r="K18866" s="18" t="s">
        <v>316</v>
      </c>
    </row>
    <row r="18867">
      <c r="A18867" s="17"/>
      <c r="H18867" s="18"/>
      <c r="K18867" s="18" t="s">
        <v>316</v>
      </c>
    </row>
    <row r="18868">
      <c r="A18868" s="17"/>
      <c r="H18868" s="18"/>
      <c r="K18868" s="18" t="s">
        <v>316</v>
      </c>
    </row>
    <row r="18869">
      <c r="A18869" s="17"/>
      <c r="H18869" s="18"/>
      <c r="K18869" s="18" t="s">
        <v>316</v>
      </c>
    </row>
    <row r="18870">
      <c r="A18870" s="17"/>
      <c r="H18870" s="18"/>
      <c r="K18870" s="18" t="s">
        <v>316</v>
      </c>
    </row>
    <row r="18871">
      <c r="A18871" s="17"/>
      <c r="H18871" s="18"/>
      <c r="K18871" s="18" t="s">
        <v>316</v>
      </c>
    </row>
    <row r="18872">
      <c r="A18872" s="17"/>
      <c r="H18872" s="18"/>
      <c r="K18872" s="18" t="s">
        <v>316</v>
      </c>
    </row>
    <row r="18873">
      <c r="A18873" s="17"/>
      <c r="H18873" s="18"/>
      <c r="K18873" s="18" t="s">
        <v>316</v>
      </c>
    </row>
    <row r="18874">
      <c r="A18874" s="17"/>
      <c r="H18874" s="18"/>
      <c r="K18874" s="18" t="s">
        <v>316</v>
      </c>
    </row>
    <row r="18875">
      <c r="A18875" s="17"/>
      <c r="H18875" s="18"/>
      <c r="K18875" s="18" t="s">
        <v>316</v>
      </c>
    </row>
    <row r="18876">
      <c r="A18876" s="17"/>
      <c r="H18876" s="18"/>
      <c r="K18876" s="18" t="s">
        <v>316</v>
      </c>
    </row>
    <row r="18877">
      <c r="A18877" s="17"/>
      <c r="H18877" s="18"/>
      <c r="K18877" s="18" t="s">
        <v>316</v>
      </c>
    </row>
    <row r="18878">
      <c r="A18878" s="17"/>
      <c r="H18878" s="18"/>
      <c r="K18878" s="18" t="s">
        <v>316</v>
      </c>
    </row>
    <row r="18879">
      <c r="A18879" s="17"/>
      <c r="H18879" s="18"/>
      <c r="K18879" s="18" t="s">
        <v>316</v>
      </c>
    </row>
    <row r="18880">
      <c r="A18880" s="17"/>
      <c r="H18880" s="18"/>
      <c r="K18880" s="18" t="s">
        <v>316</v>
      </c>
    </row>
    <row r="18881">
      <c r="A18881" s="17"/>
      <c r="H18881" s="18"/>
      <c r="K18881" s="18" t="s">
        <v>316</v>
      </c>
    </row>
    <row r="18882">
      <c r="A18882" s="17"/>
      <c r="H18882" s="18"/>
      <c r="K18882" s="18" t="s">
        <v>316</v>
      </c>
    </row>
    <row r="18883">
      <c r="A18883" s="17"/>
      <c r="H18883" s="18"/>
      <c r="K18883" s="18" t="s">
        <v>316</v>
      </c>
    </row>
    <row r="18884">
      <c r="A18884" s="17"/>
      <c r="H18884" s="18"/>
      <c r="K18884" s="18" t="s">
        <v>316</v>
      </c>
    </row>
    <row r="18885">
      <c r="A18885" s="17"/>
      <c r="H18885" s="18"/>
      <c r="K18885" s="18" t="s">
        <v>316</v>
      </c>
    </row>
    <row r="18886">
      <c r="A18886" s="17"/>
      <c r="H18886" s="18"/>
      <c r="K18886" s="18" t="s">
        <v>316</v>
      </c>
    </row>
    <row r="18887">
      <c r="A18887" s="17"/>
      <c r="H18887" s="18"/>
      <c r="K18887" s="18" t="s">
        <v>316</v>
      </c>
    </row>
    <row r="18888">
      <c r="A18888" s="17"/>
      <c r="H18888" s="18"/>
      <c r="K18888" s="18" t="s">
        <v>316</v>
      </c>
    </row>
    <row r="18889">
      <c r="A18889" s="17"/>
      <c r="H18889" s="18"/>
      <c r="K18889" s="18" t="s">
        <v>316</v>
      </c>
    </row>
    <row r="18890">
      <c r="A18890" s="17"/>
      <c r="H18890" s="18"/>
      <c r="K18890" s="18" t="s">
        <v>316</v>
      </c>
    </row>
    <row r="18891">
      <c r="A18891" s="17"/>
      <c r="H18891" s="18"/>
      <c r="K18891" s="18" t="s">
        <v>316</v>
      </c>
    </row>
    <row r="18892">
      <c r="A18892" s="17"/>
      <c r="H18892" s="18"/>
      <c r="K18892" s="18" t="s">
        <v>316</v>
      </c>
    </row>
    <row r="18893">
      <c r="A18893" s="17"/>
      <c r="H18893" s="18"/>
      <c r="K18893" s="18" t="s">
        <v>316</v>
      </c>
    </row>
    <row r="18894">
      <c r="A18894" s="17"/>
      <c r="H18894" s="18"/>
      <c r="K18894" s="18" t="s">
        <v>316</v>
      </c>
    </row>
    <row r="18895">
      <c r="A18895" s="17"/>
      <c r="H18895" s="18"/>
      <c r="K18895" s="18" t="s">
        <v>316</v>
      </c>
    </row>
    <row r="18896">
      <c r="A18896" s="17"/>
      <c r="H18896" s="18"/>
      <c r="K18896" s="18" t="s">
        <v>316</v>
      </c>
    </row>
    <row r="18897">
      <c r="A18897" s="17"/>
      <c r="H18897" s="18"/>
      <c r="K18897" s="18" t="s">
        <v>316</v>
      </c>
    </row>
    <row r="18898">
      <c r="A18898" s="17"/>
      <c r="H18898" s="18"/>
      <c r="K18898" s="18" t="s">
        <v>316</v>
      </c>
    </row>
    <row r="18899">
      <c r="A18899" s="17"/>
      <c r="H18899" s="18"/>
      <c r="K18899" s="18" t="s">
        <v>316</v>
      </c>
    </row>
    <row r="18900">
      <c r="A18900" s="17"/>
      <c r="H18900" s="18"/>
      <c r="K18900" s="18" t="s">
        <v>316</v>
      </c>
    </row>
    <row r="18901">
      <c r="A18901" s="17"/>
      <c r="H18901" s="18"/>
      <c r="K18901" s="18" t="s">
        <v>316</v>
      </c>
    </row>
    <row r="18902">
      <c r="A18902" s="17"/>
      <c r="H18902" s="18"/>
      <c r="K18902" s="18" t="s">
        <v>316</v>
      </c>
    </row>
    <row r="18903">
      <c r="A18903" s="17"/>
      <c r="H18903" s="18"/>
      <c r="K18903" s="18" t="s">
        <v>316</v>
      </c>
    </row>
    <row r="18904">
      <c r="A18904" s="17"/>
      <c r="H18904" s="18"/>
      <c r="K18904" s="18" t="s">
        <v>316</v>
      </c>
    </row>
    <row r="18905">
      <c r="A18905" s="17"/>
      <c r="H18905" s="18"/>
      <c r="K18905" s="18" t="s">
        <v>316</v>
      </c>
    </row>
    <row r="18906">
      <c r="A18906" s="17"/>
      <c r="H18906" s="18"/>
      <c r="K18906" s="18" t="s">
        <v>316</v>
      </c>
    </row>
    <row r="18907">
      <c r="A18907" s="17"/>
      <c r="H18907" s="18"/>
      <c r="K18907" s="18" t="s">
        <v>316</v>
      </c>
    </row>
    <row r="18908">
      <c r="A18908" s="17"/>
      <c r="H18908" s="18"/>
      <c r="K18908" s="18" t="s">
        <v>316</v>
      </c>
    </row>
    <row r="18909">
      <c r="A18909" s="17"/>
      <c r="H18909" s="18"/>
      <c r="K18909" s="18" t="s">
        <v>316</v>
      </c>
    </row>
    <row r="18910">
      <c r="A18910" s="17"/>
      <c r="H18910" s="18"/>
      <c r="K18910" s="18" t="s">
        <v>316</v>
      </c>
    </row>
    <row r="18911">
      <c r="A18911" s="17"/>
      <c r="H18911" s="18"/>
      <c r="K18911" s="18" t="s">
        <v>316</v>
      </c>
    </row>
    <row r="18912">
      <c r="A18912" s="17"/>
      <c r="H18912" s="18"/>
      <c r="K18912" s="18" t="s">
        <v>316</v>
      </c>
    </row>
    <row r="18913">
      <c r="A18913" s="17"/>
      <c r="H18913" s="18"/>
      <c r="K18913" s="18" t="s">
        <v>316</v>
      </c>
    </row>
    <row r="18914">
      <c r="A18914" s="17"/>
      <c r="H18914" s="18"/>
      <c r="K18914" s="18" t="s">
        <v>316</v>
      </c>
    </row>
    <row r="18915">
      <c r="A18915" s="17"/>
      <c r="H18915" s="18"/>
      <c r="K18915" s="18" t="s">
        <v>316</v>
      </c>
    </row>
    <row r="18916">
      <c r="A18916" s="17"/>
      <c r="H18916" s="18"/>
      <c r="K18916" s="18" t="s">
        <v>316</v>
      </c>
    </row>
    <row r="18917">
      <c r="A18917" s="17"/>
      <c r="H18917" s="18"/>
      <c r="K18917" s="18" t="s">
        <v>316</v>
      </c>
    </row>
    <row r="18918">
      <c r="A18918" s="17"/>
      <c r="H18918" s="18"/>
      <c r="K18918" s="18" t="s">
        <v>316</v>
      </c>
    </row>
    <row r="18919">
      <c r="A18919" s="17"/>
      <c r="H18919" s="18"/>
      <c r="K18919" s="18" t="s">
        <v>316</v>
      </c>
    </row>
    <row r="18920">
      <c r="A18920" s="17"/>
      <c r="H18920" s="18"/>
      <c r="K18920" s="18" t="s">
        <v>316</v>
      </c>
    </row>
    <row r="18921">
      <c r="A18921" s="17"/>
      <c r="H18921" s="18"/>
      <c r="K18921" s="18" t="s">
        <v>316</v>
      </c>
    </row>
    <row r="18922">
      <c r="A18922" s="17"/>
      <c r="H18922" s="18"/>
      <c r="K18922" s="18" t="s">
        <v>316</v>
      </c>
    </row>
    <row r="18923">
      <c r="A18923" s="17"/>
      <c r="H18923" s="18"/>
      <c r="K18923" s="18" t="s">
        <v>316</v>
      </c>
    </row>
    <row r="18924">
      <c r="A18924" s="17"/>
      <c r="H18924" s="18"/>
      <c r="K18924" s="18" t="s">
        <v>316</v>
      </c>
    </row>
    <row r="18925">
      <c r="A18925" s="17"/>
      <c r="H18925" s="18"/>
      <c r="K18925" s="18" t="s">
        <v>316</v>
      </c>
    </row>
    <row r="18926">
      <c r="A18926" s="17"/>
      <c r="H18926" s="18"/>
      <c r="K18926" s="18" t="s">
        <v>316</v>
      </c>
    </row>
    <row r="18927">
      <c r="A18927" s="17"/>
      <c r="H18927" s="18"/>
      <c r="K18927" s="18" t="s">
        <v>316</v>
      </c>
    </row>
    <row r="18928">
      <c r="A18928" s="17"/>
      <c r="H18928" s="18"/>
      <c r="K18928" s="18" t="s">
        <v>316</v>
      </c>
    </row>
    <row r="18929">
      <c r="A18929" s="17"/>
      <c r="H18929" s="18"/>
      <c r="K18929" s="18" t="s">
        <v>316</v>
      </c>
    </row>
    <row r="18930">
      <c r="A18930" s="17"/>
      <c r="H18930" s="18"/>
      <c r="K18930" s="18" t="s">
        <v>316</v>
      </c>
    </row>
    <row r="18931">
      <c r="A18931" s="17"/>
      <c r="H18931" s="18"/>
      <c r="K18931" s="18" t="s">
        <v>316</v>
      </c>
    </row>
    <row r="18932">
      <c r="A18932" s="17"/>
      <c r="H18932" s="18"/>
      <c r="K18932" s="18" t="s">
        <v>316</v>
      </c>
    </row>
    <row r="18933">
      <c r="A18933" s="17"/>
      <c r="H18933" s="18"/>
      <c r="K18933" s="18" t="s">
        <v>316</v>
      </c>
    </row>
    <row r="18934">
      <c r="A18934" s="17"/>
      <c r="H18934" s="18"/>
      <c r="K18934" s="18" t="s">
        <v>316</v>
      </c>
    </row>
    <row r="18935">
      <c r="A18935" s="17"/>
      <c r="H18935" s="18"/>
      <c r="K18935" s="18" t="s">
        <v>316</v>
      </c>
    </row>
    <row r="18936">
      <c r="A18936" s="17"/>
      <c r="H18936" s="18"/>
      <c r="K18936" s="18" t="s">
        <v>316</v>
      </c>
    </row>
    <row r="18937">
      <c r="A18937" s="17"/>
      <c r="H18937" s="18"/>
      <c r="K18937" s="18" t="s">
        <v>316</v>
      </c>
    </row>
    <row r="18938">
      <c r="A18938" s="17"/>
      <c r="H18938" s="18"/>
      <c r="K18938" s="18" t="s">
        <v>316</v>
      </c>
    </row>
    <row r="18939">
      <c r="A18939" s="17"/>
      <c r="H18939" s="18"/>
      <c r="K18939" s="18" t="s">
        <v>316</v>
      </c>
    </row>
    <row r="18940">
      <c r="A18940" s="17"/>
      <c r="H18940" s="18"/>
      <c r="K18940" s="18" t="s">
        <v>316</v>
      </c>
    </row>
    <row r="18941">
      <c r="A18941" s="17"/>
      <c r="H18941" s="18"/>
      <c r="K18941" s="18" t="s">
        <v>316</v>
      </c>
    </row>
    <row r="18942">
      <c r="A18942" s="17"/>
      <c r="H18942" s="18"/>
      <c r="K18942" s="18" t="s">
        <v>316</v>
      </c>
    </row>
    <row r="18943">
      <c r="A18943" s="17"/>
      <c r="H18943" s="18"/>
      <c r="K18943" s="18" t="s">
        <v>316</v>
      </c>
    </row>
    <row r="18944">
      <c r="A18944" s="17"/>
      <c r="H18944" s="18"/>
      <c r="K18944" s="18" t="s">
        <v>316</v>
      </c>
    </row>
    <row r="18945">
      <c r="A18945" s="17"/>
      <c r="H18945" s="18"/>
      <c r="K18945" s="18" t="s">
        <v>316</v>
      </c>
    </row>
    <row r="18946">
      <c r="A18946" s="17"/>
      <c r="H18946" s="18"/>
      <c r="K18946" s="18" t="s">
        <v>316</v>
      </c>
    </row>
    <row r="18947">
      <c r="A18947" s="17"/>
      <c r="H18947" s="18"/>
      <c r="K18947" s="18" t="s">
        <v>316</v>
      </c>
    </row>
    <row r="18948">
      <c r="A18948" s="17"/>
      <c r="H18948" s="18"/>
      <c r="K18948" s="18" t="s">
        <v>316</v>
      </c>
    </row>
    <row r="18949">
      <c r="A18949" s="17"/>
      <c r="H18949" s="18"/>
      <c r="K18949" s="18" t="s">
        <v>316</v>
      </c>
    </row>
    <row r="18950">
      <c r="A18950" s="17"/>
      <c r="H18950" s="18"/>
      <c r="K18950" s="18" t="s">
        <v>316</v>
      </c>
    </row>
    <row r="18951">
      <c r="A18951" s="17"/>
      <c r="H18951" s="18"/>
      <c r="K18951" s="18" t="s">
        <v>316</v>
      </c>
    </row>
    <row r="18952">
      <c r="A18952" s="17"/>
      <c r="H18952" s="18"/>
      <c r="K18952" s="18" t="s">
        <v>316</v>
      </c>
    </row>
    <row r="18953">
      <c r="A18953" s="17"/>
      <c r="H18953" s="18"/>
      <c r="K18953" s="18" t="s">
        <v>316</v>
      </c>
    </row>
    <row r="18954">
      <c r="A18954" s="17"/>
      <c r="H18954" s="18"/>
      <c r="K18954" s="18" t="s">
        <v>316</v>
      </c>
    </row>
    <row r="18955">
      <c r="A18955" s="17"/>
      <c r="H18955" s="18"/>
      <c r="K18955" s="18" t="s">
        <v>316</v>
      </c>
    </row>
    <row r="18956">
      <c r="A18956" s="17"/>
      <c r="H18956" s="18"/>
      <c r="K18956" s="18" t="s">
        <v>316</v>
      </c>
    </row>
    <row r="18957">
      <c r="A18957" s="17"/>
      <c r="H18957" s="18"/>
      <c r="K18957" s="18" t="s">
        <v>316</v>
      </c>
    </row>
    <row r="18958">
      <c r="A18958" s="17"/>
      <c r="H18958" s="18"/>
      <c r="K18958" s="18" t="s">
        <v>316</v>
      </c>
    </row>
    <row r="18959">
      <c r="A18959" s="17"/>
      <c r="H18959" s="18"/>
      <c r="K18959" s="18" t="s">
        <v>316</v>
      </c>
    </row>
    <row r="18960">
      <c r="A18960" s="17"/>
      <c r="H18960" s="18"/>
      <c r="K18960" s="18" t="s">
        <v>316</v>
      </c>
    </row>
    <row r="18961">
      <c r="A18961" s="17"/>
      <c r="H18961" s="18"/>
      <c r="K18961" s="18" t="s">
        <v>316</v>
      </c>
    </row>
    <row r="18962">
      <c r="A18962" s="17"/>
      <c r="H18962" s="18"/>
      <c r="K18962" s="18" t="s">
        <v>316</v>
      </c>
    </row>
    <row r="18963">
      <c r="A18963" s="17"/>
      <c r="H18963" s="18"/>
      <c r="K18963" s="18" t="s">
        <v>316</v>
      </c>
    </row>
    <row r="18964">
      <c r="A18964" s="17"/>
      <c r="H18964" s="18"/>
      <c r="K18964" s="18" t="s">
        <v>316</v>
      </c>
    </row>
    <row r="18965">
      <c r="A18965" s="17"/>
      <c r="H18965" s="18"/>
      <c r="K18965" s="18" t="s">
        <v>316</v>
      </c>
    </row>
    <row r="18966">
      <c r="A18966" s="17"/>
      <c r="H18966" s="18"/>
      <c r="K18966" s="18" t="s">
        <v>316</v>
      </c>
    </row>
    <row r="18967">
      <c r="A18967" s="17"/>
      <c r="H18967" s="18"/>
      <c r="K18967" s="18" t="s">
        <v>316</v>
      </c>
    </row>
    <row r="18968">
      <c r="A18968" s="17"/>
      <c r="H18968" s="18"/>
      <c r="K18968" s="18" t="s">
        <v>316</v>
      </c>
    </row>
    <row r="18969">
      <c r="A18969" s="17"/>
      <c r="H18969" s="18"/>
      <c r="K18969" s="18" t="s">
        <v>316</v>
      </c>
    </row>
    <row r="18970">
      <c r="A18970" s="17"/>
      <c r="H18970" s="18"/>
      <c r="K18970" s="18" t="s">
        <v>316</v>
      </c>
    </row>
    <row r="18971">
      <c r="A18971" s="17"/>
      <c r="H18971" s="18"/>
      <c r="K18971" s="18" t="s">
        <v>316</v>
      </c>
    </row>
    <row r="18972">
      <c r="A18972" s="17"/>
      <c r="H18972" s="18"/>
      <c r="K18972" s="18" t="s">
        <v>316</v>
      </c>
    </row>
    <row r="18973">
      <c r="A18973" s="17"/>
      <c r="H18973" s="18"/>
      <c r="K18973" s="18" t="s">
        <v>316</v>
      </c>
    </row>
    <row r="18974">
      <c r="A18974" s="17"/>
      <c r="H18974" s="18"/>
      <c r="K18974" s="18" t="s">
        <v>316</v>
      </c>
    </row>
    <row r="18975">
      <c r="A18975" s="17"/>
      <c r="H18975" s="18"/>
      <c r="K18975" s="18" t="s">
        <v>316</v>
      </c>
    </row>
    <row r="18976">
      <c r="A18976" s="17"/>
      <c r="H18976" s="18"/>
      <c r="K18976" s="18" t="s">
        <v>316</v>
      </c>
    </row>
    <row r="18977">
      <c r="A18977" s="17"/>
      <c r="H18977" s="18"/>
      <c r="K18977" s="18" t="s">
        <v>316</v>
      </c>
    </row>
    <row r="18978">
      <c r="A18978" s="17"/>
      <c r="H18978" s="18"/>
      <c r="K18978" s="18" t="s">
        <v>316</v>
      </c>
    </row>
    <row r="18979">
      <c r="A18979" s="17"/>
      <c r="H18979" s="18"/>
      <c r="K18979" s="18" t="s">
        <v>316</v>
      </c>
    </row>
    <row r="18980">
      <c r="A18980" s="17"/>
      <c r="H18980" s="18"/>
      <c r="K18980" s="18" t="s">
        <v>316</v>
      </c>
    </row>
    <row r="18981">
      <c r="A18981" s="17"/>
      <c r="H18981" s="18"/>
      <c r="K18981" s="18" t="s">
        <v>316</v>
      </c>
    </row>
    <row r="18982">
      <c r="A18982" s="17"/>
      <c r="H18982" s="18"/>
      <c r="K18982" s="18" t="s">
        <v>316</v>
      </c>
    </row>
    <row r="18983">
      <c r="A18983" s="17"/>
      <c r="H18983" s="18"/>
      <c r="K18983" s="18" t="s">
        <v>316</v>
      </c>
    </row>
    <row r="18984">
      <c r="A18984" s="17"/>
      <c r="H18984" s="18"/>
      <c r="K18984" s="18" t="s">
        <v>316</v>
      </c>
    </row>
    <row r="18985">
      <c r="A18985" s="17"/>
      <c r="H18985" s="18"/>
      <c r="K18985" s="18" t="s">
        <v>316</v>
      </c>
    </row>
    <row r="18986">
      <c r="A18986" s="17"/>
      <c r="H18986" s="18"/>
      <c r="K18986" s="18" t="s">
        <v>316</v>
      </c>
    </row>
    <row r="18987">
      <c r="A18987" s="17"/>
      <c r="H18987" s="18"/>
      <c r="K18987" s="18" t="s">
        <v>316</v>
      </c>
    </row>
    <row r="18988">
      <c r="A18988" s="17"/>
      <c r="H18988" s="18"/>
      <c r="K18988" s="18" t="s">
        <v>316</v>
      </c>
    </row>
    <row r="18989">
      <c r="A18989" s="17"/>
      <c r="H18989" s="18"/>
      <c r="K18989" s="18" t="s">
        <v>316</v>
      </c>
    </row>
    <row r="18990">
      <c r="A18990" s="17"/>
      <c r="H18990" s="18"/>
      <c r="K18990" s="18" t="s">
        <v>316</v>
      </c>
    </row>
    <row r="18991">
      <c r="A18991" s="17"/>
      <c r="H18991" s="18"/>
      <c r="K18991" s="18" t="s">
        <v>316</v>
      </c>
    </row>
    <row r="18992">
      <c r="A18992" s="17"/>
      <c r="H18992" s="18"/>
      <c r="K18992" s="18" t="s">
        <v>316</v>
      </c>
    </row>
    <row r="18993">
      <c r="A18993" s="17"/>
      <c r="H18993" s="18"/>
      <c r="K18993" s="18" t="s">
        <v>316</v>
      </c>
    </row>
    <row r="18994">
      <c r="A18994" s="17"/>
      <c r="H18994" s="18"/>
      <c r="K18994" s="18" t="s">
        <v>316</v>
      </c>
    </row>
    <row r="18995">
      <c r="A18995" s="17"/>
      <c r="H18995" s="18"/>
      <c r="K18995" s="18" t="s">
        <v>316</v>
      </c>
    </row>
    <row r="18996">
      <c r="A18996" s="17"/>
      <c r="H18996" s="18"/>
      <c r="K18996" s="18" t="s">
        <v>316</v>
      </c>
    </row>
    <row r="18997">
      <c r="A18997" s="17"/>
      <c r="H18997" s="18"/>
      <c r="K18997" s="18" t="s">
        <v>316</v>
      </c>
    </row>
    <row r="18998">
      <c r="A18998" s="17"/>
      <c r="H18998" s="18"/>
      <c r="K18998" s="18" t="s">
        <v>316</v>
      </c>
    </row>
    <row r="18999">
      <c r="A18999" s="17"/>
      <c r="H18999" s="18"/>
      <c r="K18999" s="18" t="s">
        <v>316</v>
      </c>
    </row>
    <row r="19000">
      <c r="A19000" s="17"/>
      <c r="H19000" s="18"/>
      <c r="K19000" s="18" t="s">
        <v>316</v>
      </c>
    </row>
    <row r="19001">
      <c r="A19001" s="17"/>
      <c r="H19001" s="18"/>
      <c r="K19001" s="18" t="s">
        <v>316</v>
      </c>
    </row>
    <row r="19002">
      <c r="A19002" s="17"/>
      <c r="H19002" s="18"/>
      <c r="K19002" s="18" t="s">
        <v>316</v>
      </c>
    </row>
    <row r="19003">
      <c r="A19003" s="17"/>
      <c r="H19003" s="18"/>
      <c r="K19003" s="18" t="s">
        <v>316</v>
      </c>
    </row>
    <row r="19004">
      <c r="A19004" s="17"/>
      <c r="H19004" s="18"/>
      <c r="K19004" s="18" t="s">
        <v>316</v>
      </c>
    </row>
    <row r="19005">
      <c r="A19005" s="17"/>
      <c r="H19005" s="18"/>
      <c r="K19005" s="18" t="s">
        <v>316</v>
      </c>
    </row>
    <row r="19006">
      <c r="A19006" s="17"/>
      <c r="H19006" s="18"/>
      <c r="K19006" s="18" t="s">
        <v>316</v>
      </c>
    </row>
    <row r="19007">
      <c r="A19007" s="17"/>
      <c r="H19007" s="18"/>
      <c r="K19007" s="18" t="s">
        <v>316</v>
      </c>
    </row>
    <row r="19008">
      <c r="A19008" s="17"/>
      <c r="H19008" s="18"/>
      <c r="K19008" s="18" t="s">
        <v>316</v>
      </c>
    </row>
    <row r="19009">
      <c r="A19009" s="17"/>
      <c r="H19009" s="18"/>
      <c r="K19009" s="18" t="s">
        <v>316</v>
      </c>
    </row>
    <row r="19010">
      <c r="A19010" s="17"/>
      <c r="H19010" s="18"/>
      <c r="K19010" s="18" t="s">
        <v>316</v>
      </c>
    </row>
    <row r="19011">
      <c r="A19011" s="17"/>
      <c r="H19011" s="18"/>
      <c r="K19011" s="18" t="s">
        <v>316</v>
      </c>
    </row>
    <row r="19012">
      <c r="A19012" s="17"/>
      <c r="H19012" s="18"/>
      <c r="K19012" s="18" t="s">
        <v>316</v>
      </c>
    </row>
    <row r="19013">
      <c r="A19013" s="17"/>
      <c r="H19013" s="18"/>
      <c r="K19013" s="18" t="s">
        <v>316</v>
      </c>
    </row>
    <row r="19014">
      <c r="A19014" s="17"/>
      <c r="H19014" s="18"/>
      <c r="K19014" s="18" t="s">
        <v>316</v>
      </c>
    </row>
    <row r="19015">
      <c r="A19015" s="17"/>
      <c r="H19015" s="18"/>
      <c r="K19015" s="18" t="s">
        <v>316</v>
      </c>
    </row>
    <row r="19016">
      <c r="A19016" s="17"/>
      <c r="H19016" s="18"/>
      <c r="K19016" s="18" t="s">
        <v>316</v>
      </c>
    </row>
    <row r="19017">
      <c r="A19017" s="17"/>
      <c r="H19017" s="18"/>
      <c r="K19017" s="18" t="s">
        <v>316</v>
      </c>
    </row>
    <row r="19018">
      <c r="A19018" s="17"/>
      <c r="H19018" s="18"/>
      <c r="K19018" s="18" t="s">
        <v>316</v>
      </c>
    </row>
    <row r="19019">
      <c r="A19019" s="17"/>
      <c r="H19019" s="18"/>
      <c r="K19019" s="18" t="s">
        <v>316</v>
      </c>
    </row>
    <row r="19020">
      <c r="A19020" s="17"/>
      <c r="H19020" s="18"/>
      <c r="K19020" s="18" t="s">
        <v>316</v>
      </c>
    </row>
    <row r="19021">
      <c r="A19021" s="17"/>
      <c r="H19021" s="18"/>
      <c r="K19021" s="18" t="s">
        <v>316</v>
      </c>
    </row>
    <row r="19022">
      <c r="A19022" s="17"/>
      <c r="H19022" s="18"/>
      <c r="K19022" s="18" t="s">
        <v>316</v>
      </c>
    </row>
    <row r="19023">
      <c r="A19023" s="17"/>
      <c r="H19023" s="18"/>
      <c r="K19023" s="18" t="s">
        <v>316</v>
      </c>
    </row>
    <row r="19024">
      <c r="A19024" s="17"/>
      <c r="H19024" s="18"/>
      <c r="K19024" s="18" t="s">
        <v>316</v>
      </c>
    </row>
    <row r="19025">
      <c r="A19025" s="17"/>
      <c r="H19025" s="18"/>
      <c r="K19025" s="18" t="s">
        <v>316</v>
      </c>
    </row>
    <row r="19026">
      <c r="A19026" s="17"/>
      <c r="H19026" s="18"/>
      <c r="K19026" s="18" t="s">
        <v>316</v>
      </c>
    </row>
    <row r="19027">
      <c r="A19027" s="17"/>
      <c r="H19027" s="18"/>
      <c r="K19027" s="18" t="s">
        <v>316</v>
      </c>
    </row>
    <row r="19028">
      <c r="A19028" s="17"/>
      <c r="H19028" s="18"/>
      <c r="K19028" s="18" t="s">
        <v>316</v>
      </c>
    </row>
    <row r="19029">
      <c r="A19029" s="17"/>
      <c r="H19029" s="18"/>
      <c r="K19029" s="18" t="s">
        <v>316</v>
      </c>
    </row>
    <row r="19030">
      <c r="A19030" s="17"/>
      <c r="H19030" s="18"/>
      <c r="K19030" s="18" t="s">
        <v>316</v>
      </c>
    </row>
    <row r="19031">
      <c r="A19031" s="17"/>
      <c r="H19031" s="18"/>
      <c r="K19031" s="18" t="s">
        <v>316</v>
      </c>
    </row>
    <row r="19032">
      <c r="A19032" s="17"/>
      <c r="H19032" s="18"/>
      <c r="K19032" s="18" t="s">
        <v>316</v>
      </c>
    </row>
    <row r="19033">
      <c r="A19033" s="17"/>
      <c r="H19033" s="18"/>
      <c r="K19033" s="18" t="s">
        <v>316</v>
      </c>
    </row>
    <row r="19034">
      <c r="A19034" s="17"/>
      <c r="H19034" s="18"/>
      <c r="K19034" s="18" t="s">
        <v>316</v>
      </c>
    </row>
    <row r="19035">
      <c r="A19035" s="17"/>
      <c r="H19035" s="18"/>
      <c r="K19035" s="18" t="s">
        <v>316</v>
      </c>
    </row>
    <row r="19036">
      <c r="A19036" s="17"/>
      <c r="H19036" s="18"/>
      <c r="K19036" s="18" t="s">
        <v>316</v>
      </c>
    </row>
    <row r="19037">
      <c r="A19037" s="17"/>
      <c r="H19037" s="18"/>
      <c r="K19037" s="18" t="s">
        <v>316</v>
      </c>
    </row>
    <row r="19038">
      <c r="A19038" s="17"/>
      <c r="H19038" s="18"/>
      <c r="K19038" s="18" t="s">
        <v>316</v>
      </c>
    </row>
    <row r="19039">
      <c r="A19039" s="17"/>
      <c r="H19039" s="18"/>
      <c r="K19039" s="18" t="s">
        <v>316</v>
      </c>
    </row>
    <row r="19040">
      <c r="A19040" s="17"/>
      <c r="H19040" s="18"/>
      <c r="K19040" s="18" t="s">
        <v>316</v>
      </c>
    </row>
    <row r="19041">
      <c r="A19041" s="17"/>
      <c r="H19041" s="18"/>
      <c r="K19041" s="18" t="s">
        <v>316</v>
      </c>
    </row>
    <row r="19042">
      <c r="A19042" s="17"/>
      <c r="H19042" s="18"/>
      <c r="K19042" s="18" t="s">
        <v>316</v>
      </c>
    </row>
    <row r="19043">
      <c r="A19043" s="17"/>
      <c r="H19043" s="18"/>
      <c r="K19043" s="18" t="s">
        <v>316</v>
      </c>
    </row>
    <row r="19044">
      <c r="A19044" s="17"/>
      <c r="H19044" s="18"/>
      <c r="K19044" s="18" t="s">
        <v>316</v>
      </c>
    </row>
    <row r="19045">
      <c r="A19045" s="17"/>
      <c r="H19045" s="18"/>
      <c r="K19045" s="18" t="s">
        <v>316</v>
      </c>
    </row>
    <row r="19046">
      <c r="A19046" s="17"/>
      <c r="H19046" s="18"/>
      <c r="K19046" s="18" t="s">
        <v>316</v>
      </c>
    </row>
    <row r="19047">
      <c r="A19047" s="17"/>
      <c r="H19047" s="18"/>
      <c r="K19047" s="18" t="s">
        <v>316</v>
      </c>
    </row>
    <row r="19048">
      <c r="A19048" s="17"/>
      <c r="H19048" s="18"/>
      <c r="K19048" s="18" t="s">
        <v>316</v>
      </c>
    </row>
    <row r="19049">
      <c r="A19049" s="17"/>
      <c r="H19049" s="18"/>
      <c r="K19049" s="18" t="s">
        <v>316</v>
      </c>
    </row>
    <row r="19050">
      <c r="A19050" s="17"/>
      <c r="H19050" s="18"/>
      <c r="K19050" s="18" t="s">
        <v>316</v>
      </c>
    </row>
    <row r="19051">
      <c r="A19051" s="17"/>
      <c r="H19051" s="18"/>
      <c r="K19051" s="18" t="s">
        <v>316</v>
      </c>
    </row>
    <row r="19052">
      <c r="A19052" s="17"/>
      <c r="H19052" s="18"/>
      <c r="K19052" s="18" t="s">
        <v>316</v>
      </c>
    </row>
    <row r="19053">
      <c r="A19053" s="17"/>
      <c r="H19053" s="18"/>
      <c r="K19053" s="18" t="s">
        <v>316</v>
      </c>
    </row>
    <row r="19054">
      <c r="A19054" s="17"/>
      <c r="H19054" s="18"/>
      <c r="K19054" s="18" t="s">
        <v>316</v>
      </c>
    </row>
    <row r="19055">
      <c r="A19055" s="17"/>
      <c r="H19055" s="18"/>
      <c r="K19055" s="18" t="s">
        <v>316</v>
      </c>
    </row>
    <row r="19056">
      <c r="A19056" s="17"/>
      <c r="H19056" s="18"/>
      <c r="K19056" s="18" t="s">
        <v>316</v>
      </c>
    </row>
    <row r="19057">
      <c r="A19057" s="17"/>
      <c r="H19057" s="18"/>
      <c r="K19057" s="18" t="s">
        <v>316</v>
      </c>
    </row>
    <row r="19058">
      <c r="A19058" s="17"/>
      <c r="H19058" s="18"/>
      <c r="K19058" s="18" t="s">
        <v>316</v>
      </c>
    </row>
    <row r="19059">
      <c r="A19059" s="17"/>
      <c r="H19059" s="18"/>
      <c r="K19059" s="18" t="s">
        <v>316</v>
      </c>
    </row>
    <row r="19060">
      <c r="A19060" s="17"/>
      <c r="H19060" s="18"/>
      <c r="K19060" s="18" t="s">
        <v>316</v>
      </c>
    </row>
    <row r="19061">
      <c r="A19061" s="17"/>
      <c r="H19061" s="18"/>
      <c r="K19061" s="18" t="s">
        <v>316</v>
      </c>
    </row>
    <row r="19062">
      <c r="A19062" s="17"/>
      <c r="H19062" s="18"/>
      <c r="K19062" s="18" t="s">
        <v>316</v>
      </c>
    </row>
    <row r="19063">
      <c r="A19063" s="17"/>
      <c r="H19063" s="18"/>
      <c r="K19063" s="18" t="s">
        <v>316</v>
      </c>
    </row>
    <row r="19064">
      <c r="A19064" s="17"/>
      <c r="H19064" s="18"/>
      <c r="K19064" s="18" t="s">
        <v>316</v>
      </c>
    </row>
    <row r="19065">
      <c r="A19065" s="17"/>
      <c r="H19065" s="18"/>
      <c r="K19065" s="18" t="s">
        <v>316</v>
      </c>
    </row>
    <row r="19066">
      <c r="A19066" s="17"/>
      <c r="H19066" s="18"/>
      <c r="K19066" s="18" t="s">
        <v>316</v>
      </c>
    </row>
    <row r="19067">
      <c r="A19067" s="17"/>
      <c r="H19067" s="18"/>
      <c r="K19067" s="18" t="s">
        <v>316</v>
      </c>
    </row>
    <row r="19068">
      <c r="A19068" s="17"/>
      <c r="H19068" s="18"/>
      <c r="K19068" s="18" t="s">
        <v>316</v>
      </c>
    </row>
    <row r="19069">
      <c r="A19069" s="17"/>
      <c r="H19069" s="18"/>
      <c r="K19069" s="18" t="s">
        <v>316</v>
      </c>
    </row>
    <row r="19070">
      <c r="A19070" s="17"/>
      <c r="H19070" s="18"/>
      <c r="K19070" s="18" t="s">
        <v>316</v>
      </c>
    </row>
    <row r="19071">
      <c r="A19071" s="17"/>
      <c r="H19071" s="18"/>
      <c r="K19071" s="18" t="s">
        <v>316</v>
      </c>
    </row>
    <row r="19072">
      <c r="A19072" s="17"/>
      <c r="H19072" s="18"/>
      <c r="K19072" s="18" t="s">
        <v>316</v>
      </c>
    </row>
    <row r="19073">
      <c r="A19073" s="17"/>
      <c r="H19073" s="18"/>
      <c r="K19073" s="18" t="s">
        <v>316</v>
      </c>
    </row>
    <row r="19074">
      <c r="A19074" s="17"/>
      <c r="H19074" s="18"/>
      <c r="K19074" s="18" t="s">
        <v>316</v>
      </c>
    </row>
    <row r="19075">
      <c r="A19075" s="17"/>
      <c r="H19075" s="18"/>
      <c r="K19075" s="18" t="s">
        <v>316</v>
      </c>
    </row>
    <row r="19076">
      <c r="A19076" s="17"/>
      <c r="H19076" s="18"/>
      <c r="K19076" s="18" t="s">
        <v>316</v>
      </c>
    </row>
    <row r="19077">
      <c r="A19077" s="17"/>
      <c r="H19077" s="18"/>
      <c r="K19077" s="18" t="s">
        <v>316</v>
      </c>
    </row>
    <row r="19078">
      <c r="A19078" s="17"/>
      <c r="H19078" s="18"/>
      <c r="K19078" s="18" t="s">
        <v>316</v>
      </c>
    </row>
    <row r="19079">
      <c r="A19079" s="17"/>
      <c r="H19079" s="18"/>
      <c r="K19079" s="18" t="s">
        <v>316</v>
      </c>
    </row>
    <row r="19080">
      <c r="A19080" s="17"/>
      <c r="H19080" s="18"/>
      <c r="K19080" s="18" t="s">
        <v>316</v>
      </c>
    </row>
    <row r="19081">
      <c r="A19081" s="17"/>
      <c r="H19081" s="18"/>
      <c r="K19081" s="18" t="s">
        <v>316</v>
      </c>
    </row>
    <row r="19082">
      <c r="A19082" s="17"/>
      <c r="H19082" s="18"/>
      <c r="K19082" s="18" t="s">
        <v>316</v>
      </c>
    </row>
    <row r="19083">
      <c r="A19083" s="17"/>
      <c r="H19083" s="18"/>
      <c r="K19083" s="18" t="s">
        <v>316</v>
      </c>
    </row>
    <row r="19084">
      <c r="A19084" s="17"/>
      <c r="H19084" s="18"/>
      <c r="K19084" s="18" t="s">
        <v>316</v>
      </c>
    </row>
    <row r="19085">
      <c r="A19085" s="17"/>
      <c r="H19085" s="18"/>
      <c r="K19085" s="18" t="s">
        <v>316</v>
      </c>
    </row>
    <row r="19086">
      <c r="A19086" s="17"/>
      <c r="H19086" s="18"/>
      <c r="K19086" s="18" t="s">
        <v>316</v>
      </c>
    </row>
    <row r="19087">
      <c r="A19087" s="17"/>
      <c r="H19087" s="18"/>
      <c r="K19087" s="18" t="s">
        <v>316</v>
      </c>
    </row>
    <row r="19088">
      <c r="A19088" s="17"/>
      <c r="H19088" s="18"/>
      <c r="K19088" s="18" t="s">
        <v>316</v>
      </c>
    </row>
    <row r="19089">
      <c r="A19089" s="17"/>
      <c r="H19089" s="18"/>
      <c r="K19089" s="18" t="s">
        <v>316</v>
      </c>
    </row>
    <row r="19090">
      <c r="A19090" s="17"/>
      <c r="H19090" s="18"/>
      <c r="K19090" s="18" t="s">
        <v>316</v>
      </c>
    </row>
    <row r="19091">
      <c r="A19091" s="17"/>
      <c r="H19091" s="18"/>
      <c r="K19091" s="18" t="s">
        <v>316</v>
      </c>
    </row>
    <row r="19092">
      <c r="A19092" s="17"/>
      <c r="H19092" s="18"/>
      <c r="K19092" s="18" t="s">
        <v>316</v>
      </c>
    </row>
    <row r="19093">
      <c r="A19093" s="17"/>
      <c r="H19093" s="18"/>
      <c r="K19093" s="18" t="s">
        <v>316</v>
      </c>
    </row>
    <row r="19094">
      <c r="A19094" s="17"/>
      <c r="H19094" s="18"/>
      <c r="K19094" s="18" t="s">
        <v>316</v>
      </c>
    </row>
    <row r="19095">
      <c r="A19095" s="17"/>
      <c r="H19095" s="18"/>
      <c r="K19095" s="18" t="s">
        <v>316</v>
      </c>
    </row>
    <row r="19096">
      <c r="A19096" s="17"/>
      <c r="H19096" s="18"/>
      <c r="K19096" s="18" t="s">
        <v>316</v>
      </c>
    </row>
    <row r="19097">
      <c r="A19097" s="17"/>
      <c r="H19097" s="18"/>
      <c r="K19097" s="18" t="s">
        <v>316</v>
      </c>
    </row>
    <row r="19098">
      <c r="A19098" s="17"/>
      <c r="H19098" s="18"/>
      <c r="K19098" s="18" t="s">
        <v>316</v>
      </c>
    </row>
    <row r="19099">
      <c r="A19099" s="17"/>
      <c r="H19099" s="18"/>
      <c r="K19099" s="18" t="s">
        <v>316</v>
      </c>
    </row>
    <row r="19100">
      <c r="A19100" s="17"/>
      <c r="H19100" s="18"/>
      <c r="K19100" s="18" t="s">
        <v>316</v>
      </c>
    </row>
    <row r="19101">
      <c r="A19101" s="17"/>
      <c r="H19101" s="18"/>
      <c r="K19101" s="18" t="s">
        <v>316</v>
      </c>
    </row>
    <row r="19102">
      <c r="A19102" s="17"/>
      <c r="H19102" s="18"/>
      <c r="K19102" s="18" t="s">
        <v>316</v>
      </c>
    </row>
    <row r="19103">
      <c r="A19103" s="17"/>
      <c r="H19103" s="18"/>
      <c r="K19103" s="18" t="s">
        <v>316</v>
      </c>
    </row>
    <row r="19104">
      <c r="A19104" s="17"/>
      <c r="H19104" s="18"/>
      <c r="K19104" s="18" t="s">
        <v>316</v>
      </c>
    </row>
    <row r="19105">
      <c r="A19105" s="17"/>
      <c r="H19105" s="18"/>
      <c r="K19105" s="18" t="s">
        <v>316</v>
      </c>
    </row>
    <row r="19106">
      <c r="A19106" s="17"/>
      <c r="H19106" s="18"/>
      <c r="K19106" s="18" t="s">
        <v>316</v>
      </c>
    </row>
    <row r="19107">
      <c r="A19107" s="17"/>
      <c r="H19107" s="18"/>
      <c r="K19107" s="18" t="s">
        <v>316</v>
      </c>
    </row>
    <row r="19108">
      <c r="A19108" s="17"/>
      <c r="H19108" s="18"/>
      <c r="K19108" s="18" t="s">
        <v>316</v>
      </c>
    </row>
    <row r="19109">
      <c r="A19109" s="17"/>
      <c r="H19109" s="18"/>
      <c r="K19109" s="18" t="s">
        <v>316</v>
      </c>
    </row>
    <row r="19110">
      <c r="A19110" s="17"/>
      <c r="H19110" s="18"/>
      <c r="K19110" s="18" t="s">
        <v>316</v>
      </c>
    </row>
    <row r="19111">
      <c r="A19111" s="17"/>
      <c r="H19111" s="18"/>
      <c r="K19111" s="18" t="s">
        <v>316</v>
      </c>
    </row>
    <row r="19112">
      <c r="A19112" s="17"/>
      <c r="H19112" s="18"/>
      <c r="K19112" s="18" t="s">
        <v>316</v>
      </c>
    </row>
    <row r="19113">
      <c r="A19113" s="17"/>
      <c r="H19113" s="18"/>
      <c r="K19113" s="18" t="s">
        <v>316</v>
      </c>
    </row>
    <row r="19114">
      <c r="A19114" s="17"/>
      <c r="H19114" s="18"/>
      <c r="K19114" s="18" t="s">
        <v>316</v>
      </c>
    </row>
    <row r="19115">
      <c r="A19115" s="17"/>
      <c r="H19115" s="18"/>
      <c r="K19115" s="18" t="s">
        <v>316</v>
      </c>
    </row>
    <row r="19116">
      <c r="A19116" s="17"/>
      <c r="H19116" s="18"/>
      <c r="K19116" s="18" t="s">
        <v>316</v>
      </c>
    </row>
    <row r="19117">
      <c r="A19117" s="17"/>
      <c r="H19117" s="18"/>
      <c r="K19117" s="18" t="s">
        <v>316</v>
      </c>
    </row>
    <row r="19118">
      <c r="A19118" s="17"/>
      <c r="H19118" s="18"/>
      <c r="K19118" s="18" t="s">
        <v>316</v>
      </c>
    </row>
    <row r="19119">
      <c r="A19119" s="17"/>
      <c r="H19119" s="18"/>
      <c r="K19119" s="18" t="s">
        <v>316</v>
      </c>
    </row>
    <row r="19120">
      <c r="A19120" s="17"/>
      <c r="H19120" s="18"/>
      <c r="K19120" s="18" t="s">
        <v>316</v>
      </c>
    </row>
    <row r="19121">
      <c r="A19121" s="17"/>
      <c r="H19121" s="18"/>
      <c r="K19121" s="18" t="s">
        <v>316</v>
      </c>
    </row>
    <row r="19122">
      <c r="A19122" s="17"/>
      <c r="H19122" s="18"/>
      <c r="K19122" s="18" t="s">
        <v>316</v>
      </c>
    </row>
    <row r="19123">
      <c r="A19123" s="17"/>
      <c r="H19123" s="18"/>
      <c r="K19123" s="18" t="s">
        <v>316</v>
      </c>
    </row>
    <row r="19124">
      <c r="A19124" s="17"/>
      <c r="H19124" s="18"/>
      <c r="K19124" s="18" t="s">
        <v>316</v>
      </c>
    </row>
    <row r="19125">
      <c r="A19125" s="17"/>
      <c r="H19125" s="18"/>
      <c r="K19125" s="18" t="s">
        <v>316</v>
      </c>
    </row>
    <row r="19126">
      <c r="A19126" s="17"/>
      <c r="H19126" s="18"/>
      <c r="K19126" s="18" t="s">
        <v>316</v>
      </c>
    </row>
    <row r="19127">
      <c r="A19127" s="17"/>
      <c r="H19127" s="18"/>
      <c r="K19127" s="18" t="s">
        <v>316</v>
      </c>
    </row>
    <row r="19128">
      <c r="A19128" s="17"/>
      <c r="H19128" s="18"/>
      <c r="K19128" s="18" t="s">
        <v>316</v>
      </c>
    </row>
    <row r="19129">
      <c r="A19129" s="17"/>
      <c r="H19129" s="18"/>
      <c r="K19129" s="18" t="s">
        <v>316</v>
      </c>
    </row>
    <row r="19130">
      <c r="A19130" s="17"/>
      <c r="H19130" s="18"/>
      <c r="K19130" s="18" t="s">
        <v>316</v>
      </c>
    </row>
    <row r="19131">
      <c r="A19131" s="17"/>
      <c r="H19131" s="18"/>
      <c r="K19131" s="18" t="s">
        <v>316</v>
      </c>
    </row>
    <row r="19132">
      <c r="A19132" s="17"/>
      <c r="H19132" s="18"/>
      <c r="K19132" s="18" t="s">
        <v>316</v>
      </c>
    </row>
    <row r="19133">
      <c r="A19133" s="17"/>
      <c r="H19133" s="18"/>
      <c r="K19133" s="18" t="s">
        <v>316</v>
      </c>
    </row>
    <row r="19134">
      <c r="A19134" s="17"/>
      <c r="H19134" s="18"/>
      <c r="K19134" s="18" t="s">
        <v>316</v>
      </c>
    </row>
    <row r="19135">
      <c r="A19135" s="17"/>
      <c r="H19135" s="18"/>
      <c r="K19135" s="18" t="s">
        <v>316</v>
      </c>
    </row>
    <row r="19136">
      <c r="A19136" s="17"/>
      <c r="H19136" s="18"/>
      <c r="K19136" s="18" t="s">
        <v>316</v>
      </c>
    </row>
    <row r="19137">
      <c r="A19137" s="17"/>
      <c r="H19137" s="18"/>
      <c r="K19137" s="18" t="s">
        <v>316</v>
      </c>
    </row>
    <row r="19138">
      <c r="A19138" s="17"/>
      <c r="H19138" s="18"/>
      <c r="K19138" s="18" t="s">
        <v>316</v>
      </c>
    </row>
    <row r="19139">
      <c r="A19139" s="17"/>
      <c r="H19139" s="18"/>
      <c r="K19139" s="18" t="s">
        <v>316</v>
      </c>
    </row>
    <row r="19140">
      <c r="A19140" s="17"/>
      <c r="H19140" s="18"/>
      <c r="K19140" s="18" t="s">
        <v>316</v>
      </c>
    </row>
    <row r="19141">
      <c r="A19141" s="17"/>
      <c r="H19141" s="18"/>
      <c r="K19141" s="18" t="s">
        <v>316</v>
      </c>
    </row>
    <row r="19142">
      <c r="A19142" s="17"/>
      <c r="H19142" s="18"/>
      <c r="K19142" s="18" t="s">
        <v>316</v>
      </c>
    </row>
    <row r="19143">
      <c r="A19143" s="17"/>
      <c r="H19143" s="18"/>
      <c r="K19143" s="18" t="s">
        <v>316</v>
      </c>
    </row>
    <row r="19144">
      <c r="A19144" s="17"/>
      <c r="H19144" s="18"/>
      <c r="K19144" s="18" t="s">
        <v>316</v>
      </c>
    </row>
    <row r="19145">
      <c r="A19145" s="17"/>
      <c r="H19145" s="18"/>
      <c r="K19145" s="18" t="s">
        <v>316</v>
      </c>
    </row>
    <row r="19146">
      <c r="A19146" s="17"/>
      <c r="H19146" s="18"/>
      <c r="K19146" s="18" t="s">
        <v>316</v>
      </c>
    </row>
    <row r="19147">
      <c r="A19147" s="17"/>
      <c r="H19147" s="18"/>
      <c r="K19147" s="18" t="s">
        <v>316</v>
      </c>
    </row>
    <row r="19148">
      <c r="A19148" s="17"/>
      <c r="H19148" s="18"/>
      <c r="K19148" s="18" t="s">
        <v>316</v>
      </c>
    </row>
    <row r="19149">
      <c r="A19149" s="17"/>
      <c r="H19149" s="18"/>
      <c r="K19149" s="18" t="s">
        <v>316</v>
      </c>
    </row>
    <row r="19150">
      <c r="A19150" s="17"/>
      <c r="H19150" s="18"/>
      <c r="K19150" s="18" t="s">
        <v>316</v>
      </c>
    </row>
    <row r="19151">
      <c r="A19151" s="17"/>
      <c r="H19151" s="18"/>
      <c r="K19151" s="18" t="s">
        <v>316</v>
      </c>
    </row>
    <row r="19152">
      <c r="A19152" s="17"/>
      <c r="H19152" s="18"/>
      <c r="K19152" s="18" t="s">
        <v>316</v>
      </c>
    </row>
    <row r="19153">
      <c r="A19153" s="17"/>
      <c r="H19153" s="18"/>
      <c r="K19153" s="18" t="s">
        <v>316</v>
      </c>
    </row>
    <row r="19154">
      <c r="A19154" s="17"/>
      <c r="H19154" s="18"/>
      <c r="K19154" s="18" t="s">
        <v>316</v>
      </c>
    </row>
    <row r="19155">
      <c r="A19155" s="17"/>
      <c r="H19155" s="18"/>
      <c r="K19155" s="18" t="s">
        <v>316</v>
      </c>
    </row>
    <row r="19156">
      <c r="A19156" s="17"/>
      <c r="H19156" s="18"/>
      <c r="K19156" s="18" t="s">
        <v>316</v>
      </c>
    </row>
    <row r="19157">
      <c r="A19157" s="17"/>
      <c r="H19157" s="18"/>
      <c r="K19157" s="18" t="s">
        <v>316</v>
      </c>
    </row>
    <row r="19158">
      <c r="A19158" s="17"/>
      <c r="H19158" s="18"/>
      <c r="K19158" s="18" t="s">
        <v>316</v>
      </c>
    </row>
    <row r="19159">
      <c r="A19159" s="17"/>
      <c r="H19159" s="18"/>
      <c r="K19159" s="18" t="s">
        <v>316</v>
      </c>
    </row>
    <row r="19160">
      <c r="A19160" s="17"/>
      <c r="H19160" s="18"/>
      <c r="K19160" s="18" t="s">
        <v>316</v>
      </c>
    </row>
    <row r="19161">
      <c r="A19161" s="17"/>
      <c r="H19161" s="18"/>
      <c r="K19161" s="18" t="s">
        <v>316</v>
      </c>
    </row>
    <row r="19162">
      <c r="A19162" s="17"/>
      <c r="H19162" s="18"/>
      <c r="K19162" s="18" t="s">
        <v>316</v>
      </c>
    </row>
    <row r="19163">
      <c r="A19163" s="17"/>
      <c r="H19163" s="18"/>
      <c r="K19163" s="18" t="s">
        <v>316</v>
      </c>
    </row>
    <row r="19164">
      <c r="A19164" s="17"/>
      <c r="H19164" s="18"/>
      <c r="K19164" s="18" t="s">
        <v>316</v>
      </c>
    </row>
    <row r="19165">
      <c r="A19165" s="17"/>
      <c r="H19165" s="18"/>
      <c r="K19165" s="18" t="s">
        <v>316</v>
      </c>
    </row>
    <row r="19166">
      <c r="A19166" s="17"/>
      <c r="H19166" s="18"/>
      <c r="K19166" s="18" t="s">
        <v>316</v>
      </c>
    </row>
    <row r="19167">
      <c r="A19167" s="17"/>
      <c r="H19167" s="18"/>
      <c r="K19167" s="18" t="s">
        <v>316</v>
      </c>
    </row>
    <row r="19168">
      <c r="A19168" s="17"/>
      <c r="H19168" s="18"/>
      <c r="K19168" s="18" t="s">
        <v>316</v>
      </c>
    </row>
    <row r="19169">
      <c r="A19169" s="17"/>
      <c r="H19169" s="18"/>
      <c r="K19169" s="18" t="s">
        <v>316</v>
      </c>
    </row>
    <row r="19170">
      <c r="A19170" s="17"/>
      <c r="H19170" s="18"/>
      <c r="K19170" s="18" t="s">
        <v>316</v>
      </c>
    </row>
    <row r="19171">
      <c r="A19171" s="17"/>
      <c r="H19171" s="18"/>
      <c r="K19171" s="18" t="s">
        <v>316</v>
      </c>
    </row>
    <row r="19172">
      <c r="A19172" s="17"/>
      <c r="H19172" s="18"/>
      <c r="K19172" s="18" t="s">
        <v>316</v>
      </c>
    </row>
    <row r="19173">
      <c r="A19173" s="17"/>
      <c r="H19173" s="18"/>
      <c r="K19173" s="18" t="s">
        <v>316</v>
      </c>
    </row>
    <row r="19174">
      <c r="A19174" s="17"/>
      <c r="H19174" s="18"/>
      <c r="K19174" s="18" t="s">
        <v>316</v>
      </c>
    </row>
    <row r="19175">
      <c r="A19175" s="17"/>
      <c r="H19175" s="18"/>
      <c r="K19175" s="18" t="s">
        <v>316</v>
      </c>
    </row>
    <row r="19176">
      <c r="A19176" s="17"/>
      <c r="H19176" s="18"/>
      <c r="K19176" s="18" t="s">
        <v>316</v>
      </c>
    </row>
    <row r="19177">
      <c r="A19177" s="17"/>
      <c r="H19177" s="18"/>
      <c r="K19177" s="18" t="s">
        <v>316</v>
      </c>
    </row>
    <row r="19178">
      <c r="A19178" s="17"/>
      <c r="H19178" s="18"/>
      <c r="K19178" s="18" t="s">
        <v>316</v>
      </c>
    </row>
    <row r="19179">
      <c r="A19179" s="17"/>
      <c r="H19179" s="18"/>
      <c r="K19179" s="18" t="s">
        <v>316</v>
      </c>
    </row>
    <row r="19180">
      <c r="A19180" s="17"/>
      <c r="H19180" s="18"/>
      <c r="K19180" s="18" t="s">
        <v>316</v>
      </c>
    </row>
    <row r="19181">
      <c r="A19181" s="17"/>
      <c r="H19181" s="18"/>
      <c r="K19181" s="18" t="s">
        <v>316</v>
      </c>
    </row>
    <row r="19182">
      <c r="A19182" s="17"/>
      <c r="H19182" s="18"/>
      <c r="K19182" s="18" t="s">
        <v>316</v>
      </c>
    </row>
    <row r="19183">
      <c r="A19183" s="17"/>
      <c r="H19183" s="18"/>
      <c r="K19183" s="18" t="s">
        <v>316</v>
      </c>
    </row>
    <row r="19184">
      <c r="A19184" s="17"/>
      <c r="H19184" s="18"/>
      <c r="K19184" s="18" t="s">
        <v>316</v>
      </c>
    </row>
    <row r="19185">
      <c r="A19185" s="17"/>
      <c r="H19185" s="18"/>
      <c r="K19185" s="18" t="s">
        <v>316</v>
      </c>
    </row>
    <row r="19186">
      <c r="A19186" s="17"/>
      <c r="H19186" s="18"/>
      <c r="K19186" s="18" t="s">
        <v>316</v>
      </c>
    </row>
    <row r="19187">
      <c r="A19187" s="17"/>
      <c r="H19187" s="18"/>
      <c r="K19187" s="18" t="s">
        <v>316</v>
      </c>
    </row>
    <row r="19188">
      <c r="A19188" s="17"/>
      <c r="H19188" s="18"/>
      <c r="K19188" s="18" t="s">
        <v>316</v>
      </c>
    </row>
    <row r="19189">
      <c r="A19189" s="17"/>
      <c r="H19189" s="18"/>
      <c r="K19189" s="18" t="s">
        <v>316</v>
      </c>
    </row>
    <row r="19190">
      <c r="A19190" s="17"/>
      <c r="H19190" s="18"/>
      <c r="K19190" s="18" t="s">
        <v>316</v>
      </c>
    </row>
    <row r="19191">
      <c r="A19191" s="17"/>
      <c r="H19191" s="18"/>
      <c r="K19191" s="18" t="s">
        <v>316</v>
      </c>
    </row>
    <row r="19192">
      <c r="A19192" s="17"/>
      <c r="H19192" s="18"/>
      <c r="K19192" s="18" t="s">
        <v>316</v>
      </c>
    </row>
    <row r="19193">
      <c r="A19193" s="17"/>
      <c r="H19193" s="18"/>
      <c r="K19193" s="18" t="s">
        <v>316</v>
      </c>
    </row>
    <row r="19194">
      <c r="A19194" s="17"/>
      <c r="H19194" s="18"/>
      <c r="K19194" s="18" t="s">
        <v>316</v>
      </c>
    </row>
    <row r="19195">
      <c r="A19195" s="17"/>
      <c r="H19195" s="18"/>
      <c r="K19195" s="18" t="s">
        <v>316</v>
      </c>
    </row>
    <row r="19196">
      <c r="A19196" s="17"/>
      <c r="H19196" s="18"/>
      <c r="K19196" s="18" t="s">
        <v>316</v>
      </c>
    </row>
    <row r="19197">
      <c r="A19197" s="17"/>
      <c r="H19197" s="18"/>
      <c r="K19197" s="18" t="s">
        <v>316</v>
      </c>
    </row>
    <row r="19198">
      <c r="A19198" s="17"/>
      <c r="H19198" s="18"/>
      <c r="K19198" s="18" t="s">
        <v>316</v>
      </c>
    </row>
    <row r="19199">
      <c r="A19199" s="17"/>
      <c r="H19199" s="18"/>
      <c r="K19199" s="18" t="s">
        <v>316</v>
      </c>
    </row>
    <row r="19200">
      <c r="A19200" s="17"/>
      <c r="H19200" s="18"/>
      <c r="K19200" s="18" t="s">
        <v>316</v>
      </c>
    </row>
    <row r="19201">
      <c r="A19201" s="17"/>
      <c r="H19201" s="18"/>
      <c r="K19201" s="18" t="s">
        <v>316</v>
      </c>
    </row>
    <row r="19202">
      <c r="A19202" s="17"/>
      <c r="H19202" s="18"/>
      <c r="K19202" s="18" t="s">
        <v>316</v>
      </c>
    </row>
    <row r="19203">
      <c r="A19203" s="17"/>
      <c r="H19203" s="18"/>
      <c r="K19203" s="18" t="s">
        <v>316</v>
      </c>
    </row>
    <row r="19204">
      <c r="A19204" s="17"/>
      <c r="H19204" s="18"/>
      <c r="K19204" s="18" t="s">
        <v>316</v>
      </c>
    </row>
    <row r="19205">
      <c r="A19205" s="17"/>
      <c r="H19205" s="18"/>
      <c r="K19205" s="18" t="s">
        <v>316</v>
      </c>
    </row>
    <row r="19206">
      <c r="A19206" s="17"/>
      <c r="H19206" s="18"/>
      <c r="K19206" s="18" t="s">
        <v>316</v>
      </c>
    </row>
    <row r="19207">
      <c r="A19207" s="17"/>
      <c r="H19207" s="18"/>
      <c r="K19207" s="18" t="s">
        <v>316</v>
      </c>
    </row>
    <row r="19208">
      <c r="A19208" s="17"/>
      <c r="H19208" s="18"/>
      <c r="K19208" s="18" t="s">
        <v>316</v>
      </c>
    </row>
    <row r="19209">
      <c r="A19209" s="17"/>
      <c r="H19209" s="18"/>
      <c r="K19209" s="18" t="s">
        <v>316</v>
      </c>
    </row>
    <row r="19210">
      <c r="A19210" s="17"/>
      <c r="H19210" s="18"/>
      <c r="K19210" s="18" t="s">
        <v>316</v>
      </c>
    </row>
    <row r="19211">
      <c r="A19211" s="17"/>
      <c r="H19211" s="18"/>
      <c r="K19211" s="18" t="s">
        <v>316</v>
      </c>
    </row>
    <row r="19212">
      <c r="A19212" s="17"/>
      <c r="H19212" s="18"/>
      <c r="K19212" s="18" t="s">
        <v>316</v>
      </c>
    </row>
    <row r="19213">
      <c r="A19213" s="17"/>
      <c r="H19213" s="18"/>
      <c r="K19213" s="18" t="s">
        <v>316</v>
      </c>
    </row>
    <row r="19214">
      <c r="A19214" s="17"/>
      <c r="H19214" s="18"/>
      <c r="K19214" s="18" t="s">
        <v>316</v>
      </c>
    </row>
    <row r="19215">
      <c r="A19215" s="17"/>
      <c r="H19215" s="18"/>
      <c r="K19215" s="18" t="s">
        <v>316</v>
      </c>
    </row>
    <row r="19216">
      <c r="A19216" s="17"/>
      <c r="H19216" s="18"/>
      <c r="K19216" s="18" t="s">
        <v>316</v>
      </c>
    </row>
    <row r="19217">
      <c r="A19217" s="17"/>
      <c r="H19217" s="18"/>
      <c r="K19217" s="18" t="s">
        <v>316</v>
      </c>
    </row>
    <row r="19218">
      <c r="A19218" s="17"/>
      <c r="H19218" s="18"/>
      <c r="K19218" s="18" t="s">
        <v>316</v>
      </c>
    </row>
    <row r="19219">
      <c r="A19219" s="17"/>
      <c r="H19219" s="18"/>
      <c r="K19219" s="18" t="s">
        <v>316</v>
      </c>
    </row>
    <row r="19220">
      <c r="A19220" s="17"/>
      <c r="H19220" s="18"/>
      <c r="K19220" s="18" t="s">
        <v>316</v>
      </c>
    </row>
    <row r="19221">
      <c r="A19221" s="17"/>
      <c r="H19221" s="18"/>
      <c r="K19221" s="18" t="s">
        <v>316</v>
      </c>
    </row>
    <row r="19222">
      <c r="A19222" s="17"/>
      <c r="H19222" s="18"/>
      <c r="K19222" s="18" t="s">
        <v>316</v>
      </c>
    </row>
    <row r="19223">
      <c r="A19223" s="17"/>
      <c r="H19223" s="18"/>
      <c r="K19223" s="18" t="s">
        <v>316</v>
      </c>
    </row>
    <row r="19224">
      <c r="A19224" s="17"/>
      <c r="H19224" s="18"/>
      <c r="K19224" s="18" t="s">
        <v>316</v>
      </c>
    </row>
    <row r="19225">
      <c r="A19225" s="17"/>
      <c r="H19225" s="18"/>
      <c r="K19225" s="18" t="s">
        <v>316</v>
      </c>
    </row>
    <row r="19226">
      <c r="A19226" s="17"/>
      <c r="H19226" s="18"/>
      <c r="K19226" s="18" t="s">
        <v>316</v>
      </c>
    </row>
    <row r="19227">
      <c r="A19227" s="17"/>
      <c r="H19227" s="18"/>
      <c r="K19227" s="18" t="s">
        <v>316</v>
      </c>
    </row>
    <row r="19228">
      <c r="A19228" s="17"/>
      <c r="H19228" s="18"/>
      <c r="K19228" s="18" t="s">
        <v>316</v>
      </c>
    </row>
    <row r="19229">
      <c r="A19229" s="17"/>
      <c r="H19229" s="18"/>
      <c r="K19229" s="18" t="s">
        <v>316</v>
      </c>
    </row>
    <row r="19230">
      <c r="A19230" s="17"/>
      <c r="H19230" s="18"/>
      <c r="K19230" s="18" t="s">
        <v>316</v>
      </c>
    </row>
    <row r="19231">
      <c r="A19231" s="17"/>
      <c r="H19231" s="18"/>
      <c r="K19231" s="18" t="s">
        <v>316</v>
      </c>
    </row>
    <row r="19232">
      <c r="A19232" s="17"/>
      <c r="H19232" s="18"/>
      <c r="K19232" s="18" t="s">
        <v>316</v>
      </c>
    </row>
    <row r="19233">
      <c r="A19233" s="17"/>
      <c r="H19233" s="18"/>
      <c r="K19233" s="18" t="s">
        <v>316</v>
      </c>
    </row>
    <row r="19234">
      <c r="A19234" s="17"/>
      <c r="H19234" s="18"/>
      <c r="K19234" s="18" t="s">
        <v>316</v>
      </c>
    </row>
    <row r="19235">
      <c r="A19235" s="17"/>
      <c r="H19235" s="18"/>
      <c r="K19235" s="18" t="s">
        <v>316</v>
      </c>
    </row>
    <row r="19236">
      <c r="A19236" s="17"/>
      <c r="H19236" s="18"/>
      <c r="K19236" s="18" t="s">
        <v>316</v>
      </c>
    </row>
    <row r="19237">
      <c r="A19237" s="17"/>
      <c r="H19237" s="18"/>
      <c r="K19237" s="18" t="s">
        <v>316</v>
      </c>
    </row>
    <row r="19238">
      <c r="A19238" s="17"/>
      <c r="H19238" s="18"/>
      <c r="K19238" s="18" t="s">
        <v>316</v>
      </c>
    </row>
    <row r="19239">
      <c r="A19239" s="17"/>
      <c r="H19239" s="18"/>
      <c r="K19239" s="18" t="s">
        <v>316</v>
      </c>
    </row>
    <row r="19240">
      <c r="A19240" s="17"/>
      <c r="H19240" s="18"/>
      <c r="K19240" s="18" t="s">
        <v>316</v>
      </c>
    </row>
    <row r="19241">
      <c r="A19241" s="17"/>
      <c r="H19241" s="18"/>
      <c r="K19241" s="18" t="s">
        <v>316</v>
      </c>
    </row>
    <row r="19242">
      <c r="A19242" s="17"/>
      <c r="H19242" s="18"/>
      <c r="K19242" s="18" t="s">
        <v>316</v>
      </c>
    </row>
    <row r="19243">
      <c r="A19243" s="17"/>
      <c r="H19243" s="18"/>
      <c r="K19243" s="18" t="s">
        <v>316</v>
      </c>
    </row>
    <row r="19244">
      <c r="A19244" s="17"/>
      <c r="H19244" s="18"/>
      <c r="K19244" s="18" t="s">
        <v>316</v>
      </c>
    </row>
    <row r="19245">
      <c r="A19245" s="17"/>
      <c r="H19245" s="18"/>
      <c r="K19245" s="18" t="s">
        <v>316</v>
      </c>
    </row>
    <row r="19246">
      <c r="A19246" s="17"/>
      <c r="H19246" s="18"/>
      <c r="K19246" s="18" t="s">
        <v>316</v>
      </c>
    </row>
    <row r="19247">
      <c r="A19247" s="17"/>
      <c r="H19247" s="18"/>
      <c r="K19247" s="18" t="s">
        <v>316</v>
      </c>
    </row>
    <row r="19248">
      <c r="A19248" s="17"/>
      <c r="H19248" s="18"/>
      <c r="K19248" s="18" t="s">
        <v>316</v>
      </c>
    </row>
    <row r="19249">
      <c r="A19249" s="17"/>
      <c r="H19249" s="18"/>
      <c r="K19249" s="18" t="s">
        <v>316</v>
      </c>
    </row>
    <row r="19250">
      <c r="A19250" s="17"/>
      <c r="H19250" s="18"/>
      <c r="K19250" s="18" t="s">
        <v>316</v>
      </c>
    </row>
    <row r="19251">
      <c r="A19251" s="17"/>
      <c r="H19251" s="18"/>
      <c r="K19251" s="18" t="s">
        <v>316</v>
      </c>
    </row>
    <row r="19252">
      <c r="A19252" s="17"/>
      <c r="H19252" s="18"/>
      <c r="K19252" s="18" t="s">
        <v>316</v>
      </c>
    </row>
    <row r="19253">
      <c r="A19253" s="17"/>
      <c r="H19253" s="18"/>
      <c r="K19253" s="18" t="s">
        <v>316</v>
      </c>
    </row>
    <row r="19254">
      <c r="A19254" s="17"/>
      <c r="H19254" s="18"/>
      <c r="K19254" s="18" t="s">
        <v>316</v>
      </c>
    </row>
    <row r="19255">
      <c r="A19255" s="17"/>
      <c r="H19255" s="18"/>
      <c r="K19255" s="18" t="s">
        <v>316</v>
      </c>
    </row>
    <row r="19256">
      <c r="A19256" s="17"/>
      <c r="H19256" s="18"/>
      <c r="K19256" s="18" t="s">
        <v>316</v>
      </c>
    </row>
    <row r="19257">
      <c r="A19257" s="17"/>
      <c r="H19257" s="18"/>
      <c r="K19257" s="18" t="s">
        <v>316</v>
      </c>
    </row>
    <row r="19258">
      <c r="A19258" s="17"/>
      <c r="H19258" s="18"/>
      <c r="K19258" s="18" t="s">
        <v>316</v>
      </c>
    </row>
    <row r="19259">
      <c r="A19259" s="17"/>
      <c r="H19259" s="18"/>
      <c r="K19259" s="18" t="s">
        <v>316</v>
      </c>
    </row>
    <row r="19260">
      <c r="A19260" s="17"/>
      <c r="H19260" s="18"/>
      <c r="K19260" s="18" t="s">
        <v>316</v>
      </c>
    </row>
    <row r="19261">
      <c r="A19261" s="17"/>
      <c r="H19261" s="18"/>
      <c r="K19261" s="18" t="s">
        <v>316</v>
      </c>
    </row>
    <row r="19262">
      <c r="A19262" s="17"/>
      <c r="H19262" s="18"/>
      <c r="K19262" s="18" t="s">
        <v>316</v>
      </c>
    </row>
    <row r="19263">
      <c r="A19263" s="17"/>
      <c r="H19263" s="18"/>
      <c r="K19263" s="18" t="s">
        <v>316</v>
      </c>
    </row>
    <row r="19264">
      <c r="A19264" s="17"/>
      <c r="H19264" s="18"/>
      <c r="K19264" s="18" t="s">
        <v>316</v>
      </c>
    </row>
    <row r="19265">
      <c r="A19265" s="17"/>
      <c r="H19265" s="18"/>
      <c r="K19265" s="18" t="s">
        <v>316</v>
      </c>
    </row>
    <row r="19266">
      <c r="A19266" s="17"/>
      <c r="H19266" s="18"/>
      <c r="K19266" s="18" t="s">
        <v>316</v>
      </c>
    </row>
    <row r="19267">
      <c r="A19267" s="17"/>
      <c r="H19267" s="18"/>
      <c r="K19267" s="18" t="s">
        <v>316</v>
      </c>
    </row>
    <row r="19268">
      <c r="A19268" s="17"/>
      <c r="H19268" s="18"/>
      <c r="K19268" s="18" t="s">
        <v>316</v>
      </c>
    </row>
    <row r="19269">
      <c r="A19269" s="17"/>
      <c r="H19269" s="18"/>
      <c r="K19269" s="18" t="s">
        <v>316</v>
      </c>
    </row>
    <row r="19270">
      <c r="A19270" s="17"/>
      <c r="H19270" s="18"/>
      <c r="K19270" s="18" t="s">
        <v>316</v>
      </c>
    </row>
    <row r="19271">
      <c r="A19271" s="17"/>
      <c r="H19271" s="18"/>
      <c r="K19271" s="18" t="s">
        <v>316</v>
      </c>
    </row>
    <row r="19272">
      <c r="A19272" s="17"/>
      <c r="H19272" s="18"/>
      <c r="K19272" s="18" t="s">
        <v>316</v>
      </c>
    </row>
    <row r="19273">
      <c r="A19273" s="17"/>
      <c r="H19273" s="18"/>
      <c r="K19273" s="18" t="s">
        <v>316</v>
      </c>
    </row>
    <row r="19274">
      <c r="A19274" s="17"/>
      <c r="H19274" s="18"/>
      <c r="K19274" s="18" t="s">
        <v>316</v>
      </c>
    </row>
    <row r="19275">
      <c r="A19275" s="17"/>
      <c r="H19275" s="18"/>
      <c r="K19275" s="18" t="s">
        <v>316</v>
      </c>
    </row>
    <row r="19276">
      <c r="A19276" s="17"/>
      <c r="H19276" s="18"/>
      <c r="K19276" s="18" t="s">
        <v>316</v>
      </c>
    </row>
    <row r="19277">
      <c r="A19277" s="17"/>
      <c r="H19277" s="18"/>
      <c r="K19277" s="18" t="s">
        <v>316</v>
      </c>
    </row>
    <row r="19278">
      <c r="A19278" s="17"/>
      <c r="H19278" s="18"/>
      <c r="K19278" s="18" t="s">
        <v>316</v>
      </c>
    </row>
    <row r="19279">
      <c r="A19279" s="17"/>
      <c r="H19279" s="18"/>
      <c r="K19279" s="18" t="s">
        <v>316</v>
      </c>
    </row>
    <row r="19280">
      <c r="A19280" s="17"/>
      <c r="H19280" s="18"/>
      <c r="K19280" s="18" t="s">
        <v>316</v>
      </c>
    </row>
    <row r="19281">
      <c r="A19281" s="17"/>
      <c r="H19281" s="18"/>
      <c r="K19281" s="18" t="s">
        <v>316</v>
      </c>
    </row>
    <row r="19282">
      <c r="A19282" s="17"/>
      <c r="H19282" s="18"/>
      <c r="K19282" s="18" t="s">
        <v>316</v>
      </c>
    </row>
    <row r="19283">
      <c r="A19283" s="17"/>
      <c r="H19283" s="18"/>
      <c r="K19283" s="18" t="s">
        <v>316</v>
      </c>
    </row>
    <row r="19284">
      <c r="A19284" s="17"/>
      <c r="H19284" s="18"/>
      <c r="K19284" s="18" t="s">
        <v>316</v>
      </c>
    </row>
    <row r="19285">
      <c r="A19285" s="17"/>
      <c r="H19285" s="18"/>
      <c r="K19285" s="18" t="s">
        <v>316</v>
      </c>
    </row>
    <row r="19286">
      <c r="A19286" s="17"/>
      <c r="H19286" s="18"/>
      <c r="K19286" s="18" t="s">
        <v>316</v>
      </c>
    </row>
    <row r="19287">
      <c r="A19287" s="17"/>
      <c r="H19287" s="18"/>
      <c r="K19287" s="18" t="s">
        <v>316</v>
      </c>
    </row>
    <row r="19288">
      <c r="A19288" s="17"/>
      <c r="H19288" s="18"/>
      <c r="K19288" s="18" t="s">
        <v>316</v>
      </c>
    </row>
    <row r="19289">
      <c r="A19289" s="17"/>
      <c r="H19289" s="18"/>
      <c r="K19289" s="18" t="s">
        <v>316</v>
      </c>
    </row>
    <row r="19290">
      <c r="A19290" s="17"/>
      <c r="H19290" s="18"/>
      <c r="K19290" s="18" t="s">
        <v>316</v>
      </c>
    </row>
    <row r="19291">
      <c r="A19291" s="17"/>
      <c r="H19291" s="18"/>
      <c r="K19291" s="18" t="s">
        <v>316</v>
      </c>
    </row>
    <row r="19292">
      <c r="A19292" s="17"/>
      <c r="H19292" s="18"/>
      <c r="K19292" s="18" t="s">
        <v>316</v>
      </c>
    </row>
    <row r="19293">
      <c r="A19293" s="17"/>
      <c r="H19293" s="18"/>
      <c r="K19293" s="18" t="s">
        <v>316</v>
      </c>
    </row>
    <row r="19294">
      <c r="A19294" s="17"/>
      <c r="H19294" s="18"/>
      <c r="K19294" s="18" t="s">
        <v>316</v>
      </c>
    </row>
    <row r="19295">
      <c r="A19295" s="17"/>
      <c r="H19295" s="18"/>
      <c r="K19295" s="18" t="s">
        <v>316</v>
      </c>
    </row>
    <row r="19296">
      <c r="A19296" s="17"/>
      <c r="H19296" s="18"/>
      <c r="K19296" s="18" t="s">
        <v>316</v>
      </c>
    </row>
    <row r="19297">
      <c r="A19297" s="17"/>
      <c r="H19297" s="18"/>
      <c r="K19297" s="18" t="s">
        <v>316</v>
      </c>
    </row>
    <row r="19298">
      <c r="A19298" s="17"/>
      <c r="H19298" s="18"/>
      <c r="K19298" s="18" t="s">
        <v>316</v>
      </c>
    </row>
    <row r="19299">
      <c r="A19299" s="17"/>
      <c r="H19299" s="18"/>
      <c r="K19299" s="18" t="s">
        <v>316</v>
      </c>
    </row>
    <row r="19300">
      <c r="A19300" s="17"/>
      <c r="H19300" s="18"/>
      <c r="K19300" s="18" t="s">
        <v>316</v>
      </c>
    </row>
    <row r="19301">
      <c r="A19301" s="17"/>
      <c r="H19301" s="18"/>
      <c r="K19301" s="18" t="s">
        <v>316</v>
      </c>
    </row>
    <row r="19302">
      <c r="A19302" s="17"/>
      <c r="H19302" s="18"/>
      <c r="K19302" s="18" t="s">
        <v>316</v>
      </c>
    </row>
    <row r="19303">
      <c r="A19303" s="17"/>
      <c r="H19303" s="18"/>
      <c r="K19303" s="18" t="s">
        <v>316</v>
      </c>
    </row>
    <row r="19304">
      <c r="A19304" s="17"/>
      <c r="H19304" s="18"/>
      <c r="K19304" s="18" t="s">
        <v>316</v>
      </c>
    </row>
    <row r="19305">
      <c r="A19305" s="17"/>
      <c r="H19305" s="18"/>
      <c r="K19305" s="18" t="s">
        <v>316</v>
      </c>
    </row>
    <row r="19306">
      <c r="A19306" s="17"/>
      <c r="H19306" s="18"/>
      <c r="K19306" s="18" t="s">
        <v>316</v>
      </c>
    </row>
    <row r="19307">
      <c r="A19307" s="17"/>
      <c r="H19307" s="18"/>
      <c r="K19307" s="18" t="s">
        <v>316</v>
      </c>
    </row>
    <row r="19308">
      <c r="A19308" s="17"/>
      <c r="H19308" s="18"/>
      <c r="K19308" s="18" t="s">
        <v>316</v>
      </c>
    </row>
    <row r="19309">
      <c r="A19309" s="17"/>
      <c r="H19309" s="18"/>
      <c r="K19309" s="18" t="s">
        <v>316</v>
      </c>
    </row>
    <row r="19310">
      <c r="A19310" s="17"/>
      <c r="H19310" s="18"/>
      <c r="K19310" s="18" t="s">
        <v>316</v>
      </c>
    </row>
    <row r="19311">
      <c r="A19311" s="17"/>
      <c r="H19311" s="18"/>
      <c r="K19311" s="18" t="s">
        <v>316</v>
      </c>
    </row>
    <row r="19312">
      <c r="A19312" s="17"/>
      <c r="H19312" s="18"/>
      <c r="K19312" s="18" t="s">
        <v>316</v>
      </c>
    </row>
    <row r="19313">
      <c r="A19313" s="17"/>
      <c r="H19313" s="18"/>
      <c r="K19313" s="18" t="s">
        <v>316</v>
      </c>
    </row>
    <row r="19314">
      <c r="A19314" s="17"/>
      <c r="H19314" s="18"/>
      <c r="K19314" s="18" t="s">
        <v>316</v>
      </c>
    </row>
    <row r="19315">
      <c r="A19315" s="17"/>
      <c r="H19315" s="18"/>
      <c r="K19315" s="18" t="s">
        <v>316</v>
      </c>
    </row>
    <row r="19316">
      <c r="A19316" s="17"/>
      <c r="H19316" s="18"/>
      <c r="K19316" s="18" t="s">
        <v>316</v>
      </c>
    </row>
    <row r="19317">
      <c r="A19317" s="17"/>
      <c r="H19317" s="18"/>
      <c r="K19317" s="18" t="s">
        <v>316</v>
      </c>
    </row>
    <row r="19318">
      <c r="A19318" s="17"/>
      <c r="H19318" s="18"/>
      <c r="K19318" s="18" t="s">
        <v>316</v>
      </c>
    </row>
    <row r="19319">
      <c r="A19319" s="17"/>
      <c r="H19319" s="18"/>
      <c r="K19319" s="18" t="s">
        <v>316</v>
      </c>
    </row>
    <row r="19320">
      <c r="A19320" s="17"/>
      <c r="H19320" s="18"/>
      <c r="K19320" s="18" t="s">
        <v>316</v>
      </c>
    </row>
    <row r="19321">
      <c r="A19321" s="17"/>
      <c r="H19321" s="18"/>
      <c r="K19321" s="18" t="s">
        <v>316</v>
      </c>
    </row>
    <row r="19322">
      <c r="A19322" s="17"/>
      <c r="H19322" s="18"/>
      <c r="K19322" s="18" t="s">
        <v>316</v>
      </c>
    </row>
    <row r="19323">
      <c r="A19323" s="17"/>
      <c r="H19323" s="18"/>
      <c r="K19323" s="18" t="s">
        <v>316</v>
      </c>
    </row>
    <row r="19324">
      <c r="A19324" s="17"/>
      <c r="H19324" s="18"/>
      <c r="K19324" s="18" t="s">
        <v>316</v>
      </c>
    </row>
    <row r="19325">
      <c r="A19325" s="17"/>
      <c r="H19325" s="18"/>
      <c r="K19325" s="18" t="s">
        <v>316</v>
      </c>
    </row>
    <row r="19326">
      <c r="A19326" s="17"/>
      <c r="H19326" s="18"/>
      <c r="K19326" s="18" t="s">
        <v>316</v>
      </c>
    </row>
    <row r="19327">
      <c r="A19327" s="17"/>
      <c r="H19327" s="18"/>
      <c r="K19327" s="18" t="s">
        <v>316</v>
      </c>
    </row>
    <row r="19328">
      <c r="A19328" s="17"/>
      <c r="H19328" s="18"/>
      <c r="K19328" s="18" t="s">
        <v>316</v>
      </c>
    </row>
    <row r="19329">
      <c r="A19329" s="17"/>
      <c r="H19329" s="18"/>
      <c r="K19329" s="18" t="s">
        <v>316</v>
      </c>
    </row>
    <row r="19330">
      <c r="A19330" s="17"/>
      <c r="H19330" s="18"/>
      <c r="K19330" s="18" t="s">
        <v>316</v>
      </c>
    </row>
    <row r="19331">
      <c r="A19331" s="17"/>
      <c r="H19331" s="18"/>
      <c r="K19331" s="18" t="s">
        <v>316</v>
      </c>
    </row>
    <row r="19332">
      <c r="A19332" s="17"/>
      <c r="H19332" s="18"/>
      <c r="K19332" s="18" t="s">
        <v>316</v>
      </c>
    </row>
    <row r="19333">
      <c r="A19333" s="17"/>
      <c r="H19333" s="18"/>
      <c r="K19333" s="18" t="s">
        <v>316</v>
      </c>
    </row>
    <row r="19334">
      <c r="A19334" s="17"/>
      <c r="H19334" s="18"/>
      <c r="K19334" s="18" t="s">
        <v>316</v>
      </c>
    </row>
    <row r="19335">
      <c r="A19335" s="17"/>
      <c r="H19335" s="18"/>
      <c r="K19335" s="18" t="s">
        <v>316</v>
      </c>
    </row>
    <row r="19336">
      <c r="A19336" s="17"/>
      <c r="H19336" s="18"/>
      <c r="K19336" s="18" t="s">
        <v>316</v>
      </c>
    </row>
    <row r="19337">
      <c r="A19337" s="17"/>
      <c r="H19337" s="18"/>
      <c r="K19337" s="18" t="s">
        <v>316</v>
      </c>
    </row>
    <row r="19338">
      <c r="A19338" s="17"/>
      <c r="H19338" s="18"/>
      <c r="K19338" s="18" t="s">
        <v>316</v>
      </c>
    </row>
    <row r="19339">
      <c r="A19339" s="17"/>
      <c r="H19339" s="18"/>
      <c r="K19339" s="18" t="s">
        <v>316</v>
      </c>
    </row>
    <row r="19340">
      <c r="A19340" s="17"/>
      <c r="H19340" s="18"/>
      <c r="K19340" s="18" t="s">
        <v>316</v>
      </c>
    </row>
    <row r="19341">
      <c r="A19341" s="17"/>
      <c r="H19341" s="18"/>
      <c r="K19341" s="18" t="s">
        <v>316</v>
      </c>
    </row>
    <row r="19342">
      <c r="A19342" s="17"/>
      <c r="H19342" s="18"/>
      <c r="K19342" s="18" t="s">
        <v>316</v>
      </c>
    </row>
    <row r="19343">
      <c r="A19343" s="17"/>
      <c r="H19343" s="18"/>
      <c r="K19343" s="18" t="s">
        <v>316</v>
      </c>
    </row>
    <row r="19344">
      <c r="A19344" s="17"/>
      <c r="H19344" s="18"/>
      <c r="K19344" s="18" t="s">
        <v>316</v>
      </c>
    </row>
    <row r="19345">
      <c r="A19345" s="17"/>
      <c r="H19345" s="18"/>
      <c r="K19345" s="18" t="s">
        <v>316</v>
      </c>
    </row>
    <row r="19346">
      <c r="A19346" s="17"/>
      <c r="H19346" s="18"/>
      <c r="K19346" s="18" t="s">
        <v>316</v>
      </c>
    </row>
    <row r="19347">
      <c r="A19347" s="17"/>
      <c r="H19347" s="18"/>
      <c r="K19347" s="18" t="s">
        <v>316</v>
      </c>
    </row>
    <row r="19348">
      <c r="A19348" s="17"/>
      <c r="H19348" s="18"/>
      <c r="K19348" s="18" t="s">
        <v>316</v>
      </c>
    </row>
    <row r="19349">
      <c r="A19349" s="17"/>
      <c r="H19349" s="18"/>
      <c r="K19349" s="18" t="s">
        <v>316</v>
      </c>
    </row>
    <row r="19350">
      <c r="A19350" s="17"/>
      <c r="H19350" s="18"/>
      <c r="K19350" s="18" t="s">
        <v>316</v>
      </c>
    </row>
    <row r="19351">
      <c r="A19351" s="17"/>
      <c r="H19351" s="18"/>
      <c r="K19351" s="18" t="s">
        <v>316</v>
      </c>
    </row>
    <row r="19352">
      <c r="A19352" s="17"/>
      <c r="H19352" s="18"/>
      <c r="K19352" s="18" t="s">
        <v>316</v>
      </c>
    </row>
    <row r="19353">
      <c r="A19353" s="17"/>
      <c r="H19353" s="18"/>
      <c r="K19353" s="18" t="s">
        <v>316</v>
      </c>
    </row>
    <row r="19354">
      <c r="A19354" s="17"/>
      <c r="H19354" s="18"/>
      <c r="K19354" s="18" t="s">
        <v>316</v>
      </c>
    </row>
    <row r="19355">
      <c r="A19355" s="17"/>
      <c r="H19355" s="18"/>
      <c r="K19355" s="18" t="s">
        <v>316</v>
      </c>
    </row>
    <row r="19356">
      <c r="A19356" s="17"/>
      <c r="H19356" s="18"/>
      <c r="K19356" s="18" t="s">
        <v>316</v>
      </c>
    </row>
    <row r="19357">
      <c r="A19357" s="17"/>
      <c r="H19357" s="18"/>
      <c r="K19357" s="18" t="s">
        <v>316</v>
      </c>
    </row>
    <row r="19358">
      <c r="A19358" s="17"/>
      <c r="H19358" s="18"/>
      <c r="K19358" s="18" t="s">
        <v>316</v>
      </c>
    </row>
    <row r="19359">
      <c r="A19359" s="17"/>
      <c r="H19359" s="18"/>
      <c r="K19359" s="18" t="s">
        <v>316</v>
      </c>
    </row>
    <row r="19360">
      <c r="A19360" s="17"/>
      <c r="H19360" s="18"/>
      <c r="K19360" s="18" t="s">
        <v>316</v>
      </c>
    </row>
    <row r="19361">
      <c r="A19361" s="17"/>
      <c r="H19361" s="18"/>
      <c r="K19361" s="18" t="s">
        <v>316</v>
      </c>
    </row>
    <row r="19362">
      <c r="A19362" s="17"/>
      <c r="H19362" s="18"/>
      <c r="K19362" s="18" t="s">
        <v>316</v>
      </c>
    </row>
    <row r="19363">
      <c r="A19363" s="17"/>
      <c r="H19363" s="18"/>
      <c r="K19363" s="18" t="s">
        <v>316</v>
      </c>
    </row>
    <row r="19364">
      <c r="A19364" s="17"/>
      <c r="H19364" s="18"/>
      <c r="K19364" s="18" t="s">
        <v>316</v>
      </c>
    </row>
    <row r="19365">
      <c r="A19365" s="17"/>
      <c r="H19365" s="18"/>
      <c r="K19365" s="18" t="s">
        <v>316</v>
      </c>
    </row>
    <row r="19366">
      <c r="A19366" s="17"/>
      <c r="H19366" s="18"/>
      <c r="K19366" s="18" t="s">
        <v>316</v>
      </c>
    </row>
    <row r="19367">
      <c r="A19367" s="17"/>
      <c r="H19367" s="18"/>
      <c r="K19367" s="18" t="s">
        <v>316</v>
      </c>
    </row>
    <row r="19368">
      <c r="A19368" s="17"/>
      <c r="H19368" s="18"/>
      <c r="K19368" s="18" t="s">
        <v>316</v>
      </c>
    </row>
    <row r="19369">
      <c r="A19369" s="17"/>
      <c r="H19369" s="18"/>
      <c r="K19369" s="18" t="s">
        <v>316</v>
      </c>
    </row>
    <row r="19370">
      <c r="A19370" s="17"/>
      <c r="H19370" s="18"/>
      <c r="K19370" s="18" t="s">
        <v>316</v>
      </c>
    </row>
    <row r="19371">
      <c r="A19371" s="17"/>
      <c r="H19371" s="18"/>
      <c r="K19371" s="18" t="s">
        <v>316</v>
      </c>
    </row>
    <row r="19372">
      <c r="A19372" s="17"/>
      <c r="H19372" s="18"/>
      <c r="K19372" s="18" t="s">
        <v>316</v>
      </c>
    </row>
    <row r="19373">
      <c r="A19373" s="17"/>
      <c r="H19373" s="18"/>
      <c r="K19373" s="18" t="s">
        <v>316</v>
      </c>
    </row>
    <row r="19374">
      <c r="A19374" s="17"/>
      <c r="H19374" s="18"/>
      <c r="K19374" s="18" t="s">
        <v>316</v>
      </c>
    </row>
    <row r="19375">
      <c r="A19375" s="17"/>
      <c r="H19375" s="18"/>
      <c r="K19375" s="18" t="s">
        <v>316</v>
      </c>
    </row>
    <row r="19376">
      <c r="A19376" s="17"/>
      <c r="H19376" s="18"/>
      <c r="K19376" s="18" t="s">
        <v>316</v>
      </c>
    </row>
    <row r="19377">
      <c r="A19377" s="17"/>
      <c r="H19377" s="18"/>
      <c r="K19377" s="18" t="s">
        <v>316</v>
      </c>
    </row>
    <row r="19378">
      <c r="A19378" s="17"/>
      <c r="H19378" s="18"/>
      <c r="K19378" s="18" t="s">
        <v>316</v>
      </c>
    </row>
    <row r="19379">
      <c r="A19379" s="17"/>
      <c r="H19379" s="18"/>
      <c r="K19379" s="18" t="s">
        <v>316</v>
      </c>
    </row>
    <row r="19380">
      <c r="A19380" s="17"/>
      <c r="H19380" s="18"/>
      <c r="K19380" s="18" t="s">
        <v>316</v>
      </c>
    </row>
    <row r="19381">
      <c r="A19381" s="17"/>
      <c r="H19381" s="18"/>
      <c r="K19381" s="18" t="s">
        <v>316</v>
      </c>
    </row>
    <row r="19382">
      <c r="A19382" s="17"/>
      <c r="H19382" s="18"/>
      <c r="K19382" s="18" t="s">
        <v>316</v>
      </c>
    </row>
    <row r="19383">
      <c r="A19383" s="17"/>
      <c r="H19383" s="18"/>
      <c r="K19383" s="18" t="s">
        <v>316</v>
      </c>
    </row>
    <row r="19384">
      <c r="A19384" s="17"/>
      <c r="H19384" s="18"/>
      <c r="K19384" s="18" t="s">
        <v>316</v>
      </c>
    </row>
    <row r="19385">
      <c r="A19385" s="17"/>
      <c r="H19385" s="18"/>
      <c r="K19385" s="18" t="s">
        <v>316</v>
      </c>
    </row>
    <row r="19386">
      <c r="A19386" s="17"/>
      <c r="H19386" s="18"/>
      <c r="K19386" s="18" t="s">
        <v>316</v>
      </c>
    </row>
    <row r="19387">
      <c r="A19387" s="17"/>
      <c r="H19387" s="18"/>
      <c r="K19387" s="18" t="s">
        <v>316</v>
      </c>
    </row>
    <row r="19388">
      <c r="A19388" s="17"/>
      <c r="H19388" s="18"/>
      <c r="K19388" s="18" t="s">
        <v>316</v>
      </c>
    </row>
    <row r="19389">
      <c r="A19389" s="17"/>
      <c r="H19389" s="18"/>
      <c r="K19389" s="18" t="s">
        <v>316</v>
      </c>
    </row>
    <row r="19390">
      <c r="A19390" s="17"/>
      <c r="H19390" s="18"/>
      <c r="K19390" s="18" t="s">
        <v>316</v>
      </c>
    </row>
    <row r="19391">
      <c r="A19391" s="17"/>
      <c r="H19391" s="18"/>
      <c r="K19391" s="18" t="s">
        <v>316</v>
      </c>
    </row>
    <row r="19392">
      <c r="A19392" s="17"/>
      <c r="H19392" s="18"/>
      <c r="K19392" s="18" t="s">
        <v>316</v>
      </c>
    </row>
    <row r="19393">
      <c r="A19393" s="17"/>
      <c r="H19393" s="18"/>
      <c r="K19393" s="18" t="s">
        <v>316</v>
      </c>
    </row>
    <row r="19394">
      <c r="A19394" s="17"/>
      <c r="H19394" s="18"/>
      <c r="K19394" s="18" t="s">
        <v>316</v>
      </c>
    </row>
    <row r="19395">
      <c r="A19395" s="17"/>
      <c r="H19395" s="18"/>
      <c r="K19395" s="18" t="s">
        <v>316</v>
      </c>
    </row>
    <row r="19396">
      <c r="A19396" s="17"/>
      <c r="H19396" s="18"/>
      <c r="K19396" s="18" t="s">
        <v>316</v>
      </c>
    </row>
    <row r="19397">
      <c r="A19397" s="17"/>
      <c r="H19397" s="18"/>
      <c r="K19397" s="18" t="s">
        <v>316</v>
      </c>
    </row>
    <row r="19398">
      <c r="A19398" s="17"/>
      <c r="H19398" s="18"/>
      <c r="K19398" s="18" t="s">
        <v>316</v>
      </c>
    </row>
    <row r="19399">
      <c r="A19399" s="17"/>
      <c r="H19399" s="18"/>
      <c r="K19399" s="18" t="s">
        <v>316</v>
      </c>
    </row>
    <row r="19400">
      <c r="A19400" s="17"/>
      <c r="H19400" s="18"/>
      <c r="K19400" s="18" t="s">
        <v>316</v>
      </c>
    </row>
    <row r="19401">
      <c r="A19401" s="17"/>
      <c r="H19401" s="18"/>
      <c r="K19401" s="18" t="s">
        <v>316</v>
      </c>
    </row>
    <row r="19402">
      <c r="A19402" s="17"/>
      <c r="H19402" s="18"/>
      <c r="K19402" s="18" t="s">
        <v>316</v>
      </c>
    </row>
    <row r="19403">
      <c r="A19403" s="17"/>
      <c r="H19403" s="18"/>
      <c r="K19403" s="18" t="s">
        <v>316</v>
      </c>
    </row>
    <row r="19404">
      <c r="A19404" s="17"/>
      <c r="H19404" s="18"/>
      <c r="K19404" s="18" t="s">
        <v>316</v>
      </c>
    </row>
    <row r="19405">
      <c r="A19405" s="17"/>
      <c r="H19405" s="18"/>
      <c r="K19405" s="18" t="s">
        <v>316</v>
      </c>
    </row>
    <row r="19406">
      <c r="A19406" s="17"/>
      <c r="H19406" s="18"/>
      <c r="K19406" s="18" t="s">
        <v>316</v>
      </c>
    </row>
    <row r="19407">
      <c r="A19407" s="17"/>
      <c r="H19407" s="18"/>
      <c r="K19407" s="18" t="s">
        <v>316</v>
      </c>
    </row>
    <row r="19408">
      <c r="A19408" s="17"/>
      <c r="H19408" s="18"/>
      <c r="K19408" s="18" t="s">
        <v>316</v>
      </c>
    </row>
    <row r="19409">
      <c r="A19409" s="17"/>
      <c r="H19409" s="18"/>
      <c r="K19409" s="18" t="s">
        <v>316</v>
      </c>
    </row>
    <row r="19410">
      <c r="A19410" s="17"/>
      <c r="H19410" s="18"/>
      <c r="K19410" s="18" t="s">
        <v>316</v>
      </c>
    </row>
    <row r="19411">
      <c r="A19411" s="17"/>
      <c r="H19411" s="18"/>
      <c r="K19411" s="18" t="s">
        <v>316</v>
      </c>
    </row>
    <row r="19412">
      <c r="A19412" s="17"/>
      <c r="H19412" s="18"/>
      <c r="K19412" s="18" t="s">
        <v>316</v>
      </c>
    </row>
    <row r="19413">
      <c r="A19413" s="17"/>
      <c r="H19413" s="18"/>
      <c r="K19413" s="18" t="s">
        <v>316</v>
      </c>
    </row>
    <row r="19414">
      <c r="A19414" s="17"/>
      <c r="H19414" s="18"/>
      <c r="K19414" s="18" t="s">
        <v>316</v>
      </c>
    </row>
    <row r="19415">
      <c r="A19415" s="17"/>
      <c r="H19415" s="18"/>
      <c r="K19415" s="18" t="s">
        <v>316</v>
      </c>
    </row>
    <row r="19416">
      <c r="A19416" s="17"/>
      <c r="H19416" s="18"/>
      <c r="K19416" s="18" t="s">
        <v>316</v>
      </c>
    </row>
    <row r="19417">
      <c r="A19417" s="17"/>
      <c r="H19417" s="18"/>
      <c r="K19417" s="18" t="s">
        <v>316</v>
      </c>
    </row>
    <row r="19418">
      <c r="A19418" s="17"/>
      <c r="H19418" s="18"/>
      <c r="K19418" s="18" t="s">
        <v>316</v>
      </c>
    </row>
    <row r="19419">
      <c r="A19419" s="17"/>
      <c r="H19419" s="18"/>
      <c r="K19419" s="18" t="s">
        <v>316</v>
      </c>
    </row>
    <row r="19420">
      <c r="A19420" s="17"/>
      <c r="H19420" s="18"/>
      <c r="K19420" s="18" t="s">
        <v>316</v>
      </c>
    </row>
    <row r="19421">
      <c r="A19421" s="17"/>
      <c r="H19421" s="18"/>
      <c r="K19421" s="18" t="s">
        <v>316</v>
      </c>
    </row>
    <row r="19422">
      <c r="A19422" s="17"/>
      <c r="H19422" s="18"/>
      <c r="K19422" s="18" t="s">
        <v>316</v>
      </c>
    </row>
    <row r="19423">
      <c r="A19423" s="17"/>
      <c r="H19423" s="18"/>
      <c r="K19423" s="18" t="s">
        <v>316</v>
      </c>
    </row>
    <row r="19424">
      <c r="A19424" s="17"/>
      <c r="H19424" s="18"/>
      <c r="K19424" s="18" t="s">
        <v>316</v>
      </c>
    </row>
    <row r="19425">
      <c r="A19425" s="17"/>
      <c r="H19425" s="18"/>
      <c r="K19425" s="18" t="s">
        <v>316</v>
      </c>
    </row>
    <row r="19426">
      <c r="A19426" s="17"/>
      <c r="H19426" s="18"/>
      <c r="K19426" s="18" t="s">
        <v>316</v>
      </c>
    </row>
    <row r="19427">
      <c r="A19427" s="17"/>
      <c r="H19427" s="18"/>
      <c r="K19427" s="18" t="s">
        <v>316</v>
      </c>
    </row>
    <row r="19428">
      <c r="A19428" s="17"/>
      <c r="H19428" s="18"/>
      <c r="K19428" s="18" t="s">
        <v>316</v>
      </c>
    </row>
    <row r="19429">
      <c r="A19429" s="17"/>
      <c r="H19429" s="18"/>
      <c r="K19429" s="18" t="s">
        <v>316</v>
      </c>
    </row>
    <row r="19430">
      <c r="A19430" s="17"/>
      <c r="H19430" s="18"/>
      <c r="K19430" s="18" t="s">
        <v>316</v>
      </c>
    </row>
    <row r="19431">
      <c r="A19431" s="17"/>
      <c r="H19431" s="18"/>
      <c r="K19431" s="18" t="s">
        <v>316</v>
      </c>
    </row>
    <row r="19432">
      <c r="A19432" s="17"/>
      <c r="H19432" s="18"/>
      <c r="K19432" s="18" t="s">
        <v>316</v>
      </c>
    </row>
    <row r="19433">
      <c r="A19433" s="17"/>
      <c r="H19433" s="18"/>
      <c r="K19433" s="18" t="s">
        <v>316</v>
      </c>
    </row>
    <row r="19434">
      <c r="A19434" s="17"/>
      <c r="H19434" s="18"/>
      <c r="K19434" s="18" t="s">
        <v>316</v>
      </c>
    </row>
    <row r="19435">
      <c r="A19435" s="17"/>
      <c r="H19435" s="18"/>
      <c r="K19435" s="18" t="s">
        <v>316</v>
      </c>
    </row>
    <row r="19436">
      <c r="A19436" s="17"/>
      <c r="H19436" s="18"/>
      <c r="K19436" s="18" t="s">
        <v>316</v>
      </c>
    </row>
    <row r="19437">
      <c r="A19437" s="17"/>
      <c r="H19437" s="18"/>
      <c r="K19437" s="18" t="s">
        <v>316</v>
      </c>
    </row>
    <row r="19438">
      <c r="A19438" s="17"/>
      <c r="H19438" s="18"/>
      <c r="K19438" s="18" t="s">
        <v>316</v>
      </c>
    </row>
    <row r="19439">
      <c r="A19439" s="17"/>
      <c r="H19439" s="18"/>
      <c r="K19439" s="18" t="s">
        <v>316</v>
      </c>
    </row>
    <row r="19440">
      <c r="A19440" s="17"/>
      <c r="H19440" s="18"/>
      <c r="K19440" s="18" t="s">
        <v>316</v>
      </c>
    </row>
    <row r="19441">
      <c r="A19441" s="17"/>
      <c r="H19441" s="18"/>
      <c r="K19441" s="18" t="s">
        <v>316</v>
      </c>
    </row>
    <row r="19442">
      <c r="A19442" s="17"/>
      <c r="H19442" s="18"/>
      <c r="K19442" s="18" t="s">
        <v>316</v>
      </c>
    </row>
    <row r="19443">
      <c r="A19443" s="17"/>
      <c r="H19443" s="18"/>
      <c r="K19443" s="18" t="s">
        <v>316</v>
      </c>
    </row>
    <row r="19444">
      <c r="A19444" s="17"/>
      <c r="H19444" s="18"/>
      <c r="K19444" s="18" t="s">
        <v>316</v>
      </c>
    </row>
    <row r="19445">
      <c r="A19445" s="17"/>
      <c r="H19445" s="18"/>
      <c r="K19445" s="18" t="s">
        <v>316</v>
      </c>
    </row>
    <row r="19446">
      <c r="A19446" s="17"/>
      <c r="H19446" s="18"/>
      <c r="K19446" s="18" t="s">
        <v>316</v>
      </c>
    </row>
    <row r="19447">
      <c r="A19447" s="17"/>
      <c r="H19447" s="18"/>
      <c r="K19447" s="18" t="s">
        <v>316</v>
      </c>
    </row>
    <row r="19448">
      <c r="A19448" s="17"/>
      <c r="H19448" s="18"/>
      <c r="K19448" s="18" t="s">
        <v>316</v>
      </c>
    </row>
    <row r="19449">
      <c r="A19449" s="17"/>
      <c r="H19449" s="18"/>
      <c r="K19449" s="18" t="s">
        <v>316</v>
      </c>
    </row>
    <row r="19450">
      <c r="A19450" s="17"/>
      <c r="H19450" s="18"/>
      <c r="K19450" s="18" t="s">
        <v>316</v>
      </c>
    </row>
    <row r="19451">
      <c r="A19451" s="17"/>
      <c r="H19451" s="18"/>
      <c r="K19451" s="18" t="s">
        <v>316</v>
      </c>
    </row>
    <row r="19452">
      <c r="A19452" s="17"/>
      <c r="H19452" s="18"/>
      <c r="K19452" s="18" t="s">
        <v>316</v>
      </c>
    </row>
    <row r="19453">
      <c r="A19453" s="17"/>
      <c r="H19453" s="18"/>
      <c r="K19453" s="18" t="s">
        <v>316</v>
      </c>
    </row>
    <row r="19454">
      <c r="A19454" s="17"/>
      <c r="H19454" s="18"/>
      <c r="K19454" s="18" t="s">
        <v>316</v>
      </c>
    </row>
    <row r="19455">
      <c r="A19455" s="17"/>
      <c r="H19455" s="18"/>
      <c r="K19455" s="18" t="s">
        <v>316</v>
      </c>
    </row>
    <row r="19456">
      <c r="A19456" s="17"/>
      <c r="H19456" s="18"/>
      <c r="K19456" s="18" t="s">
        <v>316</v>
      </c>
    </row>
    <row r="19457">
      <c r="A19457" s="17"/>
      <c r="H19457" s="18"/>
      <c r="K19457" s="18" t="s">
        <v>316</v>
      </c>
    </row>
    <row r="19458">
      <c r="A19458" s="17"/>
      <c r="H19458" s="18"/>
      <c r="K19458" s="18" t="s">
        <v>316</v>
      </c>
    </row>
    <row r="19459">
      <c r="A19459" s="17"/>
      <c r="H19459" s="18"/>
      <c r="K19459" s="18" t="s">
        <v>316</v>
      </c>
    </row>
    <row r="19460">
      <c r="A19460" s="17"/>
      <c r="H19460" s="18"/>
      <c r="K19460" s="18" t="s">
        <v>316</v>
      </c>
    </row>
    <row r="19461">
      <c r="A19461" s="17"/>
      <c r="H19461" s="18"/>
      <c r="K19461" s="18" t="s">
        <v>316</v>
      </c>
    </row>
    <row r="19462">
      <c r="A19462" s="17"/>
      <c r="H19462" s="18"/>
      <c r="K19462" s="18" t="s">
        <v>316</v>
      </c>
    </row>
    <row r="19463">
      <c r="A19463" s="17"/>
      <c r="H19463" s="18"/>
      <c r="K19463" s="18" t="s">
        <v>316</v>
      </c>
    </row>
    <row r="19464">
      <c r="A19464" s="17"/>
      <c r="H19464" s="18"/>
      <c r="K19464" s="18" t="s">
        <v>316</v>
      </c>
    </row>
    <row r="19465">
      <c r="A19465" s="17"/>
      <c r="H19465" s="18"/>
      <c r="K19465" s="18" t="s">
        <v>316</v>
      </c>
    </row>
    <row r="19466">
      <c r="A19466" s="17"/>
      <c r="H19466" s="18"/>
      <c r="K19466" s="18" t="s">
        <v>316</v>
      </c>
    </row>
    <row r="19467">
      <c r="A19467" s="17"/>
      <c r="H19467" s="18"/>
      <c r="K19467" s="18" t="s">
        <v>316</v>
      </c>
    </row>
    <row r="19468">
      <c r="A19468" s="17"/>
      <c r="H19468" s="18"/>
      <c r="K19468" s="18" t="s">
        <v>316</v>
      </c>
    </row>
    <row r="19469">
      <c r="A19469" s="17"/>
      <c r="H19469" s="18"/>
      <c r="K19469" s="18" t="s">
        <v>316</v>
      </c>
    </row>
    <row r="19470">
      <c r="A19470" s="17"/>
      <c r="H19470" s="18"/>
      <c r="K19470" s="18" t="s">
        <v>316</v>
      </c>
    </row>
    <row r="19471">
      <c r="A19471" s="17"/>
      <c r="H19471" s="18"/>
      <c r="K19471" s="18" t="s">
        <v>316</v>
      </c>
    </row>
    <row r="19472">
      <c r="A19472" s="17"/>
      <c r="H19472" s="18"/>
      <c r="K19472" s="18" t="s">
        <v>316</v>
      </c>
    </row>
    <row r="19473">
      <c r="A19473" s="17"/>
      <c r="H19473" s="18"/>
      <c r="K19473" s="18" t="s">
        <v>316</v>
      </c>
    </row>
    <row r="19474">
      <c r="A19474" s="17"/>
      <c r="H19474" s="18"/>
      <c r="K19474" s="18" t="s">
        <v>316</v>
      </c>
    </row>
    <row r="19475">
      <c r="A19475" s="17"/>
      <c r="H19475" s="18"/>
      <c r="K19475" s="18" t="s">
        <v>316</v>
      </c>
    </row>
    <row r="19476">
      <c r="A19476" s="17"/>
      <c r="H19476" s="18"/>
      <c r="K19476" s="18" t="s">
        <v>316</v>
      </c>
    </row>
    <row r="19477">
      <c r="A19477" s="17"/>
      <c r="H19477" s="18"/>
      <c r="K19477" s="18" t="s">
        <v>316</v>
      </c>
    </row>
    <row r="19478">
      <c r="A19478" s="17"/>
      <c r="H19478" s="18"/>
      <c r="K19478" s="18" t="s">
        <v>316</v>
      </c>
    </row>
    <row r="19479">
      <c r="A19479" s="17"/>
      <c r="H19479" s="18"/>
      <c r="K19479" s="18" t="s">
        <v>316</v>
      </c>
    </row>
    <row r="19480">
      <c r="A19480" s="17"/>
      <c r="H19480" s="18"/>
      <c r="K19480" s="18" t="s">
        <v>316</v>
      </c>
    </row>
    <row r="19481">
      <c r="A19481" s="17"/>
      <c r="H19481" s="18"/>
      <c r="K19481" s="18" t="s">
        <v>316</v>
      </c>
    </row>
    <row r="19482">
      <c r="A19482" s="17"/>
      <c r="H19482" s="18"/>
      <c r="K19482" s="18" t="s">
        <v>316</v>
      </c>
    </row>
    <row r="19483">
      <c r="A19483" s="17"/>
      <c r="H19483" s="18"/>
      <c r="K19483" s="18" t="s">
        <v>316</v>
      </c>
    </row>
    <row r="19484">
      <c r="A19484" s="17"/>
      <c r="H19484" s="18"/>
      <c r="K19484" s="18" t="s">
        <v>316</v>
      </c>
    </row>
    <row r="19485">
      <c r="A19485" s="17"/>
      <c r="H19485" s="18"/>
      <c r="K19485" s="18" t="s">
        <v>316</v>
      </c>
    </row>
    <row r="19486">
      <c r="A19486" s="17"/>
      <c r="H19486" s="18"/>
      <c r="K19486" s="18" t="s">
        <v>316</v>
      </c>
    </row>
    <row r="19487">
      <c r="A19487" s="17"/>
      <c r="H19487" s="18"/>
      <c r="K19487" s="18" t="s">
        <v>316</v>
      </c>
    </row>
    <row r="19488">
      <c r="A19488" s="17"/>
      <c r="H19488" s="18"/>
      <c r="K19488" s="18" t="s">
        <v>316</v>
      </c>
    </row>
    <row r="19489">
      <c r="A19489" s="17"/>
      <c r="H19489" s="18"/>
      <c r="K19489" s="18" t="s">
        <v>316</v>
      </c>
    </row>
    <row r="19490">
      <c r="A19490" s="17"/>
      <c r="H19490" s="18"/>
      <c r="K19490" s="18" t="s">
        <v>316</v>
      </c>
    </row>
    <row r="19491">
      <c r="A19491" s="17"/>
      <c r="H19491" s="18"/>
      <c r="K19491" s="18" t="s">
        <v>316</v>
      </c>
    </row>
    <row r="19492">
      <c r="A19492" s="17"/>
      <c r="H19492" s="18"/>
      <c r="K19492" s="18" t="s">
        <v>316</v>
      </c>
    </row>
    <row r="19493">
      <c r="A19493" s="17"/>
      <c r="H19493" s="18"/>
      <c r="K19493" s="18" t="s">
        <v>316</v>
      </c>
    </row>
    <row r="19494">
      <c r="A19494" s="17"/>
      <c r="H19494" s="18"/>
      <c r="K19494" s="18" t="s">
        <v>316</v>
      </c>
    </row>
    <row r="19495">
      <c r="A19495" s="17"/>
      <c r="H19495" s="18"/>
      <c r="K19495" s="18" t="s">
        <v>316</v>
      </c>
    </row>
    <row r="19496">
      <c r="A19496" s="17"/>
      <c r="H19496" s="18"/>
      <c r="K19496" s="18" t="s">
        <v>316</v>
      </c>
    </row>
    <row r="19497">
      <c r="A19497" s="17"/>
      <c r="H19497" s="18"/>
      <c r="K19497" s="18" t="s">
        <v>316</v>
      </c>
    </row>
    <row r="19498">
      <c r="A19498" s="17"/>
      <c r="H19498" s="18"/>
      <c r="K19498" s="18" t="s">
        <v>316</v>
      </c>
    </row>
    <row r="19499">
      <c r="A19499" s="17"/>
      <c r="H19499" s="18"/>
      <c r="K19499" s="18" t="s">
        <v>316</v>
      </c>
    </row>
    <row r="19500">
      <c r="A19500" s="17"/>
      <c r="H19500" s="18"/>
      <c r="K19500" s="18" t="s">
        <v>316</v>
      </c>
    </row>
    <row r="19501">
      <c r="A19501" s="17"/>
      <c r="H19501" s="18"/>
      <c r="K19501" s="18" t="s">
        <v>316</v>
      </c>
    </row>
    <row r="19502">
      <c r="A19502" s="17"/>
      <c r="H19502" s="18"/>
      <c r="K19502" s="18" t="s">
        <v>316</v>
      </c>
    </row>
    <row r="19503">
      <c r="A19503" s="17"/>
      <c r="H19503" s="18"/>
      <c r="K19503" s="18" t="s">
        <v>316</v>
      </c>
    </row>
    <row r="19504">
      <c r="A19504" s="17"/>
      <c r="H19504" s="18"/>
      <c r="K19504" s="18" t="s">
        <v>316</v>
      </c>
    </row>
    <row r="19505">
      <c r="A19505" s="17"/>
      <c r="H19505" s="18"/>
      <c r="K19505" s="18" t="s">
        <v>316</v>
      </c>
    </row>
    <row r="19506">
      <c r="A19506" s="17"/>
      <c r="H19506" s="18"/>
      <c r="K19506" s="18" t="s">
        <v>316</v>
      </c>
    </row>
    <row r="19507">
      <c r="A19507" s="17"/>
      <c r="H19507" s="18"/>
      <c r="K19507" s="18" t="s">
        <v>316</v>
      </c>
    </row>
    <row r="19508">
      <c r="A19508" s="17"/>
      <c r="H19508" s="18"/>
      <c r="K19508" s="18" t="s">
        <v>316</v>
      </c>
    </row>
    <row r="19509">
      <c r="A19509" s="17"/>
      <c r="H19509" s="18"/>
      <c r="K19509" s="18" t="s">
        <v>316</v>
      </c>
    </row>
    <row r="19510">
      <c r="A19510" s="17"/>
      <c r="H19510" s="18"/>
      <c r="K19510" s="18" t="s">
        <v>316</v>
      </c>
    </row>
    <row r="19511">
      <c r="A19511" s="17"/>
      <c r="H19511" s="18"/>
      <c r="K19511" s="18" t="s">
        <v>316</v>
      </c>
    </row>
    <row r="19512">
      <c r="A19512" s="17"/>
      <c r="H19512" s="18"/>
      <c r="K19512" s="18" t="s">
        <v>316</v>
      </c>
    </row>
    <row r="19513">
      <c r="A19513" s="17"/>
      <c r="H19513" s="18"/>
      <c r="K19513" s="18" t="s">
        <v>316</v>
      </c>
    </row>
    <row r="19514">
      <c r="A19514" s="17"/>
      <c r="H19514" s="18"/>
      <c r="K19514" s="18" t="s">
        <v>316</v>
      </c>
    </row>
    <row r="19515">
      <c r="A19515" s="17"/>
      <c r="H19515" s="18"/>
      <c r="K19515" s="18" t="s">
        <v>316</v>
      </c>
    </row>
    <row r="19516">
      <c r="A19516" s="17"/>
      <c r="H19516" s="18"/>
      <c r="K19516" s="18" t="s">
        <v>316</v>
      </c>
    </row>
    <row r="19517">
      <c r="A19517" s="17"/>
      <c r="H19517" s="18"/>
      <c r="K19517" s="18" t="s">
        <v>316</v>
      </c>
    </row>
    <row r="19518">
      <c r="A19518" s="17"/>
      <c r="H19518" s="18"/>
      <c r="K19518" s="18" t="s">
        <v>316</v>
      </c>
    </row>
    <row r="19519">
      <c r="A19519" s="17"/>
      <c r="H19519" s="18"/>
      <c r="K19519" s="18" t="s">
        <v>316</v>
      </c>
    </row>
    <row r="19520">
      <c r="A19520" s="17"/>
      <c r="H19520" s="18"/>
      <c r="K19520" s="18" t="s">
        <v>316</v>
      </c>
    </row>
    <row r="19521">
      <c r="A19521" s="17"/>
      <c r="H19521" s="18"/>
      <c r="K19521" s="18" t="s">
        <v>316</v>
      </c>
    </row>
    <row r="19522">
      <c r="A19522" s="17"/>
      <c r="H19522" s="18"/>
      <c r="K19522" s="18" t="s">
        <v>316</v>
      </c>
    </row>
    <row r="19523">
      <c r="A19523" s="17"/>
      <c r="H19523" s="18"/>
      <c r="K19523" s="18" t="s">
        <v>316</v>
      </c>
    </row>
    <row r="19524">
      <c r="A19524" s="17"/>
      <c r="H19524" s="18"/>
      <c r="K19524" s="18" t="s">
        <v>316</v>
      </c>
    </row>
    <row r="19525">
      <c r="A19525" s="17"/>
      <c r="H19525" s="18"/>
      <c r="K19525" s="18" t="s">
        <v>316</v>
      </c>
    </row>
    <row r="19526">
      <c r="A19526" s="17"/>
      <c r="H19526" s="18"/>
      <c r="K19526" s="18" t="s">
        <v>316</v>
      </c>
    </row>
    <row r="19527">
      <c r="A19527" s="17"/>
      <c r="H19527" s="18"/>
      <c r="K19527" s="18" t="s">
        <v>316</v>
      </c>
    </row>
    <row r="19528">
      <c r="A19528" s="17"/>
      <c r="H19528" s="18"/>
      <c r="K19528" s="18" t="s">
        <v>316</v>
      </c>
    </row>
    <row r="19529">
      <c r="A19529" s="17"/>
      <c r="H19529" s="18"/>
      <c r="K19529" s="18" t="s">
        <v>316</v>
      </c>
    </row>
    <row r="19530">
      <c r="A19530" s="17"/>
      <c r="H19530" s="18"/>
      <c r="K19530" s="18" t="s">
        <v>316</v>
      </c>
    </row>
    <row r="19531">
      <c r="A19531" s="17"/>
      <c r="H19531" s="18"/>
      <c r="K19531" s="18" t="s">
        <v>316</v>
      </c>
    </row>
    <row r="19532">
      <c r="A19532" s="17"/>
      <c r="H19532" s="18"/>
      <c r="K19532" s="18" t="s">
        <v>316</v>
      </c>
    </row>
    <row r="19533">
      <c r="A19533" s="17"/>
      <c r="H19533" s="18"/>
      <c r="K19533" s="18" t="s">
        <v>316</v>
      </c>
    </row>
    <row r="19534">
      <c r="A19534" s="17"/>
      <c r="H19534" s="18"/>
      <c r="K19534" s="18" t="s">
        <v>316</v>
      </c>
    </row>
    <row r="19535">
      <c r="A19535" s="17"/>
      <c r="H19535" s="18"/>
      <c r="K19535" s="18" t="s">
        <v>316</v>
      </c>
    </row>
    <row r="19536">
      <c r="A19536" s="17"/>
      <c r="H19536" s="18"/>
      <c r="K19536" s="18" t="s">
        <v>316</v>
      </c>
    </row>
    <row r="19537">
      <c r="A19537" s="17"/>
      <c r="H19537" s="18"/>
      <c r="K19537" s="18" t="s">
        <v>316</v>
      </c>
    </row>
    <row r="19538">
      <c r="A19538" s="17"/>
      <c r="H19538" s="18"/>
      <c r="K19538" s="18" t="s">
        <v>316</v>
      </c>
    </row>
    <row r="19539">
      <c r="A19539" s="17"/>
      <c r="H19539" s="18"/>
      <c r="K19539" s="18" t="s">
        <v>316</v>
      </c>
    </row>
    <row r="19540">
      <c r="A19540" s="17"/>
      <c r="H19540" s="18"/>
      <c r="K19540" s="18" t="s">
        <v>316</v>
      </c>
    </row>
    <row r="19541">
      <c r="A19541" s="17"/>
      <c r="H19541" s="18"/>
      <c r="K19541" s="18" t="s">
        <v>316</v>
      </c>
    </row>
    <row r="19542">
      <c r="A19542" s="17"/>
      <c r="H19542" s="18"/>
      <c r="K19542" s="18" t="s">
        <v>316</v>
      </c>
    </row>
    <row r="19543">
      <c r="A19543" s="17"/>
      <c r="H19543" s="18"/>
      <c r="K19543" s="18" t="s">
        <v>316</v>
      </c>
    </row>
    <row r="19544">
      <c r="A19544" s="17"/>
      <c r="H19544" s="18"/>
      <c r="K19544" s="18" t="s">
        <v>316</v>
      </c>
    </row>
    <row r="19545">
      <c r="A19545" s="17"/>
      <c r="H19545" s="18"/>
      <c r="K19545" s="18" t="s">
        <v>316</v>
      </c>
    </row>
    <row r="19546">
      <c r="A19546" s="17"/>
      <c r="H19546" s="18"/>
      <c r="K19546" s="18" t="s">
        <v>316</v>
      </c>
    </row>
    <row r="19547">
      <c r="A19547" s="17"/>
      <c r="H19547" s="18"/>
      <c r="K19547" s="18" t="s">
        <v>316</v>
      </c>
    </row>
    <row r="19548">
      <c r="A19548" s="17"/>
      <c r="H19548" s="18"/>
      <c r="K19548" s="18" t="s">
        <v>316</v>
      </c>
    </row>
    <row r="19549">
      <c r="A19549" s="17"/>
      <c r="H19549" s="18"/>
      <c r="K19549" s="18" t="s">
        <v>316</v>
      </c>
    </row>
    <row r="19550">
      <c r="A19550" s="17"/>
      <c r="H19550" s="18"/>
      <c r="K19550" s="18" t="s">
        <v>316</v>
      </c>
    </row>
    <row r="19551">
      <c r="A19551" s="17"/>
      <c r="H19551" s="18"/>
      <c r="K19551" s="18" t="s">
        <v>316</v>
      </c>
    </row>
    <row r="19552">
      <c r="A19552" s="17"/>
      <c r="H19552" s="18"/>
      <c r="K19552" s="18" t="s">
        <v>316</v>
      </c>
    </row>
    <row r="19553">
      <c r="A19553" s="17"/>
      <c r="H19553" s="18"/>
      <c r="K19553" s="18" t="s">
        <v>316</v>
      </c>
    </row>
    <row r="19554">
      <c r="A19554" s="17"/>
      <c r="H19554" s="18"/>
      <c r="K19554" s="18" t="s">
        <v>316</v>
      </c>
    </row>
    <row r="19555">
      <c r="A19555" s="17"/>
      <c r="H19555" s="18"/>
      <c r="K19555" s="18" t="s">
        <v>316</v>
      </c>
    </row>
    <row r="19556">
      <c r="A19556" s="17"/>
      <c r="H19556" s="18"/>
      <c r="K19556" s="18" t="s">
        <v>316</v>
      </c>
    </row>
    <row r="19557">
      <c r="A19557" s="17"/>
      <c r="H19557" s="18"/>
      <c r="K19557" s="18" t="s">
        <v>316</v>
      </c>
    </row>
    <row r="19558">
      <c r="A19558" s="17"/>
      <c r="H19558" s="18"/>
      <c r="K19558" s="18" t="s">
        <v>316</v>
      </c>
    </row>
    <row r="19559">
      <c r="A19559" s="17"/>
      <c r="H19559" s="18"/>
      <c r="K19559" s="18" t="s">
        <v>316</v>
      </c>
    </row>
    <row r="19560">
      <c r="A19560" s="17"/>
      <c r="H19560" s="18"/>
      <c r="K19560" s="18" t="s">
        <v>316</v>
      </c>
    </row>
    <row r="19561">
      <c r="A19561" s="17"/>
      <c r="H19561" s="18"/>
      <c r="K19561" s="18" t="s">
        <v>316</v>
      </c>
    </row>
    <row r="19562">
      <c r="A19562" s="17"/>
      <c r="H19562" s="18"/>
      <c r="K19562" s="18" t="s">
        <v>316</v>
      </c>
    </row>
    <row r="19563">
      <c r="A19563" s="17"/>
      <c r="H19563" s="18"/>
      <c r="K19563" s="18" t="s">
        <v>316</v>
      </c>
    </row>
    <row r="19564">
      <c r="A19564" s="17"/>
      <c r="H19564" s="18"/>
      <c r="K19564" s="18" t="s">
        <v>316</v>
      </c>
    </row>
    <row r="19565">
      <c r="A19565" s="17"/>
      <c r="H19565" s="18"/>
      <c r="K19565" s="18" t="s">
        <v>316</v>
      </c>
    </row>
    <row r="19566">
      <c r="A19566" s="17"/>
      <c r="H19566" s="18"/>
      <c r="K19566" s="18" t="s">
        <v>316</v>
      </c>
    </row>
    <row r="19567">
      <c r="A19567" s="17"/>
      <c r="H19567" s="18"/>
      <c r="K19567" s="18" t="s">
        <v>316</v>
      </c>
    </row>
    <row r="19568">
      <c r="A19568" s="17"/>
      <c r="H19568" s="18"/>
      <c r="K19568" s="18" t="s">
        <v>316</v>
      </c>
    </row>
    <row r="19569">
      <c r="A19569" s="17"/>
      <c r="H19569" s="18"/>
      <c r="K19569" s="18" t="s">
        <v>316</v>
      </c>
    </row>
    <row r="19570">
      <c r="A19570" s="17"/>
      <c r="H19570" s="18"/>
      <c r="K19570" s="18" t="s">
        <v>316</v>
      </c>
    </row>
    <row r="19571">
      <c r="A19571" s="17"/>
      <c r="H19571" s="18"/>
      <c r="K19571" s="18" t="s">
        <v>316</v>
      </c>
    </row>
    <row r="19572">
      <c r="A19572" s="17"/>
      <c r="H19572" s="18"/>
      <c r="K19572" s="18" t="s">
        <v>316</v>
      </c>
    </row>
    <row r="19573">
      <c r="A19573" s="17"/>
      <c r="H19573" s="18"/>
      <c r="K19573" s="18" t="s">
        <v>316</v>
      </c>
    </row>
    <row r="19574">
      <c r="A19574" s="17"/>
      <c r="H19574" s="18"/>
      <c r="K19574" s="18" t="s">
        <v>316</v>
      </c>
    </row>
    <row r="19575">
      <c r="A19575" s="17"/>
      <c r="H19575" s="18"/>
      <c r="K19575" s="18" t="s">
        <v>316</v>
      </c>
    </row>
    <row r="19576">
      <c r="A19576" s="17"/>
      <c r="H19576" s="18"/>
      <c r="K19576" s="18" t="s">
        <v>316</v>
      </c>
    </row>
    <row r="19577">
      <c r="A19577" s="17"/>
      <c r="H19577" s="18"/>
      <c r="K19577" s="18" t="s">
        <v>316</v>
      </c>
    </row>
    <row r="19578">
      <c r="A19578" s="17"/>
      <c r="H19578" s="18"/>
      <c r="K19578" s="18" t="s">
        <v>316</v>
      </c>
    </row>
    <row r="19579">
      <c r="A19579" s="17"/>
      <c r="H19579" s="18"/>
      <c r="K19579" s="18" t="s">
        <v>316</v>
      </c>
    </row>
    <row r="19580">
      <c r="A19580" s="17"/>
      <c r="H19580" s="18"/>
      <c r="K19580" s="18" t="s">
        <v>316</v>
      </c>
    </row>
    <row r="19581">
      <c r="A19581" s="17"/>
      <c r="H19581" s="18"/>
      <c r="K19581" s="18" t="s">
        <v>316</v>
      </c>
    </row>
    <row r="19582">
      <c r="A19582" s="17"/>
      <c r="H19582" s="18"/>
      <c r="K19582" s="18" t="s">
        <v>316</v>
      </c>
    </row>
    <row r="19583">
      <c r="A19583" s="17"/>
      <c r="H19583" s="18"/>
      <c r="K19583" s="18" t="s">
        <v>316</v>
      </c>
    </row>
    <row r="19584">
      <c r="A19584" s="17"/>
      <c r="H19584" s="18"/>
      <c r="K19584" s="18" t="s">
        <v>316</v>
      </c>
    </row>
    <row r="19585">
      <c r="A19585" s="17"/>
      <c r="H19585" s="18"/>
      <c r="K19585" s="18" t="s">
        <v>316</v>
      </c>
    </row>
    <row r="19586">
      <c r="A19586" s="17"/>
      <c r="H19586" s="18"/>
      <c r="K19586" s="18" t="s">
        <v>316</v>
      </c>
    </row>
    <row r="19587">
      <c r="A19587" s="17"/>
      <c r="H19587" s="18"/>
      <c r="K19587" s="18" t="s">
        <v>316</v>
      </c>
    </row>
    <row r="19588">
      <c r="A19588" s="17"/>
      <c r="H19588" s="18"/>
      <c r="K19588" s="18" t="s">
        <v>316</v>
      </c>
    </row>
    <row r="19589">
      <c r="A19589" s="17"/>
      <c r="H19589" s="18"/>
      <c r="K19589" s="18" t="s">
        <v>316</v>
      </c>
    </row>
    <row r="19590">
      <c r="A19590" s="17"/>
      <c r="H19590" s="18"/>
      <c r="K19590" s="18" t="s">
        <v>316</v>
      </c>
    </row>
    <row r="19591">
      <c r="A19591" s="17"/>
      <c r="H19591" s="18"/>
      <c r="K19591" s="18" t="s">
        <v>316</v>
      </c>
    </row>
    <row r="19592">
      <c r="A19592" s="17"/>
      <c r="H19592" s="18"/>
      <c r="K19592" s="18" t="s">
        <v>316</v>
      </c>
    </row>
    <row r="19593">
      <c r="A19593" s="17"/>
      <c r="H19593" s="18"/>
      <c r="K19593" s="18" t="s">
        <v>316</v>
      </c>
    </row>
    <row r="19594">
      <c r="A19594" s="17"/>
      <c r="H19594" s="18"/>
      <c r="K19594" s="18" t="s">
        <v>316</v>
      </c>
    </row>
    <row r="19595">
      <c r="A19595" s="17"/>
      <c r="H19595" s="18"/>
      <c r="K19595" s="18" t="s">
        <v>316</v>
      </c>
    </row>
    <row r="19596">
      <c r="A19596" s="17"/>
      <c r="H19596" s="18"/>
      <c r="K19596" s="18" t="s">
        <v>316</v>
      </c>
    </row>
    <row r="19597">
      <c r="A19597" s="17"/>
      <c r="H19597" s="18"/>
      <c r="K19597" s="18" t="s">
        <v>316</v>
      </c>
    </row>
    <row r="19598">
      <c r="A19598" s="17"/>
      <c r="H19598" s="18"/>
      <c r="K19598" s="18" t="s">
        <v>316</v>
      </c>
    </row>
    <row r="19599">
      <c r="A19599" s="17"/>
      <c r="H19599" s="18"/>
      <c r="K19599" s="18" t="s">
        <v>316</v>
      </c>
    </row>
    <row r="19600">
      <c r="A19600" s="17"/>
      <c r="H19600" s="18"/>
      <c r="K19600" s="18" t="s">
        <v>316</v>
      </c>
    </row>
    <row r="19601">
      <c r="A19601" s="17"/>
      <c r="H19601" s="18"/>
      <c r="K19601" s="18" t="s">
        <v>316</v>
      </c>
    </row>
    <row r="19602">
      <c r="A19602" s="17"/>
      <c r="H19602" s="18"/>
      <c r="K19602" s="18" t="s">
        <v>316</v>
      </c>
    </row>
    <row r="19603">
      <c r="A19603" s="17"/>
      <c r="H19603" s="18"/>
      <c r="K19603" s="18" t="s">
        <v>316</v>
      </c>
    </row>
    <row r="19604">
      <c r="A19604" s="17"/>
      <c r="H19604" s="18"/>
      <c r="K19604" s="18" t="s">
        <v>316</v>
      </c>
    </row>
    <row r="19605">
      <c r="A19605" s="17"/>
      <c r="H19605" s="18"/>
      <c r="K19605" s="18" t="s">
        <v>316</v>
      </c>
    </row>
    <row r="19606">
      <c r="A19606" s="17"/>
      <c r="H19606" s="18"/>
      <c r="K19606" s="18" t="s">
        <v>316</v>
      </c>
    </row>
    <row r="19607">
      <c r="A19607" s="17"/>
      <c r="H19607" s="18"/>
      <c r="K19607" s="18" t="s">
        <v>316</v>
      </c>
    </row>
    <row r="19608">
      <c r="A19608" s="17"/>
      <c r="H19608" s="18"/>
      <c r="K19608" s="18" t="s">
        <v>316</v>
      </c>
    </row>
    <row r="19609">
      <c r="A19609" s="17"/>
      <c r="H19609" s="18"/>
      <c r="K19609" s="18" t="s">
        <v>316</v>
      </c>
    </row>
    <row r="19610">
      <c r="A19610" s="17"/>
      <c r="H19610" s="18"/>
      <c r="K19610" s="18" t="s">
        <v>316</v>
      </c>
    </row>
    <row r="19611">
      <c r="A19611" s="17"/>
      <c r="H19611" s="18"/>
      <c r="K19611" s="18" t="s">
        <v>316</v>
      </c>
    </row>
    <row r="19612">
      <c r="A19612" s="17"/>
      <c r="H19612" s="18"/>
      <c r="K19612" s="18" t="s">
        <v>316</v>
      </c>
    </row>
    <row r="19613">
      <c r="A19613" s="17"/>
      <c r="H19613" s="18"/>
      <c r="K19613" s="18" t="s">
        <v>316</v>
      </c>
    </row>
    <row r="19614">
      <c r="A19614" s="17"/>
      <c r="H19614" s="18"/>
      <c r="K19614" s="18" t="s">
        <v>316</v>
      </c>
    </row>
    <row r="19615">
      <c r="A19615" s="17"/>
      <c r="H19615" s="18"/>
      <c r="K19615" s="18" t="s">
        <v>316</v>
      </c>
    </row>
    <row r="19616">
      <c r="A19616" s="17"/>
      <c r="H19616" s="18"/>
      <c r="K19616" s="18" t="s">
        <v>316</v>
      </c>
    </row>
    <row r="19617">
      <c r="A19617" s="17"/>
      <c r="H19617" s="18"/>
      <c r="K19617" s="18" t="s">
        <v>316</v>
      </c>
    </row>
    <row r="19618">
      <c r="A19618" s="17"/>
      <c r="H19618" s="18"/>
      <c r="K19618" s="18" t="s">
        <v>316</v>
      </c>
    </row>
    <row r="19619">
      <c r="A19619" s="17"/>
      <c r="H19619" s="18"/>
      <c r="K19619" s="18" t="s">
        <v>316</v>
      </c>
    </row>
    <row r="19620">
      <c r="A19620" s="17"/>
      <c r="H19620" s="18"/>
      <c r="K19620" s="18" t="s">
        <v>316</v>
      </c>
    </row>
    <row r="19621">
      <c r="A19621" s="17"/>
      <c r="H19621" s="18"/>
      <c r="K19621" s="18" t="s">
        <v>316</v>
      </c>
    </row>
    <row r="19622">
      <c r="A19622" s="17"/>
      <c r="H19622" s="18"/>
      <c r="K19622" s="18" t="s">
        <v>316</v>
      </c>
    </row>
    <row r="19623">
      <c r="A19623" s="17"/>
      <c r="H19623" s="18"/>
      <c r="K19623" s="18" t="s">
        <v>316</v>
      </c>
    </row>
    <row r="19624">
      <c r="A19624" s="17"/>
      <c r="H19624" s="18"/>
      <c r="K19624" s="18" t="s">
        <v>316</v>
      </c>
    </row>
    <row r="19625">
      <c r="A19625" s="17"/>
      <c r="H19625" s="18"/>
      <c r="K19625" s="18" t="s">
        <v>316</v>
      </c>
    </row>
    <row r="19626">
      <c r="A19626" s="17"/>
      <c r="H19626" s="18"/>
      <c r="K19626" s="18" t="s">
        <v>316</v>
      </c>
    </row>
    <row r="19627">
      <c r="A19627" s="17"/>
      <c r="H19627" s="18"/>
      <c r="K19627" s="18" t="s">
        <v>316</v>
      </c>
    </row>
    <row r="19628">
      <c r="A19628" s="17"/>
      <c r="H19628" s="18"/>
      <c r="K19628" s="18" t="s">
        <v>316</v>
      </c>
    </row>
    <row r="19629">
      <c r="A19629" s="17"/>
      <c r="H19629" s="18"/>
      <c r="K19629" s="18" t="s">
        <v>316</v>
      </c>
    </row>
    <row r="19630">
      <c r="A19630" s="17"/>
      <c r="H19630" s="18"/>
      <c r="K19630" s="18" t="s">
        <v>316</v>
      </c>
    </row>
    <row r="19631">
      <c r="A19631" s="17"/>
      <c r="H19631" s="18"/>
      <c r="K19631" s="18" t="s">
        <v>316</v>
      </c>
    </row>
    <row r="19632">
      <c r="A19632" s="17"/>
      <c r="H19632" s="18"/>
      <c r="K19632" s="18" t="s">
        <v>316</v>
      </c>
    </row>
    <row r="19633">
      <c r="A19633" s="17"/>
      <c r="H19633" s="18"/>
      <c r="K19633" s="18" t="s">
        <v>316</v>
      </c>
    </row>
    <row r="19634">
      <c r="A19634" s="17"/>
      <c r="H19634" s="18"/>
      <c r="K19634" s="18" t="s">
        <v>316</v>
      </c>
    </row>
    <row r="19635">
      <c r="A19635" s="17"/>
      <c r="H19635" s="18"/>
      <c r="K19635" s="18" t="s">
        <v>316</v>
      </c>
    </row>
    <row r="19636">
      <c r="A19636" s="17"/>
      <c r="H19636" s="18"/>
      <c r="K19636" s="18" t="s">
        <v>316</v>
      </c>
    </row>
    <row r="19637">
      <c r="A19637" s="17"/>
      <c r="H19637" s="18"/>
      <c r="K19637" s="18" t="s">
        <v>316</v>
      </c>
    </row>
    <row r="19638">
      <c r="A19638" s="17"/>
      <c r="H19638" s="18"/>
      <c r="K19638" s="18" t="s">
        <v>316</v>
      </c>
    </row>
    <row r="19639">
      <c r="A19639" s="17"/>
      <c r="H19639" s="18"/>
      <c r="K19639" s="18" t="s">
        <v>316</v>
      </c>
    </row>
    <row r="19640">
      <c r="A19640" s="17"/>
      <c r="H19640" s="18"/>
      <c r="K19640" s="18" t="s">
        <v>316</v>
      </c>
    </row>
    <row r="19641">
      <c r="A19641" s="17"/>
      <c r="H19641" s="18"/>
      <c r="K19641" s="18" t="s">
        <v>316</v>
      </c>
    </row>
    <row r="19642">
      <c r="A19642" s="17"/>
      <c r="H19642" s="18"/>
      <c r="K19642" s="18" t="s">
        <v>316</v>
      </c>
    </row>
    <row r="19643">
      <c r="A19643" s="17"/>
      <c r="H19643" s="18"/>
      <c r="K19643" s="18" t="s">
        <v>316</v>
      </c>
    </row>
    <row r="19644">
      <c r="A19644" s="17"/>
      <c r="H19644" s="18"/>
      <c r="K19644" s="18" t="s">
        <v>316</v>
      </c>
    </row>
    <row r="19645">
      <c r="A19645" s="17"/>
      <c r="H19645" s="18"/>
      <c r="K19645" s="18" t="s">
        <v>316</v>
      </c>
    </row>
    <row r="19646">
      <c r="A19646" s="17"/>
      <c r="H19646" s="18"/>
      <c r="K19646" s="18" t="s">
        <v>316</v>
      </c>
    </row>
    <row r="19647">
      <c r="A19647" s="17"/>
      <c r="H19647" s="18"/>
      <c r="K19647" s="18" t="s">
        <v>316</v>
      </c>
    </row>
    <row r="19648">
      <c r="A19648" s="17"/>
      <c r="H19648" s="18"/>
      <c r="K19648" s="18" t="s">
        <v>316</v>
      </c>
    </row>
    <row r="19649">
      <c r="A19649" s="17"/>
      <c r="H19649" s="18"/>
      <c r="K19649" s="18" t="s">
        <v>316</v>
      </c>
    </row>
    <row r="19650">
      <c r="A19650" s="17"/>
      <c r="H19650" s="18"/>
      <c r="K19650" s="18" t="s">
        <v>316</v>
      </c>
    </row>
    <row r="19651">
      <c r="A19651" s="17"/>
      <c r="H19651" s="18"/>
      <c r="K19651" s="18" t="s">
        <v>316</v>
      </c>
    </row>
    <row r="19652">
      <c r="A19652" s="17"/>
      <c r="H19652" s="18"/>
      <c r="K19652" s="18" t="s">
        <v>316</v>
      </c>
    </row>
    <row r="19653">
      <c r="A19653" s="17"/>
      <c r="H19653" s="18"/>
      <c r="K19653" s="18" t="s">
        <v>316</v>
      </c>
    </row>
    <row r="19654">
      <c r="A19654" s="17"/>
      <c r="H19654" s="18"/>
      <c r="K19654" s="18" t="s">
        <v>316</v>
      </c>
    </row>
    <row r="19655">
      <c r="A19655" s="17"/>
      <c r="H19655" s="18"/>
      <c r="K19655" s="18" t="s">
        <v>316</v>
      </c>
    </row>
    <row r="19656">
      <c r="A19656" s="17"/>
      <c r="H19656" s="18"/>
      <c r="K19656" s="18" t="s">
        <v>316</v>
      </c>
    </row>
    <row r="19657">
      <c r="A19657" s="17"/>
      <c r="H19657" s="18"/>
      <c r="K19657" s="18" t="s">
        <v>316</v>
      </c>
    </row>
    <row r="19658">
      <c r="A19658" s="17"/>
      <c r="H19658" s="18"/>
      <c r="K19658" s="18" t="s">
        <v>316</v>
      </c>
    </row>
    <row r="19659">
      <c r="A19659" s="17"/>
      <c r="H19659" s="18"/>
      <c r="K19659" s="18" t="s">
        <v>316</v>
      </c>
    </row>
    <row r="19660">
      <c r="A19660" s="17"/>
      <c r="H19660" s="18"/>
      <c r="K19660" s="18" t="s">
        <v>316</v>
      </c>
    </row>
    <row r="19661">
      <c r="A19661" s="17"/>
      <c r="H19661" s="18"/>
      <c r="K19661" s="18" t="s">
        <v>316</v>
      </c>
    </row>
    <row r="19662">
      <c r="A19662" s="17"/>
      <c r="H19662" s="18"/>
      <c r="K19662" s="18" t="s">
        <v>316</v>
      </c>
    </row>
    <row r="19663">
      <c r="A19663" s="17"/>
      <c r="H19663" s="18"/>
      <c r="K19663" s="18" t="s">
        <v>316</v>
      </c>
    </row>
    <row r="19664">
      <c r="A19664" s="17"/>
      <c r="H19664" s="18"/>
      <c r="K19664" s="18" t="s">
        <v>316</v>
      </c>
    </row>
    <row r="19665">
      <c r="A19665" s="17"/>
      <c r="H19665" s="18"/>
      <c r="K19665" s="18" t="s">
        <v>316</v>
      </c>
    </row>
    <row r="19666">
      <c r="A19666" s="17"/>
      <c r="H19666" s="18"/>
      <c r="K19666" s="18" t="s">
        <v>316</v>
      </c>
    </row>
    <row r="19667">
      <c r="A19667" s="17"/>
      <c r="H19667" s="18"/>
      <c r="K19667" s="18" t="s">
        <v>316</v>
      </c>
    </row>
    <row r="19668">
      <c r="A19668" s="17"/>
      <c r="H19668" s="18"/>
      <c r="K19668" s="18" t="s">
        <v>316</v>
      </c>
    </row>
    <row r="19669">
      <c r="A19669" s="17"/>
      <c r="H19669" s="18"/>
      <c r="K19669" s="18" t="s">
        <v>316</v>
      </c>
    </row>
    <row r="19670">
      <c r="A19670" s="17"/>
      <c r="H19670" s="18"/>
      <c r="K19670" s="18" t="s">
        <v>316</v>
      </c>
    </row>
    <row r="19671">
      <c r="A19671" s="17"/>
      <c r="H19671" s="18"/>
      <c r="K19671" s="18" t="s">
        <v>316</v>
      </c>
    </row>
    <row r="19672">
      <c r="A19672" s="17"/>
      <c r="H19672" s="18"/>
      <c r="K19672" s="18" t="s">
        <v>316</v>
      </c>
    </row>
    <row r="19673">
      <c r="A19673" s="17"/>
      <c r="H19673" s="18"/>
      <c r="K19673" s="18" t="s">
        <v>316</v>
      </c>
    </row>
    <row r="19674">
      <c r="A19674" s="17"/>
      <c r="H19674" s="18"/>
      <c r="K19674" s="18" t="s">
        <v>316</v>
      </c>
    </row>
    <row r="19675">
      <c r="A19675" s="17"/>
      <c r="H19675" s="18"/>
      <c r="K19675" s="18" t="s">
        <v>316</v>
      </c>
    </row>
    <row r="19676">
      <c r="A19676" s="17"/>
      <c r="H19676" s="18"/>
      <c r="K19676" s="18" t="s">
        <v>316</v>
      </c>
    </row>
    <row r="19677">
      <c r="A19677" s="17"/>
      <c r="H19677" s="18"/>
      <c r="K19677" s="18" t="s">
        <v>316</v>
      </c>
    </row>
    <row r="19678">
      <c r="A19678" s="17"/>
      <c r="H19678" s="18"/>
      <c r="K19678" s="18" t="s">
        <v>316</v>
      </c>
    </row>
    <row r="19679">
      <c r="A19679" s="17"/>
      <c r="H19679" s="18"/>
      <c r="K19679" s="18" t="s">
        <v>316</v>
      </c>
    </row>
    <row r="19680">
      <c r="A19680" s="17"/>
      <c r="H19680" s="18"/>
      <c r="K19680" s="18" t="s">
        <v>316</v>
      </c>
    </row>
    <row r="19681">
      <c r="A19681" s="17"/>
      <c r="H19681" s="18"/>
      <c r="K19681" s="18" t="s">
        <v>316</v>
      </c>
    </row>
    <row r="19682">
      <c r="A19682" s="17"/>
      <c r="H19682" s="18"/>
      <c r="K19682" s="18" t="s">
        <v>316</v>
      </c>
    </row>
    <row r="19683">
      <c r="A19683" s="17"/>
      <c r="H19683" s="18"/>
      <c r="K19683" s="18" t="s">
        <v>316</v>
      </c>
    </row>
    <row r="19684">
      <c r="A19684" s="17"/>
      <c r="H19684" s="18"/>
      <c r="K19684" s="18" t="s">
        <v>316</v>
      </c>
    </row>
    <row r="19685">
      <c r="A19685" s="17"/>
      <c r="H19685" s="18"/>
      <c r="K19685" s="18" t="s">
        <v>316</v>
      </c>
    </row>
    <row r="19686">
      <c r="A19686" s="17"/>
      <c r="H19686" s="18"/>
      <c r="K19686" s="18" t="s">
        <v>316</v>
      </c>
    </row>
    <row r="19687">
      <c r="A19687" s="17"/>
      <c r="H19687" s="18"/>
      <c r="K19687" s="18" t="s">
        <v>316</v>
      </c>
    </row>
    <row r="19688">
      <c r="A19688" s="17"/>
      <c r="H19688" s="18"/>
      <c r="K19688" s="18" t="s">
        <v>316</v>
      </c>
    </row>
    <row r="19689">
      <c r="A19689" s="17"/>
      <c r="H19689" s="18"/>
      <c r="K19689" s="18" t="s">
        <v>316</v>
      </c>
    </row>
    <row r="19690">
      <c r="A19690" s="17"/>
      <c r="H19690" s="18"/>
      <c r="K19690" s="18" t="s">
        <v>316</v>
      </c>
    </row>
    <row r="19691">
      <c r="A19691" s="17"/>
      <c r="H19691" s="18"/>
      <c r="K19691" s="18" t="s">
        <v>316</v>
      </c>
    </row>
    <row r="19692">
      <c r="A19692" s="17"/>
      <c r="H19692" s="18"/>
      <c r="K19692" s="18" t="s">
        <v>316</v>
      </c>
    </row>
    <row r="19693">
      <c r="A19693" s="17"/>
      <c r="H19693" s="18"/>
      <c r="K19693" s="18" t="s">
        <v>316</v>
      </c>
    </row>
    <row r="19694">
      <c r="A19694" s="17"/>
      <c r="H19694" s="18"/>
      <c r="K19694" s="18" t="s">
        <v>316</v>
      </c>
    </row>
    <row r="19695">
      <c r="A19695" s="17"/>
      <c r="H19695" s="18"/>
      <c r="K19695" s="18" t="s">
        <v>316</v>
      </c>
    </row>
    <row r="19696">
      <c r="A19696" s="17"/>
      <c r="H19696" s="18"/>
      <c r="K19696" s="18" t="s">
        <v>316</v>
      </c>
    </row>
    <row r="19697">
      <c r="A19697" s="17"/>
      <c r="H19697" s="18"/>
      <c r="K19697" s="18" t="s">
        <v>316</v>
      </c>
    </row>
    <row r="19698">
      <c r="A19698" s="17"/>
      <c r="H19698" s="18"/>
      <c r="K19698" s="18" t="s">
        <v>316</v>
      </c>
    </row>
    <row r="19699">
      <c r="A19699" s="17"/>
      <c r="H19699" s="18"/>
      <c r="K19699" s="18" t="s">
        <v>316</v>
      </c>
    </row>
    <row r="19700">
      <c r="A19700" s="17"/>
      <c r="H19700" s="18"/>
      <c r="K19700" s="18" t="s">
        <v>316</v>
      </c>
    </row>
    <row r="19701">
      <c r="A19701" s="17"/>
      <c r="H19701" s="18"/>
      <c r="K19701" s="18" t="s">
        <v>316</v>
      </c>
    </row>
    <row r="19702">
      <c r="A19702" s="17"/>
      <c r="H19702" s="18"/>
      <c r="K19702" s="18" t="s">
        <v>316</v>
      </c>
    </row>
    <row r="19703">
      <c r="A19703" s="17"/>
      <c r="H19703" s="18"/>
      <c r="K19703" s="18" t="s">
        <v>316</v>
      </c>
    </row>
    <row r="19704">
      <c r="A19704" s="17"/>
      <c r="H19704" s="18"/>
      <c r="K19704" s="18" t="s">
        <v>316</v>
      </c>
    </row>
    <row r="19705">
      <c r="A19705" s="17"/>
      <c r="H19705" s="18"/>
      <c r="K19705" s="18" t="s">
        <v>316</v>
      </c>
    </row>
    <row r="19706">
      <c r="A19706" s="17"/>
      <c r="H19706" s="18"/>
      <c r="K19706" s="18" t="s">
        <v>316</v>
      </c>
    </row>
    <row r="19707">
      <c r="A19707" s="17"/>
      <c r="H19707" s="18"/>
      <c r="K19707" s="18" t="s">
        <v>316</v>
      </c>
    </row>
    <row r="19708">
      <c r="A19708" s="17"/>
      <c r="H19708" s="18"/>
      <c r="K19708" s="18" t="s">
        <v>316</v>
      </c>
    </row>
    <row r="19709">
      <c r="A19709" s="17"/>
      <c r="H19709" s="18"/>
      <c r="K19709" s="18" t="s">
        <v>316</v>
      </c>
    </row>
    <row r="19710">
      <c r="A19710" s="17"/>
      <c r="H19710" s="18"/>
      <c r="K19710" s="18" t="s">
        <v>316</v>
      </c>
    </row>
    <row r="19711">
      <c r="A19711" s="17"/>
      <c r="H19711" s="18"/>
      <c r="K19711" s="18" t="s">
        <v>316</v>
      </c>
    </row>
    <row r="19712">
      <c r="A19712" s="17"/>
      <c r="H19712" s="18"/>
      <c r="K19712" s="18" t="s">
        <v>316</v>
      </c>
    </row>
    <row r="19713">
      <c r="A19713" s="17"/>
      <c r="H19713" s="18"/>
      <c r="K19713" s="18" t="s">
        <v>316</v>
      </c>
    </row>
    <row r="19714">
      <c r="A19714" s="17"/>
      <c r="H19714" s="18"/>
      <c r="K19714" s="18" t="s">
        <v>316</v>
      </c>
    </row>
    <row r="19715">
      <c r="A19715" s="17"/>
      <c r="H19715" s="18"/>
      <c r="K19715" s="18" t="s">
        <v>316</v>
      </c>
    </row>
    <row r="19716">
      <c r="A19716" s="17"/>
      <c r="H19716" s="18"/>
      <c r="K19716" s="18" t="s">
        <v>316</v>
      </c>
    </row>
    <row r="19717">
      <c r="A19717" s="17"/>
      <c r="H19717" s="18"/>
      <c r="K19717" s="18" t="s">
        <v>316</v>
      </c>
    </row>
    <row r="19718">
      <c r="A19718" s="17"/>
      <c r="H19718" s="18"/>
      <c r="K19718" s="18" t="s">
        <v>316</v>
      </c>
    </row>
    <row r="19719">
      <c r="A19719" s="17"/>
      <c r="H19719" s="18"/>
      <c r="K19719" s="18" t="s">
        <v>316</v>
      </c>
    </row>
    <row r="19720">
      <c r="A19720" s="17"/>
      <c r="H19720" s="18"/>
      <c r="K19720" s="18" t="s">
        <v>316</v>
      </c>
    </row>
    <row r="19721">
      <c r="A19721" s="17"/>
      <c r="H19721" s="18"/>
      <c r="K19721" s="18" t="s">
        <v>316</v>
      </c>
    </row>
    <row r="19722">
      <c r="A19722" s="17"/>
      <c r="H19722" s="18"/>
      <c r="K19722" s="18" t="s">
        <v>316</v>
      </c>
    </row>
    <row r="19723">
      <c r="A19723" s="17"/>
      <c r="H19723" s="18"/>
      <c r="K19723" s="18" t="s">
        <v>316</v>
      </c>
    </row>
    <row r="19724">
      <c r="A19724" s="17"/>
      <c r="H19724" s="18"/>
      <c r="K19724" s="18" t="s">
        <v>316</v>
      </c>
    </row>
    <row r="19725">
      <c r="A19725" s="17"/>
      <c r="H19725" s="18"/>
      <c r="K19725" s="18" t="s">
        <v>316</v>
      </c>
    </row>
    <row r="19726">
      <c r="A19726" s="17"/>
      <c r="H19726" s="18"/>
      <c r="K19726" s="18" t="s">
        <v>316</v>
      </c>
    </row>
    <row r="19727">
      <c r="A19727" s="17"/>
      <c r="H19727" s="18"/>
      <c r="K19727" s="18" t="s">
        <v>316</v>
      </c>
    </row>
    <row r="19728">
      <c r="A19728" s="17"/>
      <c r="H19728" s="18"/>
      <c r="K19728" s="18" t="s">
        <v>316</v>
      </c>
    </row>
    <row r="19729">
      <c r="A19729" s="17"/>
      <c r="H19729" s="18"/>
      <c r="K19729" s="18" t="s">
        <v>316</v>
      </c>
    </row>
    <row r="19730">
      <c r="A19730" s="17"/>
      <c r="H19730" s="18"/>
      <c r="K19730" s="18" t="s">
        <v>316</v>
      </c>
    </row>
    <row r="19731">
      <c r="A19731" s="17"/>
      <c r="H19731" s="18"/>
      <c r="K19731" s="18" t="s">
        <v>316</v>
      </c>
    </row>
    <row r="19732">
      <c r="A19732" s="17"/>
      <c r="H19732" s="18"/>
      <c r="K19732" s="18" t="s">
        <v>316</v>
      </c>
    </row>
    <row r="19733">
      <c r="A19733" s="17"/>
      <c r="H19733" s="18"/>
      <c r="K19733" s="18" t="s">
        <v>316</v>
      </c>
    </row>
    <row r="19734">
      <c r="A19734" s="17"/>
      <c r="H19734" s="18"/>
      <c r="K19734" s="18" t="s">
        <v>316</v>
      </c>
    </row>
    <row r="19735">
      <c r="A19735" s="17"/>
      <c r="H19735" s="18"/>
      <c r="K19735" s="18" t="s">
        <v>316</v>
      </c>
    </row>
    <row r="19736">
      <c r="A19736" s="17"/>
      <c r="H19736" s="18"/>
      <c r="K19736" s="18" t="s">
        <v>316</v>
      </c>
    </row>
    <row r="19737">
      <c r="A19737" s="17"/>
      <c r="H19737" s="18"/>
      <c r="K19737" s="18" t="s">
        <v>316</v>
      </c>
    </row>
    <row r="19738">
      <c r="A19738" s="17"/>
      <c r="H19738" s="18"/>
      <c r="K19738" s="18" t="s">
        <v>316</v>
      </c>
    </row>
    <row r="19739">
      <c r="A19739" s="17"/>
      <c r="H19739" s="18"/>
      <c r="K19739" s="18" t="s">
        <v>316</v>
      </c>
    </row>
    <row r="19740">
      <c r="A19740" s="17"/>
      <c r="H19740" s="18"/>
      <c r="K19740" s="18" t="s">
        <v>316</v>
      </c>
    </row>
    <row r="19741">
      <c r="A19741" s="17"/>
      <c r="H19741" s="18"/>
      <c r="K19741" s="18" t="s">
        <v>316</v>
      </c>
    </row>
    <row r="19742">
      <c r="A19742" s="17"/>
      <c r="H19742" s="18"/>
      <c r="K19742" s="18" t="s">
        <v>316</v>
      </c>
    </row>
    <row r="19743">
      <c r="A19743" s="17"/>
      <c r="H19743" s="18"/>
      <c r="K19743" s="18" t="s">
        <v>316</v>
      </c>
    </row>
    <row r="19744">
      <c r="A19744" s="17"/>
      <c r="H19744" s="18"/>
      <c r="K19744" s="18" t="s">
        <v>316</v>
      </c>
    </row>
    <row r="19745">
      <c r="A19745" s="17"/>
      <c r="H19745" s="18"/>
      <c r="K19745" s="18" t="s">
        <v>316</v>
      </c>
    </row>
    <row r="19746">
      <c r="A19746" s="17"/>
      <c r="H19746" s="18"/>
      <c r="K19746" s="18" t="s">
        <v>316</v>
      </c>
    </row>
    <row r="19747">
      <c r="A19747" s="17"/>
      <c r="H19747" s="18"/>
      <c r="K19747" s="18" t="s">
        <v>316</v>
      </c>
    </row>
    <row r="19748">
      <c r="A19748" s="17"/>
      <c r="H19748" s="18"/>
      <c r="K19748" s="18" t="s">
        <v>316</v>
      </c>
    </row>
    <row r="19749">
      <c r="A19749" s="17"/>
      <c r="H19749" s="18"/>
      <c r="K19749" s="18" t="s">
        <v>316</v>
      </c>
    </row>
    <row r="19750">
      <c r="A19750" s="17"/>
      <c r="H19750" s="18"/>
      <c r="K19750" s="18" t="s">
        <v>316</v>
      </c>
    </row>
    <row r="19751">
      <c r="A19751" s="17"/>
      <c r="H19751" s="18"/>
      <c r="K19751" s="18" t="s">
        <v>316</v>
      </c>
    </row>
    <row r="19752">
      <c r="A19752" s="17"/>
      <c r="H19752" s="18"/>
      <c r="K19752" s="18" t="s">
        <v>316</v>
      </c>
    </row>
    <row r="19753">
      <c r="A19753" s="17"/>
      <c r="H19753" s="18"/>
      <c r="K19753" s="18" t="s">
        <v>316</v>
      </c>
    </row>
    <row r="19754">
      <c r="A19754" s="17"/>
      <c r="H19754" s="18"/>
      <c r="K19754" s="18" t="s">
        <v>316</v>
      </c>
    </row>
    <row r="19755">
      <c r="A19755" s="17"/>
      <c r="H19755" s="18"/>
      <c r="K19755" s="18" t="s">
        <v>316</v>
      </c>
    </row>
    <row r="19756">
      <c r="A19756" s="17"/>
      <c r="H19756" s="18"/>
      <c r="K19756" s="18" t="s">
        <v>316</v>
      </c>
    </row>
    <row r="19757">
      <c r="A19757" s="17"/>
      <c r="H19757" s="18"/>
      <c r="K19757" s="18" t="s">
        <v>316</v>
      </c>
    </row>
    <row r="19758">
      <c r="A19758" s="17"/>
      <c r="H19758" s="18"/>
      <c r="K19758" s="18" t="s">
        <v>316</v>
      </c>
    </row>
    <row r="19759">
      <c r="A19759" s="17"/>
      <c r="H19759" s="18"/>
      <c r="K19759" s="18" t="s">
        <v>316</v>
      </c>
    </row>
    <row r="19760">
      <c r="A19760" s="17"/>
      <c r="H19760" s="18"/>
      <c r="K19760" s="18" t="s">
        <v>316</v>
      </c>
    </row>
    <row r="19761">
      <c r="A19761" s="17"/>
      <c r="H19761" s="18"/>
      <c r="K19761" s="18" t="s">
        <v>316</v>
      </c>
    </row>
    <row r="19762">
      <c r="A19762" s="17"/>
      <c r="H19762" s="18"/>
      <c r="K19762" s="18" t="s">
        <v>316</v>
      </c>
    </row>
    <row r="19763">
      <c r="A19763" s="17"/>
      <c r="H19763" s="18"/>
      <c r="K19763" s="18" t="s">
        <v>316</v>
      </c>
    </row>
    <row r="19764">
      <c r="A19764" s="17"/>
      <c r="H19764" s="18"/>
      <c r="K19764" s="18" t="s">
        <v>316</v>
      </c>
    </row>
    <row r="19765">
      <c r="A19765" s="17"/>
      <c r="H19765" s="18"/>
      <c r="K19765" s="18" t="s">
        <v>316</v>
      </c>
    </row>
    <row r="19766">
      <c r="A19766" s="17"/>
      <c r="H19766" s="18"/>
      <c r="K19766" s="18" t="s">
        <v>316</v>
      </c>
    </row>
    <row r="19767">
      <c r="A19767" s="17"/>
      <c r="H19767" s="18"/>
      <c r="K19767" s="18" t="s">
        <v>316</v>
      </c>
    </row>
    <row r="19768">
      <c r="A19768" s="17"/>
      <c r="H19768" s="18"/>
      <c r="K19768" s="18" t="s">
        <v>316</v>
      </c>
    </row>
    <row r="19769">
      <c r="A19769" s="17"/>
      <c r="H19769" s="18"/>
      <c r="K19769" s="18" t="s">
        <v>316</v>
      </c>
    </row>
    <row r="19770">
      <c r="A19770" s="17"/>
      <c r="H19770" s="18"/>
      <c r="K19770" s="18" t="s">
        <v>316</v>
      </c>
    </row>
    <row r="19771">
      <c r="A19771" s="17"/>
      <c r="H19771" s="18"/>
      <c r="K19771" s="18" t="s">
        <v>316</v>
      </c>
    </row>
    <row r="19772">
      <c r="A19772" s="17"/>
      <c r="H19772" s="18"/>
      <c r="K19772" s="18" t="s">
        <v>316</v>
      </c>
    </row>
    <row r="19773">
      <c r="A19773" s="17"/>
      <c r="H19773" s="18"/>
      <c r="K19773" s="18" t="s">
        <v>316</v>
      </c>
    </row>
    <row r="19774">
      <c r="A19774" s="17"/>
      <c r="H19774" s="18"/>
      <c r="K19774" s="18" t="s">
        <v>316</v>
      </c>
    </row>
    <row r="19775">
      <c r="A19775" s="17"/>
      <c r="H19775" s="18"/>
      <c r="K19775" s="18" t="s">
        <v>316</v>
      </c>
    </row>
    <row r="19776">
      <c r="A19776" s="17"/>
      <c r="H19776" s="18"/>
      <c r="K19776" s="18" t="s">
        <v>316</v>
      </c>
    </row>
    <row r="19777">
      <c r="A19777" s="17"/>
      <c r="H19777" s="18"/>
      <c r="K19777" s="18" t="s">
        <v>316</v>
      </c>
    </row>
    <row r="19778">
      <c r="A19778" s="17"/>
      <c r="H19778" s="18"/>
      <c r="K19778" s="18" t="s">
        <v>316</v>
      </c>
    </row>
    <row r="19779">
      <c r="A19779" s="17"/>
      <c r="H19779" s="18"/>
      <c r="K19779" s="18" t="s">
        <v>316</v>
      </c>
    </row>
    <row r="19780">
      <c r="A19780" s="17"/>
      <c r="H19780" s="18"/>
      <c r="K19780" s="18" t="s">
        <v>316</v>
      </c>
    </row>
    <row r="19781">
      <c r="A19781" s="17"/>
      <c r="H19781" s="18"/>
      <c r="K19781" s="18" t="s">
        <v>316</v>
      </c>
    </row>
    <row r="19782">
      <c r="A19782" s="17"/>
      <c r="H19782" s="18"/>
      <c r="K19782" s="18" t="s">
        <v>316</v>
      </c>
    </row>
    <row r="19783">
      <c r="A19783" s="17"/>
      <c r="H19783" s="18"/>
      <c r="K19783" s="18" t="s">
        <v>316</v>
      </c>
    </row>
    <row r="19784">
      <c r="A19784" s="17"/>
      <c r="H19784" s="18"/>
      <c r="K19784" s="18" t="s">
        <v>316</v>
      </c>
    </row>
    <row r="19785">
      <c r="A19785" s="17"/>
      <c r="H19785" s="18"/>
      <c r="K19785" s="18" t="s">
        <v>316</v>
      </c>
    </row>
    <row r="19786">
      <c r="A19786" s="17"/>
      <c r="H19786" s="18"/>
      <c r="K19786" s="18" t="s">
        <v>316</v>
      </c>
    </row>
    <row r="19787">
      <c r="A19787" s="17"/>
      <c r="H19787" s="18"/>
      <c r="K19787" s="18" t="s">
        <v>316</v>
      </c>
    </row>
    <row r="19788">
      <c r="A19788" s="17"/>
      <c r="H19788" s="18"/>
      <c r="K19788" s="18" t="s">
        <v>316</v>
      </c>
    </row>
    <row r="19789">
      <c r="A19789" s="17"/>
      <c r="H19789" s="18"/>
      <c r="K19789" s="18" t="s">
        <v>316</v>
      </c>
    </row>
    <row r="19790">
      <c r="A19790" s="17"/>
      <c r="H19790" s="18"/>
      <c r="K19790" s="18" t="s">
        <v>316</v>
      </c>
    </row>
    <row r="19791">
      <c r="A19791" s="17"/>
      <c r="H19791" s="18"/>
      <c r="K19791" s="18" t="s">
        <v>316</v>
      </c>
    </row>
    <row r="19792">
      <c r="A19792" s="17"/>
      <c r="H19792" s="18"/>
      <c r="K19792" s="18" t="s">
        <v>316</v>
      </c>
    </row>
    <row r="19793">
      <c r="A19793" s="17"/>
      <c r="H19793" s="18"/>
      <c r="K19793" s="18" t="s">
        <v>316</v>
      </c>
    </row>
    <row r="19794">
      <c r="A19794" s="17"/>
      <c r="H19794" s="18"/>
      <c r="K19794" s="18" t="s">
        <v>316</v>
      </c>
    </row>
    <row r="19795">
      <c r="A19795" s="17"/>
      <c r="H19795" s="18"/>
      <c r="K19795" s="18" t="s">
        <v>316</v>
      </c>
    </row>
    <row r="19796">
      <c r="A19796" s="17"/>
      <c r="H19796" s="18"/>
      <c r="K19796" s="18" t="s">
        <v>316</v>
      </c>
    </row>
    <row r="19797">
      <c r="A19797" s="17"/>
      <c r="H19797" s="18"/>
      <c r="K19797" s="18" t="s">
        <v>316</v>
      </c>
    </row>
    <row r="19798">
      <c r="A19798" s="17"/>
      <c r="H19798" s="18"/>
      <c r="K19798" s="18" t="s">
        <v>316</v>
      </c>
    </row>
    <row r="19799">
      <c r="A19799" s="17"/>
      <c r="H19799" s="18"/>
      <c r="K19799" s="18" t="s">
        <v>316</v>
      </c>
    </row>
    <row r="19800">
      <c r="A19800" s="17"/>
      <c r="H19800" s="18"/>
      <c r="K19800" s="18" t="s">
        <v>316</v>
      </c>
    </row>
    <row r="19801">
      <c r="A19801" s="17"/>
      <c r="H19801" s="18"/>
      <c r="K19801" s="18" t="s">
        <v>316</v>
      </c>
    </row>
    <row r="19802">
      <c r="A19802" s="17"/>
      <c r="H19802" s="18"/>
      <c r="K19802" s="18" t="s">
        <v>316</v>
      </c>
    </row>
    <row r="19803">
      <c r="A19803" s="17"/>
      <c r="H19803" s="18"/>
      <c r="K19803" s="18" t="s">
        <v>316</v>
      </c>
    </row>
    <row r="19804">
      <c r="A19804" s="17"/>
      <c r="H19804" s="18"/>
      <c r="K19804" s="18" t="s">
        <v>316</v>
      </c>
    </row>
    <row r="19805">
      <c r="A19805" s="17"/>
      <c r="H19805" s="18"/>
      <c r="K19805" s="18" t="s">
        <v>316</v>
      </c>
    </row>
    <row r="19806">
      <c r="A19806" s="17"/>
      <c r="H19806" s="18"/>
      <c r="K19806" s="18" t="s">
        <v>316</v>
      </c>
    </row>
    <row r="19807">
      <c r="A19807" s="17"/>
      <c r="H19807" s="18"/>
      <c r="K19807" s="18" t="s">
        <v>316</v>
      </c>
    </row>
    <row r="19808">
      <c r="A19808" s="17"/>
      <c r="H19808" s="18"/>
      <c r="K19808" s="18" t="s">
        <v>316</v>
      </c>
    </row>
    <row r="19809">
      <c r="A19809" s="17"/>
      <c r="H19809" s="18"/>
      <c r="K19809" s="18" t="s">
        <v>316</v>
      </c>
    </row>
    <row r="19810">
      <c r="A19810" s="17"/>
      <c r="H19810" s="18"/>
      <c r="K19810" s="18" t="s">
        <v>316</v>
      </c>
    </row>
    <row r="19811">
      <c r="A19811" s="17"/>
      <c r="H19811" s="18"/>
      <c r="K19811" s="18" t="s">
        <v>316</v>
      </c>
    </row>
    <row r="19812">
      <c r="A19812" s="17"/>
      <c r="H19812" s="18"/>
      <c r="K19812" s="18" t="s">
        <v>316</v>
      </c>
    </row>
    <row r="19813">
      <c r="A19813" s="17"/>
      <c r="H19813" s="18"/>
      <c r="K19813" s="18" t="s">
        <v>316</v>
      </c>
    </row>
    <row r="19814">
      <c r="A19814" s="17"/>
      <c r="H19814" s="18"/>
      <c r="K19814" s="18" t="s">
        <v>316</v>
      </c>
    </row>
    <row r="19815">
      <c r="A19815" s="17"/>
      <c r="H19815" s="18"/>
      <c r="K19815" s="18" t="s">
        <v>316</v>
      </c>
    </row>
    <row r="19816">
      <c r="A19816" s="17"/>
      <c r="H19816" s="18"/>
      <c r="K19816" s="18" t="s">
        <v>316</v>
      </c>
    </row>
    <row r="19817">
      <c r="A19817" s="17"/>
      <c r="H19817" s="18"/>
      <c r="K19817" s="18" t="s">
        <v>316</v>
      </c>
    </row>
    <row r="19818">
      <c r="A19818" s="17"/>
      <c r="H19818" s="18"/>
      <c r="K19818" s="18" t="s">
        <v>316</v>
      </c>
    </row>
    <row r="19819">
      <c r="A19819" s="17"/>
      <c r="H19819" s="18"/>
      <c r="K19819" s="18" t="s">
        <v>316</v>
      </c>
    </row>
    <row r="19820">
      <c r="A19820" s="17"/>
      <c r="H19820" s="18"/>
      <c r="K19820" s="18" t="s">
        <v>316</v>
      </c>
    </row>
    <row r="19821">
      <c r="A19821" s="17"/>
      <c r="H19821" s="18"/>
      <c r="K19821" s="18" t="s">
        <v>316</v>
      </c>
    </row>
    <row r="19822">
      <c r="A19822" s="17"/>
      <c r="H19822" s="18"/>
      <c r="K19822" s="18" t="s">
        <v>316</v>
      </c>
    </row>
    <row r="19823">
      <c r="A19823" s="17"/>
      <c r="H19823" s="18"/>
      <c r="K19823" s="18" t="s">
        <v>316</v>
      </c>
    </row>
    <row r="19824">
      <c r="A19824" s="17"/>
      <c r="H19824" s="18"/>
      <c r="K19824" s="18" t="s">
        <v>316</v>
      </c>
    </row>
    <row r="19825">
      <c r="A19825" s="17"/>
      <c r="H19825" s="18"/>
      <c r="K19825" s="18" t="s">
        <v>316</v>
      </c>
    </row>
    <row r="19826">
      <c r="A19826" s="17"/>
      <c r="H19826" s="18"/>
      <c r="K19826" s="18" t="s">
        <v>316</v>
      </c>
    </row>
    <row r="19827">
      <c r="A19827" s="17"/>
      <c r="H19827" s="18"/>
      <c r="K19827" s="18" t="s">
        <v>316</v>
      </c>
    </row>
    <row r="19828">
      <c r="A19828" s="17"/>
      <c r="H19828" s="18"/>
      <c r="K19828" s="18" t="s">
        <v>316</v>
      </c>
    </row>
    <row r="19829">
      <c r="A19829" s="17"/>
      <c r="H19829" s="18"/>
      <c r="K19829" s="18" t="s">
        <v>316</v>
      </c>
    </row>
    <row r="19830">
      <c r="A19830" s="17"/>
      <c r="H19830" s="18"/>
      <c r="K19830" s="18" t="s">
        <v>316</v>
      </c>
    </row>
    <row r="19831">
      <c r="A19831" s="17"/>
      <c r="H19831" s="18"/>
      <c r="K19831" s="18" t="s">
        <v>316</v>
      </c>
    </row>
    <row r="19832">
      <c r="A19832" s="17"/>
      <c r="H19832" s="18"/>
      <c r="K19832" s="18" t="s">
        <v>316</v>
      </c>
    </row>
    <row r="19833">
      <c r="A19833" s="17"/>
      <c r="H19833" s="18"/>
      <c r="K19833" s="18" t="s">
        <v>316</v>
      </c>
    </row>
    <row r="19834">
      <c r="A19834" s="17"/>
      <c r="H19834" s="18"/>
      <c r="K19834" s="18" t="s">
        <v>316</v>
      </c>
    </row>
    <row r="19835">
      <c r="A19835" s="17"/>
      <c r="H19835" s="18"/>
      <c r="K19835" s="18" t="s">
        <v>316</v>
      </c>
    </row>
    <row r="19836">
      <c r="A19836" s="17"/>
      <c r="H19836" s="18"/>
      <c r="K19836" s="18" t="s">
        <v>316</v>
      </c>
    </row>
    <row r="19837">
      <c r="A19837" s="17"/>
      <c r="H19837" s="18"/>
      <c r="K19837" s="18" t="s">
        <v>316</v>
      </c>
    </row>
    <row r="19838">
      <c r="A19838" s="17"/>
      <c r="H19838" s="18"/>
      <c r="K19838" s="18" t="s">
        <v>316</v>
      </c>
    </row>
    <row r="19839">
      <c r="A19839" s="17"/>
      <c r="H19839" s="18"/>
      <c r="K19839" s="18" t="s">
        <v>316</v>
      </c>
    </row>
    <row r="19840">
      <c r="A19840" s="17"/>
      <c r="H19840" s="18"/>
      <c r="K19840" s="18" t="s">
        <v>316</v>
      </c>
    </row>
    <row r="19841">
      <c r="A19841" s="17"/>
      <c r="H19841" s="18"/>
      <c r="K19841" s="18" t="s">
        <v>316</v>
      </c>
    </row>
    <row r="19842">
      <c r="A19842" s="17"/>
      <c r="H19842" s="18"/>
      <c r="K19842" s="18" t="s">
        <v>316</v>
      </c>
    </row>
    <row r="19843">
      <c r="A19843" s="17"/>
      <c r="H19843" s="18"/>
      <c r="K19843" s="18" t="s">
        <v>316</v>
      </c>
    </row>
    <row r="19844">
      <c r="A19844" s="17"/>
      <c r="H19844" s="18"/>
      <c r="K19844" s="18" t="s">
        <v>316</v>
      </c>
    </row>
    <row r="19845">
      <c r="A19845" s="17"/>
      <c r="H19845" s="18"/>
      <c r="K19845" s="18" t="s">
        <v>316</v>
      </c>
    </row>
    <row r="19846">
      <c r="A19846" s="17"/>
      <c r="H19846" s="18"/>
      <c r="K19846" s="18" t="s">
        <v>316</v>
      </c>
    </row>
    <row r="19847">
      <c r="A19847" s="17"/>
      <c r="H19847" s="18"/>
      <c r="K19847" s="18" t="s">
        <v>316</v>
      </c>
    </row>
    <row r="19848">
      <c r="A19848" s="17"/>
      <c r="H19848" s="18"/>
      <c r="K19848" s="18" t="s">
        <v>316</v>
      </c>
    </row>
    <row r="19849">
      <c r="A19849" s="17"/>
      <c r="H19849" s="18"/>
      <c r="K19849" s="18" t="s">
        <v>316</v>
      </c>
    </row>
    <row r="19850">
      <c r="A19850" s="17"/>
      <c r="H19850" s="18"/>
      <c r="K19850" s="18" t="s">
        <v>316</v>
      </c>
    </row>
    <row r="19851">
      <c r="A19851" s="17"/>
      <c r="H19851" s="18"/>
      <c r="K19851" s="18" t="s">
        <v>316</v>
      </c>
    </row>
    <row r="19852">
      <c r="A19852" s="17"/>
      <c r="H19852" s="18"/>
      <c r="K19852" s="18" t="s">
        <v>316</v>
      </c>
    </row>
    <row r="19853">
      <c r="A19853" s="17"/>
      <c r="H19853" s="18"/>
      <c r="K19853" s="18" t="s">
        <v>316</v>
      </c>
    </row>
    <row r="19854">
      <c r="A19854" s="17"/>
      <c r="H19854" s="18"/>
      <c r="K19854" s="18" t="s">
        <v>316</v>
      </c>
    </row>
    <row r="19855">
      <c r="A19855" s="17"/>
      <c r="H19855" s="18"/>
      <c r="K19855" s="18" t="s">
        <v>316</v>
      </c>
    </row>
    <row r="19856">
      <c r="A19856" s="17"/>
      <c r="H19856" s="18"/>
      <c r="K19856" s="18" t="s">
        <v>316</v>
      </c>
    </row>
    <row r="19857">
      <c r="A19857" s="17"/>
      <c r="H19857" s="18"/>
      <c r="K19857" s="18" t="s">
        <v>316</v>
      </c>
    </row>
    <row r="19858">
      <c r="A19858" s="17"/>
      <c r="H19858" s="18"/>
      <c r="K19858" s="18" t="s">
        <v>316</v>
      </c>
    </row>
    <row r="19859">
      <c r="A19859" s="17"/>
      <c r="H19859" s="18"/>
      <c r="K19859" s="18" t="s">
        <v>316</v>
      </c>
    </row>
    <row r="19860">
      <c r="A19860" s="17"/>
      <c r="H19860" s="18"/>
      <c r="K19860" s="18" t="s">
        <v>316</v>
      </c>
    </row>
    <row r="19861">
      <c r="A19861" s="17"/>
      <c r="H19861" s="18"/>
      <c r="K19861" s="18" t="s">
        <v>316</v>
      </c>
    </row>
    <row r="19862">
      <c r="A19862" s="17"/>
      <c r="H19862" s="18"/>
      <c r="K19862" s="18" t="s">
        <v>316</v>
      </c>
    </row>
    <row r="19863">
      <c r="A19863" s="17"/>
      <c r="H19863" s="18"/>
      <c r="K19863" s="18" t="s">
        <v>316</v>
      </c>
    </row>
    <row r="19864">
      <c r="A19864" s="17"/>
      <c r="H19864" s="18"/>
      <c r="K19864" s="18" t="s">
        <v>316</v>
      </c>
    </row>
    <row r="19865">
      <c r="A19865" s="17"/>
      <c r="H19865" s="18"/>
      <c r="K19865" s="18" t="s">
        <v>316</v>
      </c>
    </row>
    <row r="19866">
      <c r="A19866" s="17"/>
      <c r="H19866" s="18"/>
      <c r="K19866" s="18" t="s">
        <v>316</v>
      </c>
    </row>
    <row r="19867">
      <c r="A19867" s="17"/>
      <c r="H19867" s="18"/>
      <c r="K19867" s="18" t="s">
        <v>316</v>
      </c>
    </row>
    <row r="19868">
      <c r="A19868" s="17"/>
      <c r="H19868" s="18"/>
      <c r="K19868" s="18" t="s">
        <v>316</v>
      </c>
    </row>
    <row r="19869">
      <c r="A19869" s="17"/>
      <c r="H19869" s="18"/>
      <c r="K19869" s="18" t="s">
        <v>316</v>
      </c>
    </row>
    <row r="19870">
      <c r="A19870" s="17"/>
      <c r="H19870" s="18"/>
      <c r="K19870" s="18" t="s">
        <v>316</v>
      </c>
    </row>
    <row r="19871">
      <c r="A19871" s="17"/>
      <c r="H19871" s="18"/>
      <c r="K19871" s="18" t="s">
        <v>316</v>
      </c>
    </row>
    <row r="19872">
      <c r="A19872" s="17"/>
      <c r="H19872" s="18"/>
      <c r="K19872" s="18" t="s">
        <v>316</v>
      </c>
    </row>
    <row r="19873">
      <c r="A19873" s="17"/>
      <c r="H19873" s="18"/>
      <c r="K19873" s="18" t="s">
        <v>316</v>
      </c>
    </row>
    <row r="19874">
      <c r="A19874" s="17"/>
      <c r="H19874" s="18"/>
      <c r="K19874" s="18" t="s">
        <v>316</v>
      </c>
    </row>
    <row r="19875">
      <c r="A19875" s="17"/>
      <c r="H19875" s="18"/>
      <c r="K19875" s="18" t="s">
        <v>316</v>
      </c>
    </row>
    <row r="19876">
      <c r="A19876" s="17"/>
      <c r="H19876" s="18"/>
      <c r="K19876" s="18" t="s">
        <v>316</v>
      </c>
    </row>
    <row r="19877">
      <c r="A19877" s="17"/>
      <c r="H19877" s="18"/>
      <c r="K19877" s="18" t="s">
        <v>316</v>
      </c>
    </row>
    <row r="19878">
      <c r="A19878" s="17"/>
      <c r="H19878" s="18"/>
      <c r="K19878" s="18" t="s">
        <v>316</v>
      </c>
    </row>
    <row r="19879">
      <c r="A19879" s="17"/>
      <c r="H19879" s="18"/>
      <c r="K19879" s="18" t="s">
        <v>316</v>
      </c>
    </row>
    <row r="19880">
      <c r="A19880" s="17"/>
      <c r="H19880" s="18"/>
      <c r="K19880" s="18" t="s">
        <v>316</v>
      </c>
    </row>
    <row r="19881">
      <c r="A19881" s="17"/>
      <c r="H19881" s="18"/>
      <c r="K19881" s="18" t="s">
        <v>316</v>
      </c>
    </row>
    <row r="19882">
      <c r="A19882" s="17"/>
      <c r="H19882" s="18"/>
      <c r="K19882" s="18" t="s">
        <v>316</v>
      </c>
    </row>
    <row r="19883">
      <c r="A19883" s="17"/>
      <c r="H19883" s="18"/>
      <c r="K19883" s="18" t="s">
        <v>316</v>
      </c>
    </row>
    <row r="19884">
      <c r="A19884" s="17"/>
      <c r="H19884" s="18"/>
      <c r="K19884" s="18" t="s">
        <v>316</v>
      </c>
    </row>
    <row r="19885">
      <c r="A19885" s="17"/>
      <c r="H19885" s="18"/>
      <c r="K19885" s="18" t="s">
        <v>316</v>
      </c>
    </row>
    <row r="19886">
      <c r="A19886" s="17"/>
      <c r="H19886" s="18"/>
      <c r="K19886" s="18" t="s">
        <v>316</v>
      </c>
    </row>
    <row r="19887">
      <c r="A19887" s="17"/>
      <c r="H19887" s="18"/>
      <c r="K19887" s="18" t="s">
        <v>316</v>
      </c>
    </row>
    <row r="19888">
      <c r="A19888" s="17"/>
      <c r="H19888" s="18"/>
      <c r="K19888" s="18" t="s">
        <v>316</v>
      </c>
    </row>
    <row r="19889">
      <c r="A19889" s="17"/>
      <c r="H19889" s="18"/>
      <c r="K19889" s="18" t="s">
        <v>316</v>
      </c>
    </row>
    <row r="19890">
      <c r="A19890" s="17"/>
      <c r="H19890" s="18"/>
      <c r="K19890" s="18" t="s">
        <v>316</v>
      </c>
    </row>
    <row r="19891">
      <c r="A19891" s="17"/>
      <c r="H19891" s="18"/>
      <c r="K19891" s="18" t="s">
        <v>316</v>
      </c>
    </row>
    <row r="19892">
      <c r="A19892" s="17"/>
      <c r="H19892" s="18"/>
      <c r="K19892" s="18" t="s">
        <v>316</v>
      </c>
    </row>
    <row r="19893">
      <c r="A19893" s="17"/>
      <c r="H19893" s="18"/>
      <c r="K19893" s="18" t="s">
        <v>316</v>
      </c>
    </row>
    <row r="19894">
      <c r="A19894" s="17"/>
      <c r="H19894" s="18"/>
      <c r="K19894" s="18" t="s">
        <v>316</v>
      </c>
    </row>
    <row r="19895">
      <c r="A19895" s="17"/>
      <c r="H19895" s="18"/>
      <c r="K19895" s="18" t="s">
        <v>316</v>
      </c>
    </row>
    <row r="19896">
      <c r="A19896" s="17"/>
      <c r="H19896" s="18"/>
      <c r="K19896" s="18" t="s">
        <v>316</v>
      </c>
    </row>
    <row r="19897">
      <c r="A19897" s="17"/>
      <c r="H19897" s="18"/>
      <c r="K19897" s="18" t="s">
        <v>316</v>
      </c>
    </row>
    <row r="19898">
      <c r="A19898" s="17"/>
      <c r="H19898" s="18"/>
      <c r="K19898" s="18" t="s">
        <v>316</v>
      </c>
    </row>
    <row r="19899">
      <c r="A19899" s="17"/>
      <c r="H19899" s="18"/>
      <c r="K19899" s="18" t="s">
        <v>316</v>
      </c>
    </row>
    <row r="19900">
      <c r="A19900" s="17"/>
      <c r="H19900" s="18"/>
      <c r="K19900" s="18" t="s">
        <v>316</v>
      </c>
    </row>
    <row r="19901">
      <c r="A19901" s="17"/>
      <c r="H19901" s="18"/>
      <c r="K19901" s="18" t="s">
        <v>316</v>
      </c>
    </row>
    <row r="19902">
      <c r="A19902" s="17"/>
      <c r="H19902" s="18"/>
      <c r="K19902" s="18" t="s">
        <v>316</v>
      </c>
    </row>
    <row r="19903">
      <c r="A19903" s="17"/>
      <c r="H19903" s="18"/>
      <c r="K19903" s="18" t="s">
        <v>316</v>
      </c>
    </row>
    <row r="19904">
      <c r="A19904" s="17"/>
      <c r="H19904" s="18"/>
      <c r="K19904" s="18" t="s">
        <v>316</v>
      </c>
    </row>
    <row r="19905">
      <c r="A19905" s="17"/>
      <c r="H19905" s="18"/>
      <c r="K19905" s="18" t="s">
        <v>316</v>
      </c>
    </row>
    <row r="19906">
      <c r="A19906" s="17"/>
      <c r="H19906" s="18"/>
      <c r="K19906" s="18" t="s">
        <v>316</v>
      </c>
    </row>
    <row r="19907">
      <c r="A19907" s="17"/>
      <c r="H19907" s="18"/>
      <c r="K19907" s="18" t="s">
        <v>316</v>
      </c>
    </row>
    <row r="19908">
      <c r="A19908" s="17"/>
      <c r="H19908" s="18"/>
      <c r="K19908" s="18" t="s">
        <v>316</v>
      </c>
    </row>
    <row r="19909">
      <c r="A19909" s="17"/>
      <c r="H19909" s="18"/>
      <c r="K19909" s="18" t="s">
        <v>316</v>
      </c>
    </row>
    <row r="19910">
      <c r="A19910" s="17"/>
      <c r="H19910" s="18"/>
      <c r="K19910" s="18" t="s">
        <v>316</v>
      </c>
    </row>
    <row r="19911">
      <c r="A19911" s="17"/>
      <c r="H19911" s="18"/>
      <c r="K19911" s="18" t="s">
        <v>316</v>
      </c>
    </row>
    <row r="19912">
      <c r="A19912" s="17"/>
      <c r="H19912" s="18"/>
      <c r="K19912" s="18" t="s">
        <v>316</v>
      </c>
    </row>
    <row r="19913">
      <c r="A19913" s="17"/>
      <c r="H19913" s="18"/>
      <c r="K19913" s="18" t="s">
        <v>316</v>
      </c>
    </row>
    <row r="19914">
      <c r="A19914" s="17"/>
      <c r="H19914" s="18"/>
      <c r="K19914" s="18" t="s">
        <v>316</v>
      </c>
    </row>
    <row r="19915">
      <c r="A19915" s="17"/>
      <c r="H19915" s="18"/>
      <c r="K19915" s="18" t="s">
        <v>316</v>
      </c>
    </row>
    <row r="19916">
      <c r="A19916" s="17"/>
      <c r="H19916" s="18"/>
      <c r="K19916" s="18" t="s">
        <v>316</v>
      </c>
    </row>
    <row r="19917">
      <c r="A19917" s="17"/>
      <c r="H19917" s="18"/>
      <c r="K19917" s="18" t="s">
        <v>316</v>
      </c>
    </row>
    <row r="19918">
      <c r="A19918" s="17"/>
      <c r="H19918" s="18"/>
      <c r="K19918" s="18" t="s">
        <v>316</v>
      </c>
    </row>
    <row r="19919">
      <c r="A19919" s="17"/>
      <c r="H19919" s="18"/>
      <c r="K19919" s="18" t="s">
        <v>316</v>
      </c>
    </row>
    <row r="19920">
      <c r="A19920" s="17"/>
      <c r="H19920" s="18"/>
      <c r="K19920" s="18" t="s">
        <v>316</v>
      </c>
    </row>
    <row r="19921">
      <c r="A19921" s="17"/>
      <c r="H19921" s="18"/>
      <c r="K19921" s="18" t="s">
        <v>316</v>
      </c>
    </row>
    <row r="19922">
      <c r="A19922" s="17"/>
      <c r="H19922" s="18"/>
      <c r="K19922" s="18" t="s">
        <v>316</v>
      </c>
    </row>
    <row r="19923">
      <c r="A19923" s="17"/>
      <c r="H19923" s="18"/>
      <c r="K19923" s="18" t="s">
        <v>316</v>
      </c>
    </row>
    <row r="19924">
      <c r="A19924" s="17"/>
      <c r="H19924" s="18"/>
      <c r="K19924" s="18" t="s">
        <v>316</v>
      </c>
    </row>
    <row r="19925">
      <c r="A19925" s="17"/>
      <c r="H19925" s="18"/>
      <c r="K19925" s="18" t="s">
        <v>316</v>
      </c>
    </row>
    <row r="19926">
      <c r="A19926" s="17"/>
      <c r="H19926" s="18"/>
      <c r="K19926" s="18" t="s">
        <v>316</v>
      </c>
    </row>
    <row r="19927">
      <c r="A19927" s="17"/>
      <c r="H19927" s="18"/>
      <c r="K19927" s="18" t="s">
        <v>316</v>
      </c>
    </row>
    <row r="19928">
      <c r="A19928" s="17"/>
      <c r="H19928" s="18"/>
      <c r="K19928" s="18" t="s">
        <v>316</v>
      </c>
    </row>
    <row r="19929">
      <c r="A19929" s="17"/>
      <c r="H19929" s="18"/>
      <c r="K19929" s="18" t="s">
        <v>316</v>
      </c>
    </row>
    <row r="19930">
      <c r="A19930" s="17"/>
      <c r="H19930" s="18"/>
      <c r="K19930" s="18" t="s">
        <v>316</v>
      </c>
    </row>
    <row r="19931">
      <c r="A19931" s="17"/>
      <c r="H19931" s="18"/>
      <c r="K19931" s="18" t="s">
        <v>316</v>
      </c>
    </row>
    <row r="19932">
      <c r="A19932" s="17"/>
      <c r="H19932" s="18"/>
      <c r="K19932" s="18" t="s">
        <v>316</v>
      </c>
    </row>
    <row r="19933">
      <c r="A19933" s="17"/>
      <c r="H19933" s="18"/>
      <c r="K19933" s="18" t="s">
        <v>316</v>
      </c>
    </row>
    <row r="19934">
      <c r="A19934" s="17"/>
      <c r="H19934" s="18"/>
      <c r="K19934" s="18" t="s">
        <v>316</v>
      </c>
    </row>
    <row r="19935">
      <c r="A19935" s="17"/>
      <c r="H19935" s="18"/>
      <c r="K19935" s="18" t="s">
        <v>316</v>
      </c>
    </row>
    <row r="19936">
      <c r="A19936" s="17"/>
      <c r="H19936" s="18"/>
      <c r="K19936" s="18" t="s">
        <v>316</v>
      </c>
    </row>
    <row r="19937">
      <c r="A19937" s="17"/>
      <c r="H19937" s="18"/>
      <c r="K19937" s="18" t="s">
        <v>316</v>
      </c>
    </row>
    <row r="19938">
      <c r="A19938" s="17"/>
      <c r="H19938" s="18"/>
      <c r="K19938" s="18" t="s">
        <v>316</v>
      </c>
    </row>
    <row r="19939">
      <c r="A19939" s="17"/>
      <c r="H19939" s="18"/>
      <c r="K19939" s="18" t="s">
        <v>316</v>
      </c>
    </row>
    <row r="19940">
      <c r="A19940" s="17"/>
      <c r="H19940" s="18"/>
      <c r="K19940" s="18" t="s">
        <v>316</v>
      </c>
    </row>
    <row r="19941">
      <c r="A19941" s="17"/>
      <c r="H19941" s="18"/>
      <c r="K19941" s="18" t="s">
        <v>316</v>
      </c>
    </row>
    <row r="19942">
      <c r="A19942" s="17"/>
      <c r="H19942" s="18"/>
      <c r="K19942" s="18" t="s">
        <v>316</v>
      </c>
    </row>
    <row r="19943">
      <c r="A19943" s="17"/>
      <c r="H19943" s="18"/>
      <c r="K19943" s="18" t="s">
        <v>316</v>
      </c>
    </row>
    <row r="19944">
      <c r="A19944" s="17"/>
      <c r="H19944" s="18"/>
      <c r="K19944" s="18" t="s">
        <v>316</v>
      </c>
    </row>
    <row r="19945">
      <c r="A19945" s="17"/>
      <c r="H19945" s="18"/>
      <c r="K19945" s="18" t="s">
        <v>316</v>
      </c>
    </row>
    <row r="19946">
      <c r="A19946" s="17"/>
      <c r="H19946" s="18"/>
      <c r="K19946" s="18" t="s">
        <v>316</v>
      </c>
    </row>
    <row r="19947">
      <c r="A19947" s="17"/>
      <c r="H19947" s="18"/>
      <c r="K19947" s="18" t="s">
        <v>316</v>
      </c>
    </row>
    <row r="19948">
      <c r="A19948" s="17"/>
      <c r="H19948" s="18"/>
      <c r="K19948" s="18" t="s">
        <v>316</v>
      </c>
    </row>
    <row r="19949">
      <c r="A19949" s="17"/>
      <c r="H19949" s="18"/>
      <c r="K19949" s="18" t="s">
        <v>316</v>
      </c>
    </row>
    <row r="19950">
      <c r="A19950" s="17"/>
      <c r="H19950" s="18"/>
      <c r="K19950" s="18" t="s">
        <v>316</v>
      </c>
    </row>
    <row r="19951">
      <c r="A19951" s="17"/>
      <c r="H19951" s="18"/>
      <c r="K19951" s="18" t="s">
        <v>316</v>
      </c>
    </row>
    <row r="19952">
      <c r="A19952" s="17"/>
      <c r="H19952" s="18"/>
      <c r="K19952" s="18" t="s">
        <v>316</v>
      </c>
    </row>
    <row r="19953">
      <c r="A19953" s="17"/>
      <c r="H19953" s="18"/>
      <c r="K19953" s="18" t="s">
        <v>316</v>
      </c>
    </row>
    <row r="19954">
      <c r="A19954" s="17"/>
      <c r="H19954" s="18"/>
      <c r="K19954" s="18" t="s">
        <v>316</v>
      </c>
    </row>
    <row r="19955">
      <c r="A19955" s="17"/>
      <c r="H19955" s="18"/>
      <c r="K19955" s="18" t="s">
        <v>316</v>
      </c>
    </row>
    <row r="19956">
      <c r="A19956" s="17"/>
      <c r="H19956" s="18"/>
      <c r="K19956" s="18" t="s">
        <v>316</v>
      </c>
    </row>
    <row r="19957">
      <c r="A19957" s="17"/>
      <c r="H19957" s="18"/>
      <c r="K19957" s="18" t="s">
        <v>316</v>
      </c>
    </row>
    <row r="19958">
      <c r="A19958" s="17"/>
      <c r="H19958" s="18"/>
      <c r="K19958" s="18" t="s">
        <v>316</v>
      </c>
    </row>
    <row r="19959">
      <c r="A19959" s="17"/>
      <c r="H19959" s="18"/>
      <c r="K19959" s="18" t="s">
        <v>316</v>
      </c>
    </row>
    <row r="19960">
      <c r="A19960" s="17"/>
      <c r="H19960" s="18"/>
      <c r="K19960" s="18" t="s">
        <v>316</v>
      </c>
    </row>
    <row r="19961">
      <c r="A19961" s="17"/>
      <c r="H19961" s="18"/>
      <c r="K19961" s="18" t="s">
        <v>316</v>
      </c>
    </row>
    <row r="19962">
      <c r="A19962" s="17"/>
      <c r="H19962" s="18"/>
      <c r="K19962" s="18" t="s">
        <v>316</v>
      </c>
    </row>
    <row r="19963">
      <c r="A19963" s="17"/>
      <c r="H19963" s="18"/>
      <c r="K19963" s="18" t="s">
        <v>316</v>
      </c>
    </row>
    <row r="19964">
      <c r="A19964" s="17"/>
      <c r="H19964" s="18"/>
      <c r="K19964" s="18" t="s">
        <v>316</v>
      </c>
    </row>
    <row r="19965">
      <c r="A19965" s="17"/>
      <c r="H19965" s="18"/>
      <c r="K19965" s="18" t="s">
        <v>316</v>
      </c>
    </row>
    <row r="19966">
      <c r="A19966" s="17"/>
      <c r="H19966" s="18"/>
      <c r="K19966" s="18" t="s">
        <v>316</v>
      </c>
    </row>
    <row r="19967">
      <c r="A19967" s="17"/>
      <c r="H19967" s="18"/>
      <c r="K19967" s="18" t="s">
        <v>316</v>
      </c>
    </row>
    <row r="19968">
      <c r="A19968" s="17"/>
      <c r="H19968" s="18"/>
      <c r="K19968" s="18" t="s">
        <v>316</v>
      </c>
    </row>
    <row r="19969">
      <c r="A19969" s="17"/>
      <c r="H19969" s="18"/>
      <c r="K19969" s="18" t="s">
        <v>316</v>
      </c>
    </row>
    <row r="19970">
      <c r="A19970" s="17"/>
      <c r="H19970" s="18"/>
      <c r="K19970" s="18" t="s">
        <v>316</v>
      </c>
    </row>
    <row r="19971">
      <c r="A19971" s="17"/>
      <c r="H19971" s="18"/>
      <c r="K19971" s="18" t="s">
        <v>316</v>
      </c>
    </row>
    <row r="19972">
      <c r="A19972" s="17"/>
      <c r="H19972" s="18"/>
      <c r="K19972" s="18" t="s">
        <v>316</v>
      </c>
    </row>
    <row r="19973">
      <c r="A19973" s="17"/>
      <c r="H19973" s="18"/>
      <c r="K19973" s="18" t="s">
        <v>316</v>
      </c>
    </row>
    <row r="19974">
      <c r="A19974" s="17"/>
      <c r="H19974" s="18"/>
      <c r="K19974" s="18" t="s">
        <v>316</v>
      </c>
    </row>
    <row r="19975">
      <c r="A19975" s="17"/>
      <c r="H19975" s="18"/>
      <c r="K19975" s="18" t="s">
        <v>316</v>
      </c>
    </row>
    <row r="19976">
      <c r="A19976" s="17"/>
      <c r="H19976" s="18"/>
      <c r="K19976" s="18" t="s">
        <v>316</v>
      </c>
    </row>
    <row r="19977">
      <c r="A19977" s="17"/>
      <c r="H19977" s="18"/>
      <c r="K19977" s="18" t="s">
        <v>316</v>
      </c>
    </row>
    <row r="19978">
      <c r="A19978" s="17"/>
      <c r="H19978" s="18"/>
      <c r="K19978" s="18" t="s">
        <v>316</v>
      </c>
    </row>
    <row r="19979">
      <c r="A19979" s="17"/>
      <c r="H19979" s="18"/>
      <c r="K19979" s="18" t="s">
        <v>316</v>
      </c>
    </row>
    <row r="19980">
      <c r="A19980" s="17"/>
      <c r="H19980" s="18"/>
      <c r="K19980" s="18" t="s">
        <v>316</v>
      </c>
    </row>
    <row r="19981">
      <c r="A19981" s="17"/>
      <c r="H19981" s="18"/>
      <c r="K19981" s="18" t="s">
        <v>316</v>
      </c>
    </row>
    <row r="19982">
      <c r="A19982" s="17"/>
      <c r="H19982" s="18"/>
      <c r="K19982" s="18" t="s">
        <v>316</v>
      </c>
    </row>
    <row r="19983">
      <c r="A19983" s="17"/>
      <c r="H19983" s="18"/>
      <c r="K19983" s="18" t="s">
        <v>316</v>
      </c>
    </row>
    <row r="19984">
      <c r="A19984" s="17"/>
      <c r="H19984" s="18"/>
      <c r="K19984" s="18" t="s">
        <v>316</v>
      </c>
    </row>
    <row r="19985">
      <c r="A19985" s="17"/>
      <c r="H19985" s="18"/>
      <c r="K19985" s="18" t="s">
        <v>316</v>
      </c>
    </row>
    <row r="19986">
      <c r="A19986" s="17"/>
      <c r="H19986" s="18"/>
      <c r="K19986" s="18" t="s">
        <v>316</v>
      </c>
    </row>
    <row r="19987">
      <c r="A19987" s="17"/>
      <c r="H19987" s="18"/>
      <c r="K19987" s="18" t="s">
        <v>316</v>
      </c>
    </row>
    <row r="19988">
      <c r="A19988" s="17"/>
      <c r="H19988" s="18"/>
      <c r="K19988" s="18" t="s">
        <v>316</v>
      </c>
    </row>
    <row r="19989">
      <c r="A19989" s="17"/>
      <c r="H19989" s="18"/>
      <c r="K19989" s="18" t="s">
        <v>316</v>
      </c>
    </row>
    <row r="19990">
      <c r="A19990" s="17"/>
      <c r="H19990" s="18"/>
      <c r="K19990" s="18" t="s">
        <v>316</v>
      </c>
    </row>
    <row r="19991">
      <c r="A19991" s="17"/>
      <c r="H19991" s="18"/>
      <c r="K19991" s="18" t="s">
        <v>316</v>
      </c>
    </row>
    <row r="19992">
      <c r="A19992" s="17"/>
      <c r="H19992" s="18"/>
      <c r="K19992" s="18" t="s">
        <v>316</v>
      </c>
    </row>
    <row r="19993">
      <c r="A19993" s="17"/>
      <c r="H19993" s="18"/>
      <c r="K19993" s="18" t="s">
        <v>316</v>
      </c>
    </row>
    <row r="19994">
      <c r="A19994" s="17"/>
      <c r="H19994" s="18"/>
      <c r="K19994" s="18" t="s">
        <v>316</v>
      </c>
    </row>
    <row r="19995">
      <c r="A19995" s="17"/>
      <c r="H19995" s="18"/>
      <c r="K19995" s="18" t="s">
        <v>316</v>
      </c>
    </row>
    <row r="19996">
      <c r="A19996" s="17"/>
      <c r="H19996" s="18"/>
      <c r="K19996" s="18" t="s">
        <v>316</v>
      </c>
    </row>
    <row r="19997">
      <c r="A19997" s="17"/>
      <c r="H19997" s="18"/>
      <c r="K19997" s="18" t="s">
        <v>316</v>
      </c>
    </row>
    <row r="19998">
      <c r="A19998" s="17"/>
      <c r="H19998" s="18"/>
      <c r="K19998" s="18" t="s">
        <v>316</v>
      </c>
    </row>
    <row r="19999">
      <c r="A19999" s="17"/>
      <c r="H19999" s="18"/>
      <c r="K19999" s="18" t="s">
        <v>316</v>
      </c>
    </row>
    <row r="20000">
      <c r="A20000" s="17"/>
      <c r="H20000" s="18"/>
      <c r="K20000" s="18" t="s">
        <v>316</v>
      </c>
    </row>
    <row r="20001">
      <c r="A20001" s="17"/>
      <c r="H20001" s="18"/>
      <c r="K20001" s="18" t="s">
        <v>316</v>
      </c>
    </row>
    <row r="20002">
      <c r="A20002" s="17"/>
      <c r="H20002" s="18"/>
      <c r="K20002" s="18" t="s">
        <v>316</v>
      </c>
    </row>
    <row r="20003">
      <c r="A20003" s="17"/>
      <c r="H20003" s="18"/>
      <c r="K20003" s="18" t="s">
        <v>316</v>
      </c>
    </row>
    <row r="20004">
      <c r="A20004" s="17"/>
      <c r="H20004" s="18"/>
      <c r="K20004" s="18" t="s">
        <v>316</v>
      </c>
    </row>
    <row r="20005">
      <c r="A20005" s="17"/>
      <c r="H20005" s="18"/>
      <c r="K20005" s="18" t="s">
        <v>316</v>
      </c>
    </row>
    <row r="20006">
      <c r="A20006" s="17"/>
      <c r="H20006" s="18"/>
      <c r="K20006" s="18" t="s">
        <v>316</v>
      </c>
    </row>
    <row r="20007">
      <c r="A20007" s="17"/>
      <c r="H20007" s="18"/>
      <c r="K20007" s="18" t="s">
        <v>316</v>
      </c>
    </row>
    <row r="20008">
      <c r="A20008" s="17"/>
      <c r="H20008" s="18"/>
      <c r="K20008" s="18" t="s">
        <v>316</v>
      </c>
    </row>
    <row r="20009">
      <c r="A20009" s="17"/>
      <c r="H20009" s="18"/>
      <c r="K20009" s="18" t="s">
        <v>316</v>
      </c>
    </row>
    <row r="20010">
      <c r="A20010" s="17"/>
      <c r="H20010" s="18"/>
      <c r="K20010" s="18" t="s">
        <v>316</v>
      </c>
    </row>
    <row r="20011">
      <c r="A20011" s="17"/>
      <c r="H20011" s="18"/>
      <c r="K20011" s="18" t="s">
        <v>316</v>
      </c>
    </row>
    <row r="20012">
      <c r="A20012" s="17"/>
      <c r="H20012" s="18"/>
      <c r="K20012" s="18" t="s">
        <v>316</v>
      </c>
    </row>
    <row r="20013">
      <c r="A20013" s="17"/>
      <c r="H20013" s="18"/>
      <c r="K20013" s="18" t="s">
        <v>316</v>
      </c>
    </row>
    <row r="20014">
      <c r="A20014" s="17"/>
      <c r="H20014" s="18"/>
      <c r="K20014" s="18" t="s">
        <v>316</v>
      </c>
    </row>
    <row r="20015">
      <c r="A20015" s="17"/>
      <c r="H20015" s="18"/>
      <c r="K20015" s="18" t="s">
        <v>316</v>
      </c>
    </row>
    <row r="20016">
      <c r="A20016" s="17"/>
      <c r="H20016" s="18"/>
      <c r="K20016" s="18" t="s">
        <v>316</v>
      </c>
    </row>
    <row r="20017">
      <c r="A20017" s="17"/>
      <c r="H20017" s="18"/>
      <c r="K20017" s="18" t="s">
        <v>316</v>
      </c>
    </row>
    <row r="20018">
      <c r="A20018" s="17"/>
      <c r="H20018" s="18"/>
      <c r="K20018" s="18" t="s">
        <v>316</v>
      </c>
    </row>
    <row r="20019">
      <c r="A20019" s="17"/>
      <c r="H20019" s="18"/>
      <c r="K20019" s="18" t="s">
        <v>316</v>
      </c>
    </row>
    <row r="20020">
      <c r="A20020" s="17"/>
      <c r="H20020" s="18"/>
      <c r="K20020" s="18" t="s">
        <v>316</v>
      </c>
    </row>
    <row r="20021">
      <c r="A20021" s="17"/>
      <c r="H20021" s="18"/>
      <c r="K20021" s="18" t="s">
        <v>316</v>
      </c>
    </row>
    <row r="20022">
      <c r="A20022" s="17"/>
      <c r="H20022" s="18"/>
      <c r="K20022" s="18" t="s">
        <v>316</v>
      </c>
    </row>
    <row r="20023">
      <c r="A20023" s="17"/>
      <c r="H20023" s="18"/>
      <c r="K20023" s="18" t="s">
        <v>316</v>
      </c>
    </row>
    <row r="20024">
      <c r="A20024" s="17"/>
      <c r="H20024" s="18"/>
      <c r="K20024" s="18" t="s">
        <v>316</v>
      </c>
    </row>
    <row r="20025">
      <c r="A20025" s="17"/>
      <c r="H20025" s="18"/>
      <c r="K20025" s="18" t="s">
        <v>316</v>
      </c>
    </row>
    <row r="20026">
      <c r="A20026" s="17"/>
      <c r="H20026" s="18"/>
      <c r="K20026" s="18" t="s">
        <v>316</v>
      </c>
    </row>
    <row r="20027">
      <c r="A20027" s="17"/>
      <c r="H20027" s="18"/>
      <c r="K20027" s="18" t="s">
        <v>316</v>
      </c>
    </row>
    <row r="20028">
      <c r="A20028" s="17"/>
      <c r="H20028" s="18"/>
      <c r="K20028" s="18" t="s">
        <v>316</v>
      </c>
    </row>
    <row r="20029">
      <c r="A20029" s="17"/>
      <c r="H20029" s="18"/>
      <c r="K20029" s="18" t="s">
        <v>316</v>
      </c>
    </row>
    <row r="20030">
      <c r="A20030" s="17"/>
      <c r="H20030" s="18"/>
      <c r="K20030" s="18" t="s">
        <v>316</v>
      </c>
    </row>
    <row r="20031">
      <c r="A20031" s="17"/>
      <c r="H20031" s="18"/>
      <c r="K20031" s="18" t="s">
        <v>316</v>
      </c>
    </row>
    <row r="20032">
      <c r="A20032" s="17"/>
      <c r="H20032" s="18"/>
      <c r="K20032" s="18" t="s">
        <v>316</v>
      </c>
    </row>
    <row r="20033">
      <c r="A20033" s="17"/>
      <c r="H20033" s="18"/>
      <c r="K20033" s="18" t="s">
        <v>316</v>
      </c>
    </row>
    <row r="20034">
      <c r="A20034" s="17"/>
      <c r="H20034" s="18"/>
      <c r="K20034" s="18" t="s">
        <v>316</v>
      </c>
    </row>
    <row r="20035">
      <c r="A20035" s="17"/>
      <c r="H20035" s="18"/>
      <c r="K20035" s="18" t="s">
        <v>316</v>
      </c>
    </row>
    <row r="20036">
      <c r="A20036" s="17"/>
      <c r="H20036" s="18"/>
      <c r="K20036" s="18" t="s">
        <v>316</v>
      </c>
    </row>
    <row r="20037">
      <c r="A20037" s="17"/>
      <c r="H20037" s="18"/>
      <c r="K20037" s="18" t="s">
        <v>316</v>
      </c>
    </row>
    <row r="20038">
      <c r="A20038" s="17"/>
      <c r="H20038" s="18"/>
      <c r="K20038" s="18" t="s">
        <v>316</v>
      </c>
    </row>
    <row r="20039">
      <c r="A20039" s="17"/>
      <c r="H20039" s="18"/>
      <c r="K20039" s="18" t="s">
        <v>316</v>
      </c>
    </row>
    <row r="20040">
      <c r="A20040" s="17"/>
      <c r="H20040" s="18"/>
      <c r="K20040" s="18" t="s">
        <v>316</v>
      </c>
    </row>
    <row r="20041">
      <c r="A20041" s="17"/>
      <c r="H20041" s="18"/>
      <c r="K20041" s="18" t="s">
        <v>316</v>
      </c>
    </row>
    <row r="20042">
      <c r="A20042" s="17"/>
      <c r="H20042" s="18"/>
      <c r="K20042" s="18" t="s">
        <v>316</v>
      </c>
    </row>
    <row r="20043">
      <c r="A20043" s="17"/>
      <c r="H20043" s="18"/>
      <c r="K20043" s="18" t="s">
        <v>316</v>
      </c>
    </row>
    <row r="20044">
      <c r="A20044" s="17"/>
      <c r="H20044" s="18"/>
      <c r="K20044" s="18" t="s">
        <v>316</v>
      </c>
    </row>
    <row r="20045">
      <c r="A20045" s="17"/>
      <c r="H20045" s="18"/>
      <c r="K20045" s="18" t="s">
        <v>316</v>
      </c>
    </row>
    <row r="20046">
      <c r="A20046" s="17"/>
      <c r="H20046" s="18"/>
      <c r="K20046" s="18" t="s">
        <v>316</v>
      </c>
    </row>
    <row r="20047">
      <c r="A20047" s="17"/>
      <c r="H20047" s="18"/>
      <c r="K20047" s="18" t="s">
        <v>316</v>
      </c>
    </row>
    <row r="20048">
      <c r="A20048" s="17"/>
      <c r="H20048" s="18"/>
      <c r="K20048" s="18" t="s">
        <v>316</v>
      </c>
    </row>
    <row r="20049">
      <c r="A20049" s="17"/>
      <c r="H20049" s="18"/>
      <c r="K20049" s="18" t="s">
        <v>316</v>
      </c>
    </row>
    <row r="20050">
      <c r="A20050" s="17"/>
      <c r="H20050" s="18"/>
      <c r="K20050" s="18" t="s">
        <v>316</v>
      </c>
    </row>
    <row r="20051">
      <c r="A20051" s="17"/>
      <c r="H20051" s="18"/>
      <c r="K20051" s="18" t="s">
        <v>316</v>
      </c>
    </row>
    <row r="20052">
      <c r="A20052" s="17"/>
      <c r="H20052" s="18"/>
      <c r="K20052" s="18" t="s">
        <v>316</v>
      </c>
    </row>
    <row r="20053">
      <c r="A20053" s="17"/>
      <c r="H20053" s="18"/>
      <c r="K20053" s="18" t="s">
        <v>316</v>
      </c>
    </row>
    <row r="20054">
      <c r="A20054" s="17"/>
      <c r="H20054" s="18"/>
      <c r="K20054" s="18" t="s">
        <v>316</v>
      </c>
    </row>
    <row r="20055">
      <c r="A20055" s="17"/>
      <c r="H20055" s="18"/>
      <c r="K20055" s="18" t="s">
        <v>316</v>
      </c>
    </row>
    <row r="20056">
      <c r="A20056" s="17"/>
      <c r="H20056" s="18"/>
      <c r="K20056" s="18" t="s">
        <v>316</v>
      </c>
    </row>
    <row r="20057">
      <c r="A20057" s="17"/>
      <c r="H20057" s="18"/>
      <c r="K20057" s="18" t="s">
        <v>316</v>
      </c>
    </row>
    <row r="20058">
      <c r="A20058" s="17"/>
      <c r="H20058" s="18"/>
      <c r="K20058" s="18" t="s">
        <v>316</v>
      </c>
    </row>
    <row r="20059">
      <c r="A20059" s="17"/>
      <c r="H20059" s="18"/>
      <c r="K20059" s="18" t="s">
        <v>316</v>
      </c>
    </row>
    <row r="20060">
      <c r="A20060" s="17"/>
      <c r="H20060" s="18"/>
      <c r="K20060" s="18" t="s">
        <v>316</v>
      </c>
    </row>
    <row r="20061">
      <c r="A20061" s="17"/>
      <c r="H20061" s="18"/>
      <c r="K20061" s="18" t="s">
        <v>316</v>
      </c>
    </row>
    <row r="20062">
      <c r="A20062" s="17"/>
      <c r="H20062" s="18"/>
      <c r="K20062" s="18" t="s">
        <v>316</v>
      </c>
    </row>
    <row r="20063">
      <c r="A20063" s="17"/>
      <c r="H20063" s="18"/>
      <c r="K20063" s="18" t="s">
        <v>316</v>
      </c>
    </row>
    <row r="20064">
      <c r="A20064" s="17"/>
      <c r="H20064" s="18"/>
      <c r="K20064" s="18" t="s">
        <v>316</v>
      </c>
    </row>
    <row r="20065">
      <c r="A20065" s="17"/>
      <c r="H20065" s="18"/>
      <c r="K20065" s="18" t="s">
        <v>316</v>
      </c>
    </row>
    <row r="20066">
      <c r="A20066" s="17"/>
      <c r="H20066" s="18"/>
      <c r="K20066" s="18" t="s">
        <v>316</v>
      </c>
    </row>
    <row r="20067">
      <c r="A20067" s="17"/>
      <c r="H20067" s="18"/>
      <c r="K20067" s="18" t="s">
        <v>316</v>
      </c>
    </row>
    <row r="20068">
      <c r="A20068" s="17"/>
      <c r="H20068" s="18"/>
      <c r="K20068" s="18" t="s">
        <v>316</v>
      </c>
    </row>
    <row r="20069">
      <c r="A20069" s="17"/>
      <c r="H20069" s="18"/>
      <c r="K20069" s="18" t="s">
        <v>316</v>
      </c>
    </row>
    <row r="20070">
      <c r="A20070" s="17"/>
      <c r="H20070" s="18"/>
      <c r="K20070" s="18" t="s">
        <v>316</v>
      </c>
    </row>
    <row r="20071">
      <c r="A20071" s="17"/>
      <c r="H20071" s="18"/>
      <c r="K20071" s="18" t="s">
        <v>316</v>
      </c>
    </row>
    <row r="20072">
      <c r="A20072" s="17"/>
      <c r="H20072" s="18"/>
      <c r="K20072" s="18" t="s">
        <v>316</v>
      </c>
    </row>
    <row r="20073">
      <c r="A20073" s="17"/>
      <c r="H20073" s="18"/>
      <c r="K20073" s="18" t="s">
        <v>316</v>
      </c>
    </row>
    <row r="20074">
      <c r="A20074" s="17"/>
      <c r="H20074" s="18"/>
      <c r="K20074" s="18" t="s">
        <v>316</v>
      </c>
    </row>
    <row r="20075">
      <c r="A20075" s="17"/>
      <c r="H20075" s="18"/>
      <c r="K20075" s="18" t="s">
        <v>316</v>
      </c>
    </row>
    <row r="20076">
      <c r="A20076" s="17"/>
      <c r="H20076" s="18"/>
      <c r="K20076" s="18" t="s">
        <v>316</v>
      </c>
    </row>
    <row r="20077">
      <c r="A20077" s="17"/>
      <c r="H20077" s="18"/>
      <c r="K20077" s="18" t="s">
        <v>316</v>
      </c>
    </row>
    <row r="20078">
      <c r="A20078" s="17"/>
      <c r="H20078" s="18"/>
      <c r="K20078" s="18" t="s">
        <v>316</v>
      </c>
    </row>
    <row r="20079">
      <c r="A20079" s="17"/>
      <c r="H20079" s="18"/>
      <c r="K20079" s="18" t="s">
        <v>316</v>
      </c>
    </row>
    <row r="20080">
      <c r="A20080" s="17"/>
      <c r="H20080" s="18"/>
      <c r="K20080" s="18" t="s">
        <v>316</v>
      </c>
    </row>
    <row r="20081">
      <c r="A20081" s="17"/>
      <c r="H20081" s="18"/>
      <c r="K20081" s="18" t="s">
        <v>316</v>
      </c>
    </row>
    <row r="20082">
      <c r="A20082" s="17"/>
      <c r="H20082" s="18"/>
      <c r="K20082" s="18" t="s">
        <v>316</v>
      </c>
    </row>
    <row r="20083">
      <c r="A20083" s="17"/>
      <c r="H20083" s="18"/>
      <c r="K20083" s="18" t="s">
        <v>316</v>
      </c>
    </row>
    <row r="20084">
      <c r="A20084" s="17"/>
      <c r="H20084" s="18"/>
      <c r="K20084" s="18" t="s">
        <v>316</v>
      </c>
    </row>
    <row r="20085">
      <c r="A20085" s="17"/>
      <c r="H20085" s="18"/>
      <c r="K20085" s="18" t="s">
        <v>316</v>
      </c>
    </row>
    <row r="20086">
      <c r="A20086" s="17"/>
      <c r="H20086" s="18"/>
      <c r="K20086" s="18" t="s">
        <v>316</v>
      </c>
    </row>
    <row r="20087">
      <c r="A20087" s="17"/>
      <c r="H20087" s="18"/>
      <c r="K20087" s="18" t="s">
        <v>316</v>
      </c>
    </row>
    <row r="20088">
      <c r="A20088" s="17"/>
      <c r="H20088" s="18"/>
      <c r="K20088" s="18" t="s">
        <v>316</v>
      </c>
    </row>
    <row r="20089">
      <c r="A20089" s="17"/>
      <c r="H20089" s="18"/>
      <c r="K20089" s="18" t="s">
        <v>316</v>
      </c>
    </row>
    <row r="20090">
      <c r="A20090" s="17"/>
      <c r="H20090" s="18"/>
      <c r="K20090" s="18" t="s">
        <v>316</v>
      </c>
    </row>
    <row r="20091">
      <c r="A20091" s="17"/>
      <c r="H20091" s="18"/>
      <c r="K20091" s="18" t="s">
        <v>316</v>
      </c>
    </row>
    <row r="20092">
      <c r="A20092" s="17"/>
      <c r="H20092" s="18"/>
      <c r="K20092" s="18" t="s">
        <v>316</v>
      </c>
    </row>
    <row r="20093">
      <c r="A20093" s="17"/>
      <c r="H20093" s="18"/>
      <c r="K20093" s="18" t="s">
        <v>316</v>
      </c>
    </row>
    <row r="20094">
      <c r="A20094" s="17"/>
      <c r="H20094" s="18"/>
      <c r="K20094" s="18" t="s">
        <v>316</v>
      </c>
    </row>
    <row r="20095">
      <c r="A20095" s="17"/>
      <c r="H20095" s="18"/>
      <c r="K20095" s="18" t="s">
        <v>316</v>
      </c>
    </row>
    <row r="20096">
      <c r="A20096" s="17"/>
      <c r="H20096" s="18"/>
      <c r="K20096" s="18" t="s">
        <v>316</v>
      </c>
    </row>
    <row r="20097">
      <c r="A20097" s="17"/>
      <c r="H20097" s="18"/>
      <c r="K20097" s="18" t="s">
        <v>316</v>
      </c>
    </row>
    <row r="20098">
      <c r="A20098" s="17"/>
      <c r="H20098" s="18"/>
      <c r="K20098" s="18" t="s">
        <v>316</v>
      </c>
    </row>
    <row r="20099">
      <c r="A20099" s="17"/>
      <c r="H20099" s="18"/>
      <c r="K20099" s="18" t="s">
        <v>316</v>
      </c>
    </row>
    <row r="20100">
      <c r="A20100" s="17"/>
      <c r="H20100" s="18"/>
      <c r="K20100" s="18" t="s">
        <v>316</v>
      </c>
    </row>
    <row r="20101">
      <c r="A20101" s="17"/>
      <c r="H20101" s="18"/>
      <c r="K20101" s="18" t="s">
        <v>316</v>
      </c>
    </row>
    <row r="20102">
      <c r="A20102" s="17"/>
      <c r="H20102" s="18"/>
      <c r="K20102" s="18" t="s">
        <v>316</v>
      </c>
    </row>
    <row r="20103">
      <c r="A20103" s="17"/>
      <c r="H20103" s="18"/>
      <c r="K20103" s="18" t="s">
        <v>316</v>
      </c>
    </row>
    <row r="20104">
      <c r="A20104" s="17"/>
      <c r="H20104" s="18"/>
      <c r="K20104" s="18" t="s">
        <v>316</v>
      </c>
    </row>
    <row r="20105">
      <c r="A20105" s="17"/>
      <c r="H20105" s="18"/>
      <c r="K20105" s="18" t="s">
        <v>316</v>
      </c>
    </row>
    <row r="20106">
      <c r="A20106" s="17"/>
      <c r="H20106" s="18"/>
      <c r="K20106" s="18" t="s">
        <v>316</v>
      </c>
    </row>
    <row r="20107">
      <c r="A20107" s="17"/>
      <c r="H20107" s="18"/>
      <c r="K20107" s="18" t="s">
        <v>316</v>
      </c>
    </row>
    <row r="20108">
      <c r="A20108" s="17"/>
      <c r="H20108" s="18"/>
      <c r="K20108" s="18" t="s">
        <v>316</v>
      </c>
    </row>
    <row r="20109">
      <c r="A20109" s="17"/>
      <c r="H20109" s="18"/>
      <c r="K20109" s="18" t="s">
        <v>316</v>
      </c>
    </row>
    <row r="20110">
      <c r="A20110" s="17"/>
      <c r="H20110" s="18"/>
      <c r="K20110" s="18" t="s">
        <v>316</v>
      </c>
    </row>
    <row r="20111">
      <c r="A20111" s="17"/>
      <c r="H20111" s="18"/>
      <c r="K20111" s="18" t="s">
        <v>316</v>
      </c>
    </row>
    <row r="20112">
      <c r="A20112" s="17"/>
      <c r="H20112" s="18"/>
      <c r="K20112" s="18" t="s">
        <v>316</v>
      </c>
    </row>
    <row r="20113">
      <c r="A20113" s="17"/>
      <c r="H20113" s="18"/>
      <c r="K20113" s="18" t="s">
        <v>316</v>
      </c>
    </row>
    <row r="20114">
      <c r="A20114" s="17"/>
      <c r="H20114" s="18"/>
      <c r="K20114" s="18" t="s">
        <v>316</v>
      </c>
    </row>
    <row r="20115">
      <c r="A20115" s="17"/>
      <c r="H20115" s="18"/>
      <c r="K20115" s="18" t="s">
        <v>316</v>
      </c>
    </row>
    <row r="20116">
      <c r="A20116" s="17"/>
      <c r="H20116" s="18"/>
      <c r="K20116" s="18" t="s">
        <v>316</v>
      </c>
    </row>
    <row r="20117">
      <c r="A20117" s="17"/>
      <c r="H20117" s="18"/>
      <c r="K20117" s="18" t="s">
        <v>316</v>
      </c>
    </row>
    <row r="20118">
      <c r="A20118" s="17"/>
      <c r="H20118" s="18"/>
      <c r="K20118" s="18" t="s">
        <v>316</v>
      </c>
    </row>
    <row r="20119">
      <c r="A20119" s="17"/>
      <c r="H20119" s="18"/>
      <c r="K20119" s="18" t="s">
        <v>316</v>
      </c>
    </row>
    <row r="20120">
      <c r="A20120" s="17"/>
      <c r="H20120" s="18"/>
      <c r="K20120" s="18" t="s">
        <v>316</v>
      </c>
    </row>
    <row r="20121">
      <c r="A20121" s="17"/>
      <c r="H20121" s="18"/>
      <c r="K20121" s="18" t="s">
        <v>316</v>
      </c>
    </row>
    <row r="20122">
      <c r="A20122" s="17"/>
      <c r="H20122" s="18"/>
      <c r="K20122" s="18" t="s">
        <v>316</v>
      </c>
    </row>
    <row r="20123">
      <c r="A20123" s="17"/>
      <c r="H20123" s="18"/>
      <c r="K20123" s="18" t="s">
        <v>316</v>
      </c>
    </row>
    <row r="20124">
      <c r="A20124" s="17"/>
      <c r="H20124" s="18"/>
      <c r="K20124" s="18" t="s">
        <v>316</v>
      </c>
    </row>
    <row r="20125">
      <c r="A20125" s="17"/>
      <c r="H20125" s="18"/>
      <c r="K20125" s="18" t="s">
        <v>316</v>
      </c>
    </row>
    <row r="20126">
      <c r="A20126" s="17"/>
      <c r="H20126" s="18"/>
      <c r="K20126" s="18" t="s">
        <v>316</v>
      </c>
    </row>
    <row r="20127">
      <c r="A20127" s="17"/>
      <c r="H20127" s="18"/>
      <c r="K20127" s="18" t="s">
        <v>316</v>
      </c>
    </row>
    <row r="20128">
      <c r="A20128" s="17"/>
      <c r="H20128" s="18"/>
      <c r="K20128" s="18" t="s">
        <v>316</v>
      </c>
    </row>
    <row r="20129">
      <c r="A20129" s="17"/>
      <c r="H20129" s="18"/>
      <c r="K20129" s="18" t="s">
        <v>316</v>
      </c>
    </row>
    <row r="20130">
      <c r="A20130" s="17"/>
      <c r="H20130" s="18"/>
      <c r="K20130" s="18" t="s">
        <v>316</v>
      </c>
    </row>
    <row r="20131">
      <c r="A20131" s="17"/>
      <c r="H20131" s="18"/>
      <c r="K20131" s="18" t="s">
        <v>316</v>
      </c>
    </row>
    <row r="20132">
      <c r="A20132" s="17"/>
      <c r="H20132" s="18"/>
      <c r="K20132" s="18" t="s">
        <v>316</v>
      </c>
    </row>
    <row r="20133">
      <c r="A20133" s="17"/>
      <c r="H20133" s="18"/>
      <c r="K20133" s="18" t="s">
        <v>316</v>
      </c>
    </row>
    <row r="20134">
      <c r="A20134" s="17"/>
      <c r="H20134" s="18"/>
      <c r="K20134" s="18" t="s">
        <v>316</v>
      </c>
    </row>
    <row r="20135">
      <c r="A20135" s="17"/>
      <c r="H20135" s="18"/>
      <c r="K20135" s="18" t="s">
        <v>316</v>
      </c>
    </row>
    <row r="20136">
      <c r="A20136" s="17"/>
      <c r="H20136" s="18"/>
      <c r="K20136" s="18" t="s">
        <v>316</v>
      </c>
    </row>
    <row r="20137">
      <c r="A20137" s="17"/>
      <c r="H20137" s="18"/>
      <c r="K20137" s="18" t="s">
        <v>316</v>
      </c>
    </row>
    <row r="20138">
      <c r="A20138" s="17"/>
      <c r="H20138" s="18"/>
      <c r="K20138" s="18" t="s">
        <v>316</v>
      </c>
    </row>
    <row r="20139">
      <c r="A20139" s="17"/>
      <c r="H20139" s="18"/>
      <c r="K20139" s="18" t="s">
        <v>316</v>
      </c>
    </row>
    <row r="20140">
      <c r="A20140" s="17"/>
      <c r="H20140" s="18"/>
      <c r="K20140" s="18" t="s">
        <v>316</v>
      </c>
    </row>
    <row r="20141">
      <c r="A20141" s="17"/>
      <c r="H20141" s="18"/>
      <c r="K20141" s="18" t="s">
        <v>316</v>
      </c>
    </row>
    <row r="20142">
      <c r="A20142" s="17"/>
      <c r="H20142" s="18"/>
      <c r="K20142" s="18" t="s">
        <v>316</v>
      </c>
    </row>
    <row r="20143">
      <c r="A20143" s="17"/>
      <c r="H20143" s="18"/>
      <c r="K20143" s="18" t="s">
        <v>316</v>
      </c>
    </row>
    <row r="20144">
      <c r="A20144" s="17"/>
      <c r="H20144" s="18"/>
      <c r="K20144" s="18" t="s">
        <v>316</v>
      </c>
    </row>
    <row r="20145">
      <c r="A20145" s="17"/>
      <c r="H20145" s="18"/>
      <c r="K20145" s="18" t="s">
        <v>316</v>
      </c>
    </row>
    <row r="20146">
      <c r="A20146" s="17"/>
      <c r="H20146" s="18"/>
      <c r="K20146" s="18" t="s">
        <v>316</v>
      </c>
    </row>
    <row r="20147">
      <c r="A20147" s="17"/>
      <c r="H20147" s="18"/>
      <c r="K20147" s="18" t="s">
        <v>316</v>
      </c>
    </row>
    <row r="20148">
      <c r="A20148" s="17"/>
      <c r="H20148" s="18"/>
      <c r="K20148" s="18" t="s">
        <v>316</v>
      </c>
    </row>
    <row r="20149">
      <c r="A20149" s="17"/>
      <c r="H20149" s="18"/>
      <c r="K20149" s="18" t="s">
        <v>316</v>
      </c>
    </row>
    <row r="20150">
      <c r="A20150" s="17"/>
      <c r="H20150" s="18"/>
      <c r="K20150" s="18" t="s">
        <v>316</v>
      </c>
    </row>
    <row r="20151">
      <c r="A20151" s="17"/>
      <c r="H20151" s="18"/>
      <c r="K20151" s="18" t="s">
        <v>316</v>
      </c>
    </row>
    <row r="20152">
      <c r="A20152" s="17"/>
      <c r="H20152" s="18"/>
      <c r="K20152" s="18" t="s">
        <v>316</v>
      </c>
    </row>
    <row r="20153">
      <c r="A20153" s="17"/>
      <c r="H20153" s="18"/>
      <c r="K20153" s="18" t="s">
        <v>316</v>
      </c>
    </row>
    <row r="20154">
      <c r="A20154" s="17"/>
      <c r="H20154" s="18"/>
      <c r="K20154" s="18" t="s">
        <v>316</v>
      </c>
    </row>
    <row r="20155">
      <c r="A20155" s="17"/>
      <c r="H20155" s="18"/>
      <c r="K20155" s="18" t="s">
        <v>316</v>
      </c>
    </row>
    <row r="20156">
      <c r="A20156" s="17"/>
      <c r="H20156" s="18"/>
      <c r="K20156" s="18" t="s">
        <v>316</v>
      </c>
    </row>
    <row r="20157">
      <c r="A20157" s="17"/>
      <c r="H20157" s="18"/>
      <c r="K20157" s="18" t="s">
        <v>316</v>
      </c>
    </row>
    <row r="20158">
      <c r="A20158" s="17"/>
      <c r="H20158" s="18"/>
      <c r="K20158" s="18" t="s">
        <v>316</v>
      </c>
    </row>
    <row r="20159">
      <c r="A20159" s="17"/>
      <c r="H20159" s="18"/>
      <c r="K20159" s="18" t="s">
        <v>316</v>
      </c>
    </row>
    <row r="20160">
      <c r="A20160" s="17"/>
      <c r="H20160" s="18"/>
      <c r="K20160" s="18" t="s">
        <v>316</v>
      </c>
    </row>
    <row r="20161">
      <c r="A20161" s="17"/>
      <c r="H20161" s="18"/>
      <c r="K20161" s="18" t="s">
        <v>316</v>
      </c>
    </row>
    <row r="20162">
      <c r="A20162" s="17"/>
      <c r="H20162" s="18"/>
      <c r="K20162" s="18" t="s">
        <v>316</v>
      </c>
    </row>
    <row r="20163">
      <c r="A20163" s="17"/>
      <c r="H20163" s="18"/>
      <c r="K20163" s="18" t="s">
        <v>316</v>
      </c>
    </row>
    <row r="20164">
      <c r="A20164" s="17"/>
      <c r="H20164" s="18"/>
      <c r="K20164" s="18" t="s">
        <v>316</v>
      </c>
    </row>
    <row r="20165">
      <c r="A20165" s="17"/>
      <c r="H20165" s="18"/>
      <c r="K20165" s="18" t="s">
        <v>316</v>
      </c>
    </row>
    <row r="20166">
      <c r="A20166" s="17"/>
      <c r="H20166" s="18"/>
      <c r="K20166" s="18" t="s">
        <v>316</v>
      </c>
    </row>
    <row r="20167">
      <c r="A20167" s="17"/>
      <c r="H20167" s="18"/>
      <c r="K20167" s="18" t="s">
        <v>316</v>
      </c>
    </row>
    <row r="20168">
      <c r="A20168" s="17"/>
      <c r="H20168" s="18"/>
      <c r="K20168" s="18" t="s">
        <v>316</v>
      </c>
    </row>
    <row r="20169">
      <c r="A20169" s="17"/>
      <c r="H20169" s="18"/>
      <c r="K20169" s="18" t="s">
        <v>316</v>
      </c>
    </row>
    <row r="20170">
      <c r="A20170" s="17"/>
      <c r="H20170" s="18"/>
      <c r="K20170" s="18" t="s">
        <v>316</v>
      </c>
    </row>
    <row r="20171">
      <c r="A20171" s="17"/>
      <c r="H20171" s="18"/>
      <c r="K20171" s="18" t="s">
        <v>316</v>
      </c>
    </row>
    <row r="20172">
      <c r="A20172" s="17"/>
      <c r="H20172" s="18"/>
      <c r="K20172" s="18" t="s">
        <v>316</v>
      </c>
    </row>
    <row r="20173">
      <c r="A20173" s="17"/>
      <c r="H20173" s="18"/>
      <c r="K20173" s="18" t="s">
        <v>316</v>
      </c>
    </row>
    <row r="20174">
      <c r="A20174" s="17"/>
      <c r="H20174" s="18"/>
      <c r="K20174" s="18" t="s">
        <v>316</v>
      </c>
    </row>
    <row r="20175">
      <c r="A20175" s="17"/>
      <c r="H20175" s="18"/>
      <c r="K20175" s="18" t="s">
        <v>316</v>
      </c>
    </row>
    <row r="20176">
      <c r="A20176" s="17"/>
      <c r="H20176" s="18"/>
      <c r="K20176" s="18" t="s">
        <v>316</v>
      </c>
    </row>
    <row r="20177">
      <c r="A20177" s="17"/>
      <c r="H20177" s="18"/>
      <c r="K20177" s="18" t="s">
        <v>316</v>
      </c>
    </row>
    <row r="20178">
      <c r="A20178" s="17"/>
      <c r="H20178" s="18"/>
      <c r="K20178" s="18" t="s">
        <v>316</v>
      </c>
    </row>
    <row r="20179">
      <c r="A20179" s="17"/>
      <c r="H20179" s="18"/>
      <c r="K20179" s="18" t="s">
        <v>316</v>
      </c>
    </row>
    <row r="20180">
      <c r="A20180" s="17"/>
      <c r="H20180" s="18"/>
      <c r="K20180" s="18" t="s">
        <v>316</v>
      </c>
    </row>
    <row r="20181">
      <c r="A20181" s="17"/>
      <c r="H20181" s="18"/>
      <c r="K20181" s="18" t="s">
        <v>316</v>
      </c>
    </row>
    <row r="20182">
      <c r="A20182" s="17"/>
      <c r="H20182" s="18"/>
      <c r="K20182" s="18" t="s">
        <v>316</v>
      </c>
    </row>
    <row r="20183">
      <c r="A20183" s="17"/>
      <c r="H20183" s="18"/>
      <c r="K20183" s="18" t="s">
        <v>316</v>
      </c>
    </row>
    <row r="20184">
      <c r="A20184" s="17"/>
      <c r="H20184" s="18"/>
      <c r="K20184" s="18" t="s">
        <v>316</v>
      </c>
    </row>
    <row r="20185">
      <c r="A20185" s="17"/>
      <c r="H20185" s="18"/>
      <c r="K20185" s="18" t="s">
        <v>316</v>
      </c>
    </row>
    <row r="20186">
      <c r="A20186" s="17"/>
      <c r="H20186" s="18"/>
      <c r="K20186" s="18" t="s">
        <v>316</v>
      </c>
    </row>
    <row r="20187">
      <c r="A20187" s="17"/>
      <c r="H20187" s="18"/>
      <c r="K20187" s="18" t="s">
        <v>316</v>
      </c>
    </row>
    <row r="20188">
      <c r="A20188" s="17"/>
      <c r="H20188" s="18"/>
      <c r="K20188" s="18" t="s">
        <v>316</v>
      </c>
    </row>
    <row r="20189">
      <c r="A20189" s="17"/>
      <c r="H20189" s="18"/>
      <c r="K20189" s="18" t="s">
        <v>316</v>
      </c>
    </row>
    <row r="20190">
      <c r="A20190" s="17"/>
      <c r="H20190" s="18"/>
      <c r="K20190" s="18" t="s">
        <v>316</v>
      </c>
    </row>
    <row r="20191">
      <c r="A20191" s="17"/>
      <c r="H20191" s="18"/>
      <c r="K20191" s="18" t="s">
        <v>316</v>
      </c>
    </row>
    <row r="20192">
      <c r="A20192" s="17"/>
      <c r="H20192" s="18"/>
      <c r="K20192" s="18" t="s">
        <v>316</v>
      </c>
    </row>
    <row r="20193">
      <c r="A20193" s="17"/>
      <c r="H20193" s="18"/>
      <c r="K20193" s="18" t="s">
        <v>316</v>
      </c>
    </row>
    <row r="20194">
      <c r="A20194" s="17"/>
      <c r="H20194" s="18"/>
      <c r="K20194" s="18" t="s">
        <v>316</v>
      </c>
    </row>
    <row r="20195">
      <c r="A20195" s="17"/>
      <c r="H20195" s="18"/>
      <c r="K20195" s="18" t="s">
        <v>316</v>
      </c>
    </row>
    <row r="20196">
      <c r="A20196" s="17"/>
      <c r="H20196" s="18"/>
      <c r="K20196" s="18" t="s">
        <v>316</v>
      </c>
    </row>
    <row r="20197">
      <c r="A20197" s="17"/>
      <c r="H20197" s="18"/>
      <c r="K20197" s="18" t="s">
        <v>316</v>
      </c>
    </row>
    <row r="20198">
      <c r="A20198" s="17"/>
      <c r="H20198" s="18"/>
      <c r="K20198" s="18" t="s">
        <v>316</v>
      </c>
    </row>
    <row r="20199">
      <c r="A20199" s="17"/>
      <c r="H20199" s="18"/>
      <c r="K20199" s="18" t="s">
        <v>316</v>
      </c>
    </row>
    <row r="20200">
      <c r="A20200" s="17"/>
      <c r="H20200" s="18"/>
      <c r="K20200" s="18" t="s">
        <v>316</v>
      </c>
    </row>
    <row r="20201">
      <c r="A20201" s="17"/>
      <c r="H20201" s="18"/>
      <c r="K20201" s="18" t="s">
        <v>316</v>
      </c>
    </row>
    <row r="20202">
      <c r="A20202" s="17"/>
      <c r="H20202" s="18"/>
      <c r="K20202" s="18" t="s">
        <v>316</v>
      </c>
    </row>
    <row r="20203">
      <c r="A20203" s="17"/>
      <c r="H20203" s="18"/>
      <c r="K20203" s="18" t="s">
        <v>316</v>
      </c>
    </row>
    <row r="20204">
      <c r="A20204" s="17"/>
      <c r="H20204" s="18"/>
      <c r="K20204" s="18" t="s">
        <v>316</v>
      </c>
    </row>
    <row r="20205">
      <c r="A20205" s="17"/>
      <c r="H20205" s="18"/>
      <c r="K20205" s="18" t="s">
        <v>316</v>
      </c>
    </row>
    <row r="20206">
      <c r="A20206" s="17"/>
      <c r="H20206" s="18"/>
      <c r="K20206" s="18" t="s">
        <v>316</v>
      </c>
    </row>
    <row r="20207">
      <c r="A20207" s="17"/>
      <c r="H20207" s="18"/>
      <c r="K20207" s="18" t="s">
        <v>316</v>
      </c>
    </row>
    <row r="20208">
      <c r="A20208" s="17"/>
      <c r="H20208" s="18"/>
      <c r="K20208" s="18" t="s">
        <v>316</v>
      </c>
    </row>
    <row r="20209">
      <c r="A20209" s="17"/>
      <c r="H20209" s="18"/>
      <c r="K20209" s="18" t="s">
        <v>316</v>
      </c>
    </row>
    <row r="20210">
      <c r="A20210" s="17"/>
      <c r="H20210" s="18"/>
      <c r="K20210" s="18" t="s">
        <v>316</v>
      </c>
    </row>
    <row r="20211">
      <c r="A20211" s="17"/>
      <c r="H20211" s="18"/>
      <c r="K20211" s="18" t="s">
        <v>316</v>
      </c>
    </row>
    <row r="20212">
      <c r="A20212" s="17"/>
      <c r="H20212" s="18"/>
      <c r="K20212" s="18" t="s">
        <v>316</v>
      </c>
    </row>
    <row r="20213">
      <c r="A20213" s="17"/>
      <c r="H20213" s="18"/>
      <c r="K20213" s="18" t="s">
        <v>316</v>
      </c>
    </row>
    <row r="20214">
      <c r="A20214" s="17"/>
      <c r="H20214" s="18"/>
      <c r="K20214" s="18" t="s">
        <v>316</v>
      </c>
    </row>
    <row r="20215">
      <c r="A20215" s="17"/>
      <c r="H20215" s="18"/>
      <c r="K20215" s="18" t="s">
        <v>316</v>
      </c>
    </row>
    <row r="20216">
      <c r="A20216" s="17"/>
      <c r="H20216" s="18"/>
      <c r="K20216" s="18" t="s">
        <v>316</v>
      </c>
    </row>
    <row r="20217">
      <c r="A20217" s="17"/>
      <c r="H20217" s="18"/>
      <c r="K20217" s="18" t="s">
        <v>316</v>
      </c>
    </row>
    <row r="20218">
      <c r="A20218" s="17"/>
      <c r="H20218" s="18"/>
      <c r="K20218" s="18" t="s">
        <v>316</v>
      </c>
    </row>
    <row r="20219">
      <c r="A20219" s="17"/>
      <c r="H20219" s="18"/>
      <c r="K20219" s="18" t="s">
        <v>316</v>
      </c>
    </row>
    <row r="20220">
      <c r="A20220" s="17"/>
      <c r="H20220" s="18"/>
      <c r="K20220" s="18" t="s">
        <v>316</v>
      </c>
    </row>
    <row r="20221">
      <c r="A20221" s="17"/>
      <c r="H20221" s="18"/>
      <c r="K20221" s="18" t="s">
        <v>316</v>
      </c>
    </row>
    <row r="20222">
      <c r="A20222" s="17"/>
      <c r="H20222" s="18"/>
      <c r="K20222" s="18" t="s">
        <v>316</v>
      </c>
    </row>
    <row r="20223">
      <c r="A20223" s="17"/>
      <c r="H20223" s="18"/>
      <c r="K20223" s="18" t="s">
        <v>316</v>
      </c>
    </row>
    <row r="20224">
      <c r="A20224" s="17"/>
      <c r="H20224" s="18"/>
      <c r="K20224" s="18" t="s">
        <v>316</v>
      </c>
    </row>
    <row r="20225">
      <c r="A20225" s="17"/>
      <c r="H20225" s="18"/>
      <c r="K20225" s="18" t="s">
        <v>316</v>
      </c>
    </row>
    <row r="20226">
      <c r="A20226" s="17"/>
      <c r="H20226" s="18"/>
      <c r="K20226" s="18" t="s">
        <v>316</v>
      </c>
    </row>
    <row r="20227">
      <c r="A20227" s="17"/>
      <c r="H20227" s="18"/>
      <c r="K20227" s="18" t="s">
        <v>316</v>
      </c>
    </row>
    <row r="20228">
      <c r="A20228" s="17"/>
      <c r="H20228" s="18"/>
      <c r="K20228" s="18" t="s">
        <v>316</v>
      </c>
    </row>
    <row r="20229">
      <c r="A20229" s="17"/>
      <c r="H20229" s="18"/>
      <c r="K20229" s="18" t="s">
        <v>316</v>
      </c>
    </row>
    <row r="20230">
      <c r="A20230" s="17"/>
      <c r="H20230" s="18"/>
      <c r="K20230" s="18" t="s">
        <v>316</v>
      </c>
    </row>
    <row r="20231">
      <c r="A20231" s="17"/>
      <c r="H20231" s="18"/>
      <c r="K20231" s="18" t="s">
        <v>316</v>
      </c>
    </row>
    <row r="20232">
      <c r="A20232" s="17"/>
      <c r="H20232" s="18"/>
      <c r="K20232" s="18" t="s">
        <v>316</v>
      </c>
    </row>
    <row r="20233">
      <c r="A20233" s="17"/>
      <c r="H20233" s="18"/>
      <c r="K20233" s="18" t="s">
        <v>316</v>
      </c>
    </row>
    <row r="20234">
      <c r="A20234" s="17"/>
      <c r="H20234" s="18"/>
      <c r="K20234" s="18" t="s">
        <v>316</v>
      </c>
    </row>
    <row r="20235">
      <c r="A20235" s="17"/>
      <c r="H20235" s="18"/>
      <c r="K20235" s="18" t="s">
        <v>316</v>
      </c>
    </row>
    <row r="20236">
      <c r="A20236" s="17"/>
      <c r="H20236" s="18"/>
      <c r="K20236" s="18" t="s">
        <v>316</v>
      </c>
    </row>
    <row r="20237">
      <c r="A20237" s="17"/>
      <c r="H20237" s="18"/>
      <c r="K20237" s="18" t="s">
        <v>316</v>
      </c>
    </row>
    <row r="20238">
      <c r="A20238" s="17"/>
      <c r="H20238" s="18"/>
      <c r="K20238" s="18" t="s">
        <v>316</v>
      </c>
    </row>
    <row r="20239">
      <c r="A20239" s="17"/>
      <c r="H20239" s="18"/>
      <c r="K20239" s="18" t="s">
        <v>316</v>
      </c>
    </row>
    <row r="20240">
      <c r="A20240" s="17"/>
      <c r="H20240" s="18"/>
      <c r="K20240" s="18" t="s">
        <v>316</v>
      </c>
    </row>
    <row r="20241">
      <c r="A20241" s="17"/>
      <c r="H20241" s="18"/>
      <c r="K20241" s="18" t="s">
        <v>316</v>
      </c>
    </row>
    <row r="20242">
      <c r="A20242" s="17"/>
      <c r="H20242" s="18"/>
      <c r="K20242" s="18" t="s">
        <v>316</v>
      </c>
    </row>
    <row r="20243">
      <c r="A20243" s="17"/>
      <c r="H20243" s="18"/>
      <c r="K20243" s="18" t="s">
        <v>316</v>
      </c>
    </row>
    <row r="20244">
      <c r="A20244" s="17"/>
      <c r="H20244" s="18"/>
      <c r="K20244" s="18" t="s">
        <v>316</v>
      </c>
    </row>
    <row r="20245">
      <c r="A20245" s="17"/>
      <c r="H20245" s="18"/>
      <c r="K20245" s="18" t="s">
        <v>316</v>
      </c>
    </row>
    <row r="20246">
      <c r="A20246" s="17"/>
      <c r="H20246" s="18"/>
      <c r="K20246" s="18" t="s">
        <v>316</v>
      </c>
    </row>
    <row r="20247">
      <c r="A20247" s="17"/>
      <c r="H20247" s="18"/>
      <c r="K20247" s="18" t="s">
        <v>316</v>
      </c>
    </row>
    <row r="20248">
      <c r="A20248" s="17"/>
      <c r="H20248" s="18"/>
      <c r="K20248" s="18" t="s">
        <v>316</v>
      </c>
    </row>
    <row r="20249">
      <c r="A20249" s="17"/>
      <c r="H20249" s="18"/>
      <c r="K20249" s="18" t="s">
        <v>316</v>
      </c>
    </row>
    <row r="20250">
      <c r="A20250" s="17"/>
      <c r="H20250" s="18"/>
      <c r="K20250" s="18" t="s">
        <v>316</v>
      </c>
    </row>
    <row r="20251">
      <c r="A20251" s="17"/>
      <c r="H20251" s="18"/>
      <c r="K20251" s="18" t="s">
        <v>316</v>
      </c>
    </row>
    <row r="20252">
      <c r="A20252" s="17"/>
      <c r="H20252" s="18"/>
      <c r="K20252" s="18" t="s">
        <v>316</v>
      </c>
    </row>
    <row r="20253">
      <c r="A20253" s="17"/>
      <c r="H20253" s="18"/>
      <c r="K20253" s="18" t="s">
        <v>316</v>
      </c>
    </row>
    <row r="20254">
      <c r="A20254" s="17"/>
      <c r="H20254" s="18"/>
      <c r="K20254" s="18" t="s">
        <v>316</v>
      </c>
    </row>
    <row r="20255">
      <c r="A20255" s="17"/>
      <c r="H20255" s="18"/>
      <c r="K20255" s="18" t="s">
        <v>316</v>
      </c>
    </row>
    <row r="20256">
      <c r="A20256" s="17"/>
      <c r="H20256" s="18"/>
      <c r="K20256" s="18" t="s">
        <v>316</v>
      </c>
    </row>
    <row r="20257">
      <c r="A20257" s="17"/>
      <c r="H20257" s="18"/>
      <c r="K20257" s="18" t="s">
        <v>316</v>
      </c>
    </row>
    <row r="20258">
      <c r="A20258" s="17"/>
      <c r="H20258" s="18"/>
      <c r="K20258" s="18" t="s">
        <v>316</v>
      </c>
    </row>
    <row r="20259">
      <c r="A20259" s="17"/>
      <c r="H20259" s="18"/>
      <c r="K20259" s="18" t="s">
        <v>316</v>
      </c>
    </row>
    <row r="20260">
      <c r="A20260" s="17"/>
      <c r="H20260" s="18"/>
      <c r="K20260" s="18" t="s">
        <v>316</v>
      </c>
    </row>
    <row r="20261">
      <c r="A20261" s="17"/>
      <c r="H20261" s="18"/>
      <c r="K20261" s="18" t="s">
        <v>316</v>
      </c>
    </row>
    <row r="20262">
      <c r="A20262" s="17"/>
      <c r="H20262" s="18"/>
      <c r="K20262" s="18" t="s">
        <v>316</v>
      </c>
    </row>
    <row r="20263">
      <c r="A20263" s="17"/>
      <c r="H20263" s="18"/>
      <c r="K20263" s="18" t="s">
        <v>316</v>
      </c>
    </row>
    <row r="20264">
      <c r="A20264" s="17"/>
      <c r="H20264" s="18"/>
      <c r="K20264" s="18" t="s">
        <v>316</v>
      </c>
    </row>
    <row r="20265">
      <c r="A20265" s="17"/>
      <c r="H20265" s="18"/>
      <c r="K20265" s="18" t="s">
        <v>316</v>
      </c>
    </row>
    <row r="20266">
      <c r="A20266" s="17"/>
      <c r="H20266" s="18"/>
      <c r="K20266" s="18" t="s">
        <v>316</v>
      </c>
    </row>
    <row r="20267">
      <c r="A20267" s="17"/>
      <c r="H20267" s="18"/>
      <c r="K20267" s="18" t="s">
        <v>316</v>
      </c>
    </row>
    <row r="20268">
      <c r="A20268" s="17"/>
      <c r="H20268" s="18"/>
      <c r="K20268" s="18" t="s">
        <v>316</v>
      </c>
    </row>
    <row r="20269">
      <c r="A20269" s="17"/>
      <c r="H20269" s="18"/>
      <c r="K20269" s="18" t="s">
        <v>316</v>
      </c>
    </row>
    <row r="20270">
      <c r="A20270" s="17"/>
      <c r="H20270" s="18"/>
      <c r="K20270" s="18" t="s">
        <v>316</v>
      </c>
    </row>
    <row r="20271">
      <c r="A20271" s="17"/>
      <c r="H20271" s="18"/>
      <c r="K20271" s="18" t="s">
        <v>316</v>
      </c>
    </row>
    <row r="20272">
      <c r="A20272" s="17"/>
      <c r="H20272" s="18"/>
      <c r="K20272" s="18" t="s">
        <v>316</v>
      </c>
    </row>
    <row r="20273">
      <c r="A20273" s="17"/>
      <c r="H20273" s="18"/>
      <c r="K20273" s="18" t="s">
        <v>316</v>
      </c>
    </row>
    <row r="20274">
      <c r="A20274" s="17"/>
      <c r="H20274" s="18"/>
      <c r="K20274" s="18" t="s">
        <v>316</v>
      </c>
    </row>
    <row r="20275">
      <c r="A20275" s="17"/>
      <c r="H20275" s="18"/>
      <c r="K20275" s="18" t="s">
        <v>316</v>
      </c>
    </row>
    <row r="20276">
      <c r="A20276" s="17"/>
      <c r="H20276" s="18"/>
      <c r="K20276" s="18" t="s">
        <v>316</v>
      </c>
    </row>
    <row r="20277">
      <c r="A20277" s="17"/>
      <c r="H20277" s="18"/>
      <c r="K20277" s="18" t="s">
        <v>316</v>
      </c>
    </row>
    <row r="20278">
      <c r="A20278" s="17"/>
      <c r="H20278" s="18"/>
      <c r="K20278" s="18" t="s">
        <v>316</v>
      </c>
    </row>
    <row r="20279">
      <c r="A20279" s="17"/>
      <c r="H20279" s="18"/>
      <c r="K20279" s="18" t="s">
        <v>316</v>
      </c>
    </row>
    <row r="20280">
      <c r="A20280" s="17"/>
      <c r="H20280" s="18"/>
      <c r="K20280" s="18" t="s">
        <v>316</v>
      </c>
    </row>
    <row r="20281">
      <c r="A20281" s="17"/>
      <c r="H20281" s="18"/>
      <c r="K20281" s="18" t="s">
        <v>316</v>
      </c>
    </row>
    <row r="20282">
      <c r="A20282" s="17"/>
      <c r="H20282" s="18"/>
      <c r="K20282" s="18" t="s">
        <v>316</v>
      </c>
    </row>
    <row r="20283">
      <c r="A20283" s="17"/>
      <c r="H20283" s="18"/>
      <c r="K20283" s="18" t="s">
        <v>316</v>
      </c>
    </row>
    <row r="20284">
      <c r="A20284" s="17"/>
      <c r="H20284" s="18"/>
      <c r="K20284" s="18" t="s">
        <v>316</v>
      </c>
    </row>
    <row r="20285">
      <c r="A20285" s="17"/>
      <c r="H20285" s="18"/>
      <c r="K20285" s="18" t="s">
        <v>316</v>
      </c>
    </row>
    <row r="20286">
      <c r="A20286" s="17"/>
      <c r="H20286" s="18"/>
      <c r="K20286" s="18" t="s">
        <v>316</v>
      </c>
    </row>
    <row r="20287">
      <c r="A20287" s="17"/>
      <c r="H20287" s="18"/>
      <c r="K20287" s="18" t="s">
        <v>316</v>
      </c>
    </row>
    <row r="20288">
      <c r="A20288" s="17"/>
      <c r="H20288" s="18"/>
      <c r="K20288" s="18" t="s">
        <v>316</v>
      </c>
    </row>
    <row r="20289">
      <c r="A20289" s="17"/>
      <c r="H20289" s="18"/>
      <c r="K20289" s="18" t="s">
        <v>316</v>
      </c>
    </row>
    <row r="20290">
      <c r="A20290" s="17"/>
      <c r="H20290" s="18"/>
      <c r="K20290" s="18" t="s">
        <v>316</v>
      </c>
    </row>
    <row r="20291">
      <c r="A20291" s="17"/>
      <c r="H20291" s="18"/>
      <c r="K20291" s="18" t="s">
        <v>316</v>
      </c>
    </row>
    <row r="20292">
      <c r="A20292" s="17"/>
      <c r="H20292" s="18"/>
      <c r="K20292" s="18" t="s">
        <v>316</v>
      </c>
    </row>
    <row r="20293">
      <c r="A20293" s="17"/>
      <c r="H20293" s="18"/>
      <c r="K20293" s="18" t="s">
        <v>316</v>
      </c>
    </row>
    <row r="20294">
      <c r="A20294" s="17"/>
      <c r="H20294" s="18"/>
      <c r="K20294" s="18" t="s">
        <v>316</v>
      </c>
    </row>
    <row r="20295">
      <c r="A20295" s="17"/>
      <c r="H20295" s="18"/>
      <c r="K20295" s="18" t="s">
        <v>316</v>
      </c>
    </row>
    <row r="20296">
      <c r="A20296" s="17"/>
      <c r="H20296" s="18"/>
      <c r="K20296" s="18" t="s">
        <v>316</v>
      </c>
    </row>
    <row r="20297">
      <c r="A20297" s="17"/>
      <c r="H20297" s="18"/>
      <c r="K20297" s="18" t="s">
        <v>316</v>
      </c>
    </row>
    <row r="20298">
      <c r="A20298" s="17"/>
      <c r="H20298" s="18"/>
      <c r="K20298" s="18" t="s">
        <v>316</v>
      </c>
    </row>
    <row r="20299">
      <c r="A20299" s="17"/>
      <c r="H20299" s="18"/>
      <c r="K20299" s="18" t="s">
        <v>316</v>
      </c>
    </row>
    <row r="20300">
      <c r="A20300" s="17"/>
      <c r="H20300" s="18"/>
      <c r="K20300" s="18" t="s">
        <v>316</v>
      </c>
    </row>
    <row r="20301">
      <c r="A20301" s="17"/>
      <c r="H20301" s="18"/>
      <c r="K20301" s="18" t="s">
        <v>316</v>
      </c>
    </row>
    <row r="20302">
      <c r="A20302" s="17"/>
      <c r="H20302" s="18"/>
      <c r="K20302" s="18" t="s">
        <v>316</v>
      </c>
    </row>
    <row r="20303">
      <c r="A20303" s="17"/>
      <c r="H20303" s="18"/>
      <c r="K20303" s="18" t="s">
        <v>316</v>
      </c>
    </row>
    <row r="20304">
      <c r="A20304" s="17"/>
      <c r="H20304" s="18"/>
      <c r="K20304" s="18" t="s">
        <v>316</v>
      </c>
    </row>
    <row r="20305">
      <c r="A20305" s="17"/>
      <c r="H20305" s="18"/>
      <c r="K20305" s="18" t="s">
        <v>316</v>
      </c>
    </row>
    <row r="20306">
      <c r="A20306" s="17"/>
      <c r="H20306" s="18"/>
      <c r="K20306" s="18" t="s">
        <v>316</v>
      </c>
    </row>
    <row r="20307">
      <c r="A20307" s="17"/>
      <c r="H20307" s="18"/>
      <c r="K20307" s="18" t="s">
        <v>316</v>
      </c>
    </row>
    <row r="20308">
      <c r="A20308" s="17"/>
      <c r="H20308" s="18"/>
      <c r="K20308" s="18" t="s">
        <v>316</v>
      </c>
    </row>
    <row r="20309">
      <c r="A20309" s="17"/>
      <c r="H20309" s="18"/>
      <c r="K20309" s="18" t="s">
        <v>316</v>
      </c>
    </row>
    <row r="20310">
      <c r="A20310" s="17"/>
      <c r="H20310" s="18"/>
      <c r="K20310" s="18" t="s">
        <v>316</v>
      </c>
    </row>
    <row r="20311">
      <c r="A20311" s="17"/>
      <c r="H20311" s="18"/>
      <c r="K20311" s="18" t="s">
        <v>316</v>
      </c>
    </row>
    <row r="20312">
      <c r="A20312" s="17"/>
      <c r="H20312" s="18"/>
      <c r="K20312" s="18" t="s">
        <v>316</v>
      </c>
    </row>
    <row r="20313">
      <c r="A20313" s="17"/>
      <c r="H20313" s="18"/>
      <c r="K20313" s="18" t="s">
        <v>316</v>
      </c>
    </row>
    <row r="20314">
      <c r="A20314" s="17"/>
      <c r="H20314" s="18"/>
      <c r="K20314" s="18" t="s">
        <v>316</v>
      </c>
    </row>
    <row r="20315">
      <c r="A20315" s="17"/>
      <c r="H20315" s="18"/>
      <c r="K20315" s="18" t="s">
        <v>316</v>
      </c>
    </row>
    <row r="20316">
      <c r="A20316" s="17"/>
      <c r="H20316" s="18"/>
      <c r="K20316" s="18" t="s">
        <v>316</v>
      </c>
    </row>
    <row r="20317">
      <c r="A20317" s="17"/>
      <c r="H20317" s="18"/>
      <c r="K20317" s="18" t="s">
        <v>316</v>
      </c>
    </row>
    <row r="20318">
      <c r="A20318" s="17"/>
      <c r="H20318" s="18"/>
      <c r="K20318" s="18" t="s">
        <v>316</v>
      </c>
    </row>
    <row r="20319">
      <c r="A20319" s="17"/>
      <c r="H20319" s="18"/>
      <c r="K20319" s="18" t="s">
        <v>316</v>
      </c>
    </row>
    <row r="20320">
      <c r="A20320" s="17"/>
      <c r="H20320" s="18"/>
      <c r="K20320" s="18" t="s">
        <v>316</v>
      </c>
    </row>
    <row r="20321">
      <c r="A20321" s="17"/>
      <c r="H20321" s="18"/>
      <c r="K20321" s="18" t="s">
        <v>316</v>
      </c>
    </row>
    <row r="20322">
      <c r="A20322" s="17"/>
      <c r="H20322" s="18"/>
      <c r="K20322" s="18" t="s">
        <v>316</v>
      </c>
    </row>
    <row r="20323">
      <c r="A20323" s="17"/>
      <c r="H20323" s="18"/>
      <c r="K20323" s="18" t="s">
        <v>316</v>
      </c>
    </row>
    <row r="20324">
      <c r="A20324" s="17"/>
      <c r="H20324" s="18"/>
      <c r="K20324" s="18" t="s">
        <v>316</v>
      </c>
    </row>
    <row r="20325">
      <c r="A20325" s="17"/>
      <c r="H20325" s="18"/>
      <c r="K20325" s="18" t="s">
        <v>316</v>
      </c>
    </row>
    <row r="20326">
      <c r="A20326" s="17"/>
      <c r="H20326" s="18"/>
      <c r="K20326" s="18" t="s">
        <v>316</v>
      </c>
    </row>
    <row r="20327">
      <c r="A20327" s="17"/>
      <c r="H20327" s="18"/>
      <c r="K20327" s="18" t="s">
        <v>316</v>
      </c>
    </row>
    <row r="20328">
      <c r="A20328" s="17"/>
      <c r="H20328" s="18"/>
      <c r="K20328" s="18" t="s">
        <v>316</v>
      </c>
    </row>
    <row r="20329">
      <c r="A20329" s="17"/>
      <c r="H20329" s="18"/>
      <c r="K20329" s="18" t="s">
        <v>316</v>
      </c>
    </row>
    <row r="20330">
      <c r="A20330" s="17"/>
      <c r="H20330" s="18"/>
      <c r="K20330" s="18" t="s">
        <v>316</v>
      </c>
    </row>
    <row r="20331">
      <c r="A20331" s="17"/>
      <c r="H20331" s="18"/>
      <c r="K20331" s="18" t="s">
        <v>316</v>
      </c>
    </row>
    <row r="20332">
      <c r="A20332" s="17"/>
      <c r="H20332" s="18"/>
      <c r="K20332" s="18" t="s">
        <v>316</v>
      </c>
    </row>
    <row r="20333">
      <c r="A20333" s="17"/>
      <c r="H20333" s="18"/>
      <c r="K20333" s="18" t="s">
        <v>316</v>
      </c>
    </row>
    <row r="20334">
      <c r="A20334" s="17"/>
      <c r="H20334" s="18"/>
      <c r="K20334" s="18" t="s">
        <v>316</v>
      </c>
    </row>
    <row r="20335">
      <c r="A20335" s="17"/>
      <c r="H20335" s="18"/>
      <c r="K20335" s="18" t="s">
        <v>316</v>
      </c>
    </row>
    <row r="20336">
      <c r="A20336" s="17"/>
      <c r="H20336" s="18"/>
      <c r="K20336" s="18" t="s">
        <v>316</v>
      </c>
    </row>
    <row r="20337">
      <c r="A20337" s="17"/>
      <c r="H20337" s="18"/>
      <c r="K20337" s="18" t="s">
        <v>316</v>
      </c>
    </row>
    <row r="20338">
      <c r="A20338" s="17"/>
      <c r="H20338" s="18"/>
      <c r="K20338" s="18" t="s">
        <v>316</v>
      </c>
    </row>
    <row r="20339">
      <c r="A20339" s="17"/>
      <c r="H20339" s="18"/>
      <c r="K20339" s="18" t="s">
        <v>316</v>
      </c>
    </row>
    <row r="20340">
      <c r="A20340" s="17"/>
      <c r="H20340" s="18"/>
      <c r="K20340" s="18" t="s">
        <v>316</v>
      </c>
    </row>
    <row r="20341">
      <c r="A20341" s="17"/>
      <c r="H20341" s="18"/>
      <c r="K20341" s="18" t="s">
        <v>316</v>
      </c>
    </row>
    <row r="20342">
      <c r="A20342" s="17"/>
      <c r="H20342" s="18"/>
      <c r="K20342" s="18" t="s">
        <v>316</v>
      </c>
    </row>
    <row r="20343">
      <c r="A20343" s="17"/>
      <c r="H20343" s="18"/>
      <c r="K20343" s="18" t="s">
        <v>316</v>
      </c>
    </row>
    <row r="20344">
      <c r="A20344" s="17"/>
      <c r="H20344" s="18"/>
      <c r="K20344" s="18" t="s">
        <v>316</v>
      </c>
    </row>
    <row r="20345">
      <c r="A20345" s="17"/>
      <c r="H20345" s="18"/>
      <c r="K20345" s="18" t="s">
        <v>316</v>
      </c>
    </row>
    <row r="20346">
      <c r="A20346" s="17"/>
      <c r="H20346" s="18"/>
      <c r="K20346" s="18" t="s">
        <v>316</v>
      </c>
    </row>
    <row r="20347">
      <c r="A20347" s="17"/>
      <c r="H20347" s="18"/>
      <c r="K20347" s="18" t="s">
        <v>316</v>
      </c>
    </row>
    <row r="20348">
      <c r="A20348" s="17"/>
      <c r="H20348" s="18"/>
      <c r="K20348" s="18" t="s">
        <v>316</v>
      </c>
    </row>
    <row r="20349">
      <c r="A20349" s="17"/>
      <c r="H20349" s="18"/>
      <c r="K20349" s="18" t="s">
        <v>316</v>
      </c>
    </row>
    <row r="20350">
      <c r="A20350" s="17"/>
      <c r="H20350" s="18"/>
      <c r="K20350" s="18" t="s">
        <v>316</v>
      </c>
    </row>
    <row r="20351">
      <c r="A20351" s="17"/>
      <c r="H20351" s="18"/>
      <c r="K20351" s="18" t="s">
        <v>316</v>
      </c>
    </row>
    <row r="20352">
      <c r="A20352" s="17"/>
      <c r="H20352" s="18"/>
      <c r="K20352" s="18" t="s">
        <v>316</v>
      </c>
    </row>
    <row r="20353">
      <c r="A20353" s="17"/>
      <c r="H20353" s="18"/>
      <c r="K20353" s="18" t="s">
        <v>316</v>
      </c>
    </row>
    <row r="20354">
      <c r="A20354" s="17"/>
      <c r="H20354" s="18"/>
      <c r="K20354" s="18" t="s">
        <v>316</v>
      </c>
    </row>
    <row r="20355">
      <c r="A20355" s="17"/>
      <c r="H20355" s="18"/>
      <c r="K20355" s="18" t="s">
        <v>316</v>
      </c>
    </row>
    <row r="20356">
      <c r="A20356" s="17"/>
      <c r="H20356" s="18"/>
      <c r="K20356" s="18" t="s">
        <v>316</v>
      </c>
    </row>
    <row r="20357">
      <c r="A20357" s="17"/>
      <c r="H20357" s="18"/>
      <c r="K20357" s="18" t="s">
        <v>316</v>
      </c>
    </row>
    <row r="20358">
      <c r="A20358" s="17"/>
      <c r="H20358" s="18"/>
      <c r="K20358" s="18" t="s">
        <v>316</v>
      </c>
    </row>
    <row r="20359">
      <c r="A20359" s="17"/>
      <c r="H20359" s="18"/>
      <c r="K20359" s="18" t="s">
        <v>316</v>
      </c>
    </row>
    <row r="20360">
      <c r="A20360" s="17"/>
      <c r="H20360" s="18"/>
      <c r="K20360" s="18" t="s">
        <v>316</v>
      </c>
    </row>
    <row r="20361">
      <c r="A20361" s="17"/>
      <c r="H20361" s="18"/>
      <c r="K20361" s="18" t="s">
        <v>316</v>
      </c>
    </row>
    <row r="20362">
      <c r="A20362" s="17"/>
      <c r="H20362" s="18"/>
      <c r="K20362" s="18" t="s">
        <v>316</v>
      </c>
    </row>
    <row r="20363">
      <c r="A20363" s="17"/>
      <c r="H20363" s="18"/>
      <c r="K20363" s="18" t="s">
        <v>316</v>
      </c>
    </row>
    <row r="20364">
      <c r="A20364" s="17"/>
      <c r="H20364" s="18"/>
      <c r="K20364" s="18" t="s">
        <v>316</v>
      </c>
    </row>
    <row r="20365">
      <c r="A20365" s="17"/>
      <c r="H20365" s="18"/>
      <c r="K20365" s="18" t="s">
        <v>316</v>
      </c>
    </row>
    <row r="20366">
      <c r="A20366" s="17"/>
      <c r="H20366" s="18"/>
      <c r="K20366" s="18" t="s">
        <v>316</v>
      </c>
    </row>
    <row r="20367">
      <c r="A20367" s="17"/>
      <c r="H20367" s="18"/>
      <c r="K20367" s="18" t="s">
        <v>316</v>
      </c>
    </row>
    <row r="20368">
      <c r="A20368" s="17"/>
      <c r="H20368" s="18"/>
      <c r="K20368" s="18" t="s">
        <v>316</v>
      </c>
    </row>
    <row r="20369">
      <c r="A20369" s="17"/>
      <c r="H20369" s="18"/>
      <c r="K20369" s="18" t="s">
        <v>316</v>
      </c>
    </row>
    <row r="20370">
      <c r="A20370" s="17"/>
      <c r="H20370" s="18"/>
      <c r="K20370" s="18" t="s">
        <v>316</v>
      </c>
    </row>
    <row r="20371">
      <c r="A20371" s="17"/>
      <c r="H20371" s="18"/>
      <c r="K20371" s="18" t="s">
        <v>316</v>
      </c>
    </row>
    <row r="20372">
      <c r="A20372" s="17"/>
      <c r="H20372" s="18"/>
      <c r="K20372" s="18" t="s">
        <v>316</v>
      </c>
    </row>
    <row r="20373">
      <c r="A20373" s="17"/>
      <c r="H20373" s="18"/>
      <c r="K20373" s="18" t="s">
        <v>316</v>
      </c>
    </row>
    <row r="20374">
      <c r="A20374" s="17"/>
      <c r="H20374" s="18"/>
      <c r="K20374" s="18" t="s">
        <v>316</v>
      </c>
    </row>
    <row r="20375">
      <c r="A20375" s="17"/>
      <c r="H20375" s="18"/>
      <c r="K20375" s="18" t="s">
        <v>316</v>
      </c>
    </row>
    <row r="20376">
      <c r="A20376" s="17"/>
      <c r="H20376" s="18"/>
      <c r="K20376" s="18" t="s">
        <v>316</v>
      </c>
    </row>
    <row r="20377">
      <c r="A20377" s="17"/>
      <c r="H20377" s="18"/>
      <c r="K20377" s="18" t="s">
        <v>316</v>
      </c>
    </row>
    <row r="20378">
      <c r="A20378" s="17"/>
      <c r="H20378" s="18"/>
      <c r="K20378" s="18" t="s">
        <v>316</v>
      </c>
    </row>
    <row r="20379">
      <c r="A20379" s="17"/>
      <c r="H20379" s="18"/>
      <c r="K20379" s="18" t="s">
        <v>316</v>
      </c>
    </row>
    <row r="20380">
      <c r="A20380" s="17"/>
      <c r="H20380" s="18"/>
      <c r="K20380" s="18" t="s">
        <v>316</v>
      </c>
    </row>
    <row r="20381">
      <c r="A20381" s="17"/>
      <c r="H20381" s="18"/>
      <c r="K20381" s="18" t="s">
        <v>316</v>
      </c>
    </row>
    <row r="20382">
      <c r="A20382" s="17"/>
      <c r="H20382" s="18"/>
      <c r="K20382" s="18" t="s">
        <v>316</v>
      </c>
    </row>
    <row r="20383">
      <c r="A20383" s="17"/>
      <c r="H20383" s="18"/>
      <c r="K20383" s="18" t="s">
        <v>316</v>
      </c>
    </row>
    <row r="20384">
      <c r="A20384" s="17"/>
      <c r="H20384" s="18"/>
      <c r="K20384" s="18" t="s">
        <v>316</v>
      </c>
    </row>
    <row r="20385">
      <c r="A20385" s="17"/>
      <c r="H20385" s="18"/>
      <c r="K20385" s="18" t="s">
        <v>316</v>
      </c>
    </row>
    <row r="20386">
      <c r="A20386" s="17"/>
      <c r="H20386" s="18"/>
      <c r="K20386" s="18" t="s">
        <v>316</v>
      </c>
    </row>
    <row r="20387">
      <c r="A20387" s="17"/>
      <c r="H20387" s="18"/>
      <c r="K20387" s="18" t="s">
        <v>316</v>
      </c>
    </row>
    <row r="20388">
      <c r="A20388" s="17"/>
      <c r="H20388" s="18"/>
      <c r="K20388" s="18" t="s">
        <v>316</v>
      </c>
    </row>
    <row r="20389">
      <c r="A20389" s="17"/>
      <c r="H20389" s="18"/>
      <c r="K20389" s="18" t="s">
        <v>316</v>
      </c>
    </row>
    <row r="20390">
      <c r="A20390" s="17"/>
      <c r="H20390" s="18"/>
      <c r="K20390" s="18" t="s">
        <v>316</v>
      </c>
    </row>
    <row r="20391">
      <c r="A20391" s="17"/>
      <c r="H20391" s="18"/>
      <c r="K20391" s="18" t="s">
        <v>316</v>
      </c>
    </row>
    <row r="20392">
      <c r="A20392" s="17"/>
      <c r="H20392" s="18"/>
      <c r="K20392" s="18" t="s">
        <v>316</v>
      </c>
    </row>
    <row r="20393">
      <c r="A20393" s="17"/>
      <c r="H20393" s="18"/>
      <c r="K20393" s="18" t="s">
        <v>316</v>
      </c>
    </row>
    <row r="20394">
      <c r="A20394" s="17"/>
      <c r="H20394" s="18"/>
      <c r="K20394" s="18" t="s">
        <v>316</v>
      </c>
    </row>
    <row r="20395">
      <c r="A20395" s="17"/>
      <c r="H20395" s="18"/>
      <c r="K20395" s="18" t="s">
        <v>316</v>
      </c>
    </row>
    <row r="20396">
      <c r="A20396" s="17"/>
      <c r="H20396" s="18"/>
      <c r="K20396" s="18" t="s">
        <v>316</v>
      </c>
    </row>
    <row r="20397">
      <c r="A20397" s="17"/>
      <c r="H20397" s="18"/>
      <c r="K20397" s="18" t="s">
        <v>316</v>
      </c>
    </row>
    <row r="20398">
      <c r="A20398" s="17"/>
      <c r="H20398" s="18"/>
      <c r="K20398" s="18" t="s">
        <v>316</v>
      </c>
    </row>
    <row r="20399">
      <c r="A20399" s="17"/>
      <c r="H20399" s="18"/>
      <c r="K20399" s="18" t="s">
        <v>316</v>
      </c>
    </row>
    <row r="20400">
      <c r="A20400" s="17"/>
      <c r="H20400" s="18"/>
      <c r="K20400" s="18" t="s">
        <v>316</v>
      </c>
    </row>
    <row r="20401">
      <c r="A20401" s="17"/>
      <c r="H20401" s="18"/>
      <c r="K20401" s="18" t="s">
        <v>316</v>
      </c>
    </row>
    <row r="20402">
      <c r="A20402" s="17"/>
      <c r="H20402" s="18"/>
      <c r="K20402" s="18" t="s">
        <v>316</v>
      </c>
    </row>
    <row r="20403">
      <c r="A20403" s="17"/>
      <c r="H20403" s="18"/>
      <c r="K20403" s="18" t="s">
        <v>316</v>
      </c>
    </row>
    <row r="20404">
      <c r="A20404" s="17"/>
      <c r="H20404" s="18"/>
      <c r="K20404" s="18" t="s">
        <v>316</v>
      </c>
    </row>
    <row r="20405">
      <c r="A20405" s="17"/>
      <c r="H20405" s="18"/>
      <c r="K20405" s="18" t="s">
        <v>316</v>
      </c>
    </row>
    <row r="20406">
      <c r="A20406" s="17"/>
      <c r="H20406" s="18"/>
      <c r="K20406" s="18" t="s">
        <v>316</v>
      </c>
    </row>
    <row r="20407">
      <c r="A20407" s="17"/>
      <c r="H20407" s="18"/>
      <c r="K20407" s="18" t="s">
        <v>316</v>
      </c>
    </row>
    <row r="20408">
      <c r="A20408" s="17"/>
      <c r="H20408" s="18"/>
      <c r="K20408" s="18" t="s">
        <v>316</v>
      </c>
    </row>
    <row r="20409">
      <c r="A20409" s="17"/>
      <c r="H20409" s="18"/>
      <c r="K20409" s="18" t="s">
        <v>316</v>
      </c>
    </row>
    <row r="20410">
      <c r="A20410" s="17"/>
      <c r="H20410" s="18"/>
      <c r="K20410" s="18" t="s">
        <v>316</v>
      </c>
    </row>
    <row r="20411">
      <c r="A20411" s="17"/>
      <c r="H20411" s="18"/>
      <c r="K20411" s="18" t="s">
        <v>316</v>
      </c>
    </row>
    <row r="20412">
      <c r="A20412" s="17"/>
      <c r="H20412" s="18"/>
      <c r="K20412" s="18" t="s">
        <v>316</v>
      </c>
    </row>
    <row r="20413">
      <c r="A20413" s="17"/>
      <c r="H20413" s="18"/>
      <c r="K20413" s="18" t="s">
        <v>316</v>
      </c>
    </row>
    <row r="20414">
      <c r="A20414" s="17"/>
      <c r="H20414" s="18"/>
      <c r="K20414" s="18" t="s">
        <v>316</v>
      </c>
    </row>
    <row r="20415">
      <c r="A20415" s="17"/>
      <c r="H20415" s="18"/>
      <c r="K20415" s="18" t="s">
        <v>316</v>
      </c>
    </row>
    <row r="20416">
      <c r="A20416" s="17"/>
      <c r="H20416" s="18"/>
      <c r="K20416" s="18" t="s">
        <v>316</v>
      </c>
    </row>
    <row r="20417">
      <c r="A20417" s="17"/>
      <c r="H20417" s="18"/>
      <c r="K20417" s="18" t="s">
        <v>316</v>
      </c>
    </row>
    <row r="20418">
      <c r="A20418" s="17"/>
      <c r="H20418" s="18"/>
      <c r="K20418" s="18" t="s">
        <v>316</v>
      </c>
    </row>
    <row r="20419">
      <c r="A20419" s="17"/>
      <c r="H20419" s="18"/>
      <c r="K20419" s="18" t="s">
        <v>316</v>
      </c>
    </row>
    <row r="20420">
      <c r="A20420" s="17"/>
      <c r="H20420" s="18"/>
      <c r="K20420" s="18" t="s">
        <v>316</v>
      </c>
    </row>
    <row r="20421">
      <c r="A20421" s="17"/>
      <c r="H20421" s="18"/>
      <c r="K20421" s="18" t="s">
        <v>316</v>
      </c>
    </row>
    <row r="20422">
      <c r="A20422" s="17"/>
      <c r="H20422" s="18"/>
      <c r="K20422" s="18" t="s">
        <v>316</v>
      </c>
    </row>
    <row r="20423">
      <c r="A20423" s="17"/>
      <c r="H20423" s="18"/>
      <c r="K20423" s="18" t="s">
        <v>316</v>
      </c>
    </row>
    <row r="20424">
      <c r="A20424" s="17"/>
      <c r="H20424" s="18"/>
      <c r="K20424" s="18" t="s">
        <v>316</v>
      </c>
    </row>
    <row r="20425">
      <c r="A20425" s="17"/>
      <c r="H20425" s="18"/>
      <c r="K20425" s="18" t="s">
        <v>316</v>
      </c>
    </row>
    <row r="20426">
      <c r="A20426" s="17"/>
      <c r="H20426" s="18"/>
      <c r="K20426" s="18" t="s">
        <v>316</v>
      </c>
    </row>
    <row r="20427">
      <c r="A20427" s="17"/>
      <c r="H20427" s="18"/>
      <c r="K20427" s="18" t="s">
        <v>316</v>
      </c>
    </row>
    <row r="20428">
      <c r="A20428" s="17"/>
      <c r="H20428" s="18"/>
      <c r="K20428" s="18" t="s">
        <v>316</v>
      </c>
    </row>
    <row r="20429">
      <c r="A20429" s="17"/>
      <c r="H20429" s="18"/>
      <c r="K20429" s="18" t="s">
        <v>316</v>
      </c>
    </row>
    <row r="20430">
      <c r="A20430" s="17"/>
      <c r="H20430" s="18"/>
      <c r="K20430" s="18" t="s">
        <v>316</v>
      </c>
    </row>
    <row r="20431">
      <c r="A20431" s="17"/>
      <c r="H20431" s="18"/>
      <c r="K20431" s="18" t="s">
        <v>316</v>
      </c>
    </row>
    <row r="20432">
      <c r="A20432" s="17"/>
      <c r="H20432" s="18"/>
      <c r="K20432" s="18" t="s">
        <v>316</v>
      </c>
    </row>
    <row r="20433">
      <c r="A20433" s="17"/>
      <c r="H20433" s="18"/>
      <c r="K20433" s="18" t="s">
        <v>316</v>
      </c>
    </row>
    <row r="20434">
      <c r="A20434" s="17"/>
      <c r="H20434" s="18"/>
      <c r="K20434" s="18" t="s">
        <v>316</v>
      </c>
    </row>
    <row r="20435">
      <c r="A20435" s="17"/>
      <c r="H20435" s="18"/>
      <c r="K20435" s="18" t="s">
        <v>316</v>
      </c>
    </row>
    <row r="20436">
      <c r="A20436" s="17"/>
      <c r="H20436" s="18"/>
      <c r="K20436" s="18" t="s">
        <v>316</v>
      </c>
    </row>
    <row r="20437">
      <c r="A20437" s="17"/>
      <c r="H20437" s="18"/>
      <c r="K20437" s="18" t="s">
        <v>316</v>
      </c>
    </row>
    <row r="20438">
      <c r="A20438" s="17"/>
      <c r="H20438" s="18"/>
      <c r="K20438" s="18" t="s">
        <v>316</v>
      </c>
    </row>
    <row r="20439">
      <c r="A20439" s="17"/>
      <c r="H20439" s="18"/>
      <c r="K20439" s="18" t="s">
        <v>316</v>
      </c>
    </row>
    <row r="20440">
      <c r="A20440" s="17"/>
      <c r="H20440" s="18"/>
      <c r="K20440" s="18" t="s">
        <v>316</v>
      </c>
    </row>
    <row r="20441">
      <c r="A20441" s="17"/>
      <c r="H20441" s="18"/>
      <c r="K20441" s="18" t="s">
        <v>316</v>
      </c>
    </row>
    <row r="20442">
      <c r="A20442" s="17"/>
      <c r="H20442" s="18"/>
      <c r="K20442" s="18" t="s">
        <v>316</v>
      </c>
    </row>
    <row r="20443">
      <c r="A20443" s="17"/>
      <c r="H20443" s="18"/>
      <c r="K20443" s="18" t="s">
        <v>316</v>
      </c>
    </row>
    <row r="20444">
      <c r="A20444" s="17"/>
      <c r="H20444" s="18"/>
      <c r="K20444" s="18" t="s">
        <v>316</v>
      </c>
    </row>
    <row r="20445">
      <c r="A20445" s="17"/>
      <c r="H20445" s="18"/>
      <c r="K20445" s="18" t="s">
        <v>316</v>
      </c>
    </row>
    <row r="20446">
      <c r="A20446" s="17"/>
      <c r="H20446" s="18"/>
      <c r="K20446" s="18" t="s">
        <v>316</v>
      </c>
    </row>
    <row r="20447">
      <c r="A20447" s="17"/>
      <c r="H20447" s="18"/>
      <c r="K20447" s="18" t="s">
        <v>316</v>
      </c>
    </row>
    <row r="20448">
      <c r="A20448" s="17"/>
      <c r="H20448" s="18"/>
      <c r="K20448" s="18" t="s">
        <v>316</v>
      </c>
    </row>
    <row r="20449">
      <c r="A20449" s="17"/>
      <c r="H20449" s="18"/>
      <c r="K20449" s="18" t="s">
        <v>316</v>
      </c>
    </row>
    <row r="20450">
      <c r="A20450" s="17"/>
      <c r="H20450" s="18"/>
      <c r="K20450" s="18" t="s">
        <v>316</v>
      </c>
    </row>
    <row r="20451">
      <c r="A20451" s="17"/>
      <c r="H20451" s="18"/>
      <c r="K20451" s="18" t="s">
        <v>316</v>
      </c>
    </row>
    <row r="20452">
      <c r="A20452" s="17"/>
      <c r="H20452" s="18"/>
      <c r="K20452" s="18" t="s">
        <v>316</v>
      </c>
    </row>
    <row r="20453">
      <c r="A20453" s="17"/>
      <c r="H20453" s="18"/>
      <c r="K20453" s="18" t="s">
        <v>316</v>
      </c>
    </row>
    <row r="20454">
      <c r="A20454" s="17"/>
      <c r="H20454" s="18"/>
      <c r="K20454" s="18" t="s">
        <v>316</v>
      </c>
    </row>
    <row r="20455">
      <c r="A20455" s="17"/>
      <c r="H20455" s="18"/>
      <c r="K20455" s="18" t="s">
        <v>316</v>
      </c>
    </row>
    <row r="20456">
      <c r="A20456" s="17"/>
      <c r="H20456" s="18"/>
      <c r="K20456" s="18" t="s">
        <v>316</v>
      </c>
    </row>
    <row r="20457">
      <c r="A20457" s="17"/>
      <c r="H20457" s="18"/>
      <c r="K20457" s="18" t="s">
        <v>316</v>
      </c>
    </row>
    <row r="20458">
      <c r="A20458" s="17"/>
      <c r="H20458" s="18"/>
      <c r="K20458" s="18" t="s">
        <v>316</v>
      </c>
    </row>
    <row r="20459">
      <c r="A20459" s="17"/>
      <c r="H20459" s="18"/>
      <c r="K20459" s="18" t="s">
        <v>316</v>
      </c>
    </row>
    <row r="20460">
      <c r="A20460" s="17"/>
      <c r="H20460" s="18"/>
      <c r="K20460" s="18" t="s">
        <v>316</v>
      </c>
    </row>
    <row r="20461">
      <c r="A20461" s="17"/>
      <c r="H20461" s="18"/>
      <c r="K20461" s="18" t="s">
        <v>316</v>
      </c>
    </row>
    <row r="20462">
      <c r="A20462" s="17"/>
      <c r="H20462" s="18"/>
      <c r="K20462" s="18" t="s">
        <v>316</v>
      </c>
    </row>
    <row r="20463">
      <c r="A20463" s="17"/>
      <c r="H20463" s="18"/>
      <c r="K20463" s="18" t="s">
        <v>316</v>
      </c>
    </row>
    <row r="20464">
      <c r="A20464" s="17"/>
      <c r="H20464" s="18"/>
      <c r="K20464" s="18" t="s">
        <v>316</v>
      </c>
    </row>
    <row r="20465">
      <c r="A20465" s="17"/>
      <c r="H20465" s="18"/>
      <c r="K20465" s="18" t="s">
        <v>316</v>
      </c>
    </row>
    <row r="20466">
      <c r="A20466" s="17"/>
      <c r="H20466" s="18"/>
      <c r="K20466" s="18" t="s">
        <v>316</v>
      </c>
    </row>
    <row r="20467">
      <c r="A20467" s="17"/>
      <c r="H20467" s="18"/>
      <c r="K20467" s="18" t="s">
        <v>316</v>
      </c>
    </row>
    <row r="20468">
      <c r="A20468" s="17"/>
      <c r="H20468" s="18"/>
      <c r="K20468" s="18" t="s">
        <v>316</v>
      </c>
    </row>
    <row r="20469">
      <c r="A20469" s="17"/>
      <c r="H20469" s="18"/>
      <c r="K20469" s="18" t="s">
        <v>316</v>
      </c>
    </row>
    <row r="20470">
      <c r="A20470" s="17"/>
      <c r="H20470" s="18"/>
      <c r="K20470" s="18" t="s">
        <v>316</v>
      </c>
    </row>
    <row r="20471">
      <c r="A20471" s="17"/>
      <c r="H20471" s="18"/>
      <c r="K20471" s="18" t="s">
        <v>316</v>
      </c>
    </row>
    <row r="20472">
      <c r="A20472" s="17"/>
      <c r="H20472" s="18"/>
      <c r="K20472" s="18" t="s">
        <v>316</v>
      </c>
    </row>
    <row r="20473">
      <c r="A20473" s="17"/>
      <c r="H20473" s="18"/>
      <c r="K20473" s="18" t="s">
        <v>316</v>
      </c>
    </row>
    <row r="20474">
      <c r="A20474" s="17"/>
      <c r="H20474" s="18"/>
      <c r="K20474" s="18" t="s">
        <v>316</v>
      </c>
    </row>
    <row r="20475">
      <c r="A20475" s="17"/>
      <c r="H20475" s="18"/>
      <c r="K20475" s="18" t="s">
        <v>316</v>
      </c>
    </row>
    <row r="20476">
      <c r="A20476" s="17"/>
      <c r="H20476" s="18"/>
      <c r="K20476" s="18" t="s">
        <v>316</v>
      </c>
    </row>
    <row r="20477">
      <c r="A20477" s="17"/>
      <c r="H20477" s="18"/>
      <c r="K20477" s="18" t="s">
        <v>316</v>
      </c>
    </row>
    <row r="20478">
      <c r="A20478" s="17"/>
      <c r="H20478" s="18"/>
      <c r="K20478" s="18" t="s">
        <v>316</v>
      </c>
    </row>
    <row r="20479">
      <c r="A20479" s="17"/>
      <c r="H20479" s="18"/>
      <c r="K20479" s="18" t="s">
        <v>316</v>
      </c>
    </row>
    <row r="20480">
      <c r="A20480" s="17"/>
      <c r="H20480" s="18"/>
      <c r="K20480" s="18" t="s">
        <v>316</v>
      </c>
    </row>
    <row r="20481">
      <c r="A20481" s="17"/>
      <c r="H20481" s="18"/>
      <c r="K20481" s="18" t="s">
        <v>316</v>
      </c>
    </row>
    <row r="20482">
      <c r="A20482" s="17"/>
      <c r="H20482" s="18"/>
      <c r="K20482" s="18" t="s">
        <v>316</v>
      </c>
    </row>
    <row r="20483">
      <c r="A20483" s="17"/>
      <c r="H20483" s="18"/>
      <c r="K20483" s="18" t="s">
        <v>316</v>
      </c>
    </row>
    <row r="20484">
      <c r="A20484" s="17"/>
      <c r="H20484" s="18"/>
      <c r="K20484" s="18" t="s">
        <v>316</v>
      </c>
    </row>
    <row r="20485">
      <c r="A20485" s="17"/>
      <c r="H20485" s="18"/>
      <c r="K20485" s="18" t="s">
        <v>316</v>
      </c>
    </row>
    <row r="20486">
      <c r="A20486" s="17"/>
      <c r="H20486" s="18"/>
      <c r="K20486" s="18" t="s">
        <v>316</v>
      </c>
    </row>
    <row r="20487">
      <c r="A20487" s="17"/>
      <c r="H20487" s="18"/>
      <c r="K20487" s="18" t="s">
        <v>316</v>
      </c>
    </row>
    <row r="20488">
      <c r="A20488" s="17"/>
      <c r="H20488" s="18"/>
      <c r="K20488" s="18" t="s">
        <v>316</v>
      </c>
    </row>
    <row r="20489">
      <c r="A20489" s="17"/>
      <c r="H20489" s="18"/>
      <c r="K20489" s="18" t="s">
        <v>316</v>
      </c>
    </row>
    <row r="20490">
      <c r="A20490" s="17"/>
      <c r="H20490" s="18"/>
      <c r="K20490" s="18" t="s">
        <v>316</v>
      </c>
    </row>
    <row r="20491">
      <c r="A20491" s="17"/>
      <c r="H20491" s="18"/>
      <c r="K20491" s="18" t="s">
        <v>316</v>
      </c>
    </row>
    <row r="20492">
      <c r="A20492" s="17"/>
      <c r="H20492" s="18"/>
      <c r="K20492" s="18" t="s">
        <v>316</v>
      </c>
    </row>
    <row r="20493">
      <c r="A20493" s="17"/>
      <c r="H20493" s="18"/>
      <c r="K20493" s="18" t="s">
        <v>316</v>
      </c>
    </row>
    <row r="20494">
      <c r="A20494" s="17"/>
      <c r="H20494" s="18"/>
      <c r="K20494" s="18" t="s">
        <v>316</v>
      </c>
    </row>
    <row r="20495">
      <c r="A20495" s="17"/>
      <c r="H20495" s="18"/>
      <c r="K20495" s="18" t="s">
        <v>316</v>
      </c>
    </row>
    <row r="20496">
      <c r="A20496" s="17"/>
      <c r="H20496" s="18"/>
      <c r="K20496" s="18" t="s">
        <v>316</v>
      </c>
    </row>
    <row r="20497">
      <c r="A20497" s="17"/>
      <c r="H20497" s="18"/>
      <c r="K20497" s="18" t="s">
        <v>316</v>
      </c>
    </row>
    <row r="20498">
      <c r="A20498" s="17"/>
      <c r="H20498" s="18"/>
      <c r="K20498" s="18" t="s">
        <v>316</v>
      </c>
    </row>
    <row r="20499">
      <c r="A20499" s="17"/>
      <c r="H20499" s="18"/>
      <c r="K20499" s="18" t="s">
        <v>316</v>
      </c>
    </row>
    <row r="20500">
      <c r="A20500" s="17"/>
      <c r="H20500" s="18"/>
      <c r="K20500" s="18" t="s">
        <v>316</v>
      </c>
    </row>
    <row r="20501">
      <c r="A20501" s="17"/>
      <c r="H20501" s="18"/>
      <c r="K20501" s="18" t="s">
        <v>316</v>
      </c>
    </row>
    <row r="20502">
      <c r="A20502" s="17"/>
      <c r="H20502" s="18"/>
      <c r="K20502" s="18" t="s">
        <v>316</v>
      </c>
    </row>
    <row r="20503">
      <c r="A20503" s="17"/>
      <c r="H20503" s="18"/>
      <c r="K20503" s="18" t="s">
        <v>316</v>
      </c>
    </row>
    <row r="20504">
      <c r="A20504" s="17"/>
      <c r="H20504" s="18"/>
      <c r="K20504" s="18" t="s">
        <v>316</v>
      </c>
    </row>
    <row r="20505">
      <c r="A20505" s="17"/>
      <c r="H20505" s="18"/>
      <c r="K20505" s="18" t="s">
        <v>316</v>
      </c>
    </row>
    <row r="20506">
      <c r="A20506" s="17"/>
      <c r="H20506" s="18"/>
      <c r="K20506" s="18" t="s">
        <v>316</v>
      </c>
    </row>
    <row r="20507">
      <c r="A20507" s="17"/>
      <c r="H20507" s="18"/>
      <c r="K20507" s="18" t="s">
        <v>316</v>
      </c>
    </row>
    <row r="20508">
      <c r="A20508" s="17"/>
      <c r="H20508" s="18"/>
      <c r="K20508" s="18" t="s">
        <v>316</v>
      </c>
    </row>
    <row r="20509">
      <c r="A20509" s="17"/>
      <c r="H20509" s="18"/>
      <c r="K20509" s="18" t="s">
        <v>316</v>
      </c>
    </row>
    <row r="20510">
      <c r="A20510" s="17"/>
      <c r="H20510" s="18"/>
      <c r="K20510" s="18" t="s">
        <v>316</v>
      </c>
    </row>
    <row r="20511">
      <c r="A20511" s="17"/>
      <c r="H20511" s="18"/>
      <c r="K20511" s="18" t="s">
        <v>316</v>
      </c>
    </row>
    <row r="20512">
      <c r="A20512" s="17"/>
      <c r="H20512" s="18"/>
      <c r="K20512" s="18" t="s">
        <v>316</v>
      </c>
    </row>
    <row r="20513">
      <c r="A20513" s="17"/>
      <c r="H20513" s="18"/>
      <c r="K20513" s="18" t="s">
        <v>316</v>
      </c>
    </row>
    <row r="20514">
      <c r="A20514" s="17"/>
      <c r="H20514" s="18"/>
      <c r="K20514" s="18" t="s">
        <v>316</v>
      </c>
    </row>
    <row r="20515">
      <c r="A20515" s="17"/>
      <c r="H20515" s="18"/>
      <c r="K20515" s="18" t="s">
        <v>316</v>
      </c>
    </row>
    <row r="20516">
      <c r="A20516" s="17"/>
      <c r="H20516" s="18"/>
      <c r="K20516" s="18" t="s">
        <v>316</v>
      </c>
    </row>
    <row r="20517">
      <c r="A20517" s="17"/>
      <c r="H20517" s="18"/>
      <c r="K20517" s="18" t="s">
        <v>316</v>
      </c>
    </row>
    <row r="20518">
      <c r="A20518" s="17"/>
      <c r="H20518" s="18"/>
      <c r="K20518" s="18" t="s">
        <v>316</v>
      </c>
    </row>
    <row r="20519">
      <c r="A20519" s="17"/>
      <c r="H20519" s="18"/>
      <c r="K20519" s="18" t="s">
        <v>316</v>
      </c>
    </row>
    <row r="20520">
      <c r="A20520" s="17"/>
      <c r="H20520" s="18"/>
      <c r="K20520" s="18" t="s">
        <v>316</v>
      </c>
    </row>
    <row r="20521">
      <c r="A20521" s="17"/>
      <c r="H20521" s="18"/>
      <c r="K20521" s="18" t="s">
        <v>316</v>
      </c>
    </row>
    <row r="20522">
      <c r="A20522" s="17"/>
      <c r="H20522" s="18"/>
      <c r="K20522" s="18" t="s">
        <v>316</v>
      </c>
    </row>
    <row r="20523">
      <c r="A20523" s="17"/>
      <c r="H20523" s="18"/>
      <c r="K20523" s="18" t="s">
        <v>316</v>
      </c>
    </row>
    <row r="20524">
      <c r="A20524" s="17"/>
      <c r="H20524" s="18"/>
      <c r="K20524" s="18" t="s">
        <v>316</v>
      </c>
    </row>
    <row r="20525">
      <c r="A20525" s="17"/>
      <c r="H20525" s="18"/>
      <c r="K20525" s="18" t="s">
        <v>316</v>
      </c>
    </row>
    <row r="20526">
      <c r="A20526" s="17"/>
      <c r="H20526" s="18"/>
      <c r="K20526" s="18" t="s">
        <v>316</v>
      </c>
    </row>
    <row r="20527">
      <c r="A20527" s="17"/>
      <c r="H20527" s="18"/>
      <c r="K20527" s="18" t="s">
        <v>316</v>
      </c>
    </row>
    <row r="20528">
      <c r="A20528" s="17"/>
      <c r="H20528" s="18"/>
      <c r="K20528" s="18" t="s">
        <v>316</v>
      </c>
    </row>
    <row r="20529">
      <c r="A20529" s="17"/>
      <c r="H20529" s="18"/>
      <c r="K20529" s="18" t="s">
        <v>316</v>
      </c>
    </row>
    <row r="20530">
      <c r="A20530" s="17"/>
      <c r="H20530" s="18"/>
      <c r="K20530" s="18" t="s">
        <v>316</v>
      </c>
    </row>
    <row r="20531">
      <c r="A20531" s="17"/>
      <c r="H20531" s="18"/>
      <c r="K20531" s="18" t="s">
        <v>316</v>
      </c>
    </row>
    <row r="20532">
      <c r="A20532" s="17"/>
      <c r="H20532" s="18"/>
      <c r="K20532" s="18" t="s">
        <v>316</v>
      </c>
    </row>
    <row r="20533">
      <c r="A20533" s="17"/>
      <c r="H20533" s="18"/>
      <c r="K20533" s="18" t="s">
        <v>316</v>
      </c>
    </row>
    <row r="20534">
      <c r="A20534" s="17"/>
      <c r="H20534" s="18"/>
      <c r="K20534" s="18" t="s">
        <v>316</v>
      </c>
    </row>
    <row r="20535">
      <c r="A20535" s="17"/>
      <c r="H20535" s="18"/>
      <c r="K20535" s="18" t="s">
        <v>316</v>
      </c>
    </row>
    <row r="20536">
      <c r="A20536" s="17"/>
      <c r="H20536" s="18"/>
      <c r="K20536" s="18" t="s">
        <v>316</v>
      </c>
    </row>
    <row r="20537">
      <c r="A20537" s="17"/>
      <c r="H20537" s="18"/>
      <c r="K20537" s="18" t="s">
        <v>316</v>
      </c>
    </row>
    <row r="20538">
      <c r="A20538" s="17"/>
      <c r="H20538" s="18"/>
      <c r="K20538" s="18" t="s">
        <v>316</v>
      </c>
    </row>
    <row r="20539">
      <c r="A20539" s="17"/>
      <c r="H20539" s="18"/>
      <c r="K20539" s="18" t="s">
        <v>316</v>
      </c>
    </row>
    <row r="20540">
      <c r="A20540" s="17"/>
      <c r="H20540" s="18"/>
      <c r="K20540" s="18" t="s">
        <v>316</v>
      </c>
    </row>
    <row r="20541">
      <c r="A20541" s="17"/>
      <c r="H20541" s="18"/>
      <c r="K20541" s="18" t="s">
        <v>316</v>
      </c>
    </row>
    <row r="20542">
      <c r="A20542" s="17"/>
      <c r="H20542" s="18"/>
      <c r="K20542" s="18" t="s">
        <v>316</v>
      </c>
    </row>
    <row r="20543">
      <c r="A20543" s="17"/>
      <c r="H20543" s="18"/>
      <c r="K20543" s="18" t="s">
        <v>316</v>
      </c>
    </row>
    <row r="20544">
      <c r="A20544" s="17"/>
      <c r="H20544" s="18"/>
      <c r="K20544" s="18" t="s">
        <v>316</v>
      </c>
    </row>
    <row r="20545">
      <c r="A20545" s="17"/>
      <c r="H20545" s="18"/>
      <c r="K20545" s="18" t="s">
        <v>316</v>
      </c>
    </row>
    <row r="20546">
      <c r="A20546" s="17"/>
      <c r="H20546" s="18"/>
      <c r="K20546" s="18" t="s">
        <v>316</v>
      </c>
    </row>
    <row r="20547">
      <c r="A20547" s="17"/>
      <c r="H20547" s="18"/>
      <c r="K20547" s="18" t="s">
        <v>316</v>
      </c>
    </row>
    <row r="20548">
      <c r="A20548" s="17"/>
      <c r="H20548" s="18"/>
      <c r="K20548" s="18" t="s">
        <v>316</v>
      </c>
    </row>
    <row r="20549">
      <c r="A20549" s="17"/>
      <c r="H20549" s="18"/>
      <c r="K20549" s="18" t="s">
        <v>316</v>
      </c>
    </row>
    <row r="20550">
      <c r="A20550" s="17"/>
      <c r="H20550" s="18"/>
      <c r="K20550" s="18" t="s">
        <v>316</v>
      </c>
    </row>
    <row r="20551">
      <c r="A20551" s="17"/>
      <c r="H20551" s="18"/>
      <c r="K20551" s="18" t="s">
        <v>316</v>
      </c>
    </row>
    <row r="20552">
      <c r="A20552" s="17"/>
      <c r="H20552" s="18"/>
      <c r="K20552" s="18" t="s">
        <v>316</v>
      </c>
    </row>
    <row r="20553">
      <c r="A20553" s="17"/>
      <c r="H20553" s="18"/>
      <c r="K20553" s="18" t="s">
        <v>316</v>
      </c>
    </row>
    <row r="20554">
      <c r="A20554" s="17"/>
      <c r="H20554" s="18"/>
      <c r="K20554" s="18" t="s">
        <v>316</v>
      </c>
    </row>
    <row r="20555">
      <c r="A20555" s="17"/>
      <c r="H20555" s="18"/>
      <c r="K20555" s="18" t="s">
        <v>316</v>
      </c>
    </row>
    <row r="20556">
      <c r="A20556" s="17"/>
      <c r="H20556" s="18"/>
      <c r="K20556" s="18" t="s">
        <v>316</v>
      </c>
    </row>
    <row r="20557">
      <c r="A20557" s="17"/>
      <c r="H20557" s="18"/>
      <c r="K20557" s="18" t="s">
        <v>316</v>
      </c>
    </row>
    <row r="20558">
      <c r="A20558" s="17"/>
      <c r="H20558" s="18"/>
      <c r="K20558" s="18" t="s">
        <v>316</v>
      </c>
    </row>
    <row r="20559">
      <c r="A20559" s="17"/>
      <c r="H20559" s="18"/>
      <c r="K20559" s="18" t="s">
        <v>316</v>
      </c>
    </row>
    <row r="20560">
      <c r="A20560" s="17"/>
      <c r="H20560" s="18"/>
      <c r="K20560" s="18" t="s">
        <v>316</v>
      </c>
    </row>
    <row r="20561">
      <c r="A20561" s="17"/>
      <c r="H20561" s="18"/>
      <c r="K20561" s="18" t="s">
        <v>316</v>
      </c>
    </row>
    <row r="20562">
      <c r="A20562" s="17"/>
      <c r="H20562" s="18"/>
      <c r="K20562" s="18" t="s">
        <v>316</v>
      </c>
    </row>
    <row r="20563">
      <c r="A20563" s="17"/>
      <c r="H20563" s="18"/>
      <c r="K20563" s="18" t="s">
        <v>316</v>
      </c>
    </row>
    <row r="20564">
      <c r="A20564" s="17"/>
      <c r="H20564" s="18"/>
      <c r="K20564" s="18" t="s">
        <v>316</v>
      </c>
    </row>
    <row r="20565">
      <c r="A20565" s="17"/>
      <c r="H20565" s="18"/>
      <c r="K20565" s="18" t="s">
        <v>316</v>
      </c>
    </row>
    <row r="20566">
      <c r="A20566" s="17"/>
      <c r="H20566" s="18"/>
      <c r="K20566" s="18" t="s">
        <v>316</v>
      </c>
    </row>
    <row r="20567">
      <c r="A20567" s="17"/>
      <c r="H20567" s="18"/>
      <c r="K20567" s="18" t="s">
        <v>316</v>
      </c>
    </row>
    <row r="20568">
      <c r="A20568" s="17"/>
      <c r="H20568" s="18"/>
      <c r="K20568" s="18" t="s">
        <v>316</v>
      </c>
    </row>
    <row r="20569">
      <c r="A20569" s="17"/>
      <c r="H20569" s="18"/>
      <c r="K20569" s="18" t="s">
        <v>316</v>
      </c>
    </row>
    <row r="20570">
      <c r="A20570" s="17"/>
      <c r="H20570" s="18"/>
      <c r="K20570" s="18" t="s">
        <v>316</v>
      </c>
    </row>
    <row r="20571">
      <c r="A20571" s="17"/>
      <c r="H20571" s="18"/>
      <c r="K20571" s="18" t="s">
        <v>316</v>
      </c>
    </row>
    <row r="20572">
      <c r="A20572" s="17"/>
      <c r="H20572" s="18"/>
      <c r="K20572" s="18" t="s">
        <v>316</v>
      </c>
    </row>
    <row r="20573">
      <c r="A20573" s="17"/>
      <c r="H20573" s="18"/>
      <c r="K20573" s="18" t="s">
        <v>316</v>
      </c>
    </row>
    <row r="20574">
      <c r="A20574" s="17"/>
      <c r="H20574" s="18"/>
      <c r="K20574" s="18" t="s">
        <v>316</v>
      </c>
    </row>
    <row r="20575">
      <c r="A20575" s="17"/>
      <c r="H20575" s="18"/>
      <c r="K20575" s="18" t="s">
        <v>316</v>
      </c>
    </row>
    <row r="20576">
      <c r="A20576" s="17"/>
      <c r="H20576" s="18"/>
      <c r="K20576" s="18" t="s">
        <v>316</v>
      </c>
    </row>
    <row r="20577">
      <c r="A20577" s="17"/>
      <c r="H20577" s="18"/>
      <c r="K20577" s="18" t="s">
        <v>316</v>
      </c>
    </row>
    <row r="20578">
      <c r="A20578" s="17"/>
      <c r="H20578" s="18"/>
      <c r="K20578" s="18" t="s">
        <v>316</v>
      </c>
    </row>
    <row r="20579">
      <c r="A20579" s="17"/>
      <c r="H20579" s="18"/>
      <c r="K20579" s="18" t="s">
        <v>316</v>
      </c>
    </row>
    <row r="20580">
      <c r="A20580" s="17"/>
      <c r="H20580" s="18"/>
      <c r="K20580" s="18" t="s">
        <v>316</v>
      </c>
    </row>
    <row r="20581">
      <c r="A20581" s="17"/>
      <c r="H20581" s="18"/>
      <c r="K20581" s="18" t="s">
        <v>316</v>
      </c>
    </row>
    <row r="20582">
      <c r="A20582" s="17"/>
      <c r="H20582" s="18"/>
      <c r="K20582" s="18" t="s">
        <v>316</v>
      </c>
    </row>
    <row r="20583">
      <c r="A20583" s="17"/>
      <c r="H20583" s="18"/>
      <c r="K20583" s="18" t="s">
        <v>316</v>
      </c>
    </row>
    <row r="20584">
      <c r="A20584" s="17"/>
      <c r="H20584" s="18"/>
      <c r="K20584" s="18" t="s">
        <v>316</v>
      </c>
    </row>
    <row r="20585">
      <c r="A20585" s="17"/>
      <c r="H20585" s="18"/>
      <c r="K20585" s="18" t="s">
        <v>316</v>
      </c>
    </row>
    <row r="20586">
      <c r="A20586" s="17"/>
      <c r="H20586" s="18"/>
      <c r="K20586" s="18" t="s">
        <v>316</v>
      </c>
    </row>
    <row r="20587">
      <c r="A20587" s="17"/>
      <c r="H20587" s="18"/>
      <c r="K20587" s="18" t="s">
        <v>316</v>
      </c>
    </row>
    <row r="20588">
      <c r="A20588" s="17"/>
      <c r="H20588" s="18"/>
      <c r="K20588" s="18" t="s">
        <v>316</v>
      </c>
    </row>
    <row r="20589">
      <c r="A20589" s="17"/>
      <c r="H20589" s="18"/>
      <c r="K20589" s="18" t="s">
        <v>316</v>
      </c>
    </row>
    <row r="20590">
      <c r="A20590" s="17"/>
      <c r="H20590" s="18"/>
      <c r="K20590" s="18" t="s">
        <v>316</v>
      </c>
    </row>
    <row r="20591">
      <c r="A20591" s="17"/>
      <c r="H20591" s="18"/>
      <c r="K20591" s="18" t="s">
        <v>316</v>
      </c>
    </row>
    <row r="20592">
      <c r="A20592" s="17"/>
      <c r="H20592" s="18"/>
      <c r="K20592" s="18" t="s">
        <v>316</v>
      </c>
    </row>
    <row r="20593">
      <c r="A20593" s="17"/>
      <c r="H20593" s="18"/>
      <c r="K20593" s="18" t="s">
        <v>316</v>
      </c>
    </row>
    <row r="20594">
      <c r="A20594" s="17"/>
      <c r="H20594" s="18"/>
      <c r="K20594" s="18" t="s">
        <v>316</v>
      </c>
    </row>
    <row r="20595">
      <c r="A20595" s="17"/>
      <c r="H20595" s="18"/>
      <c r="K20595" s="18" t="s">
        <v>316</v>
      </c>
    </row>
    <row r="20596">
      <c r="A20596" s="17"/>
      <c r="H20596" s="18"/>
      <c r="K20596" s="18" t="s">
        <v>316</v>
      </c>
    </row>
    <row r="20597">
      <c r="A20597" s="17"/>
      <c r="H20597" s="18"/>
      <c r="K20597" s="18" t="s">
        <v>316</v>
      </c>
    </row>
    <row r="20598">
      <c r="A20598" s="17"/>
      <c r="H20598" s="18"/>
      <c r="K20598" s="18" t="s">
        <v>316</v>
      </c>
    </row>
    <row r="20599">
      <c r="A20599" s="17"/>
      <c r="H20599" s="18"/>
      <c r="K20599" s="18" t="s">
        <v>316</v>
      </c>
    </row>
    <row r="20600">
      <c r="A20600" s="17"/>
      <c r="H20600" s="18"/>
      <c r="K20600" s="18" t="s">
        <v>316</v>
      </c>
    </row>
    <row r="20601">
      <c r="A20601" s="17"/>
      <c r="H20601" s="18"/>
      <c r="K20601" s="18" t="s">
        <v>316</v>
      </c>
    </row>
    <row r="20602">
      <c r="A20602" s="17"/>
      <c r="H20602" s="18"/>
      <c r="K20602" s="18" t="s">
        <v>316</v>
      </c>
    </row>
    <row r="20603">
      <c r="A20603" s="17"/>
      <c r="H20603" s="18"/>
      <c r="K20603" s="18" t="s">
        <v>316</v>
      </c>
    </row>
    <row r="20604">
      <c r="A20604" s="17"/>
      <c r="H20604" s="18"/>
      <c r="K20604" s="18" t="s">
        <v>316</v>
      </c>
    </row>
    <row r="20605">
      <c r="A20605" s="17"/>
      <c r="H20605" s="18"/>
      <c r="K20605" s="18" t="s">
        <v>316</v>
      </c>
    </row>
    <row r="20606">
      <c r="A20606" s="17"/>
      <c r="H20606" s="18"/>
      <c r="K20606" s="18" t="s">
        <v>316</v>
      </c>
    </row>
    <row r="20607">
      <c r="A20607" s="17"/>
      <c r="H20607" s="18"/>
      <c r="K20607" s="18" t="s">
        <v>316</v>
      </c>
    </row>
    <row r="20608">
      <c r="A20608" s="17"/>
      <c r="H20608" s="18"/>
      <c r="K20608" s="18" t="s">
        <v>316</v>
      </c>
    </row>
    <row r="20609">
      <c r="A20609" s="17"/>
      <c r="H20609" s="18"/>
      <c r="K20609" s="18" t="s">
        <v>316</v>
      </c>
    </row>
    <row r="20610">
      <c r="A20610" s="17"/>
      <c r="H20610" s="18"/>
      <c r="K20610" s="18" t="s">
        <v>316</v>
      </c>
    </row>
    <row r="20611">
      <c r="A20611" s="17"/>
      <c r="H20611" s="18"/>
      <c r="K20611" s="18" t="s">
        <v>316</v>
      </c>
    </row>
    <row r="20612">
      <c r="A20612" s="17"/>
      <c r="H20612" s="18"/>
      <c r="K20612" s="18" t="s">
        <v>316</v>
      </c>
    </row>
    <row r="20613">
      <c r="A20613" s="17"/>
      <c r="H20613" s="18"/>
      <c r="K20613" s="18" t="s">
        <v>316</v>
      </c>
    </row>
    <row r="20614">
      <c r="A20614" s="17"/>
      <c r="H20614" s="18"/>
      <c r="K20614" s="18" t="s">
        <v>316</v>
      </c>
    </row>
    <row r="20615">
      <c r="A20615" s="17"/>
      <c r="H20615" s="18"/>
      <c r="K20615" s="18" t="s">
        <v>316</v>
      </c>
    </row>
    <row r="20616">
      <c r="A20616" s="17"/>
      <c r="H20616" s="18"/>
      <c r="K20616" s="18" t="s">
        <v>316</v>
      </c>
    </row>
    <row r="20617">
      <c r="A20617" s="17"/>
      <c r="H20617" s="18"/>
      <c r="K20617" s="18" t="s">
        <v>316</v>
      </c>
    </row>
    <row r="20618">
      <c r="A20618" s="17"/>
      <c r="H20618" s="18"/>
      <c r="K20618" s="18" t="s">
        <v>316</v>
      </c>
    </row>
    <row r="20619">
      <c r="A20619" s="17"/>
      <c r="H20619" s="18"/>
      <c r="K20619" s="18" t="s">
        <v>316</v>
      </c>
    </row>
    <row r="20620">
      <c r="A20620" s="17"/>
      <c r="H20620" s="18"/>
      <c r="K20620" s="18" t="s">
        <v>316</v>
      </c>
    </row>
    <row r="20621">
      <c r="A20621" s="17"/>
      <c r="H20621" s="18"/>
      <c r="K20621" s="18" t="s">
        <v>316</v>
      </c>
    </row>
    <row r="20622">
      <c r="A20622" s="17"/>
      <c r="H20622" s="18"/>
      <c r="K20622" s="18" t="s">
        <v>316</v>
      </c>
    </row>
    <row r="20623">
      <c r="A20623" s="17"/>
      <c r="H20623" s="18"/>
      <c r="K20623" s="18" t="s">
        <v>316</v>
      </c>
    </row>
    <row r="20624">
      <c r="A20624" s="17"/>
      <c r="H20624" s="18"/>
      <c r="K20624" s="18" t="s">
        <v>316</v>
      </c>
    </row>
    <row r="20625">
      <c r="A20625" s="17"/>
      <c r="H20625" s="18"/>
      <c r="K20625" s="18" t="s">
        <v>316</v>
      </c>
    </row>
    <row r="20626">
      <c r="A20626" s="17"/>
      <c r="H20626" s="18"/>
      <c r="K20626" s="18" t="s">
        <v>316</v>
      </c>
    </row>
    <row r="20627">
      <c r="A20627" s="17"/>
      <c r="H20627" s="18"/>
      <c r="K20627" s="18" t="s">
        <v>316</v>
      </c>
    </row>
    <row r="20628">
      <c r="A20628" s="17"/>
      <c r="H20628" s="18"/>
      <c r="K20628" s="18" t="s">
        <v>316</v>
      </c>
    </row>
    <row r="20629">
      <c r="A20629" s="17"/>
      <c r="H20629" s="18"/>
      <c r="K20629" s="18" t="s">
        <v>316</v>
      </c>
    </row>
    <row r="20630">
      <c r="A20630" s="17"/>
      <c r="H20630" s="18"/>
      <c r="K20630" s="18" t="s">
        <v>316</v>
      </c>
    </row>
    <row r="20631">
      <c r="A20631" s="17"/>
      <c r="H20631" s="18"/>
      <c r="K20631" s="18" t="s">
        <v>316</v>
      </c>
    </row>
    <row r="20632">
      <c r="A20632" s="17"/>
      <c r="H20632" s="18"/>
      <c r="K20632" s="18" t="s">
        <v>316</v>
      </c>
    </row>
    <row r="20633">
      <c r="A20633" s="17"/>
      <c r="H20633" s="18"/>
      <c r="K20633" s="18" t="s">
        <v>316</v>
      </c>
    </row>
    <row r="20634">
      <c r="A20634" s="17"/>
      <c r="H20634" s="18"/>
      <c r="K20634" s="18" t="s">
        <v>316</v>
      </c>
    </row>
    <row r="20635">
      <c r="A20635" s="17"/>
      <c r="H20635" s="18"/>
      <c r="K20635" s="18" t="s">
        <v>316</v>
      </c>
    </row>
    <row r="20636">
      <c r="A20636" s="17"/>
      <c r="H20636" s="18"/>
      <c r="K20636" s="18" t="s">
        <v>316</v>
      </c>
    </row>
    <row r="20637">
      <c r="A20637" s="17"/>
      <c r="H20637" s="18"/>
      <c r="K20637" s="18" t="s">
        <v>316</v>
      </c>
    </row>
    <row r="20638">
      <c r="A20638" s="17"/>
      <c r="H20638" s="18"/>
      <c r="K20638" s="18" t="s">
        <v>316</v>
      </c>
    </row>
    <row r="20639">
      <c r="A20639" s="17"/>
      <c r="H20639" s="18"/>
      <c r="K20639" s="18" t="s">
        <v>316</v>
      </c>
    </row>
    <row r="20640">
      <c r="A20640" s="17"/>
      <c r="H20640" s="18"/>
      <c r="K20640" s="18" t="s">
        <v>316</v>
      </c>
    </row>
    <row r="20641">
      <c r="A20641" s="17"/>
      <c r="H20641" s="18"/>
      <c r="K20641" s="18" t="s">
        <v>316</v>
      </c>
    </row>
    <row r="20642">
      <c r="A20642" s="17"/>
      <c r="H20642" s="18"/>
      <c r="K20642" s="18" t="s">
        <v>316</v>
      </c>
    </row>
    <row r="20643">
      <c r="A20643" s="17"/>
      <c r="H20643" s="18"/>
      <c r="K20643" s="18" t="s">
        <v>316</v>
      </c>
    </row>
    <row r="20644">
      <c r="A20644" s="17"/>
      <c r="H20644" s="18"/>
      <c r="K20644" s="18" t="s">
        <v>316</v>
      </c>
    </row>
    <row r="20645">
      <c r="A20645" s="17"/>
      <c r="H20645" s="18"/>
      <c r="K20645" s="18" t="s">
        <v>316</v>
      </c>
    </row>
    <row r="20646">
      <c r="A20646" s="17"/>
      <c r="H20646" s="18"/>
      <c r="K20646" s="18" t="s">
        <v>316</v>
      </c>
    </row>
    <row r="20647">
      <c r="A20647" s="17"/>
      <c r="H20647" s="18"/>
      <c r="K20647" s="18" t="s">
        <v>316</v>
      </c>
    </row>
    <row r="20648">
      <c r="A20648" s="17"/>
      <c r="H20648" s="18"/>
      <c r="K20648" s="18" t="s">
        <v>316</v>
      </c>
    </row>
    <row r="20649">
      <c r="A20649" s="17"/>
      <c r="H20649" s="18"/>
      <c r="K20649" s="18" t="s">
        <v>316</v>
      </c>
    </row>
    <row r="20650">
      <c r="A20650" s="17"/>
      <c r="H20650" s="18"/>
      <c r="K20650" s="18" t="s">
        <v>316</v>
      </c>
    </row>
    <row r="20651">
      <c r="A20651" s="17"/>
      <c r="H20651" s="18"/>
      <c r="K20651" s="18" t="s">
        <v>316</v>
      </c>
    </row>
    <row r="20652">
      <c r="A20652" s="17"/>
      <c r="H20652" s="18"/>
      <c r="K20652" s="18" t="s">
        <v>316</v>
      </c>
    </row>
    <row r="20653">
      <c r="A20653" s="17"/>
      <c r="H20653" s="18"/>
      <c r="K20653" s="18" t="s">
        <v>316</v>
      </c>
    </row>
    <row r="20654">
      <c r="A20654" s="17"/>
      <c r="H20654" s="18"/>
      <c r="K20654" s="18" t="s">
        <v>316</v>
      </c>
    </row>
    <row r="20655">
      <c r="A20655" s="17"/>
      <c r="H20655" s="18"/>
      <c r="K20655" s="18" t="s">
        <v>316</v>
      </c>
    </row>
    <row r="20656">
      <c r="A20656" s="17"/>
      <c r="H20656" s="18"/>
      <c r="K20656" s="18" t="s">
        <v>316</v>
      </c>
    </row>
    <row r="20657">
      <c r="A20657" s="17"/>
      <c r="H20657" s="18"/>
      <c r="K20657" s="18" t="s">
        <v>316</v>
      </c>
    </row>
    <row r="20658">
      <c r="A20658" s="17"/>
      <c r="H20658" s="18"/>
      <c r="K20658" s="18" t="s">
        <v>316</v>
      </c>
    </row>
    <row r="20659">
      <c r="A20659" s="17"/>
      <c r="H20659" s="18"/>
      <c r="K20659" s="18" t="s">
        <v>316</v>
      </c>
    </row>
    <row r="20660">
      <c r="A20660" s="17"/>
      <c r="H20660" s="18"/>
      <c r="K20660" s="18" t="s">
        <v>316</v>
      </c>
    </row>
    <row r="20661">
      <c r="A20661" s="17"/>
      <c r="H20661" s="18"/>
      <c r="K20661" s="18" t="s">
        <v>316</v>
      </c>
    </row>
    <row r="20662">
      <c r="A20662" s="17"/>
      <c r="H20662" s="18"/>
      <c r="K20662" s="18" t="s">
        <v>316</v>
      </c>
    </row>
    <row r="20663">
      <c r="A20663" s="17"/>
      <c r="H20663" s="18"/>
      <c r="K20663" s="18" t="s">
        <v>316</v>
      </c>
    </row>
    <row r="20664">
      <c r="A20664" s="17"/>
      <c r="H20664" s="18"/>
      <c r="K20664" s="18" t="s">
        <v>316</v>
      </c>
    </row>
    <row r="20665">
      <c r="A20665" s="17"/>
      <c r="H20665" s="18"/>
      <c r="K20665" s="18" t="s">
        <v>316</v>
      </c>
    </row>
    <row r="20666">
      <c r="A20666" s="17"/>
      <c r="H20666" s="18"/>
      <c r="K20666" s="18" t="s">
        <v>316</v>
      </c>
    </row>
    <row r="20667">
      <c r="A20667" s="17"/>
      <c r="H20667" s="18"/>
      <c r="K20667" s="18" t="s">
        <v>316</v>
      </c>
    </row>
    <row r="20668">
      <c r="A20668" s="17"/>
      <c r="H20668" s="18"/>
      <c r="K20668" s="18" t="s">
        <v>316</v>
      </c>
    </row>
    <row r="20669">
      <c r="A20669" s="17"/>
      <c r="H20669" s="18"/>
      <c r="K20669" s="18" t="s">
        <v>316</v>
      </c>
    </row>
    <row r="20670">
      <c r="A20670" s="17"/>
      <c r="H20670" s="18"/>
      <c r="K20670" s="18" t="s">
        <v>316</v>
      </c>
    </row>
    <row r="20671">
      <c r="A20671" s="17"/>
      <c r="H20671" s="18"/>
      <c r="K20671" s="18" t="s">
        <v>316</v>
      </c>
    </row>
    <row r="20672">
      <c r="A20672" s="17"/>
      <c r="H20672" s="18"/>
      <c r="K20672" s="18" t="s">
        <v>316</v>
      </c>
    </row>
    <row r="20673">
      <c r="A20673" s="17"/>
      <c r="H20673" s="18"/>
      <c r="K20673" s="18" t="s">
        <v>316</v>
      </c>
    </row>
    <row r="20674">
      <c r="A20674" s="17"/>
      <c r="H20674" s="18"/>
      <c r="K20674" s="18" t="s">
        <v>316</v>
      </c>
    </row>
    <row r="20675">
      <c r="A20675" s="17"/>
      <c r="H20675" s="18"/>
      <c r="K20675" s="18" t="s">
        <v>316</v>
      </c>
    </row>
    <row r="20676">
      <c r="A20676" s="17"/>
      <c r="H20676" s="18"/>
      <c r="K20676" s="18" t="s">
        <v>316</v>
      </c>
    </row>
    <row r="20677">
      <c r="A20677" s="17"/>
      <c r="H20677" s="18"/>
      <c r="K20677" s="18" t="s">
        <v>316</v>
      </c>
    </row>
    <row r="20678">
      <c r="A20678" s="17"/>
      <c r="H20678" s="18"/>
      <c r="K20678" s="18" t="s">
        <v>316</v>
      </c>
    </row>
    <row r="20679">
      <c r="A20679" s="17"/>
      <c r="H20679" s="18"/>
      <c r="K20679" s="18" t="s">
        <v>316</v>
      </c>
    </row>
    <row r="20680">
      <c r="A20680" s="17"/>
      <c r="H20680" s="18"/>
      <c r="K20680" s="18" t="s">
        <v>316</v>
      </c>
    </row>
    <row r="20681">
      <c r="A20681" s="17"/>
      <c r="H20681" s="18"/>
      <c r="K20681" s="18" t="s">
        <v>316</v>
      </c>
    </row>
    <row r="20682">
      <c r="A20682" s="17"/>
      <c r="H20682" s="18"/>
      <c r="K20682" s="18" t="s">
        <v>316</v>
      </c>
    </row>
    <row r="20683">
      <c r="A20683" s="17"/>
      <c r="H20683" s="18"/>
      <c r="K20683" s="18" t="s">
        <v>316</v>
      </c>
    </row>
    <row r="20684">
      <c r="A20684" s="17"/>
      <c r="H20684" s="18"/>
      <c r="K20684" s="18" t="s">
        <v>316</v>
      </c>
    </row>
    <row r="20685">
      <c r="A20685" s="17"/>
      <c r="H20685" s="18"/>
      <c r="K20685" s="18" t="s">
        <v>316</v>
      </c>
    </row>
    <row r="20686">
      <c r="A20686" s="17"/>
      <c r="H20686" s="18"/>
      <c r="K20686" s="18" t="s">
        <v>316</v>
      </c>
    </row>
    <row r="20687">
      <c r="A20687" s="17"/>
      <c r="H20687" s="18"/>
      <c r="K20687" s="18" t="s">
        <v>316</v>
      </c>
    </row>
    <row r="20688">
      <c r="A20688" s="17"/>
      <c r="H20688" s="18"/>
      <c r="K20688" s="18" t="s">
        <v>316</v>
      </c>
    </row>
    <row r="20689">
      <c r="A20689" s="17"/>
      <c r="H20689" s="18"/>
      <c r="K20689" s="18" t="s">
        <v>316</v>
      </c>
    </row>
    <row r="20690">
      <c r="A20690" s="17"/>
      <c r="H20690" s="18"/>
      <c r="K20690" s="18" t="s">
        <v>316</v>
      </c>
    </row>
    <row r="20691">
      <c r="A20691" s="17"/>
      <c r="H20691" s="18"/>
      <c r="K20691" s="18" t="s">
        <v>316</v>
      </c>
    </row>
    <row r="20692">
      <c r="A20692" s="17"/>
      <c r="H20692" s="18"/>
      <c r="K20692" s="18" t="s">
        <v>316</v>
      </c>
    </row>
    <row r="20693">
      <c r="A20693" s="17"/>
      <c r="H20693" s="18"/>
      <c r="K20693" s="18" t="s">
        <v>316</v>
      </c>
    </row>
    <row r="20694">
      <c r="A20694" s="17"/>
      <c r="H20694" s="18"/>
      <c r="K20694" s="18" t="s">
        <v>316</v>
      </c>
    </row>
    <row r="20695">
      <c r="A20695" s="17"/>
      <c r="H20695" s="18"/>
      <c r="K20695" s="18" t="s">
        <v>316</v>
      </c>
    </row>
    <row r="20696">
      <c r="A20696" s="17"/>
      <c r="H20696" s="18"/>
      <c r="K20696" s="18" t="s">
        <v>316</v>
      </c>
    </row>
    <row r="20697">
      <c r="A20697" s="17"/>
      <c r="H20697" s="18"/>
      <c r="K20697" s="18" t="s">
        <v>316</v>
      </c>
    </row>
    <row r="20698">
      <c r="A20698" s="17"/>
      <c r="H20698" s="18"/>
      <c r="K20698" s="18" t="s">
        <v>316</v>
      </c>
    </row>
    <row r="20699">
      <c r="A20699" s="17"/>
      <c r="H20699" s="18"/>
      <c r="K20699" s="18" t="s">
        <v>316</v>
      </c>
    </row>
    <row r="20700">
      <c r="A20700" s="17"/>
      <c r="H20700" s="18"/>
      <c r="K20700" s="18" t="s">
        <v>316</v>
      </c>
    </row>
    <row r="20701">
      <c r="A20701" s="17"/>
      <c r="H20701" s="18"/>
      <c r="K20701" s="18" t="s">
        <v>316</v>
      </c>
    </row>
    <row r="20702">
      <c r="A20702" s="17"/>
      <c r="H20702" s="18"/>
      <c r="K20702" s="18" t="s">
        <v>316</v>
      </c>
    </row>
    <row r="20703">
      <c r="A20703" s="17"/>
      <c r="H20703" s="18"/>
      <c r="K20703" s="18" t="s">
        <v>316</v>
      </c>
    </row>
    <row r="20704">
      <c r="A20704" s="17"/>
      <c r="H20704" s="18"/>
      <c r="K20704" s="18" t="s">
        <v>316</v>
      </c>
    </row>
    <row r="20705">
      <c r="A20705" s="17"/>
      <c r="H20705" s="18"/>
      <c r="K20705" s="18" t="s">
        <v>316</v>
      </c>
    </row>
    <row r="20706">
      <c r="A20706" s="17"/>
      <c r="H20706" s="18"/>
      <c r="K20706" s="18" t="s">
        <v>316</v>
      </c>
    </row>
    <row r="20707">
      <c r="A20707" s="17"/>
      <c r="H20707" s="18"/>
      <c r="K20707" s="18" t="s">
        <v>316</v>
      </c>
    </row>
    <row r="20708">
      <c r="A20708" s="17"/>
      <c r="H20708" s="18"/>
      <c r="K20708" s="18" t="s">
        <v>316</v>
      </c>
    </row>
    <row r="20709">
      <c r="A20709" s="17"/>
      <c r="H20709" s="18"/>
      <c r="K20709" s="18" t="s">
        <v>316</v>
      </c>
    </row>
    <row r="20710">
      <c r="A20710" s="17"/>
      <c r="H20710" s="18"/>
      <c r="K20710" s="18" t="s">
        <v>316</v>
      </c>
    </row>
    <row r="20711">
      <c r="A20711" s="17"/>
      <c r="H20711" s="18"/>
      <c r="K20711" s="18" t="s">
        <v>316</v>
      </c>
    </row>
    <row r="20712">
      <c r="A20712" s="17"/>
      <c r="H20712" s="18"/>
      <c r="K20712" s="18" t="s">
        <v>316</v>
      </c>
    </row>
    <row r="20713">
      <c r="A20713" s="17"/>
      <c r="H20713" s="18"/>
      <c r="K20713" s="18" t="s">
        <v>316</v>
      </c>
    </row>
    <row r="20714">
      <c r="A20714" s="17"/>
      <c r="H20714" s="18"/>
      <c r="K20714" s="18" t="s">
        <v>316</v>
      </c>
    </row>
    <row r="20715">
      <c r="A20715" s="17"/>
      <c r="H20715" s="18"/>
      <c r="K20715" s="18" t="s">
        <v>316</v>
      </c>
    </row>
    <row r="20716">
      <c r="A20716" s="17"/>
      <c r="H20716" s="18"/>
      <c r="K20716" s="18" t="s">
        <v>316</v>
      </c>
    </row>
    <row r="20717">
      <c r="A20717" s="17"/>
      <c r="H20717" s="18"/>
      <c r="K20717" s="18" t="s">
        <v>316</v>
      </c>
    </row>
    <row r="20718">
      <c r="A20718" s="17"/>
      <c r="H20718" s="18"/>
      <c r="K20718" s="18" t="s">
        <v>316</v>
      </c>
    </row>
    <row r="20719">
      <c r="A20719" s="17"/>
      <c r="H20719" s="18"/>
      <c r="K20719" s="18" t="s">
        <v>316</v>
      </c>
    </row>
    <row r="20720">
      <c r="A20720" s="17"/>
      <c r="H20720" s="18"/>
      <c r="K20720" s="18" t="s">
        <v>316</v>
      </c>
    </row>
    <row r="20721">
      <c r="A20721" s="17"/>
      <c r="H20721" s="18"/>
      <c r="K20721" s="18" t="s">
        <v>316</v>
      </c>
    </row>
    <row r="20722">
      <c r="A20722" s="17"/>
      <c r="H20722" s="18"/>
      <c r="K20722" s="18" t="s">
        <v>316</v>
      </c>
    </row>
    <row r="20723">
      <c r="A20723" s="17"/>
      <c r="H20723" s="18"/>
      <c r="K20723" s="18" t="s">
        <v>316</v>
      </c>
    </row>
    <row r="20724">
      <c r="A20724" s="17"/>
      <c r="H20724" s="18"/>
      <c r="K20724" s="18" t="s">
        <v>316</v>
      </c>
    </row>
    <row r="20725">
      <c r="A20725" s="17"/>
      <c r="H20725" s="18"/>
      <c r="K20725" s="18" t="s">
        <v>316</v>
      </c>
    </row>
    <row r="20726">
      <c r="A20726" s="17"/>
      <c r="H20726" s="18"/>
      <c r="K20726" s="18" t="s">
        <v>316</v>
      </c>
    </row>
    <row r="20727">
      <c r="A20727" s="17"/>
      <c r="H20727" s="18"/>
      <c r="K20727" s="18" t="s">
        <v>316</v>
      </c>
    </row>
    <row r="20728">
      <c r="A20728" s="17"/>
      <c r="H20728" s="18"/>
      <c r="K20728" s="18" t="s">
        <v>316</v>
      </c>
    </row>
    <row r="20729">
      <c r="A20729" s="17"/>
      <c r="H20729" s="18"/>
      <c r="K20729" s="18" t="s">
        <v>316</v>
      </c>
    </row>
    <row r="20730">
      <c r="A20730" s="17"/>
      <c r="H20730" s="18"/>
      <c r="K20730" s="18" t="s">
        <v>316</v>
      </c>
    </row>
    <row r="20731">
      <c r="A20731" s="17"/>
      <c r="H20731" s="18"/>
      <c r="K20731" s="18" t="s">
        <v>316</v>
      </c>
    </row>
    <row r="20732">
      <c r="A20732" s="17"/>
      <c r="H20732" s="18"/>
      <c r="K20732" s="18" t="s">
        <v>316</v>
      </c>
    </row>
    <row r="20733">
      <c r="A20733" s="17"/>
      <c r="H20733" s="18"/>
      <c r="K20733" s="18" t="s">
        <v>316</v>
      </c>
    </row>
    <row r="20734">
      <c r="A20734" s="17"/>
      <c r="H20734" s="18"/>
      <c r="K20734" s="18" t="s">
        <v>316</v>
      </c>
    </row>
    <row r="20735">
      <c r="A20735" s="17"/>
      <c r="H20735" s="18"/>
      <c r="K20735" s="18" t="s">
        <v>316</v>
      </c>
    </row>
    <row r="20736">
      <c r="A20736" s="17"/>
      <c r="H20736" s="18"/>
      <c r="K20736" s="18" t="s">
        <v>316</v>
      </c>
    </row>
    <row r="20737">
      <c r="A20737" s="17"/>
      <c r="H20737" s="18"/>
      <c r="K20737" s="18" t="s">
        <v>316</v>
      </c>
    </row>
    <row r="20738">
      <c r="A20738" s="17"/>
      <c r="H20738" s="18"/>
      <c r="K20738" s="18" t="s">
        <v>316</v>
      </c>
    </row>
    <row r="20739">
      <c r="A20739" s="17"/>
      <c r="H20739" s="18"/>
      <c r="K20739" s="18" t="s">
        <v>316</v>
      </c>
    </row>
    <row r="20740">
      <c r="A20740" s="17"/>
      <c r="H20740" s="18"/>
      <c r="K20740" s="18" t="s">
        <v>316</v>
      </c>
    </row>
    <row r="20741">
      <c r="A20741" s="17"/>
      <c r="H20741" s="18"/>
      <c r="K20741" s="18" t="s">
        <v>316</v>
      </c>
    </row>
    <row r="20742">
      <c r="A20742" s="17"/>
      <c r="H20742" s="18"/>
      <c r="K20742" s="18" t="s">
        <v>316</v>
      </c>
    </row>
    <row r="20743">
      <c r="A20743" s="17"/>
      <c r="H20743" s="18"/>
      <c r="K20743" s="18" t="s">
        <v>316</v>
      </c>
    </row>
    <row r="20744">
      <c r="A20744" s="17"/>
      <c r="H20744" s="18"/>
      <c r="K20744" s="18" t="s">
        <v>316</v>
      </c>
    </row>
    <row r="20745">
      <c r="A20745" s="17"/>
      <c r="H20745" s="18"/>
      <c r="K20745" s="18" t="s">
        <v>316</v>
      </c>
    </row>
    <row r="20746">
      <c r="A20746" s="17"/>
      <c r="H20746" s="18"/>
      <c r="K20746" s="18" t="s">
        <v>316</v>
      </c>
    </row>
    <row r="20747">
      <c r="A20747" s="17"/>
      <c r="H20747" s="18"/>
      <c r="K20747" s="18" t="s">
        <v>316</v>
      </c>
    </row>
    <row r="20748">
      <c r="A20748" s="17"/>
      <c r="H20748" s="18"/>
      <c r="K20748" s="18" t="s">
        <v>316</v>
      </c>
    </row>
    <row r="20749">
      <c r="A20749" s="17"/>
      <c r="H20749" s="18"/>
      <c r="K20749" s="18" t="s">
        <v>316</v>
      </c>
    </row>
    <row r="20750">
      <c r="A20750" s="17"/>
      <c r="H20750" s="18"/>
      <c r="K20750" s="18" t="s">
        <v>316</v>
      </c>
    </row>
    <row r="20751">
      <c r="A20751" s="17"/>
      <c r="H20751" s="18"/>
      <c r="K20751" s="18" t="s">
        <v>316</v>
      </c>
    </row>
    <row r="20752">
      <c r="A20752" s="17"/>
      <c r="H20752" s="18"/>
      <c r="K20752" s="18" t="s">
        <v>316</v>
      </c>
    </row>
    <row r="20753">
      <c r="A20753" s="17"/>
      <c r="H20753" s="18"/>
      <c r="K20753" s="18" t="s">
        <v>316</v>
      </c>
    </row>
    <row r="20754">
      <c r="A20754" s="17"/>
      <c r="H20754" s="18"/>
      <c r="K20754" s="18" t="s">
        <v>316</v>
      </c>
    </row>
    <row r="20755">
      <c r="A20755" s="17"/>
      <c r="H20755" s="18"/>
      <c r="K20755" s="18" t="s">
        <v>316</v>
      </c>
    </row>
    <row r="20756">
      <c r="A20756" s="17"/>
      <c r="H20756" s="18"/>
      <c r="K20756" s="18" t="s">
        <v>316</v>
      </c>
    </row>
    <row r="20757">
      <c r="A20757" s="17"/>
      <c r="H20757" s="18"/>
      <c r="K20757" s="18" t="s">
        <v>316</v>
      </c>
    </row>
    <row r="20758">
      <c r="A20758" s="17"/>
      <c r="H20758" s="18"/>
      <c r="K20758" s="18" t="s">
        <v>316</v>
      </c>
    </row>
    <row r="20759">
      <c r="A20759" s="17"/>
      <c r="H20759" s="18"/>
      <c r="K20759" s="18" t="s">
        <v>316</v>
      </c>
    </row>
    <row r="20760">
      <c r="A20760" s="17"/>
      <c r="H20760" s="18"/>
      <c r="K20760" s="18" t="s">
        <v>316</v>
      </c>
    </row>
    <row r="20761">
      <c r="A20761" s="17"/>
      <c r="H20761" s="18"/>
      <c r="K20761" s="18" t="s">
        <v>316</v>
      </c>
    </row>
    <row r="20762">
      <c r="A20762" s="17"/>
      <c r="H20762" s="18"/>
      <c r="K20762" s="18" t="s">
        <v>316</v>
      </c>
    </row>
    <row r="20763">
      <c r="A20763" s="17"/>
      <c r="H20763" s="18"/>
      <c r="K20763" s="18" t="s">
        <v>316</v>
      </c>
    </row>
    <row r="20764">
      <c r="A20764" s="17"/>
      <c r="H20764" s="18"/>
      <c r="K20764" s="18" t="s">
        <v>316</v>
      </c>
    </row>
    <row r="20765">
      <c r="A20765" s="17"/>
      <c r="H20765" s="18"/>
      <c r="K20765" s="18" t="s">
        <v>316</v>
      </c>
    </row>
    <row r="20766">
      <c r="A20766" s="17"/>
      <c r="H20766" s="18"/>
      <c r="K20766" s="18" t="s">
        <v>316</v>
      </c>
    </row>
    <row r="20767">
      <c r="A20767" s="17"/>
      <c r="H20767" s="18"/>
      <c r="K20767" s="18" t="s">
        <v>316</v>
      </c>
    </row>
    <row r="20768">
      <c r="A20768" s="17"/>
      <c r="H20768" s="18"/>
      <c r="K20768" s="18" t="s">
        <v>316</v>
      </c>
    </row>
    <row r="20769">
      <c r="A20769" s="17"/>
      <c r="H20769" s="18"/>
      <c r="K20769" s="18" t="s">
        <v>316</v>
      </c>
    </row>
    <row r="20770">
      <c r="A20770" s="17"/>
      <c r="H20770" s="18"/>
      <c r="K20770" s="18" t="s">
        <v>316</v>
      </c>
    </row>
    <row r="20771">
      <c r="A20771" s="17"/>
      <c r="H20771" s="18"/>
      <c r="K20771" s="18" t="s">
        <v>316</v>
      </c>
    </row>
    <row r="20772">
      <c r="A20772" s="17"/>
      <c r="H20772" s="18"/>
      <c r="K20772" s="18" t="s">
        <v>316</v>
      </c>
    </row>
    <row r="20773">
      <c r="A20773" s="17"/>
      <c r="H20773" s="18"/>
      <c r="K20773" s="18" t="s">
        <v>316</v>
      </c>
    </row>
    <row r="20774">
      <c r="A20774" s="17"/>
      <c r="H20774" s="18"/>
      <c r="K20774" s="18" t="s">
        <v>316</v>
      </c>
    </row>
    <row r="20775">
      <c r="A20775" s="17"/>
      <c r="H20775" s="18"/>
      <c r="K20775" s="18" t="s">
        <v>316</v>
      </c>
    </row>
    <row r="20776">
      <c r="A20776" s="17"/>
      <c r="H20776" s="18"/>
      <c r="K20776" s="18" t="s">
        <v>316</v>
      </c>
    </row>
    <row r="20777">
      <c r="A20777" s="17"/>
      <c r="H20777" s="18"/>
      <c r="K20777" s="18" t="s">
        <v>316</v>
      </c>
    </row>
    <row r="20778">
      <c r="A20778" s="17"/>
      <c r="H20778" s="18"/>
      <c r="K20778" s="18" t="s">
        <v>316</v>
      </c>
    </row>
    <row r="20779">
      <c r="A20779" s="17"/>
      <c r="H20779" s="18"/>
      <c r="K20779" s="18" t="s">
        <v>316</v>
      </c>
    </row>
    <row r="20780">
      <c r="A20780" s="17"/>
      <c r="H20780" s="18"/>
      <c r="K20780" s="18" t="s">
        <v>316</v>
      </c>
    </row>
    <row r="20781">
      <c r="A20781" s="17"/>
      <c r="H20781" s="18"/>
      <c r="K20781" s="18" t="s">
        <v>316</v>
      </c>
    </row>
    <row r="20782">
      <c r="A20782" s="17"/>
      <c r="H20782" s="18"/>
      <c r="K20782" s="18" t="s">
        <v>316</v>
      </c>
    </row>
    <row r="20783">
      <c r="A20783" s="17"/>
      <c r="H20783" s="18"/>
      <c r="K20783" s="18" t="s">
        <v>316</v>
      </c>
    </row>
    <row r="20784">
      <c r="A20784" s="17"/>
      <c r="H20784" s="18"/>
      <c r="K20784" s="18" t="s">
        <v>316</v>
      </c>
    </row>
    <row r="20785">
      <c r="A20785" s="17"/>
      <c r="H20785" s="18"/>
      <c r="K20785" s="18" t="s">
        <v>316</v>
      </c>
    </row>
    <row r="20786">
      <c r="A20786" s="17"/>
      <c r="H20786" s="18"/>
      <c r="K20786" s="18" t="s">
        <v>316</v>
      </c>
    </row>
    <row r="20787">
      <c r="A20787" s="17"/>
      <c r="H20787" s="18"/>
      <c r="K20787" s="18" t="s">
        <v>316</v>
      </c>
    </row>
    <row r="20788">
      <c r="A20788" s="17"/>
      <c r="H20788" s="18"/>
      <c r="K20788" s="18" t="s">
        <v>316</v>
      </c>
    </row>
    <row r="20789">
      <c r="A20789" s="17"/>
      <c r="H20789" s="18"/>
      <c r="K20789" s="18" t="s">
        <v>316</v>
      </c>
    </row>
    <row r="20790">
      <c r="A20790" s="17"/>
      <c r="H20790" s="18"/>
      <c r="K20790" s="18" t="s">
        <v>316</v>
      </c>
    </row>
    <row r="20791">
      <c r="A20791" s="17"/>
      <c r="H20791" s="18"/>
      <c r="K20791" s="18" t="s">
        <v>316</v>
      </c>
    </row>
    <row r="20792">
      <c r="A20792" s="17"/>
      <c r="H20792" s="18"/>
      <c r="K20792" s="18" t="s">
        <v>316</v>
      </c>
    </row>
    <row r="20793">
      <c r="A20793" s="17"/>
      <c r="H20793" s="18"/>
      <c r="K20793" s="18" t="s">
        <v>316</v>
      </c>
    </row>
    <row r="20794">
      <c r="A20794" s="17"/>
      <c r="H20794" s="18"/>
      <c r="K20794" s="18" t="s">
        <v>316</v>
      </c>
    </row>
    <row r="20795">
      <c r="A20795" s="17"/>
      <c r="H20795" s="18"/>
      <c r="K20795" s="18" t="s">
        <v>316</v>
      </c>
    </row>
    <row r="20796">
      <c r="A20796" s="17"/>
      <c r="H20796" s="18"/>
      <c r="K20796" s="18" t="s">
        <v>316</v>
      </c>
    </row>
    <row r="20797">
      <c r="A20797" s="17"/>
      <c r="H20797" s="18"/>
      <c r="K20797" s="18" t="s">
        <v>316</v>
      </c>
    </row>
    <row r="20798">
      <c r="A20798" s="17"/>
      <c r="H20798" s="18"/>
      <c r="K20798" s="18" t="s">
        <v>316</v>
      </c>
    </row>
    <row r="20799">
      <c r="A20799" s="17"/>
      <c r="H20799" s="18"/>
      <c r="K20799" s="18" t="s">
        <v>316</v>
      </c>
    </row>
    <row r="20800">
      <c r="A20800" s="17"/>
      <c r="H20800" s="18"/>
      <c r="K20800" s="18" t="s">
        <v>316</v>
      </c>
    </row>
    <row r="20801">
      <c r="A20801" s="17"/>
      <c r="H20801" s="18"/>
      <c r="K20801" s="18" t="s">
        <v>316</v>
      </c>
    </row>
    <row r="20802">
      <c r="A20802" s="17"/>
      <c r="H20802" s="18"/>
      <c r="K20802" s="18" t="s">
        <v>316</v>
      </c>
    </row>
    <row r="20803">
      <c r="A20803" s="17"/>
      <c r="H20803" s="18"/>
      <c r="K20803" s="18" t="s">
        <v>316</v>
      </c>
    </row>
    <row r="20804">
      <c r="A20804" s="17"/>
      <c r="H20804" s="18"/>
      <c r="K20804" s="18" t="s">
        <v>316</v>
      </c>
    </row>
    <row r="20805">
      <c r="A20805" s="17"/>
      <c r="H20805" s="18"/>
      <c r="K20805" s="18" t="s">
        <v>316</v>
      </c>
    </row>
    <row r="20806">
      <c r="A20806" s="17"/>
      <c r="H20806" s="18"/>
      <c r="K20806" s="18" t="s">
        <v>316</v>
      </c>
    </row>
    <row r="20807">
      <c r="A20807" s="17"/>
      <c r="H20807" s="18"/>
      <c r="K20807" s="18" t="s">
        <v>316</v>
      </c>
    </row>
    <row r="20808">
      <c r="A20808" s="17"/>
      <c r="H20808" s="18"/>
      <c r="K20808" s="18" t="s">
        <v>316</v>
      </c>
    </row>
    <row r="20809">
      <c r="A20809" s="17"/>
      <c r="H20809" s="18"/>
      <c r="K20809" s="18" t="s">
        <v>316</v>
      </c>
    </row>
    <row r="20810">
      <c r="A20810" s="17"/>
      <c r="H20810" s="18"/>
      <c r="K20810" s="18" t="s">
        <v>316</v>
      </c>
    </row>
    <row r="20811">
      <c r="A20811" s="17"/>
      <c r="H20811" s="18"/>
      <c r="K20811" s="18" t="s">
        <v>316</v>
      </c>
    </row>
    <row r="20812">
      <c r="A20812" s="17"/>
      <c r="H20812" s="18"/>
      <c r="K20812" s="18" t="s">
        <v>316</v>
      </c>
    </row>
    <row r="20813">
      <c r="A20813" s="17"/>
      <c r="H20813" s="18"/>
      <c r="K20813" s="18" t="s">
        <v>316</v>
      </c>
    </row>
    <row r="20814">
      <c r="A20814" s="17"/>
      <c r="H20814" s="18"/>
      <c r="K20814" s="18" t="s">
        <v>316</v>
      </c>
    </row>
    <row r="20815">
      <c r="A20815" s="17"/>
      <c r="H20815" s="18"/>
      <c r="K20815" s="18" t="s">
        <v>316</v>
      </c>
    </row>
    <row r="20816">
      <c r="A20816" s="17"/>
      <c r="H20816" s="18"/>
      <c r="K20816" s="18" t="s">
        <v>316</v>
      </c>
    </row>
    <row r="20817">
      <c r="A20817" s="17"/>
      <c r="H20817" s="18"/>
      <c r="K20817" s="18" t="s">
        <v>316</v>
      </c>
    </row>
    <row r="20818">
      <c r="A20818" s="17"/>
      <c r="H20818" s="18"/>
      <c r="K20818" s="18" t="s">
        <v>316</v>
      </c>
    </row>
    <row r="20819">
      <c r="A20819" s="17"/>
      <c r="H20819" s="18"/>
      <c r="K20819" s="18" t="s">
        <v>316</v>
      </c>
    </row>
    <row r="20820">
      <c r="A20820" s="17"/>
      <c r="H20820" s="18"/>
      <c r="K20820" s="18" t="s">
        <v>316</v>
      </c>
    </row>
    <row r="20821">
      <c r="A20821" s="17"/>
      <c r="H20821" s="18"/>
      <c r="K20821" s="18" t="s">
        <v>316</v>
      </c>
    </row>
    <row r="20822">
      <c r="A20822" s="17"/>
      <c r="H20822" s="18"/>
      <c r="K20822" s="18" t="s">
        <v>316</v>
      </c>
    </row>
    <row r="20823">
      <c r="A20823" s="17"/>
      <c r="H20823" s="18"/>
      <c r="K20823" s="18" t="s">
        <v>316</v>
      </c>
    </row>
    <row r="20824">
      <c r="A20824" s="17"/>
      <c r="H20824" s="18"/>
      <c r="K20824" s="18" t="s">
        <v>316</v>
      </c>
    </row>
    <row r="20825">
      <c r="A20825" s="17"/>
      <c r="H20825" s="18"/>
      <c r="K20825" s="18" t="s">
        <v>316</v>
      </c>
    </row>
    <row r="20826">
      <c r="A20826" s="17"/>
      <c r="H20826" s="18"/>
      <c r="K20826" s="18" t="s">
        <v>316</v>
      </c>
    </row>
    <row r="20827">
      <c r="A20827" s="17"/>
      <c r="H20827" s="18"/>
      <c r="K20827" s="18" t="s">
        <v>316</v>
      </c>
    </row>
    <row r="20828">
      <c r="A20828" s="17"/>
      <c r="H20828" s="18"/>
      <c r="K20828" s="18" t="s">
        <v>316</v>
      </c>
    </row>
    <row r="20829">
      <c r="A20829" s="17"/>
      <c r="H20829" s="18"/>
      <c r="K20829" s="18" t="s">
        <v>316</v>
      </c>
    </row>
    <row r="20830">
      <c r="A20830" s="17"/>
      <c r="H20830" s="18"/>
      <c r="K20830" s="18" t="s">
        <v>316</v>
      </c>
    </row>
    <row r="20831">
      <c r="A20831" s="17"/>
      <c r="H20831" s="18"/>
      <c r="K20831" s="18" t="s">
        <v>316</v>
      </c>
    </row>
    <row r="20832">
      <c r="A20832" s="17"/>
      <c r="H20832" s="18"/>
      <c r="K20832" s="18" t="s">
        <v>316</v>
      </c>
    </row>
    <row r="20833">
      <c r="A20833" s="17"/>
      <c r="H20833" s="18"/>
      <c r="K20833" s="18" t="s">
        <v>316</v>
      </c>
    </row>
    <row r="20834">
      <c r="A20834" s="17"/>
      <c r="H20834" s="18"/>
      <c r="K20834" s="18" t="s">
        <v>316</v>
      </c>
    </row>
    <row r="20835">
      <c r="A20835" s="17"/>
      <c r="H20835" s="18"/>
      <c r="K20835" s="18" t="s">
        <v>316</v>
      </c>
    </row>
    <row r="20836">
      <c r="A20836" s="17"/>
      <c r="H20836" s="18"/>
      <c r="K20836" s="18" t="s">
        <v>316</v>
      </c>
    </row>
    <row r="20837">
      <c r="A20837" s="17"/>
      <c r="H20837" s="18"/>
      <c r="K20837" s="18" t="s">
        <v>316</v>
      </c>
    </row>
    <row r="20838">
      <c r="A20838" s="17"/>
      <c r="H20838" s="18"/>
      <c r="K20838" s="18" t="s">
        <v>316</v>
      </c>
    </row>
    <row r="20839">
      <c r="A20839" s="17"/>
      <c r="H20839" s="18"/>
      <c r="K20839" s="18" t="s">
        <v>316</v>
      </c>
    </row>
    <row r="20840">
      <c r="A20840" s="17"/>
      <c r="H20840" s="18"/>
      <c r="K20840" s="18" t="s">
        <v>316</v>
      </c>
    </row>
    <row r="20841">
      <c r="A20841" s="17"/>
      <c r="H20841" s="18"/>
      <c r="K20841" s="18" t="s">
        <v>316</v>
      </c>
    </row>
    <row r="20842">
      <c r="A20842" s="17"/>
      <c r="H20842" s="18"/>
      <c r="K20842" s="18" t="s">
        <v>316</v>
      </c>
    </row>
    <row r="20843">
      <c r="A20843" s="17"/>
      <c r="H20843" s="18"/>
      <c r="K20843" s="18" t="s">
        <v>316</v>
      </c>
    </row>
    <row r="20844">
      <c r="A20844" s="17"/>
      <c r="H20844" s="18"/>
      <c r="K20844" s="18" t="s">
        <v>316</v>
      </c>
    </row>
    <row r="20845">
      <c r="A20845" s="17"/>
      <c r="H20845" s="18"/>
      <c r="K20845" s="18" t="s">
        <v>316</v>
      </c>
    </row>
    <row r="20846">
      <c r="A20846" s="17"/>
      <c r="H20846" s="18"/>
      <c r="K20846" s="18" t="s">
        <v>316</v>
      </c>
    </row>
    <row r="20847">
      <c r="A20847" s="17"/>
      <c r="H20847" s="18"/>
      <c r="K20847" s="18" t="s">
        <v>316</v>
      </c>
    </row>
    <row r="20848">
      <c r="A20848" s="17"/>
      <c r="H20848" s="18"/>
      <c r="K20848" s="18" t="s">
        <v>316</v>
      </c>
    </row>
    <row r="20849">
      <c r="A20849" s="17"/>
      <c r="H20849" s="18"/>
      <c r="K20849" s="18" t="s">
        <v>316</v>
      </c>
    </row>
    <row r="20850">
      <c r="A20850" s="17"/>
      <c r="H20850" s="18"/>
      <c r="K20850" s="18" t="s">
        <v>316</v>
      </c>
    </row>
    <row r="20851">
      <c r="A20851" s="17"/>
      <c r="H20851" s="18"/>
      <c r="K20851" s="18" t="s">
        <v>316</v>
      </c>
    </row>
    <row r="20852">
      <c r="A20852" s="17"/>
      <c r="H20852" s="18"/>
      <c r="K20852" s="18" t="s">
        <v>316</v>
      </c>
    </row>
    <row r="20853">
      <c r="A20853" s="17"/>
      <c r="H20853" s="18"/>
      <c r="K20853" s="18" t="s">
        <v>316</v>
      </c>
    </row>
    <row r="20854">
      <c r="A20854" s="17"/>
      <c r="H20854" s="18"/>
      <c r="K20854" s="18" t="s">
        <v>316</v>
      </c>
    </row>
    <row r="20855">
      <c r="A20855" s="17"/>
      <c r="H20855" s="18"/>
      <c r="K20855" s="18" t="s">
        <v>316</v>
      </c>
    </row>
    <row r="20856">
      <c r="A20856" s="17"/>
      <c r="H20856" s="18"/>
      <c r="K20856" s="18" t="s">
        <v>316</v>
      </c>
    </row>
    <row r="20857">
      <c r="A20857" s="17"/>
      <c r="H20857" s="18"/>
      <c r="K20857" s="18" t="s">
        <v>316</v>
      </c>
    </row>
    <row r="20858">
      <c r="A20858" s="17"/>
      <c r="H20858" s="18"/>
      <c r="K20858" s="18" t="s">
        <v>316</v>
      </c>
    </row>
    <row r="20859">
      <c r="A20859" s="17"/>
      <c r="H20859" s="18"/>
      <c r="K20859" s="18" t="s">
        <v>316</v>
      </c>
    </row>
    <row r="20860">
      <c r="A20860" s="17"/>
      <c r="H20860" s="18"/>
      <c r="K20860" s="18" t="s">
        <v>316</v>
      </c>
    </row>
    <row r="20861">
      <c r="A20861" s="17"/>
      <c r="H20861" s="18"/>
      <c r="K20861" s="18" t="s">
        <v>316</v>
      </c>
    </row>
    <row r="20862">
      <c r="A20862" s="17"/>
      <c r="H20862" s="18"/>
      <c r="K20862" s="18" t="s">
        <v>316</v>
      </c>
    </row>
    <row r="20863">
      <c r="A20863" s="17"/>
      <c r="H20863" s="18"/>
      <c r="K20863" s="18" t="s">
        <v>316</v>
      </c>
    </row>
    <row r="20864">
      <c r="A20864" s="17"/>
      <c r="H20864" s="18"/>
      <c r="K20864" s="18" t="s">
        <v>316</v>
      </c>
    </row>
    <row r="20865">
      <c r="A20865" s="17"/>
      <c r="H20865" s="18"/>
      <c r="K20865" s="18" t="s">
        <v>316</v>
      </c>
    </row>
    <row r="20866">
      <c r="A20866" s="17"/>
      <c r="H20866" s="18"/>
      <c r="K20866" s="18" t="s">
        <v>316</v>
      </c>
    </row>
    <row r="20867">
      <c r="A20867" s="17"/>
      <c r="H20867" s="18"/>
      <c r="K20867" s="18" t="s">
        <v>316</v>
      </c>
    </row>
    <row r="20868">
      <c r="A20868" s="17"/>
      <c r="H20868" s="18"/>
      <c r="K20868" s="18" t="s">
        <v>316</v>
      </c>
    </row>
    <row r="20869">
      <c r="A20869" s="17"/>
      <c r="H20869" s="18"/>
      <c r="K20869" s="18" t="s">
        <v>316</v>
      </c>
    </row>
    <row r="20870">
      <c r="A20870" s="17"/>
      <c r="H20870" s="18"/>
      <c r="K20870" s="18" t="s">
        <v>316</v>
      </c>
    </row>
    <row r="20871">
      <c r="A20871" s="17"/>
      <c r="H20871" s="18"/>
      <c r="K20871" s="18" t="s">
        <v>316</v>
      </c>
    </row>
    <row r="20872">
      <c r="A20872" s="17"/>
      <c r="H20872" s="18"/>
      <c r="K20872" s="18" t="s">
        <v>316</v>
      </c>
    </row>
    <row r="20873">
      <c r="A20873" s="17"/>
      <c r="H20873" s="18"/>
      <c r="K20873" s="18" t="s">
        <v>316</v>
      </c>
    </row>
    <row r="20874">
      <c r="A20874" s="17"/>
      <c r="H20874" s="18"/>
      <c r="K20874" s="18" t="s">
        <v>316</v>
      </c>
    </row>
    <row r="20875">
      <c r="A20875" s="17"/>
      <c r="H20875" s="18"/>
      <c r="K20875" s="18" t="s">
        <v>316</v>
      </c>
    </row>
    <row r="20876">
      <c r="A20876" s="17"/>
      <c r="H20876" s="18"/>
      <c r="K20876" s="18" t="s">
        <v>316</v>
      </c>
    </row>
    <row r="20877">
      <c r="A20877" s="17"/>
      <c r="H20877" s="18"/>
      <c r="K20877" s="18" t="s">
        <v>316</v>
      </c>
    </row>
    <row r="20878">
      <c r="A20878" s="17"/>
      <c r="H20878" s="18"/>
      <c r="K20878" s="18" t="s">
        <v>316</v>
      </c>
    </row>
    <row r="20879">
      <c r="A20879" s="17"/>
      <c r="H20879" s="18"/>
      <c r="K20879" s="18" t="s">
        <v>316</v>
      </c>
    </row>
    <row r="20880">
      <c r="A20880" s="17"/>
      <c r="H20880" s="18"/>
      <c r="K20880" s="18" t="s">
        <v>316</v>
      </c>
    </row>
    <row r="20881">
      <c r="A20881" s="17"/>
      <c r="H20881" s="18"/>
      <c r="K20881" s="18" t="s">
        <v>316</v>
      </c>
    </row>
    <row r="20882">
      <c r="A20882" s="17"/>
      <c r="H20882" s="18"/>
      <c r="K20882" s="18" t="s">
        <v>316</v>
      </c>
    </row>
    <row r="20883">
      <c r="A20883" s="17"/>
      <c r="H20883" s="18"/>
      <c r="K20883" s="18" t="s">
        <v>316</v>
      </c>
    </row>
    <row r="20884">
      <c r="A20884" s="17"/>
      <c r="H20884" s="18"/>
      <c r="K20884" s="18" t="s">
        <v>316</v>
      </c>
    </row>
    <row r="20885">
      <c r="A20885" s="17"/>
      <c r="H20885" s="18"/>
      <c r="K20885" s="18" t="s">
        <v>316</v>
      </c>
    </row>
    <row r="20886">
      <c r="A20886" s="17"/>
      <c r="H20886" s="18"/>
      <c r="K20886" s="18" t="s">
        <v>316</v>
      </c>
    </row>
    <row r="20887">
      <c r="A20887" s="17"/>
      <c r="H20887" s="18"/>
      <c r="K20887" s="18" t="s">
        <v>316</v>
      </c>
    </row>
    <row r="20888">
      <c r="A20888" s="17"/>
      <c r="H20888" s="18"/>
      <c r="K20888" s="18" t="s">
        <v>316</v>
      </c>
    </row>
    <row r="20889">
      <c r="A20889" s="17"/>
      <c r="H20889" s="18"/>
      <c r="K20889" s="18" t="s">
        <v>316</v>
      </c>
    </row>
    <row r="20890">
      <c r="A20890" s="17"/>
      <c r="H20890" s="18"/>
      <c r="K20890" s="18" t="s">
        <v>316</v>
      </c>
    </row>
    <row r="20891">
      <c r="A20891" s="17"/>
      <c r="H20891" s="18"/>
      <c r="K20891" s="18" t="s">
        <v>316</v>
      </c>
    </row>
    <row r="20892">
      <c r="A20892" s="17"/>
      <c r="H20892" s="18"/>
      <c r="K20892" s="18" t="s">
        <v>316</v>
      </c>
    </row>
    <row r="20893">
      <c r="A20893" s="17"/>
      <c r="H20893" s="18"/>
      <c r="K20893" s="18" t="s">
        <v>316</v>
      </c>
    </row>
    <row r="20894">
      <c r="A20894" s="17"/>
      <c r="H20894" s="18"/>
      <c r="K20894" s="18" t="s">
        <v>316</v>
      </c>
    </row>
    <row r="20895">
      <c r="A20895" s="17"/>
      <c r="H20895" s="18"/>
      <c r="K20895" s="18" t="s">
        <v>316</v>
      </c>
    </row>
    <row r="20896">
      <c r="A20896" s="17"/>
      <c r="H20896" s="18"/>
      <c r="K20896" s="18" t="s">
        <v>316</v>
      </c>
    </row>
    <row r="20897">
      <c r="A20897" s="17"/>
      <c r="H20897" s="18"/>
      <c r="K20897" s="18" t="s">
        <v>316</v>
      </c>
    </row>
    <row r="20898">
      <c r="A20898" s="17"/>
      <c r="H20898" s="18"/>
      <c r="K20898" s="18" t="s">
        <v>316</v>
      </c>
    </row>
    <row r="20899">
      <c r="A20899" s="17"/>
      <c r="H20899" s="18"/>
      <c r="K20899" s="18" t="s">
        <v>316</v>
      </c>
    </row>
    <row r="20900">
      <c r="A20900" s="17"/>
      <c r="H20900" s="18"/>
      <c r="K20900" s="18" t="s">
        <v>316</v>
      </c>
    </row>
    <row r="20901">
      <c r="A20901" s="17"/>
      <c r="H20901" s="18"/>
      <c r="K20901" s="18" t="s">
        <v>316</v>
      </c>
    </row>
    <row r="20902">
      <c r="A20902" s="17"/>
      <c r="H20902" s="18"/>
      <c r="K20902" s="18" t="s">
        <v>316</v>
      </c>
    </row>
    <row r="20903">
      <c r="A20903" s="17"/>
      <c r="H20903" s="18"/>
      <c r="K20903" s="18" t="s">
        <v>316</v>
      </c>
    </row>
    <row r="20904">
      <c r="A20904" s="17"/>
      <c r="H20904" s="18"/>
      <c r="K20904" s="18" t="s">
        <v>316</v>
      </c>
    </row>
    <row r="20905">
      <c r="A20905" s="17"/>
      <c r="H20905" s="18"/>
      <c r="K20905" s="18" t="s">
        <v>316</v>
      </c>
    </row>
    <row r="20906">
      <c r="A20906" s="17"/>
      <c r="H20906" s="18"/>
      <c r="K20906" s="18" t="s">
        <v>316</v>
      </c>
    </row>
    <row r="20907">
      <c r="A20907" s="17"/>
      <c r="H20907" s="18"/>
      <c r="K20907" s="18" t="s">
        <v>316</v>
      </c>
    </row>
    <row r="20908">
      <c r="A20908" s="17"/>
      <c r="H20908" s="18"/>
      <c r="K20908" s="18" t="s">
        <v>316</v>
      </c>
    </row>
    <row r="20909">
      <c r="A20909" s="17"/>
      <c r="H20909" s="18"/>
      <c r="K20909" s="18" t="s">
        <v>316</v>
      </c>
    </row>
    <row r="20910">
      <c r="A20910" s="17"/>
      <c r="H20910" s="18"/>
      <c r="K20910" s="18" t="s">
        <v>316</v>
      </c>
    </row>
    <row r="20911">
      <c r="A20911" s="17"/>
      <c r="H20911" s="18"/>
      <c r="K20911" s="18" t="s">
        <v>316</v>
      </c>
    </row>
    <row r="20912">
      <c r="A20912" s="17"/>
      <c r="H20912" s="18"/>
      <c r="K20912" s="18" t="s">
        <v>316</v>
      </c>
    </row>
    <row r="20913">
      <c r="A20913" s="17"/>
      <c r="H20913" s="18"/>
      <c r="K20913" s="18" t="s">
        <v>316</v>
      </c>
    </row>
    <row r="20914">
      <c r="A20914" s="17"/>
      <c r="H20914" s="18"/>
      <c r="K20914" s="18" t="s">
        <v>316</v>
      </c>
    </row>
    <row r="20915">
      <c r="A20915" s="17"/>
      <c r="H20915" s="18"/>
      <c r="K20915" s="18" t="s">
        <v>316</v>
      </c>
    </row>
    <row r="20916">
      <c r="A20916" s="17"/>
      <c r="H20916" s="18"/>
      <c r="K20916" s="18" t="s">
        <v>316</v>
      </c>
    </row>
    <row r="20917">
      <c r="A20917" s="17"/>
      <c r="H20917" s="18"/>
      <c r="K20917" s="18" t="s">
        <v>316</v>
      </c>
    </row>
    <row r="20918">
      <c r="A20918" s="17"/>
      <c r="H20918" s="18"/>
      <c r="K20918" s="18" t="s">
        <v>316</v>
      </c>
    </row>
    <row r="20919">
      <c r="A20919" s="17"/>
      <c r="H20919" s="18"/>
      <c r="K20919" s="18" t="s">
        <v>316</v>
      </c>
    </row>
    <row r="20920">
      <c r="A20920" s="17"/>
      <c r="H20920" s="18"/>
      <c r="K20920" s="18" t="s">
        <v>316</v>
      </c>
    </row>
    <row r="20921">
      <c r="A20921" s="17"/>
      <c r="H20921" s="18"/>
      <c r="K20921" s="18" t="s">
        <v>316</v>
      </c>
    </row>
    <row r="20922">
      <c r="A20922" s="17"/>
      <c r="H20922" s="18"/>
      <c r="K20922" s="18" t="s">
        <v>316</v>
      </c>
    </row>
    <row r="20923">
      <c r="A20923" s="17"/>
      <c r="H20923" s="18"/>
      <c r="K20923" s="18" t="s">
        <v>316</v>
      </c>
    </row>
    <row r="20924">
      <c r="A20924" s="17"/>
      <c r="H20924" s="18"/>
      <c r="K20924" s="18" t="s">
        <v>316</v>
      </c>
    </row>
    <row r="20925">
      <c r="A20925" s="17"/>
      <c r="H20925" s="18"/>
      <c r="K20925" s="18" t="s">
        <v>316</v>
      </c>
    </row>
    <row r="20926">
      <c r="A20926" s="17"/>
      <c r="H20926" s="18"/>
      <c r="K20926" s="18" t="s">
        <v>316</v>
      </c>
    </row>
    <row r="20927">
      <c r="A20927" s="17"/>
      <c r="H20927" s="18"/>
      <c r="K20927" s="18" t="s">
        <v>316</v>
      </c>
    </row>
    <row r="20928">
      <c r="A20928" s="17"/>
      <c r="H20928" s="18"/>
      <c r="K20928" s="18" t="s">
        <v>316</v>
      </c>
    </row>
    <row r="20929">
      <c r="A20929" s="17"/>
      <c r="H20929" s="18"/>
      <c r="K20929" s="18" t="s">
        <v>316</v>
      </c>
    </row>
    <row r="20930">
      <c r="A20930" s="17"/>
      <c r="H20930" s="18"/>
      <c r="K20930" s="18" t="s">
        <v>316</v>
      </c>
    </row>
    <row r="20931">
      <c r="A20931" s="17"/>
      <c r="H20931" s="18"/>
      <c r="K20931" s="18" t="s">
        <v>316</v>
      </c>
    </row>
    <row r="20932">
      <c r="A20932" s="17"/>
      <c r="H20932" s="18"/>
      <c r="K20932" s="18" t="s">
        <v>316</v>
      </c>
    </row>
    <row r="20933">
      <c r="A20933" s="17"/>
      <c r="H20933" s="18"/>
      <c r="K20933" s="18" t="s">
        <v>316</v>
      </c>
    </row>
    <row r="20934">
      <c r="A20934" s="17"/>
      <c r="H20934" s="18"/>
      <c r="K20934" s="18" t="s">
        <v>316</v>
      </c>
    </row>
    <row r="20935">
      <c r="A20935" s="17"/>
      <c r="H20935" s="18"/>
      <c r="K20935" s="18" t="s">
        <v>316</v>
      </c>
    </row>
    <row r="20936">
      <c r="A20936" s="17"/>
      <c r="H20936" s="18"/>
      <c r="K20936" s="18" t="s">
        <v>316</v>
      </c>
    </row>
    <row r="20937">
      <c r="A20937" s="17"/>
      <c r="H20937" s="18"/>
      <c r="K20937" s="18" t="s">
        <v>316</v>
      </c>
    </row>
    <row r="20938">
      <c r="A20938" s="17"/>
      <c r="H20938" s="18"/>
      <c r="K20938" s="18" t="s">
        <v>316</v>
      </c>
    </row>
    <row r="20939">
      <c r="A20939" s="17"/>
      <c r="H20939" s="18"/>
      <c r="K20939" s="18" t="s">
        <v>316</v>
      </c>
    </row>
    <row r="20940">
      <c r="A20940" s="17"/>
      <c r="H20940" s="18"/>
      <c r="K20940" s="18" t="s">
        <v>316</v>
      </c>
    </row>
    <row r="20941">
      <c r="A20941" s="17"/>
      <c r="H20941" s="18"/>
      <c r="K20941" s="18" t="s">
        <v>316</v>
      </c>
    </row>
    <row r="20942">
      <c r="A20942" s="17"/>
      <c r="H20942" s="18"/>
      <c r="K20942" s="18" t="s">
        <v>316</v>
      </c>
    </row>
    <row r="20943">
      <c r="A20943" s="17"/>
      <c r="H20943" s="18"/>
      <c r="K20943" s="18" t="s">
        <v>316</v>
      </c>
    </row>
    <row r="20944">
      <c r="A20944" s="17"/>
      <c r="H20944" s="18"/>
      <c r="K20944" s="18" t="s">
        <v>316</v>
      </c>
    </row>
    <row r="20945">
      <c r="A20945" s="17"/>
      <c r="H20945" s="18"/>
      <c r="K20945" s="18" t="s">
        <v>316</v>
      </c>
    </row>
    <row r="20946">
      <c r="A20946" s="17"/>
      <c r="H20946" s="18"/>
      <c r="K20946" s="18" t="s">
        <v>316</v>
      </c>
    </row>
    <row r="20947">
      <c r="A20947" s="17"/>
      <c r="H20947" s="18"/>
      <c r="K20947" s="18" t="s">
        <v>316</v>
      </c>
    </row>
    <row r="20948">
      <c r="A20948" s="17"/>
      <c r="H20948" s="18"/>
      <c r="K20948" s="18" t="s">
        <v>316</v>
      </c>
    </row>
    <row r="20949">
      <c r="A20949" s="17"/>
      <c r="H20949" s="18"/>
      <c r="K20949" s="18" t="s">
        <v>316</v>
      </c>
    </row>
    <row r="20950">
      <c r="A20950" s="17"/>
      <c r="H20950" s="18"/>
      <c r="K20950" s="18" t="s">
        <v>316</v>
      </c>
    </row>
    <row r="20951">
      <c r="A20951" s="17"/>
      <c r="H20951" s="18"/>
      <c r="K20951" s="18" t="s">
        <v>316</v>
      </c>
    </row>
    <row r="20952">
      <c r="A20952" s="17"/>
      <c r="H20952" s="18"/>
      <c r="K20952" s="18" t="s">
        <v>316</v>
      </c>
    </row>
    <row r="20953">
      <c r="A20953" s="17"/>
      <c r="H20953" s="18"/>
      <c r="K20953" s="18" t="s">
        <v>316</v>
      </c>
    </row>
    <row r="20954">
      <c r="A20954" s="17"/>
      <c r="H20954" s="18"/>
      <c r="K20954" s="18" t="s">
        <v>316</v>
      </c>
    </row>
    <row r="20955">
      <c r="A20955" s="17"/>
      <c r="H20955" s="18"/>
      <c r="K20955" s="18" t="s">
        <v>316</v>
      </c>
    </row>
    <row r="20956">
      <c r="A20956" s="17"/>
      <c r="H20956" s="18"/>
      <c r="K20956" s="18" t="s">
        <v>316</v>
      </c>
    </row>
    <row r="20957">
      <c r="A20957" s="17"/>
      <c r="H20957" s="18"/>
      <c r="K20957" s="18" t="s">
        <v>316</v>
      </c>
    </row>
    <row r="20958">
      <c r="A20958" s="17"/>
      <c r="H20958" s="18"/>
      <c r="K20958" s="18" t="s">
        <v>316</v>
      </c>
    </row>
    <row r="20959">
      <c r="A20959" s="17"/>
      <c r="H20959" s="18"/>
      <c r="K20959" s="18" t="s">
        <v>316</v>
      </c>
    </row>
    <row r="20960">
      <c r="A20960" s="17"/>
      <c r="H20960" s="18"/>
      <c r="K20960" s="18" t="s">
        <v>316</v>
      </c>
    </row>
    <row r="20961">
      <c r="A20961" s="17"/>
      <c r="H20961" s="18"/>
      <c r="K20961" s="18" t="s">
        <v>316</v>
      </c>
    </row>
    <row r="20962">
      <c r="A20962" s="17"/>
      <c r="H20962" s="18"/>
      <c r="K20962" s="18" t="s">
        <v>316</v>
      </c>
    </row>
    <row r="20963">
      <c r="A20963" s="17"/>
      <c r="H20963" s="18"/>
      <c r="K20963" s="18" t="s">
        <v>316</v>
      </c>
    </row>
    <row r="20964">
      <c r="A20964" s="17"/>
      <c r="H20964" s="18"/>
      <c r="K20964" s="18" t="s">
        <v>316</v>
      </c>
    </row>
    <row r="20965">
      <c r="A20965" s="17"/>
      <c r="H20965" s="18"/>
      <c r="K20965" s="18" t="s">
        <v>316</v>
      </c>
    </row>
    <row r="20966">
      <c r="A20966" s="17"/>
      <c r="H20966" s="18"/>
      <c r="K20966" s="18" t="s">
        <v>316</v>
      </c>
    </row>
    <row r="20967">
      <c r="A20967" s="17"/>
      <c r="H20967" s="18"/>
      <c r="K20967" s="18" t="s">
        <v>316</v>
      </c>
    </row>
    <row r="20968">
      <c r="A20968" s="17"/>
      <c r="H20968" s="18"/>
      <c r="K20968" s="18" t="s">
        <v>316</v>
      </c>
    </row>
    <row r="20969">
      <c r="A20969" s="17"/>
      <c r="H20969" s="18"/>
      <c r="K20969" s="18" t="s">
        <v>316</v>
      </c>
    </row>
    <row r="20970">
      <c r="A20970" s="17"/>
      <c r="H20970" s="18"/>
      <c r="K20970" s="18" t="s">
        <v>316</v>
      </c>
    </row>
    <row r="20971">
      <c r="A20971" s="17"/>
      <c r="H20971" s="18"/>
      <c r="K20971" s="18" t="s">
        <v>316</v>
      </c>
    </row>
    <row r="20972">
      <c r="A20972" s="17"/>
      <c r="H20972" s="18"/>
      <c r="K20972" s="18" t="s">
        <v>316</v>
      </c>
    </row>
    <row r="20973">
      <c r="A20973" s="17"/>
      <c r="H20973" s="18"/>
      <c r="K20973" s="18" t="s">
        <v>316</v>
      </c>
    </row>
    <row r="20974">
      <c r="A20974" s="17"/>
      <c r="H20974" s="18"/>
      <c r="K20974" s="18" t="s">
        <v>316</v>
      </c>
    </row>
    <row r="20975">
      <c r="A20975" s="17"/>
      <c r="H20975" s="18"/>
      <c r="K20975" s="18" t="s">
        <v>316</v>
      </c>
    </row>
    <row r="20976">
      <c r="A20976" s="17"/>
      <c r="H20976" s="18"/>
      <c r="K20976" s="18" t="s">
        <v>316</v>
      </c>
    </row>
    <row r="20977">
      <c r="A20977" s="17"/>
      <c r="H20977" s="18"/>
      <c r="K20977" s="18" t="s">
        <v>316</v>
      </c>
    </row>
    <row r="20978">
      <c r="A20978" s="17"/>
      <c r="H20978" s="18"/>
      <c r="K20978" s="18" t="s">
        <v>316</v>
      </c>
    </row>
    <row r="20979">
      <c r="A20979" s="17"/>
      <c r="H20979" s="18"/>
      <c r="K20979" s="18" t="s">
        <v>316</v>
      </c>
    </row>
    <row r="20980">
      <c r="A20980" s="17"/>
      <c r="H20980" s="18"/>
      <c r="K20980" s="18" t="s">
        <v>316</v>
      </c>
    </row>
    <row r="20981">
      <c r="A20981" s="17"/>
      <c r="H20981" s="18"/>
      <c r="K20981" s="18" t="s">
        <v>316</v>
      </c>
    </row>
    <row r="20982">
      <c r="A20982" s="17"/>
      <c r="H20982" s="18"/>
      <c r="K20982" s="18" t="s">
        <v>316</v>
      </c>
    </row>
    <row r="20983">
      <c r="A20983" s="17"/>
      <c r="H20983" s="18"/>
      <c r="K20983" s="18" t="s">
        <v>316</v>
      </c>
    </row>
    <row r="20984">
      <c r="A20984" s="17"/>
      <c r="H20984" s="18"/>
      <c r="K20984" s="18" t="s">
        <v>316</v>
      </c>
    </row>
    <row r="20985">
      <c r="A20985" s="17"/>
      <c r="H20985" s="18"/>
      <c r="K20985" s="18" t="s">
        <v>316</v>
      </c>
    </row>
    <row r="20986">
      <c r="A20986" s="17"/>
      <c r="H20986" s="18"/>
      <c r="K20986" s="18" t="s">
        <v>316</v>
      </c>
    </row>
    <row r="20987">
      <c r="A20987" s="17"/>
      <c r="H20987" s="18"/>
      <c r="K20987" s="18" t="s">
        <v>316</v>
      </c>
    </row>
    <row r="20988">
      <c r="A20988" s="17"/>
      <c r="H20988" s="18"/>
      <c r="K20988" s="18" t="s">
        <v>316</v>
      </c>
    </row>
    <row r="20989">
      <c r="A20989" s="17"/>
      <c r="H20989" s="18"/>
      <c r="K20989" s="18" t="s">
        <v>316</v>
      </c>
    </row>
    <row r="20990">
      <c r="A20990" s="17"/>
      <c r="H20990" s="18"/>
      <c r="K20990" s="18" t="s">
        <v>316</v>
      </c>
    </row>
    <row r="20991">
      <c r="A20991" s="17"/>
      <c r="H20991" s="18"/>
      <c r="K20991" s="18" t="s">
        <v>316</v>
      </c>
    </row>
    <row r="20992">
      <c r="A20992" s="17"/>
      <c r="H20992" s="18"/>
      <c r="K20992" s="18" t="s">
        <v>316</v>
      </c>
    </row>
    <row r="20993">
      <c r="A20993" s="17"/>
      <c r="H20993" s="18"/>
      <c r="K20993" s="18" t="s">
        <v>316</v>
      </c>
    </row>
    <row r="20994">
      <c r="A20994" s="17"/>
      <c r="H20994" s="18"/>
      <c r="K20994" s="18" t="s">
        <v>316</v>
      </c>
    </row>
    <row r="20995">
      <c r="A20995" s="17"/>
      <c r="H20995" s="18"/>
      <c r="K20995" s="18" t="s">
        <v>316</v>
      </c>
    </row>
    <row r="20996">
      <c r="A20996" s="17"/>
      <c r="H20996" s="18"/>
      <c r="K20996" s="18" t="s">
        <v>316</v>
      </c>
    </row>
    <row r="20997">
      <c r="A20997" s="17"/>
      <c r="H20997" s="18"/>
      <c r="K20997" s="18" t="s">
        <v>316</v>
      </c>
    </row>
    <row r="20998">
      <c r="A20998" s="17"/>
      <c r="H20998" s="18"/>
      <c r="K20998" s="18" t="s">
        <v>316</v>
      </c>
    </row>
    <row r="20999">
      <c r="A20999" s="17"/>
      <c r="H20999" s="18"/>
      <c r="K20999" s="18" t="s">
        <v>316</v>
      </c>
    </row>
    <row r="21000">
      <c r="A21000" s="17"/>
      <c r="H21000" s="18"/>
      <c r="K21000" s="18" t="s">
        <v>316</v>
      </c>
    </row>
    <row r="21001">
      <c r="A21001" s="17"/>
      <c r="H21001" s="18"/>
      <c r="K21001" s="18" t="s">
        <v>316</v>
      </c>
    </row>
    <row r="21002">
      <c r="A21002" s="17"/>
      <c r="H21002" s="18"/>
      <c r="K21002" s="18" t="s">
        <v>316</v>
      </c>
    </row>
    <row r="21003">
      <c r="A21003" s="17"/>
      <c r="H21003" s="18"/>
      <c r="K21003" s="18" t="s">
        <v>316</v>
      </c>
    </row>
    <row r="21004">
      <c r="A21004" s="17"/>
      <c r="H21004" s="18"/>
      <c r="K21004" s="18" t="s">
        <v>316</v>
      </c>
    </row>
    <row r="21005">
      <c r="A21005" s="17"/>
      <c r="H21005" s="18"/>
      <c r="K21005" s="18" t="s">
        <v>316</v>
      </c>
    </row>
    <row r="21006">
      <c r="A21006" s="17"/>
      <c r="H21006" s="18"/>
      <c r="K21006" s="18" t="s">
        <v>316</v>
      </c>
    </row>
    <row r="21007">
      <c r="A21007" s="17"/>
      <c r="H21007" s="18"/>
      <c r="K21007" s="18" t="s">
        <v>316</v>
      </c>
    </row>
    <row r="21008">
      <c r="A21008" s="17"/>
      <c r="H21008" s="18"/>
      <c r="K21008" s="18" t="s">
        <v>316</v>
      </c>
    </row>
    <row r="21009">
      <c r="A21009" s="17"/>
      <c r="H21009" s="18"/>
      <c r="K21009" s="18" t="s">
        <v>316</v>
      </c>
    </row>
    <row r="21010">
      <c r="A21010" s="17"/>
      <c r="H21010" s="18"/>
      <c r="K21010" s="18" t="s">
        <v>316</v>
      </c>
    </row>
    <row r="21011">
      <c r="A21011" s="17"/>
      <c r="H21011" s="18"/>
      <c r="K21011" s="18" t="s">
        <v>316</v>
      </c>
    </row>
    <row r="21012">
      <c r="A21012" s="17"/>
      <c r="H21012" s="18"/>
      <c r="K21012" s="18" t="s">
        <v>316</v>
      </c>
    </row>
    <row r="21013">
      <c r="A21013" s="17"/>
      <c r="H21013" s="18"/>
      <c r="K21013" s="18" t="s">
        <v>316</v>
      </c>
    </row>
    <row r="21014">
      <c r="A21014" s="17"/>
      <c r="H21014" s="18"/>
      <c r="K21014" s="18" t="s">
        <v>316</v>
      </c>
    </row>
    <row r="21015">
      <c r="A21015" s="17"/>
      <c r="H21015" s="18"/>
      <c r="K21015" s="18" t="s">
        <v>316</v>
      </c>
    </row>
    <row r="21016">
      <c r="A21016" s="17"/>
      <c r="H21016" s="18"/>
      <c r="K21016" s="18" t="s">
        <v>316</v>
      </c>
    </row>
    <row r="21017">
      <c r="A21017" s="17"/>
      <c r="H21017" s="18"/>
      <c r="K21017" s="18" t="s">
        <v>316</v>
      </c>
    </row>
    <row r="21018">
      <c r="A21018" s="17"/>
      <c r="H21018" s="18"/>
      <c r="K21018" s="18" t="s">
        <v>316</v>
      </c>
    </row>
    <row r="21019">
      <c r="A21019" s="17"/>
      <c r="H21019" s="18"/>
      <c r="K21019" s="18" t="s">
        <v>316</v>
      </c>
    </row>
    <row r="21020">
      <c r="A21020" s="17"/>
      <c r="H21020" s="18"/>
      <c r="K21020" s="18" t="s">
        <v>316</v>
      </c>
    </row>
    <row r="21021">
      <c r="A21021" s="17"/>
      <c r="H21021" s="18"/>
      <c r="K21021" s="18" t="s">
        <v>316</v>
      </c>
    </row>
    <row r="21022">
      <c r="A21022" s="17"/>
      <c r="H21022" s="18"/>
      <c r="K21022" s="18" t="s">
        <v>316</v>
      </c>
    </row>
    <row r="21023">
      <c r="A21023" s="17"/>
      <c r="H21023" s="18"/>
      <c r="K21023" s="18" t="s">
        <v>316</v>
      </c>
    </row>
    <row r="21024">
      <c r="A21024" s="17"/>
      <c r="H21024" s="18"/>
      <c r="K21024" s="18" t="s">
        <v>316</v>
      </c>
    </row>
    <row r="21025">
      <c r="A21025" s="17"/>
      <c r="H21025" s="18"/>
      <c r="K21025" s="18" t="s">
        <v>316</v>
      </c>
    </row>
    <row r="21026">
      <c r="A21026" s="17"/>
      <c r="H21026" s="18"/>
      <c r="K21026" s="18" t="s">
        <v>316</v>
      </c>
    </row>
    <row r="21027">
      <c r="A21027" s="17"/>
      <c r="H21027" s="18"/>
      <c r="K21027" s="18" t="s">
        <v>316</v>
      </c>
    </row>
    <row r="21028">
      <c r="A21028" s="17"/>
      <c r="H21028" s="18"/>
      <c r="K21028" s="18" t="s">
        <v>316</v>
      </c>
    </row>
    <row r="21029">
      <c r="A21029" s="17"/>
      <c r="H21029" s="18"/>
      <c r="K21029" s="18" t="s">
        <v>316</v>
      </c>
    </row>
    <row r="21030">
      <c r="A21030" s="17"/>
      <c r="H21030" s="18"/>
      <c r="K21030" s="18" t="s">
        <v>316</v>
      </c>
    </row>
    <row r="21031">
      <c r="A21031" s="17"/>
      <c r="H21031" s="18"/>
      <c r="K21031" s="18" t="s">
        <v>316</v>
      </c>
    </row>
    <row r="21032">
      <c r="A21032" s="17"/>
      <c r="H21032" s="18"/>
      <c r="K21032" s="18" t="s">
        <v>316</v>
      </c>
    </row>
    <row r="21033">
      <c r="A21033" s="17"/>
      <c r="H21033" s="18"/>
      <c r="K21033" s="18" t="s">
        <v>316</v>
      </c>
    </row>
    <row r="21034">
      <c r="A21034" s="17"/>
      <c r="H21034" s="18"/>
      <c r="K21034" s="18" t="s">
        <v>316</v>
      </c>
    </row>
    <row r="21035">
      <c r="A21035" s="17"/>
      <c r="H21035" s="18"/>
      <c r="K21035" s="18" t="s">
        <v>316</v>
      </c>
    </row>
    <row r="21036">
      <c r="A21036" s="17"/>
      <c r="H21036" s="18"/>
      <c r="K21036" s="18" t="s">
        <v>316</v>
      </c>
    </row>
    <row r="21037">
      <c r="A21037" s="17"/>
      <c r="H21037" s="18"/>
      <c r="K21037" s="18" t="s">
        <v>316</v>
      </c>
    </row>
    <row r="21038">
      <c r="A21038" s="17"/>
      <c r="H21038" s="18"/>
      <c r="K21038" s="18" t="s">
        <v>316</v>
      </c>
    </row>
    <row r="21039">
      <c r="A21039" s="17"/>
      <c r="H21039" s="18"/>
      <c r="K21039" s="18" t="s">
        <v>316</v>
      </c>
    </row>
    <row r="21040">
      <c r="A21040" s="17"/>
      <c r="H21040" s="18"/>
      <c r="K21040" s="18" t="s">
        <v>316</v>
      </c>
    </row>
    <row r="21041">
      <c r="A21041" s="17"/>
      <c r="H21041" s="18"/>
      <c r="K21041" s="18" t="s">
        <v>316</v>
      </c>
    </row>
    <row r="21042">
      <c r="A21042" s="17"/>
      <c r="H21042" s="18"/>
      <c r="K21042" s="18" t="s">
        <v>316</v>
      </c>
    </row>
    <row r="21043">
      <c r="A21043" s="17"/>
      <c r="H21043" s="18"/>
      <c r="K21043" s="18" t="s">
        <v>316</v>
      </c>
    </row>
    <row r="21044">
      <c r="A21044" s="17"/>
      <c r="H21044" s="18"/>
      <c r="K21044" s="18" t="s">
        <v>316</v>
      </c>
    </row>
    <row r="21045">
      <c r="A21045" s="17"/>
      <c r="H21045" s="18"/>
      <c r="K21045" s="18" t="s">
        <v>316</v>
      </c>
    </row>
    <row r="21046">
      <c r="A21046" s="17"/>
      <c r="H21046" s="18"/>
      <c r="K21046" s="18" t="s">
        <v>316</v>
      </c>
    </row>
    <row r="21047">
      <c r="A21047" s="17"/>
      <c r="H21047" s="18"/>
      <c r="K21047" s="18" t="s">
        <v>316</v>
      </c>
    </row>
    <row r="21048">
      <c r="A21048" s="17"/>
      <c r="H21048" s="18"/>
      <c r="K21048" s="18" t="s">
        <v>316</v>
      </c>
    </row>
    <row r="21049">
      <c r="A21049" s="17"/>
      <c r="H21049" s="18"/>
      <c r="K21049" s="18" t="s">
        <v>316</v>
      </c>
    </row>
    <row r="21050">
      <c r="A21050" s="17"/>
      <c r="H21050" s="18"/>
      <c r="K21050" s="18" t="s">
        <v>316</v>
      </c>
    </row>
    <row r="21051">
      <c r="A21051" s="17"/>
      <c r="H21051" s="18"/>
      <c r="K21051" s="18" t="s">
        <v>316</v>
      </c>
    </row>
    <row r="21052">
      <c r="A21052" s="17"/>
      <c r="H21052" s="18"/>
      <c r="K21052" s="18" t="s">
        <v>316</v>
      </c>
    </row>
    <row r="21053">
      <c r="A21053" s="17"/>
      <c r="H21053" s="18"/>
      <c r="K21053" s="18" t="s">
        <v>316</v>
      </c>
    </row>
    <row r="21054">
      <c r="A21054" s="17"/>
      <c r="H21054" s="18"/>
      <c r="K21054" s="18" t="s">
        <v>316</v>
      </c>
    </row>
    <row r="21055">
      <c r="A21055" s="17"/>
      <c r="H21055" s="18"/>
      <c r="K21055" s="18" t="s">
        <v>316</v>
      </c>
    </row>
    <row r="21056">
      <c r="A21056" s="17"/>
      <c r="H21056" s="18"/>
      <c r="K21056" s="18" t="s">
        <v>316</v>
      </c>
    </row>
    <row r="21057">
      <c r="A21057" s="17"/>
      <c r="H21057" s="18"/>
      <c r="K21057" s="18" t="s">
        <v>316</v>
      </c>
    </row>
    <row r="21058">
      <c r="A21058" s="17"/>
      <c r="H21058" s="18"/>
      <c r="K21058" s="18" t="s">
        <v>316</v>
      </c>
    </row>
    <row r="21059">
      <c r="A21059" s="17"/>
      <c r="H21059" s="18"/>
      <c r="K21059" s="18" t="s">
        <v>316</v>
      </c>
    </row>
    <row r="21060">
      <c r="A21060" s="17"/>
      <c r="H21060" s="18"/>
      <c r="K21060" s="18" t="s">
        <v>316</v>
      </c>
    </row>
    <row r="21061">
      <c r="A21061" s="17"/>
      <c r="H21061" s="18"/>
      <c r="K21061" s="18" t="s">
        <v>316</v>
      </c>
    </row>
    <row r="21062">
      <c r="A21062" s="17"/>
      <c r="H21062" s="18"/>
      <c r="K21062" s="18" t="s">
        <v>316</v>
      </c>
    </row>
    <row r="21063">
      <c r="A21063" s="17"/>
      <c r="H21063" s="18"/>
      <c r="K21063" s="18" t="s">
        <v>316</v>
      </c>
    </row>
    <row r="21064">
      <c r="A21064" s="17"/>
      <c r="H21064" s="18"/>
      <c r="K21064" s="18" t="s">
        <v>316</v>
      </c>
    </row>
    <row r="21065">
      <c r="A21065" s="17"/>
      <c r="H21065" s="18"/>
      <c r="K21065" s="18" t="s">
        <v>316</v>
      </c>
    </row>
    <row r="21066">
      <c r="A21066" s="17"/>
      <c r="H21066" s="18"/>
      <c r="K21066" s="18" t="s">
        <v>316</v>
      </c>
    </row>
    <row r="21067">
      <c r="A21067" s="17"/>
      <c r="H21067" s="18"/>
      <c r="K21067" s="18" t="s">
        <v>316</v>
      </c>
    </row>
    <row r="21068">
      <c r="A21068" s="17"/>
      <c r="H21068" s="18"/>
      <c r="K21068" s="18" t="s">
        <v>316</v>
      </c>
    </row>
    <row r="21069">
      <c r="A21069" s="17"/>
      <c r="H21069" s="18"/>
      <c r="K21069" s="18" t="s">
        <v>316</v>
      </c>
    </row>
    <row r="21070">
      <c r="A21070" s="17"/>
      <c r="H21070" s="18"/>
      <c r="K21070" s="18" t="s">
        <v>316</v>
      </c>
    </row>
    <row r="21071">
      <c r="A21071" s="17"/>
      <c r="H21071" s="18"/>
      <c r="K21071" s="18" t="s">
        <v>316</v>
      </c>
    </row>
    <row r="21072">
      <c r="A21072" s="17"/>
      <c r="H21072" s="18"/>
      <c r="K21072" s="18" t="s">
        <v>316</v>
      </c>
    </row>
    <row r="21073">
      <c r="A21073" s="17"/>
      <c r="H21073" s="18"/>
      <c r="K21073" s="18" t="s">
        <v>316</v>
      </c>
    </row>
    <row r="21074">
      <c r="A21074" s="17"/>
      <c r="H21074" s="18"/>
      <c r="K21074" s="18" t="s">
        <v>316</v>
      </c>
    </row>
    <row r="21075">
      <c r="A21075" s="17"/>
      <c r="H21075" s="18"/>
      <c r="K21075" s="18" t="s">
        <v>316</v>
      </c>
    </row>
    <row r="21076">
      <c r="A21076" s="17"/>
      <c r="H21076" s="18"/>
      <c r="K21076" s="18" t="s">
        <v>316</v>
      </c>
    </row>
    <row r="21077">
      <c r="A21077" s="17"/>
      <c r="H21077" s="18"/>
      <c r="K21077" s="18" t="s">
        <v>316</v>
      </c>
    </row>
    <row r="21078">
      <c r="A21078" s="17"/>
      <c r="H21078" s="18"/>
      <c r="K21078" s="18" t="s">
        <v>316</v>
      </c>
    </row>
    <row r="21079">
      <c r="A21079" s="17"/>
      <c r="H21079" s="18"/>
      <c r="K21079" s="18" t="s">
        <v>316</v>
      </c>
    </row>
    <row r="21080">
      <c r="A21080" s="17"/>
      <c r="H21080" s="18"/>
      <c r="K21080" s="18" t="s">
        <v>316</v>
      </c>
    </row>
    <row r="21081">
      <c r="A21081" s="17"/>
      <c r="H21081" s="18"/>
      <c r="K21081" s="18" t="s">
        <v>316</v>
      </c>
    </row>
    <row r="21082">
      <c r="A21082" s="17"/>
      <c r="H21082" s="18"/>
      <c r="K21082" s="18" t="s">
        <v>316</v>
      </c>
    </row>
    <row r="21083">
      <c r="A21083" s="17"/>
      <c r="H21083" s="18"/>
      <c r="K21083" s="18" t="s">
        <v>316</v>
      </c>
    </row>
    <row r="21084">
      <c r="A21084" s="17"/>
      <c r="H21084" s="18"/>
      <c r="K21084" s="18" t="s">
        <v>316</v>
      </c>
    </row>
    <row r="21085">
      <c r="A21085" s="17"/>
      <c r="H21085" s="18"/>
      <c r="K21085" s="18" t="s">
        <v>316</v>
      </c>
    </row>
    <row r="21086">
      <c r="A21086" s="17"/>
      <c r="H21086" s="18"/>
      <c r="K21086" s="18" t="s">
        <v>316</v>
      </c>
    </row>
    <row r="21087">
      <c r="A21087" s="17"/>
      <c r="H21087" s="18"/>
      <c r="K21087" s="18" t="s">
        <v>316</v>
      </c>
    </row>
    <row r="21088">
      <c r="A21088" s="17"/>
      <c r="H21088" s="18"/>
      <c r="K21088" s="18" t="s">
        <v>316</v>
      </c>
    </row>
    <row r="21089">
      <c r="A21089" s="17"/>
      <c r="H21089" s="18"/>
      <c r="K21089" s="18" t="s">
        <v>316</v>
      </c>
    </row>
    <row r="21090">
      <c r="A21090" s="17"/>
      <c r="H21090" s="18"/>
      <c r="K21090" s="18" t="s">
        <v>316</v>
      </c>
    </row>
    <row r="21091">
      <c r="A21091" s="17"/>
      <c r="H21091" s="18"/>
      <c r="K21091" s="18" t="s">
        <v>316</v>
      </c>
    </row>
    <row r="21092">
      <c r="A21092" s="17"/>
      <c r="H21092" s="18"/>
      <c r="K21092" s="18" t="s">
        <v>316</v>
      </c>
    </row>
    <row r="21093">
      <c r="A21093" s="17"/>
      <c r="H21093" s="18"/>
      <c r="K21093" s="18" t="s">
        <v>316</v>
      </c>
    </row>
    <row r="21094">
      <c r="A21094" s="17"/>
      <c r="H21094" s="18"/>
      <c r="K21094" s="18" t="s">
        <v>316</v>
      </c>
    </row>
    <row r="21095">
      <c r="A21095" s="17"/>
      <c r="H21095" s="18"/>
      <c r="K21095" s="18" t="s">
        <v>316</v>
      </c>
    </row>
    <row r="21096">
      <c r="A21096" s="17"/>
      <c r="H21096" s="18"/>
      <c r="K21096" s="18" t="s">
        <v>316</v>
      </c>
    </row>
    <row r="21097">
      <c r="A21097" s="17"/>
      <c r="H21097" s="18"/>
      <c r="K21097" s="18" t="s">
        <v>316</v>
      </c>
    </row>
    <row r="21098">
      <c r="A21098" s="17"/>
      <c r="H21098" s="18"/>
      <c r="K21098" s="18" t="s">
        <v>316</v>
      </c>
    </row>
    <row r="21099">
      <c r="A21099" s="17"/>
      <c r="H21099" s="18"/>
      <c r="K21099" s="18" t="s">
        <v>316</v>
      </c>
    </row>
    <row r="21100">
      <c r="A21100" s="17"/>
      <c r="H21100" s="18"/>
      <c r="K21100" s="18" t="s">
        <v>316</v>
      </c>
    </row>
    <row r="21101">
      <c r="A21101" s="17"/>
      <c r="H21101" s="18"/>
      <c r="K21101" s="18" t="s">
        <v>316</v>
      </c>
    </row>
    <row r="21102">
      <c r="A21102" s="17"/>
      <c r="H21102" s="18"/>
      <c r="K21102" s="18" t="s">
        <v>316</v>
      </c>
    </row>
    <row r="21103">
      <c r="A21103" s="17"/>
      <c r="H21103" s="18"/>
      <c r="K21103" s="18" t="s">
        <v>316</v>
      </c>
    </row>
    <row r="21104">
      <c r="A21104" s="17"/>
      <c r="H21104" s="18"/>
      <c r="K21104" s="18" t="s">
        <v>316</v>
      </c>
    </row>
    <row r="21105">
      <c r="A21105" s="17"/>
      <c r="H21105" s="18"/>
      <c r="K21105" s="18" t="s">
        <v>316</v>
      </c>
    </row>
    <row r="21106">
      <c r="A21106" s="17"/>
      <c r="H21106" s="18"/>
      <c r="K21106" s="18" t="s">
        <v>316</v>
      </c>
    </row>
    <row r="21107">
      <c r="A21107" s="17"/>
      <c r="H21107" s="18"/>
      <c r="K21107" s="18" t="s">
        <v>316</v>
      </c>
    </row>
    <row r="21108">
      <c r="A21108" s="17"/>
      <c r="H21108" s="18"/>
      <c r="K21108" s="18" t="s">
        <v>316</v>
      </c>
    </row>
    <row r="21109">
      <c r="A21109" s="17"/>
      <c r="H21109" s="18"/>
      <c r="K21109" s="18" t="s">
        <v>316</v>
      </c>
    </row>
    <row r="21110">
      <c r="A21110" s="17"/>
      <c r="H21110" s="18"/>
      <c r="K21110" s="18" t="s">
        <v>316</v>
      </c>
    </row>
    <row r="21111">
      <c r="A21111" s="17"/>
      <c r="H21111" s="18"/>
      <c r="K21111" s="18" t="s">
        <v>316</v>
      </c>
    </row>
    <row r="21112">
      <c r="A21112" s="17"/>
      <c r="H21112" s="18"/>
      <c r="K21112" s="18" t="s">
        <v>316</v>
      </c>
    </row>
    <row r="21113">
      <c r="A21113" s="17"/>
      <c r="H21113" s="18"/>
      <c r="K21113" s="18" t="s">
        <v>316</v>
      </c>
    </row>
    <row r="21114">
      <c r="A21114" s="17"/>
      <c r="H21114" s="18"/>
      <c r="K21114" s="18" t="s">
        <v>316</v>
      </c>
    </row>
    <row r="21115">
      <c r="A21115" s="17"/>
      <c r="H21115" s="18"/>
      <c r="K21115" s="18" t="s">
        <v>316</v>
      </c>
    </row>
    <row r="21116">
      <c r="A21116" s="17"/>
      <c r="H21116" s="18"/>
      <c r="K21116" s="18" t="s">
        <v>316</v>
      </c>
    </row>
    <row r="21117">
      <c r="A21117" s="17"/>
      <c r="H21117" s="18"/>
      <c r="K21117" s="18" t="s">
        <v>316</v>
      </c>
    </row>
    <row r="21118">
      <c r="A21118" s="17"/>
      <c r="H21118" s="18"/>
      <c r="K21118" s="18" t="s">
        <v>316</v>
      </c>
    </row>
    <row r="21119">
      <c r="A21119" s="17"/>
      <c r="H21119" s="18"/>
      <c r="K21119" s="18" t="s">
        <v>316</v>
      </c>
    </row>
    <row r="21120">
      <c r="A21120" s="17"/>
      <c r="H21120" s="18"/>
      <c r="K21120" s="18" t="s">
        <v>316</v>
      </c>
    </row>
    <row r="21121">
      <c r="A21121" s="17"/>
      <c r="H21121" s="18"/>
      <c r="K21121" s="18" t="s">
        <v>316</v>
      </c>
    </row>
    <row r="21122">
      <c r="A21122" s="17"/>
      <c r="H21122" s="18"/>
      <c r="K21122" s="18" t="s">
        <v>316</v>
      </c>
    </row>
    <row r="21123">
      <c r="A21123" s="17"/>
      <c r="H21123" s="18"/>
      <c r="K21123" s="18" t="s">
        <v>316</v>
      </c>
    </row>
    <row r="21124">
      <c r="A21124" s="17"/>
      <c r="H21124" s="18"/>
      <c r="K21124" s="18" t="s">
        <v>316</v>
      </c>
    </row>
    <row r="21125">
      <c r="A21125" s="17"/>
      <c r="H21125" s="18"/>
      <c r="K21125" s="18" t="s">
        <v>316</v>
      </c>
    </row>
    <row r="21126">
      <c r="A21126" s="17"/>
      <c r="H21126" s="18"/>
      <c r="K21126" s="18" t="s">
        <v>316</v>
      </c>
    </row>
    <row r="21127">
      <c r="A21127" s="17"/>
      <c r="H21127" s="18"/>
      <c r="K21127" s="18" t="s">
        <v>316</v>
      </c>
    </row>
    <row r="21128">
      <c r="A21128" s="17"/>
      <c r="H21128" s="18"/>
      <c r="K21128" s="18" t="s">
        <v>316</v>
      </c>
    </row>
    <row r="21129">
      <c r="A21129" s="17"/>
      <c r="H21129" s="18"/>
      <c r="K21129" s="18" t="s">
        <v>316</v>
      </c>
    </row>
    <row r="21130">
      <c r="A21130" s="17"/>
      <c r="H21130" s="18"/>
      <c r="K21130" s="18" t="s">
        <v>316</v>
      </c>
    </row>
    <row r="21131">
      <c r="A21131" s="17"/>
      <c r="H21131" s="18"/>
      <c r="K21131" s="18" t="s">
        <v>316</v>
      </c>
    </row>
    <row r="21132">
      <c r="A21132" s="17"/>
      <c r="H21132" s="18"/>
      <c r="K21132" s="18" t="s">
        <v>316</v>
      </c>
    </row>
    <row r="21133">
      <c r="A21133" s="17"/>
      <c r="H21133" s="18"/>
      <c r="K21133" s="18" t="s">
        <v>316</v>
      </c>
    </row>
    <row r="21134">
      <c r="A21134" s="17"/>
      <c r="H21134" s="18"/>
      <c r="K21134" s="18" t="s">
        <v>316</v>
      </c>
    </row>
    <row r="21135">
      <c r="A21135" s="17"/>
      <c r="H21135" s="18"/>
      <c r="K21135" s="18" t="s">
        <v>316</v>
      </c>
    </row>
    <row r="21136">
      <c r="A21136" s="17"/>
      <c r="H21136" s="18"/>
      <c r="K21136" s="18" t="s">
        <v>316</v>
      </c>
    </row>
    <row r="21137">
      <c r="A21137" s="17"/>
      <c r="H21137" s="18"/>
      <c r="K21137" s="18" t="s">
        <v>316</v>
      </c>
    </row>
    <row r="21138">
      <c r="A21138" s="17"/>
      <c r="H21138" s="18"/>
      <c r="K21138" s="18" t="s">
        <v>316</v>
      </c>
    </row>
    <row r="21139">
      <c r="A21139" s="17"/>
      <c r="H21139" s="18"/>
      <c r="K21139" s="18" t="s">
        <v>316</v>
      </c>
    </row>
    <row r="21140">
      <c r="A21140" s="17"/>
      <c r="H21140" s="18"/>
      <c r="K21140" s="18" t="s">
        <v>316</v>
      </c>
    </row>
    <row r="21141">
      <c r="A21141" s="17"/>
      <c r="H21141" s="18"/>
      <c r="K21141" s="18" t="s">
        <v>316</v>
      </c>
    </row>
    <row r="21142">
      <c r="A21142" s="17"/>
      <c r="H21142" s="18"/>
      <c r="K21142" s="18" t="s">
        <v>316</v>
      </c>
    </row>
    <row r="21143">
      <c r="A21143" s="17"/>
      <c r="H21143" s="18"/>
      <c r="K21143" s="18" t="s">
        <v>316</v>
      </c>
    </row>
    <row r="21144">
      <c r="A21144" s="17"/>
      <c r="H21144" s="18"/>
      <c r="K21144" s="18" t="s">
        <v>316</v>
      </c>
    </row>
    <row r="21145">
      <c r="A21145" s="17"/>
      <c r="H21145" s="18"/>
      <c r="K21145" s="18" t="s">
        <v>316</v>
      </c>
    </row>
    <row r="21146">
      <c r="A21146" s="17"/>
      <c r="H21146" s="18"/>
      <c r="K21146" s="18" t="s">
        <v>316</v>
      </c>
    </row>
    <row r="21147">
      <c r="A21147" s="17"/>
      <c r="H21147" s="18"/>
      <c r="K21147" s="18" t="s">
        <v>316</v>
      </c>
    </row>
    <row r="21148">
      <c r="A21148" s="17"/>
      <c r="H21148" s="18"/>
      <c r="K21148" s="18" t="s">
        <v>316</v>
      </c>
    </row>
    <row r="21149">
      <c r="A21149" s="17"/>
      <c r="H21149" s="18"/>
      <c r="K21149" s="18" t="s">
        <v>316</v>
      </c>
    </row>
    <row r="21150">
      <c r="A21150" s="17"/>
      <c r="H21150" s="18"/>
      <c r="K21150" s="18" t="s">
        <v>316</v>
      </c>
    </row>
    <row r="21151">
      <c r="A21151" s="17"/>
      <c r="H21151" s="18"/>
      <c r="K21151" s="18" t="s">
        <v>316</v>
      </c>
    </row>
    <row r="21152">
      <c r="A21152" s="17"/>
      <c r="H21152" s="18"/>
      <c r="K21152" s="18" t="s">
        <v>316</v>
      </c>
    </row>
    <row r="21153">
      <c r="A21153" s="17"/>
      <c r="H21153" s="18"/>
      <c r="K21153" s="18" t="s">
        <v>316</v>
      </c>
    </row>
    <row r="21154">
      <c r="A21154" s="17"/>
      <c r="H21154" s="18"/>
      <c r="K21154" s="18" t="s">
        <v>316</v>
      </c>
    </row>
    <row r="21155">
      <c r="A21155" s="17"/>
      <c r="H21155" s="18"/>
      <c r="K21155" s="18" t="s">
        <v>316</v>
      </c>
    </row>
    <row r="21156">
      <c r="A21156" s="17"/>
      <c r="H21156" s="18"/>
      <c r="K21156" s="18" t="s">
        <v>316</v>
      </c>
    </row>
    <row r="21157">
      <c r="A21157" s="17"/>
      <c r="H21157" s="18"/>
      <c r="K21157" s="18" t="s">
        <v>316</v>
      </c>
    </row>
    <row r="21158">
      <c r="A21158" s="17"/>
      <c r="H21158" s="18"/>
      <c r="K21158" s="18" t="s">
        <v>316</v>
      </c>
    </row>
    <row r="21159">
      <c r="A21159" s="17"/>
      <c r="H21159" s="18"/>
      <c r="K21159" s="18" t="s">
        <v>316</v>
      </c>
    </row>
    <row r="21160">
      <c r="A21160" s="17"/>
      <c r="H21160" s="18"/>
      <c r="K21160" s="18" t="s">
        <v>316</v>
      </c>
    </row>
    <row r="21161">
      <c r="A21161" s="17"/>
      <c r="H21161" s="18"/>
      <c r="K21161" s="18" t="s">
        <v>316</v>
      </c>
    </row>
    <row r="21162">
      <c r="A21162" s="17"/>
      <c r="H21162" s="18"/>
      <c r="K21162" s="18" t="s">
        <v>316</v>
      </c>
    </row>
    <row r="21163">
      <c r="A21163" s="17"/>
      <c r="H21163" s="18"/>
      <c r="K21163" s="18" t="s">
        <v>316</v>
      </c>
    </row>
    <row r="21164">
      <c r="A21164" s="17"/>
      <c r="H21164" s="18"/>
      <c r="K21164" s="18" t="s">
        <v>316</v>
      </c>
    </row>
    <row r="21165">
      <c r="A21165" s="17"/>
      <c r="H21165" s="18"/>
      <c r="K21165" s="18" t="s">
        <v>316</v>
      </c>
    </row>
    <row r="21166">
      <c r="A21166" s="17"/>
      <c r="H21166" s="18"/>
      <c r="K21166" s="18" t="s">
        <v>316</v>
      </c>
    </row>
    <row r="21167">
      <c r="A21167" s="17"/>
      <c r="H21167" s="18"/>
      <c r="K21167" s="18" t="s">
        <v>316</v>
      </c>
    </row>
    <row r="21168">
      <c r="A21168" s="17"/>
      <c r="H21168" s="18"/>
      <c r="K21168" s="18" t="s">
        <v>316</v>
      </c>
    </row>
    <row r="21169">
      <c r="A21169" s="17"/>
      <c r="H21169" s="18"/>
      <c r="K21169" s="18" t="s">
        <v>316</v>
      </c>
    </row>
    <row r="21170">
      <c r="A21170" s="17"/>
      <c r="H21170" s="18"/>
      <c r="K21170" s="18" t="s">
        <v>316</v>
      </c>
    </row>
    <row r="21171">
      <c r="A21171" s="17"/>
      <c r="H21171" s="18"/>
      <c r="K21171" s="18" t="s">
        <v>316</v>
      </c>
    </row>
    <row r="21172">
      <c r="A21172" s="17"/>
      <c r="H21172" s="18"/>
      <c r="K21172" s="18" t="s">
        <v>316</v>
      </c>
    </row>
    <row r="21173">
      <c r="A21173" s="17"/>
      <c r="H21173" s="18"/>
      <c r="K21173" s="18" t="s">
        <v>316</v>
      </c>
    </row>
    <row r="21174">
      <c r="A21174" s="17"/>
      <c r="H21174" s="18"/>
      <c r="K21174" s="18" t="s">
        <v>316</v>
      </c>
    </row>
    <row r="21175">
      <c r="A21175" s="17"/>
      <c r="H21175" s="18"/>
      <c r="K21175" s="18" t="s">
        <v>316</v>
      </c>
    </row>
    <row r="21176">
      <c r="A21176" s="17"/>
      <c r="H21176" s="18"/>
      <c r="K21176" s="18" t="s">
        <v>316</v>
      </c>
    </row>
    <row r="21177">
      <c r="A21177" s="17"/>
      <c r="H21177" s="18"/>
      <c r="K21177" s="18" t="s">
        <v>316</v>
      </c>
    </row>
    <row r="21178">
      <c r="A21178" s="17"/>
      <c r="H21178" s="18"/>
      <c r="K21178" s="18" t="s">
        <v>316</v>
      </c>
    </row>
    <row r="21179">
      <c r="A21179" s="17"/>
      <c r="H21179" s="18"/>
      <c r="K21179" s="18" t="s">
        <v>316</v>
      </c>
    </row>
    <row r="21180">
      <c r="A21180" s="17"/>
      <c r="H21180" s="18"/>
      <c r="K21180" s="18" t="s">
        <v>316</v>
      </c>
    </row>
    <row r="21181">
      <c r="A21181" s="17"/>
      <c r="H21181" s="18"/>
      <c r="K21181" s="18" t="s">
        <v>316</v>
      </c>
    </row>
    <row r="21182">
      <c r="A21182" s="17"/>
      <c r="H21182" s="18"/>
      <c r="K21182" s="18" t="s">
        <v>316</v>
      </c>
    </row>
    <row r="21183">
      <c r="A21183" s="17"/>
      <c r="H21183" s="18"/>
      <c r="K21183" s="18" t="s">
        <v>316</v>
      </c>
    </row>
    <row r="21184">
      <c r="A21184" s="17"/>
      <c r="H21184" s="18"/>
      <c r="K21184" s="18" t="s">
        <v>316</v>
      </c>
    </row>
    <row r="21185">
      <c r="A21185" s="17"/>
      <c r="H21185" s="18"/>
      <c r="K21185" s="18" t="s">
        <v>316</v>
      </c>
    </row>
    <row r="21186">
      <c r="A21186" s="17"/>
      <c r="H21186" s="18"/>
      <c r="K21186" s="18" t="s">
        <v>316</v>
      </c>
    </row>
    <row r="21187">
      <c r="A21187" s="17"/>
      <c r="H21187" s="18"/>
      <c r="K21187" s="18" t="s">
        <v>316</v>
      </c>
    </row>
    <row r="21188">
      <c r="A21188" s="17"/>
      <c r="H21188" s="18"/>
      <c r="K21188" s="18" t="s">
        <v>316</v>
      </c>
    </row>
    <row r="21189">
      <c r="A21189" s="17"/>
      <c r="H21189" s="18"/>
      <c r="K21189" s="18" t="s">
        <v>316</v>
      </c>
    </row>
    <row r="21190">
      <c r="A21190" s="17"/>
      <c r="H21190" s="18"/>
      <c r="K21190" s="18" t="s">
        <v>316</v>
      </c>
    </row>
    <row r="21191">
      <c r="A21191" s="17"/>
      <c r="H21191" s="18"/>
      <c r="K21191" s="18" t="s">
        <v>316</v>
      </c>
    </row>
    <row r="21192">
      <c r="A21192" s="17"/>
      <c r="H21192" s="18"/>
      <c r="K21192" s="18" t="s">
        <v>316</v>
      </c>
    </row>
    <row r="21193">
      <c r="A21193" s="17"/>
      <c r="H21193" s="18"/>
      <c r="K21193" s="18" t="s">
        <v>316</v>
      </c>
    </row>
    <row r="21194">
      <c r="A21194" s="17"/>
      <c r="H21194" s="18"/>
      <c r="K21194" s="18" t="s">
        <v>316</v>
      </c>
    </row>
    <row r="21195">
      <c r="A21195" s="17"/>
      <c r="H21195" s="18"/>
      <c r="K21195" s="18" t="s">
        <v>316</v>
      </c>
    </row>
    <row r="21196">
      <c r="A21196" s="17"/>
      <c r="H21196" s="18"/>
      <c r="K21196" s="18" t="s">
        <v>316</v>
      </c>
    </row>
    <row r="21197">
      <c r="A21197" s="17"/>
      <c r="H21197" s="18"/>
      <c r="K21197" s="18" t="s">
        <v>316</v>
      </c>
    </row>
    <row r="21198">
      <c r="A21198" s="17"/>
      <c r="H21198" s="18"/>
      <c r="K21198" s="18" t="s">
        <v>316</v>
      </c>
    </row>
    <row r="21199">
      <c r="A21199" s="17"/>
      <c r="H21199" s="18"/>
      <c r="K21199" s="18" t="s">
        <v>316</v>
      </c>
    </row>
    <row r="21200">
      <c r="A21200" s="17"/>
      <c r="H21200" s="18"/>
      <c r="K21200" s="18" t="s">
        <v>316</v>
      </c>
    </row>
    <row r="21201">
      <c r="A21201" s="17"/>
      <c r="H21201" s="18"/>
      <c r="K21201" s="18" t="s">
        <v>316</v>
      </c>
    </row>
    <row r="21202">
      <c r="A21202" s="17"/>
      <c r="H21202" s="18"/>
      <c r="K21202" s="18" t="s">
        <v>316</v>
      </c>
    </row>
    <row r="21203">
      <c r="A21203" s="17"/>
      <c r="H21203" s="18"/>
      <c r="K21203" s="18" t="s">
        <v>316</v>
      </c>
    </row>
    <row r="21204">
      <c r="A21204" s="17"/>
      <c r="H21204" s="18"/>
      <c r="K21204" s="18" t="s">
        <v>316</v>
      </c>
    </row>
    <row r="21205">
      <c r="A21205" s="17"/>
      <c r="H21205" s="18"/>
      <c r="K21205" s="18" t="s">
        <v>316</v>
      </c>
    </row>
    <row r="21206">
      <c r="A21206" s="17"/>
      <c r="H21206" s="18"/>
      <c r="K21206" s="18" t="s">
        <v>316</v>
      </c>
    </row>
    <row r="21207">
      <c r="A21207" s="17"/>
      <c r="H21207" s="18"/>
      <c r="K21207" s="18" t="s">
        <v>316</v>
      </c>
    </row>
    <row r="21208">
      <c r="A21208" s="17"/>
      <c r="H21208" s="18"/>
      <c r="K21208" s="18" t="s">
        <v>316</v>
      </c>
    </row>
    <row r="21209">
      <c r="A21209" s="17"/>
      <c r="H21209" s="18"/>
      <c r="K21209" s="18" t="s">
        <v>316</v>
      </c>
    </row>
    <row r="21210">
      <c r="A21210" s="17"/>
      <c r="H21210" s="18"/>
      <c r="K21210" s="18" t="s">
        <v>316</v>
      </c>
    </row>
    <row r="21211">
      <c r="A21211" s="17"/>
      <c r="H21211" s="18"/>
      <c r="K21211" s="18" t="s">
        <v>316</v>
      </c>
    </row>
    <row r="21212">
      <c r="A21212" s="17"/>
      <c r="H21212" s="18"/>
      <c r="K21212" s="18" t="s">
        <v>316</v>
      </c>
    </row>
    <row r="21213">
      <c r="A21213" s="17"/>
      <c r="H21213" s="18"/>
      <c r="K21213" s="18" t="s">
        <v>316</v>
      </c>
    </row>
    <row r="21214">
      <c r="A21214" s="17"/>
      <c r="H21214" s="18"/>
      <c r="K21214" s="18" t="s">
        <v>316</v>
      </c>
    </row>
    <row r="21215">
      <c r="A21215" s="17"/>
      <c r="H21215" s="18"/>
      <c r="K21215" s="18" t="s">
        <v>316</v>
      </c>
    </row>
    <row r="21216">
      <c r="A21216" s="17"/>
      <c r="H21216" s="18"/>
      <c r="K21216" s="18" t="s">
        <v>316</v>
      </c>
    </row>
    <row r="21217">
      <c r="A21217" s="17"/>
      <c r="H21217" s="18"/>
      <c r="K21217" s="18" t="s">
        <v>316</v>
      </c>
    </row>
    <row r="21218">
      <c r="A21218" s="17"/>
      <c r="H21218" s="18"/>
      <c r="K21218" s="18" t="s">
        <v>316</v>
      </c>
    </row>
    <row r="21219">
      <c r="A21219" s="17"/>
      <c r="H21219" s="18"/>
      <c r="K21219" s="18" t="s">
        <v>316</v>
      </c>
    </row>
    <row r="21220">
      <c r="A21220" s="17"/>
      <c r="H21220" s="18"/>
      <c r="K21220" s="18" t="s">
        <v>316</v>
      </c>
    </row>
    <row r="21221">
      <c r="A21221" s="17"/>
      <c r="H21221" s="18"/>
      <c r="K21221" s="18" t="s">
        <v>316</v>
      </c>
    </row>
    <row r="21222">
      <c r="A21222" s="17"/>
      <c r="H21222" s="18"/>
      <c r="K21222" s="18" t="s">
        <v>316</v>
      </c>
    </row>
    <row r="21223">
      <c r="A21223" s="17"/>
      <c r="H21223" s="18"/>
      <c r="K21223" s="18" t="s">
        <v>316</v>
      </c>
    </row>
    <row r="21224">
      <c r="A21224" s="17"/>
      <c r="H21224" s="18"/>
      <c r="K21224" s="18" t="s">
        <v>316</v>
      </c>
    </row>
    <row r="21225">
      <c r="A21225" s="17"/>
      <c r="H21225" s="18"/>
      <c r="K21225" s="18" t="s">
        <v>316</v>
      </c>
    </row>
    <row r="21226">
      <c r="A21226" s="17"/>
      <c r="H21226" s="18"/>
      <c r="K21226" s="18" t="s">
        <v>316</v>
      </c>
    </row>
    <row r="21227">
      <c r="A21227" s="17"/>
      <c r="H21227" s="18"/>
      <c r="K21227" s="18" t="s">
        <v>316</v>
      </c>
    </row>
    <row r="21228">
      <c r="A21228" s="17"/>
      <c r="H21228" s="18"/>
      <c r="K21228" s="18" t="s">
        <v>316</v>
      </c>
    </row>
    <row r="21229">
      <c r="A21229" s="17"/>
      <c r="H21229" s="18"/>
      <c r="K21229" s="18" t="s">
        <v>316</v>
      </c>
    </row>
    <row r="21230">
      <c r="A21230" s="17"/>
      <c r="H21230" s="18"/>
      <c r="K21230" s="18" t="s">
        <v>316</v>
      </c>
    </row>
    <row r="21231">
      <c r="A21231" s="17"/>
      <c r="H21231" s="18"/>
      <c r="K21231" s="18" t="s">
        <v>316</v>
      </c>
    </row>
    <row r="21232">
      <c r="A21232" s="17"/>
      <c r="H21232" s="18"/>
      <c r="K21232" s="18" t="s">
        <v>316</v>
      </c>
    </row>
    <row r="21233">
      <c r="A21233" s="17"/>
      <c r="H21233" s="18"/>
      <c r="K21233" s="18" t="s">
        <v>316</v>
      </c>
    </row>
    <row r="21234">
      <c r="A21234" s="17"/>
      <c r="H21234" s="18"/>
      <c r="K21234" s="18" t="s">
        <v>316</v>
      </c>
    </row>
    <row r="21235">
      <c r="A21235" s="17"/>
      <c r="H21235" s="18"/>
      <c r="K21235" s="18" t="s">
        <v>316</v>
      </c>
    </row>
    <row r="21236">
      <c r="A21236" s="17"/>
      <c r="H21236" s="18"/>
      <c r="K21236" s="18" t="s">
        <v>316</v>
      </c>
    </row>
    <row r="21237">
      <c r="A21237" s="17"/>
      <c r="H21237" s="18"/>
      <c r="K21237" s="18" t="s">
        <v>316</v>
      </c>
    </row>
    <row r="21238">
      <c r="A21238" s="17"/>
      <c r="H21238" s="18"/>
      <c r="K21238" s="18" t="s">
        <v>316</v>
      </c>
    </row>
    <row r="21239">
      <c r="A21239" s="17"/>
      <c r="H21239" s="18"/>
      <c r="K21239" s="18" t="s">
        <v>316</v>
      </c>
    </row>
    <row r="21240">
      <c r="A21240" s="17"/>
      <c r="H21240" s="18"/>
      <c r="K21240" s="18" t="s">
        <v>316</v>
      </c>
    </row>
    <row r="21241">
      <c r="A21241" s="17"/>
      <c r="H21241" s="18"/>
      <c r="K21241" s="18" t="s">
        <v>316</v>
      </c>
    </row>
    <row r="21242">
      <c r="A21242" s="17"/>
      <c r="H21242" s="18"/>
      <c r="K21242" s="18" t="s">
        <v>316</v>
      </c>
    </row>
    <row r="21243">
      <c r="A21243" s="17"/>
      <c r="H21243" s="18"/>
      <c r="K21243" s="18" t="s">
        <v>316</v>
      </c>
    </row>
    <row r="21244">
      <c r="A21244" s="17"/>
      <c r="H21244" s="18"/>
      <c r="K21244" s="18" t="s">
        <v>316</v>
      </c>
    </row>
    <row r="21245">
      <c r="A21245" s="17"/>
      <c r="H21245" s="18"/>
      <c r="K21245" s="18" t="s">
        <v>316</v>
      </c>
    </row>
    <row r="21246">
      <c r="A21246" s="17"/>
      <c r="H21246" s="18"/>
      <c r="K21246" s="18" t="s">
        <v>316</v>
      </c>
    </row>
    <row r="21247">
      <c r="A21247" s="17"/>
      <c r="H21247" s="18"/>
      <c r="K21247" s="18" t="s">
        <v>316</v>
      </c>
    </row>
    <row r="21248">
      <c r="A21248" s="17"/>
      <c r="H21248" s="18"/>
      <c r="K21248" s="18" t="s">
        <v>316</v>
      </c>
    </row>
    <row r="21249">
      <c r="A21249" s="17"/>
      <c r="H21249" s="18"/>
      <c r="K21249" s="18" t="s">
        <v>316</v>
      </c>
    </row>
    <row r="21250">
      <c r="A21250" s="17"/>
      <c r="H21250" s="18"/>
      <c r="K21250" s="18" t="s">
        <v>316</v>
      </c>
    </row>
    <row r="21251">
      <c r="A21251" s="17"/>
      <c r="H21251" s="18"/>
      <c r="K21251" s="18" t="s">
        <v>316</v>
      </c>
    </row>
    <row r="21252">
      <c r="A21252" s="17"/>
      <c r="H21252" s="18"/>
      <c r="K21252" s="18" t="s">
        <v>316</v>
      </c>
    </row>
    <row r="21253">
      <c r="A21253" s="17"/>
      <c r="H21253" s="18"/>
      <c r="K21253" s="18" t="s">
        <v>316</v>
      </c>
    </row>
    <row r="21254">
      <c r="A21254" s="17"/>
      <c r="H21254" s="18"/>
      <c r="K21254" s="18" t="s">
        <v>316</v>
      </c>
    </row>
    <row r="21255">
      <c r="A21255" s="17"/>
      <c r="H21255" s="18"/>
      <c r="K21255" s="18" t="s">
        <v>316</v>
      </c>
    </row>
    <row r="21256">
      <c r="A21256" s="17"/>
      <c r="H21256" s="18"/>
      <c r="K21256" s="18" t="s">
        <v>316</v>
      </c>
    </row>
    <row r="21257">
      <c r="A21257" s="17"/>
      <c r="H21257" s="18"/>
      <c r="K21257" s="18" t="s">
        <v>316</v>
      </c>
    </row>
    <row r="21258">
      <c r="A21258" s="17"/>
      <c r="H21258" s="18"/>
      <c r="K21258" s="18" t="s">
        <v>316</v>
      </c>
    </row>
    <row r="21259">
      <c r="A21259" s="17"/>
      <c r="H21259" s="18"/>
      <c r="K21259" s="18" t="s">
        <v>316</v>
      </c>
    </row>
    <row r="21260">
      <c r="A21260" s="17"/>
      <c r="H21260" s="18"/>
      <c r="K21260" s="18" t="s">
        <v>316</v>
      </c>
    </row>
    <row r="21261">
      <c r="A21261" s="17"/>
      <c r="H21261" s="18"/>
      <c r="K21261" s="18" t="s">
        <v>316</v>
      </c>
    </row>
    <row r="21262">
      <c r="A21262" s="17"/>
      <c r="H21262" s="18"/>
      <c r="K21262" s="18" t="s">
        <v>316</v>
      </c>
    </row>
    <row r="21263">
      <c r="A21263" s="17"/>
      <c r="H21263" s="18"/>
      <c r="K21263" s="18" t="s">
        <v>316</v>
      </c>
    </row>
    <row r="21264">
      <c r="A21264" s="17"/>
      <c r="H21264" s="18"/>
      <c r="K21264" s="18" t="s">
        <v>316</v>
      </c>
    </row>
    <row r="21265">
      <c r="A21265" s="17"/>
      <c r="H21265" s="18"/>
      <c r="K21265" s="18" t="s">
        <v>316</v>
      </c>
    </row>
    <row r="21266">
      <c r="A21266" s="17"/>
      <c r="H21266" s="18"/>
      <c r="K21266" s="18" t="s">
        <v>316</v>
      </c>
    </row>
    <row r="21267">
      <c r="A21267" s="17"/>
      <c r="H21267" s="18"/>
      <c r="K21267" s="18" t="s">
        <v>316</v>
      </c>
    </row>
    <row r="21268">
      <c r="A21268" s="17"/>
      <c r="H21268" s="18"/>
      <c r="K21268" s="18" t="s">
        <v>316</v>
      </c>
    </row>
    <row r="21269">
      <c r="A21269" s="17"/>
      <c r="H21269" s="18"/>
      <c r="K21269" s="18" t="s">
        <v>316</v>
      </c>
    </row>
    <row r="21270">
      <c r="A21270" s="17"/>
      <c r="H21270" s="18"/>
      <c r="K21270" s="18" t="s">
        <v>316</v>
      </c>
    </row>
    <row r="21271">
      <c r="A21271" s="17"/>
      <c r="H21271" s="18"/>
      <c r="K21271" s="18" t="s">
        <v>316</v>
      </c>
    </row>
    <row r="21272">
      <c r="A21272" s="17"/>
      <c r="H21272" s="18"/>
      <c r="K21272" s="18" t="s">
        <v>316</v>
      </c>
    </row>
    <row r="21273">
      <c r="A21273" s="17"/>
      <c r="H21273" s="18"/>
      <c r="K21273" s="18" t="s">
        <v>316</v>
      </c>
    </row>
    <row r="21274">
      <c r="A21274" s="17"/>
      <c r="H21274" s="18"/>
      <c r="K21274" s="18" t="s">
        <v>316</v>
      </c>
    </row>
    <row r="21275">
      <c r="A21275" s="17"/>
      <c r="H21275" s="18"/>
      <c r="K21275" s="18" t="s">
        <v>316</v>
      </c>
    </row>
    <row r="21276">
      <c r="A21276" s="17"/>
      <c r="H21276" s="18"/>
      <c r="K21276" s="18" t="s">
        <v>316</v>
      </c>
    </row>
    <row r="21277">
      <c r="A21277" s="17"/>
      <c r="H21277" s="18"/>
      <c r="K21277" s="18" t="s">
        <v>316</v>
      </c>
    </row>
    <row r="21278">
      <c r="A21278" s="17"/>
      <c r="H21278" s="18"/>
      <c r="K21278" s="18" t="s">
        <v>316</v>
      </c>
    </row>
    <row r="21279">
      <c r="A21279" s="17"/>
      <c r="H21279" s="18"/>
      <c r="K21279" s="18" t="s">
        <v>316</v>
      </c>
    </row>
    <row r="21280">
      <c r="A21280" s="17"/>
      <c r="H21280" s="18"/>
      <c r="K21280" s="18" t="s">
        <v>316</v>
      </c>
    </row>
    <row r="21281">
      <c r="A21281" s="17"/>
      <c r="H21281" s="18"/>
      <c r="K21281" s="18" t="s">
        <v>316</v>
      </c>
    </row>
    <row r="21282">
      <c r="A21282" s="17"/>
      <c r="H21282" s="18"/>
      <c r="K21282" s="18" t="s">
        <v>316</v>
      </c>
    </row>
    <row r="21283">
      <c r="A21283" s="17"/>
      <c r="H21283" s="18"/>
      <c r="K21283" s="18" t="s">
        <v>316</v>
      </c>
    </row>
    <row r="21284">
      <c r="A21284" s="17"/>
      <c r="H21284" s="18"/>
      <c r="K21284" s="18" t="s">
        <v>316</v>
      </c>
    </row>
    <row r="21285">
      <c r="A21285" s="17"/>
      <c r="H21285" s="18"/>
      <c r="K21285" s="18" t="s">
        <v>316</v>
      </c>
    </row>
    <row r="21286">
      <c r="A21286" s="17"/>
      <c r="H21286" s="18"/>
      <c r="K21286" s="18" t="s">
        <v>316</v>
      </c>
    </row>
    <row r="21287">
      <c r="A21287" s="17"/>
      <c r="H21287" s="18"/>
      <c r="K21287" s="18" t="s">
        <v>316</v>
      </c>
    </row>
    <row r="21288">
      <c r="A21288" s="17"/>
      <c r="H21288" s="18"/>
      <c r="K21288" s="18" t="s">
        <v>316</v>
      </c>
    </row>
    <row r="21289">
      <c r="A21289" s="17"/>
      <c r="H21289" s="18"/>
      <c r="K21289" s="18" t="s">
        <v>316</v>
      </c>
    </row>
    <row r="21290">
      <c r="A21290" s="17"/>
      <c r="H21290" s="18"/>
      <c r="K21290" s="18" t="s">
        <v>316</v>
      </c>
    </row>
    <row r="21291">
      <c r="A21291" s="17"/>
      <c r="H21291" s="18"/>
      <c r="K21291" s="18" t="s">
        <v>316</v>
      </c>
    </row>
    <row r="21292">
      <c r="A21292" s="17"/>
      <c r="H21292" s="18"/>
      <c r="K21292" s="18" t="s">
        <v>316</v>
      </c>
    </row>
    <row r="21293">
      <c r="A21293" s="17"/>
      <c r="H21293" s="18"/>
      <c r="K21293" s="18" t="s">
        <v>316</v>
      </c>
    </row>
    <row r="21294">
      <c r="A21294" s="17"/>
      <c r="H21294" s="18"/>
      <c r="K21294" s="18" t="s">
        <v>316</v>
      </c>
    </row>
    <row r="21295">
      <c r="A21295" s="17"/>
      <c r="H21295" s="18"/>
      <c r="K21295" s="18" t="s">
        <v>316</v>
      </c>
    </row>
    <row r="21296">
      <c r="A21296" s="17"/>
      <c r="H21296" s="18"/>
      <c r="K21296" s="18" t="s">
        <v>316</v>
      </c>
    </row>
    <row r="21297">
      <c r="A21297" s="17"/>
      <c r="H21297" s="18"/>
      <c r="K21297" s="18" t="s">
        <v>316</v>
      </c>
    </row>
    <row r="21298">
      <c r="A21298" s="17"/>
      <c r="H21298" s="18"/>
      <c r="K21298" s="18" t="s">
        <v>316</v>
      </c>
    </row>
    <row r="21299">
      <c r="A21299" s="17"/>
      <c r="H21299" s="18"/>
      <c r="K21299" s="18" t="s">
        <v>316</v>
      </c>
    </row>
    <row r="21300">
      <c r="A21300" s="17"/>
      <c r="H21300" s="18"/>
      <c r="K21300" s="18" t="s">
        <v>316</v>
      </c>
    </row>
    <row r="21301">
      <c r="A21301" s="17"/>
      <c r="H21301" s="18"/>
      <c r="K21301" s="18" t="s">
        <v>316</v>
      </c>
    </row>
    <row r="21302">
      <c r="A21302" s="17"/>
      <c r="H21302" s="18"/>
      <c r="K21302" s="18" t="s">
        <v>316</v>
      </c>
    </row>
    <row r="21303">
      <c r="A21303" s="17"/>
      <c r="H21303" s="18"/>
      <c r="K21303" s="18" t="s">
        <v>316</v>
      </c>
    </row>
    <row r="21304">
      <c r="A21304" s="17"/>
      <c r="H21304" s="18"/>
      <c r="K21304" s="18" t="s">
        <v>316</v>
      </c>
    </row>
    <row r="21305">
      <c r="A21305" s="17"/>
      <c r="H21305" s="18"/>
      <c r="K21305" s="18" t="s">
        <v>316</v>
      </c>
    </row>
    <row r="21306">
      <c r="A21306" s="17"/>
      <c r="H21306" s="18"/>
      <c r="K21306" s="18" t="s">
        <v>316</v>
      </c>
    </row>
    <row r="21307">
      <c r="A21307" s="17"/>
      <c r="H21307" s="18"/>
      <c r="K21307" s="18" t="s">
        <v>316</v>
      </c>
    </row>
    <row r="21308">
      <c r="A21308" s="17"/>
      <c r="H21308" s="18"/>
      <c r="K21308" s="18" t="s">
        <v>316</v>
      </c>
    </row>
    <row r="21309">
      <c r="A21309" s="17"/>
      <c r="H21309" s="18"/>
      <c r="K21309" s="18" t="s">
        <v>316</v>
      </c>
    </row>
    <row r="21310">
      <c r="A21310" s="17"/>
      <c r="H21310" s="18"/>
      <c r="K21310" s="18" t="s">
        <v>316</v>
      </c>
    </row>
    <row r="21311">
      <c r="A21311" s="17"/>
      <c r="H21311" s="18"/>
      <c r="K21311" s="18" t="s">
        <v>316</v>
      </c>
    </row>
    <row r="21312">
      <c r="A21312" s="17"/>
      <c r="H21312" s="18"/>
      <c r="K21312" s="18" t="s">
        <v>316</v>
      </c>
    </row>
    <row r="21313">
      <c r="A21313" s="17"/>
      <c r="H21313" s="18"/>
      <c r="K21313" s="18" t="s">
        <v>316</v>
      </c>
    </row>
    <row r="21314">
      <c r="A21314" s="17"/>
      <c r="H21314" s="18"/>
      <c r="K21314" s="18" t="s">
        <v>316</v>
      </c>
    </row>
    <row r="21315">
      <c r="A21315" s="17"/>
      <c r="H21315" s="18"/>
      <c r="K21315" s="18" t="s">
        <v>316</v>
      </c>
    </row>
    <row r="21316">
      <c r="A21316" s="17"/>
      <c r="H21316" s="18"/>
      <c r="K21316" s="18" t="s">
        <v>316</v>
      </c>
    </row>
    <row r="21317">
      <c r="A21317" s="17"/>
      <c r="H21317" s="18"/>
      <c r="K21317" s="18" t="s">
        <v>316</v>
      </c>
    </row>
    <row r="21318">
      <c r="A21318" s="17"/>
      <c r="H21318" s="18"/>
      <c r="K21318" s="18" t="s">
        <v>316</v>
      </c>
    </row>
    <row r="21319">
      <c r="A21319" s="17"/>
      <c r="H21319" s="18"/>
      <c r="K21319" s="18" t="s">
        <v>316</v>
      </c>
    </row>
    <row r="21320">
      <c r="A21320" s="17"/>
      <c r="H21320" s="18"/>
      <c r="K21320" s="18" t="s">
        <v>316</v>
      </c>
    </row>
    <row r="21321">
      <c r="A21321" s="17"/>
      <c r="H21321" s="18"/>
      <c r="K21321" s="18" t="s">
        <v>316</v>
      </c>
    </row>
    <row r="21322">
      <c r="A21322" s="17"/>
      <c r="H21322" s="18"/>
      <c r="K21322" s="18" t="s">
        <v>316</v>
      </c>
    </row>
    <row r="21323">
      <c r="A21323" s="17"/>
      <c r="H21323" s="18"/>
      <c r="K21323" s="18" t="s">
        <v>316</v>
      </c>
    </row>
    <row r="21324">
      <c r="A21324" s="17"/>
      <c r="H21324" s="18"/>
      <c r="K21324" s="18" t="s">
        <v>316</v>
      </c>
    </row>
    <row r="21325">
      <c r="A21325" s="17"/>
      <c r="H21325" s="18"/>
      <c r="K21325" s="18" t="s">
        <v>316</v>
      </c>
    </row>
    <row r="21326">
      <c r="A21326" s="17"/>
      <c r="H21326" s="18"/>
      <c r="K21326" s="18" t="s">
        <v>316</v>
      </c>
    </row>
    <row r="21327">
      <c r="A21327" s="17"/>
      <c r="H21327" s="18"/>
      <c r="K21327" s="18" t="s">
        <v>316</v>
      </c>
    </row>
    <row r="21328">
      <c r="A21328" s="17"/>
      <c r="H21328" s="18"/>
      <c r="K21328" s="18" t="s">
        <v>316</v>
      </c>
    </row>
    <row r="21329">
      <c r="A21329" s="17"/>
      <c r="H21329" s="18"/>
      <c r="K21329" s="18" t="s">
        <v>316</v>
      </c>
    </row>
    <row r="21330">
      <c r="A21330" s="17"/>
      <c r="H21330" s="18"/>
      <c r="K21330" s="18" t="s">
        <v>316</v>
      </c>
    </row>
    <row r="21331">
      <c r="A21331" s="17"/>
      <c r="H21331" s="18"/>
      <c r="K21331" s="18" t="s">
        <v>316</v>
      </c>
    </row>
    <row r="21332">
      <c r="A21332" s="17"/>
      <c r="H21332" s="18"/>
      <c r="K21332" s="18" t="s">
        <v>316</v>
      </c>
    </row>
    <row r="21333">
      <c r="A21333" s="17"/>
      <c r="H21333" s="18"/>
      <c r="K21333" s="18" t="s">
        <v>316</v>
      </c>
    </row>
    <row r="21334">
      <c r="A21334" s="17"/>
      <c r="H21334" s="18"/>
      <c r="K21334" s="18" t="s">
        <v>316</v>
      </c>
    </row>
    <row r="21335">
      <c r="A21335" s="17"/>
      <c r="H21335" s="18"/>
      <c r="K21335" s="18" t="s">
        <v>316</v>
      </c>
    </row>
    <row r="21336">
      <c r="A21336" s="17"/>
      <c r="H21336" s="18"/>
      <c r="K21336" s="18" t="s">
        <v>316</v>
      </c>
    </row>
    <row r="21337">
      <c r="A21337" s="17"/>
      <c r="H21337" s="18"/>
      <c r="K21337" s="18" t="s">
        <v>316</v>
      </c>
    </row>
    <row r="21338">
      <c r="A21338" s="17"/>
      <c r="H21338" s="18"/>
      <c r="K21338" s="18" t="s">
        <v>316</v>
      </c>
    </row>
    <row r="21339">
      <c r="A21339" s="17"/>
      <c r="H21339" s="18"/>
      <c r="K21339" s="18" t="s">
        <v>316</v>
      </c>
    </row>
    <row r="21340">
      <c r="A21340" s="17"/>
      <c r="H21340" s="18"/>
      <c r="K21340" s="18" t="s">
        <v>316</v>
      </c>
    </row>
    <row r="21341">
      <c r="A21341" s="17"/>
      <c r="H21341" s="18"/>
      <c r="K21341" s="18" t="s">
        <v>316</v>
      </c>
    </row>
    <row r="21342">
      <c r="A21342" s="17"/>
      <c r="H21342" s="18"/>
      <c r="K21342" s="18" t="s">
        <v>316</v>
      </c>
    </row>
    <row r="21343">
      <c r="A21343" s="17"/>
      <c r="H21343" s="18"/>
      <c r="K21343" s="18" t="s">
        <v>316</v>
      </c>
    </row>
    <row r="21344">
      <c r="A21344" s="17"/>
      <c r="H21344" s="18"/>
      <c r="K21344" s="18" t="s">
        <v>316</v>
      </c>
    </row>
    <row r="21345">
      <c r="A21345" s="17"/>
      <c r="H21345" s="18"/>
      <c r="K21345" s="18" t="s">
        <v>316</v>
      </c>
    </row>
    <row r="21346">
      <c r="A21346" s="17"/>
      <c r="H21346" s="18"/>
      <c r="K21346" s="18" t="s">
        <v>316</v>
      </c>
    </row>
    <row r="21347">
      <c r="A21347" s="17"/>
      <c r="H21347" s="18"/>
      <c r="K21347" s="18" t="s">
        <v>316</v>
      </c>
    </row>
    <row r="21348">
      <c r="A21348" s="17"/>
      <c r="H21348" s="18"/>
      <c r="K21348" s="18" t="s">
        <v>316</v>
      </c>
    </row>
    <row r="21349">
      <c r="A21349" s="17"/>
      <c r="H21349" s="18"/>
      <c r="K21349" s="18" t="s">
        <v>316</v>
      </c>
    </row>
    <row r="21350">
      <c r="A21350" s="17"/>
      <c r="H21350" s="18"/>
      <c r="K21350" s="18" t="s">
        <v>316</v>
      </c>
    </row>
    <row r="21351">
      <c r="A21351" s="17"/>
      <c r="H21351" s="18"/>
      <c r="K21351" s="18" t="s">
        <v>316</v>
      </c>
    </row>
    <row r="21352">
      <c r="A21352" s="17"/>
      <c r="H21352" s="18"/>
      <c r="K21352" s="18" t="s">
        <v>316</v>
      </c>
    </row>
    <row r="21353">
      <c r="A21353" s="17"/>
      <c r="H21353" s="18"/>
      <c r="K21353" s="18" t="s">
        <v>316</v>
      </c>
    </row>
    <row r="21354">
      <c r="A21354" s="17"/>
      <c r="H21354" s="18"/>
      <c r="K21354" s="18" t="s">
        <v>316</v>
      </c>
    </row>
    <row r="21355">
      <c r="A21355" s="17"/>
      <c r="H21355" s="18"/>
      <c r="K21355" s="18" t="s">
        <v>316</v>
      </c>
    </row>
    <row r="21356">
      <c r="A21356" s="17"/>
      <c r="H21356" s="18"/>
      <c r="K21356" s="18" t="s">
        <v>316</v>
      </c>
    </row>
    <row r="21357">
      <c r="A21357" s="17"/>
      <c r="H21357" s="18"/>
      <c r="K21357" s="18" t="s">
        <v>316</v>
      </c>
    </row>
    <row r="21358">
      <c r="A21358" s="17"/>
      <c r="H21358" s="18"/>
      <c r="K21358" s="18" t="s">
        <v>316</v>
      </c>
    </row>
    <row r="21359">
      <c r="A21359" s="17"/>
      <c r="H21359" s="18"/>
      <c r="K21359" s="18" t="s">
        <v>316</v>
      </c>
    </row>
    <row r="21360">
      <c r="A21360" s="17"/>
      <c r="H21360" s="18"/>
      <c r="K21360" s="18" t="s">
        <v>316</v>
      </c>
    </row>
    <row r="21361">
      <c r="A21361" s="17"/>
      <c r="H21361" s="18"/>
      <c r="K21361" s="18" t="s">
        <v>316</v>
      </c>
    </row>
    <row r="21362">
      <c r="A21362" s="17"/>
      <c r="H21362" s="18"/>
      <c r="K21362" s="18" t="s">
        <v>316</v>
      </c>
    </row>
    <row r="21363">
      <c r="A21363" s="17"/>
      <c r="H21363" s="18"/>
      <c r="K21363" s="18" t="s">
        <v>316</v>
      </c>
    </row>
    <row r="21364">
      <c r="A21364" s="17"/>
      <c r="H21364" s="18"/>
      <c r="K21364" s="18" t="s">
        <v>316</v>
      </c>
    </row>
    <row r="21365">
      <c r="A21365" s="17"/>
      <c r="H21365" s="18"/>
      <c r="K21365" s="18" t="s">
        <v>316</v>
      </c>
    </row>
    <row r="21366">
      <c r="A21366" s="17"/>
      <c r="H21366" s="18"/>
      <c r="K21366" s="18" t="s">
        <v>316</v>
      </c>
    </row>
    <row r="21367">
      <c r="A21367" s="17"/>
      <c r="H21367" s="18"/>
      <c r="K21367" s="18" t="s">
        <v>316</v>
      </c>
    </row>
    <row r="21368">
      <c r="A21368" s="17"/>
      <c r="H21368" s="18"/>
      <c r="K21368" s="18" t="s">
        <v>316</v>
      </c>
    </row>
    <row r="21369">
      <c r="A21369" s="17"/>
      <c r="H21369" s="18"/>
      <c r="K21369" s="18" t="s">
        <v>316</v>
      </c>
    </row>
    <row r="21370">
      <c r="A21370" s="17"/>
      <c r="H21370" s="18"/>
      <c r="K21370" s="18" t="s">
        <v>316</v>
      </c>
    </row>
    <row r="21371">
      <c r="A21371" s="17"/>
      <c r="H21371" s="18"/>
      <c r="K21371" s="18" t="s">
        <v>316</v>
      </c>
    </row>
    <row r="21372">
      <c r="A21372" s="17"/>
      <c r="H21372" s="18"/>
      <c r="K21372" s="18" t="s">
        <v>316</v>
      </c>
    </row>
    <row r="21373">
      <c r="A21373" s="17"/>
      <c r="H21373" s="18"/>
      <c r="K21373" s="18" t="s">
        <v>316</v>
      </c>
    </row>
    <row r="21374">
      <c r="A21374" s="17"/>
      <c r="H21374" s="18"/>
      <c r="K21374" s="18" t="s">
        <v>316</v>
      </c>
    </row>
    <row r="21375">
      <c r="A21375" s="17"/>
      <c r="H21375" s="18"/>
      <c r="K21375" s="18" t="s">
        <v>316</v>
      </c>
    </row>
    <row r="21376">
      <c r="A21376" s="17"/>
      <c r="H21376" s="18"/>
      <c r="K21376" s="18" t="s">
        <v>316</v>
      </c>
    </row>
    <row r="21377">
      <c r="A21377" s="17"/>
      <c r="H21377" s="18"/>
      <c r="K21377" s="18" t="s">
        <v>316</v>
      </c>
    </row>
    <row r="21378">
      <c r="A21378" s="17"/>
      <c r="H21378" s="18"/>
      <c r="K21378" s="18" t="s">
        <v>316</v>
      </c>
    </row>
    <row r="21379">
      <c r="A21379" s="17"/>
      <c r="H21379" s="18"/>
      <c r="K21379" s="18" t="s">
        <v>316</v>
      </c>
    </row>
    <row r="21380">
      <c r="A21380" s="17"/>
      <c r="H21380" s="18"/>
      <c r="K21380" s="18" t="s">
        <v>316</v>
      </c>
    </row>
    <row r="21381">
      <c r="A21381" s="17"/>
      <c r="H21381" s="18"/>
      <c r="K21381" s="18" t="s">
        <v>316</v>
      </c>
    </row>
    <row r="21382">
      <c r="A21382" s="17"/>
      <c r="H21382" s="18"/>
      <c r="K21382" s="18" t="s">
        <v>316</v>
      </c>
    </row>
    <row r="21383">
      <c r="A21383" s="17"/>
      <c r="H21383" s="18"/>
      <c r="K21383" s="18" t="s">
        <v>316</v>
      </c>
    </row>
    <row r="21384">
      <c r="A21384" s="17"/>
      <c r="H21384" s="18"/>
      <c r="K21384" s="18" t="s">
        <v>316</v>
      </c>
    </row>
    <row r="21385">
      <c r="A21385" s="17"/>
      <c r="H21385" s="18"/>
      <c r="K21385" s="18" t="s">
        <v>316</v>
      </c>
    </row>
    <row r="21386">
      <c r="A21386" s="17"/>
      <c r="H21386" s="18"/>
      <c r="K21386" s="18" t="s">
        <v>316</v>
      </c>
    </row>
    <row r="21387">
      <c r="A21387" s="17"/>
      <c r="H21387" s="18"/>
      <c r="K21387" s="18" t="s">
        <v>316</v>
      </c>
    </row>
    <row r="21388">
      <c r="A21388" s="17"/>
      <c r="H21388" s="18"/>
      <c r="K21388" s="18" t="s">
        <v>316</v>
      </c>
    </row>
    <row r="21389">
      <c r="A21389" s="17"/>
      <c r="H21389" s="18"/>
      <c r="K21389" s="18" t="s">
        <v>316</v>
      </c>
    </row>
    <row r="21390">
      <c r="A21390" s="17"/>
      <c r="H21390" s="18"/>
      <c r="K21390" s="18" t="s">
        <v>316</v>
      </c>
    </row>
    <row r="21391">
      <c r="A21391" s="17"/>
      <c r="H21391" s="18"/>
      <c r="K21391" s="18" t="s">
        <v>316</v>
      </c>
    </row>
    <row r="21392">
      <c r="A21392" s="17"/>
      <c r="H21392" s="18"/>
      <c r="K21392" s="18" t="s">
        <v>316</v>
      </c>
    </row>
    <row r="21393">
      <c r="A21393" s="17"/>
      <c r="H21393" s="18"/>
      <c r="K21393" s="18" t="s">
        <v>316</v>
      </c>
    </row>
    <row r="21394">
      <c r="A21394" s="17"/>
      <c r="H21394" s="18"/>
      <c r="K21394" s="18" t="s">
        <v>316</v>
      </c>
    </row>
    <row r="21395">
      <c r="A21395" s="17"/>
      <c r="H21395" s="18"/>
      <c r="K21395" s="18" t="s">
        <v>316</v>
      </c>
    </row>
    <row r="21396">
      <c r="A21396" s="17"/>
      <c r="H21396" s="18"/>
      <c r="K21396" s="18" t="s">
        <v>316</v>
      </c>
    </row>
    <row r="21397">
      <c r="A21397" s="17"/>
      <c r="H21397" s="18"/>
      <c r="K21397" s="18" t="s">
        <v>316</v>
      </c>
    </row>
    <row r="21398">
      <c r="A21398" s="17"/>
      <c r="H21398" s="18"/>
      <c r="K21398" s="18" t="s">
        <v>316</v>
      </c>
    </row>
    <row r="21399">
      <c r="A21399" s="17"/>
      <c r="H21399" s="18"/>
      <c r="K21399" s="18" t="s">
        <v>316</v>
      </c>
    </row>
    <row r="21400">
      <c r="A21400" s="17"/>
      <c r="H21400" s="18"/>
      <c r="K21400" s="18" t="s">
        <v>316</v>
      </c>
    </row>
    <row r="21401">
      <c r="A21401" s="17"/>
      <c r="H21401" s="18"/>
      <c r="K21401" s="18" t="s">
        <v>316</v>
      </c>
    </row>
    <row r="21402">
      <c r="A21402" s="17"/>
      <c r="H21402" s="18"/>
      <c r="K21402" s="18" t="s">
        <v>316</v>
      </c>
    </row>
    <row r="21403">
      <c r="A21403" s="17"/>
      <c r="H21403" s="18"/>
      <c r="K21403" s="18" t="s">
        <v>316</v>
      </c>
    </row>
    <row r="21404">
      <c r="A21404" s="17"/>
      <c r="H21404" s="18"/>
      <c r="K21404" s="18" t="s">
        <v>316</v>
      </c>
    </row>
    <row r="21405">
      <c r="A21405" s="17"/>
      <c r="H21405" s="18"/>
      <c r="K21405" s="18" t="s">
        <v>316</v>
      </c>
    </row>
    <row r="21406">
      <c r="A21406" s="17"/>
      <c r="H21406" s="18"/>
      <c r="K21406" s="18" t="s">
        <v>316</v>
      </c>
    </row>
    <row r="21407">
      <c r="A21407" s="17"/>
      <c r="H21407" s="18"/>
      <c r="K21407" s="18" t="s">
        <v>316</v>
      </c>
    </row>
    <row r="21408">
      <c r="A21408" s="17"/>
      <c r="H21408" s="18"/>
      <c r="K21408" s="18" t="s">
        <v>316</v>
      </c>
    </row>
    <row r="21409">
      <c r="A21409" s="17"/>
      <c r="H21409" s="18"/>
      <c r="K21409" s="18" t="s">
        <v>316</v>
      </c>
    </row>
    <row r="21410">
      <c r="A21410" s="17"/>
      <c r="H21410" s="18"/>
      <c r="K21410" s="18" t="s">
        <v>316</v>
      </c>
    </row>
    <row r="21411">
      <c r="A21411" s="17"/>
      <c r="H21411" s="18"/>
      <c r="K21411" s="18" t="s">
        <v>316</v>
      </c>
    </row>
    <row r="21412">
      <c r="A21412" s="17"/>
      <c r="H21412" s="18"/>
      <c r="K21412" s="18" t="s">
        <v>316</v>
      </c>
    </row>
    <row r="21413">
      <c r="A21413" s="17"/>
      <c r="H21413" s="18"/>
      <c r="K21413" s="18" t="s">
        <v>316</v>
      </c>
    </row>
    <row r="21414">
      <c r="A21414" s="17"/>
      <c r="H21414" s="18"/>
      <c r="K21414" s="18" t="s">
        <v>316</v>
      </c>
    </row>
    <row r="21415">
      <c r="A21415" s="17"/>
      <c r="H21415" s="18"/>
      <c r="K21415" s="18" t="s">
        <v>316</v>
      </c>
    </row>
    <row r="21416">
      <c r="A21416" s="17"/>
      <c r="H21416" s="18"/>
      <c r="K21416" s="18" t="s">
        <v>316</v>
      </c>
    </row>
    <row r="21417">
      <c r="A21417" s="17"/>
      <c r="H21417" s="18"/>
      <c r="K21417" s="18" t="s">
        <v>316</v>
      </c>
    </row>
    <row r="21418">
      <c r="A21418" s="17"/>
      <c r="H21418" s="18"/>
      <c r="K21418" s="18" t="s">
        <v>316</v>
      </c>
    </row>
    <row r="21419">
      <c r="A21419" s="17"/>
      <c r="H21419" s="18"/>
      <c r="K21419" s="18" t="s">
        <v>316</v>
      </c>
    </row>
    <row r="21420">
      <c r="A21420" s="17"/>
      <c r="H21420" s="18"/>
      <c r="K21420" s="18" t="s">
        <v>316</v>
      </c>
    </row>
    <row r="21421">
      <c r="A21421" s="17"/>
      <c r="H21421" s="18"/>
      <c r="K21421" s="18" t="s">
        <v>316</v>
      </c>
    </row>
    <row r="21422">
      <c r="A21422" s="17"/>
      <c r="H21422" s="18"/>
      <c r="K21422" s="18" t="s">
        <v>316</v>
      </c>
    </row>
    <row r="21423">
      <c r="A21423" s="17"/>
      <c r="H21423" s="18"/>
      <c r="K21423" s="18" t="s">
        <v>316</v>
      </c>
    </row>
    <row r="21424">
      <c r="A21424" s="17"/>
      <c r="H21424" s="18"/>
      <c r="K21424" s="18" t="s">
        <v>316</v>
      </c>
    </row>
    <row r="21425">
      <c r="A21425" s="17"/>
      <c r="H21425" s="18"/>
      <c r="K21425" s="18" t="s">
        <v>316</v>
      </c>
    </row>
    <row r="21426">
      <c r="A21426" s="17"/>
      <c r="H21426" s="18"/>
      <c r="K21426" s="18" t="s">
        <v>316</v>
      </c>
    </row>
    <row r="21427">
      <c r="A21427" s="17"/>
      <c r="H21427" s="18"/>
      <c r="K21427" s="18" t="s">
        <v>316</v>
      </c>
    </row>
    <row r="21428">
      <c r="A21428" s="17"/>
      <c r="H21428" s="18"/>
      <c r="K21428" s="18" t="s">
        <v>316</v>
      </c>
    </row>
    <row r="21429">
      <c r="A21429" s="17"/>
      <c r="H21429" s="18"/>
      <c r="K21429" s="18" t="s">
        <v>316</v>
      </c>
    </row>
    <row r="21430">
      <c r="A21430" s="17"/>
      <c r="H21430" s="18"/>
      <c r="K21430" s="18" t="s">
        <v>316</v>
      </c>
    </row>
    <row r="21431">
      <c r="A21431" s="17"/>
      <c r="H21431" s="18"/>
      <c r="K21431" s="18" t="s">
        <v>316</v>
      </c>
    </row>
    <row r="21432">
      <c r="A21432" s="17"/>
      <c r="H21432" s="18"/>
      <c r="K21432" s="18" t="s">
        <v>316</v>
      </c>
    </row>
    <row r="21433">
      <c r="A21433" s="17"/>
      <c r="H21433" s="18"/>
      <c r="K21433" s="18" t="s">
        <v>316</v>
      </c>
    </row>
    <row r="21434">
      <c r="A21434" s="17"/>
      <c r="H21434" s="18"/>
      <c r="K21434" s="18" t="s">
        <v>316</v>
      </c>
    </row>
    <row r="21435">
      <c r="A21435" s="17"/>
      <c r="H21435" s="18"/>
      <c r="K21435" s="18" t="s">
        <v>316</v>
      </c>
    </row>
    <row r="21436">
      <c r="A21436" s="17"/>
      <c r="H21436" s="18"/>
      <c r="K21436" s="18" t="s">
        <v>316</v>
      </c>
    </row>
    <row r="21437">
      <c r="A21437" s="17"/>
      <c r="H21437" s="18"/>
      <c r="K21437" s="18" t="s">
        <v>316</v>
      </c>
    </row>
    <row r="21438">
      <c r="A21438" s="17"/>
      <c r="H21438" s="18"/>
      <c r="K21438" s="18" t="s">
        <v>316</v>
      </c>
    </row>
    <row r="21439">
      <c r="A21439" s="17"/>
      <c r="H21439" s="18"/>
      <c r="K21439" s="18" t="s">
        <v>316</v>
      </c>
    </row>
    <row r="21440">
      <c r="A21440" s="17"/>
      <c r="H21440" s="18"/>
      <c r="K21440" s="18" t="s">
        <v>316</v>
      </c>
    </row>
    <row r="21441">
      <c r="A21441" s="17"/>
      <c r="H21441" s="18"/>
      <c r="K21441" s="18" t="s">
        <v>316</v>
      </c>
    </row>
    <row r="21442">
      <c r="A21442" s="17"/>
      <c r="H21442" s="18"/>
      <c r="K21442" s="18" t="s">
        <v>316</v>
      </c>
    </row>
    <row r="21443">
      <c r="A21443" s="17"/>
      <c r="H21443" s="18"/>
      <c r="K21443" s="18" t="s">
        <v>316</v>
      </c>
    </row>
    <row r="21444">
      <c r="A21444" s="17"/>
      <c r="H21444" s="18"/>
      <c r="K21444" s="18" t="s">
        <v>316</v>
      </c>
    </row>
    <row r="21445">
      <c r="A21445" s="17"/>
      <c r="H21445" s="18"/>
      <c r="K21445" s="18" t="s">
        <v>316</v>
      </c>
    </row>
    <row r="21446">
      <c r="A21446" s="17"/>
      <c r="H21446" s="18"/>
      <c r="K21446" s="18" t="s">
        <v>316</v>
      </c>
    </row>
    <row r="21447">
      <c r="A21447" s="17"/>
      <c r="H21447" s="18"/>
      <c r="K21447" s="18" t="s">
        <v>316</v>
      </c>
    </row>
    <row r="21448">
      <c r="A21448" s="17"/>
      <c r="H21448" s="18"/>
      <c r="K21448" s="18" t="s">
        <v>316</v>
      </c>
    </row>
    <row r="21449">
      <c r="A21449" s="17"/>
      <c r="H21449" s="18"/>
      <c r="K21449" s="18" t="s">
        <v>316</v>
      </c>
    </row>
    <row r="21450">
      <c r="A21450" s="17"/>
      <c r="H21450" s="18"/>
      <c r="K21450" s="18" t="s">
        <v>316</v>
      </c>
    </row>
    <row r="21451">
      <c r="A21451" s="17"/>
      <c r="H21451" s="18"/>
      <c r="K21451" s="18" t="s">
        <v>316</v>
      </c>
    </row>
    <row r="21452">
      <c r="A21452" s="17"/>
      <c r="H21452" s="18"/>
      <c r="K21452" s="18" t="s">
        <v>316</v>
      </c>
    </row>
    <row r="21453">
      <c r="A21453" s="17"/>
      <c r="H21453" s="18"/>
      <c r="K21453" s="18" t="s">
        <v>316</v>
      </c>
    </row>
    <row r="21454">
      <c r="A21454" s="17"/>
      <c r="H21454" s="18"/>
      <c r="K21454" s="18" t="s">
        <v>316</v>
      </c>
    </row>
    <row r="21455">
      <c r="A21455" s="17"/>
      <c r="H21455" s="18"/>
      <c r="K21455" s="18" t="s">
        <v>316</v>
      </c>
    </row>
    <row r="21456">
      <c r="A21456" s="17"/>
      <c r="H21456" s="18"/>
      <c r="K21456" s="18" t="s">
        <v>316</v>
      </c>
    </row>
    <row r="21457">
      <c r="A21457" s="17"/>
      <c r="H21457" s="18"/>
      <c r="K21457" s="18" t="s">
        <v>316</v>
      </c>
    </row>
    <row r="21458">
      <c r="A21458" s="17"/>
      <c r="H21458" s="18"/>
      <c r="K21458" s="18" t="s">
        <v>316</v>
      </c>
    </row>
    <row r="21459">
      <c r="A21459" s="17"/>
      <c r="H21459" s="18"/>
      <c r="K21459" s="18" t="s">
        <v>316</v>
      </c>
    </row>
    <row r="21460">
      <c r="A21460" s="17"/>
      <c r="H21460" s="18"/>
      <c r="K21460" s="18" t="s">
        <v>316</v>
      </c>
    </row>
    <row r="21461">
      <c r="A21461" s="17"/>
      <c r="H21461" s="18"/>
      <c r="K21461" s="18" t="s">
        <v>316</v>
      </c>
    </row>
    <row r="21462">
      <c r="A21462" s="17"/>
      <c r="H21462" s="18"/>
      <c r="K21462" s="18" t="s">
        <v>316</v>
      </c>
    </row>
    <row r="21463">
      <c r="A21463" s="17"/>
      <c r="H21463" s="18"/>
      <c r="K21463" s="18" t="s">
        <v>316</v>
      </c>
    </row>
    <row r="21464">
      <c r="A21464" s="17"/>
      <c r="H21464" s="18"/>
      <c r="K21464" s="18" t="s">
        <v>316</v>
      </c>
    </row>
    <row r="21465">
      <c r="A21465" s="17"/>
      <c r="H21465" s="18"/>
      <c r="K21465" s="18" t="s">
        <v>316</v>
      </c>
    </row>
    <row r="21466">
      <c r="A21466" s="17"/>
      <c r="H21466" s="18"/>
      <c r="K21466" s="18" t="s">
        <v>316</v>
      </c>
    </row>
    <row r="21467">
      <c r="A21467" s="17"/>
      <c r="H21467" s="18"/>
      <c r="K21467" s="18" t="s">
        <v>316</v>
      </c>
    </row>
    <row r="21468">
      <c r="A21468" s="17"/>
      <c r="H21468" s="18"/>
      <c r="K21468" s="18" t="s">
        <v>316</v>
      </c>
    </row>
    <row r="21469">
      <c r="A21469" s="17"/>
      <c r="H21469" s="18"/>
      <c r="K21469" s="18" t="s">
        <v>316</v>
      </c>
    </row>
    <row r="21470">
      <c r="A21470" s="17"/>
      <c r="H21470" s="18"/>
      <c r="K21470" s="18" t="s">
        <v>316</v>
      </c>
    </row>
    <row r="21471">
      <c r="A21471" s="17"/>
      <c r="H21471" s="18"/>
      <c r="K21471" s="18" t="s">
        <v>316</v>
      </c>
    </row>
    <row r="21472">
      <c r="A21472" s="17"/>
      <c r="H21472" s="18"/>
      <c r="K21472" s="18" t="s">
        <v>316</v>
      </c>
    </row>
    <row r="21473">
      <c r="A21473" s="17"/>
      <c r="H21473" s="18"/>
      <c r="K21473" s="18" t="s">
        <v>316</v>
      </c>
    </row>
    <row r="21474">
      <c r="A21474" s="17"/>
      <c r="H21474" s="18"/>
      <c r="K21474" s="18" t="s">
        <v>316</v>
      </c>
    </row>
    <row r="21475">
      <c r="A21475" s="17"/>
      <c r="H21475" s="18"/>
      <c r="K21475" s="18" t="s">
        <v>316</v>
      </c>
    </row>
    <row r="21476">
      <c r="A21476" s="17"/>
      <c r="H21476" s="18"/>
      <c r="K21476" s="18" t="s">
        <v>316</v>
      </c>
    </row>
    <row r="21477">
      <c r="A21477" s="17"/>
      <c r="H21477" s="18"/>
      <c r="K21477" s="18" t="s">
        <v>316</v>
      </c>
    </row>
    <row r="21478">
      <c r="A21478" s="17"/>
      <c r="H21478" s="18"/>
      <c r="K21478" s="18" t="s">
        <v>316</v>
      </c>
    </row>
    <row r="21479">
      <c r="A21479" s="17"/>
      <c r="H21479" s="18"/>
      <c r="K21479" s="18" t="s">
        <v>316</v>
      </c>
    </row>
    <row r="21480">
      <c r="A21480" s="17"/>
      <c r="H21480" s="18"/>
      <c r="K21480" s="18" t="s">
        <v>316</v>
      </c>
    </row>
    <row r="21481">
      <c r="A21481" s="17"/>
      <c r="H21481" s="18"/>
      <c r="K21481" s="18" t="s">
        <v>316</v>
      </c>
    </row>
    <row r="21482">
      <c r="A21482" s="17"/>
      <c r="H21482" s="18"/>
      <c r="K21482" s="18" t="s">
        <v>316</v>
      </c>
    </row>
    <row r="21483">
      <c r="A21483" s="17"/>
      <c r="H21483" s="18"/>
      <c r="K21483" s="18" t="s">
        <v>316</v>
      </c>
    </row>
    <row r="21484">
      <c r="A21484" s="17"/>
      <c r="H21484" s="18"/>
      <c r="K21484" s="18" t="s">
        <v>316</v>
      </c>
    </row>
    <row r="21485">
      <c r="A21485" s="17"/>
      <c r="H21485" s="18"/>
      <c r="K21485" s="18" t="s">
        <v>316</v>
      </c>
    </row>
    <row r="21486">
      <c r="A21486" s="17"/>
      <c r="H21486" s="18"/>
      <c r="K21486" s="18" t="s">
        <v>316</v>
      </c>
    </row>
    <row r="21487">
      <c r="A21487" s="17"/>
      <c r="H21487" s="18"/>
      <c r="K21487" s="18" t="s">
        <v>316</v>
      </c>
    </row>
    <row r="21488">
      <c r="A21488" s="17"/>
      <c r="H21488" s="18"/>
      <c r="K21488" s="18" t="s">
        <v>316</v>
      </c>
    </row>
    <row r="21489">
      <c r="A21489" s="17"/>
      <c r="H21489" s="18"/>
      <c r="K21489" s="18" t="s">
        <v>316</v>
      </c>
    </row>
    <row r="21490">
      <c r="A21490" s="17"/>
      <c r="H21490" s="18"/>
      <c r="K21490" s="18" t="s">
        <v>316</v>
      </c>
    </row>
    <row r="21491">
      <c r="A21491" s="17"/>
      <c r="H21491" s="18"/>
      <c r="K21491" s="18" t="s">
        <v>316</v>
      </c>
    </row>
    <row r="21492">
      <c r="A21492" s="17"/>
      <c r="H21492" s="18"/>
      <c r="K21492" s="18" t="s">
        <v>316</v>
      </c>
    </row>
    <row r="21493">
      <c r="A21493" s="17"/>
      <c r="H21493" s="18"/>
      <c r="K21493" s="18" t="s">
        <v>316</v>
      </c>
    </row>
    <row r="21494">
      <c r="A21494" s="17"/>
      <c r="H21494" s="18"/>
      <c r="K21494" s="18" t="s">
        <v>316</v>
      </c>
    </row>
    <row r="21495">
      <c r="A21495" s="17"/>
      <c r="H21495" s="18"/>
      <c r="K21495" s="18" t="s">
        <v>316</v>
      </c>
    </row>
    <row r="21496">
      <c r="A21496" s="17"/>
      <c r="H21496" s="18"/>
      <c r="K21496" s="18" t="s">
        <v>316</v>
      </c>
    </row>
    <row r="21497">
      <c r="A21497" s="17"/>
      <c r="H21497" s="18"/>
      <c r="K21497" s="18" t="s">
        <v>316</v>
      </c>
    </row>
    <row r="21498">
      <c r="A21498" s="17"/>
      <c r="H21498" s="18"/>
      <c r="K21498" s="18" t="s">
        <v>316</v>
      </c>
    </row>
    <row r="21499">
      <c r="A21499" s="17"/>
      <c r="H21499" s="18"/>
      <c r="K21499" s="18" t="s">
        <v>316</v>
      </c>
    </row>
    <row r="21500">
      <c r="A21500" s="17"/>
      <c r="H21500" s="18"/>
      <c r="K21500" s="18" t="s">
        <v>316</v>
      </c>
    </row>
    <row r="21501">
      <c r="A21501" s="17"/>
      <c r="H21501" s="18"/>
      <c r="K21501" s="18" t="s">
        <v>316</v>
      </c>
    </row>
    <row r="21502">
      <c r="A21502" s="17"/>
      <c r="H21502" s="18"/>
      <c r="K21502" s="18" t="s">
        <v>316</v>
      </c>
    </row>
    <row r="21503">
      <c r="A21503" s="17"/>
      <c r="H21503" s="18"/>
      <c r="K21503" s="18" t="s">
        <v>316</v>
      </c>
    </row>
    <row r="21504">
      <c r="A21504" s="17"/>
      <c r="H21504" s="18"/>
      <c r="K21504" s="18" t="s">
        <v>316</v>
      </c>
    </row>
    <row r="21505">
      <c r="A21505" s="17"/>
      <c r="H21505" s="18"/>
      <c r="K21505" s="18" t="s">
        <v>316</v>
      </c>
    </row>
    <row r="21506">
      <c r="A21506" s="17"/>
      <c r="H21506" s="18"/>
      <c r="K21506" s="18" t="s">
        <v>316</v>
      </c>
    </row>
    <row r="21507">
      <c r="A21507" s="17"/>
      <c r="H21507" s="18"/>
      <c r="K21507" s="18" t="s">
        <v>316</v>
      </c>
    </row>
    <row r="21508">
      <c r="A21508" s="17"/>
      <c r="H21508" s="18"/>
      <c r="K21508" s="18" t="s">
        <v>316</v>
      </c>
    </row>
    <row r="21509">
      <c r="A21509" s="17"/>
      <c r="H21509" s="18"/>
      <c r="K21509" s="18" t="s">
        <v>316</v>
      </c>
    </row>
    <row r="21510">
      <c r="A21510" s="17"/>
      <c r="H21510" s="18"/>
      <c r="K21510" s="18" t="s">
        <v>316</v>
      </c>
    </row>
    <row r="21511">
      <c r="A21511" s="17"/>
      <c r="H21511" s="18"/>
      <c r="K21511" s="18" t="s">
        <v>316</v>
      </c>
    </row>
    <row r="21512">
      <c r="A21512" s="17"/>
      <c r="H21512" s="18"/>
      <c r="K21512" s="18" t="s">
        <v>316</v>
      </c>
    </row>
    <row r="21513">
      <c r="A21513" s="17"/>
      <c r="H21513" s="18"/>
      <c r="K21513" s="18" t="s">
        <v>316</v>
      </c>
    </row>
    <row r="21514">
      <c r="A21514" s="17"/>
      <c r="H21514" s="18"/>
      <c r="K21514" s="18" t="s">
        <v>316</v>
      </c>
    </row>
    <row r="21515">
      <c r="A21515" s="17"/>
      <c r="H21515" s="18"/>
      <c r="K21515" s="18" t="s">
        <v>316</v>
      </c>
    </row>
    <row r="21516">
      <c r="A21516" s="17"/>
      <c r="H21516" s="18"/>
      <c r="K21516" s="18" t="s">
        <v>316</v>
      </c>
    </row>
    <row r="21517">
      <c r="A21517" s="17"/>
      <c r="H21517" s="18"/>
      <c r="K21517" s="18" t="s">
        <v>316</v>
      </c>
    </row>
    <row r="21518">
      <c r="A21518" s="17"/>
      <c r="H21518" s="18"/>
      <c r="K21518" s="18" t="s">
        <v>316</v>
      </c>
    </row>
    <row r="21519">
      <c r="A21519" s="17"/>
      <c r="H21519" s="18"/>
      <c r="K21519" s="18" t="s">
        <v>316</v>
      </c>
    </row>
    <row r="21520">
      <c r="A21520" s="17"/>
      <c r="H21520" s="18"/>
      <c r="K21520" s="18" t="s">
        <v>316</v>
      </c>
    </row>
    <row r="21521">
      <c r="A21521" s="17"/>
      <c r="H21521" s="18"/>
      <c r="K21521" s="18" t="s">
        <v>316</v>
      </c>
    </row>
    <row r="21522">
      <c r="A21522" s="17"/>
      <c r="H21522" s="18"/>
      <c r="K21522" s="18" t="s">
        <v>316</v>
      </c>
    </row>
    <row r="21523">
      <c r="A21523" s="17"/>
      <c r="H21523" s="18"/>
      <c r="K21523" s="18" t="s">
        <v>316</v>
      </c>
    </row>
    <row r="21524">
      <c r="A21524" s="17"/>
      <c r="H21524" s="18"/>
      <c r="K21524" s="18" t="s">
        <v>316</v>
      </c>
    </row>
    <row r="21525">
      <c r="A21525" s="17"/>
      <c r="H21525" s="18"/>
      <c r="K21525" s="18" t="s">
        <v>316</v>
      </c>
    </row>
    <row r="21526">
      <c r="A21526" s="17"/>
      <c r="H21526" s="18"/>
      <c r="K21526" s="18" t="s">
        <v>316</v>
      </c>
    </row>
    <row r="21527">
      <c r="A21527" s="17"/>
      <c r="H21527" s="18"/>
      <c r="K21527" s="18" t="s">
        <v>316</v>
      </c>
    </row>
    <row r="21528">
      <c r="A21528" s="17"/>
      <c r="H21528" s="18"/>
      <c r="K21528" s="18" t="s">
        <v>316</v>
      </c>
    </row>
    <row r="21529">
      <c r="A21529" s="17"/>
      <c r="H21529" s="18"/>
      <c r="K21529" s="18" t="s">
        <v>316</v>
      </c>
    </row>
    <row r="21530">
      <c r="A21530" s="17"/>
      <c r="H21530" s="18"/>
      <c r="K21530" s="18" t="s">
        <v>316</v>
      </c>
    </row>
    <row r="21531">
      <c r="A21531" s="17"/>
      <c r="H21531" s="18"/>
      <c r="K21531" s="18" t="s">
        <v>316</v>
      </c>
    </row>
    <row r="21532">
      <c r="A21532" s="17"/>
      <c r="H21532" s="18"/>
      <c r="K21532" s="18" t="s">
        <v>316</v>
      </c>
    </row>
    <row r="21533">
      <c r="A21533" s="17"/>
      <c r="H21533" s="18"/>
      <c r="K21533" s="18" t="s">
        <v>316</v>
      </c>
    </row>
    <row r="21534">
      <c r="A21534" s="17"/>
      <c r="H21534" s="18"/>
      <c r="K21534" s="18" t="s">
        <v>316</v>
      </c>
    </row>
    <row r="21535">
      <c r="A21535" s="17"/>
      <c r="H21535" s="18"/>
      <c r="K21535" s="18" t="s">
        <v>316</v>
      </c>
    </row>
    <row r="21536">
      <c r="A21536" s="17"/>
      <c r="H21536" s="18"/>
      <c r="K21536" s="18" t="s">
        <v>316</v>
      </c>
    </row>
    <row r="21537">
      <c r="A21537" s="17"/>
      <c r="H21537" s="18"/>
      <c r="K21537" s="18" t="s">
        <v>316</v>
      </c>
    </row>
    <row r="21538">
      <c r="A21538" s="17"/>
      <c r="H21538" s="18"/>
      <c r="K21538" s="18" t="s">
        <v>316</v>
      </c>
    </row>
    <row r="21539">
      <c r="A21539" s="17"/>
      <c r="H21539" s="18"/>
      <c r="K21539" s="18" t="s">
        <v>316</v>
      </c>
    </row>
    <row r="21540">
      <c r="A21540" s="17"/>
      <c r="H21540" s="18"/>
      <c r="K21540" s="18" t="s">
        <v>316</v>
      </c>
    </row>
    <row r="21541">
      <c r="A21541" s="17"/>
      <c r="H21541" s="18"/>
      <c r="K21541" s="18" t="s">
        <v>316</v>
      </c>
    </row>
    <row r="21542">
      <c r="A21542" s="17"/>
      <c r="H21542" s="18"/>
      <c r="K21542" s="18" t="s">
        <v>316</v>
      </c>
    </row>
    <row r="21543">
      <c r="A21543" s="17"/>
      <c r="H21543" s="18"/>
      <c r="K21543" s="18" t="s">
        <v>316</v>
      </c>
    </row>
    <row r="21544">
      <c r="A21544" s="17"/>
      <c r="H21544" s="18"/>
      <c r="K21544" s="18" t="s">
        <v>316</v>
      </c>
    </row>
    <row r="21545">
      <c r="A21545" s="17"/>
      <c r="H21545" s="18"/>
      <c r="K21545" s="18" t="s">
        <v>316</v>
      </c>
    </row>
    <row r="21546">
      <c r="A21546" s="17"/>
      <c r="H21546" s="18"/>
      <c r="K21546" s="18" t="s">
        <v>316</v>
      </c>
    </row>
    <row r="21547">
      <c r="A21547" s="17"/>
      <c r="H21547" s="18"/>
      <c r="K21547" s="18" t="s">
        <v>316</v>
      </c>
    </row>
    <row r="21548">
      <c r="A21548" s="17"/>
      <c r="H21548" s="18"/>
      <c r="K21548" s="18" t="s">
        <v>316</v>
      </c>
    </row>
    <row r="21549">
      <c r="A21549" s="17"/>
      <c r="H21549" s="18"/>
      <c r="K21549" s="18" t="s">
        <v>316</v>
      </c>
    </row>
    <row r="21550">
      <c r="A21550" s="17"/>
      <c r="H21550" s="18"/>
      <c r="K21550" s="18" t="s">
        <v>316</v>
      </c>
    </row>
    <row r="21551">
      <c r="A21551" s="17"/>
      <c r="H21551" s="18"/>
      <c r="K21551" s="18" t="s">
        <v>316</v>
      </c>
    </row>
    <row r="21552">
      <c r="A21552" s="17"/>
      <c r="H21552" s="18"/>
      <c r="K21552" s="18" t="s">
        <v>316</v>
      </c>
    </row>
    <row r="21553">
      <c r="A21553" s="17"/>
      <c r="H21553" s="18"/>
      <c r="K21553" s="18" t="s">
        <v>316</v>
      </c>
    </row>
    <row r="21554">
      <c r="A21554" s="17"/>
      <c r="H21554" s="18"/>
      <c r="K21554" s="18" t="s">
        <v>316</v>
      </c>
    </row>
    <row r="21555">
      <c r="A21555" s="17"/>
      <c r="H21555" s="18"/>
      <c r="K21555" s="18" t="s">
        <v>316</v>
      </c>
    </row>
    <row r="21556">
      <c r="A21556" s="17"/>
      <c r="H21556" s="18"/>
      <c r="K21556" s="18" t="s">
        <v>316</v>
      </c>
    </row>
    <row r="21557">
      <c r="A21557" s="17"/>
      <c r="H21557" s="18"/>
      <c r="K21557" s="18" t="s">
        <v>316</v>
      </c>
    </row>
    <row r="21558">
      <c r="A21558" s="17"/>
      <c r="H21558" s="18"/>
      <c r="K21558" s="18" t="s">
        <v>316</v>
      </c>
    </row>
    <row r="21559">
      <c r="A21559" s="17"/>
      <c r="H21559" s="18"/>
      <c r="K21559" s="18" t="s">
        <v>316</v>
      </c>
    </row>
    <row r="21560">
      <c r="A21560" s="17"/>
      <c r="H21560" s="18"/>
      <c r="K21560" s="18" t="s">
        <v>316</v>
      </c>
    </row>
    <row r="21561">
      <c r="A21561" s="17"/>
      <c r="H21561" s="18"/>
      <c r="K21561" s="18" t="s">
        <v>316</v>
      </c>
    </row>
    <row r="21562">
      <c r="A21562" s="17"/>
      <c r="H21562" s="18"/>
      <c r="K21562" s="18" t="s">
        <v>316</v>
      </c>
    </row>
    <row r="21563">
      <c r="A21563" s="17"/>
      <c r="H21563" s="18"/>
      <c r="K21563" s="18" t="s">
        <v>316</v>
      </c>
    </row>
    <row r="21564">
      <c r="A21564" s="17"/>
      <c r="H21564" s="18"/>
      <c r="K21564" s="18" t="s">
        <v>316</v>
      </c>
    </row>
    <row r="21565">
      <c r="A21565" s="17"/>
      <c r="H21565" s="18"/>
      <c r="K21565" s="18" t="s">
        <v>316</v>
      </c>
    </row>
    <row r="21566">
      <c r="A21566" s="17"/>
      <c r="H21566" s="18"/>
      <c r="K21566" s="18" t="s">
        <v>316</v>
      </c>
    </row>
    <row r="21567">
      <c r="A21567" s="17"/>
      <c r="H21567" s="18"/>
      <c r="K21567" s="18" t="s">
        <v>316</v>
      </c>
    </row>
    <row r="21568">
      <c r="A21568" s="17"/>
      <c r="H21568" s="18"/>
      <c r="K21568" s="18" t="s">
        <v>316</v>
      </c>
    </row>
    <row r="21569">
      <c r="A21569" s="17"/>
      <c r="H21569" s="18"/>
      <c r="K21569" s="18" t="s">
        <v>316</v>
      </c>
    </row>
    <row r="21570">
      <c r="A21570" s="17"/>
      <c r="H21570" s="18"/>
      <c r="K21570" s="18" t="s">
        <v>316</v>
      </c>
    </row>
    <row r="21571">
      <c r="A21571" s="17"/>
      <c r="H21571" s="18"/>
      <c r="K21571" s="18" t="s">
        <v>316</v>
      </c>
    </row>
    <row r="21572">
      <c r="A21572" s="17"/>
      <c r="H21572" s="18"/>
      <c r="K21572" s="18" t="s">
        <v>316</v>
      </c>
    </row>
    <row r="21573">
      <c r="A21573" s="17"/>
      <c r="H21573" s="18"/>
      <c r="K21573" s="18" t="s">
        <v>316</v>
      </c>
    </row>
    <row r="21574">
      <c r="A21574" s="17"/>
      <c r="H21574" s="18"/>
      <c r="K21574" s="18" t="s">
        <v>316</v>
      </c>
    </row>
    <row r="21575">
      <c r="A21575" s="17"/>
      <c r="H21575" s="18"/>
      <c r="K21575" s="18" t="s">
        <v>316</v>
      </c>
    </row>
    <row r="21576">
      <c r="A21576" s="17"/>
      <c r="H21576" s="18"/>
      <c r="K21576" s="18" t="s">
        <v>316</v>
      </c>
    </row>
    <row r="21577">
      <c r="A21577" s="17"/>
      <c r="H21577" s="18"/>
      <c r="K21577" s="18" t="s">
        <v>316</v>
      </c>
    </row>
    <row r="21578">
      <c r="A21578" s="17"/>
      <c r="H21578" s="18"/>
      <c r="K21578" s="18" t="s">
        <v>316</v>
      </c>
    </row>
    <row r="21579">
      <c r="A21579" s="17"/>
      <c r="H21579" s="18"/>
      <c r="K21579" s="18" t="s">
        <v>316</v>
      </c>
    </row>
    <row r="21580">
      <c r="A21580" s="17"/>
      <c r="H21580" s="18"/>
      <c r="K21580" s="18" t="s">
        <v>316</v>
      </c>
    </row>
    <row r="21581">
      <c r="A21581" s="17"/>
      <c r="H21581" s="18"/>
      <c r="K21581" s="18" t="s">
        <v>316</v>
      </c>
    </row>
    <row r="21582">
      <c r="A21582" s="17"/>
      <c r="H21582" s="18"/>
      <c r="K21582" s="18" t="s">
        <v>316</v>
      </c>
    </row>
    <row r="21583">
      <c r="A21583" s="17"/>
      <c r="H21583" s="18"/>
      <c r="K21583" s="18" t="s">
        <v>316</v>
      </c>
    </row>
    <row r="21584">
      <c r="A21584" s="17"/>
      <c r="H21584" s="18"/>
      <c r="K21584" s="18" t="s">
        <v>316</v>
      </c>
    </row>
    <row r="21585">
      <c r="A21585" s="17"/>
      <c r="H21585" s="18"/>
      <c r="K21585" s="18" t="s">
        <v>316</v>
      </c>
    </row>
    <row r="21586">
      <c r="A21586" s="17"/>
      <c r="H21586" s="18"/>
      <c r="K21586" s="18" t="s">
        <v>316</v>
      </c>
    </row>
    <row r="21587">
      <c r="A21587" s="17"/>
      <c r="H21587" s="18"/>
      <c r="K21587" s="18" t="s">
        <v>316</v>
      </c>
    </row>
    <row r="21588">
      <c r="A21588" s="17"/>
      <c r="H21588" s="18"/>
      <c r="K21588" s="18" t="s">
        <v>316</v>
      </c>
    </row>
    <row r="21589">
      <c r="A21589" s="17"/>
      <c r="H21589" s="18"/>
      <c r="K21589" s="18" t="s">
        <v>316</v>
      </c>
    </row>
    <row r="21590">
      <c r="A21590" s="17"/>
      <c r="H21590" s="18"/>
      <c r="K21590" s="18" t="s">
        <v>316</v>
      </c>
    </row>
    <row r="21591">
      <c r="A21591" s="17"/>
      <c r="H21591" s="18"/>
      <c r="K21591" s="18" t="s">
        <v>316</v>
      </c>
    </row>
    <row r="21592">
      <c r="A21592" s="17"/>
      <c r="H21592" s="18"/>
      <c r="K21592" s="18" t="s">
        <v>316</v>
      </c>
    </row>
    <row r="21593">
      <c r="A21593" s="17"/>
      <c r="H21593" s="18"/>
      <c r="K21593" s="18" t="s">
        <v>316</v>
      </c>
    </row>
    <row r="21594">
      <c r="A21594" s="17"/>
      <c r="H21594" s="18"/>
      <c r="K21594" s="18" t="s">
        <v>316</v>
      </c>
    </row>
    <row r="21595">
      <c r="A21595" s="17"/>
      <c r="H21595" s="18"/>
      <c r="K21595" s="18" t="s">
        <v>316</v>
      </c>
    </row>
    <row r="21596">
      <c r="A21596" s="17"/>
      <c r="H21596" s="18"/>
      <c r="K21596" s="18" t="s">
        <v>316</v>
      </c>
    </row>
    <row r="21597">
      <c r="A21597" s="17"/>
      <c r="H21597" s="18"/>
      <c r="K21597" s="18" t="s">
        <v>316</v>
      </c>
    </row>
    <row r="21598">
      <c r="A21598" s="17"/>
      <c r="H21598" s="18"/>
      <c r="K21598" s="18" t="s">
        <v>316</v>
      </c>
    </row>
    <row r="21599">
      <c r="A21599" s="17"/>
      <c r="H21599" s="18"/>
      <c r="K21599" s="18" t="s">
        <v>316</v>
      </c>
    </row>
    <row r="21600">
      <c r="A21600" s="17"/>
      <c r="H21600" s="18"/>
      <c r="K21600" s="18" t="s">
        <v>316</v>
      </c>
    </row>
    <row r="21601">
      <c r="A21601" s="17"/>
      <c r="H21601" s="18"/>
      <c r="K21601" s="18" t="s">
        <v>316</v>
      </c>
    </row>
    <row r="21602">
      <c r="A21602" s="17"/>
      <c r="H21602" s="18"/>
      <c r="K21602" s="18" t="s">
        <v>316</v>
      </c>
    </row>
    <row r="21603">
      <c r="A21603" s="17"/>
      <c r="H21603" s="18"/>
      <c r="K21603" s="18" t="s">
        <v>316</v>
      </c>
    </row>
    <row r="21604">
      <c r="A21604" s="17"/>
      <c r="H21604" s="18"/>
      <c r="K21604" s="18" t="s">
        <v>316</v>
      </c>
    </row>
    <row r="21605">
      <c r="A21605" s="17"/>
      <c r="H21605" s="18"/>
      <c r="K21605" s="18" t="s">
        <v>316</v>
      </c>
    </row>
    <row r="21606">
      <c r="A21606" s="17"/>
      <c r="H21606" s="18"/>
      <c r="K21606" s="18" t="s">
        <v>316</v>
      </c>
    </row>
    <row r="21607">
      <c r="A21607" s="17"/>
      <c r="H21607" s="18"/>
      <c r="K21607" s="18" t="s">
        <v>316</v>
      </c>
    </row>
    <row r="21608">
      <c r="A21608" s="17"/>
      <c r="H21608" s="18"/>
      <c r="K21608" s="18" t="s">
        <v>316</v>
      </c>
    </row>
    <row r="21609">
      <c r="A21609" s="17"/>
      <c r="H21609" s="18"/>
      <c r="K21609" s="18" t="s">
        <v>316</v>
      </c>
    </row>
    <row r="21610">
      <c r="A21610" s="17"/>
      <c r="H21610" s="18"/>
      <c r="K21610" s="18" t="s">
        <v>316</v>
      </c>
    </row>
    <row r="21611">
      <c r="A21611" s="17"/>
      <c r="H21611" s="18"/>
      <c r="K21611" s="18" t="s">
        <v>316</v>
      </c>
    </row>
    <row r="21612">
      <c r="A21612" s="17"/>
      <c r="H21612" s="18"/>
      <c r="K21612" s="18" t="s">
        <v>316</v>
      </c>
    </row>
    <row r="21613">
      <c r="A21613" s="17"/>
      <c r="H21613" s="18"/>
      <c r="K21613" s="18" t="s">
        <v>316</v>
      </c>
    </row>
    <row r="21614">
      <c r="A21614" s="17"/>
      <c r="H21614" s="18"/>
      <c r="K21614" s="18" t="s">
        <v>316</v>
      </c>
    </row>
    <row r="21615">
      <c r="A21615" s="17"/>
      <c r="H21615" s="18"/>
      <c r="K21615" s="18" t="s">
        <v>316</v>
      </c>
    </row>
    <row r="21616">
      <c r="A21616" s="17"/>
      <c r="H21616" s="18"/>
      <c r="K21616" s="18" t="s">
        <v>316</v>
      </c>
    </row>
    <row r="21617">
      <c r="A21617" s="17"/>
      <c r="H21617" s="18"/>
      <c r="K21617" s="18" t="s">
        <v>316</v>
      </c>
    </row>
    <row r="21618">
      <c r="A21618" s="17"/>
      <c r="H21618" s="18"/>
      <c r="K21618" s="18" t="s">
        <v>316</v>
      </c>
    </row>
    <row r="21619">
      <c r="A21619" s="17"/>
      <c r="H21619" s="18"/>
      <c r="K21619" s="18" t="s">
        <v>316</v>
      </c>
    </row>
    <row r="21620">
      <c r="A21620" s="17"/>
      <c r="H21620" s="18"/>
      <c r="K21620" s="18" t="s">
        <v>316</v>
      </c>
    </row>
    <row r="21621">
      <c r="A21621" s="17"/>
      <c r="H21621" s="18"/>
      <c r="K21621" s="18" t="s">
        <v>316</v>
      </c>
    </row>
    <row r="21622">
      <c r="A21622" s="17"/>
      <c r="H21622" s="18"/>
      <c r="K21622" s="18" t="s">
        <v>316</v>
      </c>
    </row>
    <row r="21623">
      <c r="A21623" s="17"/>
      <c r="H21623" s="18"/>
      <c r="K21623" s="18" t="s">
        <v>316</v>
      </c>
    </row>
    <row r="21624">
      <c r="A21624" s="17"/>
      <c r="H21624" s="18"/>
      <c r="K21624" s="18" t="s">
        <v>316</v>
      </c>
    </row>
    <row r="21625">
      <c r="A21625" s="17"/>
      <c r="H21625" s="18"/>
      <c r="K21625" s="18" t="s">
        <v>316</v>
      </c>
    </row>
    <row r="21626">
      <c r="A21626" s="17"/>
      <c r="H21626" s="18"/>
      <c r="K21626" s="18" t="s">
        <v>316</v>
      </c>
    </row>
    <row r="21627">
      <c r="A21627" s="17"/>
      <c r="H21627" s="18"/>
      <c r="K21627" s="18" t="s">
        <v>316</v>
      </c>
    </row>
    <row r="21628">
      <c r="A21628" s="17"/>
      <c r="H21628" s="18"/>
      <c r="K21628" s="18" t="s">
        <v>316</v>
      </c>
    </row>
    <row r="21629">
      <c r="A21629" s="17"/>
      <c r="H21629" s="18"/>
      <c r="K21629" s="18" t="s">
        <v>316</v>
      </c>
    </row>
    <row r="21630">
      <c r="A21630" s="17"/>
      <c r="H21630" s="18"/>
      <c r="K21630" s="18" t="s">
        <v>316</v>
      </c>
    </row>
    <row r="21631">
      <c r="A21631" s="17"/>
      <c r="H21631" s="18"/>
      <c r="K21631" s="18" t="s">
        <v>316</v>
      </c>
    </row>
    <row r="21632">
      <c r="A21632" s="17"/>
      <c r="H21632" s="18"/>
      <c r="K21632" s="18" t="s">
        <v>316</v>
      </c>
    </row>
    <row r="21633">
      <c r="A21633" s="17"/>
      <c r="H21633" s="18"/>
      <c r="K21633" s="18" t="s">
        <v>316</v>
      </c>
    </row>
    <row r="21634">
      <c r="A21634" s="17"/>
      <c r="H21634" s="18"/>
      <c r="K21634" s="18" t="s">
        <v>316</v>
      </c>
    </row>
    <row r="21635">
      <c r="A21635" s="17"/>
      <c r="H21635" s="18"/>
      <c r="K21635" s="18" t="s">
        <v>316</v>
      </c>
    </row>
    <row r="21636">
      <c r="A21636" s="17"/>
      <c r="H21636" s="18"/>
      <c r="K21636" s="18" t="s">
        <v>316</v>
      </c>
    </row>
    <row r="21637">
      <c r="A21637" s="17"/>
      <c r="H21637" s="18"/>
      <c r="K21637" s="18" t="s">
        <v>316</v>
      </c>
    </row>
    <row r="21638">
      <c r="A21638" s="17"/>
      <c r="H21638" s="18"/>
      <c r="K21638" s="18" t="s">
        <v>316</v>
      </c>
    </row>
    <row r="21639">
      <c r="A21639" s="17"/>
      <c r="H21639" s="18"/>
      <c r="K21639" s="18" t="s">
        <v>316</v>
      </c>
    </row>
    <row r="21640">
      <c r="A21640" s="17"/>
      <c r="H21640" s="18"/>
      <c r="K21640" s="18" t="s">
        <v>316</v>
      </c>
    </row>
    <row r="21641">
      <c r="A21641" s="17"/>
      <c r="H21641" s="18"/>
      <c r="K21641" s="18" t="s">
        <v>316</v>
      </c>
    </row>
    <row r="21642">
      <c r="A21642" s="17"/>
      <c r="H21642" s="18"/>
      <c r="K21642" s="18" t="s">
        <v>316</v>
      </c>
    </row>
    <row r="21643">
      <c r="A21643" s="17"/>
      <c r="H21643" s="18"/>
      <c r="K21643" s="18" t="s">
        <v>316</v>
      </c>
    </row>
    <row r="21644">
      <c r="A21644" s="17"/>
      <c r="H21644" s="18"/>
      <c r="K21644" s="18" t="s">
        <v>316</v>
      </c>
    </row>
    <row r="21645">
      <c r="A21645" s="17"/>
      <c r="H21645" s="18"/>
      <c r="K21645" s="18" t="s">
        <v>316</v>
      </c>
    </row>
    <row r="21646">
      <c r="A21646" s="17"/>
      <c r="H21646" s="18"/>
      <c r="K21646" s="18" t="s">
        <v>316</v>
      </c>
    </row>
    <row r="21647">
      <c r="A21647" s="17"/>
      <c r="H21647" s="18"/>
      <c r="K21647" s="18" t="s">
        <v>316</v>
      </c>
    </row>
    <row r="21648">
      <c r="A21648" s="17"/>
      <c r="H21648" s="18"/>
      <c r="K21648" s="18" t="s">
        <v>316</v>
      </c>
    </row>
    <row r="21649">
      <c r="A21649" s="17"/>
      <c r="H21649" s="18"/>
      <c r="K21649" s="18" t="s">
        <v>316</v>
      </c>
    </row>
    <row r="21650">
      <c r="A21650" s="17"/>
      <c r="H21650" s="18"/>
      <c r="K21650" s="18" t="s">
        <v>316</v>
      </c>
    </row>
    <row r="21651">
      <c r="A21651" s="17"/>
      <c r="H21651" s="18"/>
      <c r="K21651" s="18" t="s">
        <v>316</v>
      </c>
    </row>
    <row r="21652">
      <c r="A21652" s="17"/>
      <c r="H21652" s="18"/>
      <c r="K21652" s="18" t="s">
        <v>316</v>
      </c>
    </row>
    <row r="21653">
      <c r="A21653" s="17"/>
      <c r="H21653" s="18"/>
      <c r="K21653" s="18" t="s">
        <v>316</v>
      </c>
    </row>
    <row r="21654">
      <c r="A21654" s="17"/>
      <c r="H21654" s="18"/>
      <c r="K21654" s="18" t="s">
        <v>316</v>
      </c>
    </row>
    <row r="21655">
      <c r="A21655" s="17"/>
      <c r="H21655" s="18"/>
      <c r="K21655" s="18" t="s">
        <v>316</v>
      </c>
    </row>
    <row r="21656">
      <c r="A21656" s="17"/>
      <c r="H21656" s="18"/>
      <c r="K21656" s="18" t="s">
        <v>316</v>
      </c>
    </row>
    <row r="21657">
      <c r="A21657" s="17"/>
      <c r="H21657" s="18"/>
      <c r="K21657" s="18" t="s">
        <v>316</v>
      </c>
    </row>
    <row r="21658">
      <c r="A21658" s="17"/>
      <c r="H21658" s="18"/>
      <c r="K21658" s="18" t="s">
        <v>316</v>
      </c>
    </row>
    <row r="21659">
      <c r="A21659" s="17"/>
      <c r="H21659" s="18"/>
      <c r="K21659" s="18" t="s">
        <v>316</v>
      </c>
    </row>
    <row r="21660">
      <c r="A21660" s="17"/>
      <c r="H21660" s="18"/>
      <c r="K21660" s="18" t="s">
        <v>316</v>
      </c>
    </row>
    <row r="21661">
      <c r="A21661" s="17"/>
      <c r="H21661" s="18"/>
      <c r="K21661" s="18" t="s">
        <v>316</v>
      </c>
    </row>
    <row r="21662">
      <c r="A21662" s="17"/>
      <c r="H21662" s="18"/>
      <c r="K21662" s="18" t="s">
        <v>316</v>
      </c>
    </row>
    <row r="21663">
      <c r="A21663" s="17"/>
      <c r="H21663" s="18"/>
      <c r="K21663" s="18" t="s">
        <v>316</v>
      </c>
    </row>
    <row r="21664">
      <c r="A21664" s="17"/>
      <c r="H21664" s="18"/>
      <c r="K21664" s="18" t="s">
        <v>316</v>
      </c>
    </row>
    <row r="21665">
      <c r="A21665" s="17"/>
      <c r="H21665" s="18"/>
      <c r="K21665" s="18" t="s">
        <v>316</v>
      </c>
    </row>
    <row r="21666">
      <c r="A21666" s="17"/>
      <c r="H21666" s="18"/>
      <c r="K21666" s="18" t="s">
        <v>316</v>
      </c>
    </row>
    <row r="21667">
      <c r="A21667" s="17"/>
      <c r="H21667" s="18"/>
      <c r="K21667" s="18" t="s">
        <v>316</v>
      </c>
    </row>
    <row r="21668">
      <c r="A21668" s="17"/>
      <c r="H21668" s="18"/>
      <c r="K21668" s="18" t="s">
        <v>316</v>
      </c>
    </row>
    <row r="21669">
      <c r="A21669" s="17"/>
      <c r="H21669" s="18"/>
      <c r="K21669" s="18" t="s">
        <v>316</v>
      </c>
    </row>
    <row r="21670">
      <c r="A21670" s="17"/>
      <c r="H21670" s="18"/>
      <c r="K21670" s="18" t="s">
        <v>316</v>
      </c>
    </row>
    <row r="21671">
      <c r="A21671" s="17"/>
      <c r="H21671" s="18"/>
      <c r="K21671" s="18" t="s">
        <v>316</v>
      </c>
    </row>
    <row r="21672">
      <c r="A21672" s="17"/>
      <c r="H21672" s="18"/>
      <c r="K21672" s="18" t="s">
        <v>316</v>
      </c>
    </row>
    <row r="21673">
      <c r="A21673" s="17"/>
      <c r="H21673" s="18"/>
      <c r="K21673" s="18" t="s">
        <v>316</v>
      </c>
    </row>
    <row r="21674">
      <c r="A21674" s="17"/>
      <c r="H21674" s="18"/>
      <c r="K21674" s="18" t="s">
        <v>316</v>
      </c>
    </row>
    <row r="21675">
      <c r="A21675" s="17"/>
      <c r="H21675" s="18"/>
      <c r="K21675" s="18" t="s">
        <v>316</v>
      </c>
    </row>
    <row r="21676">
      <c r="A21676" s="17"/>
      <c r="H21676" s="18"/>
      <c r="K21676" s="18" t="s">
        <v>316</v>
      </c>
    </row>
    <row r="21677">
      <c r="A21677" s="17"/>
      <c r="H21677" s="18"/>
      <c r="K21677" s="18" t="s">
        <v>316</v>
      </c>
    </row>
    <row r="21678">
      <c r="A21678" s="17"/>
      <c r="H21678" s="18"/>
      <c r="K21678" s="18" t="s">
        <v>316</v>
      </c>
    </row>
    <row r="21679">
      <c r="A21679" s="17"/>
      <c r="H21679" s="18"/>
      <c r="K21679" s="18" t="s">
        <v>316</v>
      </c>
    </row>
    <row r="21680">
      <c r="A21680" s="17"/>
      <c r="H21680" s="18"/>
      <c r="K21680" s="18" t="s">
        <v>316</v>
      </c>
    </row>
    <row r="21681">
      <c r="A21681" s="17"/>
      <c r="H21681" s="18"/>
      <c r="K21681" s="18" t="s">
        <v>316</v>
      </c>
    </row>
    <row r="21682">
      <c r="A21682" s="17"/>
      <c r="H21682" s="18"/>
      <c r="K21682" s="18" t="s">
        <v>316</v>
      </c>
    </row>
    <row r="21683">
      <c r="A21683" s="17"/>
      <c r="H21683" s="18"/>
      <c r="K21683" s="18" t="s">
        <v>316</v>
      </c>
    </row>
    <row r="21684">
      <c r="A21684" s="17"/>
      <c r="H21684" s="18"/>
      <c r="K21684" s="18" t="s">
        <v>316</v>
      </c>
    </row>
    <row r="21685">
      <c r="A21685" s="17"/>
      <c r="H21685" s="18"/>
      <c r="K21685" s="18" t="s">
        <v>316</v>
      </c>
    </row>
    <row r="21686">
      <c r="A21686" s="17"/>
      <c r="H21686" s="18"/>
      <c r="K21686" s="18" t="s">
        <v>316</v>
      </c>
    </row>
    <row r="21687">
      <c r="A21687" s="17"/>
      <c r="H21687" s="18"/>
      <c r="K21687" s="18" t="s">
        <v>316</v>
      </c>
    </row>
    <row r="21688">
      <c r="A21688" s="17"/>
      <c r="H21688" s="18"/>
      <c r="K21688" s="18" t="s">
        <v>316</v>
      </c>
    </row>
    <row r="21689">
      <c r="A21689" s="17"/>
      <c r="H21689" s="18"/>
      <c r="K21689" s="18" t="s">
        <v>316</v>
      </c>
    </row>
    <row r="21690">
      <c r="A21690" s="17"/>
      <c r="H21690" s="18"/>
      <c r="K21690" s="18" t="s">
        <v>316</v>
      </c>
    </row>
    <row r="21691">
      <c r="A21691" s="17"/>
      <c r="H21691" s="18"/>
      <c r="K21691" s="18" t="s">
        <v>316</v>
      </c>
    </row>
    <row r="21692">
      <c r="A21692" s="17"/>
      <c r="H21692" s="18"/>
      <c r="K21692" s="18" t="s">
        <v>316</v>
      </c>
    </row>
    <row r="21693">
      <c r="A21693" s="17"/>
      <c r="H21693" s="18"/>
      <c r="K21693" s="18" t="s">
        <v>316</v>
      </c>
    </row>
    <row r="21694">
      <c r="A21694" s="17"/>
      <c r="H21694" s="18"/>
      <c r="K21694" s="18" t="s">
        <v>316</v>
      </c>
    </row>
    <row r="21695">
      <c r="A21695" s="17"/>
      <c r="H21695" s="18"/>
      <c r="K21695" s="18" t="s">
        <v>316</v>
      </c>
    </row>
    <row r="21696">
      <c r="A21696" s="17"/>
      <c r="H21696" s="18"/>
      <c r="K21696" s="18" t="s">
        <v>316</v>
      </c>
    </row>
    <row r="21697">
      <c r="A21697" s="17"/>
      <c r="H21697" s="18"/>
      <c r="K21697" s="18" t="s">
        <v>316</v>
      </c>
    </row>
    <row r="21698">
      <c r="A21698" s="17"/>
      <c r="H21698" s="18"/>
      <c r="K21698" s="18" t="s">
        <v>316</v>
      </c>
    </row>
    <row r="21699">
      <c r="A21699" s="17"/>
      <c r="H21699" s="18"/>
      <c r="K21699" s="18" t="s">
        <v>316</v>
      </c>
    </row>
    <row r="21700">
      <c r="A21700" s="17"/>
      <c r="H21700" s="18"/>
      <c r="K21700" s="18" t="s">
        <v>316</v>
      </c>
    </row>
    <row r="21701">
      <c r="A21701" s="17"/>
      <c r="H21701" s="18"/>
      <c r="K21701" s="18" t="s">
        <v>316</v>
      </c>
    </row>
    <row r="21702">
      <c r="A21702" s="17"/>
      <c r="H21702" s="18"/>
      <c r="K21702" s="18" t="s">
        <v>316</v>
      </c>
    </row>
    <row r="21703">
      <c r="A21703" s="17"/>
      <c r="H21703" s="18"/>
      <c r="K21703" s="18" t="s">
        <v>316</v>
      </c>
    </row>
    <row r="21704">
      <c r="A21704" s="17"/>
      <c r="H21704" s="18"/>
      <c r="K21704" s="18" t="s">
        <v>316</v>
      </c>
    </row>
    <row r="21705">
      <c r="A21705" s="17"/>
      <c r="H21705" s="18"/>
      <c r="K21705" s="18" t="s">
        <v>316</v>
      </c>
    </row>
    <row r="21706">
      <c r="A21706" s="17"/>
      <c r="H21706" s="18"/>
      <c r="K21706" s="18" t="s">
        <v>316</v>
      </c>
    </row>
    <row r="21707">
      <c r="A21707" s="17"/>
      <c r="H21707" s="18"/>
      <c r="K21707" s="18" t="s">
        <v>316</v>
      </c>
    </row>
    <row r="21708">
      <c r="A21708" s="17"/>
      <c r="H21708" s="18"/>
      <c r="K21708" s="18" t="s">
        <v>316</v>
      </c>
    </row>
    <row r="21709">
      <c r="A21709" s="17"/>
      <c r="H21709" s="18"/>
      <c r="K21709" s="18" t="s">
        <v>316</v>
      </c>
    </row>
    <row r="21710">
      <c r="A21710" s="17"/>
      <c r="H21710" s="18"/>
      <c r="K21710" s="18" t="s">
        <v>316</v>
      </c>
    </row>
    <row r="21711">
      <c r="A21711" s="17"/>
      <c r="H21711" s="18"/>
      <c r="K21711" s="18" t="s">
        <v>316</v>
      </c>
    </row>
    <row r="21712">
      <c r="A21712" s="17"/>
      <c r="H21712" s="18"/>
      <c r="K21712" s="18" t="s">
        <v>316</v>
      </c>
    </row>
    <row r="21713">
      <c r="A21713" s="17"/>
      <c r="H21713" s="18"/>
      <c r="K21713" s="18" t="s">
        <v>316</v>
      </c>
    </row>
    <row r="21714">
      <c r="A21714" s="17"/>
      <c r="H21714" s="18"/>
      <c r="K21714" s="18" t="s">
        <v>316</v>
      </c>
    </row>
    <row r="21715">
      <c r="A21715" s="17"/>
      <c r="H21715" s="18"/>
      <c r="K21715" s="18" t="s">
        <v>316</v>
      </c>
    </row>
    <row r="21716">
      <c r="A21716" s="17"/>
      <c r="H21716" s="18"/>
      <c r="K21716" s="18" t="s">
        <v>316</v>
      </c>
    </row>
    <row r="21717">
      <c r="A21717" s="17"/>
      <c r="H21717" s="18"/>
      <c r="K21717" s="18" t="s">
        <v>316</v>
      </c>
    </row>
    <row r="21718">
      <c r="A21718" s="17"/>
      <c r="H21718" s="18"/>
      <c r="K21718" s="18" t="s">
        <v>316</v>
      </c>
    </row>
    <row r="21719">
      <c r="A21719" s="17"/>
      <c r="H21719" s="18"/>
      <c r="K21719" s="18" t="s">
        <v>316</v>
      </c>
    </row>
    <row r="21720">
      <c r="A21720" s="17"/>
      <c r="H21720" s="18"/>
      <c r="K21720" s="18" t="s">
        <v>316</v>
      </c>
    </row>
    <row r="21721">
      <c r="A21721" s="17"/>
      <c r="H21721" s="18"/>
      <c r="K21721" s="18" t="s">
        <v>316</v>
      </c>
    </row>
    <row r="21722">
      <c r="A21722" s="17"/>
      <c r="H21722" s="18"/>
      <c r="K21722" s="18" t="s">
        <v>316</v>
      </c>
    </row>
    <row r="21723">
      <c r="A21723" s="17"/>
      <c r="H21723" s="18"/>
      <c r="K21723" s="18" t="s">
        <v>316</v>
      </c>
    </row>
    <row r="21724">
      <c r="A21724" s="17"/>
      <c r="H21724" s="18"/>
      <c r="K21724" s="18" t="s">
        <v>316</v>
      </c>
    </row>
    <row r="21725">
      <c r="A21725" s="17"/>
      <c r="H21725" s="18"/>
      <c r="K21725" s="18" t="s">
        <v>316</v>
      </c>
    </row>
    <row r="21726">
      <c r="A21726" s="17"/>
      <c r="H21726" s="18"/>
      <c r="K21726" s="18" t="s">
        <v>316</v>
      </c>
    </row>
    <row r="21727">
      <c r="A21727" s="17"/>
      <c r="H21727" s="18"/>
      <c r="K21727" s="18" t="s">
        <v>316</v>
      </c>
    </row>
    <row r="21728">
      <c r="A21728" s="17"/>
      <c r="H21728" s="18"/>
      <c r="K21728" s="18" t="s">
        <v>316</v>
      </c>
    </row>
    <row r="21729">
      <c r="A21729" s="17"/>
      <c r="H21729" s="18"/>
      <c r="K21729" s="18" t="s">
        <v>316</v>
      </c>
    </row>
    <row r="21730">
      <c r="A21730" s="17"/>
      <c r="H21730" s="18"/>
      <c r="K21730" s="18" t="s">
        <v>316</v>
      </c>
    </row>
    <row r="21731">
      <c r="A21731" s="17"/>
      <c r="H21731" s="18"/>
      <c r="K21731" s="18" t="s">
        <v>316</v>
      </c>
    </row>
    <row r="21732">
      <c r="A21732" s="17"/>
      <c r="H21732" s="18"/>
      <c r="K21732" s="18" t="s">
        <v>316</v>
      </c>
    </row>
    <row r="21733">
      <c r="A21733" s="17"/>
      <c r="H21733" s="18"/>
      <c r="K21733" s="18" t="s">
        <v>316</v>
      </c>
    </row>
    <row r="21734">
      <c r="A21734" s="17"/>
      <c r="H21734" s="18"/>
      <c r="K21734" s="18" t="s">
        <v>316</v>
      </c>
    </row>
    <row r="21735">
      <c r="A21735" s="17"/>
      <c r="H21735" s="18"/>
      <c r="K21735" s="18" t="s">
        <v>316</v>
      </c>
    </row>
    <row r="21736">
      <c r="A21736" s="17"/>
      <c r="H21736" s="18"/>
      <c r="K21736" s="18" t="s">
        <v>316</v>
      </c>
    </row>
    <row r="21737">
      <c r="A21737" s="17"/>
      <c r="H21737" s="18"/>
      <c r="K21737" s="18" t="s">
        <v>316</v>
      </c>
    </row>
    <row r="21738">
      <c r="A21738" s="17"/>
      <c r="H21738" s="18"/>
      <c r="K21738" s="18" t="s">
        <v>316</v>
      </c>
    </row>
    <row r="21739">
      <c r="A21739" s="17"/>
      <c r="H21739" s="18"/>
      <c r="K21739" s="18" t="s">
        <v>316</v>
      </c>
    </row>
    <row r="21740">
      <c r="A21740" s="17"/>
      <c r="H21740" s="18"/>
      <c r="K21740" s="18" t="s">
        <v>316</v>
      </c>
    </row>
    <row r="21741">
      <c r="A21741" s="17"/>
      <c r="H21741" s="18"/>
      <c r="K21741" s="18" t="s">
        <v>316</v>
      </c>
    </row>
    <row r="21742">
      <c r="A21742" s="17"/>
      <c r="H21742" s="18"/>
      <c r="K21742" s="18" t="s">
        <v>316</v>
      </c>
    </row>
    <row r="21743">
      <c r="A21743" s="17"/>
      <c r="H21743" s="18"/>
      <c r="K21743" s="18" t="s">
        <v>316</v>
      </c>
    </row>
    <row r="21744">
      <c r="A21744" s="17"/>
      <c r="H21744" s="18"/>
      <c r="K21744" s="18" t="s">
        <v>316</v>
      </c>
    </row>
    <row r="21745">
      <c r="A21745" s="17"/>
      <c r="H21745" s="18"/>
      <c r="K21745" s="18" t="s">
        <v>316</v>
      </c>
    </row>
    <row r="21746">
      <c r="A21746" s="17"/>
      <c r="H21746" s="18"/>
      <c r="K21746" s="18" t="s">
        <v>316</v>
      </c>
    </row>
    <row r="21747">
      <c r="A21747" s="17"/>
      <c r="H21747" s="18"/>
      <c r="K21747" s="18" t="s">
        <v>316</v>
      </c>
    </row>
    <row r="21748">
      <c r="A21748" s="17"/>
      <c r="H21748" s="18"/>
      <c r="K21748" s="18" t="s">
        <v>316</v>
      </c>
    </row>
    <row r="21749">
      <c r="A21749" s="17"/>
      <c r="H21749" s="18"/>
      <c r="K21749" s="18" t="s">
        <v>316</v>
      </c>
    </row>
    <row r="21750">
      <c r="A21750" s="17"/>
      <c r="H21750" s="18"/>
      <c r="K21750" s="18" t="s">
        <v>316</v>
      </c>
    </row>
    <row r="21751">
      <c r="A21751" s="17"/>
      <c r="H21751" s="18"/>
      <c r="K21751" s="18" t="s">
        <v>316</v>
      </c>
    </row>
    <row r="21752">
      <c r="A21752" s="17"/>
      <c r="H21752" s="18"/>
      <c r="K21752" s="18" t="s">
        <v>316</v>
      </c>
    </row>
    <row r="21753">
      <c r="A21753" s="17"/>
      <c r="H21753" s="18"/>
      <c r="K21753" s="18" t="s">
        <v>316</v>
      </c>
    </row>
    <row r="21754">
      <c r="A21754" s="17"/>
      <c r="H21754" s="18"/>
      <c r="K21754" s="18" t="s">
        <v>316</v>
      </c>
    </row>
    <row r="21755">
      <c r="A21755" s="17"/>
      <c r="H21755" s="18"/>
      <c r="K21755" s="18" t="s">
        <v>316</v>
      </c>
    </row>
    <row r="21756">
      <c r="A21756" s="17"/>
      <c r="H21756" s="18"/>
      <c r="K21756" s="18" t="s">
        <v>316</v>
      </c>
    </row>
    <row r="21757">
      <c r="A21757" s="17"/>
      <c r="H21757" s="18"/>
      <c r="K21757" s="18" t="s">
        <v>316</v>
      </c>
    </row>
    <row r="21758">
      <c r="A21758" s="17"/>
      <c r="H21758" s="18"/>
      <c r="K21758" s="18" t="s">
        <v>316</v>
      </c>
    </row>
    <row r="21759">
      <c r="A21759" s="17"/>
      <c r="H21759" s="18"/>
      <c r="K21759" s="18" t="s">
        <v>316</v>
      </c>
    </row>
    <row r="21760">
      <c r="A21760" s="17"/>
      <c r="H21760" s="18"/>
      <c r="K21760" s="18" t="s">
        <v>316</v>
      </c>
    </row>
    <row r="21761">
      <c r="A21761" s="17"/>
      <c r="H21761" s="18"/>
      <c r="K21761" s="18" t="s">
        <v>316</v>
      </c>
    </row>
    <row r="21762">
      <c r="A21762" s="17"/>
      <c r="H21762" s="18"/>
      <c r="K21762" s="18" t="s">
        <v>316</v>
      </c>
    </row>
    <row r="21763">
      <c r="A21763" s="17"/>
      <c r="H21763" s="18"/>
      <c r="K21763" s="18" t="s">
        <v>316</v>
      </c>
    </row>
    <row r="21764">
      <c r="A21764" s="17"/>
      <c r="H21764" s="18"/>
      <c r="K21764" s="18" t="s">
        <v>316</v>
      </c>
    </row>
    <row r="21765">
      <c r="A21765" s="17"/>
      <c r="H21765" s="18"/>
      <c r="K21765" s="18" t="s">
        <v>316</v>
      </c>
    </row>
    <row r="21766">
      <c r="A21766" s="17"/>
      <c r="H21766" s="18"/>
      <c r="K21766" s="18" t="s">
        <v>316</v>
      </c>
    </row>
    <row r="21767">
      <c r="A21767" s="17"/>
      <c r="H21767" s="18"/>
      <c r="K21767" s="18" t="s">
        <v>316</v>
      </c>
    </row>
    <row r="21768">
      <c r="A21768" s="17"/>
      <c r="H21768" s="18"/>
      <c r="K21768" s="18" t="s">
        <v>316</v>
      </c>
    </row>
    <row r="21769">
      <c r="A21769" s="17"/>
      <c r="H21769" s="18"/>
      <c r="K21769" s="18" t="s">
        <v>316</v>
      </c>
    </row>
    <row r="21770">
      <c r="A21770" s="17"/>
      <c r="H21770" s="18"/>
      <c r="K21770" s="18" t="s">
        <v>316</v>
      </c>
    </row>
    <row r="21771">
      <c r="A21771" s="17"/>
      <c r="H21771" s="18"/>
      <c r="K21771" s="18" t="s">
        <v>316</v>
      </c>
    </row>
    <row r="21772">
      <c r="A21772" s="17"/>
      <c r="H21772" s="18"/>
      <c r="K21772" s="18" t="s">
        <v>316</v>
      </c>
    </row>
    <row r="21773">
      <c r="A21773" s="17"/>
      <c r="H21773" s="18"/>
      <c r="K21773" s="18" t="s">
        <v>316</v>
      </c>
    </row>
    <row r="21774">
      <c r="A21774" s="17"/>
      <c r="H21774" s="18"/>
      <c r="K21774" s="18" t="s">
        <v>316</v>
      </c>
    </row>
    <row r="21775">
      <c r="A21775" s="17"/>
      <c r="H21775" s="18"/>
      <c r="K21775" s="18" t="s">
        <v>316</v>
      </c>
    </row>
    <row r="21776">
      <c r="A21776" s="17"/>
      <c r="H21776" s="18"/>
      <c r="K21776" s="18" t="s">
        <v>316</v>
      </c>
    </row>
    <row r="21777">
      <c r="A21777" s="17"/>
      <c r="H21777" s="18"/>
      <c r="K21777" s="18" t="s">
        <v>316</v>
      </c>
    </row>
    <row r="21778">
      <c r="A21778" s="17"/>
      <c r="H21778" s="18"/>
      <c r="K21778" s="18" t="s">
        <v>316</v>
      </c>
    </row>
    <row r="21779">
      <c r="A21779" s="17"/>
      <c r="H21779" s="18"/>
      <c r="K21779" s="18" t="s">
        <v>316</v>
      </c>
    </row>
    <row r="21780">
      <c r="A21780" s="17"/>
      <c r="H21780" s="18"/>
      <c r="K21780" s="18" t="s">
        <v>316</v>
      </c>
    </row>
    <row r="21781">
      <c r="A21781" s="17"/>
      <c r="H21781" s="18"/>
      <c r="K21781" s="18" t="s">
        <v>316</v>
      </c>
    </row>
    <row r="21782">
      <c r="A21782" s="17"/>
      <c r="H21782" s="18"/>
      <c r="K21782" s="18" t="s">
        <v>316</v>
      </c>
    </row>
    <row r="21783">
      <c r="A21783" s="17"/>
      <c r="H21783" s="18"/>
      <c r="K21783" s="18" t="s">
        <v>316</v>
      </c>
    </row>
    <row r="21784">
      <c r="A21784" s="17"/>
      <c r="H21784" s="18"/>
      <c r="K21784" s="18" t="s">
        <v>316</v>
      </c>
    </row>
    <row r="21785">
      <c r="A21785" s="17"/>
      <c r="H21785" s="18"/>
      <c r="K21785" s="18" t="s">
        <v>316</v>
      </c>
    </row>
    <row r="21786">
      <c r="A21786" s="17"/>
      <c r="H21786" s="18"/>
      <c r="K21786" s="18" t="s">
        <v>316</v>
      </c>
    </row>
    <row r="21787">
      <c r="A21787" s="17"/>
      <c r="H21787" s="18"/>
      <c r="K21787" s="18" t="s">
        <v>316</v>
      </c>
    </row>
    <row r="21788">
      <c r="A21788" s="17"/>
      <c r="H21788" s="18"/>
      <c r="K21788" s="18" t="s">
        <v>316</v>
      </c>
    </row>
    <row r="21789">
      <c r="A21789" s="17"/>
      <c r="H21789" s="18"/>
      <c r="K21789" s="18" t="s">
        <v>316</v>
      </c>
    </row>
    <row r="21790">
      <c r="A21790" s="17"/>
      <c r="H21790" s="18"/>
      <c r="K21790" s="18" t="s">
        <v>316</v>
      </c>
    </row>
    <row r="21791">
      <c r="A21791" s="17"/>
      <c r="H21791" s="18"/>
      <c r="K21791" s="18" t="s">
        <v>316</v>
      </c>
    </row>
    <row r="21792">
      <c r="A21792" s="17"/>
      <c r="H21792" s="18"/>
      <c r="K21792" s="18" t="s">
        <v>316</v>
      </c>
    </row>
    <row r="21793">
      <c r="A21793" s="17"/>
      <c r="H21793" s="18"/>
      <c r="K21793" s="18" t="s">
        <v>316</v>
      </c>
    </row>
    <row r="21794">
      <c r="A21794" s="17"/>
      <c r="H21794" s="18"/>
      <c r="K21794" s="18" t="s">
        <v>316</v>
      </c>
    </row>
    <row r="21795">
      <c r="A21795" s="17"/>
      <c r="H21795" s="18"/>
      <c r="K21795" s="18" t="s">
        <v>316</v>
      </c>
    </row>
    <row r="21796">
      <c r="A21796" s="17"/>
      <c r="H21796" s="18"/>
      <c r="K21796" s="18" t="s">
        <v>316</v>
      </c>
    </row>
    <row r="21797">
      <c r="A21797" s="17"/>
      <c r="H21797" s="18"/>
      <c r="K21797" s="18" t="s">
        <v>316</v>
      </c>
    </row>
    <row r="21798">
      <c r="A21798" s="17"/>
      <c r="H21798" s="18"/>
      <c r="K21798" s="18" t="s">
        <v>316</v>
      </c>
    </row>
    <row r="21799">
      <c r="A21799" s="17"/>
      <c r="H21799" s="18"/>
      <c r="K21799" s="18" t="s">
        <v>316</v>
      </c>
    </row>
    <row r="21800">
      <c r="A21800" s="17"/>
      <c r="H21800" s="18"/>
      <c r="K21800" s="18" t="s">
        <v>316</v>
      </c>
    </row>
    <row r="21801">
      <c r="A21801" s="17"/>
      <c r="H21801" s="18"/>
      <c r="K21801" s="18" t="s">
        <v>316</v>
      </c>
    </row>
    <row r="21802">
      <c r="A21802" s="17"/>
      <c r="H21802" s="18"/>
      <c r="K21802" s="18" t="s">
        <v>316</v>
      </c>
    </row>
    <row r="21803">
      <c r="A21803" s="17"/>
      <c r="H21803" s="18"/>
      <c r="K21803" s="18" t="s">
        <v>316</v>
      </c>
    </row>
    <row r="21804">
      <c r="A21804" s="17"/>
      <c r="H21804" s="18"/>
      <c r="K21804" s="18" t="s">
        <v>316</v>
      </c>
    </row>
    <row r="21805">
      <c r="A21805" s="17"/>
      <c r="H21805" s="18"/>
      <c r="K21805" s="18" t="s">
        <v>316</v>
      </c>
    </row>
    <row r="21806">
      <c r="A21806" s="17"/>
      <c r="H21806" s="18"/>
      <c r="K21806" s="18" t="s">
        <v>316</v>
      </c>
    </row>
    <row r="21807">
      <c r="A21807" s="17"/>
      <c r="H21807" s="18"/>
      <c r="K21807" s="18" t="s">
        <v>316</v>
      </c>
    </row>
    <row r="21808">
      <c r="A21808" s="17"/>
      <c r="H21808" s="18"/>
      <c r="K21808" s="18" t="s">
        <v>316</v>
      </c>
    </row>
    <row r="21809">
      <c r="A21809" s="17"/>
      <c r="H21809" s="18"/>
      <c r="K21809" s="18" t="s">
        <v>316</v>
      </c>
    </row>
    <row r="21810">
      <c r="A21810" s="17"/>
      <c r="H21810" s="18"/>
      <c r="K21810" s="18" t="s">
        <v>316</v>
      </c>
    </row>
    <row r="21811">
      <c r="A21811" s="17"/>
      <c r="H21811" s="18"/>
      <c r="K21811" s="18" t="s">
        <v>316</v>
      </c>
    </row>
    <row r="21812">
      <c r="A21812" s="17"/>
      <c r="H21812" s="18"/>
      <c r="K21812" s="18" t="s">
        <v>316</v>
      </c>
    </row>
    <row r="21813">
      <c r="A21813" s="17"/>
      <c r="H21813" s="18"/>
      <c r="K21813" s="18" t="s">
        <v>316</v>
      </c>
    </row>
    <row r="21814">
      <c r="A21814" s="17"/>
      <c r="H21814" s="18"/>
      <c r="K21814" s="18" t="s">
        <v>316</v>
      </c>
    </row>
    <row r="21815">
      <c r="A21815" s="17"/>
      <c r="H21815" s="18"/>
      <c r="K21815" s="18" t="s">
        <v>316</v>
      </c>
    </row>
    <row r="21816">
      <c r="A21816" s="17"/>
      <c r="H21816" s="18"/>
      <c r="K21816" s="18" t="s">
        <v>316</v>
      </c>
    </row>
    <row r="21817">
      <c r="A21817" s="17"/>
      <c r="H21817" s="18"/>
      <c r="K21817" s="18" t="s">
        <v>316</v>
      </c>
    </row>
    <row r="21818">
      <c r="A21818" s="17"/>
      <c r="H21818" s="18"/>
      <c r="K21818" s="18" t="s">
        <v>316</v>
      </c>
    </row>
    <row r="21819">
      <c r="A21819" s="17"/>
      <c r="H21819" s="18"/>
      <c r="K21819" s="18" t="s">
        <v>316</v>
      </c>
    </row>
    <row r="21820">
      <c r="A21820" s="17"/>
      <c r="H21820" s="18"/>
      <c r="K21820" s="18" t="s">
        <v>316</v>
      </c>
    </row>
    <row r="21821">
      <c r="A21821" s="17"/>
      <c r="H21821" s="18"/>
      <c r="K21821" s="18" t="s">
        <v>316</v>
      </c>
    </row>
    <row r="21822">
      <c r="A21822" s="17"/>
      <c r="H21822" s="18"/>
      <c r="K21822" s="18" t="s">
        <v>316</v>
      </c>
    </row>
    <row r="21823">
      <c r="A21823" s="17"/>
      <c r="H21823" s="18"/>
      <c r="K21823" s="18" t="s">
        <v>316</v>
      </c>
    </row>
    <row r="21824">
      <c r="A21824" s="17"/>
      <c r="H21824" s="18"/>
      <c r="K21824" s="18" t="s">
        <v>316</v>
      </c>
    </row>
    <row r="21825">
      <c r="A21825" s="17"/>
      <c r="H21825" s="18"/>
      <c r="K21825" s="18" t="s">
        <v>316</v>
      </c>
    </row>
    <row r="21826">
      <c r="A21826" s="17"/>
      <c r="H21826" s="18"/>
      <c r="K21826" s="18" t="s">
        <v>316</v>
      </c>
    </row>
    <row r="21827">
      <c r="A21827" s="17"/>
      <c r="H21827" s="18"/>
      <c r="K21827" s="18" t="s">
        <v>316</v>
      </c>
    </row>
    <row r="21828">
      <c r="A21828" s="17"/>
      <c r="H21828" s="18"/>
      <c r="K21828" s="18" t="s">
        <v>316</v>
      </c>
    </row>
    <row r="21829">
      <c r="A21829" s="17"/>
      <c r="H21829" s="18"/>
      <c r="K21829" s="18" t="s">
        <v>316</v>
      </c>
    </row>
    <row r="21830">
      <c r="A21830" s="17"/>
      <c r="H21830" s="18"/>
      <c r="K21830" s="18" t="s">
        <v>316</v>
      </c>
    </row>
    <row r="21831">
      <c r="A21831" s="17"/>
      <c r="H21831" s="18"/>
      <c r="K21831" s="18" t="s">
        <v>316</v>
      </c>
    </row>
    <row r="21832">
      <c r="A21832" s="17"/>
      <c r="H21832" s="18"/>
      <c r="K21832" s="18" t="s">
        <v>316</v>
      </c>
    </row>
    <row r="21833">
      <c r="A21833" s="17"/>
      <c r="H21833" s="18"/>
      <c r="K21833" s="18" t="s">
        <v>316</v>
      </c>
    </row>
    <row r="21834">
      <c r="A21834" s="17"/>
      <c r="H21834" s="18"/>
      <c r="K21834" s="18" t="s">
        <v>316</v>
      </c>
    </row>
    <row r="21835">
      <c r="A21835" s="17"/>
      <c r="H21835" s="18"/>
      <c r="K21835" s="18" t="s">
        <v>316</v>
      </c>
    </row>
    <row r="21836">
      <c r="A21836" s="17"/>
      <c r="H21836" s="18"/>
      <c r="K21836" s="18" t="s">
        <v>316</v>
      </c>
    </row>
    <row r="21837">
      <c r="A21837" s="17"/>
      <c r="H21837" s="18"/>
      <c r="K21837" s="18" t="s">
        <v>316</v>
      </c>
    </row>
    <row r="21838">
      <c r="A21838" s="17"/>
      <c r="H21838" s="18"/>
      <c r="K21838" s="18" t="s">
        <v>316</v>
      </c>
    </row>
    <row r="21839">
      <c r="A21839" s="17"/>
      <c r="H21839" s="18"/>
      <c r="K21839" s="18" t="s">
        <v>316</v>
      </c>
    </row>
    <row r="21840">
      <c r="A21840" s="17"/>
      <c r="H21840" s="18"/>
      <c r="K21840" s="18" t="s">
        <v>316</v>
      </c>
    </row>
    <row r="21841">
      <c r="A21841" s="17"/>
      <c r="H21841" s="18"/>
      <c r="K21841" s="18" t="s">
        <v>316</v>
      </c>
    </row>
    <row r="21842">
      <c r="A21842" s="17"/>
      <c r="H21842" s="18"/>
      <c r="K21842" s="18" t="s">
        <v>316</v>
      </c>
    </row>
    <row r="21843">
      <c r="A21843" s="17"/>
      <c r="H21843" s="18"/>
      <c r="K21843" s="18" t="s">
        <v>316</v>
      </c>
    </row>
    <row r="21844">
      <c r="A21844" s="17"/>
      <c r="H21844" s="18"/>
      <c r="K21844" s="18" t="s">
        <v>316</v>
      </c>
    </row>
    <row r="21845">
      <c r="A21845" s="17"/>
      <c r="H21845" s="18"/>
      <c r="K21845" s="18" t="s">
        <v>316</v>
      </c>
    </row>
    <row r="21846">
      <c r="A21846" s="17"/>
      <c r="H21846" s="18"/>
      <c r="K21846" s="18" t="s">
        <v>316</v>
      </c>
    </row>
    <row r="21847">
      <c r="A21847" s="17"/>
      <c r="H21847" s="18"/>
      <c r="K21847" s="18" t="s">
        <v>316</v>
      </c>
    </row>
    <row r="21848">
      <c r="A21848" s="17"/>
      <c r="H21848" s="18"/>
      <c r="K21848" s="18" t="s">
        <v>316</v>
      </c>
    </row>
    <row r="21849">
      <c r="A21849" s="17"/>
      <c r="H21849" s="18"/>
      <c r="K21849" s="18" t="s">
        <v>316</v>
      </c>
    </row>
    <row r="21850">
      <c r="A21850" s="17"/>
      <c r="H21850" s="18"/>
      <c r="K21850" s="18" t="s">
        <v>316</v>
      </c>
    </row>
    <row r="21851">
      <c r="A21851" s="17"/>
      <c r="H21851" s="18"/>
      <c r="K21851" s="18" t="s">
        <v>316</v>
      </c>
    </row>
    <row r="21852">
      <c r="A21852" s="17"/>
      <c r="H21852" s="18"/>
      <c r="K21852" s="18" t="s">
        <v>316</v>
      </c>
    </row>
    <row r="21853">
      <c r="A21853" s="17"/>
      <c r="H21853" s="18"/>
      <c r="K21853" s="18" t="s">
        <v>316</v>
      </c>
    </row>
    <row r="21854">
      <c r="A21854" s="17"/>
      <c r="H21854" s="18"/>
      <c r="K21854" s="18" t="s">
        <v>316</v>
      </c>
    </row>
    <row r="21855">
      <c r="A21855" s="17"/>
      <c r="H21855" s="18"/>
      <c r="K21855" s="18" t="s">
        <v>316</v>
      </c>
    </row>
    <row r="21856">
      <c r="A21856" s="17"/>
      <c r="H21856" s="18"/>
      <c r="K21856" s="18" t="s">
        <v>316</v>
      </c>
    </row>
    <row r="21857">
      <c r="A21857" s="17"/>
      <c r="H21857" s="18"/>
      <c r="K21857" s="18" t="s">
        <v>316</v>
      </c>
    </row>
    <row r="21858">
      <c r="A21858" s="17"/>
      <c r="H21858" s="18"/>
      <c r="K21858" s="18" t="s">
        <v>316</v>
      </c>
    </row>
    <row r="21859">
      <c r="A21859" s="17"/>
      <c r="H21859" s="18"/>
      <c r="K21859" s="18" t="s">
        <v>316</v>
      </c>
    </row>
    <row r="21860">
      <c r="A21860" s="17"/>
      <c r="H21860" s="18"/>
      <c r="K21860" s="18" t="s">
        <v>316</v>
      </c>
    </row>
    <row r="21861">
      <c r="A21861" s="17"/>
      <c r="H21861" s="18"/>
      <c r="K21861" s="18" t="s">
        <v>316</v>
      </c>
    </row>
    <row r="21862">
      <c r="A21862" s="17"/>
      <c r="H21862" s="18"/>
      <c r="K21862" s="18" t="s">
        <v>316</v>
      </c>
    </row>
    <row r="21863">
      <c r="A21863" s="17"/>
      <c r="H21863" s="18"/>
      <c r="K21863" s="18" t="s">
        <v>316</v>
      </c>
    </row>
    <row r="21864">
      <c r="A21864" s="17"/>
      <c r="H21864" s="18"/>
      <c r="K21864" s="18" t="s">
        <v>316</v>
      </c>
    </row>
    <row r="21865">
      <c r="A21865" s="17"/>
      <c r="H21865" s="18"/>
      <c r="K21865" s="18" t="s">
        <v>316</v>
      </c>
    </row>
    <row r="21866">
      <c r="A21866" s="17"/>
      <c r="H21866" s="18"/>
      <c r="K21866" s="18" t="s">
        <v>316</v>
      </c>
    </row>
    <row r="21867">
      <c r="A21867" s="17"/>
      <c r="H21867" s="18"/>
      <c r="K21867" s="18" t="s">
        <v>316</v>
      </c>
    </row>
    <row r="21868">
      <c r="A21868" s="17"/>
      <c r="H21868" s="18"/>
      <c r="K21868" s="18" t="s">
        <v>316</v>
      </c>
    </row>
    <row r="21869">
      <c r="A21869" s="17"/>
      <c r="H21869" s="18"/>
      <c r="K21869" s="18" t="s">
        <v>316</v>
      </c>
    </row>
    <row r="21870">
      <c r="A21870" s="17"/>
      <c r="H21870" s="18"/>
      <c r="K21870" s="18" t="s">
        <v>316</v>
      </c>
    </row>
    <row r="21871">
      <c r="A21871" s="17"/>
      <c r="H21871" s="18"/>
      <c r="K21871" s="18" t="s">
        <v>316</v>
      </c>
    </row>
    <row r="21872">
      <c r="A21872" s="17"/>
      <c r="H21872" s="18"/>
      <c r="K21872" s="18" t="s">
        <v>316</v>
      </c>
    </row>
    <row r="21873">
      <c r="A21873" s="17"/>
      <c r="H21873" s="18"/>
      <c r="K21873" s="18" t="s">
        <v>316</v>
      </c>
    </row>
    <row r="21874">
      <c r="A21874" s="17"/>
      <c r="H21874" s="18"/>
      <c r="K21874" s="18" t="s">
        <v>316</v>
      </c>
    </row>
    <row r="21875">
      <c r="A21875" s="17"/>
      <c r="H21875" s="18"/>
      <c r="K21875" s="18" t="s">
        <v>316</v>
      </c>
    </row>
    <row r="21876">
      <c r="A21876" s="17"/>
      <c r="H21876" s="18"/>
      <c r="K21876" s="18" t="s">
        <v>316</v>
      </c>
    </row>
    <row r="21877">
      <c r="A21877" s="17"/>
      <c r="H21877" s="18"/>
      <c r="K21877" s="18" t="s">
        <v>316</v>
      </c>
    </row>
    <row r="21878">
      <c r="A21878" s="17"/>
      <c r="H21878" s="18"/>
      <c r="K21878" s="18" t="s">
        <v>316</v>
      </c>
    </row>
    <row r="21879">
      <c r="A21879" s="17"/>
      <c r="H21879" s="18"/>
      <c r="K21879" s="18" t="s">
        <v>316</v>
      </c>
    </row>
    <row r="21880">
      <c r="A21880" s="17"/>
      <c r="H21880" s="18"/>
      <c r="K21880" s="18" t="s">
        <v>316</v>
      </c>
    </row>
    <row r="21881">
      <c r="A21881" s="17"/>
      <c r="H21881" s="18"/>
      <c r="K21881" s="18" t="s">
        <v>316</v>
      </c>
    </row>
    <row r="21882">
      <c r="A21882" s="17"/>
      <c r="H21882" s="18"/>
      <c r="K21882" s="18" t="s">
        <v>316</v>
      </c>
    </row>
    <row r="21883">
      <c r="A21883" s="17"/>
      <c r="H21883" s="18"/>
      <c r="K21883" s="18" t="s">
        <v>316</v>
      </c>
    </row>
    <row r="21884">
      <c r="A21884" s="17"/>
      <c r="H21884" s="18"/>
      <c r="K21884" s="18" t="s">
        <v>316</v>
      </c>
    </row>
    <row r="21885">
      <c r="A21885" s="17"/>
      <c r="H21885" s="18"/>
      <c r="K21885" s="18" t="s">
        <v>316</v>
      </c>
    </row>
    <row r="21886">
      <c r="A21886" s="17"/>
      <c r="H21886" s="18"/>
      <c r="K21886" s="18" t="s">
        <v>316</v>
      </c>
    </row>
    <row r="21887">
      <c r="A21887" s="17"/>
      <c r="H21887" s="18"/>
      <c r="K21887" s="18" t="s">
        <v>316</v>
      </c>
    </row>
    <row r="21888">
      <c r="A21888" s="17"/>
      <c r="H21888" s="18"/>
      <c r="K21888" s="18" t="s">
        <v>316</v>
      </c>
    </row>
    <row r="21889">
      <c r="A21889" s="17"/>
      <c r="H21889" s="18"/>
      <c r="K21889" s="18" t="s">
        <v>316</v>
      </c>
    </row>
    <row r="21890">
      <c r="A21890" s="17"/>
      <c r="H21890" s="18"/>
      <c r="K21890" s="18" t="s">
        <v>316</v>
      </c>
    </row>
    <row r="21891">
      <c r="A21891" s="17"/>
      <c r="H21891" s="18"/>
      <c r="K21891" s="18" t="s">
        <v>316</v>
      </c>
    </row>
    <row r="21892">
      <c r="A21892" s="17"/>
      <c r="H21892" s="18"/>
      <c r="K21892" s="18" t="s">
        <v>316</v>
      </c>
    </row>
    <row r="21893">
      <c r="A21893" s="17"/>
      <c r="H21893" s="18"/>
      <c r="K21893" s="18" t="s">
        <v>316</v>
      </c>
    </row>
    <row r="21894">
      <c r="A21894" s="17"/>
      <c r="H21894" s="18"/>
      <c r="K21894" s="18" t="s">
        <v>316</v>
      </c>
    </row>
    <row r="21895">
      <c r="A21895" s="17"/>
      <c r="H21895" s="18"/>
      <c r="K21895" s="18" t="s">
        <v>316</v>
      </c>
    </row>
    <row r="21896">
      <c r="A21896" s="17"/>
      <c r="H21896" s="18"/>
      <c r="K21896" s="18" t="s">
        <v>316</v>
      </c>
    </row>
    <row r="21897">
      <c r="A21897" s="17"/>
      <c r="H21897" s="18"/>
      <c r="K21897" s="18" t="s">
        <v>316</v>
      </c>
    </row>
    <row r="21898">
      <c r="A21898" s="17"/>
      <c r="H21898" s="18"/>
      <c r="K21898" s="18" t="s">
        <v>316</v>
      </c>
    </row>
    <row r="21899">
      <c r="A21899" s="17"/>
      <c r="H21899" s="18"/>
      <c r="K21899" s="18" t="s">
        <v>316</v>
      </c>
    </row>
    <row r="21900">
      <c r="A21900" s="17"/>
      <c r="H21900" s="18"/>
      <c r="K21900" s="18" t="s">
        <v>316</v>
      </c>
    </row>
    <row r="21901">
      <c r="A21901" s="17"/>
      <c r="H21901" s="18"/>
      <c r="K21901" s="18" t="s">
        <v>316</v>
      </c>
    </row>
    <row r="21902">
      <c r="A21902" s="17"/>
      <c r="H21902" s="18"/>
      <c r="K21902" s="18" t="s">
        <v>316</v>
      </c>
    </row>
    <row r="21903">
      <c r="A21903" s="17"/>
      <c r="H21903" s="18"/>
      <c r="K21903" s="18" t="s">
        <v>316</v>
      </c>
    </row>
    <row r="21904">
      <c r="A21904" s="17"/>
      <c r="H21904" s="18"/>
      <c r="K21904" s="18" t="s">
        <v>316</v>
      </c>
    </row>
    <row r="21905">
      <c r="A21905" s="17"/>
      <c r="H21905" s="18"/>
      <c r="K21905" s="18" t="s">
        <v>316</v>
      </c>
    </row>
    <row r="21906">
      <c r="A21906" s="17"/>
      <c r="H21906" s="18"/>
      <c r="K21906" s="18" t="s">
        <v>316</v>
      </c>
    </row>
    <row r="21907">
      <c r="A21907" s="17"/>
      <c r="H21907" s="18"/>
      <c r="K21907" s="18" t="s">
        <v>316</v>
      </c>
    </row>
    <row r="21908">
      <c r="A21908" s="17"/>
      <c r="H21908" s="18"/>
      <c r="K21908" s="18" t="s">
        <v>316</v>
      </c>
    </row>
    <row r="21909">
      <c r="A21909" s="17"/>
      <c r="H21909" s="18"/>
      <c r="K21909" s="18" t="s">
        <v>316</v>
      </c>
    </row>
    <row r="21910">
      <c r="A21910" s="17"/>
      <c r="H21910" s="18"/>
      <c r="K21910" s="18" t="s">
        <v>316</v>
      </c>
    </row>
    <row r="21911">
      <c r="A21911" s="17"/>
      <c r="H21911" s="18"/>
      <c r="K21911" s="18" t="s">
        <v>316</v>
      </c>
    </row>
    <row r="21912">
      <c r="A21912" s="17"/>
      <c r="H21912" s="18"/>
      <c r="K21912" s="18" t="s">
        <v>316</v>
      </c>
    </row>
    <row r="21913">
      <c r="A21913" s="17"/>
      <c r="H21913" s="18"/>
      <c r="K21913" s="18" t="s">
        <v>316</v>
      </c>
    </row>
    <row r="21914">
      <c r="A21914" s="17"/>
      <c r="H21914" s="18"/>
      <c r="K21914" s="18" t="s">
        <v>316</v>
      </c>
    </row>
    <row r="21915">
      <c r="A21915" s="17"/>
      <c r="H21915" s="18"/>
      <c r="K21915" s="18" t="s">
        <v>316</v>
      </c>
    </row>
    <row r="21916">
      <c r="A21916" s="17"/>
      <c r="H21916" s="18"/>
      <c r="K21916" s="18" t="s">
        <v>316</v>
      </c>
    </row>
    <row r="21917">
      <c r="A21917" s="17"/>
      <c r="H21917" s="18"/>
      <c r="K21917" s="18" t="s">
        <v>316</v>
      </c>
    </row>
    <row r="21918">
      <c r="A21918" s="17"/>
      <c r="H21918" s="18"/>
      <c r="K21918" s="18" t="s">
        <v>316</v>
      </c>
    </row>
    <row r="21919">
      <c r="A21919" s="17"/>
      <c r="H21919" s="18"/>
      <c r="K21919" s="18" t="s">
        <v>316</v>
      </c>
    </row>
    <row r="21920">
      <c r="A21920" s="17"/>
      <c r="H21920" s="18"/>
      <c r="K21920" s="18" t="s">
        <v>316</v>
      </c>
    </row>
    <row r="21921">
      <c r="A21921" s="17"/>
      <c r="H21921" s="18"/>
      <c r="K21921" s="18" t="s">
        <v>316</v>
      </c>
    </row>
    <row r="21922">
      <c r="A21922" s="17"/>
      <c r="H21922" s="18"/>
      <c r="K21922" s="18" t="s">
        <v>316</v>
      </c>
    </row>
    <row r="21923">
      <c r="A21923" s="17"/>
      <c r="H21923" s="18"/>
      <c r="K21923" s="18" t="s">
        <v>316</v>
      </c>
    </row>
    <row r="21924">
      <c r="A21924" s="17"/>
      <c r="H21924" s="18"/>
      <c r="K21924" s="18" t="s">
        <v>316</v>
      </c>
    </row>
    <row r="21925">
      <c r="A21925" s="17"/>
      <c r="H21925" s="18"/>
      <c r="K21925" s="18" t="s">
        <v>316</v>
      </c>
    </row>
    <row r="21926">
      <c r="A21926" s="17"/>
      <c r="H21926" s="18"/>
      <c r="K21926" s="18" t="s">
        <v>316</v>
      </c>
    </row>
    <row r="21927">
      <c r="A21927" s="17"/>
      <c r="H21927" s="18"/>
      <c r="K21927" s="18" t="s">
        <v>316</v>
      </c>
    </row>
    <row r="21928">
      <c r="A21928" s="17"/>
      <c r="H21928" s="18"/>
      <c r="K21928" s="18" t="s">
        <v>316</v>
      </c>
    </row>
    <row r="21929">
      <c r="A21929" s="17"/>
      <c r="H21929" s="18"/>
      <c r="K21929" s="18" t="s">
        <v>316</v>
      </c>
    </row>
    <row r="21930">
      <c r="A21930" s="17"/>
      <c r="H21930" s="18"/>
      <c r="K21930" s="18" t="s">
        <v>316</v>
      </c>
    </row>
    <row r="21931">
      <c r="A21931" s="17"/>
      <c r="H21931" s="18"/>
      <c r="K21931" s="18" t="s">
        <v>316</v>
      </c>
    </row>
    <row r="21932">
      <c r="A21932" s="17"/>
      <c r="H21932" s="18"/>
      <c r="K21932" s="18" t="s">
        <v>316</v>
      </c>
    </row>
    <row r="21933">
      <c r="A21933" s="17"/>
      <c r="H21933" s="18"/>
      <c r="K21933" s="18" t="s">
        <v>316</v>
      </c>
    </row>
    <row r="21934">
      <c r="A21934" s="17"/>
      <c r="H21934" s="18"/>
      <c r="K21934" s="18" t="s">
        <v>316</v>
      </c>
    </row>
    <row r="21935">
      <c r="A21935" s="17"/>
      <c r="H21935" s="18"/>
      <c r="K21935" s="18" t="s">
        <v>316</v>
      </c>
    </row>
    <row r="21936">
      <c r="A21936" s="17"/>
      <c r="H21936" s="18"/>
      <c r="K21936" s="18" t="s">
        <v>316</v>
      </c>
    </row>
    <row r="21937">
      <c r="A21937" s="17"/>
      <c r="H21937" s="18"/>
      <c r="K21937" s="18" t="s">
        <v>316</v>
      </c>
    </row>
    <row r="21938">
      <c r="A21938" s="17"/>
      <c r="H21938" s="18"/>
      <c r="K21938" s="18" t="s">
        <v>316</v>
      </c>
    </row>
    <row r="21939">
      <c r="A21939" s="17"/>
      <c r="H21939" s="18"/>
      <c r="K21939" s="18" t="s">
        <v>316</v>
      </c>
    </row>
    <row r="21940">
      <c r="A21940" s="17"/>
      <c r="H21940" s="18"/>
      <c r="K21940" s="18" t="s">
        <v>316</v>
      </c>
    </row>
    <row r="21941">
      <c r="A21941" s="17"/>
      <c r="H21941" s="18"/>
      <c r="K21941" s="18" t="s">
        <v>316</v>
      </c>
    </row>
    <row r="21942">
      <c r="A21942" s="17"/>
      <c r="H21942" s="18"/>
      <c r="K21942" s="18" t="s">
        <v>316</v>
      </c>
    </row>
    <row r="21943">
      <c r="A21943" s="17"/>
      <c r="H21943" s="18"/>
      <c r="K21943" s="18" t="s">
        <v>316</v>
      </c>
    </row>
    <row r="21944">
      <c r="A21944" s="17"/>
      <c r="H21944" s="18"/>
      <c r="K21944" s="18" t="s">
        <v>316</v>
      </c>
    </row>
    <row r="21945">
      <c r="A21945" s="17"/>
      <c r="H21945" s="18"/>
      <c r="K21945" s="18" t="s">
        <v>316</v>
      </c>
    </row>
    <row r="21946">
      <c r="A21946" s="17"/>
      <c r="H21946" s="18"/>
      <c r="K21946" s="18" t="s">
        <v>316</v>
      </c>
    </row>
    <row r="21947">
      <c r="A21947" s="17"/>
      <c r="H21947" s="18"/>
      <c r="K21947" s="18" t="s">
        <v>316</v>
      </c>
    </row>
    <row r="21948">
      <c r="A21948" s="17"/>
      <c r="H21948" s="18"/>
      <c r="K21948" s="18" t="s">
        <v>316</v>
      </c>
    </row>
    <row r="21949">
      <c r="A21949" s="17"/>
      <c r="H21949" s="18"/>
      <c r="K21949" s="18" t="s">
        <v>316</v>
      </c>
    </row>
    <row r="21950">
      <c r="A21950" s="17"/>
      <c r="H21950" s="18"/>
      <c r="K21950" s="18" t="s">
        <v>316</v>
      </c>
    </row>
    <row r="21951">
      <c r="A21951" s="17"/>
      <c r="H21951" s="18"/>
      <c r="K21951" s="18" t="s">
        <v>316</v>
      </c>
    </row>
    <row r="21952">
      <c r="A21952" s="17"/>
      <c r="H21952" s="18"/>
      <c r="K21952" s="18" t="s">
        <v>316</v>
      </c>
    </row>
    <row r="21953">
      <c r="A21953" s="17"/>
      <c r="H21953" s="18"/>
      <c r="K21953" s="18" t="s">
        <v>316</v>
      </c>
    </row>
    <row r="21954">
      <c r="A21954" s="17"/>
      <c r="H21954" s="18"/>
      <c r="K21954" s="18" t="s">
        <v>316</v>
      </c>
    </row>
    <row r="21955">
      <c r="A21955" s="17"/>
      <c r="H21955" s="18"/>
      <c r="K21955" s="18" t="s">
        <v>316</v>
      </c>
    </row>
    <row r="21956">
      <c r="A21956" s="17"/>
      <c r="H21956" s="18"/>
      <c r="K21956" s="18" t="s">
        <v>316</v>
      </c>
    </row>
    <row r="21957">
      <c r="A21957" s="17"/>
      <c r="H21957" s="18"/>
      <c r="K21957" s="18" t="s">
        <v>316</v>
      </c>
    </row>
    <row r="21958">
      <c r="A21958" s="17"/>
      <c r="H21958" s="18"/>
      <c r="K21958" s="18" t="s">
        <v>316</v>
      </c>
    </row>
    <row r="21959">
      <c r="A21959" s="17"/>
      <c r="H21959" s="18"/>
      <c r="K21959" s="18" t="s">
        <v>316</v>
      </c>
    </row>
    <row r="21960">
      <c r="A21960" s="17"/>
      <c r="H21960" s="18"/>
      <c r="K21960" s="18" t="s">
        <v>316</v>
      </c>
    </row>
    <row r="21961">
      <c r="A21961" s="17"/>
      <c r="H21961" s="18"/>
      <c r="K21961" s="18" t="s">
        <v>316</v>
      </c>
    </row>
    <row r="21962">
      <c r="A21962" s="17"/>
      <c r="H21962" s="18"/>
      <c r="K21962" s="18" t="s">
        <v>316</v>
      </c>
    </row>
    <row r="21963">
      <c r="A21963" s="17"/>
      <c r="H21963" s="18"/>
      <c r="K21963" s="18" t="s">
        <v>316</v>
      </c>
    </row>
    <row r="21964">
      <c r="A21964" s="17"/>
      <c r="H21964" s="18"/>
      <c r="K21964" s="18" t="s">
        <v>316</v>
      </c>
    </row>
    <row r="21965">
      <c r="A21965" s="17"/>
      <c r="H21965" s="18"/>
      <c r="K21965" s="18" t="s">
        <v>316</v>
      </c>
    </row>
    <row r="21966">
      <c r="A21966" s="17"/>
      <c r="H21966" s="18"/>
      <c r="K21966" s="18" t="s">
        <v>316</v>
      </c>
    </row>
    <row r="21967">
      <c r="A21967" s="17"/>
      <c r="H21967" s="18"/>
      <c r="K21967" s="18" t="s">
        <v>316</v>
      </c>
    </row>
    <row r="21968">
      <c r="A21968" s="17"/>
      <c r="H21968" s="18"/>
      <c r="K21968" s="18" t="s">
        <v>316</v>
      </c>
    </row>
    <row r="21969">
      <c r="A21969" s="17"/>
      <c r="H21969" s="18"/>
      <c r="K21969" s="18" t="s">
        <v>316</v>
      </c>
    </row>
    <row r="21970">
      <c r="A21970" s="17"/>
      <c r="H21970" s="18"/>
      <c r="K21970" s="18" t="s">
        <v>316</v>
      </c>
    </row>
    <row r="21971">
      <c r="A21971" s="17"/>
      <c r="H21971" s="18"/>
      <c r="K21971" s="18" t="s">
        <v>316</v>
      </c>
    </row>
    <row r="21972">
      <c r="A21972" s="17"/>
      <c r="H21972" s="18"/>
      <c r="K21972" s="18" t="s">
        <v>316</v>
      </c>
    </row>
    <row r="21973">
      <c r="A21973" s="17"/>
      <c r="H21973" s="18"/>
      <c r="K21973" s="18" t="s">
        <v>316</v>
      </c>
    </row>
    <row r="21974">
      <c r="A21974" s="17"/>
      <c r="H21974" s="18"/>
      <c r="K21974" s="18" t="s">
        <v>316</v>
      </c>
    </row>
    <row r="21975">
      <c r="A21975" s="17"/>
      <c r="H21975" s="18"/>
      <c r="K21975" s="18" t="s">
        <v>316</v>
      </c>
    </row>
    <row r="21976">
      <c r="A21976" s="17"/>
      <c r="H21976" s="18"/>
      <c r="K21976" s="18" t="s">
        <v>316</v>
      </c>
    </row>
    <row r="21977">
      <c r="A21977" s="17"/>
      <c r="H21977" s="18"/>
      <c r="K21977" s="18" t="s">
        <v>316</v>
      </c>
    </row>
    <row r="21978">
      <c r="A21978" s="17"/>
      <c r="H21978" s="18"/>
      <c r="K21978" s="18" t="s">
        <v>316</v>
      </c>
    </row>
    <row r="21979">
      <c r="A21979" s="17"/>
      <c r="H21979" s="18"/>
      <c r="K21979" s="18" t="s">
        <v>316</v>
      </c>
    </row>
    <row r="21980">
      <c r="A21980" s="17"/>
      <c r="H21980" s="18"/>
      <c r="K21980" s="18" t="s">
        <v>316</v>
      </c>
    </row>
    <row r="21981">
      <c r="A21981" s="17"/>
      <c r="H21981" s="18"/>
      <c r="K21981" s="18" t="s">
        <v>316</v>
      </c>
    </row>
    <row r="21982">
      <c r="A21982" s="17"/>
      <c r="H21982" s="18"/>
      <c r="K21982" s="18" t="s">
        <v>316</v>
      </c>
    </row>
    <row r="21983">
      <c r="A21983" s="17"/>
      <c r="H21983" s="18"/>
      <c r="K21983" s="18" t="s">
        <v>316</v>
      </c>
    </row>
    <row r="21984">
      <c r="A21984" s="17"/>
      <c r="H21984" s="18"/>
      <c r="K21984" s="18" t="s">
        <v>316</v>
      </c>
    </row>
    <row r="21985">
      <c r="A21985" s="17"/>
      <c r="H21985" s="18"/>
      <c r="K21985" s="18" t="s">
        <v>316</v>
      </c>
    </row>
    <row r="21986">
      <c r="A21986" s="17"/>
      <c r="H21986" s="18"/>
      <c r="K21986" s="18" t="s">
        <v>316</v>
      </c>
    </row>
    <row r="21987">
      <c r="A21987" s="17"/>
      <c r="H21987" s="18"/>
      <c r="K21987" s="18" t="s">
        <v>316</v>
      </c>
    </row>
    <row r="21988">
      <c r="A21988" s="17"/>
      <c r="H21988" s="18"/>
      <c r="K21988" s="18" t="s">
        <v>316</v>
      </c>
    </row>
    <row r="21989">
      <c r="A21989" s="17"/>
      <c r="H21989" s="18"/>
      <c r="K21989" s="18" t="s">
        <v>316</v>
      </c>
    </row>
    <row r="21990">
      <c r="A21990" s="17"/>
      <c r="H21990" s="18"/>
      <c r="K21990" s="18" t="s">
        <v>316</v>
      </c>
    </row>
    <row r="21991">
      <c r="A21991" s="17"/>
      <c r="H21991" s="18"/>
      <c r="K21991" s="18" t="s">
        <v>316</v>
      </c>
    </row>
    <row r="21992">
      <c r="A21992" s="17"/>
      <c r="H21992" s="18"/>
      <c r="K21992" s="18" t="s">
        <v>316</v>
      </c>
    </row>
    <row r="21993">
      <c r="A21993" s="17"/>
      <c r="H21993" s="18"/>
      <c r="K21993" s="18" t="s">
        <v>316</v>
      </c>
    </row>
    <row r="21994">
      <c r="A21994" s="17"/>
      <c r="H21994" s="18"/>
      <c r="K21994" s="18" t="s">
        <v>316</v>
      </c>
    </row>
    <row r="21995">
      <c r="A21995" s="17"/>
      <c r="H21995" s="18"/>
      <c r="K21995" s="18" t="s">
        <v>316</v>
      </c>
    </row>
    <row r="21996">
      <c r="A21996" s="17"/>
      <c r="H21996" s="18"/>
      <c r="K21996" s="18" t="s">
        <v>316</v>
      </c>
    </row>
    <row r="21997">
      <c r="A21997" s="17"/>
      <c r="H21997" s="18"/>
      <c r="K21997" s="18" t="s">
        <v>316</v>
      </c>
    </row>
    <row r="21998">
      <c r="A21998" s="17"/>
      <c r="H21998" s="18"/>
      <c r="K21998" s="18" t="s">
        <v>316</v>
      </c>
    </row>
    <row r="21999">
      <c r="A21999" s="17"/>
      <c r="H21999" s="18"/>
      <c r="K21999" s="18" t="s">
        <v>316</v>
      </c>
    </row>
    <row r="22000">
      <c r="A22000" s="17"/>
      <c r="H22000" s="18"/>
      <c r="K22000" s="18" t="s">
        <v>316</v>
      </c>
    </row>
    <row r="22001">
      <c r="A22001" s="17"/>
      <c r="H22001" s="18"/>
      <c r="K22001" s="18" t="s">
        <v>316</v>
      </c>
    </row>
    <row r="22002">
      <c r="A22002" s="17"/>
      <c r="H22002" s="18"/>
      <c r="K22002" s="18" t="s">
        <v>316</v>
      </c>
    </row>
    <row r="22003">
      <c r="A22003" s="17"/>
      <c r="H22003" s="18"/>
      <c r="K22003" s="18" t="s">
        <v>316</v>
      </c>
    </row>
    <row r="22004">
      <c r="A22004" s="17"/>
      <c r="H22004" s="18"/>
      <c r="K22004" s="18" t="s">
        <v>316</v>
      </c>
    </row>
    <row r="22005">
      <c r="A22005" s="17"/>
      <c r="H22005" s="18"/>
      <c r="K22005" s="18" t="s">
        <v>316</v>
      </c>
    </row>
    <row r="22006">
      <c r="A22006" s="17"/>
      <c r="H22006" s="18"/>
      <c r="K22006" s="18" t="s">
        <v>316</v>
      </c>
    </row>
    <row r="22007">
      <c r="A22007" s="17"/>
      <c r="H22007" s="18"/>
      <c r="K22007" s="18" t="s">
        <v>316</v>
      </c>
    </row>
    <row r="22008">
      <c r="A22008" s="17"/>
      <c r="H22008" s="18"/>
      <c r="K22008" s="18" t="s">
        <v>316</v>
      </c>
    </row>
    <row r="22009">
      <c r="A22009" s="17"/>
      <c r="H22009" s="18"/>
      <c r="K22009" s="18" t="s">
        <v>316</v>
      </c>
    </row>
    <row r="22010">
      <c r="A22010" s="17"/>
      <c r="H22010" s="18"/>
      <c r="K22010" s="18" t="s">
        <v>316</v>
      </c>
    </row>
    <row r="22011">
      <c r="A22011" s="17"/>
      <c r="H22011" s="18"/>
      <c r="K22011" s="18" t="s">
        <v>316</v>
      </c>
    </row>
    <row r="22012">
      <c r="A22012" s="17"/>
      <c r="H22012" s="18"/>
      <c r="K22012" s="18" t="s">
        <v>316</v>
      </c>
    </row>
    <row r="22013">
      <c r="A22013" s="17"/>
      <c r="H22013" s="18"/>
      <c r="K22013" s="18" t="s">
        <v>316</v>
      </c>
    </row>
    <row r="22014">
      <c r="A22014" s="17"/>
      <c r="H22014" s="18"/>
      <c r="K22014" s="18" t="s">
        <v>316</v>
      </c>
    </row>
    <row r="22015">
      <c r="A22015" s="17"/>
      <c r="H22015" s="18"/>
      <c r="K22015" s="18" t="s">
        <v>316</v>
      </c>
    </row>
    <row r="22016">
      <c r="A22016" s="17"/>
      <c r="H22016" s="18"/>
      <c r="K22016" s="18" t="s">
        <v>316</v>
      </c>
    </row>
    <row r="22017">
      <c r="A22017" s="17"/>
      <c r="H22017" s="18"/>
      <c r="K22017" s="18" t="s">
        <v>316</v>
      </c>
    </row>
    <row r="22018">
      <c r="A22018" s="17"/>
      <c r="H22018" s="18"/>
      <c r="K22018" s="18" t="s">
        <v>316</v>
      </c>
    </row>
    <row r="22019">
      <c r="A22019" s="17"/>
      <c r="H22019" s="18"/>
      <c r="K22019" s="18" t="s">
        <v>316</v>
      </c>
    </row>
    <row r="22020">
      <c r="A22020" s="17"/>
      <c r="H22020" s="18"/>
      <c r="K22020" s="18" t="s">
        <v>316</v>
      </c>
    </row>
    <row r="22021">
      <c r="A22021" s="17"/>
      <c r="H22021" s="18"/>
      <c r="K22021" s="18" t="s">
        <v>316</v>
      </c>
    </row>
    <row r="22022">
      <c r="A22022" s="17"/>
      <c r="H22022" s="18"/>
      <c r="K22022" s="18" t="s">
        <v>316</v>
      </c>
    </row>
    <row r="22023">
      <c r="A22023" s="17"/>
      <c r="H22023" s="18"/>
      <c r="K22023" s="18" t="s">
        <v>316</v>
      </c>
    </row>
    <row r="22024">
      <c r="A22024" s="17"/>
      <c r="H22024" s="18"/>
      <c r="K22024" s="18" t="s">
        <v>316</v>
      </c>
    </row>
    <row r="22025">
      <c r="A22025" s="17"/>
      <c r="H22025" s="18"/>
      <c r="K22025" s="18" t="s">
        <v>316</v>
      </c>
    </row>
    <row r="22026">
      <c r="A22026" s="17"/>
      <c r="H22026" s="18"/>
      <c r="K22026" s="18" t="s">
        <v>316</v>
      </c>
    </row>
    <row r="22027">
      <c r="A22027" s="17"/>
      <c r="H22027" s="18"/>
      <c r="K22027" s="18" t="s">
        <v>316</v>
      </c>
    </row>
    <row r="22028">
      <c r="A22028" s="17"/>
      <c r="H22028" s="18"/>
      <c r="K22028" s="18" t="s">
        <v>316</v>
      </c>
    </row>
    <row r="22029">
      <c r="A22029" s="17"/>
      <c r="H22029" s="18"/>
      <c r="K22029" s="18" t="s">
        <v>316</v>
      </c>
    </row>
    <row r="22030">
      <c r="A22030" s="17"/>
      <c r="H22030" s="18"/>
      <c r="K22030" s="18" t="s">
        <v>316</v>
      </c>
    </row>
    <row r="22031">
      <c r="A22031" s="17"/>
      <c r="H22031" s="18"/>
      <c r="K22031" s="18" t="s">
        <v>316</v>
      </c>
    </row>
    <row r="22032">
      <c r="A22032" s="17"/>
      <c r="H22032" s="18"/>
      <c r="K22032" s="18" t="s">
        <v>316</v>
      </c>
    </row>
    <row r="22033">
      <c r="A22033" s="17"/>
      <c r="H22033" s="18"/>
      <c r="K22033" s="18" t="s">
        <v>316</v>
      </c>
    </row>
    <row r="22034">
      <c r="A22034" s="17"/>
      <c r="H22034" s="18"/>
      <c r="K22034" s="18" t="s">
        <v>316</v>
      </c>
    </row>
    <row r="22035">
      <c r="A22035" s="17"/>
      <c r="H22035" s="18"/>
      <c r="K22035" s="18" t="s">
        <v>316</v>
      </c>
    </row>
    <row r="22036">
      <c r="A22036" s="17"/>
      <c r="H22036" s="18"/>
      <c r="K22036" s="18" t="s">
        <v>316</v>
      </c>
    </row>
    <row r="22037">
      <c r="A22037" s="17"/>
      <c r="H22037" s="18"/>
      <c r="K22037" s="18" t="s">
        <v>316</v>
      </c>
    </row>
    <row r="22038">
      <c r="A22038" s="17"/>
      <c r="H22038" s="18"/>
      <c r="K22038" s="18" t="s">
        <v>316</v>
      </c>
    </row>
    <row r="22039">
      <c r="A22039" s="17"/>
      <c r="H22039" s="18"/>
      <c r="K22039" s="18" t="s">
        <v>316</v>
      </c>
    </row>
    <row r="22040">
      <c r="A22040" s="17"/>
      <c r="H22040" s="18"/>
      <c r="K22040" s="18" t="s">
        <v>316</v>
      </c>
    </row>
    <row r="22041">
      <c r="A22041" s="17"/>
      <c r="H22041" s="18"/>
      <c r="K22041" s="18" t="s">
        <v>316</v>
      </c>
    </row>
    <row r="22042">
      <c r="A22042" s="17"/>
      <c r="H22042" s="18"/>
      <c r="K22042" s="18" t="s">
        <v>316</v>
      </c>
    </row>
    <row r="22043">
      <c r="A22043" s="17"/>
      <c r="H22043" s="18"/>
      <c r="K22043" s="18" t="s">
        <v>316</v>
      </c>
    </row>
    <row r="22044">
      <c r="A22044" s="17"/>
      <c r="H22044" s="18"/>
      <c r="K22044" s="18" t="s">
        <v>316</v>
      </c>
    </row>
    <row r="22045">
      <c r="A22045" s="17"/>
      <c r="H22045" s="18"/>
      <c r="K22045" s="18" t="s">
        <v>316</v>
      </c>
    </row>
    <row r="22046">
      <c r="A22046" s="17"/>
      <c r="H22046" s="18"/>
      <c r="K22046" s="18" t="s">
        <v>316</v>
      </c>
    </row>
    <row r="22047">
      <c r="A22047" s="17"/>
      <c r="H22047" s="18"/>
      <c r="K22047" s="18" t="s">
        <v>316</v>
      </c>
    </row>
    <row r="22048">
      <c r="A22048" s="17"/>
      <c r="H22048" s="18"/>
      <c r="K22048" s="18" t="s">
        <v>316</v>
      </c>
    </row>
    <row r="22049">
      <c r="A22049" s="17"/>
      <c r="H22049" s="18"/>
      <c r="K22049" s="18" t="s">
        <v>316</v>
      </c>
    </row>
    <row r="22050">
      <c r="A22050" s="17"/>
      <c r="H22050" s="18"/>
      <c r="K22050" s="18" t="s">
        <v>316</v>
      </c>
    </row>
    <row r="22051">
      <c r="A22051" s="17"/>
      <c r="H22051" s="18"/>
      <c r="K22051" s="18" t="s">
        <v>316</v>
      </c>
    </row>
    <row r="22052">
      <c r="A22052" s="17"/>
      <c r="H22052" s="18"/>
      <c r="K22052" s="18" t="s">
        <v>316</v>
      </c>
    </row>
    <row r="22053">
      <c r="A22053" s="17"/>
      <c r="H22053" s="18"/>
      <c r="K22053" s="18" t="s">
        <v>316</v>
      </c>
    </row>
    <row r="22054">
      <c r="A22054" s="17"/>
      <c r="H22054" s="18"/>
      <c r="K22054" s="18" t="s">
        <v>316</v>
      </c>
    </row>
    <row r="22055">
      <c r="A22055" s="17"/>
      <c r="H22055" s="18"/>
      <c r="K22055" s="18" t="s">
        <v>316</v>
      </c>
    </row>
    <row r="22056">
      <c r="A22056" s="17"/>
      <c r="H22056" s="18"/>
      <c r="K22056" s="18" t="s">
        <v>316</v>
      </c>
    </row>
    <row r="22057">
      <c r="A22057" s="17"/>
      <c r="H22057" s="18"/>
      <c r="K22057" s="18" t="s">
        <v>316</v>
      </c>
    </row>
    <row r="22058">
      <c r="A22058" s="17"/>
      <c r="H22058" s="18"/>
      <c r="K22058" s="18" t="s">
        <v>316</v>
      </c>
    </row>
    <row r="22059">
      <c r="A22059" s="17"/>
      <c r="H22059" s="18"/>
      <c r="K22059" s="18" t="s">
        <v>316</v>
      </c>
    </row>
    <row r="22060">
      <c r="A22060" s="17"/>
      <c r="H22060" s="18"/>
      <c r="K22060" s="18" t="s">
        <v>316</v>
      </c>
    </row>
    <row r="22061">
      <c r="A22061" s="17"/>
      <c r="H22061" s="18"/>
      <c r="K22061" s="18" t="s">
        <v>316</v>
      </c>
    </row>
    <row r="22062">
      <c r="A22062" s="17"/>
      <c r="H22062" s="18"/>
      <c r="K22062" s="18" t="s">
        <v>316</v>
      </c>
    </row>
    <row r="22063">
      <c r="A22063" s="17"/>
      <c r="H22063" s="18"/>
      <c r="K22063" s="18" t="s">
        <v>316</v>
      </c>
    </row>
    <row r="22064">
      <c r="A22064" s="17"/>
      <c r="H22064" s="18"/>
      <c r="K22064" s="18" t="s">
        <v>316</v>
      </c>
    </row>
    <row r="22065">
      <c r="A22065" s="17"/>
      <c r="H22065" s="18"/>
      <c r="K22065" s="18" t="s">
        <v>316</v>
      </c>
    </row>
    <row r="22066">
      <c r="A22066" s="17"/>
      <c r="H22066" s="18"/>
      <c r="K22066" s="18" t="s">
        <v>316</v>
      </c>
    </row>
    <row r="22067">
      <c r="A22067" s="17"/>
      <c r="H22067" s="18"/>
      <c r="K22067" s="18" t="s">
        <v>316</v>
      </c>
    </row>
    <row r="22068">
      <c r="A22068" s="17"/>
      <c r="H22068" s="18"/>
      <c r="K22068" s="18" t="s">
        <v>316</v>
      </c>
    </row>
    <row r="22069">
      <c r="A22069" s="17"/>
      <c r="H22069" s="18"/>
      <c r="K22069" s="18" t="s">
        <v>316</v>
      </c>
    </row>
    <row r="22070">
      <c r="A22070" s="17"/>
      <c r="H22070" s="18"/>
      <c r="K22070" s="18" t="s">
        <v>316</v>
      </c>
    </row>
    <row r="22071">
      <c r="A22071" s="17"/>
      <c r="H22071" s="18"/>
      <c r="K22071" s="18" t="s">
        <v>316</v>
      </c>
    </row>
    <row r="22072">
      <c r="A22072" s="17"/>
      <c r="H22072" s="18"/>
      <c r="K22072" s="18" t="s">
        <v>316</v>
      </c>
    </row>
    <row r="22073">
      <c r="A22073" s="17"/>
      <c r="H22073" s="18"/>
      <c r="K22073" s="18" t="s">
        <v>316</v>
      </c>
    </row>
    <row r="22074">
      <c r="A22074" s="17"/>
      <c r="H22074" s="18"/>
      <c r="K22074" s="18" t="s">
        <v>316</v>
      </c>
    </row>
    <row r="22075">
      <c r="A22075" s="17"/>
      <c r="H22075" s="18"/>
      <c r="K22075" s="18" t="s">
        <v>316</v>
      </c>
    </row>
    <row r="22076">
      <c r="A22076" s="17"/>
      <c r="H22076" s="18"/>
      <c r="K22076" s="18" t="s">
        <v>316</v>
      </c>
    </row>
    <row r="22077">
      <c r="A22077" s="17"/>
      <c r="H22077" s="18"/>
      <c r="K22077" s="18" t="s">
        <v>316</v>
      </c>
    </row>
    <row r="22078">
      <c r="A22078" s="17"/>
      <c r="H22078" s="18"/>
      <c r="K22078" s="18" t="s">
        <v>316</v>
      </c>
    </row>
    <row r="22079">
      <c r="A22079" s="17"/>
      <c r="H22079" s="18"/>
      <c r="K22079" s="18" t="s">
        <v>316</v>
      </c>
    </row>
    <row r="22080">
      <c r="A22080" s="17"/>
      <c r="H22080" s="18"/>
      <c r="K22080" s="18" t="s">
        <v>316</v>
      </c>
    </row>
    <row r="22081">
      <c r="A22081" s="17"/>
      <c r="H22081" s="18"/>
      <c r="K22081" s="18" t="s">
        <v>316</v>
      </c>
    </row>
    <row r="22082">
      <c r="A22082" s="17"/>
      <c r="H22082" s="18"/>
      <c r="K22082" s="18" t="s">
        <v>316</v>
      </c>
    </row>
    <row r="22083">
      <c r="A22083" s="17"/>
      <c r="H22083" s="18"/>
      <c r="K22083" s="18" t="s">
        <v>316</v>
      </c>
    </row>
    <row r="22084">
      <c r="A22084" s="17"/>
      <c r="H22084" s="18"/>
      <c r="K22084" s="18" t="s">
        <v>316</v>
      </c>
    </row>
    <row r="22085">
      <c r="A22085" s="17"/>
      <c r="H22085" s="18"/>
      <c r="K22085" s="18" t="s">
        <v>316</v>
      </c>
    </row>
    <row r="22086">
      <c r="A22086" s="17"/>
      <c r="H22086" s="18"/>
      <c r="K22086" s="18" t="s">
        <v>316</v>
      </c>
    </row>
    <row r="22087">
      <c r="A22087" s="17"/>
      <c r="H22087" s="18"/>
      <c r="K22087" s="18" t="s">
        <v>316</v>
      </c>
    </row>
    <row r="22088">
      <c r="A22088" s="17"/>
      <c r="H22088" s="18"/>
      <c r="K22088" s="18" t="s">
        <v>316</v>
      </c>
    </row>
    <row r="22089">
      <c r="A22089" s="17"/>
      <c r="H22089" s="18"/>
      <c r="K22089" s="18" t="s">
        <v>316</v>
      </c>
    </row>
    <row r="22090">
      <c r="A22090" s="17"/>
      <c r="H22090" s="18"/>
      <c r="K22090" s="18" t="s">
        <v>316</v>
      </c>
    </row>
    <row r="22091">
      <c r="A22091" s="17"/>
      <c r="H22091" s="18"/>
      <c r="K22091" s="18" t="s">
        <v>316</v>
      </c>
    </row>
    <row r="22092">
      <c r="A22092" s="17"/>
      <c r="H22092" s="18"/>
      <c r="K22092" s="18" t="s">
        <v>316</v>
      </c>
    </row>
    <row r="22093">
      <c r="A22093" s="17"/>
      <c r="H22093" s="18"/>
      <c r="K22093" s="18" t="s">
        <v>316</v>
      </c>
    </row>
    <row r="22094">
      <c r="A22094" s="17"/>
      <c r="H22094" s="18"/>
      <c r="K22094" s="18" t="s">
        <v>316</v>
      </c>
    </row>
    <row r="22095">
      <c r="A22095" s="17"/>
      <c r="H22095" s="18"/>
      <c r="K22095" s="18" t="s">
        <v>316</v>
      </c>
    </row>
    <row r="22096">
      <c r="A22096" s="17"/>
      <c r="H22096" s="18"/>
      <c r="K22096" s="18" t="s">
        <v>316</v>
      </c>
    </row>
    <row r="22097">
      <c r="A22097" s="17"/>
      <c r="H22097" s="18"/>
      <c r="K22097" s="18" t="s">
        <v>316</v>
      </c>
    </row>
    <row r="22098">
      <c r="A22098" s="17"/>
      <c r="H22098" s="18"/>
      <c r="K22098" s="18" t="s">
        <v>316</v>
      </c>
    </row>
    <row r="22099">
      <c r="A22099" s="17"/>
      <c r="H22099" s="18"/>
      <c r="K22099" s="18" t="s">
        <v>316</v>
      </c>
    </row>
    <row r="22100">
      <c r="A22100" s="17"/>
      <c r="H22100" s="18"/>
      <c r="K22100" s="18" t="s">
        <v>316</v>
      </c>
    </row>
    <row r="22101">
      <c r="A22101" s="17"/>
      <c r="H22101" s="18"/>
      <c r="K22101" s="18" t="s">
        <v>316</v>
      </c>
    </row>
    <row r="22102">
      <c r="A22102" s="17"/>
      <c r="H22102" s="18"/>
      <c r="K22102" s="18" t="s">
        <v>316</v>
      </c>
    </row>
    <row r="22103">
      <c r="A22103" s="17"/>
      <c r="H22103" s="18"/>
      <c r="K22103" s="18" t="s">
        <v>316</v>
      </c>
    </row>
    <row r="22104">
      <c r="A22104" s="17"/>
      <c r="H22104" s="18"/>
      <c r="K22104" s="18" t="s">
        <v>316</v>
      </c>
    </row>
    <row r="22105">
      <c r="A22105" s="17"/>
      <c r="H22105" s="18"/>
      <c r="K22105" s="18" t="s">
        <v>316</v>
      </c>
    </row>
    <row r="22106">
      <c r="A22106" s="17"/>
      <c r="H22106" s="18"/>
      <c r="K22106" s="18" t="s">
        <v>316</v>
      </c>
    </row>
    <row r="22107">
      <c r="A22107" s="17"/>
      <c r="H22107" s="18"/>
      <c r="K22107" s="18" t="s">
        <v>316</v>
      </c>
    </row>
    <row r="22108">
      <c r="A22108" s="17"/>
      <c r="H22108" s="18"/>
      <c r="K22108" s="18" t="s">
        <v>316</v>
      </c>
    </row>
    <row r="22109">
      <c r="A22109" s="17"/>
      <c r="H22109" s="18"/>
      <c r="K22109" s="18" t="s">
        <v>316</v>
      </c>
    </row>
    <row r="22110">
      <c r="A22110" s="17"/>
      <c r="H22110" s="18"/>
      <c r="K22110" s="18" t="s">
        <v>316</v>
      </c>
    </row>
    <row r="22111">
      <c r="A22111" s="17"/>
      <c r="H22111" s="18"/>
      <c r="K22111" s="18" t="s">
        <v>316</v>
      </c>
    </row>
    <row r="22112">
      <c r="A22112" s="17"/>
      <c r="H22112" s="18"/>
      <c r="K22112" s="18" t="s">
        <v>316</v>
      </c>
    </row>
    <row r="22113">
      <c r="A22113" s="17"/>
      <c r="H22113" s="18"/>
      <c r="K22113" s="18" t="s">
        <v>316</v>
      </c>
    </row>
    <row r="22114">
      <c r="A22114" s="17"/>
      <c r="H22114" s="18"/>
      <c r="K22114" s="18" t="s">
        <v>316</v>
      </c>
    </row>
    <row r="22115">
      <c r="A22115" s="17"/>
      <c r="H22115" s="18"/>
      <c r="K22115" s="18" t="s">
        <v>316</v>
      </c>
    </row>
    <row r="22116">
      <c r="A22116" s="17"/>
      <c r="H22116" s="18"/>
      <c r="K22116" s="18" t="s">
        <v>316</v>
      </c>
    </row>
    <row r="22117">
      <c r="A22117" s="17"/>
      <c r="H22117" s="18"/>
      <c r="K22117" s="18" t="s">
        <v>316</v>
      </c>
    </row>
    <row r="22118">
      <c r="A22118" s="17"/>
      <c r="H22118" s="18"/>
      <c r="K22118" s="18" t="s">
        <v>316</v>
      </c>
    </row>
    <row r="22119">
      <c r="A22119" s="17"/>
      <c r="H22119" s="18"/>
      <c r="K22119" s="18" t="s">
        <v>316</v>
      </c>
    </row>
    <row r="22120">
      <c r="A22120" s="17"/>
      <c r="H22120" s="18"/>
      <c r="K22120" s="18" t="s">
        <v>316</v>
      </c>
    </row>
    <row r="22121">
      <c r="A22121" s="17"/>
      <c r="H22121" s="18"/>
      <c r="K22121" s="18" t="s">
        <v>316</v>
      </c>
    </row>
    <row r="22122">
      <c r="A22122" s="17"/>
      <c r="H22122" s="18"/>
      <c r="K22122" s="18" t="s">
        <v>316</v>
      </c>
    </row>
    <row r="22123">
      <c r="A22123" s="17"/>
      <c r="H22123" s="18"/>
      <c r="K22123" s="18" t="s">
        <v>316</v>
      </c>
    </row>
    <row r="22124">
      <c r="A22124" s="17"/>
      <c r="H22124" s="18"/>
      <c r="K22124" s="18" t="s">
        <v>316</v>
      </c>
    </row>
    <row r="22125">
      <c r="A22125" s="17"/>
      <c r="H22125" s="18"/>
      <c r="K22125" s="18" t="s">
        <v>316</v>
      </c>
    </row>
    <row r="22126">
      <c r="A22126" s="17"/>
      <c r="H22126" s="18"/>
      <c r="K22126" s="18" t="s">
        <v>316</v>
      </c>
    </row>
    <row r="22127">
      <c r="A22127" s="17"/>
      <c r="H22127" s="18"/>
      <c r="K22127" s="18" t="s">
        <v>316</v>
      </c>
    </row>
    <row r="22128">
      <c r="A22128" s="17"/>
      <c r="H22128" s="18"/>
      <c r="K22128" s="18" t="s">
        <v>316</v>
      </c>
    </row>
    <row r="22129">
      <c r="A22129" s="17"/>
      <c r="H22129" s="18"/>
      <c r="K22129" s="18" t="s">
        <v>316</v>
      </c>
    </row>
    <row r="22130">
      <c r="A22130" s="17"/>
      <c r="H22130" s="18"/>
      <c r="K22130" s="18" t="s">
        <v>316</v>
      </c>
    </row>
    <row r="22131">
      <c r="A22131" s="17"/>
      <c r="H22131" s="18"/>
      <c r="K22131" s="18" t="s">
        <v>316</v>
      </c>
    </row>
    <row r="22132">
      <c r="A22132" s="17"/>
      <c r="H22132" s="18"/>
      <c r="K22132" s="18" t="s">
        <v>316</v>
      </c>
    </row>
    <row r="22133">
      <c r="A22133" s="17"/>
      <c r="H22133" s="18"/>
      <c r="K22133" s="18" t="s">
        <v>316</v>
      </c>
    </row>
    <row r="22134">
      <c r="A22134" s="17"/>
      <c r="H22134" s="18"/>
      <c r="K22134" s="18" t="s">
        <v>316</v>
      </c>
    </row>
    <row r="22135">
      <c r="A22135" s="17"/>
      <c r="H22135" s="18"/>
      <c r="K22135" s="18" t="s">
        <v>316</v>
      </c>
    </row>
    <row r="22136">
      <c r="A22136" s="17"/>
      <c r="H22136" s="18"/>
      <c r="K22136" s="18" t="s">
        <v>316</v>
      </c>
    </row>
    <row r="22137">
      <c r="A22137" s="17"/>
      <c r="H22137" s="18"/>
      <c r="K22137" s="18" t="s">
        <v>316</v>
      </c>
    </row>
    <row r="22138">
      <c r="A22138" s="17"/>
      <c r="H22138" s="18"/>
      <c r="K22138" s="18" t="s">
        <v>316</v>
      </c>
    </row>
    <row r="22139">
      <c r="A22139" s="17"/>
      <c r="H22139" s="18"/>
      <c r="K22139" s="18" t="s">
        <v>316</v>
      </c>
    </row>
    <row r="22140">
      <c r="A22140" s="17"/>
      <c r="H22140" s="18"/>
      <c r="K22140" s="18" t="s">
        <v>316</v>
      </c>
    </row>
    <row r="22141">
      <c r="A22141" s="17"/>
      <c r="H22141" s="18"/>
      <c r="K22141" s="18" t="s">
        <v>316</v>
      </c>
    </row>
    <row r="22142">
      <c r="A22142" s="17"/>
      <c r="H22142" s="18"/>
      <c r="K22142" s="18" t="s">
        <v>316</v>
      </c>
    </row>
    <row r="22143">
      <c r="A22143" s="17"/>
      <c r="H22143" s="18"/>
      <c r="K22143" s="18" t="s">
        <v>316</v>
      </c>
    </row>
    <row r="22144">
      <c r="A22144" s="17"/>
      <c r="H22144" s="18"/>
      <c r="K22144" s="18" t="s">
        <v>316</v>
      </c>
    </row>
    <row r="22145">
      <c r="A22145" s="17"/>
      <c r="H22145" s="18"/>
      <c r="K22145" s="18" t="s">
        <v>316</v>
      </c>
    </row>
    <row r="22146">
      <c r="A22146" s="17"/>
      <c r="H22146" s="18"/>
      <c r="K22146" s="18" t="s">
        <v>316</v>
      </c>
    </row>
    <row r="22147">
      <c r="A22147" s="17"/>
      <c r="H22147" s="18"/>
      <c r="K22147" s="18" t="s">
        <v>316</v>
      </c>
    </row>
    <row r="22148">
      <c r="A22148" s="17"/>
      <c r="H22148" s="18"/>
      <c r="K22148" s="18" t="s">
        <v>316</v>
      </c>
    </row>
    <row r="22149">
      <c r="A22149" s="17"/>
      <c r="H22149" s="18"/>
      <c r="K22149" s="18" t="s">
        <v>316</v>
      </c>
    </row>
    <row r="22150">
      <c r="A22150" s="17"/>
      <c r="H22150" s="18"/>
      <c r="K22150" s="18" t="s">
        <v>316</v>
      </c>
    </row>
    <row r="22151">
      <c r="A22151" s="17"/>
      <c r="H22151" s="18"/>
      <c r="K22151" s="18" t="s">
        <v>316</v>
      </c>
    </row>
    <row r="22152">
      <c r="A22152" s="17"/>
      <c r="H22152" s="18"/>
      <c r="K22152" s="18" t="s">
        <v>316</v>
      </c>
    </row>
    <row r="22153">
      <c r="A22153" s="17"/>
      <c r="H22153" s="18"/>
      <c r="K22153" s="18" t="s">
        <v>316</v>
      </c>
    </row>
    <row r="22154">
      <c r="A22154" s="17"/>
      <c r="H22154" s="18"/>
      <c r="K22154" s="18" t="s">
        <v>316</v>
      </c>
    </row>
    <row r="22155">
      <c r="A22155" s="17"/>
      <c r="H22155" s="18"/>
      <c r="K22155" s="18" t="s">
        <v>316</v>
      </c>
    </row>
    <row r="22156">
      <c r="A22156" s="17"/>
      <c r="H22156" s="18"/>
      <c r="K22156" s="18" t="s">
        <v>316</v>
      </c>
    </row>
    <row r="22157">
      <c r="A22157" s="17"/>
      <c r="H22157" s="18"/>
      <c r="K22157" s="18" t="s">
        <v>316</v>
      </c>
    </row>
    <row r="22158">
      <c r="A22158" s="17"/>
      <c r="H22158" s="18"/>
      <c r="K22158" s="18" t="s">
        <v>316</v>
      </c>
    </row>
    <row r="22159">
      <c r="A22159" s="17"/>
      <c r="H22159" s="18"/>
      <c r="K22159" s="18" t="s">
        <v>316</v>
      </c>
    </row>
    <row r="22160">
      <c r="A22160" s="17"/>
      <c r="H22160" s="18"/>
      <c r="K22160" s="18" t="s">
        <v>316</v>
      </c>
    </row>
    <row r="22161">
      <c r="A22161" s="17"/>
      <c r="H22161" s="18"/>
      <c r="K22161" s="18" t="s">
        <v>316</v>
      </c>
    </row>
    <row r="22162">
      <c r="A22162" s="17"/>
      <c r="H22162" s="18"/>
      <c r="K22162" s="18" t="s">
        <v>316</v>
      </c>
    </row>
    <row r="22163">
      <c r="A22163" s="17"/>
      <c r="H22163" s="18"/>
      <c r="K22163" s="18" t="s">
        <v>316</v>
      </c>
    </row>
    <row r="22164">
      <c r="A22164" s="17"/>
      <c r="H22164" s="18"/>
      <c r="K22164" s="18" t="s">
        <v>316</v>
      </c>
    </row>
    <row r="22165">
      <c r="A22165" s="17"/>
      <c r="H22165" s="18"/>
      <c r="K22165" s="18" t="s">
        <v>316</v>
      </c>
    </row>
    <row r="22166">
      <c r="A22166" s="17"/>
      <c r="H22166" s="18"/>
      <c r="K22166" s="18" t="s">
        <v>316</v>
      </c>
    </row>
    <row r="22167">
      <c r="A22167" s="17"/>
      <c r="H22167" s="18"/>
      <c r="K22167" s="18" t="s">
        <v>316</v>
      </c>
    </row>
    <row r="22168">
      <c r="A22168" s="17"/>
      <c r="H22168" s="18"/>
      <c r="K22168" s="18" t="s">
        <v>316</v>
      </c>
    </row>
    <row r="22169">
      <c r="A22169" s="17"/>
      <c r="H22169" s="18"/>
      <c r="K22169" s="18" t="s">
        <v>316</v>
      </c>
    </row>
    <row r="22170">
      <c r="A22170" s="17"/>
      <c r="H22170" s="18"/>
      <c r="K22170" s="18" t="s">
        <v>316</v>
      </c>
    </row>
    <row r="22171">
      <c r="A22171" s="17"/>
      <c r="H22171" s="18"/>
      <c r="K22171" s="18" t="s">
        <v>316</v>
      </c>
    </row>
    <row r="22172">
      <c r="A22172" s="17"/>
      <c r="H22172" s="18"/>
      <c r="K22172" s="18" t="s">
        <v>316</v>
      </c>
    </row>
    <row r="22173">
      <c r="A22173" s="17"/>
      <c r="H22173" s="18"/>
      <c r="K22173" s="18" t="s">
        <v>316</v>
      </c>
    </row>
    <row r="22174">
      <c r="A22174" s="17"/>
      <c r="H22174" s="18"/>
      <c r="K22174" s="18" t="s">
        <v>316</v>
      </c>
    </row>
    <row r="22175">
      <c r="A22175" s="17"/>
      <c r="H22175" s="18"/>
      <c r="K22175" s="18" t="s">
        <v>316</v>
      </c>
    </row>
    <row r="22176">
      <c r="A22176" s="17"/>
      <c r="H22176" s="18"/>
      <c r="K22176" s="18" t="s">
        <v>316</v>
      </c>
    </row>
    <row r="22177">
      <c r="A22177" s="17"/>
      <c r="H22177" s="18"/>
      <c r="K22177" s="18" t="s">
        <v>316</v>
      </c>
    </row>
    <row r="22178">
      <c r="A22178" s="17"/>
      <c r="H22178" s="18"/>
      <c r="K22178" s="18" t="s">
        <v>316</v>
      </c>
    </row>
    <row r="22179">
      <c r="A22179" s="17"/>
      <c r="H22179" s="18"/>
      <c r="K22179" s="18" t="s">
        <v>316</v>
      </c>
    </row>
    <row r="22180">
      <c r="A22180" s="17"/>
      <c r="H22180" s="18"/>
      <c r="K22180" s="18" t="s">
        <v>316</v>
      </c>
    </row>
    <row r="22181">
      <c r="A22181" s="17"/>
      <c r="H22181" s="18"/>
      <c r="K22181" s="18" t="s">
        <v>316</v>
      </c>
    </row>
    <row r="22182">
      <c r="A22182" s="17"/>
      <c r="H22182" s="18"/>
      <c r="K22182" s="18" t="s">
        <v>316</v>
      </c>
    </row>
    <row r="22183">
      <c r="A22183" s="17"/>
      <c r="H22183" s="18"/>
      <c r="K22183" s="18" t="s">
        <v>316</v>
      </c>
    </row>
    <row r="22184">
      <c r="A22184" s="17"/>
      <c r="H22184" s="18"/>
      <c r="K22184" s="18" t="s">
        <v>316</v>
      </c>
    </row>
    <row r="22185">
      <c r="A22185" s="17"/>
      <c r="H22185" s="18"/>
      <c r="K22185" s="18" t="s">
        <v>316</v>
      </c>
    </row>
    <row r="22186">
      <c r="A22186" s="17"/>
      <c r="H22186" s="18"/>
      <c r="K22186" s="18" t="s">
        <v>316</v>
      </c>
    </row>
    <row r="22187">
      <c r="A22187" s="17"/>
      <c r="H22187" s="18"/>
      <c r="K22187" s="18" t="s">
        <v>316</v>
      </c>
    </row>
    <row r="22188">
      <c r="A22188" s="17"/>
      <c r="H22188" s="18"/>
      <c r="K22188" s="18" t="s">
        <v>316</v>
      </c>
    </row>
    <row r="22189">
      <c r="A22189" s="17"/>
      <c r="H22189" s="18"/>
      <c r="K22189" s="18" t="s">
        <v>316</v>
      </c>
    </row>
    <row r="22190">
      <c r="A22190" s="17"/>
      <c r="H22190" s="18"/>
      <c r="K22190" s="18" t="s">
        <v>316</v>
      </c>
    </row>
    <row r="22191">
      <c r="A22191" s="17"/>
      <c r="H22191" s="18"/>
      <c r="K22191" s="18" t="s">
        <v>316</v>
      </c>
    </row>
    <row r="22192">
      <c r="A22192" s="17"/>
      <c r="H22192" s="18"/>
      <c r="K22192" s="18" t="s">
        <v>316</v>
      </c>
    </row>
    <row r="22193">
      <c r="A22193" s="17"/>
      <c r="H22193" s="18"/>
      <c r="K22193" s="18" t="s">
        <v>316</v>
      </c>
    </row>
    <row r="22194">
      <c r="A22194" s="17"/>
      <c r="H22194" s="18"/>
      <c r="K22194" s="18" t="s">
        <v>316</v>
      </c>
    </row>
    <row r="22195">
      <c r="A22195" s="17"/>
      <c r="H22195" s="18"/>
      <c r="K22195" s="18" t="s">
        <v>316</v>
      </c>
    </row>
    <row r="22196">
      <c r="A22196" s="17"/>
      <c r="H22196" s="18"/>
      <c r="K22196" s="18" t="s">
        <v>316</v>
      </c>
    </row>
    <row r="22197">
      <c r="A22197" s="17"/>
      <c r="H22197" s="18"/>
      <c r="K22197" s="18" t="s">
        <v>316</v>
      </c>
    </row>
    <row r="22198">
      <c r="A22198" s="17"/>
      <c r="H22198" s="18"/>
      <c r="K22198" s="18" t="s">
        <v>316</v>
      </c>
    </row>
    <row r="22199">
      <c r="A22199" s="17"/>
      <c r="H22199" s="18"/>
      <c r="K22199" s="18" t="s">
        <v>316</v>
      </c>
    </row>
    <row r="22200">
      <c r="A22200" s="17"/>
      <c r="H22200" s="18"/>
      <c r="K22200" s="18" t="s">
        <v>316</v>
      </c>
    </row>
    <row r="22201">
      <c r="A22201" s="17"/>
      <c r="H22201" s="18"/>
      <c r="K22201" s="18" t="s">
        <v>316</v>
      </c>
    </row>
    <row r="22202">
      <c r="A22202" s="17"/>
      <c r="H22202" s="18"/>
      <c r="K22202" s="18" t="s">
        <v>316</v>
      </c>
    </row>
    <row r="22203">
      <c r="A22203" s="17"/>
      <c r="H22203" s="18"/>
      <c r="K22203" s="18" t="s">
        <v>316</v>
      </c>
    </row>
    <row r="22204">
      <c r="A22204" s="17"/>
      <c r="H22204" s="18"/>
      <c r="K22204" s="18" t="s">
        <v>316</v>
      </c>
    </row>
    <row r="22205">
      <c r="A22205" s="17"/>
      <c r="H22205" s="18"/>
      <c r="K22205" s="18" t="s">
        <v>316</v>
      </c>
    </row>
    <row r="22206">
      <c r="A22206" s="17"/>
      <c r="H22206" s="18"/>
      <c r="K22206" s="18" t="s">
        <v>316</v>
      </c>
    </row>
    <row r="22207">
      <c r="A22207" s="17"/>
      <c r="H22207" s="18"/>
      <c r="K22207" s="18" t="s">
        <v>316</v>
      </c>
    </row>
    <row r="22208">
      <c r="A22208" s="17"/>
      <c r="H22208" s="18"/>
      <c r="K22208" s="18" t="s">
        <v>316</v>
      </c>
    </row>
    <row r="22209">
      <c r="A22209" s="17"/>
      <c r="H22209" s="18"/>
      <c r="K22209" s="18" t="s">
        <v>316</v>
      </c>
    </row>
    <row r="22210">
      <c r="A22210" s="17"/>
      <c r="H22210" s="18"/>
      <c r="K22210" s="18" t="s">
        <v>316</v>
      </c>
    </row>
    <row r="22211">
      <c r="A22211" s="17"/>
      <c r="H22211" s="18"/>
      <c r="K22211" s="18" t="s">
        <v>316</v>
      </c>
    </row>
    <row r="22212">
      <c r="A22212" s="17"/>
      <c r="H22212" s="18"/>
      <c r="K22212" s="18" t="s">
        <v>316</v>
      </c>
    </row>
    <row r="22213">
      <c r="A22213" s="17"/>
      <c r="H22213" s="18"/>
      <c r="K22213" s="18" t="s">
        <v>316</v>
      </c>
    </row>
    <row r="22214">
      <c r="A22214" s="17"/>
      <c r="H22214" s="18"/>
      <c r="K22214" s="18" t="s">
        <v>316</v>
      </c>
    </row>
    <row r="22215">
      <c r="A22215" s="17"/>
      <c r="H22215" s="18"/>
      <c r="K22215" s="18" t="s">
        <v>316</v>
      </c>
    </row>
    <row r="22216">
      <c r="A22216" s="17"/>
      <c r="H22216" s="18"/>
      <c r="K22216" s="18" t="s">
        <v>316</v>
      </c>
    </row>
    <row r="22217">
      <c r="A22217" s="17"/>
      <c r="H22217" s="18"/>
      <c r="K22217" s="18" t="s">
        <v>316</v>
      </c>
    </row>
    <row r="22218">
      <c r="A22218" s="17"/>
      <c r="H22218" s="18"/>
      <c r="K22218" s="18" t="s">
        <v>316</v>
      </c>
    </row>
    <row r="22219">
      <c r="A22219" s="17"/>
      <c r="H22219" s="18"/>
      <c r="K22219" s="18" t="s">
        <v>316</v>
      </c>
    </row>
    <row r="22220">
      <c r="A22220" s="17"/>
      <c r="H22220" s="18"/>
      <c r="K22220" s="18" t="s">
        <v>316</v>
      </c>
    </row>
    <row r="22221">
      <c r="A22221" s="17"/>
      <c r="H22221" s="18"/>
      <c r="K22221" s="18" t="s">
        <v>316</v>
      </c>
    </row>
    <row r="22222">
      <c r="A22222" s="17"/>
      <c r="H22222" s="18"/>
      <c r="K22222" s="18" t="s">
        <v>316</v>
      </c>
    </row>
    <row r="22223">
      <c r="A22223" s="17"/>
      <c r="H22223" s="18"/>
      <c r="K22223" s="18" t="s">
        <v>316</v>
      </c>
    </row>
    <row r="22224">
      <c r="A22224" s="17"/>
      <c r="H22224" s="18"/>
      <c r="K22224" s="18" t="s">
        <v>316</v>
      </c>
    </row>
    <row r="22225">
      <c r="A22225" s="17"/>
      <c r="H22225" s="18"/>
      <c r="K22225" s="18" t="s">
        <v>316</v>
      </c>
    </row>
    <row r="22226">
      <c r="A22226" s="17"/>
      <c r="H22226" s="18"/>
      <c r="K22226" s="18" t="s">
        <v>316</v>
      </c>
    </row>
    <row r="22227">
      <c r="A22227" s="17"/>
      <c r="H22227" s="18"/>
      <c r="K22227" s="18" t="s">
        <v>316</v>
      </c>
    </row>
    <row r="22228">
      <c r="A22228" s="17"/>
      <c r="H22228" s="18"/>
      <c r="K22228" s="18" t="s">
        <v>316</v>
      </c>
    </row>
    <row r="22229">
      <c r="A22229" s="17"/>
      <c r="H22229" s="18"/>
      <c r="K22229" s="18" t="s">
        <v>316</v>
      </c>
    </row>
    <row r="22230">
      <c r="A22230" s="17"/>
      <c r="H22230" s="18"/>
      <c r="K22230" s="18" t="s">
        <v>316</v>
      </c>
    </row>
    <row r="22231">
      <c r="A22231" s="17"/>
      <c r="H22231" s="18"/>
      <c r="K22231" s="18" t="s">
        <v>316</v>
      </c>
    </row>
    <row r="22232">
      <c r="A22232" s="17"/>
      <c r="H22232" s="18"/>
      <c r="K22232" s="18" t="s">
        <v>316</v>
      </c>
    </row>
    <row r="22233">
      <c r="A22233" s="17"/>
      <c r="H22233" s="18"/>
      <c r="K22233" s="18" t="s">
        <v>316</v>
      </c>
    </row>
    <row r="22234">
      <c r="A22234" s="17"/>
      <c r="H22234" s="18"/>
      <c r="K22234" s="18" t="s">
        <v>316</v>
      </c>
    </row>
    <row r="22235">
      <c r="A22235" s="17"/>
      <c r="H22235" s="18"/>
      <c r="K22235" s="18" t="s">
        <v>316</v>
      </c>
    </row>
    <row r="22236">
      <c r="A22236" s="17"/>
      <c r="H22236" s="18"/>
      <c r="K22236" s="18" t="s">
        <v>316</v>
      </c>
    </row>
    <row r="22237">
      <c r="A22237" s="17"/>
      <c r="H22237" s="18"/>
      <c r="K22237" s="18" t="s">
        <v>316</v>
      </c>
    </row>
    <row r="22238">
      <c r="A22238" s="17"/>
      <c r="H22238" s="18"/>
      <c r="K22238" s="18" t="s">
        <v>316</v>
      </c>
    </row>
    <row r="22239">
      <c r="A22239" s="17"/>
      <c r="H22239" s="18"/>
      <c r="K22239" s="18" t="s">
        <v>316</v>
      </c>
    </row>
    <row r="22240">
      <c r="A22240" s="17"/>
      <c r="H22240" s="18"/>
      <c r="K22240" s="18" t="s">
        <v>316</v>
      </c>
    </row>
    <row r="22241">
      <c r="A22241" s="17"/>
      <c r="H22241" s="18"/>
      <c r="K22241" s="18" t="s">
        <v>316</v>
      </c>
    </row>
    <row r="22242">
      <c r="A22242" s="17"/>
      <c r="H22242" s="18"/>
      <c r="K22242" s="18" t="s">
        <v>316</v>
      </c>
    </row>
    <row r="22243">
      <c r="A22243" s="17"/>
      <c r="H22243" s="18"/>
      <c r="K22243" s="18" t="s">
        <v>316</v>
      </c>
    </row>
    <row r="22244">
      <c r="A22244" s="17"/>
      <c r="H22244" s="18"/>
      <c r="K22244" s="18" t="s">
        <v>316</v>
      </c>
    </row>
    <row r="22245">
      <c r="A22245" s="17"/>
      <c r="H22245" s="18"/>
      <c r="K22245" s="18" t="s">
        <v>316</v>
      </c>
    </row>
    <row r="22246">
      <c r="A22246" s="17"/>
      <c r="H22246" s="18"/>
      <c r="K22246" s="18" t="s">
        <v>316</v>
      </c>
    </row>
    <row r="22247">
      <c r="A22247" s="17"/>
      <c r="H22247" s="18"/>
      <c r="K22247" s="18" t="s">
        <v>316</v>
      </c>
    </row>
    <row r="22248">
      <c r="A22248" s="17"/>
      <c r="H22248" s="18"/>
      <c r="K22248" s="18" t="s">
        <v>316</v>
      </c>
    </row>
    <row r="22249">
      <c r="A22249" s="17"/>
      <c r="H22249" s="18"/>
      <c r="K22249" s="18" t="s">
        <v>316</v>
      </c>
    </row>
    <row r="22250">
      <c r="A22250" s="17"/>
      <c r="H22250" s="18"/>
      <c r="K22250" s="18" t="s">
        <v>316</v>
      </c>
    </row>
    <row r="22251">
      <c r="A22251" s="17"/>
      <c r="H22251" s="18"/>
      <c r="K22251" s="18" t="s">
        <v>316</v>
      </c>
    </row>
    <row r="22252">
      <c r="A22252" s="17"/>
      <c r="H22252" s="18"/>
      <c r="K22252" s="18" t="s">
        <v>316</v>
      </c>
    </row>
    <row r="22253">
      <c r="A22253" s="17"/>
      <c r="H22253" s="18"/>
      <c r="K22253" s="18" t="s">
        <v>316</v>
      </c>
    </row>
    <row r="22254">
      <c r="A22254" s="17"/>
      <c r="H22254" s="18"/>
      <c r="K22254" s="18" t="s">
        <v>316</v>
      </c>
    </row>
    <row r="22255">
      <c r="A22255" s="17"/>
      <c r="H22255" s="18"/>
      <c r="K22255" s="18" t="s">
        <v>316</v>
      </c>
    </row>
    <row r="22256">
      <c r="A22256" s="17"/>
      <c r="H22256" s="18"/>
      <c r="K22256" s="18" t="s">
        <v>316</v>
      </c>
    </row>
    <row r="22257">
      <c r="A22257" s="17"/>
      <c r="H22257" s="18"/>
      <c r="K22257" s="18" t="s">
        <v>316</v>
      </c>
    </row>
    <row r="22258">
      <c r="A22258" s="17"/>
      <c r="H22258" s="18"/>
      <c r="K22258" s="18" t="s">
        <v>316</v>
      </c>
    </row>
    <row r="22259">
      <c r="A22259" s="17"/>
      <c r="H22259" s="18"/>
      <c r="K22259" s="18" t="s">
        <v>316</v>
      </c>
    </row>
    <row r="22260">
      <c r="A22260" s="17"/>
      <c r="H22260" s="18"/>
      <c r="K22260" s="18" t="s">
        <v>316</v>
      </c>
    </row>
    <row r="22261">
      <c r="A22261" s="17"/>
      <c r="H22261" s="18"/>
      <c r="K22261" s="18" t="s">
        <v>316</v>
      </c>
    </row>
    <row r="22262">
      <c r="A22262" s="17"/>
      <c r="H22262" s="18"/>
      <c r="K22262" s="18" t="s">
        <v>316</v>
      </c>
    </row>
    <row r="22263">
      <c r="A22263" s="17"/>
      <c r="H22263" s="18"/>
      <c r="K22263" s="18" t="s">
        <v>316</v>
      </c>
    </row>
    <row r="22264">
      <c r="A22264" s="17"/>
      <c r="H22264" s="18"/>
      <c r="K22264" s="18" t="s">
        <v>316</v>
      </c>
    </row>
    <row r="22265">
      <c r="A22265" s="17"/>
      <c r="H22265" s="18"/>
      <c r="K22265" s="18" t="s">
        <v>316</v>
      </c>
    </row>
    <row r="22266">
      <c r="A22266" s="17"/>
      <c r="H22266" s="18"/>
      <c r="K22266" s="18" t="s">
        <v>316</v>
      </c>
    </row>
    <row r="22267">
      <c r="A22267" s="17"/>
      <c r="H22267" s="18"/>
      <c r="K22267" s="18" t="s">
        <v>316</v>
      </c>
    </row>
    <row r="22268">
      <c r="A22268" s="17"/>
      <c r="H22268" s="18"/>
      <c r="K22268" s="18" t="s">
        <v>316</v>
      </c>
    </row>
    <row r="22269">
      <c r="A22269" s="17"/>
      <c r="H22269" s="18"/>
      <c r="K22269" s="18" t="s">
        <v>316</v>
      </c>
    </row>
    <row r="22270">
      <c r="A22270" s="17"/>
      <c r="H22270" s="18"/>
      <c r="K22270" s="18" t="s">
        <v>316</v>
      </c>
    </row>
    <row r="22271">
      <c r="A22271" s="17"/>
      <c r="H22271" s="18"/>
      <c r="K22271" s="18" t="s">
        <v>316</v>
      </c>
    </row>
    <row r="22272">
      <c r="A22272" s="17"/>
      <c r="H22272" s="18"/>
      <c r="K22272" s="18" t="s">
        <v>316</v>
      </c>
    </row>
    <row r="22273">
      <c r="A22273" s="17"/>
      <c r="H22273" s="18"/>
      <c r="K22273" s="18" t="s">
        <v>316</v>
      </c>
    </row>
    <row r="22274">
      <c r="A22274" s="17"/>
      <c r="H22274" s="18"/>
      <c r="K22274" s="18" t="s">
        <v>316</v>
      </c>
    </row>
    <row r="22275">
      <c r="A22275" s="17"/>
      <c r="H22275" s="18"/>
      <c r="K22275" s="18" t="s">
        <v>316</v>
      </c>
    </row>
    <row r="22276">
      <c r="A22276" s="17"/>
      <c r="H22276" s="18"/>
      <c r="K22276" s="18" t="s">
        <v>316</v>
      </c>
    </row>
    <row r="22277">
      <c r="A22277" s="17"/>
      <c r="H22277" s="18"/>
      <c r="K22277" s="18" t="s">
        <v>316</v>
      </c>
    </row>
    <row r="22278">
      <c r="A22278" s="17"/>
      <c r="H22278" s="18"/>
      <c r="K22278" s="18" t="s">
        <v>316</v>
      </c>
    </row>
    <row r="22279">
      <c r="A22279" s="17"/>
      <c r="H22279" s="18"/>
      <c r="K22279" s="18" t="s">
        <v>316</v>
      </c>
    </row>
    <row r="22280">
      <c r="A22280" s="17"/>
      <c r="H22280" s="18"/>
      <c r="K22280" s="18" t="s">
        <v>316</v>
      </c>
    </row>
    <row r="22281">
      <c r="A22281" s="17"/>
      <c r="H22281" s="18"/>
      <c r="K22281" s="18" t="s">
        <v>316</v>
      </c>
    </row>
    <row r="22282">
      <c r="A22282" s="17"/>
      <c r="H22282" s="18"/>
      <c r="K22282" s="18" t="s">
        <v>316</v>
      </c>
    </row>
    <row r="22283">
      <c r="A22283" s="17"/>
      <c r="H22283" s="18"/>
      <c r="K22283" s="18" t="s">
        <v>316</v>
      </c>
    </row>
    <row r="22284">
      <c r="A22284" s="17"/>
      <c r="H22284" s="18"/>
      <c r="K22284" s="18" t="s">
        <v>316</v>
      </c>
    </row>
    <row r="22285">
      <c r="A22285" s="17"/>
      <c r="H22285" s="18"/>
      <c r="K22285" s="18" t="s">
        <v>316</v>
      </c>
    </row>
    <row r="22286">
      <c r="A22286" s="17"/>
      <c r="H22286" s="18"/>
      <c r="K22286" s="18" t="s">
        <v>316</v>
      </c>
    </row>
    <row r="22287">
      <c r="A22287" s="17"/>
      <c r="H22287" s="18"/>
      <c r="K22287" s="18" t="s">
        <v>316</v>
      </c>
    </row>
    <row r="22288">
      <c r="A22288" s="17"/>
      <c r="H22288" s="18"/>
      <c r="K22288" s="18" t="s">
        <v>316</v>
      </c>
    </row>
    <row r="22289">
      <c r="A22289" s="17"/>
      <c r="H22289" s="18"/>
      <c r="K22289" s="18" t="s">
        <v>316</v>
      </c>
    </row>
    <row r="22290">
      <c r="A22290" s="17"/>
      <c r="H22290" s="18"/>
      <c r="K22290" s="18" t="s">
        <v>316</v>
      </c>
    </row>
    <row r="22291">
      <c r="A22291" s="17"/>
      <c r="H22291" s="18"/>
      <c r="K22291" s="18" t="s">
        <v>316</v>
      </c>
    </row>
    <row r="22292">
      <c r="A22292" s="17"/>
      <c r="H22292" s="18"/>
      <c r="K22292" s="18" t="s">
        <v>316</v>
      </c>
    </row>
    <row r="22293">
      <c r="A22293" s="17"/>
      <c r="H22293" s="18"/>
      <c r="K22293" s="18" t="s">
        <v>316</v>
      </c>
    </row>
    <row r="22294">
      <c r="A22294" s="17"/>
      <c r="H22294" s="18"/>
      <c r="K22294" s="18" t="s">
        <v>316</v>
      </c>
    </row>
    <row r="22295">
      <c r="A22295" s="17"/>
      <c r="H22295" s="18"/>
      <c r="K22295" s="18" t="s">
        <v>316</v>
      </c>
    </row>
    <row r="22296">
      <c r="A22296" s="17"/>
      <c r="H22296" s="18"/>
      <c r="K22296" s="18" t="s">
        <v>316</v>
      </c>
    </row>
    <row r="22297">
      <c r="A22297" s="17"/>
      <c r="H22297" s="18"/>
      <c r="K22297" s="18" t="s">
        <v>316</v>
      </c>
    </row>
    <row r="22298">
      <c r="A22298" s="17"/>
      <c r="H22298" s="18"/>
      <c r="K22298" s="18" t="s">
        <v>316</v>
      </c>
    </row>
    <row r="22299">
      <c r="A22299" s="17"/>
      <c r="H22299" s="18"/>
      <c r="K22299" s="18" t="s">
        <v>316</v>
      </c>
    </row>
    <row r="22300">
      <c r="A22300" s="17"/>
      <c r="H22300" s="18"/>
      <c r="K22300" s="18" t="s">
        <v>316</v>
      </c>
    </row>
    <row r="22301">
      <c r="A22301" s="17"/>
      <c r="H22301" s="18"/>
      <c r="K22301" s="18" t="s">
        <v>316</v>
      </c>
    </row>
    <row r="22302">
      <c r="A22302" s="17"/>
      <c r="H22302" s="18"/>
      <c r="K22302" s="18" t="s">
        <v>316</v>
      </c>
    </row>
    <row r="22303">
      <c r="A22303" s="17"/>
      <c r="H22303" s="18"/>
      <c r="K22303" s="18" t="s">
        <v>316</v>
      </c>
    </row>
    <row r="22304">
      <c r="A22304" s="17"/>
      <c r="H22304" s="18"/>
      <c r="K22304" s="18" t="s">
        <v>316</v>
      </c>
    </row>
    <row r="22305">
      <c r="A22305" s="17"/>
      <c r="H22305" s="18"/>
      <c r="K22305" s="18" t="s">
        <v>316</v>
      </c>
    </row>
    <row r="22306">
      <c r="A22306" s="17"/>
      <c r="H22306" s="18"/>
      <c r="K22306" s="18" t="s">
        <v>316</v>
      </c>
    </row>
    <row r="22307">
      <c r="A22307" s="17"/>
      <c r="H22307" s="18"/>
      <c r="K22307" s="18" t="s">
        <v>316</v>
      </c>
    </row>
    <row r="22308">
      <c r="A22308" s="17"/>
      <c r="H22308" s="18"/>
      <c r="K22308" s="18" t="s">
        <v>316</v>
      </c>
    </row>
    <row r="22309">
      <c r="A22309" s="17"/>
      <c r="H22309" s="18"/>
      <c r="K22309" s="18" t="s">
        <v>316</v>
      </c>
    </row>
    <row r="22310">
      <c r="A22310" s="17"/>
      <c r="H22310" s="18"/>
      <c r="K22310" s="18" t="s">
        <v>316</v>
      </c>
    </row>
    <row r="22311">
      <c r="A22311" s="17"/>
      <c r="H22311" s="18"/>
      <c r="K22311" s="18" t="s">
        <v>316</v>
      </c>
    </row>
    <row r="22312">
      <c r="A22312" s="17"/>
      <c r="H22312" s="18"/>
      <c r="K22312" s="18" t="s">
        <v>316</v>
      </c>
    </row>
    <row r="22313">
      <c r="A22313" s="17"/>
      <c r="H22313" s="18"/>
      <c r="K22313" s="18" t="s">
        <v>316</v>
      </c>
    </row>
    <row r="22314">
      <c r="A22314" s="17"/>
      <c r="H22314" s="18"/>
      <c r="K22314" s="18" t="s">
        <v>316</v>
      </c>
    </row>
    <row r="22315">
      <c r="A22315" s="17"/>
      <c r="H22315" s="18"/>
      <c r="K22315" s="18" t="s">
        <v>316</v>
      </c>
    </row>
    <row r="22316">
      <c r="A22316" s="17"/>
      <c r="H22316" s="18"/>
      <c r="K22316" s="18" t="s">
        <v>316</v>
      </c>
    </row>
    <row r="22317">
      <c r="A22317" s="17"/>
      <c r="H22317" s="18"/>
      <c r="K22317" s="18" t="s">
        <v>316</v>
      </c>
    </row>
    <row r="22318">
      <c r="A22318" s="17"/>
      <c r="H22318" s="18"/>
      <c r="K22318" s="18" t="s">
        <v>316</v>
      </c>
    </row>
    <row r="22319">
      <c r="A22319" s="17"/>
      <c r="H22319" s="18"/>
      <c r="K22319" s="18" t="s">
        <v>316</v>
      </c>
    </row>
    <row r="22320">
      <c r="A22320" s="17"/>
      <c r="H22320" s="18"/>
      <c r="K22320" s="18" t="s">
        <v>316</v>
      </c>
    </row>
    <row r="22321">
      <c r="A22321" s="17"/>
      <c r="H22321" s="18"/>
      <c r="K22321" s="18" t="s">
        <v>316</v>
      </c>
    </row>
    <row r="22322">
      <c r="A22322" s="17"/>
      <c r="H22322" s="18"/>
      <c r="K22322" s="18" t="s">
        <v>316</v>
      </c>
    </row>
    <row r="22323">
      <c r="A22323" s="17"/>
      <c r="H22323" s="18"/>
      <c r="K22323" s="18" t="s">
        <v>316</v>
      </c>
    </row>
    <row r="22324">
      <c r="A22324" s="17"/>
      <c r="H22324" s="18"/>
      <c r="K22324" s="18" t="s">
        <v>316</v>
      </c>
    </row>
    <row r="22325">
      <c r="A22325" s="17"/>
      <c r="H22325" s="18"/>
      <c r="K22325" s="18" t="s">
        <v>316</v>
      </c>
    </row>
    <row r="22326">
      <c r="A22326" s="17"/>
      <c r="H22326" s="18"/>
      <c r="K22326" s="18" t="s">
        <v>316</v>
      </c>
    </row>
    <row r="22327">
      <c r="A22327" s="17"/>
      <c r="H22327" s="18"/>
      <c r="K22327" s="18" t="s">
        <v>316</v>
      </c>
    </row>
    <row r="22328">
      <c r="A22328" s="17"/>
      <c r="H22328" s="18"/>
      <c r="K22328" s="18" t="s">
        <v>316</v>
      </c>
    </row>
    <row r="22329">
      <c r="A22329" s="17"/>
      <c r="H22329" s="18"/>
      <c r="K22329" s="18" t="s">
        <v>316</v>
      </c>
    </row>
    <row r="22330">
      <c r="A22330" s="17"/>
      <c r="H22330" s="18"/>
      <c r="K22330" s="18" t="s">
        <v>316</v>
      </c>
    </row>
    <row r="22331">
      <c r="A22331" s="17"/>
      <c r="H22331" s="18"/>
      <c r="K22331" s="18" t="s">
        <v>316</v>
      </c>
    </row>
    <row r="22332">
      <c r="A22332" s="17"/>
      <c r="H22332" s="18"/>
      <c r="K22332" s="18" t="s">
        <v>316</v>
      </c>
    </row>
    <row r="22333">
      <c r="A22333" s="17"/>
      <c r="H22333" s="18"/>
      <c r="K22333" s="18" t="s">
        <v>316</v>
      </c>
    </row>
    <row r="22334">
      <c r="A22334" s="17"/>
      <c r="H22334" s="18"/>
      <c r="K22334" s="18" t="s">
        <v>316</v>
      </c>
    </row>
    <row r="22335">
      <c r="A22335" s="17"/>
      <c r="H22335" s="18"/>
      <c r="K22335" s="18" t="s">
        <v>316</v>
      </c>
    </row>
    <row r="22336">
      <c r="A22336" s="17"/>
      <c r="H22336" s="18"/>
      <c r="K22336" s="18" t="s">
        <v>316</v>
      </c>
    </row>
    <row r="22337">
      <c r="A22337" s="17"/>
      <c r="H22337" s="18"/>
      <c r="K22337" s="18" t="s">
        <v>316</v>
      </c>
    </row>
    <row r="22338">
      <c r="A22338" s="17"/>
      <c r="H22338" s="18"/>
      <c r="K22338" s="18" t="s">
        <v>316</v>
      </c>
    </row>
    <row r="22339">
      <c r="A22339" s="17"/>
      <c r="H22339" s="18"/>
      <c r="K22339" s="18" t="s">
        <v>316</v>
      </c>
    </row>
    <row r="22340">
      <c r="A22340" s="17"/>
      <c r="H22340" s="18"/>
      <c r="K22340" s="18" t="s">
        <v>316</v>
      </c>
    </row>
    <row r="22341">
      <c r="A22341" s="17"/>
      <c r="H22341" s="18"/>
      <c r="K22341" s="18" t="s">
        <v>316</v>
      </c>
    </row>
    <row r="22342">
      <c r="A22342" s="17"/>
      <c r="H22342" s="18"/>
      <c r="K22342" s="18" t="s">
        <v>316</v>
      </c>
    </row>
    <row r="22343">
      <c r="A22343" s="17"/>
      <c r="H22343" s="18"/>
      <c r="K22343" s="18" t="s">
        <v>316</v>
      </c>
    </row>
    <row r="22344">
      <c r="A22344" s="17"/>
      <c r="H22344" s="18"/>
      <c r="K22344" s="18" t="s">
        <v>316</v>
      </c>
    </row>
    <row r="22345">
      <c r="A22345" s="17"/>
      <c r="H22345" s="18"/>
      <c r="K22345" s="18" t="s">
        <v>316</v>
      </c>
    </row>
    <row r="22346">
      <c r="A22346" s="17"/>
      <c r="H22346" s="18"/>
      <c r="K22346" s="18" t="s">
        <v>316</v>
      </c>
    </row>
    <row r="22347">
      <c r="A22347" s="17"/>
      <c r="H22347" s="18"/>
      <c r="K22347" s="18" t="s">
        <v>316</v>
      </c>
    </row>
    <row r="22348">
      <c r="A22348" s="17"/>
      <c r="H22348" s="18"/>
      <c r="K22348" s="18" t="s">
        <v>316</v>
      </c>
    </row>
    <row r="22349">
      <c r="A22349" s="17"/>
      <c r="H22349" s="18"/>
      <c r="K22349" s="18" t="s">
        <v>316</v>
      </c>
    </row>
    <row r="22350">
      <c r="A22350" s="17"/>
      <c r="H22350" s="18"/>
      <c r="K22350" s="18" t="s">
        <v>316</v>
      </c>
    </row>
    <row r="22351">
      <c r="A22351" s="17"/>
      <c r="H22351" s="18"/>
      <c r="K22351" s="18" t="s">
        <v>316</v>
      </c>
    </row>
    <row r="22352">
      <c r="A22352" s="17"/>
      <c r="H22352" s="18"/>
      <c r="K22352" s="18" t="s">
        <v>316</v>
      </c>
    </row>
    <row r="22353">
      <c r="A22353" s="17"/>
      <c r="H22353" s="18"/>
      <c r="K22353" s="18" t="s">
        <v>316</v>
      </c>
    </row>
    <row r="22354">
      <c r="A22354" s="17"/>
      <c r="H22354" s="18"/>
      <c r="K22354" s="18" t="s">
        <v>316</v>
      </c>
    </row>
    <row r="22355">
      <c r="A22355" s="17"/>
      <c r="H22355" s="18"/>
      <c r="K22355" s="18" t="s">
        <v>316</v>
      </c>
    </row>
    <row r="22356">
      <c r="A22356" s="17"/>
      <c r="H22356" s="18"/>
      <c r="K22356" s="18" t="s">
        <v>316</v>
      </c>
    </row>
    <row r="22357">
      <c r="A22357" s="17"/>
      <c r="H22357" s="18"/>
      <c r="K22357" s="18" t="s">
        <v>316</v>
      </c>
    </row>
    <row r="22358">
      <c r="A22358" s="17"/>
      <c r="H22358" s="18"/>
      <c r="K22358" s="18" t="s">
        <v>316</v>
      </c>
    </row>
    <row r="22359">
      <c r="A22359" s="17"/>
      <c r="H22359" s="18"/>
      <c r="K22359" s="18" t="s">
        <v>316</v>
      </c>
    </row>
    <row r="22360">
      <c r="A22360" s="17"/>
      <c r="H22360" s="18"/>
      <c r="K22360" s="18" t="s">
        <v>316</v>
      </c>
    </row>
    <row r="22361">
      <c r="A22361" s="17"/>
      <c r="H22361" s="18"/>
      <c r="K22361" s="18" t="s">
        <v>316</v>
      </c>
    </row>
    <row r="22362">
      <c r="A22362" s="17"/>
      <c r="H22362" s="18"/>
      <c r="K22362" s="18" t="s">
        <v>316</v>
      </c>
    </row>
    <row r="22363">
      <c r="A22363" s="17"/>
      <c r="H22363" s="18"/>
      <c r="K22363" s="18" t="s">
        <v>316</v>
      </c>
    </row>
    <row r="22364">
      <c r="A22364" s="17"/>
      <c r="H22364" s="18"/>
      <c r="K22364" s="18" t="s">
        <v>316</v>
      </c>
    </row>
    <row r="22365">
      <c r="A22365" s="17"/>
      <c r="H22365" s="18"/>
      <c r="K22365" s="18" t="s">
        <v>316</v>
      </c>
    </row>
    <row r="22366">
      <c r="A22366" s="17"/>
      <c r="H22366" s="18"/>
      <c r="K22366" s="18" t="s">
        <v>316</v>
      </c>
    </row>
    <row r="22367">
      <c r="A22367" s="17"/>
      <c r="H22367" s="18"/>
      <c r="K22367" s="18" t="s">
        <v>316</v>
      </c>
    </row>
    <row r="22368">
      <c r="A22368" s="17"/>
      <c r="H22368" s="18"/>
      <c r="K22368" s="18" t="s">
        <v>316</v>
      </c>
    </row>
    <row r="22369">
      <c r="A22369" s="17"/>
      <c r="H22369" s="18"/>
      <c r="K22369" s="18" t="s">
        <v>316</v>
      </c>
    </row>
    <row r="22370">
      <c r="A22370" s="17"/>
      <c r="H22370" s="18"/>
      <c r="K22370" s="18" t="s">
        <v>316</v>
      </c>
    </row>
    <row r="22371">
      <c r="A22371" s="17"/>
      <c r="H22371" s="18"/>
      <c r="K22371" s="18" t="s">
        <v>316</v>
      </c>
    </row>
    <row r="22372">
      <c r="A22372" s="17"/>
      <c r="H22372" s="18"/>
      <c r="K22372" s="18" t="s">
        <v>316</v>
      </c>
    </row>
    <row r="22373">
      <c r="A22373" s="17"/>
      <c r="H22373" s="18"/>
      <c r="K22373" s="18" t="s">
        <v>316</v>
      </c>
    </row>
    <row r="22374">
      <c r="A22374" s="17"/>
      <c r="H22374" s="18"/>
      <c r="K22374" s="18" t="s">
        <v>316</v>
      </c>
    </row>
    <row r="22375">
      <c r="A22375" s="17"/>
      <c r="H22375" s="18"/>
      <c r="K22375" s="18" t="s">
        <v>316</v>
      </c>
    </row>
    <row r="22376">
      <c r="A22376" s="17"/>
      <c r="H22376" s="18"/>
      <c r="K22376" s="18" t="s">
        <v>316</v>
      </c>
    </row>
    <row r="22377">
      <c r="A22377" s="17"/>
      <c r="H22377" s="18"/>
      <c r="K22377" s="18" t="s">
        <v>316</v>
      </c>
    </row>
    <row r="22378">
      <c r="A22378" s="17"/>
      <c r="H22378" s="18"/>
      <c r="K22378" s="18" t="s">
        <v>316</v>
      </c>
    </row>
    <row r="22379">
      <c r="A22379" s="17"/>
      <c r="H22379" s="18"/>
      <c r="K22379" s="18" t="s">
        <v>316</v>
      </c>
    </row>
    <row r="22380">
      <c r="A22380" s="17"/>
      <c r="H22380" s="18"/>
      <c r="K22380" s="18" t="s">
        <v>316</v>
      </c>
    </row>
    <row r="22381">
      <c r="A22381" s="17"/>
      <c r="H22381" s="18"/>
      <c r="K22381" s="18" t="s">
        <v>316</v>
      </c>
    </row>
    <row r="22382">
      <c r="A22382" s="17"/>
      <c r="H22382" s="18"/>
      <c r="K22382" s="18" t="s">
        <v>316</v>
      </c>
    </row>
    <row r="22383">
      <c r="A22383" s="17"/>
      <c r="H22383" s="18"/>
      <c r="K22383" s="18" t="s">
        <v>316</v>
      </c>
    </row>
    <row r="22384">
      <c r="A22384" s="17"/>
      <c r="H22384" s="18"/>
      <c r="K22384" s="18" t="s">
        <v>316</v>
      </c>
    </row>
    <row r="22385">
      <c r="A22385" s="17"/>
      <c r="H22385" s="18"/>
      <c r="K22385" s="18" t="s">
        <v>316</v>
      </c>
    </row>
    <row r="22386">
      <c r="A22386" s="17"/>
      <c r="H22386" s="18"/>
      <c r="K22386" s="18" t="s">
        <v>316</v>
      </c>
    </row>
    <row r="22387">
      <c r="A22387" s="17"/>
      <c r="H22387" s="18"/>
      <c r="K22387" s="18" t="s">
        <v>316</v>
      </c>
    </row>
    <row r="22388">
      <c r="A22388" s="17"/>
      <c r="H22388" s="18"/>
      <c r="K22388" s="18" t="s">
        <v>316</v>
      </c>
    </row>
    <row r="22389">
      <c r="A22389" s="17"/>
      <c r="H22389" s="18"/>
      <c r="K22389" s="18" t="s">
        <v>316</v>
      </c>
    </row>
    <row r="22390">
      <c r="A22390" s="17"/>
      <c r="H22390" s="18"/>
      <c r="K22390" s="18" t="s">
        <v>316</v>
      </c>
    </row>
    <row r="22391">
      <c r="A22391" s="17"/>
      <c r="H22391" s="18"/>
      <c r="K22391" s="18" t="s">
        <v>316</v>
      </c>
    </row>
    <row r="22392">
      <c r="A22392" s="17"/>
      <c r="H22392" s="18"/>
      <c r="K22392" s="18" t="s">
        <v>316</v>
      </c>
    </row>
    <row r="22393">
      <c r="A22393" s="17"/>
      <c r="H22393" s="18"/>
      <c r="K22393" s="18" t="s">
        <v>316</v>
      </c>
    </row>
    <row r="22394">
      <c r="A22394" s="17"/>
      <c r="H22394" s="18"/>
      <c r="K22394" s="18" t="s">
        <v>316</v>
      </c>
    </row>
    <row r="22395">
      <c r="A22395" s="17"/>
      <c r="H22395" s="18"/>
      <c r="K22395" s="18" t="s">
        <v>316</v>
      </c>
    </row>
    <row r="22396">
      <c r="A22396" s="17"/>
      <c r="H22396" s="18"/>
      <c r="K22396" s="18" t="s">
        <v>316</v>
      </c>
    </row>
    <row r="22397">
      <c r="A22397" s="17"/>
      <c r="H22397" s="18"/>
      <c r="K22397" s="18" t="s">
        <v>316</v>
      </c>
    </row>
    <row r="22398">
      <c r="A22398" s="17"/>
      <c r="H22398" s="18"/>
      <c r="K22398" s="18" t="s">
        <v>316</v>
      </c>
    </row>
    <row r="22399">
      <c r="A22399" s="17"/>
      <c r="H22399" s="18"/>
      <c r="K22399" s="18" t="s">
        <v>316</v>
      </c>
    </row>
    <row r="22400">
      <c r="A22400" s="17"/>
      <c r="H22400" s="18"/>
      <c r="K22400" s="18" t="s">
        <v>316</v>
      </c>
    </row>
    <row r="22401">
      <c r="A22401" s="17"/>
      <c r="H22401" s="18"/>
      <c r="K22401" s="18" t="s">
        <v>316</v>
      </c>
    </row>
    <row r="22402">
      <c r="A22402" s="17"/>
      <c r="H22402" s="18"/>
      <c r="K22402" s="18" t="s">
        <v>316</v>
      </c>
    </row>
    <row r="22403">
      <c r="A22403" s="17"/>
      <c r="H22403" s="18"/>
      <c r="K22403" s="18" t="s">
        <v>316</v>
      </c>
    </row>
    <row r="22404">
      <c r="A22404" s="17"/>
      <c r="H22404" s="18"/>
      <c r="K22404" s="18" t="s">
        <v>316</v>
      </c>
    </row>
    <row r="22405">
      <c r="A22405" s="17"/>
      <c r="H22405" s="18"/>
      <c r="K22405" s="18" t="s">
        <v>316</v>
      </c>
    </row>
    <row r="22406">
      <c r="A22406" s="17"/>
      <c r="H22406" s="18"/>
      <c r="K22406" s="18" t="s">
        <v>316</v>
      </c>
    </row>
    <row r="22407">
      <c r="A22407" s="17"/>
      <c r="H22407" s="18"/>
      <c r="K22407" s="18" t="s">
        <v>316</v>
      </c>
    </row>
    <row r="22408">
      <c r="A22408" s="17"/>
      <c r="H22408" s="18"/>
      <c r="K22408" s="18" t="s">
        <v>316</v>
      </c>
    </row>
    <row r="22409">
      <c r="A22409" s="17"/>
      <c r="H22409" s="18"/>
      <c r="K22409" s="18" t="s">
        <v>316</v>
      </c>
    </row>
    <row r="22410">
      <c r="A22410" s="17"/>
      <c r="H22410" s="18"/>
      <c r="K22410" s="18" t="s">
        <v>316</v>
      </c>
    </row>
    <row r="22411">
      <c r="A22411" s="17"/>
      <c r="H22411" s="18"/>
      <c r="K22411" s="18" t="s">
        <v>316</v>
      </c>
    </row>
    <row r="22412">
      <c r="A22412" s="17"/>
      <c r="H22412" s="18"/>
      <c r="K22412" s="18" t="s">
        <v>316</v>
      </c>
    </row>
    <row r="22413">
      <c r="A22413" s="17"/>
      <c r="H22413" s="18"/>
      <c r="K22413" s="18" t="s">
        <v>316</v>
      </c>
    </row>
    <row r="22414">
      <c r="A22414" s="17"/>
      <c r="H22414" s="18"/>
      <c r="K22414" s="18" t="s">
        <v>316</v>
      </c>
    </row>
    <row r="22415">
      <c r="A22415" s="17"/>
      <c r="H22415" s="18"/>
      <c r="K22415" s="18" t="s">
        <v>316</v>
      </c>
    </row>
    <row r="22416">
      <c r="A22416" s="17"/>
      <c r="H22416" s="18"/>
      <c r="K22416" s="18" t="s">
        <v>316</v>
      </c>
    </row>
    <row r="22417">
      <c r="A22417" s="17"/>
      <c r="H22417" s="18"/>
      <c r="K22417" s="18" t="s">
        <v>316</v>
      </c>
    </row>
    <row r="22418">
      <c r="A22418" s="17"/>
      <c r="H22418" s="18"/>
      <c r="K22418" s="18" t="s">
        <v>316</v>
      </c>
    </row>
    <row r="22419">
      <c r="A22419" s="17"/>
      <c r="H22419" s="18"/>
      <c r="K22419" s="18" t="s">
        <v>316</v>
      </c>
    </row>
    <row r="22420">
      <c r="A22420" s="17"/>
      <c r="H22420" s="18"/>
      <c r="K22420" s="18" t="s">
        <v>316</v>
      </c>
    </row>
    <row r="22421">
      <c r="A22421" s="17"/>
      <c r="H22421" s="18"/>
      <c r="K22421" s="18" t="s">
        <v>316</v>
      </c>
    </row>
    <row r="22422">
      <c r="A22422" s="17"/>
      <c r="H22422" s="18"/>
      <c r="K22422" s="18" t="s">
        <v>316</v>
      </c>
    </row>
    <row r="22423">
      <c r="A22423" s="17"/>
      <c r="H22423" s="18"/>
      <c r="K22423" s="18" t="s">
        <v>316</v>
      </c>
    </row>
    <row r="22424">
      <c r="A22424" s="17"/>
      <c r="H22424" s="18"/>
      <c r="K22424" s="18" t="s">
        <v>316</v>
      </c>
    </row>
    <row r="22425">
      <c r="A22425" s="17"/>
      <c r="H22425" s="18"/>
      <c r="K22425" s="18" t="s">
        <v>316</v>
      </c>
    </row>
    <row r="22426">
      <c r="A22426" s="17"/>
      <c r="H22426" s="18"/>
      <c r="K22426" s="18" t="s">
        <v>316</v>
      </c>
    </row>
    <row r="22427">
      <c r="A22427" s="17"/>
      <c r="H22427" s="18"/>
      <c r="K22427" s="18" t="s">
        <v>316</v>
      </c>
    </row>
    <row r="22428">
      <c r="A22428" s="17"/>
      <c r="H22428" s="18"/>
      <c r="K22428" s="18" t="s">
        <v>316</v>
      </c>
    </row>
    <row r="22429">
      <c r="A22429" s="17"/>
      <c r="H22429" s="18"/>
      <c r="K22429" s="18" t="s">
        <v>316</v>
      </c>
    </row>
    <row r="22430">
      <c r="A22430" s="17"/>
      <c r="H22430" s="18"/>
      <c r="K22430" s="18" t="s">
        <v>316</v>
      </c>
    </row>
    <row r="22431">
      <c r="A22431" s="17"/>
      <c r="H22431" s="18"/>
      <c r="K22431" s="18" t="s">
        <v>316</v>
      </c>
    </row>
    <row r="22432">
      <c r="A22432" s="17"/>
      <c r="H22432" s="18"/>
      <c r="K22432" s="18" t="s">
        <v>316</v>
      </c>
    </row>
    <row r="22433">
      <c r="A22433" s="17"/>
      <c r="H22433" s="18"/>
      <c r="K22433" s="18" t="s">
        <v>316</v>
      </c>
    </row>
    <row r="22434">
      <c r="A22434" s="17"/>
      <c r="H22434" s="18"/>
      <c r="K22434" s="18" t="s">
        <v>316</v>
      </c>
    </row>
    <row r="22435">
      <c r="A22435" s="17"/>
      <c r="H22435" s="18"/>
      <c r="K22435" s="18" t="s">
        <v>316</v>
      </c>
    </row>
    <row r="22436">
      <c r="A22436" s="17"/>
      <c r="H22436" s="18"/>
      <c r="K22436" s="18" t="s">
        <v>316</v>
      </c>
    </row>
    <row r="22437">
      <c r="A22437" s="17"/>
      <c r="H22437" s="18"/>
      <c r="K22437" s="18" t="s">
        <v>316</v>
      </c>
    </row>
    <row r="22438">
      <c r="A22438" s="17"/>
      <c r="H22438" s="18"/>
      <c r="K22438" s="18" t="s">
        <v>316</v>
      </c>
    </row>
    <row r="22439">
      <c r="A22439" s="17"/>
      <c r="H22439" s="18"/>
      <c r="K22439" s="18" t="s">
        <v>316</v>
      </c>
    </row>
    <row r="22440">
      <c r="A22440" s="17"/>
      <c r="H22440" s="18"/>
      <c r="K22440" s="18" t="s">
        <v>316</v>
      </c>
    </row>
    <row r="22441">
      <c r="A22441" s="17"/>
      <c r="H22441" s="18"/>
      <c r="K22441" s="18" t="s">
        <v>316</v>
      </c>
    </row>
    <row r="22442">
      <c r="A22442" s="17"/>
      <c r="H22442" s="18"/>
      <c r="K22442" s="18" t="s">
        <v>316</v>
      </c>
    </row>
    <row r="22443">
      <c r="A22443" s="17"/>
      <c r="H22443" s="18"/>
      <c r="K22443" s="18" t="s">
        <v>316</v>
      </c>
    </row>
    <row r="22444">
      <c r="A22444" s="17"/>
      <c r="H22444" s="18"/>
      <c r="K22444" s="18" t="s">
        <v>316</v>
      </c>
    </row>
    <row r="22445">
      <c r="A22445" s="17"/>
      <c r="H22445" s="18"/>
      <c r="K22445" s="18" t="s">
        <v>316</v>
      </c>
    </row>
    <row r="22446">
      <c r="A22446" s="17"/>
      <c r="H22446" s="18"/>
      <c r="K22446" s="18" t="s">
        <v>316</v>
      </c>
    </row>
    <row r="22447">
      <c r="A22447" s="17"/>
      <c r="H22447" s="18"/>
      <c r="K22447" s="18" t="s">
        <v>316</v>
      </c>
    </row>
    <row r="22448">
      <c r="A22448" s="17"/>
      <c r="H22448" s="18"/>
      <c r="K22448" s="18" t="s">
        <v>316</v>
      </c>
    </row>
    <row r="22449">
      <c r="A22449" s="17"/>
      <c r="H22449" s="18"/>
      <c r="K22449" s="18" t="s">
        <v>316</v>
      </c>
    </row>
    <row r="22450">
      <c r="A22450" s="17"/>
      <c r="H22450" s="18"/>
      <c r="K22450" s="18" t="s">
        <v>316</v>
      </c>
    </row>
    <row r="22451">
      <c r="A22451" s="17"/>
      <c r="H22451" s="18"/>
      <c r="K22451" s="18" t="s">
        <v>316</v>
      </c>
    </row>
    <row r="22452">
      <c r="A22452" s="17"/>
      <c r="H22452" s="18"/>
      <c r="K22452" s="18" t="s">
        <v>316</v>
      </c>
    </row>
    <row r="22453">
      <c r="A22453" s="17"/>
      <c r="H22453" s="18"/>
      <c r="K22453" s="18" t="s">
        <v>316</v>
      </c>
    </row>
    <row r="22454">
      <c r="A22454" s="17"/>
      <c r="H22454" s="18"/>
      <c r="K22454" s="18" t="s">
        <v>316</v>
      </c>
    </row>
    <row r="22455">
      <c r="A22455" s="17"/>
      <c r="H22455" s="18"/>
      <c r="K22455" s="18" t="s">
        <v>316</v>
      </c>
    </row>
    <row r="22456">
      <c r="A22456" s="17"/>
      <c r="H22456" s="18"/>
      <c r="K22456" s="18" t="s">
        <v>316</v>
      </c>
    </row>
    <row r="22457">
      <c r="A22457" s="17"/>
      <c r="H22457" s="18"/>
      <c r="K22457" s="18" t="s">
        <v>316</v>
      </c>
    </row>
    <row r="22458">
      <c r="A22458" s="17"/>
      <c r="H22458" s="18"/>
      <c r="K22458" s="18" t="s">
        <v>316</v>
      </c>
    </row>
    <row r="22459">
      <c r="A22459" s="17"/>
      <c r="H22459" s="18"/>
      <c r="K22459" s="18" t="s">
        <v>316</v>
      </c>
    </row>
    <row r="22460">
      <c r="A22460" s="17"/>
      <c r="H22460" s="18"/>
      <c r="K22460" s="18" t="s">
        <v>316</v>
      </c>
    </row>
    <row r="22461">
      <c r="A22461" s="17"/>
      <c r="H22461" s="18"/>
      <c r="K22461" s="18" t="s">
        <v>316</v>
      </c>
    </row>
    <row r="22462">
      <c r="A22462" s="17"/>
      <c r="H22462" s="18"/>
      <c r="K22462" s="18" t="s">
        <v>316</v>
      </c>
    </row>
    <row r="22463">
      <c r="A22463" s="17"/>
      <c r="H22463" s="18"/>
      <c r="K22463" s="18" t="s">
        <v>316</v>
      </c>
    </row>
    <row r="22464">
      <c r="A22464" s="17"/>
      <c r="H22464" s="18"/>
      <c r="K22464" s="18" t="s">
        <v>316</v>
      </c>
    </row>
    <row r="22465">
      <c r="A22465" s="17"/>
      <c r="H22465" s="18"/>
      <c r="K22465" s="18" t="s">
        <v>316</v>
      </c>
    </row>
    <row r="22466">
      <c r="A22466" s="17"/>
      <c r="H22466" s="18"/>
      <c r="K22466" s="18" t="s">
        <v>316</v>
      </c>
    </row>
    <row r="22467">
      <c r="A22467" s="17"/>
      <c r="H22467" s="18"/>
      <c r="K22467" s="18" t="s">
        <v>316</v>
      </c>
    </row>
    <row r="22468">
      <c r="A22468" s="17"/>
      <c r="H22468" s="18"/>
      <c r="K22468" s="18" t="s">
        <v>316</v>
      </c>
    </row>
    <row r="22469">
      <c r="A22469" s="17"/>
      <c r="H22469" s="18"/>
      <c r="K22469" s="18" t="s">
        <v>316</v>
      </c>
    </row>
    <row r="22470">
      <c r="A22470" s="17"/>
      <c r="H22470" s="18"/>
      <c r="K22470" s="18" t="s">
        <v>316</v>
      </c>
    </row>
    <row r="22471">
      <c r="A22471" s="17"/>
      <c r="H22471" s="18"/>
      <c r="K22471" s="18" t="s">
        <v>316</v>
      </c>
    </row>
    <row r="22472">
      <c r="A22472" s="17"/>
      <c r="H22472" s="18"/>
      <c r="K22472" s="18" t="s">
        <v>316</v>
      </c>
    </row>
    <row r="22473">
      <c r="A22473" s="17"/>
      <c r="H22473" s="18"/>
      <c r="K22473" s="18" t="s">
        <v>316</v>
      </c>
    </row>
    <row r="22474">
      <c r="A22474" s="17"/>
      <c r="H22474" s="18"/>
      <c r="K22474" s="18" t="s">
        <v>316</v>
      </c>
    </row>
    <row r="22475">
      <c r="A22475" s="17"/>
      <c r="H22475" s="18"/>
      <c r="K22475" s="18" t="s">
        <v>316</v>
      </c>
    </row>
    <row r="22476">
      <c r="A22476" s="17"/>
      <c r="H22476" s="18"/>
      <c r="K22476" s="18" t="s">
        <v>316</v>
      </c>
    </row>
    <row r="22477">
      <c r="A22477" s="17"/>
      <c r="H22477" s="18"/>
      <c r="K22477" s="18" t="s">
        <v>316</v>
      </c>
    </row>
    <row r="22478">
      <c r="A22478" s="17"/>
      <c r="H22478" s="18"/>
      <c r="K22478" s="18" t="s">
        <v>316</v>
      </c>
    </row>
    <row r="22479">
      <c r="A22479" s="17"/>
      <c r="H22479" s="18"/>
      <c r="K22479" s="18" t="s">
        <v>316</v>
      </c>
    </row>
    <row r="22480">
      <c r="A22480" s="17"/>
      <c r="H22480" s="18"/>
      <c r="K22480" s="18" t="s">
        <v>316</v>
      </c>
    </row>
    <row r="22481">
      <c r="A22481" s="17"/>
      <c r="H22481" s="18"/>
      <c r="K22481" s="18" t="s">
        <v>316</v>
      </c>
    </row>
    <row r="22482">
      <c r="A22482" s="17"/>
      <c r="H22482" s="18"/>
      <c r="K22482" s="18" t="s">
        <v>316</v>
      </c>
    </row>
    <row r="22483">
      <c r="A22483" s="17"/>
      <c r="H22483" s="18"/>
      <c r="K22483" s="18" t="s">
        <v>316</v>
      </c>
    </row>
    <row r="22484">
      <c r="A22484" s="17"/>
      <c r="H22484" s="18"/>
      <c r="K22484" s="18" t="s">
        <v>316</v>
      </c>
    </row>
    <row r="22485">
      <c r="A22485" s="17"/>
      <c r="H22485" s="18"/>
      <c r="K22485" s="18" t="s">
        <v>316</v>
      </c>
    </row>
    <row r="22486">
      <c r="A22486" s="17"/>
      <c r="H22486" s="18"/>
      <c r="K22486" s="18" t="s">
        <v>316</v>
      </c>
    </row>
    <row r="22487">
      <c r="A22487" s="17"/>
      <c r="H22487" s="18"/>
      <c r="K22487" s="18" t="s">
        <v>316</v>
      </c>
    </row>
    <row r="22488">
      <c r="A22488" s="17"/>
      <c r="H22488" s="18"/>
      <c r="K22488" s="18" t="s">
        <v>316</v>
      </c>
    </row>
    <row r="22489">
      <c r="A22489" s="17"/>
      <c r="H22489" s="18"/>
      <c r="K22489" s="18" t="s">
        <v>316</v>
      </c>
    </row>
    <row r="22490">
      <c r="A22490" s="17"/>
      <c r="H22490" s="18"/>
      <c r="K22490" s="18" t="s">
        <v>316</v>
      </c>
    </row>
    <row r="22491">
      <c r="A22491" s="17"/>
      <c r="H22491" s="18"/>
      <c r="K22491" s="18" t="s">
        <v>316</v>
      </c>
    </row>
    <row r="22492">
      <c r="A22492" s="17"/>
      <c r="H22492" s="18"/>
      <c r="K22492" s="18" t="s">
        <v>316</v>
      </c>
    </row>
    <row r="22493">
      <c r="A22493" s="17"/>
      <c r="H22493" s="18"/>
      <c r="K22493" s="18" t="s">
        <v>316</v>
      </c>
    </row>
    <row r="22494">
      <c r="A22494" s="17"/>
      <c r="H22494" s="18"/>
      <c r="K22494" s="18" t="s">
        <v>316</v>
      </c>
    </row>
    <row r="22495">
      <c r="A22495" s="17"/>
      <c r="H22495" s="18"/>
      <c r="K22495" s="18" t="s">
        <v>316</v>
      </c>
    </row>
    <row r="22496">
      <c r="A22496" s="17"/>
      <c r="H22496" s="18"/>
      <c r="K22496" s="18" t="s">
        <v>316</v>
      </c>
    </row>
    <row r="22497">
      <c r="A22497" s="17"/>
      <c r="H22497" s="18"/>
      <c r="K22497" s="18" t="s">
        <v>316</v>
      </c>
    </row>
    <row r="22498">
      <c r="A22498" s="17"/>
      <c r="H22498" s="18"/>
      <c r="K22498" s="18" t="s">
        <v>316</v>
      </c>
    </row>
    <row r="22499">
      <c r="A22499" s="17"/>
      <c r="H22499" s="18"/>
      <c r="K22499" s="18" t="s">
        <v>316</v>
      </c>
    </row>
    <row r="22500">
      <c r="A22500" s="17"/>
      <c r="H22500" s="18"/>
      <c r="K22500" s="18" t="s">
        <v>316</v>
      </c>
    </row>
    <row r="22501">
      <c r="A22501" s="17"/>
      <c r="H22501" s="18"/>
      <c r="K22501" s="18" t="s">
        <v>316</v>
      </c>
    </row>
    <row r="22502">
      <c r="A22502" s="17"/>
      <c r="H22502" s="18"/>
      <c r="K22502" s="18" t="s">
        <v>316</v>
      </c>
    </row>
    <row r="22503">
      <c r="A22503" s="17"/>
      <c r="H22503" s="18"/>
      <c r="K22503" s="18" t="s">
        <v>316</v>
      </c>
    </row>
    <row r="22504">
      <c r="A22504" s="17"/>
      <c r="H22504" s="18"/>
      <c r="K22504" s="18" t="s">
        <v>316</v>
      </c>
    </row>
    <row r="22505">
      <c r="A22505" s="17"/>
      <c r="H22505" s="18"/>
      <c r="K22505" s="18" t="s">
        <v>316</v>
      </c>
    </row>
    <row r="22506">
      <c r="A22506" s="17"/>
      <c r="H22506" s="18"/>
      <c r="K22506" s="18" t="s">
        <v>316</v>
      </c>
    </row>
    <row r="22507">
      <c r="A22507" s="17"/>
      <c r="H22507" s="18"/>
      <c r="K22507" s="18" t="s">
        <v>316</v>
      </c>
    </row>
    <row r="22508">
      <c r="A22508" s="17"/>
      <c r="H22508" s="18"/>
      <c r="K22508" s="18" t="s">
        <v>316</v>
      </c>
    </row>
    <row r="22509">
      <c r="A22509" s="17"/>
      <c r="H22509" s="18"/>
      <c r="K22509" s="18" t="s">
        <v>316</v>
      </c>
    </row>
    <row r="22510">
      <c r="A22510" s="17"/>
      <c r="H22510" s="18"/>
      <c r="K22510" s="18" t="s">
        <v>316</v>
      </c>
    </row>
    <row r="22511">
      <c r="A22511" s="17"/>
      <c r="H22511" s="18"/>
      <c r="K22511" s="18" t="s">
        <v>316</v>
      </c>
    </row>
    <row r="22512">
      <c r="A22512" s="17"/>
      <c r="H22512" s="18"/>
      <c r="K22512" s="18" t="s">
        <v>316</v>
      </c>
    </row>
    <row r="22513">
      <c r="A22513" s="17"/>
      <c r="H22513" s="18"/>
      <c r="K22513" s="18" t="s">
        <v>316</v>
      </c>
    </row>
    <row r="22514">
      <c r="A22514" s="17"/>
      <c r="H22514" s="18"/>
      <c r="K22514" s="18" t="s">
        <v>316</v>
      </c>
    </row>
    <row r="22515">
      <c r="A22515" s="17"/>
      <c r="H22515" s="18"/>
      <c r="K22515" s="18" t="s">
        <v>316</v>
      </c>
    </row>
    <row r="22516">
      <c r="A22516" s="17"/>
      <c r="H22516" s="18"/>
      <c r="K22516" s="18" t="s">
        <v>316</v>
      </c>
    </row>
    <row r="22517">
      <c r="A22517" s="17"/>
      <c r="H22517" s="18"/>
      <c r="K22517" s="18" t="s">
        <v>316</v>
      </c>
    </row>
    <row r="22518">
      <c r="A22518" s="17"/>
      <c r="H22518" s="18"/>
      <c r="K22518" s="18" t="s">
        <v>316</v>
      </c>
    </row>
    <row r="22519">
      <c r="A22519" s="17"/>
      <c r="H22519" s="18"/>
      <c r="K22519" s="18" t="s">
        <v>316</v>
      </c>
    </row>
    <row r="22520">
      <c r="A22520" s="17"/>
      <c r="H22520" s="18"/>
      <c r="K22520" s="18" t="s">
        <v>316</v>
      </c>
    </row>
    <row r="22521">
      <c r="A22521" s="17"/>
      <c r="H22521" s="18"/>
      <c r="K22521" s="18" t="s">
        <v>316</v>
      </c>
    </row>
    <row r="22522">
      <c r="A22522" s="17"/>
      <c r="H22522" s="18"/>
      <c r="K22522" s="18" t="s">
        <v>316</v>
      </c>
    </row>
    <row r="22523">
      <c r="A22523" s="17"/>
      <c r="H22523" s="18"/>
      <c r="K22523" s="18" t="s">
        <v>316</v>
      </c>
    </row>
    <row r="22524">
      <c r="A22524" s="17"/>
      <c r="H22524" s="18"/>
      <c r="K22524" s="18" t="s">
        <v>316</v>
      </c>
    </row>
    <row r="22525">
      <c r="A22525" s="17"/>
      <c r="H22525" s="18"/>
      <c r="K22525" s="18" t="s">
        <v>316</v>
      </c>
    </row>
    <row r="22526">
      <c r="A22526" s="17"/>
      <c r="H22526" s="18"/>
      <c r="K22526" s="18" t="s">
        <v>316</v>
      </c>
    </row>
    <row r="22527">
      <c r="A22527" s="17"/>
      <c r="H22527" s="18"/>
      <c r="K22527" s="18" t="s">
        <v>316</v>
      </c>
    </row>
    <row r="22528">
      <c r="A22528" s="17"/>
      <c r="H22528" s="18"/>
      <c r="K22528" s="18" t="s">
        <v>316</v>
      </c>
    </row>
    <row r="22529">
      <c r="A22529" s="17"/>
      <c r="H22529" s="18"/>
      <c r="K22529" s="18" t="s">
        <v>316</v>
      </c>
    </row>
    <row r="22530">
      <c r="A22530" s="17"/>
      <c r="H22530" s="18"/>
      <c r="K22530" s="18" t="s">
        <v>316</v>
      </c>
    </row>
    <row r="22531">
      <c r="A22531" s="17"/>
      <c r="H22531" s="18"/>
      <c r="K22531" s="18" t="s">
        <v>316</v>
      </c>
    </row>
    <row r="22532">
      <c r="A22532" s="17"/>
      <c r="H22532" s="18"/>
      <c r="K22532" s="18" t="s">
        <v>316</v>
      </c>
    </row>
    <row r="22533">
      <c r="A22533" s="17"/>
      <c r="H22533" s="18"/>
      <c r="K22533" s="18" t="s">
        <v>316</v>
      </c>
    </row>
    <row r="22534">
      <c r="A22534" s="17"/>
      <c r="H22534" s="18"/>
      <c r="K22534" s="18" t="s">
        <v>316</v>
      </c>
    </row>
    <row r="22535">
      <c r="A22535" s="17"/>
      <c r="H22535" s="18"/>
      <c r="K22535" s="18" t="s">
        <v>316</v>
      </c>
    </row>
    <row r="22536">
      <c r="A22536" s="17"/>
      <c r="H22536" s="18"/>
      <c r="K22536" s="18" t="s">
        <v>316</v>
      </c>
    </row>
    <row r="22537">
      <c r="A22537" s="17"/>
      <c r="H22537" s="18"/>
      <c r="K22537" s="18" t="s">
        <v>316</v>
      </c>
    </row>
    <row r="22538">
      <c r="A22538" s="17"/>
      <c r="H22538" s="18"/>
      <c r="K22538" s="18" t="s">
        <v>316</v>
      </c>
    </row>
    <row r="22539">
      <c r="A22539" s="17"/>
      <c r="H22539" s="18"/>
      <c r="K22539" s="18" t="s">
        <v>316</v>
      </c>
    </row>
    <row r="22540">
      <c r="A22540" s="17"/>
      <c r="H22540" s="18"/>
      <c r="K22540" s="18" t="s">
        <v>316</v>
      </c>
    </row>
    <row r="22541">
      <c r="A22541" s="17"/>
      <c r="H22541" s="18"/>
      <c r="K22541" s="18" t="s">
        <v>316</v>
      </c>
    </row>
    <row r="22542">
      <c r="A22542" s="17"/>
      <c r="H22542" s="18"/>
      <c r="K22542" s="18" t="s">
        <v>316</v>
      </c>
    </row>
    <row r="22543">
      <c r="A22543" s="17"/>
      <c r="H22543" s="18"/>
      <c r="K22543" s="18" t="s">
        <v>316</v>
      </c>
    </row>
    <row r="22544">
      <c r="A22544" s="17"/>
      <c r="H22544" s="18"/>
      <c r="K22544" s="18" t="s">
        <v>316</v>
      </c>
    </row>
    <row r="22545">
      <c r="A22545" s="17"/>
      <c r="H22545" s="18"/>
      <c r="K22545" s="18" t="s">
        <v>316</v>
      </c>
    </row>
    <row r="22546">
      <c r="A22546" s="17"/>
      <c r="H22546" s="18"/>
      <c r="K22546" s="18" t="s">
        <v>316</v>
      </c>
    </row>
    <row r="22547">
      <c r="A22547" s="17"/>
      <c r="H22547" s="18"/>
      <c r="K22547" s="18" t="s">
        <v>316</v>
      </c>
    </row>
    <row r="22548">
      <c r="A22548" s="17"/>
      <c r="H22548" s="18"/>
      <c r="K22548" s="18" t="s">
        <v>316</v>
      </c>
    </row>
    <row r="22549">
      <c r="A22549" s="17"/>
      <c r="H22549" s="18"/>
      <c r="K22549" s="18" t="s">
        <v>316</v>
      </c>
    </row>
    <row r="22550">
      <c r="A22550" s="17"/>
      <c r="H22550" s="18"/>
      <c r="K22550" s="18" t="s">
        <v>316</v>
      </c>
    </row>
    <row r="22551">
      <c r="A22551" s="17"/>
      <c r="H22551" s="18"/>
      <c r="K22551" s="18" t="s">
        <v>316</v>
      </c>
    </row>
    <row r="22552">
      <c r="A22552" s="17"/>
      <c r="H22552" s="18"/>
      <c r="K22552" s="18" t="s">
        <v>316</v>
      </c>
    </row>
    <row r="22553">
      <c r="A22553" s="17"/>
      <c r="H22553" s="18"/>
      <c r="K22553" s="18" t="s">
        <v>316</v>
      </c>
    </row>
    <row r="22554">
      <c r="A22554" s="17"/>
      <c r="H22554" s="18"/>
      <c r="K22554" s="18" t="s">
        <v>316</v>
      </c>
    </row>
    <row r="22555">
      <c r="A22555" s="17"/>
      <c r="H22555" s="18"/>
      <c r="K22555" s="18" t="s">
        <v>316</v>
      </c>
    </row>
    <row r="22556">
      <c r="A22556" s="17"/>
      <c r="H22556" s="18"/>
      <c r="K22556" s="18" t="s">
        <v>316</v>
      </c>
    </row>
    <row r="22557">
      <c r="A22557" s="17"/>
      <c r="H22557" s="18"/>
      <c r="K22557" s="18" t="s">
        <v>316</v>
      </c>
    </row>
    <row r="22558">
      <c r="A22558" s="17"/>
      <c r="H22558" s="18"/>
      <c r="K22558" s="18" t="s">
        <v>316</v>
      </c>
    </row>
    <row r="22559">
      <c r="A22559" s="17"/>
      <c r="H22559" s="18"/>
      <c r="K22559" s="18" t="s">
        <v>316</v>
      </c>
    </row>
    <row r="22560">
      <c r="A22560" s="17"/>
      <c r="H22560" s="18"/>
      <c r="K22560" s="18" t="s">
        <v>316</v>
      </c>
    </row>
    <row r="22561">
      <c r="A22561" s="17"/>
      <c r="H22561" s="18"/>
      <c r="K22561" s="18" t="s">
        <v>316</v>
      </c>
    </row>
    <row r="22562">
      <c r="A22562" s="17"/>
      <c r="H22562" s="18"/>
      <c r="K22562" s="18" t="s">
        <v>316</v>
      </c>
    </row>
    <row r="22563">
      <c r="A22563" s="17"/>
      <c r="H22563" s="18"/>
      <c r="K22563" s="18" t="s">
        <v>316</v>
      </c>
    </row>
    <row r="22564">
      <c r="A22564" s="17"/>
      <c r="H22564" s="18"/>
      <c r="K22564" s="18" t="s">
        <v>316</v>
      </c>
    </row>
    <row r="22565">
      <c r="A22565" s="17"/>
      <c r="H22565" s="18"/>
      <c r="K22565" s="18" t="s">
        <v>316</v>
      </c>
    </row>
    <row r="22566">
      <c r="A22566" s="17"/>
      <c r="H22566" s="18"/>
      <c r="K22566" s="18" t="s">
        <v>316</v>
      </c>
    </row>
    <row r="22567">
      <c r="A22567" s="17"/>
      <c r="H22567" s="18"/>
      <c r="K22567" s="18" t="s">
        <v>316</v>
      </c>
    </row>
    <row r="22568">
      <c r="A22568" s="17"/>
      <c r="H22568" s="18"/>
      <c r="K22568" s="18" t="s">
        <v>316</v>
      </c>
    </row>
    <row r="22569">
      <c r="A22569" s="17"/>
      <c r="H22569" s="18"/>
      <c r="K22569" s="18" t="s">
        <v>316</v>
      </c>
    </row>
    <row r="22570">
      <c r="A22570" s="17"/>
      <c r="H22570" s="18"/>
      <c r="K22570" s="18" t="s">
        <v>316</v>
      </c>
    </row>
    <row r="22571">
      <c r="A22571" s="17"/>
      <c r="H22571" s="18"/>
      <c r="K22571" s="18" t="s">
        <v>316</v>
      </c>
    </row>
    <row r="22572">
      <c r="A22572" s="17"/>
      <c r="H22572" s="18"/>
      <c r="K22572" s="18" t="s">
        <v>316</v>
      </c>
    </row>
    <row r="22573">
      <c r="A22573" s="17"/>
      <c r="H22573" s="18"/>
      <c r="K22573" s="18" t="s">
        <v>316</v>
      </c>
    </row>
    <row r="22574">
      <c r="A22574" s="17"/>
      <c r="H22574" s="18"/>
      <c r="K22574" s="18" t="s">
        <v>316</v>
      </c>
    </row>
    <row r="22575">
      <c r="A22575" s="17"/>
      <c r="H22575" s="18"/>
      <c r="K22575" s="18" t="s">
        <v>316</v>
      </c>
    </row>
    <row r="22576">
      <c r="A22576" s="17"/>
      <c r="H22576" s="18"/>
      <c r="K22576" s="18" t="s">
        <v>316</v>
      </c>
    </row>
    <row r="22577">
      <c r="A22577" s="17"/>
      <c r="H22577" s="18"/>
      <c r="K22577" s="18" t="s">
        <v>316</v>
      </c>
    </row>
    <row r="22578">
      <c r="A22578" s="17"/>
      <c r="H22578" s="18"/>
      <c r="K22578" s="18" t="s">
        <v>316</v>
      </c>
    </row>
    <row r="22579">
      <c r="A22579" s="17"/>
      <c r="H22579" s="18"/>
      <c r="K22579" s="18" t="s">
        <v>316</v>
      </c>
    </row>
    <row r="22580">
      <c r="A22580" s="17"/>
      <c r="H22580" s="18"/>
      <c r="K22580" s="18" t="s">
        <v>316</v>
      </c>
    </row>
    <row r="22581">
      <c r="A22581" s="17"/>
      <c r="H22581" s="18"/>
      <c r="K22581" s="18" t="s">
        <v>316</v>
      </c>
    </row>
    <row r="22582">
      <c r="A22582" s="17"/>
      <c r="H22582" s="18"/>
      <c r="K22582" s="18" t="s">
        <v>316</v>
      </c>
    </row>
    <row r="22583">
      <c r="A22583" s="17"/>
      <c r="H22583" s="18"/>
      <c r="K22583" s="18" t="s">
        <v>316</v>
      </c>
    </row>
    <row r="22584">
      <c r="A22584" s="17"/>
      <c r="H22584" s="18"/>
      <c r="K22584" s="18" t="s">
        <v>316</v>
      </c>
    </row>
    <row r="22585">
      <c r="A22585" s="17"/>
      <c r="H22585" s="18"/>
      <c r="K22585" s="18" t="s">
        <v>316</v>
      </c>
    </row>
    <row r="22586">
      <c r="A22586" s="17"/>
      <c r="H22586" s="18"/>
      <c r="K22586" s="18" t="s">
        <v>316</v>
      </c>
    </row>
    <row r="22587">
      <c r="A22587" s="17"/>
      <c r="H22587" s="18"/>
      <c r="K22587" s="18" t="s">
        <v>316</v>
      </c>
    </row>
    <row r="22588">
      <c r="A22588" s="17"/>
      <c r="H22588" s="18"/>
      <c r="K22588" s="18" t="s">
        <v>316</v>
      </c>
    </row>
    <row r="22589">
      <c r="A22589" s="17"/>
      <c r="H22589" s="18"/>
      <c r="K22589" s="18" t="s">
        <v>316</v>
      </c>
    </row>
    <row r="22590">
      <c r="A22590" s="17"/>
      <c r="H22590" s="18"/>
      <c r="K22590" s="18" t="s">
        <v>316</v>
      </c>
    </row>
    <row r="22591">
      <c r="A22591" s="17"/>
      <c r="H22591" s="18"/>
      <c r="K22591" s="18" t="s">
        <v>316</v>
      </c>
    </row>
    <row r="22592">
      <c r="A22592" s="17"/>
      <c r="H22592" s="18"/>
      <c r="K22592" s="18" t="s">
        <v>316</v>
      </c>
    </row>
    <row r="22593">
      <c r="A22593" s="17"/>
      <c r="H22593" s="18"/>
      <c r="K22593" s="18" t="s">
        <v>316</v>
      </c>
    </row>
    <row r="22594">
      <c r="A22594" s="17"/>
      <c r="H22594" s="18"/>
      <c r="K22594" s="18" t="s">
        <v>316</v>
      </c>
    </row>
    <row r="22595">
      <c r="A22595" s="17"/>
      <c r="H22595" s="18"/>
      <c r="K22595" s="18" t="s">
        <v>316</v>
      </c>
    </row>
    <row r="22596">
      <c r="A22596" s="17"/>
      <c r="H22596" s="18"/>
      <c r="K22596" s="18" t="s">
        <v>316</v>
      </c>
    </row>
    <row r="22597">
      <c r="A22597" s="17"/>
      <c r="H22597" s="18"/>
      <c r="K22597" s="18" t="s">
        <v>316</v>
      </c>
    </row>
    <row r="22598">
      <c r="A22598" s="17"/>
      <c r="H22598" s="18"/>
      <c r="K22598" s="18" t="s">
        <v>316</v>
      </c>
    </row>
    <row r="22599">
      <c r="A22599" s="17"/>
      <c r="H22599" s="18"/>
      <c r="K22599" s="18" t="s">
        <v>316</v>
      </c>
    </row>
    <row r="22600">
      <c r="A22600" s="17"/>
      <c r="H22600" s="18"/>
      <c r="K22600" s="18" t="s">
        <v>316</v>
      </c>
    </row>
    <row r="22601">
      <c r="A22601" s="17"/>
      <c r="H22601" s="18"/>
      <c r="K22601" s="18" t="s">
        <v>316</v>
      </c>
    </row>
    <row r="22602">
      <c r="A22602" s="17"/>
      <c r="H22602" s="18"/>
      <c r="K22602" s="18" t="s">
        <v>316</v>
      </c>
    </row>
    <row r="22603">
      <c r="A22603" s="17"/>
      <c r="H22603" s="18"/>
      <c r="K22603" s="18" t="s">
        <v>316</v>
      </c>
    </row>
    <row r="22604">
      <c r="A22604" s="17"/>
      <c r="H22604" s="18"/>
      <c r="K22604" s="18" t="s">
        <v>316</v>
      </c>
    </row>
    <row r="22605">
      <c r="A22605" s="17"/>
      <c r="H22605" s="18"/>
      <c r="K22605" s="18" t="s">
        <v>316</v>
      </c>
    </row>
    <row r="22606">
      <c r="A22606" s="17"/>
      <c r="H22606" s="18"/>
      <c r="K22606" s="18" t="s">
        <v>316</v>
      </c>
    </row>
    <row r="22607">
      <c r="A22607" s="17"/>
      <c r="H22607" s="18"/>
      <c r="K22607" s="18" t="s">
        <v>316</v>
      </c>
    </row>
    <row r="22608">
      <c r="A22608" s="17"/>
      <c r="H22608" s="18"/>
      <c r="K22608" s="18" t="s">
        <v>316</v>
      </c>
    </row>
    <row r="22609">
      <c r="A22609" s="17"/>
      <c r="H22609" s="18"/>
      <c r="K22609" s="18" t="s">
        <v>316</v>
      </c>
    </row>
    <row r="22610">
      <c r="A22610" s="17"/>
      <c r="H22610" s="18"/>
      <c r="K22610" s="18" t="s">
        <v>316</v>
      </c>
    </row>
    <row r="22611">
      <c r="A22611" s="17"/>
      <c r="H22611" s="18"/>
      <c r="K22611" s="18" t="s">
        <v>316</v>
      </c>
    </row>
    <row r="22612">
      <c r="A22612" s="17"/>
      <c r="H22612" s="18"/>
      <c r="K22612" s="18" t="s">
        <v>316</v>
      </c>
    </row>
    <row r="22613">
      <c r="A22613" s="17"/>
      <c r="H22613" s="18"/>
      <c r="K22613" s="18" t="s">
        <v>316</v>
      </c>
    </row>
    <row r="22614">
      <c r="A22614" s="17"/>
      <c r="H22614" s="18"/>
      <c r="K22614" s="18" t="s">
        <v>316</v>
      </c>
    </row>
    <row r="22615">
      <c r="A22615" s="17"/>
      <c r="H22615" s="18"/>
      <c r="K22615" s="18" t="s">
        <v>316</v>
      </c>
    </row>
    <row r="22616">
      <c r="A22616" s="17"/>
      <c r="H22616" s="18"/>
      <c r="K22616" s="18" t="s">
        <v>316</v>
      </c>
    </row>
    <row r="22617">
      <c r="A22617" s="17"/>
      <c r="H22617" s="18"/>
      <c r="K22617" s="18" t="s">
        <v>316</v>
      </c>
    </row>
    <row r="22618">
      <c r="A22618" s="17"/>
      <c r="H22618" s="18"/>
      <c r="K22618" s="18" t="s">
        <v>316</v>
      </c>
    </row>
    <row r="22619">
      <c r="A22619" s="17"/>
      <c r="H22619" s="18"/>
      <c r="K22619" s="18" t="s">
        <v>316</v>
      </c>
    </row>
    <row r="22620">
      <c r="A22620" s="17"/>
      <c r="H22620" s="18"/>
      <c r="K22620" s="18" t="s">
        <v>316</v>
      </c>
    </row>
    <row r="22621">
      <c r="A22621" s="17"/>
      <c r="H22621" s="18"/>
      <c r="K22621" s="18" t="s">
        <v>316</v>
      </c>
    </row>
    <row r="22622">
      <c r="A22622" s="17"/>
      <c r="H22622" s="18"/>
      <c r="K22622" s="18" t="s">
        <v>316</v>
      </c>
    </row>
    <row r="22623">
      <c r="A22623" s="17"/>
      <c r="H22623" s="18"/>
      <c r="K22623" s="18" t="s">
        <v>316</v>
      </c>
    </row>
    <row r="22624">
      <c r="A22624" s="17"/>
      <c r="H22624" s="18"/>
      <c r="K22624" s="18" t="s">
        <v>316</v>
      </c>
    </row>
    <row r="22625">
      <c r="A22625" s="17"/>
      <c r="H22625" s="18"/>
      <c r="K22625" s="18" t="s">
        <v>316</v>
      </c>
    </row>
    <row r="22626">
      <c r="A22626" s="17"/>
      <c r="H22626" s="18"/>
      <c r="K22626" s="18" t="s">
        <v>316</v>
      </c>
    </row>
    <row r="22627">
      <c r="A22627" s="17"/>
      <c r="H22627" s="18"/>
      <c r="K22627" s="18" t="s">
        <v>316</v>
      </c>
    </row>
    <row r="22628">
      <c r="A22628" s="17"/>
      <c r="H22628" s="18"/>
      <c r="K22628" s="18" t="s">
        <v>316</v>
      </c>
    </row>
    <row r="22629">
      <c r="A22629" s="17"/>
      <c r="H22629" s="18"/>
      <c r="K22629" s="18" t="s">
        <v>316</v>
      </c>
    </row>
    <row r="22630">
      <c r="A22630" s="17"/>
      <c r="H22630" s="18"/>
      <c r="K22630" s="18" t="s">
        <v>316</v>
      </c>
    </row>
    <row r="22631">
      <c r="A22631" s="17"/>
      <c r="H22631" s="18"/>
      <c r="K22631" s="18" t="s">
        <v>316</v>
      </c>
    </row>
    <row r="22632">
      <c r="A22632" s="17"/>
      <c r="H22632" s="18"/>
      <c r="K22632" s="18" t="s">
        <v>316</v>
      </c>
    </row>
    <row r="22633">
      <c r="A22633" s="17"/>
      <c r="H22633" s="18"/>
      <c r="K22633" s="18" t="s">
        <v>316</v>
      </c>
    </row>
    <row r="22634">
      <c r="A22634" s="17"/>
      <c r="H22634" s="18"/>
      <c r="K22634" s="18" t="s">
        <v>316</v>
      </c>
    </row>
    <row r="22635">
      <c r="A22635" s="17"/>
      <c r="H22635" s="18"/>
      <c r="K22635" s="18" t="s">
        <v>316</v>
      </c>
    </row>
    <row r="22636">
      <c r="A22636" s="17"/>
      <c r="H22636" s="18"/>
      <c r="K22636" s="18" t="s">
        <v>316</v>
      </c>
    </row>
    <row r="22637">
      <c r="A22637" s="17"/>
      <c r="H22637" s="18"/>
      <c r="K22637" s="18" t="s">
        <v>316</v>
      </c>
    </row>
    <row r="22638">
      <c r="A22638" s="17"/>
      <c r="H22638" s="18"/>
      <c r="K22638" s="18" t="s">
        <v>316</v>
      </c>
    </row>
    <row r="22639">
      <c r="A22639" s="17"/>
      <c r="H22639" s="18"/>
      <c r="K22639" s="18" t="s">
        <v>316</v>
      </c>
    </row>
    <row r="22640">
      <c r="A22640" s="17"/>
      <c r="H22640" s="18"/>
      <c r="K22640" s="18" t="s">
        <v>316</v>
      </c>
    </row>
    <row r="22641">
      <c r="A22641" s="17"/>
      <c r="H22641" s="18"/>
      <c r="K22641" s="18" t="s">
        <v>316</v>
      </c>
    </row>
    <row r="22642">
      <c r="A22642" s="17"/>
      <c r="H22642" s="18"/>
      <c r="K22642" s="18" t="s">
        <v>316</v>
      </c>
    </row>
    <row r="22643">
      <c r="A22643" s="17"/>
      <c r="H22643" s="18"/>
      <c r="K22643" s="18" t="s">
        <v>316</v>
      </c>
    </row>
    <row r="22644">
      <c r="A22644" s="17"/>
      <c r="H22644" s="18"/>
      <c r="K22644" s="18" t="s">
        <v>316</v>
      </c>
    </row>
    <row r="22645">
      <c r="A22645" s="17"/>
      <c r="H22645" s="18"/>
      <c r="K22645" s="18" t="s">
        <v>316</v>
      </c>
    </row>
    <row r="22646">
      <c r="A22646" s="17"/>
      <c r="H22646" s="18"/>
      <c r="K22646" s="18" t="s">
        <v>316</v>
      </c>
    </row>
    <row r="22647">
      <c r="A22647" s="17"/>
      <c r="H22647" s="18"/>
      <c r="K22647" s="18" t="s">
        <v>316</v>
      </c>
    </row>
    <row r="22648">
      <c r="A22648" s="17"/>
      <c r="H22648" s="18"/>
      <c r="K22648" s="18" t="s">
        <v>316</v>
      </c>
    </row>
    <row r="22649">
      <c r="A22649" s="17"/>
      <c r="H22649" s="18"/>
      <c r="K22649" s="18" t="s">
        <v>316</v>
      </c>
    </row>
    <row r="22650">
      <c r="A22650" s="17"/>
      <c r="H22650" s="18"/>
      <c r="K22650" s="18" t="s">
        <v>316</v>
      </c>
    </row>
    <row r="22651">
      <c r="A22651" s="17"/>
      <c r="H22651" s="18"/>
      <c r="K22651" s="18" t="s">
        <v>316</v>
      </c>
    </row>
    <row r="22652">
      <c r="A22652" s="17"/>
      <c r="H22652" s="18"/>
      <c r="K22652" s="18" t="s">
        <v>316</v>
      </c>
    </row>
    <row r="22653">
      <c r="A22653" s="17"/>
      <c r="H22653" s="18"/>
      <c r="K22653" s="18" t="s">
        <v>316</v>
      </c>
    </row>
    <row r="22654">
      <c r="A22654" s="17"/>
      <c r="H22654" s="18"/>
      <c r="K22654" s="18" t="s">
        <v>316</v>
      </c>
    </row>
    <row r="22655">
      <c r="A22655" s="17"/>
      <c r="H22655" s="18"/>
      <c r="K22655" s="18" t="s">
        <v>316</v>
      </c>
    </row>
    <row r="22656">
      <c r="A22656" s="17"/>
      <c r="H22656" s="18"/>
      <c r="K22656" s="18" t="s">
        <v>316</v>
      </c>
    </row>
    <row r="22657">
      <c r="A22657" s="17"/>
      <c r="H22657" s="18"/>
      <c r="K22657" s="18" t="s">
        <v>316</v>
      </c>
    </row>
    <row r="22658">
      <c r="A22658" s="17"/>
      <c r="H22658" s="18"/>
      <c r="K22658" s="18" t="s">
        <v>316</v>
      </c>
    </row>
    <row r="22659">
      <c r="A22659" s="17"/>
      <c r="H22659" s="18"/>
      <c r="K22659" s="18" t="s">
        <v>316</v>
      </c>
    </row>
    <row r="22660">
      <c r="A22660" s="17"/>
      <c r="H22660" s="18"/>
      <c r="K22660" s="18" t="s">
        <v>316</v>
      </c>
    </row>
    <row r="22661">
      <c r="A22661" s="17"/>
      <c r="H22661" s="18"/>
      <c r="K22661" s="18" t="s">
        <v>316</v>
      </c>
    </row>
    <row r="22662">
      <c r="A22662" s="17"/>
      <c r="H22662" s="18"/>
      <c r="K22662" s="18" t="s">
        <v>316</v>
      </c>
    </row>
    <row r="22663">
      <c r="A22663" s="17"/>
      <c r="H22663" s="18"/>
      <c r="K22663" s="18" t="s">
        <v>316</v>
      </c>
    </row>
    <row r="22664">
      <c r="A22664" s="17"/>
      <c r="H22664" s="18"/>
      <c r="K22664" s="18" t="s">
        <v>316</v>
      </c>
    </row>
    <row r="22665">
      <c r="A22665" s="17"/>
      <c r="H22665" s="18"/>
      <c r="K22665" s="18" t="s">
        <v>316</v>
      </c>
    </row>
    <row r="22666">
      <c r="A22666" s="17"/>
      <c r="H22666" s="18"/>
      <c r="K22666" s="18" t="s">
        <v>316</v>
      </c>
    </row>
    <row r="22667">
      <c r="A22667" s="17"/>
      <c r="H22667" s="18"/>
      <c r="K22667" s="18" t="s">
        <v>316</v>
      </c>
    </row>
    <row r="22668">
      <c r="A22668" s="17"/>
      <c r="H22668" s="18"/>
      <c r="K22668" s="18" t="s">
        <v>316</v>
      </c>
    </row>
    <row r="22669">
      <c r="A22669" s="17"/>
      <c r="H22669" s="18"/>
      <c r="K22669" s="18" t="s">
        <v>316</v>
      </c>
    </row>
    <row r="22670">
      <c r="A22670" s="17"/>
      <c r="H22670" s="18"/>
      <c r="K22670" s="18" t="s">
        <v>316</v>
      </c>
    </row>
    <row r="22671">
      <c r="A22671" s="17"/>
      <c r="H22671" s="18"/>
      <c r="K22671" s="18" t="s">
        <v>316</v>
      </c>
    </row>
    <row r="22672">
      <c r="A22672" s="17"/>
      <c r="H22672" s="18"/>
      <c r="K22672" s="18" t="s">
        <v>316</v>
      </c>
    </row>
    <row r="22673">
      <c r="A22673" s="17"/>
      <c r="H22673" s="18"/>
      <c r="K22673" s="18" t="s">
        <v>316</v>
      </c>
    </row>
    <row r="22674">
      <c r="A22674" s="17"/>
      <c r="H22674" s="18"/>
      <c r="K22674" s="18" t="s">
        <v>316</v>
      </c>
    </row>
    <row r="22675">
      <c r="A22675" s="17"/>
      <c r="H22675" s="18"/>
      <c r="K22675" s="18" t="s">
        <v>316</v>
      </c>
    </row>
    <row r="22676">
      <c r="A22676" s="17"/>
      <c r="H22676" s="18"/>
      <c r="K22676" s="18" t="s">
        <v>316</v>
      </c>
    </row>
    <row r="22677">
      <c r="A22677" s="17"/>
      <c r="H22677" s="18"/>
      <c r="K22677" s="18" t="s">
        <v>316</v>
      </c>
    </row>
    <row r="22678">
      <c r="A22678" s="17"/>
      <c r="H22678" s="18"/>
      <c r="K22678" s="18" t="s">
        <v>316</v>
      </c>
    </row>
    <row r="22679">
      <c r="A22679" s="17"/>
      <c r="H22679" s="18"/>
      <c r="K22679" s="18" t="s">
        <v>316</v>
      </c>
    </row>
    <row r="22680">
      <c r="A22680" s="17"/>
      <c r="H22680" s="18"/>
      <c r="K22680" s="18" t="s">
        <v>316</v>
      </c>
    </row>
    <row r="22681">
      <c r="A22681" s="17"/>
      <c r="H22681" s="18"/>
      <c r="K22681" s="18" t="s">
        <v>316</v>
      </c>
    </row>
    <row r="22682">
      <c r="A22682" s="17"/>
      <c r="H22682" s="18"/>
      <c r="K22682" s="18" t="s">
        <v>316</v>
      </c>
    </row>
    <row r="22683">
      <c r="A22683" s="17"/>
      <c r="H22683" s="18"/>
      <c r="K22683" s="18" t="s">
        <v>316</v>
      </c>
    </row>
    <row r="22684">
      <c r="A22684" s="17"/>
      <c r="H22684" s="18"/>
      <c r="K22684" s="18" t="s">
        <v>316</v>
      </c>
    </row>
    <row r="22685">
      <c r="A22685" s="17"/>
      <c r="H22685" s="18"/>
      <c r="K22685" s="18" t="s">
        <v>316</v>
      </c>
    </row>
    <row r="22686">
      <c r="A22686" s="17"/>
      <c r="H22686" s="18"/>
      <c r="K22686" s="18" t="s">
        <v>316</v>
      </c>
    </row>
    <row r="22687">
      <c r="A22687" s="17"/>
      <c r="H22687" s="18"/>
      <c r="K22687" s="18" t="s">
        <v>316</v>
      </c>
    </row>
    <row r="22688">
      <c r="A22688" s="17"/>
      <c r="H22688" s="18"/>
      <c r="K22688" s="18" t="s">
        <v>316</v>
      </c>
    </row>
    <row r="22689">
      <c r="A22689" s="17"/>
      <c r="H22689" s="18"/>
      <c r="K22689" s="18" t="s">
        <v>316</v>
      </c>
    </row>
    <row r="22690">
      <c r="A22690" s="17"/>
      <c r="H22690" s="18"/>
      <c r="K22690" s="18" t="s">
        <v>316</v>
      </c>
    </row>
    <row r="22691">
      <c r="A22691" s="17"/>
      <c r="H22691" s="18"/>
      <c r="K22691" s="18" t="s">
        <v>316</v>
      </c>
    </row>
    <row r="22692">
      <c r="A22692" s="17"/>
      <c r="H22692" s="18"/>
      <c r="K22692" s="18" t="s">
        <v>316</v>
      </c>
    </row>
    <row r="22693">
      <c r="A22693" s="17"/>
      <c r="H22693" s="18"/>
      <c r="K22693" s="18" t="s">
        <v>316</v>
      </c>
    </row>
    <row r="22694">
      <c r="A22694" s="17"/>
      <c r="H22694" s="18"/>
      <c r="K22694" s="18" t="s">
        <v>316</v>
      </c>
    </row>
    <row r="22695">
      <c r="A22695" s="17"/>
      <c r="H22695" s="18"/>
      <c r="K22695" s="18" t="s">
        <v>316</v>
      </c>
    </row>
    <row r="22696">
      <c r="A22696" s="17"/>
      <c r="H22696" s="18"/>
      <c r="K22696" s="18" t="s">
        <v>316</v>
      </c>
    </row>
    <row r="22697">
      <c r="A22697" s="17"/>
      <c r="H22697" s="18"/>
      <c r="K22697" s="18" t="s">
        <v>316</v>
      </c>
    </row>
    <row r="22698">
      <c r="A22698" s="17"/>
      <c r="H22698" s="18"/>
      <c r="K22698" s="18" t="s">
        <v>316</v>
      </c>
    </row>
    <row r="22699">
      <c r="A22699" s="17"/>
      <c r="H22699" s="18"/>
      <c r="K22699" s="18" t="s">
        <v>316</v>
      </c>
    </row>
    <row r="22700">
      <c r="A22700" s="17"/>
      <c r="H22700" s="18"/>
      <c r="K22700" s="18" t="s">
        <v>316</v>
      </c>
    </row>
    <row r="22701">
      <c r="A22701" s="17"/>
      <c r="H22701" s="18"/>
      <c r="K22701" s="18" t="s">
        <v>316</v>
      </c>
    </row>
    <row r="22702">
      <c r="A22702" s="17"/>
      <c r="H22702" s="18"/>
      <c r="K22702" s="18" t="s">
        <v>316</v>
      </c>
    </row>
    <row r="22703">
      <c r="A22703" s="17"/>
      <c r="H22703" s="18"/>
      <c r="K22703" s="18" t="s">
        <v>316</v>
      </c>
    </row>
    <row r="22704">
      <c r="A22704" s="17"/>
      <c r="H22704" s="18"/>
      <c r="K22704" s="18" t="s">
        <v>316</v>
      </c>
    </row>
    <row r="22705">
      <c r="A22705" s="17"/>
      <c r="H22705" s="18"/>
      <c r="K22705" s="18" t="s">
        <v>316</v>
      </c>
    </row>
    <row r="22706">
      <c r="A22706" s="17"/>
      <c r="H22706" s="18"/>
      <c r="K22706" s="18" t="s">
        <v>316</v>
      </c>
    </row>
    <row r="22707">
      <c r="A22707" s="17"/>
      <c r="H22707" s="18"/>
      <c r="K22707" s="18" t="s">
        <v>316</v>
      </c>
    </row>
    <row r="22708">
      <c r="A22708" s="17"/>
      <c r="H22708" s="18"/>
      <c r="K22708" s="18" t="s">
        <v>316</v>
      </c>
    </row>
    <row r="22709">
      <c r="A22709" s="17"/>
      <c r="H22709" s="18"/>
      <c r="K22709" s="18" t="s">
        <v>316</v>
      </c>
    </row>
    <row r="22710">
      <c r="A22710" s="17"/>
      <c r="H22710" s="18"/>
      <c r="K22710" s="18" t="s">
        <v>316</v>
      </c>
    </row>
    <row r="22711">
      <c r="A22711" s="17"/>
      <c r="H22711" s="18"/>
      <c r="K22711" s="18" t="s">
        <v>316</v>
      </c>
    </row>
    <row r="22712">
      <c r="A22712" s="17"/>
      <c r="H22712" s="18"/>
      <c r="K22712" s="18" t="s">
        <v>316</v>
      </c>
    </row>
    <row r="22713">
      <c r="A22713" s="17"/>
      <c r="H22713" s="18"/>
      <c r="K22713" s="18" t="s">
        <v>316</v>
      </c>
    </row>
    <row r="22714">
      <c r="A22714" s="17"/>
      <c r="H22714" s="18"/>
      <c r="K22714" s="18" t="s">
        <v>316</v>
      </c>
    </row>
    <row r="22715">
      <c r="A22715" s="17"/>
      <c r="H22715" s="18"/>
      <c r="K22715" s="18" t="s">
        <v>316</v>
      </c>
    </row>
    <row r="22716">
      <c r="A22716" s="17"/>
      <c r="H22716" s="18"/>
      <c r="K22716" s="18" t="s">
        <v>316</v>
      </c>
    </row>
    <row r="22717">
      <c r="A22717" s="17"/>
      <c r="H22717" s="18"/>
      <c r="K22717" s="18" t="s">
        <v>316</v>
      </c>
    </row>
    <row r="22718">
      <c r="A22718" s="17"/>
      <c r="H22718" s="18"/>
      <c r="K22718" s="18" t="s">
        <v>316</v>
      </c>
    </row>
    <row r="22719">
      <c r="A22719" s="17"/>
      <c r="H22719" s="18"/>
      <c r="K22719" s="18" t="s">
        <v>316</v>
      </c>
    </row>
    <row r="22720">
      <c r="A22720" s="17"/>
      <c r="H22720" s="18"/>
      <c r="K22720" s="18" t="s">
        <v>316</v>
      </c>
    </row>
    <row r="22721">
      <c r="A22721" s="17"/>
      <c r="H22721" s="18"/>
      <c r="K22721" s="18" t="s">
        <v>316</v>
      </c>
    </row>
    <row r="22722">
      <c r="A22722" s="17"/>
      <c r="H22722" s="18"/>
      <c r="K22722" s="18" t="s">
        <v>316</v>
      </c>
    </row>
    <row r="22723">
      <c r="A22723" s="17"/>
      <c r="H22723" s="18"/>
      <c r="K22723" s="18" t="s">
        <v>316</v>
      </c>
    </row>
    <row r="22724">
      <c r="A22724" s="17"/>
      <c r="H22724" s="18"/>
      <c r="K22724" s="18" t="s">
        <v>316</v>
      </c>
    </row>
    <row r="22725">
      <c r="A22725" s="17"/>
      <c r="H22725" s="18"/>
      <c r="K22725" s="18" t="s">
        <v>316</v>
      </c>
    </row>
    <row r="22726">
      <c r="A22726" s="17"/>
      <c r="H22726" s="18"/>
      <c r="K22726" s="18" t="s">
        <v>316</v>
      </c>
    </row>
    <row r="22727">
      <c r="A22727" s="17"/>
      <c r="H22727" s="18"/>
      <c r="K22727" s="18" t="s">
        <v>316</v>
      </c>
    </row>
    <row r="22728">
      <c r="A22728" s="17"/>
      <c r="H22728" s="18"/>
      <c r="K22728" s="18" t="s">
        <v>316</v>
      </c>
    </row>
    <row r="22729">
      <c r="A22729" s="17"/>
      <c r="H22729" s="18"/>
      <c r="K22729" s="18" t="s">
        <v>316</v>
      </c>
    </row>
    <row r="22730">
      <c r="A22730" s="17"/>
      <c r="H22730" s="18"/>
      <c r="K22730" s="18" t="s">
        <v>316</v>
      </c>
    </row>
    <row r="22731">
      <c r="A22731" s="17"/>
      <c r="H22731" s="18"/>
      <c r="K22731" s="18" t="s">
        <v>316</v>
      </c>
    </row>
    <row r="22732">
      <c r="A22732" s="17"/>
      <c r="H22732" s="18"/>
      <c r="K22732" s="18" t="s">
        <v>316</v>
      </c>
    </row>
    <row r="22733">
      <c r="A22733" s="17"/>
      <c r="H22733" s="18"/>
      <c r="K22733" s="18" t="s">
        <v>316</v>
      </c>
    </row>
    <row r="22734">
      <c r="A22734" s="17"/>
      <c r="H22734" s="18"/>
      <c r="K22734" s="18" t="s">
        <v>316</v>
      </c>
    </row>
    <row r="22735">
      <c r="A22735" s="17"/>
      <c r="H22735" s="18"/>
      <c r="K22735" s="18" t="s">
        <v>316</v>
      </c>
    </row>
    <row r="22736">
      <c r="A22736" s="17"/>
      <c r="H22736" s="18"/>
      <c r="K22736" s="18" t="s">
        <v>316</v>
      </c>
    </row>
    <row r="22737">
      <c r="A22737" s="17"/>
      <c r="H22737" s="18"/>
      <c r="K22737" s="18" t="s">
        <v>316</v>
      </c>
    </row>
    <row r="22738">
      <c r="A22738" s="17"/>
      <c r="H22738" s="18"/>
      <c r="K22738" s="18" t="s">
        <v>316</v>
      </c>
    </row>
    <row r="22739">
      <c r="A22739" s="17"/>
      <c r="H22739" s="18"/>
      <c r="K22739" s="18" t="s">
        <v>316</v>
      </c>
    </row>
    <row r="22740">
      <c r="A22740" s="17"/>
      <c r="H22740" s="18"/>
      <c r="K22740" s="18" t="s">
        <v>316</v>
      </c>
    </row>
    <row r="22741">
      <c r="A22741" s="17"/>
      <c r="H22741" s="18"/>
      <c r="K22741" s="18" t="s">
        <v>316</v>
      </c>
    </row>
    <row r="22742">
      <c r="A22742" s="17"/>
      <c r="H22742" s="18"/>
      <c r="K22742" s="18" t="s">
        <v>316</v>
      </c>
    </row>
    <row r="22743">
      <c r="A22743" s="17"/>
      <c r="H22743" s="18"/>
      <c r="K22743" s="18" t="s">
        <v>316</v>
      </c>
    </row>
    <row r="22744">
      <c r="A22744" s="17"/>
      <c r="H22744" s="18"/>
      <c r="K22744" s="18" t="s">
        <v>316</v>
      </c>
    </row>
    <row r="22745">
      <c r="A22745" s="17"/>
      <c r="H22745" s="18"/>
      <c r="K22745" s="18" t="s">
        <v>316</v>
      </c>
    </row>
    <row r="22746">
      <c r="A22746" s="17"/>
      <c r="H22746" s="18"/>
      <c r="K22746" s="18" t="s">
        <v>316</v>
      </c>
    </row>
    <row r="22747">
      <c r="A22747" s="17"/>
      <c r="H22747" s="18"/>
      <c r="K22747" s="18" t="s">
        <v>316</v>
      </c>
    </row>
    <row r="22748">
      <c r="A22748" s="17"/>
      <c r="H22748" s="18"/>
      <c r="K22748" s="18" t="s">
        <v>316</v>
      </c>
    </row>
    <row r="22749">
      <c r="A22749" s="17"/>
      <c r="H22749" s="18"/>
      <c r="K22749" s="18" t="s">
        <v>316</v>
      </c>
    </row>
    <row r="22750">
      <c r="A22750" s="17"/>
      <c r="H22750" s="18"/>
      <c r="K22750" s="18" t="s">
        <v>316</v>
      </c>
    </row>
    <row r="22751">
      <c r="A22751" s="17"/>
      <c r="H22751" s="18"/>
      <c r="K22751" s="18" t="s">
        <v>316</v>
      </c>
    </row>
    <row r="22752">
      <c r="A22752" s="17"/>
      <c r="H22752" s="18"/>
      <c r="K22752" s="18" t="s">
        <v>316</v>
      </c>
    </row>
    <row r="22753">
      <c r="A22753" s="17"/>
      <c r="H22753" s="18"/>
      <c r="K22753" s="18" t="s">
        <v>316</v>
      </c>
    </row>
    <row r="22754">
      <c r="A22754" s="17"/>
      <c r="H22754" s="18"/>
      <c r="K22754" s="18" t="s">
        <v>316</v>
      </c>
    </row>
    <row r="22755">
      <c r="A22755" s="17"/>
      <c r="H22755" s="18"/>
      <c r="K22755" s="18" t="s">
        <v>316</v>
      </c>
    </row>
    <row r="22756">
      <c r="A22756" s="17"/>
      <c r="H22756" s="18"/>
      <c r="K22756" s="18" t="s">
        <v>316</v>
      </c>
    </row>
    <row r="22757">
      <c r="A22757" s="17"/>
      <c r="H22757" s="18"/>
      <c r="K22757" s="18" t="s">
        <v>316</v>
      </c>
    </row>
    <row r="22758">
      <c r="A22758" s="17"/>
      <c r="H22758" s="18"/>
      <c r="K22758" s="18" t="s">
        <v>316</v>
      </c>
    </row>
    <row r="22759">
      <c r="A22759" s="17"/>
      <c r="H22759" s="18"/>
      <c r="K22759" s="18" t="s">
        <v>316</v>
      </c>
    </row>
    <row r="22760">
      <c r="A22760" s="17"/>
      <c r="H22760" s="18"/>
      <c r="K22760" s="18" t="s">
        <v>316</v>
      </c>
    </row>
    <row r="22761">
      <c r="A22761" s="17"/>
      <c r="H22761" s="18"/>
      <c r="K22761" s="18" t="s">
        <v>316</v>
      </c>
    </row>
    <row r="22762">
      <c r="A22762" s="17"/>
      <c r="H22762" s="18"/>
      <c r="K22762" s="18" t="s">
        <v>316</v>
      </c>
    </row>
    <row r="22763">
      <c r="A22763" s="17"/>
      <c r="H22763" s="18"/>
      <c r="K22763" s="18" t="s">
        <v>316</v>
      </c>
    </row>
    <row r="22764">
      <c r="A22764" s="17"/>
      <c r="H22764" s="18"/>
      <c r="K22764" s="18" t="s">
        <v>316</v>
      </c>
    </row>
    <row r="22765">
      <c r="A22765" s="17"/>
      <c r="H22765" s="18"/>
      <c r="K22765" s="18" t="s">
        <v>316</v>
      </c>
    </row>
    <row r="22766">
      <c r="A22766" s="17"/>
      <c r="H22766" s="18"/>
      <c r="K22766" s="18" t="s">
        <v>316</v>
      </c>
    </row>
    <row r="22767">
      <c r="A22767" s="17"/>
      <c r="H22767" s="18"/>
      <c r="K22767" s="18" t="s">
        <v>316</v>
      </c>
    </row>
    <row r="22768">
      <c r="A22768" s="17"/>
      <c r="H22768" s="18"/>
      <c r="K22768" s="18" t="s">
        <v>316</v>
      </c>
    </row>
    <row r="22769">
      <c r="A22769" s="17"/>
      <c r="H22769" s="18"/>
      <c r="K22769" s="18" t="s">
        <v>316</v>
      </c>
    </row>
    <row r="22770">
      <c r="A22770" s="17"/>
      <c r="H22770" s="18"/>
      <c r="K22770" s="18" t="s">
        <v>316</v>
      </c>
    </row>
    <row r="22771">
      <c r="A22771" s="17"/>
      <c r="H22771" s="18"/>
      <c r="K22771" s="18" t="s">
        <v>316</v>
      </c>
    </row>
    <row r="22772">
      <c r="A22772" s="17"/>
      <c r="H22772" s="18"/>
      <c r="K22772" s="18" t="s">
        <v>316</v>
      </c>
    </row>
    <row r="22773">
      <c r="A22773" s="17"/>
      <c r="H22773" s="18"/>
      <c r="K22773" s="18" t="s">
        <v>316</v>
      </c>
    </row>
    <row r="22774">
      <c r="A22774" s="17"/>
      <c r="H22774" s="18"/>
      <c r="K22774" s="18" t="s">
        <v>316</v>
      </c>
    </row>
    <row r="22775">
      <c r="A22775" s="17"/>
      <c r="H22775" s="18"/>
      <c r="K22775" s="18" t="s">
        <v>316</v>
      </c>
    </row>
    <row r="22776">
      <c r="A22776" s="17"/>
      <c r="H22776" s="18"/>
      <c r="K22776" s="18" t="s">
        <v>316</v>
      </c>
    </row>
    <row r="22777">
      <c r="A22777" s="17"/>
      <c r="H22777" s="18"/>
      <c r="K22777" s="18" t="s">
        <v>316</v>
      </c>
    </row>
    <row r="22778">
      <c r="A22778" s="17"/>
      <c r="H22778" s="18"/>
      <c r="K22778" s="18" t="s">
        <v>316</v>
      </c>
    </row>
    <row r="22779">
      <c r="A22779" s="17"/>
      <c r="H22779" s="18"/>
      <c r="K22779" s="18" t="s">
        <v>316</v>
      </c>
    </row>
    <row r="22780">
      <c r="A22780" s="17"/>
      <c r="H22780" s="18"/>
      <c r="K22780" s="18" t="s">
        <v>316</v>
      </c>
    </row>
    <row r="22781">
      <c r="A22781" s="17"/>
      <c r="H22781" s="18"/>
      <c r="K22781" s="18" t="s">
        <v>316</v>
      </c>
    </row>
    <row r="22782">
      <c r="A22782" s="17"/>
      <c r="H22782" s="18"/>
      <c r="K22782" s="18" t="s">
        <v>316</v>
      </c>
    </row>
    <row r="22783">
      <c r="A22783" s="17"/>
      <c r="H22783" s="18"/>
      <c r="K22783" s="18" t="s">
        <v>316</v>
      </c>
    </row>
    <row r="22784">
      <c r="A22784" s="17"/>
      <c r="H22784" s="18"/>
      <c r="K22784" s="18" t="s">
        <v>316</v>
      </c>
    </row>
    <row r="22785">
      <c r="A22785" s="17"/>
      <c r="H22785" s="18"/>
      <c r="K22785" s="18" t="s">
        <v>316</v>
      </c>
    </row>
    <row r="22786">
      <c r="A22786" s="17"/>
      <c r="H22786" s="18"/>
      <c r="K22786" s="18" t="s">
        <v>316</v>
      </c>
    </row>
    <row r="22787">
      <c r="A22787" s="17"/>
      <c r="H22787" s="18"/>
      <c r="K22787" s="18" t="s">
        <v>316</v>
      </c>
    </row>
    <row r="22788">
      <c r="A22788" s="17"/>
      <c r="H22788" s="18"/>
      <c r="K22788" s="18" t="s">
        <v>316</v>
      </c>
    </row>
    <row r="22789">
      <c r="A22789" s="17"/>
      <c r="H22789" s="18"/>
      <c r="K22789" s="18" t="s">
        <v>316</v>
      </c>
    </row>
    <row r="22790">
      <c r="A22790" s="17"/>
      <c r="H22790" s="18"/>
      <c r="K22790" s="18" t="s">
        <v>316</v>
      </c>
    </row>
    <row r="22791">
      <c r="A22791" s="17"/>
      <c r="H22791" s="18"/>
      <c r="K22791" s="18" t="s">
        <v>316</v>
      </c>
    </row>
    <row r="22792">
      <c r="A22792" s="17"/>
      <c r="H22792" s="18"/>
      <c r="K22792" s="18" t="s">
        <v>316</v>
      </c>
    </row>
    <row r="22793">
      <c r="A22793" s="17"/>
      <c r="H22793" s="18"/>
      <c r="K22793" s="18" t="s">
        <v>316</v>
      </c>
    </row>
    <row r="22794">
      <c r="A22794" s="17"/>
      <c r="H22794" s="18"/>
      <c r="K22794" s="18" t="s">
        <v>316</v>
      </c>
    </row>
    <row r="22795">
      <c r="A22795" s="17"/>
      <c r="H22795" s="18"/>
      <c r="K22795" s="18" t="s">
        <v>316</v>
      </c>
    </row>
    <row r="22796">
      <c r="A22796" s="17"/>
      <c r="H22796" s="18"/>
      <c r="K22796" s="18" t="s">
        <v>316</v>
      </c>
    </row>
    <row r="22797">
      <c r="A22797" s="17"/>
      <c r="H22797" s="18"/>
      <c r="K22797" s="18" t="s">
        <v>316</v>
      </c>
    </row>
    <row r="22798">
      <c r="A22798" s="17"/>
      <c r="H22798" s="18"/>
      <c r="K22798" s="18" t="s">
        <v>316</v>
      </c>
    </row>
    <row r="22799">
      <c r="A22799" s="17"/>
      <c r="H22799" s="18"/>
      <c r="K22799" s="18" t="s">
        <v>316</v>
      </c>
    </row>
    <row r="22800">
      <c r="A22800" s="17"/>
      <c r="H22800" s="18"/>
      <c r="K22800" s="18" t="s">
        <v>316</v>
      </c>
    </row>
    <row r="22801">
      <c r="A22801" s="17"/>
      <c r="H22801" s="18"/>
      <c r="K22801" s="18" t="s">
        <v>316</v>
      </c>
    </row>
    <row r="22802">
      <c r="A22802" s="17"/>
      <c r="H22802" s="18"/>
      <c r="K22802" s="18" t="s">
        <v>316</v>
      </c>
    </row>
    <row r="22803">
      <c r="A22803" s="17"/>
      <c r="H22803" s="18"/>
      <c r="K22803" s="18" t="s">
        <v>316</v>
      </c>
    </row>
    <row r="22804">
      <c r="A22804" s="17"/>
      <c r="H22804" s="18"/>
      <c r="K22804" s="18" t="s">
        <v>316</v>
      </c>
    </row>
    <row r="22805">
      <c r="A22805" s="17"/>
      <c r="H22805" s="18"/>
      <c r="K22805" s="18" t="s">
        <v>316</v>
      </c>
    </row>
    <row r="22806">
      <c r="A22806" s="17"/>
      <c r="H22806" s="18"/>
      <c r="K22806" s="18" t="s">
        <v>316</v>
      </c>
    </row>
    <row r="22807">
      <c r="A22807" s="17"/>
      <c r="H22807" s="18"/>
      <c r="K22807" s="18" t="s">
        <v>316</v>
      </c>
    </row>
    <row r="22808">
      <c r="A22808" s="17"/>
      <c r="H22808" s="18"/>
      <c r="K22808" s="18" t="s">
        <v>316</v>
      </c>
    </row>
    <row r="22809">
      <c r="A22809" s="17"/>
      <c r="H22809" s="18"/>
      <c r="K22809" s="18" t="s">
        <v>316</v>
      </c>
    </row>
    <row r="22810">
      <c r="A22810" s="17"/>
      <c r="H22810" s="18"/>
      <c r="K22810" s="18" t="s">
        <v>316</v>
      </c>
    </row>
    <row r="22811">
      <c r="A22811" s="17"/>
      <c r="H22811" s="18"/>
      <c r="K22811" s="18" t="s">
        <v>316</v>
      </c>
    </row>
    <row r="22812">
      <c r="A22812" s="17"/>
      <c r="H22812" s="18"/>
      <c r="K22812" s="18" t="s">
        <v>316</v>
      </c>
    </row>
    <row r="22813">
      <c r="A22813" s="17"/>
      <c r="H22813" s="18"/>
      <c r="K22813" s="18" t="s">
        <v>316</v>
      </c>
    </row>
    <row r="22814">
      <c r="A22814" s="17"/>
      <c r="H22814" s="18"/>
      <c r="K22814" s="18" t="s">
        <v>316</v>
      </c>
    </row>
    <row r="22815">
      <c r="A22815" s="17"/>
      <c r="H22815" s="18"/>
      <c r="K22815" s="18" t="s">
        <v>316</v>
      </c>
    </row>
    <row r="22816">
      <c r="A22816" s="17"/>
      <c r="H22816" s="18"/>
      <c r="K22816" s="18" t="s">
        <v>316</v>
      </c>
    </row>
    <row r="22817">
      <c r="A22817" s="17"/>
      <c r="H22817" s="18"/>
      <c r="K22817" s="18" t="s">
        <v>316</v>
      </c>
    </row>
    <row r="22818">
      <c r="A22818" s="17"/>
      <c r="H22818" s="18"/>
      <c r="K22818" s="18" t="s">
        <v>316</v>
      </c>
    </row>
    <row r="22819">
      <c r="A22819" s="17"/>
      <c r="H22819" s="18"/>
      <c r="K22819" s="18" t="s">
        <v>316</v>
      </c>
    </row>
    <row r="22820">
      <c r="A22820" s="17"/>
      <c r="H22820" s="18"/>
      <c r="K22820" s="18" t="s">
        <v>316</v>
      </c>
    </row>
    <row r="22821">
      <c r="A22821" s="17"/>
      <c r="H22821" s="18"/>
      <c r="K22821" s="18" t="s">
        <v>316</v>
      </c>
    </row>
    <row r="22822">
      <c r="A22822" s="17"/>
      <c r="H22822" s="18"/>
      <c r="K22822" s="18" t="s">
        <v>316</v>
      </c>
    </row>
    <row r="22823">
      <c r="A22823" s="17"/>
      <c r="H22823" s="18"/>
      <c r="K22823" s="18" t="s">
        <v>316</v>
      </c>
    </row>
    <row r="22824">
      <c r="A22824" s="17"/>
      <c r="H22824" s="18"/>
      <c r="K22824" s="18" t="s">
        <v>316</v>
      </c>
    </row>
    <row r="22825">
      <c r="A22825" s="17"/>
      <c r="H22825" s="18"/>
      <c r="K22825" s="18" t="s">
        <v>316</v>
      </c>
    </row>
    <row r="22826">
      <c r="A22826" s="17"/>
      <c r="H22826" s="18"/>
      <c r="K22826" s="18" t="s">
        <v>316</v>
      </c>
    </row>
    <row r="22827">
      <c r="A22827" s="17"/>
      <c r="H22827" s="18"/>
      <c r="K22827" s="18" t="s">
        <v>316</v>
      </c>
    </row>
    <row r="22828">
      <c r="A22828" s="17"/>
      <c r="H22828" s="18"/>
      <c r="K22828" s="18" t="s">
        <v>316</v>
      </c>
    </row>
    <row r="22829">
      <c r="A22829" s="17"/>
      <c r="H22829" s="18"/>
      <c r="K22829" s="18" t="s">
        <v>316</v>
      </c>
    </row>
    <row r="22830">
      <c r="A22830" s="17"/>
      <c r="H22830" s="18"/>
      <c r="K22830" s="18" t="s">
        <v>316</v>
      </c>
    </row>
    <row r="22831">
      <c r="A22831" s="17"/>
      <c r="H22831" s="18"/>
      <c r="K22831" s="18" t="s">
        <v>316</v>
      </c>
    </row>
    <row r="22832">
      <c r="A22832" s="17"/>
      <c r="H22832" s="18"/>
      <c r="K22832" s="18" t="s">
        <v>316</v>
      </c>
    </row>
    <row r="22833">
      <c r="A22833" s="17"/>
      <c r="H22833" s="18"/>
      <c r="K22833" s="18" t="s">
        <v>316</v>
      </c>
    </row>
    <row r="22834">
      <c r="A22834" s="17"/>
      <c r="H22834" s="18"/>
      <c r="K22834" s="18" t="s">
        <v>316</v>
      </c>
    </row>
    <row r="22835">
      <c r="A22835" s="17"/>
      <c r="H22835" s="18"/>
      <c r="K22835" s="18" t="s">
        <v>316</v>
      </c>
    </row>
    <row r="22836">
      <c r="A22836" s="17"/>
      <c r="H22836" s="18"/>
      <c r="K22836" s="18" t="s">
        <v>316</v>
      </c>
    </row>
    <row r="22837">
      <c r="A22837" s="17"/>
      <c r="H22837" s="18"/>
      <c r="K22837" s="18" t="s">
        <v>316</v>
      </c>
    </row>
    <row r="22838">
      <c r="A22838" s="17"/>
      <c r="H22838" s="18"/>
      <c r="K22838" s="18" t="s">
        <v>316</v>
      </c>
    </row>
    <row r="22839">
      <c r="A22839" s="17"/>
      <c r="H22839" s="18"/>
      <c r="K22839" s="18" t="s">
        <v>316</v>
      </c>
    </row>
    <row r="22840">
      <c r="A22840" s="17"/>
      <c r="H22840" s="18"/>
      <c r="K22840" s="18" t="s">
        <v>316</v>
      </c>
    </row>
    <row r="22841">
      <c r="A22841" s="17"/>
      <c r="H22841" s="18"/>
      <c r="K22841" s="18" t="s">
        <v>316</v>
      </c>
    </row>
    <row r="22842">
      <c r="A22842" s="17"/>
      <c r="H22842" s="18"/>
      <c r="K22842" s="18" t="s">
        <v>316</v>
      </c>
    </row>
    <row r="22843">
      <c r="A22843" s="17"/>
      <c r="H22843" s="18"/>
      <c r="K22843" s="18" t="s">
        <v>316</v>
      </c>
    </row>
    <row r="22844">
      <c r="A22844" s="17"/>
      <c r="H22844" s="18"/>
      <c r="K22844" s="18" t="s">
        <v>316</v>
      </c>
    </row>
    <row r="22845">
      <c r="A22845" s="17"/>
      <c r="H22845" s="18"/>
      <c r="K22845" s="18" t="s">
        <v>316</v>
      </c>
    </row>
    <row r="22846">
      <c r="A22846" s="17"/>
      <c r="H22846" s="18"/>
      <c r="K22846" s="18" t="s">
        <v>316</v>
      </c>
    </row>
    <row r="22847">
      <c r="A22847" s="17"/>
      <c r="H22847" s="18"/>
      <c r="K22847" s="18" t="s">
        <v>316</v>
      </c>
    </row>
    <row r="22848">
      <c r="A22848" s="17"/>
      <c r="H22848" s="18"/>
      <c r="K22848" s="18" t="s">
        <v>316</v>
      </c>
    </row>
    <row r="22849">
      <c r="A22849" s="17"/>
      <c r="H22849" s="18"/>
      <c r="K22849" s="18" t="s">
        <v>316</v>
      </c>
    </row>
    <row r="22850">
      <c r="A22850" s="17"/>
      <c r="H22850" s="18"/>
      <c r="K22850" s="18" t="s">
        <v>316</v>
      </c>
    </row>
    <row r="22851">
      <c r="A22851" s="17"/>
      <c r="H22851" s="18"/>
      <c r="K22851" s="18" t="s">
        <v>316</v>
      </c>
    </row>
    <row r="22852">
      <c r="A22852" s="17"/>
      <c r="H22852" s="18"/>
      <c r="K22852" s="18" t="s">
        <v>316</v>
      </c>
    </row>
    <row r="22853">
      <c r="A22853" s="17"/>
      <c r="H22853" s="18"/>
      <c r="K22853" s="18" t="s">
        <v>316</v>
      </c>
    </row>
    <row r="22854">
      <c r="A22854" s="17"/>
      <c r="H22854" s="18"/>
      <c r="K22854" s="18" t="s">
        <v>316</v>
      </c>
    </row>
    <row r="22855">
      <c r="A22855" s="17"/>
      <c r="H22855" s="18"/>
      <c r="K22855" s="18" t="s">
        <v>316</v>
      </c>
    </row>
    <row r="22856">
      <c r="A22856" s="17"/>
      <c r="H22856" s="18"/>
      <c r="K22856" s="18" t="s">
        <v>316</v>
      </c>
    </row>
    <row r="22857">
      <c r="A22857" s="17"/>
      <c r="H22857" s="18"/>
      <c r="K22857" s="18" t="s">
        <v>316</v>
      </c>
    </row>
    <row r="22858">
      <c r="A22858" s="17"/>
      <c r="H22858" s="18"/>
      <c r="K22858" s="18" t="s">
        <v>316</v>
      </c>
    </row>
    <row r="22859">
      <c r="A22859" s="17"/>
      <c r="H22859" s="18"/>
      <c r="K22859" s="18" t="s">
        <v>316</v>
      </c>
    </row>
    <row r="22860">
      <c r="A22860" s="17"/>
      <c r="H22860" s="18"/>
      <c r="K22860" s="18" t="s">
        <v>316</v>
      </c>
    </row>
    <row r="22861">
      <c r="A22861" s="17"/>
      <c r="H22861" s="18"/>
      <c r="K22861" s="18" t="s">
        <v>316</v>
      </c>
    </row>
    <row r="22862">
      <c r="A22862" s="17"/>
      <c r="H22862" s="18"/>
      <c r="K22862" s="18" t="s">
        <v>316</v>
      </c>
    </row>
    <row r="22863">
      <c r="A22863" s="17"/>
      <c r="H22863" s="18"/>
      <c r="K22863" s="18" t="s">
        <v>316</v>
      </c>
    </row>
    <row r="22864">
      <c r="A22864" s="17"/>
      <c r="H22864" s="18"/>
      <c r="K22864" s="18" t="s">
        <v>316</v>
      </c>
    </row>
    <row r="22865">
      <c r="A22865" s="17"/>
      <c r="H22865" s="18"/>
      <c r="K22865" s="18" t="s">
        <v>316</v>
      </c>
    </row>
    <row r="22866">
      <c r="A22866" s="17"/>
      <c r="H22866" s="18"/>
      <c r="K22866" s="18" t="s">
        <v>316</v>
      </c>
    </row>
    <row r="22867">
      <c r="A22867" s="17"/>
      <c r="H22867" s="18"/>
      <c r="K22867" s="18" t="s">
        <v>316</v>
      </c>
    </row>
    <row r="22868">
      <c r="A22868" s="17"/>
      <c r="H22868" s="18"/>
      <c r="K22868" s="18" t="s">
        <v>316</v>
      </c>
    </row>
    <row r="22869">
      <c r="A22869" s="17"/>
      <c r="H22869" s="18"/>
      <c r="K22869" s="18" t="s">
        <v>316</v>
      </c>
    </row>
    <row r="22870">
      <c r="A22870" s="17"/>
      <c r="H22870" s="18"/>
      <c r="K22870" s="18" t="s">
        <v>316</v>
      </c>
    </row>
    <row r="22871">
      <c r="A22871" s="17"/>
      <c r="H22871" s="18"/>
      <c r="K22871" s="18" t="s">
        <v>316</v>
      </c>
    </row>
    <row r="22872">
      <c r="A22872" s="17"/>
      <c r="H22872" s="18"/>
      <c r="K22872" s="18" t="s">
        <v>316</v>
      </c>
    </row>
    <row r="22873">
      <c r="A22873" s="17"/>
      <c r="H22873" s="18"/>
      <c r="K22873" s="18" t="s">
        <v>316</v>
      </c>
    </row>
    <row r="22874">
      <c r="A22874" s="17"/>
      <c r="H22874" s="18"/>
      <c r="K22874" s="18" t="s">
        <v>316</v>
      </c>
    </row>
    <row r="22875">
      <c r="A22875" s="17"/>
      <c r="H22875" s="18"/>
      <c r="K22875" s="18" t="s">
        <v>316</v>
      </c>
    </row>
    <row r="22876">
      <c r="A22876" s="17"/>
      <c r="H22876" s="18"/>
      <c r="K22876" s="18" t="s">
        <v>316</v>
      </c>
    </row>
    <row r="22877">
      <c r="A22877" s="17"/>
      <c r="H22877" s="18"/>
      <c r="K22877" s="18" t="s">
        <v>316</v>
      </c>
    </row>
    <row r="22878">
      <c r="A22878" s="17"/>
      <c r="H22878" s="18"/>
      <c r="K22878" s="18" t="s">
        <v>316</v>
      </c>
    </row>
    <row r="22879">
      <c r="A22879" s="17"/>
      <c r="H22879" s="18"/>
      <c r="K22879" s="18" t="s">
        <v>316</v>
      </c>
    </row>
    <row r="22880">
      <c r="A22880" s="17"/>
      <c r="H22880" s="18"/>
      <c r="K22880" s="18" t="s">
        <v>316</v>
      </c>
    </row>
    <row r="22881">
      <c r="A22881" s="17"/>
      <c r="H22881" s="18"/>
      <c r="K22881" s="18" t="s">
        <v>316</v>
      </c>
    </row>
    <row r="22882">
      <c r="A22882" s="17"/>
      <c r="H22882" s="18"/>
      <c r="K22882" s="18" t="s">
        <v>316</v>
      </c>
    </row>
    <row r="22883">
      <c r="A22883" s="17"/>
      <c r="H22883" s="18"/>
      <c r="K22883" s="18" t="s">
        <v>316</v>
      </c>
    </row>
    <row r="22884">
      <c r="A22884" s="17"/>
      <c r="H22884" s="18"/>
      <c r="K22884" s="18" t="s">
        <v>316</v>
      </c>
    </row>
    <row r="22885">
      <c r="A22885" s="17"/>
      <c r="H22885" s="18"/>
      <c r="K22885" s="18" t="s">
        <v>316</v>
      </c>
    </row>
    <row r="22886">
      <c r="A22886" s="17"/>
      <c r="H22886" s="18"/>
      <c r="K22886" s="18" t="s">
        <v>316</v>
      </c>
    </row>
    <row r="22887">
      <c r="A22887" s="17"/>
      <c r="H22887" s="18"/>
      <c r="K22887" s="18" t="s">
        <v>316</v>
      </c>
    </row>
    <row r="22888">
      <c r="A22888" s="17"/>
      <c r="H22888" s="18"/>
      <c r="K22888" s="18" t="s">
        <v>316</v>
      </c>
    </row>
    <row r="22889">
      <c r="A22889" s="17"/>
      <c r="H22889" s="18"/>
      <c r="K22889" s="18" t="s">
        <v>316</v>
      </c>
    </row>
    <row r="22890">
      <c r="A22890" s="17"/>
      <c r="H22890" s="18"/>
      <c r="K22890" s="18" t="s">
        <v>316</v>
      </c>
    </row>
    <row r="22891">
      <c r="A22891" s="17"/>
      <c r="H22891" s="18"/>
      <c r="K22891" s="18" t="s">
        <v>316</v>
      </c>
    </row>
    <row r="22892">
      <c r="A22892" s="17"/>
      <c r="H22892" s="18"/>
      <c r="K22892" s="18" t="s">
        <v>316</v>
      </c>
    </row>
    <row r="22893">
      <c r="A22893" s="17"/>
      <c r="H22893" s="18"/>
      <c r="K22893" s="18" t="s">
        <v>316</v>
      </c>
    </row>
    <row r="22894">
      <c r="A22894" s="17"/>
      <c r="H22894" s="18"/>
      <c r="K22894" s="18" t="s">
        <v>316</v>
      </c>
    </row>
    <row r="22895">
      <c r="A22895" s="17"/>
      <c r="H22895" s="18"/>
      <c r="K22895" s="18" t="s">
        <v>316</v>
      </c>
    </row>
    <row r="22896">
      <c r="A22896" s="17"/>
      <c r="H22896" s="18"/>
      <c r="K22896" s="18" t="s">
        <v>316</v>
      </c>
    </row>
    <row r="22897">
      <c r="A22897" s="17"/>
      <c r="H22897" s="18"/>
      <c r="K22897" s="18" t="s">
        <v>316</v>
      </c>
    </row>
    <row r="22898">
      <c r="A22898" s="17"/>
      <c r="H22898" s="18"/>
      <c r="K22898" s="18" t="s">
        <v>316</v>
      </c>
    </row>
    <row r="22899">
      <c r="A22899" s="17"/>
      <c r="H22899" s="18"/>
      <c r="K22899" s="18" t="s">
        <v>316</v>
      </c>
    </row>
    <row r="22900">
      <c r="A22900" s="17"/>
      <c r="H22900" s="18"/>
      <c r="K22900" s="18" t="s">
        <v>316</v>
      </c>
    </row>
    <row r="22901">
      <c r="A22901" s="17"/>
      <c r="H22901" s="18"/>
      <c r="K22901" s="18" t="s">
        <v>316</v>
      </c>
    </row>
    <row r="22902">
      <c r="A22902" s="17"/>
      <c r="H22902" s="18"/>
      <c r="K22902" s="18" t="s">
        <v>316</v>
      </c>
    </row>
    <row r="22903">
      <c r="A22903" s="17"/>
      <c r="H22903" s="18"/>
      <c r="K22903" s="18" t="s">
        <v>316</v>
      </c>
    </row>
    <row r="22904">
      <c r="A22904" s="17"/>
      <c r="H22904" s="18"/>
      <c r="K22904" s="18" t="s">
        <v>316</v>
      </c>
    </row>
    <row r="22905">
      <c r="A22905" s="17"/>
      <c r="H22905" s="18"/>
      <c r="K22905" s="18" t="s">
        <v>316</v>
      </c>
    </row>
    <row r="22906">
      <c r="A22906" s="17"/>
      <c r="H22906" s="18"/>
      <c r="K22906" s="18" t="s">
        <v>316</v>
      </c>
    </row>
    <row r="22907">
      <c r="A22907" s="17"/>
      <c r="H22907" s="18"/>
      <c r="K22907" s="18" t="s">
        <v>316</v>
      </c>
    </row>
    <row r="22908">
      <c r="A22908" s="17"/>
      <c r="H22908" s="18"/>
      <c r="K22908" s="18" t="s">
        <v>316</v>
      </c>
    </row>
    <row r="22909">
      <c r="A22909" s="17"/>
      <c r="H22909" s="18"/>
      <c r="K22909" s="18" t="s">
        <v>316</v>
      </c>
    </row>
    <row r="22910">
      <c r="A22910" s="17"/>
      <c r="H22910" s="18"/>
      <c r="K22910" s="18" t="s">
        <v>316</v>
      </c>
    </row>
    <row r="22911">
      <c r="A22911" s="17"/>
      <c r="H22911" s="18"/>
      <c r="K22911" s="18" t="s">
        <v>316</v>
      </c>
    </row>
    <row r="22912">
      <c r="A22912" s="17"/>
      <c r="H22912" s="18"/>
      <c r="K22912" s="18" t="s">
        <v>316</v>
      </c>
    </row>
    <row r="22913">
      <c r="A22913" s="17"/>
      <c r="H22913" s="18"/>
      <c r="K22913" s="18" t="s">
        <v>316</v>
      </c>
    </row>
    <row r="22914">
      <c r="A22914" s="17"/>
      <c r="H22914" s="18"/>
      <c r="K22914" s="18" t="s">
        <v>316</v>
      </c>
    </row>
    <row r="22915">
      <c r="A22915" s="17"/>
      <c r="H22915" s="18"/>
      <c r="K22915" s="18" t="s">
        <v>316</v>
      </c>
    </row>
    <row r="22916">
      <c r="A22916" s="17"/>
      <c r="H22916" s="18"/>
      <c r="K22916" s="18" t="s">
        <v>316</v>
      </c>
    </row>
    <row r="22917">
      <c r="A22917" s="17"/>
      <c r="H22917" s="18"/>
      <c r="K22917" s="18" t="s">
        <v>316</v>
      </c>
    </row>
    <row r="22918">
      <c r="A22918" s="17"/>
      <c r="H22918" s="18"/>
      <c r="K22918" s="18" t="s">
        <v>316</v>
      </c>
    </row>
    <row r="22919">
      <c r="A22919" s="17"/>
      <c r="H22919" s="18"/>
      <c r="K22919" s="18" t="s">
        <v>316</v>
      </c>
    </row>
    <row r="22920">
      <c r="A22920" s="17"/>
      <c r="H22920" s="18"/>
      <c r="K22920" s="18" t="s">
        <v>316</v>
      </c>
    </row>
    <row r="22921">
      <c r="A22921" s="17"/>
      <c r="H22921" s="18"/>
      <c r="K22921" s="18" t="s">
        <v>316</v>
      </c>
    </row>
    <row r="22922">
      <c r="A22922" s="17"/>
      <c r="H22922" s="18"/>
      <c r="K22922" s="18" t="s">
        <v>316</v>
      </c>
    </row>
    <row r="22923">
      <c r="A22923" s="17"/>
      <c r="H22923" s="18"/>
      <c r="K22923" s="18" t="s">
        <v>316</v>
      </c>
    </row>
    <row r="22924">
      <c r="A22924" s="17"/>
      <c r="H22924" s="18"/>
      <c r="K22924" s="18" t="s">
        <v>316</v>
      </c>
    </row>
    <row r="22925">
      <c r="A22925" s="17"/>
      <c r="H22925" s="18"/>
      <c r="K22925" s="18" t="s">
        <v>316</v>
      </c>
    </row>
    <row r="22926">
      <c r="A22926" s="17"/>
      <c r="H22926" s="18"/>
      <c r="K22926" s="18" t="s">
        <v>316</v>
      </c>
    </row>
    <row r="22927">
      <c r="A22927" s="17"/>
      <c r="H22927" s="18"/>
      <c r="K22927" s="18" t="s">
        <v>316</v>
      </c>
    </row>
    <row r="22928">
      <c r="A22928" s="17"/>
      <c r="H22928" s="18"/>
      <c r="K22928" s="18" t="s">
        <v>316</v>
      </c>
    </row>
    <row r="22929">
      <c r="A22929" s="17"/>
      <c r="H22929" s="18"/>
      <c r="K22929" s="18" t="s">
        <v>316</v>
      </c>
    </row>
    <row r="22930">
      <c r="A22930" s="17"/>
      <c r="H22930" s="18"/>
      <c r="K22930" s="18" t="s">
        <v>316</v>
      </c>
    </row>
    <row r="22931">
      <c r="A22931" s="17"/>
      <c r="H22931" s="18"/>
      <c r="K22931" s="18" t="s">
        <v>316</v>
      </c>
    </row>
    <row r="22932">
      <c r="A22932" s="17"/>
      <c r="H22932" s="18"/>
      <c r="K22932" s="18" t="s">
        <v>316</v>
      </c>
    </row>
    <row r="22933">
      <c r="A22933" s="17"/>
      <c r="H22933" s="18"/>
      <c r="K22933" s="18" t="s">
        <v>316</v>
      </c>
    </row>
    <row r="22934">
      <c r="A22934" s="17"/>
      <c r="H22934" s="18"/>
      <c r="K22934" s="18" t="s">
        <v>316</v>
      </c>
    </row>
    <row r="22935">
      <c r="A22935" s="17"/>
      <c r="H22935" s="18"/>
      <c r="K22935" s="18" t="s">
        <v>316</v>
      </c>
    </row>
    <row r="22936">
      <c r="A22936" s="17"/>
      <c r="H22936" s="18"/>
      <c r="K22936" s="18" t="s">
        <v>316</v>
      </c>
    </row>
    <row r="22937">
      <c r="A22937" s="17"/>
      <c r="H22937" s="18"/>
      <c r="K22937" s="18" t="s">
        <v>316</v>
      </c>
    </row>
    <row r="22938">
      <c r="A22938" s="17"/>
      <c r="H22938" s="18"/>
      <c r="K22938" s="18" t="s">
        <v>316</v>
      </c>
    </row>
    <row r="22939">
      <c r="A22939" s="17"/>
      <c r="H22939" s="18"/>
      <c r="K22939" s="18" t="s">
        <v>316</v>
      </c>
    </row>
    <row r="22940">
      <c r="A22940" s="17"/>
      <c r="H22940" s="18"/>
      <c r="K22940" s="18" t="s">
        <v>316</v>
      </c>
    </row>
    <row r="22941">
      <c r="A22941" s="17"/>
      <c r="H22941" s="18"/>
      <c r="K22941" s="18" t="s">
        <v>316</v>
      </c>
    </row>
    <row r="22942">
      <c r="A22942" s="17"/>
      <c r="H22942" s="18"/>
      <c r="K22942" s="18" t="s">
        <v>316</v>
      </c>
    </row>
    <row r="22943">
      <c r="A22943" s="17"/>
      <c r="H22943" s="18"/>
      <c r="K22943" s="18" t="s">
        <v>316</v>
      </c>
    </row>
    <row r="22944">
      <c r="A22944" s="17"/>
      <c r="H22944" s="18"/>
      <c r="K22944" s="18" t="s">
        <v>316</v>
      </c>
    </row>
    <row r="22945">
      <c r="A22945" s="17"/>
      <c r="H22945" s="18"/>
      <c r="K22945" s="18" t="s">
        <v>316</v>
      </c>
    </row>
    <row r="22946">
      <c r="A22946" s="17"/>
      <c r="H22946" s="18"/>
      <c r="K22946" s="18" t="s">
        <v>316</v>
      </c>
    </row>
    <row r="22947">
      <c r="A22947" s="17"/>
      <c r="H22947" s="18"/>
      <c r="K22947" s="18" t="s">
        <v>316</v>
      </c>
    </row>
    <row r="22948">
      <c r="A22948" s="17"/>
      <c r="H22948" s="18"/>
      <c r="K22948" s="18" t="s">
        <v>316</v>
      </c>
    </row>
    <row r="22949">
      <c r="A22949" s="17"/>
      <c r="H22949" s="18"/>
      <c r="K22949" s="18" t="s">
        <v>316</v>
      </c>
    </row>
    <row r="22950">
      <c r="A22950" s="17"/>
      <c r="H22950" s="18"/>
      <c r="K22950" s="18" t="s">
        <v>316</v>
      </c>
    </row>
    <row r="22951">
      <c r="A22951" s="17"/>
      <c r="H22951" s="18"/>
      <c r="K22951" s="18" t="s">
        <v>316</v>
      </c>
    </row>
    <row r="22952">
      <c r="A22952" s="17"/>
      <c r="H22952" s="18"/>
      <c r="K22952" s="18" t="s">
        <v>316</v>
      </c>
    </row>
    <row r="22953">
      <c r="A22953" s="17"/>
      <c r="H22953" s="18"/>
      <c r="K22953" s="18" t="s">
        <v>316</v>
      </c>
    </row>
    <row r="22954">
      <c r="A22954" s="17"/>
      <c r="H22954" s="18"/>
      <c r="K22954" s="18" t="s">
        <v>316</v>
      </c>
    </row>
    <row r="22955">
      <c r="A22955" s="17"/>
      <c r="H22955" s="18"/>
      <c r="K22955" s="18" t="s">
        <v>316</v>
      </c>
    </row>
    <row r="22956">
      <c r="A22956" s="17"/>
      <c r="H22956" s="18"/>
      <c r="K22956" s="18" t="s">
        <v>316</v>
      </c>
    </row>
    <row r="22957">
      <c r="A22957" s="17"/>
      <c r="H22957" s="18"/>
      <c r="K22957" s="18" t="s">
        <v>316</v>
      </c>
    </row>
    <row r="22958">
      <c r="A22958" s="17"/>
      <c r="H22958" s="18"/>
      <c r="K22958" s="18" t="s">
        <v>316</v>
      </c>
    </row>
    <row r="22959">
      <c r="A22959" s="17"/>
      <c r="H22959" s="18"/>
      <c r="K22959" s="18" t="s">
        <v>316</v>
      </c>
    </row>
    <row r="22960">
      <c r="A22960" s="17"/>
      <c r="H22960" s="18"/>
      <c r="K22960" s="18" t="s">
        <v>316</v>
      </c>
    </row>
    <row r="22961">
      <c r="A22961" s="17"/>
      <c r="H22961" s="18"/>
      <c r="K22961" s="18" t="s">
        <v>316</v>
      </c>
    </row>
    <row r="22962">
      <c r="A22962" s="17"/>
      <c r="H22962" s="18"/>
      <c r="K22962" s="18" t="s">
        <v>316</v>
      </c>
    </row>
    <row r="22963">
      <c r="A22963" s="17"/>
      <c r="H22963" s="18"/>
      <c r="K22963" s="18" t="s">
        <v>316</v>
      </c>
    </row>
    <row r="22964">
      <c r="A22964" s="17"/>
      <c r="H22964" s="18"/>
      <c r="K22964" s="18" t="s">
        <v>316</v>
      </c>
    </row>
    <row r="22965">
      <c r="A22965" s="17"/>
      <c r="H22965" s="18"/>
      <c r="K22965" s="18" t="s">
        <v>316</v>
      </c>
    </row>
    <row r="22966">
      <c r="A22966" s="17"/>
      <c r="H22966" s="18"/>
      <c r="K22966" s="18" t="s">
        <v>316</v>
      </c>
    </row>
    <row r="22967">
      <c r="A22967" s="17"/>
      <c r="H22967" s="18"/>
      <c r="K22967" s="18" t="s">
        <v>316</v>
      </c>
    </row>
    <row r="22968">
      <c r="A22968" s="17"/>
      <c r="H22968" s="18"/>
      <c r="K22968" s="18" t="s">
        <v>316</v>
      </c>
    </row>
    <row r="22969">
      <c r="A22969" s="17"/>
      <c r="H22969" s="18"/>
      <c r="K22969" s="18" t="s">
        <v>316</v>
      </c>
    </row>
    <row r="22970">
      <c r="A22970" s="17"/>
      <c r="H22970" s="18"/>
      <c r="K22970" s="18" t="s">
        <v>316</v>
      </c>
    </row>
    <row r="22971">
      <c r="A22971" s="17"/>
      <c r="H22971" s="18"/>
      <c r="K22971" s="18" t="s">
        <v>316</v>
      </c>
    </row>
    <row r="22972">
      <c r="A22972" s="17"/>
      <c r="H22972" s="18"/>
      <c r="K22972" s="18" t="s">
        <v>316</v>
      </c>
    </row>
    <row r="22973">
      <c r="A22973" s="17"/>
      <c r="H22973" s="18"/>
      <c r="K22973" s="18" t="s">
        <v>316</v>
      </c>
    </row>
    <row r="22974">
      <c r="A22974" s="17"/>
      <c r="H22974" s="18"/>
      <c r="K22974" s="18" t="s">
        <v>316</v>
      </c>
    </row>
    <row r="22975">
      <c r="A22975" s="17"/>
      <c r="H22975" s="18"/>
      <c r="K22975" s="18" t="s">
        <v>316</v>
      </c>
    </row>
    <row r="22976">
      <c r="A22976" s="17"/>
      <c r="H22976" s="18"/>
      <c r="K22976" s="18" t="s">
        <v>316</v>
      </c>
    </row>
    <row r="22977">
      <c r="A22977" s="17"/>
      <c r="H22977" s="18"/>
      <c r="K22977" s="18" t="s">
        <v>316</v>
      </c>
    </row>
    <row r="22978">
      <c r="A22978" s="17"/>
      <c r="H22978" s="18"/>
      <c r="K22978" s="18" t="s">
        <v>316</v>
      </c>
    </row>
    <row r="22979">
      <c r="A22979" s="17"/>
      <c r="H22979" s="18"/>
      <c r="K22979" s="18" t="s">
        <v>316</v>
      </c>
    </row>
    <row r="22980">
      <c r="A22980" s="17"/>
      <c r="H22980" s="18"/>
      <c r="K22980" s="18" t="s">
        <v>316</v>
      </c>
    </row>
    <row r="22981">
      <c r="A22981" s="17"/>
      <c r="H22981" s="18"/>
      <c r="K22981" s="18" t="s">
        <v>316</v>
      </c>
    </row>
    <row r="22982">
      <c r="A22982" s="17"/>
      <c r="H22982" s="18"/>
      <c r="K22982" s="18" t="s">
        <v>316</v>
      </c>
    </row>
    <row r="22983">
      <c r="A22983" s="17"/>
      <c r="H22983" s="18"/>
      <c r="K22983" s="18" t="s">
        <v>316</v>
      </c>
    </row>
    <row r="22984">
      <c r="A22984" s="17"/>
      <c r="H22984" s="18"/>
      <c r="K22984" s="18" t="s">
        <v>316</v>
      </c>
    </row>
    <row r="22985">
      <c r="A22985" s="17"/>
      <c r="H22985" s="18"/>
      <c r="K22985" s="18" t="s">
        <v>316</v>
      </c>
    </row>
    <row r="22986">
      <c r="A22986" s="17"/>
      <c r="H22986" s="18"/>
      <c r="K22986" s="18" t="s">
        <v>316</v>
      </c>
    </row>
    <row r="22987">
      <c r="A22987" s="17"/>
      <c r="H22987" s="18"/>
      <c r="K22987" s="18" t="s">
        <v>316</v>
      </c>
    </row>
    <row r="22988">
      <c r="A22988" s="17"/>
      <c r="H22988" s="18"/>
      <c r="K22988" s="18" t="s">
        <v>316</v>
      </c>
    </row>
    <row r="22989">
      <c r="A22989" s="17"/>
      <c r="H22989" s="18"/>
      <c r="K22989" s="18" t="s">
        <v>316</v>
      </c>
    </row>
    <row r="22990">
      <c r="A22990" s="17"/>
      <c r="H22990" s="18"/>
      <c r="K22990" s="18" t="s">
        <v>316</v>
      </c>
    </row>
    <row r="22991">
      <c r="A22991" s="17"/>
      <c r="H22991" s="18"/>
      <c r="K22991" s="18" t="s">
        <v>316</v>
      </c>
    </row>
    <row r="22992">
      <c r="A22992" s="17"/>
      <c r="H22992" s="18"/>
      <c r="K22992" s="18" t="s">
        <v>316</v>
      </c>
    </row>
    <row r="22993">
      <c r="A22993" s="17"/>
      <c r="H22993" s="18"/>
      <c r="K22993" s="18" t="s">
        <v>316</v>
      </c>
    </row>
    <row r="22994">
      <c r="A22994" s="17"/>
      <c r="H22994" s="18"/>
      <c r="K22994" s="18" t="s">
        <v>316</v>
      </c>
    </row>
    <row r="22995">
      <c r="A22995" s="17"/>
      <c r="H22995" s="18"/>
      <c r="K22995" s="18" t="s">
        <v>316</v>
      </c>
    </row>
    <row r="22996">
      <c r="A22996" s="17"/>
      <c r="H22996" s="18"/>
      <c r="K22996" s="18" t="s">
        <v>316</v>
      </c>
    </row>
    <row r="22997">
      <c r="A22997" s="17"/>
      <c r="H22997" s="18"/>
      <c r="K22997" s="18" t="s">
        <v>316</v>
      </c>
    </row>
    <row r="22998">
      <c r="A22998" s="17"/>
      <c r="H22998" s="18"/>
      <c r="K22998" s="18" t="s">
        <v>316</v>
      </c>
    </row>
    <row r="22999">
      <c r="A22999" s="17"/>
      <c r="H22999" s="18"/>
      <c r="K22999" s="18" t="s">
        <v>316</v>
      </c>
    </row>
    <row r="23000">
      <c r="A23000" s="17"/>
      <c r="H23000" s="18"/>
      <c r="K23000" s="18" t="s">
        <v>316</v>
      </c>
    </row>
    <row r="23001">
      <c r="A23001" s="17"/>
      <c r="H23001" s="18"/>
      <c r="K23001" s="18" t="s">
        <v>316</v>
      </c>
    </row>
    <row r="23002">
      <c r="A23002" s="17"/>
      <c r="H23002" s="18"/>
      <c r="K23002" s="18" t="s">
        <v>316</v>
      </c>
    </row>
    <row r="23003">
      <c r="A23003" s="17"/>
      <c r="H23003" s="18"/>
      <c r="K23003" s="18" t="s">
        <v>316</v>
      </c>
    </row>
    <row r="23004">
      <c r="A23004" s="17"/>
      <c r="H23004" s="18"/>
      <c r="K23004" s="18" t="s">
        <v>316</v>
      </c>
    </row>
    <row r="23005">
      <c r="A23005" s="17"/>
      <c r="H23005" s="18"/>
      <c r="K23005" s="18" t="s">
        <v>316</v>
      </c>
    </row>
    <row r="23006">
      <c r="A23006" s="17"/>
      <c r="H23006" s="18"/>
      <c r="K23006" s="18" t="s">
        <v>316</v>
      </c>
    </row>
    <row r="23007">
      <c r="A23007" s="17"/>
      <c r="H23007" s="18"/>
      <c r="K23007" s="18" t="s">
        <v>316</v>
      </c>
    </row>
    <row r="23008">
      <c r="A23008" s="17"/>
      <c r="H23008" s="18"/>
      <c r="K23008" s="18" t="s">
        <v>316</v>
      </c>
    </row>
    <row r="23009">
      <c r="A23009" s="17"/>
      <c r="H23009" s="18"/>
      <c r="K23009" s="18" t="s">
        <v>316</v>
      </c>
    </row>
    <row r="23010">
      <c r="A23010" s="17"/>
      <c r="H23010" s="18"/>
      <c r="K23010" s="18" t="s">
        <v>316</v>
      </c>
    </row>
    <row r="23011">
      <c r="A23011" s="17"/>
      <c r="H23011" s="18"/>
      <c r="K23011" s="18" t="s">
        <v>316</v>
      </c>
    </row>
    <row r="23012">
      <c r="A23012" s="17"/>
      <c r="H23012" s="18"/>
      <c r="K23012" s="18" t="s">
        <v>316</v>
      </c>
    </row>
    <row r="23013">
      <c r="A23013" s="17"/>
      <c r="H23013" s="18"/>
      <c r="K23013" s="18" t="s">
        <v>316</v>
      </c>
    </row>
    <row r="23014">
      <c r="A23014" s="17"/>
      <c r="H23014" s="18"/>
      <c r="K23014" s="18" t="s">
        <v>316</v>
      </c>
    </row>
    <row r="23015">
      <c r="A23015" s="17"/>
      <c r="H23015" s="18"/>
      <c r="K23015" s="18" t="s">
        <v>316</v>
      </c>
    </row>
    <row r="23016">
      <c r="A23016" s="17"/>
      <c r="H23016" s="18"/>
      <c r="K23016" s="18" t="s">
        <v>316</v>
      </c>
    </row>
    <row r="23017">
      <c r="A23017" s="17"/>
      <c r="H23017" s="18"/>
      <c r="K23017" s="18" t="s">
        <v>316</v>
      </c>
    </row>
    <row r="23018">
      <c r="A23018" s="17"/>
      <c r="H23018" s="18"/>
      <c r="K23018" s="18" t="s">
        <v>316</v>
      </c>
    </row>
    <row r="23019">
      <c r="A23019" s="17"/>
      <c r="H23019" s="18"/>
      <c r="K23019" s="18" t="s">
        <v>316</v>
      </c>
    </row>
    <row r="23020">
      <c r="A23020" s="17"/>
      <c r="H23020" s="18"/>
      <c r="K23020" s="18" t="s">
        <v>316</v>
      </c>
    </row>
    <row r="23021">
      <c r="A23021" s="17"/>
      <c r="H23021" s="18"/>
      <c r="K23021" s="18" t="s">
        <v>316</v>
      </c>
    </row>
    <row r="23022">
      <c r="A23022" s="17"/>
      <c r="H23022" s="18"/>
      <c r="K23022" s="18" t="s">
        <v>316</v>
      </c>
    </row>
    <row r="23023">
      <c r="A23023" s="17"/>
      <c r="H23023" s="18"/>
      <c r="K23023" s="18" t="s">
        <v>316</v>
      </c>
    </row>
    <row r="23024">
      <c r="A23024" s="17"/>
      <c r="H23024" s="18"/>
      <c r="K23024" s="18" t="s">
        <v>316</v>
      </c>
    </row>
    <row r="23025">
      <c r="A23025" s="17"/>
      <c r="H23025" s="18"/>
      <c r="K23025" s="18" t="s">
        <v>316</v>
      </c>
    </row>
    <row r="23026">
      <c r="A23026" s="17"/>
      <c r="H23026" s="18"/>
      <c r="K23026" s="18" t="s">
        <v>316</v>
      </c>
    </row>
    <row r="23027">
      <c r="A23027" s="17"/>
      <c r="H23027" s="18"/>
      <c r="K23027" s="18" t="s">
        <v>316</v>
      </c>
    </row>
    <row r="23028">
      <c r="A23028" s="17"/>
      <c r="H23028" s="18"/>
      <c r="K23028" s="18" t="s">
        <v>316</v>
      </c>
    </row>
    <row r="23029">
      <c r="A23029" s="17"/>
      <c r="H23029" s="18"/>
      <c r="K23029" s="18" t="s">
        <v>316</v>
      </c>
    </row>
    <row r="23030">
      <c r="A23030" s="17"/>
      <c r="H23030" s="18"/>
      <c r="K23030" s="18" t="s">
        <v>316</v>
      </c>
    </row>
    <row r="23031">
      <c r="A23031" s="17"/>
      <c r="H23031" s="18"/>
      <c r="K23031" s="18" t="s">
        <v>316</v>
      </c>
    </row>
    <row r="23032">
      <c r="A23032" s="17"/>
      <c r="H23032" s="18"/>
      <c r="K23032" s="18" t="s">
        <v>316</v>
      </c>
    </row>
    <row r="23033">
      <c r="A23033" s="17"/>
      <c r="H23033" s="18"/>
      <c r="K23033" s="18" t="s">
        <v>316</v>
      </c>
    </row>
    <row r="23034">
      <c r="A23034" s="17"/>
      <c r="H23034" s="18"/>
      <c r="K23034" s="18" t="s">
        <v>316</v>
      </c>
    </row>
    <row r="23035">
      <c r="A23035" s="17"/>
      <c r="H23035" s="18"/>
      <c r="K23035" s="18" t="s">
        <v>316</v>
      </c>
    </row>
    <row r="23036">
      <c r="A23036" s="17"/>
      <c r="H23036" s="18"/>
      <c r="K23036" s="18" t="s">
        <v>316</v>
      </c>
    </row>
    <row r="23037">
      <c r="A23037" s="17"/>
      <c r="H23037" s="18"/>
      <c r="K23037" s="18" t="s">
        <v>316</v>
      </c>
    </row>
    <row r="23038">
      <c r="A23038" s="17"/>
      <c r="H23038" s="18"/>
      <c r="K23038" s="18" t="s">
        <v>316</v>
      </c>
    </row>
    <row r="23039">
      <c r="A23039" s="17"/>
      <c r="H23039" s="18"/>
      <c r="K23039" s="18" t="s">
        <v>316</v>
      </c>
    </row>
    <row r="23040">
      <c r="A23040" s="17"/>
      <c r="H23040" s="18"/>
      <c r="K23040" s="18" t="s">
        <v>316</v>
      </c>
    </row>
    <row r="23041">
      <c r="A23041" s="17"/>
      <c r="H23041" s="18"/>
      <c r="K23041" s="18" t="s">
        <v>316</v>
      </c>
    </row>
    <row r="23042">
      <c r="A23042" s="17"/>
      <c r="H23042" s="18"/>
      <c r="K23042" s="18" t="s">
        <v>316</v>
      </c>
    </row>
    <row r="23043">
      <c r="A23043" s="17"/>
      <c r="H23043" s="18"/>
      <c r="K23043" s="18" t="s">
        <v>316</v>
      </c>
    </row>
    <row r="23044">
      <c r="A23044" s="17"/>
      <c r="H23044" s="18"/>
      <c r="K23044" s="18" t="s">
        <v>316</v>
      </c>
    </row>
    <row r="23045">
      <c r="A23045" s="17"/>
      <c r="H23045" s="18"/>
      <c r="K23045" s="18" t="s">
        <v>316</v>
      </c>
    </row>
    <row r="23046">
      <c r="A23046" s="17"/>
      <c r="H23046" s="18"/>
      <c r="K23046" s="18" t="s">
        <v>316</v>
      </c>
    </row>
    <row r="23047">
      <c r="A23047" s="17"/>
      <c r="H23047" s="18"/>
      <c r="K23047" s="18" t="s">
        <v>316</v>
      </c>
    </row>
    <row r="23048">
      <c r="A23048" s="17"/>
      <c r="H23048" s="18"/>
      <c r="K23048" s="18" t="s">
        <v>316</v>
      </c>
    </row>
    <row r="23049">
      <c r="A23049" s="17"/>
      <c r="H23049" s="18"/>
      <c r="K23049" s="18" t="s">
        <v>316</v>
      </c>
    </row>
    <row r="23050">
      <c r="A23050" s="17"/>
      <c r="H23050" s="18"/>
      <c r="K23050" s="18" t="s">
        <v>316</v>
      </c>
    </row>
    <row r="23051">
      <c r="A23051" s="17"/>
      <c r="H23051" s="18"/>
      <c r="K23051" s="18" t="s">
        <v>316</v>
      </c>
    </row>
    <row r="23052">
      <c r="A23052" s="17"/>
      <c r="H23052" s="18"/>
      <c r="K23052" s="18" t="s">
        <v>316</v>
      </c>
    </row>
    <row r="23053">
      <c r="A23053" s="17"/>
      <c r="H23053" s="18"/>
      <c r="K23053" s="18" t="s">
        <v>316</v>
      </c>
    </row>
    <row r="23054">
      <c r="A23054" s="17"/>
      <c r="H23054" s="18"/>
      <c r="K23054" s="18" t="s">
        <v>316</v>
      </c>
    </row>
    <row r="23055">
      <c r="A23055" s="17"/>
      <c r="H23055" s="18"/>
      <c r="K23055" s="18" t="s">
        <v>316</v>
      </c>
    </row>
    <row r="23056">
      <c r="A23056" s="17"/>
      <c r="H23056" s="18"/>
      <c r="K23056" s="18" t="s">
        <v>316</v>
      </c>
    </row>
    <row r="23057">
      <c r="A23057" s="17"/>
      <c r="H23057" s="18"/>
      <c r="K23057" s="18" t="s">
        <v>316</v>
      </c>
    </row>
    <row r="23058">
      <c r="A23058" s="17"/>
      <c r="H23058" s="18"/>
      <c r="K23058" s="18" t="s">
        <v>316</v>
      </c>
    </row>
    <row r="23059">
      <c r="A23059" s="17"/>
      <c r="H23059" s="18"/>
      <c r="K23059" s="18" t="s">
        <v>316</v>
      </c>
    </row>
    <row r="23060">
      <c r="A23060" s="17"/>
      <c r="H23060" s="18"/>
      <c r="K23060" s="18" t="s">
        <v>316</v>
      </c>
    </row>
    <row r="23061">
      <c r="A23061" s="17"/>
      <c r="H23061" s="18"/>
      <c r="K23061" s="18" t="s">
        <v>316</v>
      </c>
    </row>
    <row r="23062">
      <c r="A23062" s="17"/>
      <c r="H23062" s="18"/>
      <c r="K23062" s="18" t="s">
        <v>316</v>
      </c>
    </row>
    <row r="23063">
      <c r="A23063" s="17"/>
      <c r="H23063" s="18"/>
      <c r="K23063" s="18" t="s">
        <v>316</v>
      </c>
    </row>
    <row r="23064">
      <c r="A23064" s="17"/>
      <c r="H23064" s="18"/>
      <c r="K23064" s="18" t="s">
        <v>316</v>
      </c>
    </row>
    <row r="23065">
      <c r="A23065" s="17"/>
      <c r="H23065" s="18"/>
      <c r="K23065" s="18" t="s">
        <v>316</v>
      </c>
    </row>
    <row r="23066">
      <c r="A23066" s="17"/>
      <c r="H23066" s="18"/>
      <c r="K23066" s="18" t="s">
        <v>316</v>
      </c>
    </row>
    <row r="23067">
      <c r="A23067" s="17"/>
      <c r="H23067" s="18"/>
      <c r="K23067" s="18" t="s">
        <v>316</v>
      </c>
    </row>
    <row r="23068">
      <c r="A23068" s="17"/>
      <c r="H23068" s="18"/>
      <c r="K23068" s="18" t="s">
        <v>316</v>
      </c>
    </row>
    <row r="23069">
      <c r="A23069" s="17"/>
      <c r="H23069" s="18"/>
      <c r="K23069" s="18" t="s">
        <v>316</v>
      </c>
    </row>
    <row r="23070">
      <c r="A23070" s="17"/>
      <c r="H23070" s="18"/>
      <c r="K23070" s="18" t="s">
        <v>316</v>
      </c>
    </row>
    <row r="23071">
      <c r="A23071" s="17"/>
      <c r="H23071" s="18"/>
      <c r="K23071" s="18" t="s">
        <v>316</v>
      </c>
    </row>
    <row r="23072">
      <c r="A23072" s="17"/>
      <c r="H23072" s="18"/>
      <c r="K23072" s="18" t="s">
        <v>316</v>
      </c>
    </row>
    <row r="23073">
      <c r="A23073" s="17"/>
      <c r="H23073" s="18"/>
      <c r="K23073" s="18" t="s">
        <v>316</v>
      </c>
    </row>
    <row r="23074">
      <c r="A23074" s="17"/>
      <c r="H23074" s="18"/>
      <c r="K23074" s="18" t="s">
        <v>316</v>
      </c>
    </row>
    <row r="23075">
      <c r="A23075" s="17"/>
      <c r="H23075" s="18"/>
      <c r="K23075" s="18" t="s">
        <v>316</v>
      </c>
    </row>
    <row r="23076">
      <c r="A23076" s="17"/>
      <c r="H23076" s="18"/>
      <c r="K23076" s="18" t="s">
        <v>316</v>
      </c>
    </row>
    <row r="23077">
      <c r="A23077" s="17"/>
      <c r="H23077" s="18"/>
      <c r="K23077" s="18" t="s">
        <v>316</v>
      </c>
    </row>
    <row r="23078">
      <c r="A23078" s="17"/>
      <c r="H23078" s="18"/>
      <c r="K23078" s="18" t="s">
        <v>316</v>
      </c>
    </row>
    <row r="23079">
      <c r="A23079" s="17"/>
      <c r="H23079" s="18"/>
      <c r="K23079" s="18" t="s">
        <v>316</v>
      </c>
    </row>
    <row r="23080">
      <c r="A23080" s="17"/>
      <c r="H23080" s="18"/>
      <c r="K23080" s="18" t="s">
        <v>316</v>
      </c>
    </row>
    <row r="23081">
      <c r="A23081" s="17"/>
      <c r="H23081" s="18"/>
      <c r="K23081" s="18" t="s">
        <v>316</v>
      </c>
    </row>
    <row r="23082">
      <c r="A23082" s="17"/>
      <c r="H23082" s="18"/>
      <c r="K23082" s="18" t="s">
        <v>316</v>
      </c>
    </row>
    <row r="23083">
      <c r="A23083" s="17"/>
      <c r="H23083" s="18"/>
      <c r="K23083" s="18" t="s">
        <v>316</v>
      </c>
    </row>
    <row r="23084">
      <c r="A23084" s="17"/>
      <c r="H23084" s="18"/>
      <c r="K23084" s="18" t="s">
        <v>316</v>
      </c>
    </row>
    <row r="23085">
      <c r="A23085" s="17"/>
      <c r="H23085" s="18"/>
      <c r="K23085" s="18" t="s">
        <v>316</v>
      </c>
    </row>
    <row r="23086">
      <c r="A23086" s="17"/>
      <c r="H23086" s="18"/>
      <c r="K23086" s="18" t="s">
        <v>316</v>
      </c>
    </row>
    <row r="23087">
      <c r="A23087" s="17"/>
      <c r="H23087" s="18"/>
      <c r="K23087" s="18" t="s">
        <v>316</v>
      </c>
    </row>
    <row r="23088">
      <c r="A23088" s="17"/>
      <c r="H23088" s="18"/>
      <c r="K23088" s="18" t="s">
        <v>316</v>
      </c>
    </row>
    <row r="23089">
      <c r="A23089" s="17"/>
      <c r="H23089" s="18"/>
      <c r="K23089" s="18" t="s">
        <v>316</v>
      </c>
    </row>
    <row r="23090">
      <c r="A23090" s="17"/>
      <c r="H23090" s="18"/>
      <c r="K23090" s="18" t="s">
        <v>316</v>
      </c>
    </row>
    <row r="23091">
      <c r="A23091" s="17"/>
      <c r="H23091" s="18"/>
      <c r="K23091" s="18" t="s">
        <v>316</v>
      </c>
    </row>
    <row r="23092">
      <c r="A23092" s="17"/>
      <c r="H23092" s="18"/>
      <c r="K23092" s="18" t="s">
        <v>316</v>
      </c>
    </row>
    <row r="23093">
      <c r="A23093" s="17"/>
      <c r="H23093" s="18"/>
      <c r="K23093" s="18" t="s">
        <v>316</v>
      </c>
    </row>
    <row r="23094">
      <c r="A23094" s="17"/>
      <c r="H23094" s="18"/>
      <c r="K23094" s="18" t="s">
        <v>316</v>
      </c>
    </row>
    <row r="23095">
      <c r="A23095" s="17"/>
      <c r="H23095" s="18"/>
      <c r="K23095" s="18" t="s">
        <v>316</v>
      </c>
    </row>
    <row r="23096">
      <c r="A23096" s="17"/>
      <c r="H23096" s="18"/>
      <c r="K23096" s="18" t="s">
        <v>316</v>
      </c>
    </row>
    <row r="23097">
      <c r="A23097" s="17"/>
      <c r="H23097" s="18"/>
      <c r="K23097" s="18" t="s">
        <v>316</v>
      </c>
    </row>
    <row r="23098">
      <c r="A23098" s="17"/>
      <c r="H23098" s="18"/>
      <c r="K23098" s="18" t="s">
        <v>316</v>
      </c>
    </row>
    <row r="23099">
      <c r="A23099" s="17"/>
      <c r="H23099" s="18"/>
      <c r="K23099" s="18" t="s">
        <v>316</v>
      </c>
    </row>
    <row r="23100">
      <c r="A23100" s="17"/>
      <c r="H23100" s="18"/>
      <c r="K23100" s="18" t="s">
        <v>316</v>
      </c>
    </row>
    <row r="23101">
      <c r="A23101" s="17"/>
      <c r="H23101" s="18"/>
      <c r="K23101" s="18" t="s">
        <v>316</v>
      </c>
    </row>
    <row r="23102">
      <c r="A23102" s="17"/>
      <c r="H23102" s="18"/>
      <c r="K23102" s="18" t="s">
        <v>316</v>
      </c>
    </row>
    <row r="23103">
      <c r="A23103" s="17"/>
      <c r="H23103" s="18"/>
      <c r="K23103" s="18" t="s">
        <v>316</v>
      </c>
    </row>
    <row r="23104">
      <c r="A23104" s="17"/>
      <c r="H23104" s="18"/>
      <c r="K23104" s="18" t="s">
        <v>316</v>
      </c>
    </row>
    <row r="23105">
      <c r="A23105" s="17"/>
      <c r="H23105" s="18"/>
      <c r="K23105" s="18" t="s">
        <v>316</v>
      </c>
    </row>
    <row r="23106">
      <c r="A23106" s="17"/>
      <c r="H23106" s="18"/>
      <c r="K23106" s="18" t="s">
        <v>316</v>
      </c>
    </row>
    <row r="23107">
      <c r="A23107" s="17"/>
      <c r="H23107" s="18"/>
      <c r="K23107" s="18" t="s">
        <v>316</v>
      </c>
    </row>
    <row r="23108">
      <c r="A23108" s="17"/>
      <c r="H23108" s="18"/>
      <c r="K23108" s="18" t="s">
        <v>316</v>
      </c>
    </row>
    <row r="23109">
      <c r="A23109" s="17"/>
      <c r="H23109" s="18"/>
      <c r="K23109" s="18" t="s">
        <v>316</v>
      </c>
    </row>
    <row r="23110">
      <c r="A23110" s="17"/>
      <c r="H23110" s="18"/>
      <c r="K23110" s="18" t="s">
        <v>316</v>
      </c>
    </row>
    <row r="23111">
      <c r="A23111" s="17"/>
      <c r="H23111" s="18"/>
      <c r="K23111" s="18" t="s">
        <v>316</v>
      </c>
    </row>
    <row r="23112">
      <c r="A23112" s="17"/>
      <c r="H23112" s="18"/>
      <c r="K23112" s="18" t="s">
        <v>316</v>
      </c>
    </row>
    <row r="23113">
      <c r="A23113" s="17"/>
      <c r="H23113" s="18"/>
      <c r="K23113" s="18" t="s">
        <v>316</v>
      </c>
    </row>
    <row r="23114">
      <c r="A23114" s="17"/>
      <c r="H23114" s="18"/>
      <c r="K23114" s="18" t="s">
        <v>316</v>
      </c>
    </row>
    <row r="23115">
      <c r="A23115" s="17"/>
      <c r="H23115" s="18"/>
      <c r="K23115" s="18" t="s">
        <v>316</v>
      </c>
    </row>
    <row r="23116">
      <c r="A23116" s="17"/>
      <c r="H23116" s="18"/>
      <c r="K23116" s="18" t="s">
        <v>316</v>
      </c>
    </row>
    <row r="23117">
      <c r="A23117" s="17"/>
      <c r="H23117" s="18"/>
      <c r="K23117" s="18" t="s">
        <v>316</v>
      </c>
    </row>
    <row r="23118">
      <c r="A23118" s="17"/>
      <c r="H23118" s="18"/>
      <c r="K23118" s="18" t="s">
        <v>316</v>
      </c>
    </row>
    <row r="23119">
      <c r="A23119" s="17"/>
      <c r="H23119" s="18"/>
      <c r="K23119" s="18" t="s">
        <v>316</v>
      </c>
    </row>
    <row r="23120">
      <c r="A23120" s="17"/>
      <c r="H23120" s="18"/>
      <c r="K23120" s="18" t="s">
        <v>316</v>
      </c>
    </row>
    <row r="23121">
      <c r="A23121" s="17"/>
      <c r="H23121" s="18"/>
      <c r="K23121" s="18" t="s">
        <v>316</v>
      </c>
    </row>
    <row r="23122">
      <c r="A23122" s="17"/>
      <c r="H23122" s="18"/>
      <c r="K23122" s="18" t="s">
        <v>316</v>
      </c>
    </row>
    <row r="23123">
      <c r="A23123" s="17"/>
      <c r="H23123" s="18"/>
      <c r="K23123" s="18" t="s">
        <v>316</v>
      </c>
    </row>
    <row r="23124">
      <c r="A23124" s="17"/>
      <c r="H23124" s="18"/>
      <c r="K23124" s="18" t="s">
        <v>316</v>
      </c>
    </row>
    <row r="23125">
      <c r="A23125" s="17"/>
      <c r="H23125" s="18"/>
      <c r="K23125" s="18" t="s">
        <v>316</v>
      </c>
    </row>
    <row r="23126">
      <c r="A23126" s="17"/>
      <c r="H23126" s="18"/>
      <c r="K23126" s="18" t="s">
        <v>316</v>
      </c>
    </row>
    <row r="23127">
      <c r="A23127" s="17"/>
      <c r="H23127" s="18"/>
      <c r="K23127" s="18" t="s">
        <v>316</v>
      </c>
    </row>
    <row r="23128">
      <c r="A23128" s="17"/>
      <c r="H23128" s="18"/>
      <c r="K23128" s="18" t="s">
        <v>316</v>
      </c>
    </row>
    <row r="23129">
      <c r="A23129" s="17"/>
      <c r="H23129" s="18"/>
      <c r="K23129" s="18" t="s">
        <v>316</v>
      </c>
    </row>
    <row r="23130">
      <c r="A23130" s="17"/>
      <c r="H23130" s="18"/>
      <c r="K23130" s="18" t="s">
        <v>316</v>
      </c>
    </row>
    <row r="23131">
      <c r="A23131" s="17"/>
      <c r="H23131" s="18"/>
      <c r="K23131" s="18" t="s">
        <v>316</v>
      </c>
    </row>
    <row r="23132">
      <c r="A23132" s="17"/>
      <c r="H23132" s="18"/>
      <c r="K23132" s="18" t="s">
        <v>316</v>
      </c>
    </row>
    <row r="23133">
      <c r="A23133" s="17"/>
      <c r="H23133" s="18"/>
      <c r="K23133" s="18" t="s">
        <v>316</v>
      </c>
    </row>
    <row r="23134">
      <c r="A23134" s="17"/>
      <c r="H23134" s="18"/>
      <c r="K23134" s="18" t="s">
        <v>316</v>
      </c>
    </row>
    <row r="23135">
      <c r="A23135" s="17"/>
      <c r="H23135" s="18"/>
      <c r="K23135" s="18" t="s">
        <v>316</v>
      </c>
    </row>
    <row r="23136">
      <c r="A23136" s="17"/>
      <c r="H23136" s="18"/>
      <c r="K23136" s="18" t="s">
        <v>316</v>
      </c>
    </row>
    <row r="23137">
      <c r="A23137" s="17"/>
      <c r="H23137" s="18"/>
      <c r="K23137" s="18" t="s">
        <v>316</v>
      </c>
    </row>
    <row r="23138">
      <c r="A23138" s="17"/>
      <c r="H23138" s="18"/>
      <c r="K23138" s="18" t="s">
        <v>316</v>
      </c>
    </row>
    <row r="23139">
      <c r="A23139" s="17"/>
      <c r="H23139" s="18"/>
      <c r="K23139" s="18" t="s">
        <v>316</v>
      </c>
    </row>
    <row r="23140">
      <c r="A23140" s="17"/>
      <c r="H23140" s="18"/>
      <c r="K23140" s="18" t="s">
        <v>316</v>
      </c>
    </row>
    <row r="23141">
      <c r="A23141" s="17"/>
      <c r="H23141" s="18"/>
      <c r="K23141" s="18" t="s">
        <v>316</v>
      </c>
    </row>
    <row r="23142">
      <c r="A23142" s="17"/>
      <c r="H23142" s="18"/>
      <c r="K23142" s="18" t="s">
        <v>316</v>
      </c>
    </row>
    <row r="23143">
      <c r="A23143" s="17"/>
      <c r="H23143" s="18"/>
      <c r="K23143" s="18" t="s">
        <v>316</v>
      </c>
    </row>
    <row r="23144">
      <c r="A23144" s="17"/>
      <c r="H23144" s="18"/>
      <c r="K23144" s="18" t="s">
        <v>316</v>
      </c>
    </row>
    <row r="23145">
      <c r="A23145" s="17"/>
      <c r="H23145" s="18"/>
      <c r="K23145" s="18" t="s">
        <v>316</v>
      </c>
    </row>
    <row r="23146">
      <c r="A23146" s="17"/>
      <c r="H23146" s="18"/>
      <c r="K23146" s="18" t="s">
        <v>316</v>
      </c>
    </row>
    <row r="23147">
      <c r="A23147" s="17"/>
      <c r="H23147" s="18"/>
      <c r="K23147" s="18" t="s">
        <v>316</v>
      </c>
    </row>
    <row r="23148">
      <c r="A23148" s="17"/>
      <c r="H23148" s="18"/>
      <c r="K23148" s="18" t="s">
        <v>316</v>
      </c>
    </row>
    <row r="23149">
      <c r="A23149" s="17"/>
      <c r="H23149" s="18"/>
      <c r="K23149" s="18" t="s">
        <v>316</v>
      </c>
    </row>
    <row r="23150">
      <c r="A23150" s="17"/>
      <c r="H23150" s="18"/>
      <c r="K23150" s="18" t="s">
        <v>316</v>
      </c>
    </row>
    <row r="23151">
      <c r="A23151" s="17"/>
      <c r="H23151" s="18"/>
      <c r="K23151" s="18" t="s">
        <v>316</v>
      </c>
    </row>
    <row r="23152">
      <c r="A23152" s="17"/>
      <c r="H23152" s="18"/>
      <c r="K23152" s="18" t="s">
        <v>316</v>
      </c>
    </row>
    <row r="23153">
      <c r="A23153" s="17"/>
      <c r="H23153" s="18"/>
      <c r="K23153" s="18" t="s">
        <v>316</v>
      </c>
    </row>
    <row r="23154">
      <c r="A23154" s="17"/>
      <c r="H23154" s="18"/>
      <c r="K23154" s="18" t="s">
        <v>316</v>
      </c>
    </row>
    <row r="23155">
      <c r="A23155" s="17"/>
      <c r="H23155" s="18"/>
      <c r="K23155" s="18" t="s">
        <v>316</v>
      </c>
    </row>
    <row r="23156">
      <c r="A23156" s="17"/>
      <c r="H23156" s="18"/>
      <c r="K23156" s="18" t="s">
        <v>316</v>
      </c>
    </row>
    <row r="23157">
      <c r="A23157" s="17"/>
      <c r="H23157" s="18"/>
      <c r="K23157" s="18" t="s">
        <v>316</v>
      </c>
    </row>
    <row r="23158">
      <c r="A23158" s="17"/>
      <c r="H23158" s="18"/>
      <c r="K23158" s="18" t="s">
        <v>316</v>
      </c>
    </row>
    <row r="23159">
      <c r="A23159" s="17"/>
      <c r="H23159" s="18"/>
      <c r="K23159" s="18" t="s">
        <v>316</v>
      </c>
    </row>
    <row r="23160">
      <c r="A23160" s="17"/>
      <c r="H23160" s="18"/>
      <c r="K23160" s="18" t="s">
        <v>316</v>
      </c>
    </row>
    <row r="23161">
      <c r="A23161" s="17"/>
      <c r="H23161" s="18"/>
      <c r="K23161" s="18" t="s">
        <v>316</v>
      </c>
    </row>
    <row r="23162">
      <c r="A23162" s="17"/>
      <c r="H23162" s="18"/>
      <c r="K23162" s="18" t="s">
        <v>316</v>
      </c>
    </row>
    <row r="23163">
      <c r="A23163" s="17"/>
      <c r="H23163" s="18"/>
      <c r="K23163" s="18" t="s">
        <v>316</v>
      </c>
    </row>
    <row r="23164">
      <c r="A23164" s="17"/>
      <c r="H23164" s="18"/>
      <c r="K23164" s="18" t="s">
        <v>316</v>
      </c>
    </row>
    <row r="23165">
      <c r="A23165" s="17"/>
      <c r="H23165" s="18"/>
      <c r="K23165" s="18" t="s">
        <v>316</v>
      </c>
    </row>
    <row r="23166">
      <c r="A23166" s="17"/>
      <c r="H23166" s="18"/>
      <c r="K23166" s="18" t="s">
        <v>316</v>
      </c>
    </row>
    <row r="23167">
      <c r="A23167" s="17"/>
      <c r="H23167" s="18"/>
      <c r="K23167" s="18" t="s">
        <v>316</v>
      </c>
    </row>
    <row r="23168">
      <c r="A23168" s="17"/>
      <c r="H23168" s="18"/>
      <c r="K23168" s="18" t="s">
        <v>316</v>
      </c>
    </row>
    <row r="23169">
      <c r="A23169" s="17"/>
      <c r="H23169" s="18"/>
      <c r="K23169" s="18" t="s">
        <v>316</v>
      </c>
    </row>
    <row r="23170">
      <c r="A23170" s="17"/>
      <c r="H23170" s="18"/>
      <c r="K23170" s="18" t="s">
        <v>316</v>
      </c>
    </row>
    <row r="23171">
      <c r="A23171" s="17"/>
      <c r="H23171" s="18"/>
      <c r="K23171" s="18" t="s">
        <v>316</v>
      </c>
    </row>
    <row r="23172">
      <c r="A23172" s="17"/>
      <c r="H23172" s="18"/>
      <c r="K23172" s="18" t="s">
        <v>316</v>
      </c>
    </row>
    <row r="23173">
      <c r="A23173" s="17"/>
      <c r="H23173" s="18"/>
      <c r="K23173" s="18" t="s">
        <v>316</v>
      </c>
    </row>
    <row r="23174">
      <c r="A23174" s="17"/>
      <c r="H23174" s="18"/>
      <c r="K23174" s="18" t="s">
        <v>316</v>
      </c>
    </row>
    <row r="23175">
      <c r="A23175" s="17"/>
      <c r="H23175" s="18"/>
      <c r="K23175" s="18" t="s">
        <v>316</v>
      </c>
    </row>
    <row r="23176">
      <c r="A23176" s="17"/>
      <c r="H23176" s="18"/>
      <c r="K23176" s="18" t="s">
        <v>316</v>
      </c>
    </row>
    <row r="23177">
      <c r="A23177" s="17"/>
      <c r="H23177" s="18"/>
      <c r="K23177" s="18" t="s">
        <v>316</v>
      </c>
    </row>
    <row r="23178">
      <c r="A23178" s="17"/>
      <c r="H23178" s="18"/>
      <c r="K23178" s="18" t="s">
        <v>316</v>
      </c>
    </row>
    <row r="23179">
      <c r="A23179" s="17"/>
      <c r="H23179" s="18"/>
      <c r="K23179" s="18" t="s">
        <v>316</v>
      </c>
    </row>
    <row r="23180">
      <c r="A23180" s="17"/>
      <c r="H23180" s="18"/>
      <c r="K23180" s="18" t="s">
        <v>316</v>
      </c>
    </row>
    <row r="23181">
      <c r="A23181" s="17"/>
      <c r="H23181" s="18"/>
      <c r="K23181" s="18" t="s">
        <v>316</v>
      </c>
    </row>
    <row r="23182">
      <c r="A23182" s="17"/>
      <c r="H23182" s="18"/>
      <c r="K23182" s="18" t="s">
        <v>316</v>
      </c>
    </row>
    <row r="23183">
      <c r="A23183" s="17"/>
      <c r="H23183" s="18"/>
      <c r="K23183" s="18" t="s">
        <v>316</v>
      </c>
    </row>
    <row r="23184">
      <c r="A23184" s="17"/>
      <c r="H23184" s="18"/>
      <c r="K23184" s="18" t="s">
        <v>316</v>
      </c>
    </row>
    <row r="23185">
      <c r="A23185" s="17"/>
      <c r="H23185" s="18"/>
      <c r="K23185" s="18" t="s">
        <v>316</v>
      </c>
    </row>
    <row r="23186">
      <c r="A23186" s="17"/>
      <c r="H23186" s="18"/>
      <c r="K23186" s="18" t="s">
        <v>316</v>
      </c>
    </row>
    <row r="23187">
      <c r="A23187" s="17"/>
      <c r="H23187" s="18"/>
      <c r="K23187" s="18" t="s">
        <v>316</v>
      </c>
    </row>
    <row r="23188">
      <c r="A23188" s="17"/>
      <c r="H23188" s="18"/>
      <c r="K23188" s="18" t="s">
        <v>316</v>
      </c>
    </row>
    <row r="23189">
      <c r="A23189" s="17"/>
      <c r="H23189" s="18"/>
      <c r="K23189" s="18" t="s">
        <v>316</v>
      </c>
    </row>
    <row r="23190">
      <c r="A23190" s="17"/>
      <c r="H23190" s="18"/>
      <c r="K23190" s="18" t="s">
        <v>316</v>
      </c>
    </row>
    <row r="23191">
      <c r="A23191" s="17"/>
      <c r="H23191" s="18"/>
      <c r="K23191" s="18" t="s">
        <v>316</v>
      </c>
    </row>
    <row r="23192">
      <c r="A23192" s="17"/>
      <c r="H23192" s="18"/>
      <c r="K23192" s="18" t="s">
        <v>316</v>
      </c>
    </row>
    <row r="23193">
      <c r="A23193" s="17"/>
      <c r="H23193" s="18"/>
      <c r="K23193" s="18" t="s">
        <v>316</v>
      </c>
    </row>
    <row r="23194">
      <c r="A23194" s="17"/>
      <c r="H23194" s="18"/>
      <c r="K23194" s="18" t="s">
        <v>316</v>
      </c>
    </row>
    <row r="23195">
      <c r="A23195" s="17"/>
      <c r="H23195" s="18"/>
      <c r="K23195" s="18" t="s">
        <v>316</v>
      </c>
    </row>
    <row r="23196">
      <c r="A23196" s="17"/>
      <c r="H23196" s="18"/>
      <c r="K23196" s="18" t="s">
        <v>316</v>
      </c>
    </row>
    <row r="23197">
      <c r="A23197" s="17"/>
      <c r="H23197" s="18"/>
      <c r="K23197" s="18" t="s">
        <v>316</v>
      </c>
    </row>
    <row r="23198">
      <c r="A23198" s="17"/>
      <c r="H23198" s="18"/>
      <c r="K23198" s="18" t="s">
        <v>316</v>
      </c>
    </row>
    <row r="23199">
      <c r="A23199" s="17"/>
      <c r="H23199" s="18"/>
      <c r="K23199" s="18" t="s">
        <v>316</v>
      </c>
    </row>
    <row r="23200">
      <c r="A23200" s="17"/>
      <c r="H23200" s="18"/>
      <c r="K23200" s="18" t="s">
        <v>316</v>
      </c>
    </row>
    <row r="23201">
      <c r="A23201" s="17"/>
      <c r="H23201" s="18"/>
      <c r="K23201" s="18" t="s">
        <v>316</v>
      </c>
    </row>
    <row r="23202">
      <c r="A23202" s="17"/>
      <c r="H23202" s="18"/>
      <c r="K23202" s="18" t="s">
        <v>316</v>
      </c>
    </row>
    <row r="23203">
      <c r="A23203" s="17"/>
      <c r="H23203" s="18"/>
      <c r="K23203" s="18" t="s">
        <v>316</v>
      </c>
    </row>
    <row r="23204">
      <c r="A23204" s="17"/>
      <c r="H23204" s="18"/>
      <c r="K23204" s="18" t="s">
        <v>316</v>
      </c>
    </row>
    <row r="23205">
      <c r="A23205" s="17"/>
      <c r="H23205" s="18"/>
      <c r="K23205" s="18" t="s">
        <v>316</v>
      </c>
    </row>
    <row r="23206">
      <c r="A23206" s="17"/>
      <c r="H23206" s="18"/>
      <c r="K23206" s="18" t="s">
        <v>316</v>
      </c>
    </row>
    <row r="23207">
      <c r="A23207" s="17"/>
      <c r="H23207" s="18"/>
      <c r="K23207" s="18" t="s">
        <v>316</v>
      </c>
    </row>
    <row r="23208">
      <c r="A23208" s="17"/>
      <c r="H23208" s="18"/>
      <c r="K23208" s="18" t="s">
        <v>316</v>
      </c>
    </row>
    <row r="23209">
      <c r="A23209" s="17"/>
      <c r="H23209" s="18"/>
      <c r="K23209" s="18" t="s">
        <v>316</v>
      </c>
    </row>
    <row r="23210">
      <c r="A23210" s="17"/>
      <c r="H23210" s="18"/>
      <c r="K23210" s="18" t="s">
        <v>316</v>
      </c>
    </row>
    <row r="23211">
      <c r="A23211" s="17"/>
      <c r="H23211" s="18"/>
      <c r="K23211" s="18" t="s">
        <v>316</v>
      </c>
    </row>
    <row r="23212">
      <c r="A23212" s="17"/>
      <c r="H23212" s="18"/>
      <c r="K23212" s="18" t="s">
        <v>316</v>
      </c>
    </row>
    <row r="23213">
      <c r="A23213" s="17"/>
      <c r="H23213" s="18"/>
      <c r="K23213" s="18" t="s">
        <v>316</v>
      </c>
    </row>
    <row r="23214">
      <c r="A23214" s="17"/>
      <c r="H23214" s="18"/>
      <c r="K23214" s="18" t="s">
        <v>316</v>
      </c>
    </row>
    <row r="23215">
      <c r="A23215" s="17"/>
      <c r="H23215" s="18"/>
      <c r="K23215" s="18" t="s">
        <v>316</v>
      </c>
    </row>
    <row r="23216">
      <c r="A23216" s="17"/>
      <c r="H23216" s="18"/>
      <c r="K23216" s="18" t="s">
        <v>316</v>
      </c>
    </row>
    <row r="23217">
      <c r="A23217" s="17"/>
      <c r="H23217" s="18"/>
      <c r="K23217" s="18" t="s">
        <v>316</v>
      </c>
    </row>
    <row r="23218">
      <c r="A23218" s="17"/>
      <c r="H23218" s="18"/>
      <c r="K23218" s="18" t="s">
        <v>316</v>
      </c>
    </row>
    <row r="23219">
      <c r="A23219" s="17"/>
      <c r="H23219" s="18"/>
      <c r="K23219" s="18" t="s">
        <v>316</v>
      </c>
    </row>
    <row r="23220">
      <c r="A23220" s="17"/>
      <c r="H23220" s="18"/>
      <c r="K23220" s="18" t="s">
        <v>316</v>
      </c>
    </row>
    <row r="23221">
      <c r="A23221" s="17"/>
      <c r="H23221" s="18"/>
      <c r="K23221" s="18" t="s">
        <v>316</v>
      </c>
    </row>
    <row r="23222">
      <c r="A23222" s="17"/>
      <c r="H23222" s="18"/>
      <c r="K23222" s="18" t="s">
        <v>316</v>
      </c>
    </row>
    <row r="23223">
      <c r="A23223" s="17"/>
      <c r="H23223" s="18"/>
      <c r="K23223" s="18" t="s">
        <v>316</v>
      </c>
    </row>
    <row r="23224">
      <c r="A23224" s="17"/>
      <c r="H23224" s="18"/>
      <c r="K23224" s="18" t="s">
        <v>316</v>
      </c>
    </row>
    <row r="23225">
      <c r="A23225" s="17"/>
      <c r="H23225" s="18"/>
      <c r="K23225" s="18" t="s">
        <v>316</v>
      </c>
    </row>
    <row r="23226">
      <c r="A23226" s="17"/>
      <c r="H23226" s="18"/>
      <c r="K23226" s="18" t="s">
        <v>316</v>
      </c>
    </row>
    <row r="23227">
      <c r="A23227" s="17"/>
      <c r="H23227" s="18"/>
      <c r="K23227" s="18" t="s">
        <v>316</v>
      </c>
    </row>
    <row r="23228">
      <c r="A23228" s="17"/>
      <c r="H23228" s="18"/>
      <c r="K23228" s="18" t="s">
        <v>316</v>
      </c>
    </row>
    <row r="23229">
      <c r="A23229" s="17"/>
      <c r="H23229" s="18"/>
      <c r="K23229" s="18" t="s">
        <v>316</v>
      </c>
    </row>
    <row r="23230">
      <c r="A23230" s="17"/>
      <c r="H23230" s="18"/>
      <c r="K23230" s="18" t="s">
        <v>316</v>
      </c>
    </row>
    <row r="23231">
      <c r="A23231" s="17"/>
      <c r="H23231" s="18"/>
      <c r="K23231" s="18" t="s">
        <v>316</v>
      </c>
    </row>
    <row r="23232">
      <c r="A23232" s="17"/>
      <c r="H23232" s="18"/>
      <c r="K23232" s="18" t="s">
        <v>316</v>
      </c>
    </row>
    <row r="23233">
      <c r="A23233" s="17"/>
      <c r="H23233" s="18"/>
      <c r="K23233" s="18" t="s">
        <v>316</v>
      </c>
    </row>
    <row r="23234">
      <c r="A23234" s="17"/>
      <c r="H23234" s="18"/>
      <c r="K23234" s="18" t="s">
        <v>316</v>
      </c>
    </row>
    <row r="23235">
      <c r="A23235" s="17"/>
      <c r="H23235" s="18"/>
      <c r="K23235" s="18" t="s">
        <v>316</v>
      </c>
    </row>
    <row r="23236">
      <c r="A23236" s="17"/>
      <c r="H23236" s="18"/>
      <c r="K23236" s="18" t="s">
        <v>316</v>
      </c>
    </row>
    <row r="23237">
      <c r="A23237" s="17"/>
      <c r="H23237" s="18"/>
      <c r="K23237" s="18" t="s">
        <v>316</v>
      </c>
    </row>
    <row r="23238">
      <c r="A23238" s="17"/>
      <c r="H23238" s="18"/>
      <c r="K23238" s="18" t="s">
        <v>316</v>
      </c>
    </row>
    <row r="23239">
      <c r="A23239" s="17"/>
      <c r="H23239" s="18"/>
      <c r="K23239" s="18" t="s">
        <v>316</v>
      </c>
    </row>
    <row r="23240">
      <c r="A23240" s="17"/>
      <c r="H23240" s="18"/>
      <c r="K23240" s="18" t="s">
        <v>316</v>
      </c>
    </row>
    <row r="23241">
      <c r="A23241" s="17"/>
      <c r="H23241" s="18"/>
      <c r="K23241" s="18" t="s">
        <v>316</v>
      </c>
    </row>
    <row r="23242">
      <c r="A23242" s="17"/>
      <c r="H23242" s="18"/>
      <c r="K23242" s="18" t="s">
        <v>316</v>
      </c>
    </row>
    <row r="23243">
      <c r="A23243" s="17"/>
      <c r="H23243" s="18"/>
      <c r="K23243" s="18" t="s">
        <v>316</v>
      </c>
    </row>
    <row r="23244">
      <c r="A23244" s="17"/>
      <c r="H23244" s="18"/>
      <c r="K23244" s="18" t="s">
        <v>316</v>
      </c>
    </row>
    <row r="23245">
      <c r="A23245" s="17"/>
      <c r="H23245" s="18"/>
      <c r="K23245" s="18" t="s">
        <v>316</v>
      </c>
    </row>
    <row r="23246">
      <c r="A23246" s="17"/>
      <c r="H23246" s="18"/>
      <c r="K23246" s="18" t="s">
        <v>316</v>
      </c>
    </row>
    <row r="23247">
      <c r="A23247" s="17"/>
      <c r="H23247" s="18"/>
      <c r="K23247" s="18" t="s">
        <v>316</v>
      </c>
    </row>
    <row r="23248">
      <c r="A23248" s="17"/>
      <c r="H23248" s="18"/>
      <c r="K23248" s="18" t="s">
        <v>316</v>
      </c>
    </row>
    <row r="23249">
      <c r="A23249" s="17"/>
      <c r="H23249" s="18"/>
      <c r="K23249" s="18" t="s">
        <v>316</v>
      </c>
    </row>
    <row r="23250">
      <c r="A23250" s="17"/>
      <c r="H23250" s="18"/>
      <c r="K23250" s="18" t="s">
        <v>316</v>
      </c>
    </row>
    <row r="23251">
      <c r="A23251" s="17"/>
      <c r="H23251" s="18"/>
      <c r="K23251" s="18" t="s">
        <v>316</v>
      </c>
    </row>
    <row r="23252">
      <c r="A23252" s="17"/>
      <c r="H23252" s="18"/>
      <c r="K23252" s="18" t="s">
        <v>316</v>
      </c>
    </row>
    <row r="23253">
      <c r="A23253" s="17"/>
      <c r="H23253" s="18"/>
      <c r="K23253" s="18" t="s">
        <v>316</v>
      </c>
    </row>
    <row r="23254">
      <c r="A23254" s="17"/>
      <c r="H23254" s="18"/>
      <c r="K23254" s="18" t="s">
        <v>316</v>
      </c>
    </row>
    <row r="23255">
      <c r="A23255" s="17"/>
      <c r="H23255" s="18"/>
      <c r="K23255" s="18" t="s">
        <v>316</v>
      </c>
    </row>
    <row r="23256">
      <c r="A23256" s="17"/>
      <c r="H23256" s="18"/>
      <c r="K23256" s="18" t="s">
        <v>316</v>
      </c>
    </row>
    <row r="23257">
      <c r="A23257" s="17"/>
      <c r="H23257" s="18"/>
      <c r="K23257" s="18" t="s">
        <v>316</v>
      </c>
    </row>
    <row r="23258">
      <c r="A23258" s="17"/>
      <c r="H23258" s="18"/>
      <c r="K23258" s="18" t="s">
        <v>316</v>
      </c>
    </row>
    <row r="23259">
      <c r="A23259" s="17"/>
      <c r="H23259" s="18"/>
      <c r="K23259" s="18" t="s">
        <v>316</v>
      </c>
    </row>
    <row r="23260">
      <c r="A23260" s="17"/>
      <c r="H23260" s="18"/>
      <c r="K23260" s="18" t="s">
        <v>316</v>
      </c>
    </row>
    <row r="23261">
      <c r="A23261" s="17"/>
      <c r="H23261" s="18"/>
      <c r="K23261" s="18" t="s">
        <v>316</v>
      </c>
    </row>
    <row r="23262">
      <c r="A23262" s="17"/>
      <c r="H23262" s="18"/>
      <c r="K23262" s="18" t="s">
        <v>316</v>
      </c>
    </row>
    <row r="23263">
      <c r="A23263" s="17"/>
      <c r="H23263" s="18"/>
      <c r="K23263" s="18" t="s">
        <v>316</v>
      </c>
    </row>
    <row r="23264">
      <c r="A23264" s="17"/>
      <c r="H23264" s="18"/>
      <c r="K23264" s="18" t="s">
        <v>316</v>
      </c>
    </row>
    <row r="23265">
      <c r="A23265" s="17"/>
      <c r="H23265" s="18"/>
      <c r="K23265" s="18" t="s">
        <v>316</v>
      </c>
    </row>
    <row r="23266">
      <c r="A23266" s="17"/>
      <c r="H23266" s="18"/>
      <c r="K23266" s="18" t="s">
        <v>316</v>
      </c>
    </row>
    <row r="23267">
      <c r="A23267" s="17"/>
      <c r="H23267" s="18"/>
      <c r="K23267" s="18" t="s">
        <v>316</v>
      </c>
    </row>
    <row r="23268">
      <c r="A23268" s="17"/>
      <c r="H23268" s="18"/>
      <c r="K23268" s="18" t="s">
        <v>316</v>
      </c>
    </row>
    <row r="23269">
      <c r="A23269" s="17"/>
      <c r="H23269" s="18"/>
      <c r="K23269" s="18" t="s">
        <v>316</v>
      </c>
    </row>
    <row r="23270">
      <c r="A23270" s="17"/>
      <c r="H23270" s="18"/>
      <c r="K23270" s="18" t="s">
        <v>316</v>
      </c>
    </row>
    <row r="23271">
      <c r="A23271" s="17"/>
      <c r="H23271" s="18"/>
      <c r="K23271" s="18" t="s">
        <v>316</v>
      </c>
    </row>
    <row r="23272">
      <c r="A23272" s="17"/>
      <c r="H23272" s="18"/>
      <c r="K23272" s="18" t="s">
        <v>316</v>
      </c>
    </row>
    <row r="23273">
      <c r="A23273" s="17"/>
      <c r="H23273" s="18"/>
      <c r="K23273" s="18" t="s">
        <v>316</v>
      </c>
    </row>
    <row r="23274">
      <c r="A23274" s="17"/>
      <c r="H23274" s="18"/>
      <c r="K23274" s="18" t="s">
        <v>316</v>
      </c>
    </row>
    <row r="23275">
      <c r="A23275" s="17"/>
      <c r="H23275" s="18"/>
      <c r="K23275" s="18" t="s">
        <v>316</v>
      </c>
    </row>
    <row r="23276">
      <c r="A23276" s="17"/>
      <c r="H23276" s="18"/>
      <c r="K23276" s="18" t="s">
        <v>316</v>
      </c>
    </row>
    <row r="23277">
      <c r="A23277" s="17"/>
      <c r="H23277" s="18"/>
      <c r="K23277" s="18" t="s">
        <v>316</v>
      </c>
    </row>
    <row r="23278">
      <c r="A23278" s="17"/>
      <c r="H23278" s="18"/>
      <c r="K23278" s="18" t="s">
        <v>316</v>
      </c>
    </row>
    <row r="23279">
      <c r="A23279" s="17"/>
      <c r="H23279" s="18"/>
      <c r="K23279" s="18" t="s">
        <v>316</v>
      </c>
    </row>
    <row r="23280">
      <c r="A23280" s="17"/>
      <c r="H23280" s="18"/>
      <c r="K23280" s="18" t="s">
        <v>316</v>
      </c>
    </row>
    <row r="23281">
      <c r="A23281" s="17"/>
      <c r="H23281" s="18"/>
      <c r="K23281" s="18" t="s">
        <v>316</v>
      </c>
    </row>
    <row r="23282">
      <c r="A23282" s="17"/>
      <c r="H23282" s="18"/>
      <c r="K23282" s="18" t="s">
        <v>316</v>
      </c>
    </row>
    <row r="23283">
      <c r="A23283" s="17"/>
      <c r="H23283" s="18"/>
      <c r="K23283" s="18" t="s">
        <v>316</v>
      </c>
    </row>
    <row r="23284">
      <c r="A23284" s="17"/>
      <c r="H23284" s="18"/>
      <c r="K23284" s="18" t="s">
        <v>316</v>
      </c>
    </row>
    <row r="23285">
      <c r="A23285" s="17"/>
      <c r="H23285" s="18"/>
      <c r="K23285" s="18" t="s">
        <v>316</v>
      </c>
    </row>
    <row r="23286">
      <c r="A23286" s="17"/>
      <c r="H23286" s="18"/>
      <c r="K23286" s="18" t="s">
        <v>316</v>
      </c>
    </row>
    <row r="23287">
      <c r="A23287" s="17"/>
      <c r="H23287" s="18"/>
      <c r="K23287" s="18" t="s">
        <v>316</v>
      </c>
    </row>
    <row r="23288">
      <c r="A23288" s="17"/>
      <c r="H23288" s="18"/>
      <c r="K23288" s="18" t="s">
        <v>316</v>
      </c>
    </row>
    <row r="23289">
      <c r="A23289" s="17"/>
      <c r="H23289" s="18"/>
      <c r="K23289" s="18" t="s">
        <v>316</v>
      </c>
    </row>
    <row r="23290">
      <c r="A23290" s="17"/>
      <c r="H23290" s="18"/>
      <c r="K23290" s="18" t="s">
        <v>316</v>
      </c>
    </row>
    <row r="23291">
      <c r="A23291" s="17"/>
      <c r="H23291" s="18"/>
      <c r="K23291" s="18" t="s">
        <v>316</v>
      </c>
    </row>
    <row r="23292">
      <c r="A23292" s="17"/>
      <c r="H23292" s="18"/>
      <c r="K23292" s="18" t="s">
        <v>316</v>
      </c>
    </row>
    <row r="23293">
      <c r="A23293" s="17"/>
      <c r="H23293" s="18"/>
      <c r="K23293" s="18" t="s">
        <v>316</v>
      </c>
    </row>
    <row r="23294">
      <c r="A23294" s="17"/>
      <c r="H23294" s="18"/>
      <c r="K23294" s="18" t="s">
        <v>316</v>
      </c>
    </row>
    <row r="23295">
      <c r="A23295" s="17"/>
      <c r="H23295" s="18"/>
      <c r="K23295" s="18" t="s">
        <v>316</v>
      </c>
    </row>
    <row r="23296">
      <c r="A23296" s="17"/>
      <c r="H23296" s="18"/>
      <c r="K23296" s="18" t="s">
        <v>316</v>
      </c>
    </row>
    <row r="23297">
      <c r="A23297" s="17"/>
      <c r="H23297" s="18"/>
      <c r="K23297" s="18" t="s">
        <v>316</v>
      </c>
    </row>
    <row r="23298">
      <c r="A23298" s="17"/>
      <c r="H23298" s="18"/>
      <c r="K23298" s="18" t="s">
        <v>316</v>
      </c>
    </row>
    <row r="23299">
      <c r="A23299" s="17"/>
      <c r="H23299" s="18"/>
      <c r="K23299" s="18" t="s">
        <v>316</v>
      </c>
    </row>
    <row r="23300">
      <c r="A23300" s="17"/>
      <c r="H23300" s="18"/>
      <c r="K23300" s="18" t="s">
        <v>316</v>
      </c>
    </row>
    <row r="23301">
      <c r="A23301" s="17"/>
      <c r="H23301" s="18"/>
      <c r="K23301" s="18" t="s">
        <v>316</v>
      </c>
    </row>
    <row r="23302">
      <c r="A23302" s="17"/>
      <c r="H23302" s="18"/>
      <c r="K23302" s="18" t="s">
        <v>316</v>
      </c>
    </row>
    <row r="23303">
      <c r="A23303" s="17"/>
      <c r="H23303" s="18"/>
      <c r="K23303" s="18" t="s">
        <v>316</v>
      </c>
    </row>
    <row r="23304">
      <c r="A23304" s="17"/>
      <c r="H23304" s="18"/>
      <c r="K23304" s="18" t="s">
        <v>316</v>
      </c>
    </row>
    <row r="23305">
      <c r="A23305" s="17"/>
      <c r="H23305" s="18"/>
      <c r="K23305" s="18" t="s">
        <v>316</v>
      </c>
    </row>
    <row r="23306">
      <c r="A23306" s="17"/>
      <c r="H23306" s="18"/>
      <c r="K23306" s="18" t="s">
        <v>316</v>
      </c>
    </row>
    <row r="23307">
      <c r="A23307" s="17"/>
      <c r="H23307" s="18"/>
      <c r="K23307" s="18" t="s">
        <v>316</v>
      </c>
    </row>
    <row r="23308">
      <c r="A23308" s="17"/>
      <c r="H23308" s="18"/>
      <c r="K23308" s="18" t="s">
        <v>316</v>
      </c>
    </row>
    <row r="23309">
      <c r="A23309" s="17"/>
      <c r="H23309" s="18"/>
      <c r="K23309" s="18" t="s">
        <v>316</v>
      </c>
    </row>
    <row r="23310">
      <c r="A23310" s="17"/>
      <c r="H23310" s="18"/>
      <c r="K23310" s="18" t="s">
        <v>316</v>
      </c>
    </row>
    <row r="23311">
      <c r="A23311" s="17"/>
      <c r="H23311" s="18"/>
      <c r="K23311" s="18" t="s">
        <v>316</v>
      </c>
    </row>
    <row r="23312">
      <c r="A23312" s="17"/>
      <c r="H23312" s="18"/>
      <c r="K23312" s="18" t="s">
        <v>316</v>
      </c>
    </row>
    <row r="23313">
      <c r="A23313" s="17"/>
      <c r="H23313" s="18"/>
      <c r="K23313" s="18" t="s">
        <v>316</v>
      </c>
    </row>
    <row r="23314">
      <c r="A23314" s="17"/>
      <c r="H23314" s="18"/>
      <c r="K23314" s="18" t="s">
        <v>316</v>
      </c>
    </row>
    <row r="23315">
      <c r="A23315" s="17"/>
      <c r="H23315" s="18"/>
      <c r="K23315" s="18" t="s">
        <v>316</v>
      </c>
    </row>
    <row r="23316">
      <c r="A23316" s="17"/>
      <c r="H23316" s="18"/>
      <c r="K23316" s="18" t="s">
        <v>316</v>
      </c>
    </row>
    <row r="23317">
      <c r="A23317" s="17"/>
      <c r="H23317" s="18"/>
      <c r="K23317" s="18" t="s">
        <v>316</v>
      </c>
    </row>
    <row r="23318">
      <c r="A23318" s="17"/>
      <c r="H23318" s="18"/>
      <c r="K23318" s="18" t="s">
        <v>316</v>
      </c>
    </row>
    <row r="23319">
      <c r="A23319" s="17"/>
      <c r="H23319" s="18"/>
      <c r="K23319" s="18" t="s">
        <v>316</v>
      </c>
    </row>
    <row r="23320">
      <c r="A23320" s="17"/>
      <c r="H23320" s="18"/>
      <c r="K23320" s="18" t="s">
        <v>316</v>
      </c>
    </row>
    <row r="23321">
      <c r="A23321" s="17"/>
      <c r="H23321" s="18"/>
      <c r="K23321" s="18" t="s">
        <v>316</v>
      </c>
    </row>
    <row r="23322">
      <c r="A23322" s="17"/>
      <c r="H23322" s="18"/>
      <c r="K23322" s="18" t="s">
        <v>316</v>
      </c>
    </row>
    <row r="23323">
      <c r="A23323" s="17"/>
      <c r="H23323" s="18"/>
      <c r="K23323" s="18" t="s">
        <v>316</v>
      </c>
    </row>
    <row r="23324">
      <c r="A23324" s="17"/>
      <c r="H23324" s="18"/>
      <c r="K23324" s="18" t="s">
        <v>316</v>
      </c>
    </row>
    <row r="23325">
      <c r="A23325" s="17"/>
      <c r="H23325" s="18"/>
      <c r="K23325" s="18" t="s">
        <v>316</v>
      </c>
    </row>
    <row r="23326">
      <c r="A23326" s="17"/>
      <c r="H23326" s="18"/>
      <c r="K23326" s="18" t="s">
        <v>316</v>
      </c>
    </row>
    <row r="23327">
      <c r="A23327" s="17"/>
      <c r="H23327" s="18"/>
      <c r="K23327" s="18" t="s">
        <v>316</v>
      </c>
    </row>
    <row r="23328">
      <c r="A23328" s="17"/>
      <c r="H23328" s="18"/>
      <c r="K23328" s="18" t="s">
        <v>316</v>
      </c>
    </row>
    <row r="23329">
      <c r="A23329" s="17"/>
      <c r="H23329" s="18"/>
      <c r="K23329" s="18" t="s">
        <v>316</v>
      </c>
    </row>
    <row r="23330">
      <c r="A23330" s="17"/>
      <c r="H23330" s="18"/>
      <c r="K23330" s="18" t="s">
        <v>316</v>
      </c>
    </row>
    <row r="23331">
      <c r="A23331" s="17"/>
      <c r="H23331" s="18"/>
      <c r="K23331" s="18" t="s">
        <v>316</v>
      </c>
    </row>
    <row r="23332">
      <c r="A23332" s="17"/>
      <c r="H23332" s="18"/>
      <c r="K23332" s="18" t="s">
        <v>316</v>
      </c>
    </row>
    <row r="23333">
      <c r="A23333" s="17"/>
      <c r="H23333" s="18"/>
      <c r="K23333" s="18" t="s">
        <v>316</v>
      </c>
    </row>
    <row r="23334">
      <c r="A23334" s="17"/>
      <c r="H23334" s="18"/>
      <c r="K23334" s="18" t="s">
        <v>316</v>
      </c>
    </row>
    <row r="23335">
      <c r="A23335" s="17"/>
      <c r="H23335" s="18"/>
      <c r="K23335" s="18" t="s">
        <v>316</v>
      </c>
    </row>
    <row r="23336">
      <c r="A23336" s="17"/>
      <c r="H23336" s="18"/>
      <c r="K23336" s="18" t="s">
        <v>316</v>
      </c>
    </row>
    <row r="23337">
      <c r="A23337" s="17"/>
      <c r="H23337" s="18"/>
      <c r="K23337" s="18" t="s">
        <v>316</v>
      </c>
    </row>
    <row r="23338">
      <c r="A23338" s="17"/>
      <c r="H23338" s="18"/>
      <c r="K23338" s="18" t="s">
        <v>316</v>
      </c>
    </row>
    <row r="23339">
      <c r="A23339" s="17"/>
      <c r="H23339" s="18"/>
      <c r="K23339" s="18" t="s">
        <v>316</v>
      </c>
    </row>
    <row r="23340">
      <c r="A23340" s="17"/>
      <c r="H23340" s="18"/>
      <c r="K23340" s="18" t="s">
        <v>316</v>
      </c>
    </row>
    <row r="23341">
      <c r="A23341" s="17"/>
      <c r="H23341" s="18"/>
      <c r="K23341" s="18" t="s">
        <v>316</v>
      </c>
    </row>
    <row r="23342">
      <c r="A23342" s="17"/>
      <c r="H23342" s="18"/>
      <c r="K23342" s="18" t="s">
        <v>316</v>
      </c>
    </row>
    <row r="23343">
      <c r="A23343" s="17"/>
      <c r="H23343" s="18"/>
      <c r="K23343" s="18" t="s">
        <v>316</v>
      </c>
    </row>
    <row r="23344">
      <c r="A23344" s="17"/>
      <c r="H23344" s="18"/>
      <c r="K23344" s="18" t="s">
        <v>316</v>
      </c>
    </row>
    <row r="23345">
      <c r="A23345" s="17"/>
      <c r="H23345" s="18"/>
      <c r="K23345" s="18" t="s">
        <v>316</v>
      </c>
    </row>
    <row r="23346">
      <c r="A23346" s="17"/>
      <c r="H23346" s="18"/>
      <c r="K23346" s="18" t="s">
        <v>316</v>
      </c>
    </row>
    <row r="23347">
      <c r="A23347" s="17"/>
      <c r="H23347" s="18"/>
      <c r="K23347" s="18" t="s">
        <v>316</v>
      </c>
    </row>
    <row r="23348">
      <c r="A23348" s="17"/>
      <c r="H23348" s="18"/>
      <c r="K23348" s="18" t="s">
        <v>316</v>
      </c>
    </row>
    <row r="23349">
      <c r="A23349" s="17"/>
      <c r="H23349" s="18"/>
      <c r="K23349" s="18" t="s">
        <v>316</v>
      </c>
    </row>
    <row r="23350">
      <c r="A23350" s="17"/>
      <c r="H23350" s="18"/>
      <c r="K23350" s="18" t="s">
        <v>316</v>
      </c>
    </row>
    <row r="23351">
      <c r="A23351" s="17"/>
      <c r="H23351" s="18"/>
      <c r="K23351" s="18" t="s">
        <v>316</v>
      </c>
    </row>
    <row r="23352">
      <c r="A23352" s="17"/>
      <c r="H23352" s="18"/>
      <c r="K23352" s="18" t="s">
        <v>316</v>
      </c>
    </row>
    <row r="23353">
      <c r="A23353" s="17"/>
      <c r="H23353" s="18"/>
      <c r="K23353" s="18" t="s">
        <v>316</v>
      </c>
    </row>
    <row r="23354">
      <c r="A23354" s="17"/>
      <c r="H23354" s="18"/>
      <c r="K23354" s="18" t="s">
        <v>316</v>
      </c>
    </row>
    <row r="23355">
      <c r="A23355" s="17"/>
      <c r="H23355" s="18"/>
      <c r="K23355" s="18" t="s">
        <v>316</v>
      </c>
    </row>
    <row r="23356">
      <c r="A23356" s="17"/>
      <c r="H23356" s="18"/>
      <c r="K23356" s="18" t="s">
        <v>316</v>
      </c>
    </row>
    <row r="23357">
      <c r="A23357" s="17"/>
      <c r="H23357" s="18"/>
      <c r="K23357" s="18" t="s">
        <v>316</v>
      </c>
    </row>
    <row r="23358">
      <c r="A23358" s="17"/>
      <c r="H23358" s="18"/>
      <c r="K23358" s="18" t="s">
        <v>316</v>
      </c>
    </row>
    <row r="23359">
      <c r="A23359" s="17"/>
      <c r="H23359" s="18"/>
      <c r="K23359" s="18" t="s">
        <v>316</v>
      </c>
    </row>
    <row r="23360">
      <c r="A23360" s="17"/>
      <c r="H23360" s="18"/>
      <c r="K23360" s="18" t="s">
        <v>316</v>
      </c>
    </row>
    <row r="23361">
      <c r="A23361" s="17"/>
      <c r="H23361" s="18"/>
      <c r="K23361" s="18" t="s">
        <v>316</v>
      </c>
    </row>
    <row r="23362">
      <c r="A23362" s="17"/>
      <c r="H23362" s="18"/>
      <c r="K23362" s="18" t="s">
        <v>316</v>
      </c>
    </row>
    <row r="23363">
      <c r="A23363" s="17"/>
      <c r="H23363" s="18"/>
      <c r="K23363" s="18" t="s">
        <v>316</v>
      </c>
    </row>
    <row r="23364">
      <c r="A23364" s="17"/>
      <c r="H23364" s="18"/>
      <c r="K23364" s="18" t="s">
        <v>316</v>
      </c>
    </row>
    <row r="23365">
      <c r="A23365" s="17"/>
      <c r="H23365" s="18"/>
      <c r="K23365" s="18" t="s">
        <v>316</v>
      </c>
    </row>
    <row r="23366">
      <c r="A23366" s="17"/>
      <c r="H23366" s="18"/>
      <c r="K23366" s="18" t="s">
        <v>316</v>
      </c>
    </row>
    <row r="23367">
      <c r="A23367" s="17"/>
      <c r="H23367" s="18"/>
      <c r="K23367" s="18" t="s">
        <v>316</v>
      </c>
    </row>
    <row r="23368">
      <c r="A23368" s="17"/>
      <c r="H23368" s="18"/>
      <c r="K23368" s="18" t="s">
        <v>316</v>
      </c>
    </row>
    <row r="23369">
      <c r="A23369" s="17"/>
      <c r="H23369" s="18"/>
      <c r="K23369" s="18" t="s">
        <v>316</v>
      </c>
    </row>
    <row r="23370">
      <c r="A23370" s="17"/>
      <c r="H23370" s="18"/>
      <c r="K23370" s="18" t="s">
        <v>316</v>
      </c>
    </row>
    <row r="23371">
      <c r="A23371" s="17"/>
      <c r="H23371" s="18"/>
      <c r="K23371" s="18" t="s">
        <v>316</v>
      </c>
    </row>
    <row r="23372">
      <c r="A23372" s="17"/>
      <c r="H23372" s="18"/>
      <c r="K23372" s="18" t="s">
        <v>316</v>
      </c>
    </row>
    <row r="23373">
      <c r="A23373" s="17"/>
      <c r="H23373" s="18"/>
      <c r="K23373" s="18" t="s">
        <v>316</v>
      </c>
    </row>
    <row r="23374">
      <c r="A23374" s="17"/>
      <c r="H23374" s="18"/>
      <c r="K23374" s="18" t="s">
        <v>316</v>
      </c>
    </row>
    <row r="23375">
      <c r="A23375" s="17"/>
      <c r="H23375" s="18"/>
      <c r="K23375" s="18" t="s">
        <v>316</v>
      </c>
    </row>
    <row r="23376">
      <c r="A23376" s="17"/>
      <c r="H23376" s="18"/>
      <c r="K23376" s="18" t="s">
        <v>316</v>
      </c>
    </row>
    <row r="23377">
      <c r="A23377" s="17"/>
      <c r="H23377" s="18"/>
      <c r="K23377" s="18" t="s">
        <v>316</v>
      </c>
    </row>
    <row r="23378">
      <c r="A23378" s="17"/>
      <c r="H23378" s="18"/>
      <c r="K23378" s="18" t="s">
        <v>316</v>
      </c>
    </row>
    <row r="23379">
      <c r="A23379" s="17"/>
      <c r="H23379" s="18"/>
      <c r="K23379" s="18" t="s">
        <v>316</v>
      </c>
    </row>
    <row r="23380">
      <c r="A23380" s="17"/>
      <c r="H23380" s="18"/>
      <c r="K23380" s="18" t="s">
        <v>316</v>
      </c>
    </row>
    <row r="23381">
      <c r="A23381" s="17"/>
      <c r="H23381" s="18"/>
      <c r="K23381" s="18" t="s">
        <v>316</v>
      </c>
    </row>
    <row r="23382">
      <c r="A23382" s="17"/>
      <c r="H23382" s="18"/>
      <c r="K23382" s="18" t="s">
        <v>316</v>
      </c>
    </row>
    <row r="23383">
      <c r="A23383" s="17"/>
      <c r="H23383" s="18"/>
      <c r="K23383" s="18" t="s">
        <v>316</v>
      </c>
    </row>
    <row r="23384">
      <c r="A23384" s="17"/>
      <c r="H23384" s="18"/>
      <c r="K23384" s="18" t="s">
        <v>316</v>
      </c>
    </row>
    <row r="23385">
      <c r="A23385" s="17"/>
      <c r="H23385" s="18"/>
      <c r="K23385" s="18" t="s">
        <v>316</v>
      </c>
    </row>
    <row r="23386">
      <c r="A23386" s="17"/>
      <c r="H23386" s="18"/>
      <c r="K23386" s="18" t="s">
        <v>316</v>
      </c>
    </row>
    <row r="23387">
      <c r="A23387" s="17"/>
      <c r="H23387" s="18"/>
      <c r="K23387" s="18" t="s">
        <v>316</v>
      </c>
    </row>
    <row r="23388">
      <c r="A23388" s="17"/>
      <c r="H23388" s="18"/>
      <c r="K23388" s="18" t="s">
        <v>316</v>
      </c>
    </row>
    <row r="23389">
      <c r="A23389" s="17"/>
      <c r="H23389" s="18"/>
      <c r="K23389" s="18" t="s">
        <v>316</v>
      </c>
    </row>
    <row r="23390">
      <c r="A23390" s="17"/>
      <c r="H23390" s="18"/>
      <c r="K23390" s="18" t="s">
        <v>316</v>
      </c>
    </row>
    <row r="23391">
      <c r="A23391" s="17"/>
      <c r="H23391" s="18"/>
      <c r="K23391" s="18" t="s">
        <v>316</v>
      </c>
    </row>
    <row r="23392">
      <c r="A23392" s="17"/>
      <c r="H23392" s="18"/>
      <c r="K23392" s="18" t="s">
        <v>316</v>
      </c>
    </row>
    <row r="23393">
      <c r="A23393" s="17"/>
      <c r="H23393" s="18"/>
      <c r="K23393" s="18" t="s">
        <v>316</v>
      </c>
    </row>
    <row r="23394">
      <c r="A23394" s="17"/>
      <c r="H23394" s="18"/>
      <c r="K23394" s="18" t="s">
        <v>316</v>
      </c>
    </row>
    <row r="23395">
      <c r="A23395" s="17"/>
      <c r="H23395" s="18"/>
      <c r="K23395" s="18" t="s">
        <v>316</v>
      </c>
    </row>
    <row r="23396">
      <c r="A23396" s="17"/>
      <c r="H23396" s="18"/>
      <c r="K23396" s="18" t="s">
        <v>316</v>
      </c>
    </row>
    <row r="23397">
      <c r="A23397" s="17"/>
      <c r="H23397" s="18"/>
      <c r="K23397" s="18" t="s">
        <v>316</v>
      </c>
    </row>
    <row r="23398">
      <c r="A23398" s="17"/>
      <c r="H23398" s="18"/>
      <c r="K23398" s="18" t="s">
        <v>316</v>
      </c>
    </row>
    <row r="23399">
      <c r="A23399" s="17"/>
      <c r="H23399" s="18"/>
      <c r="K23399" s="18" t="s">
        <v>316</v>
      </c>
    </row>
    <row r="23400">
      <c r="A23400" s="17"/>
      <c r="H23400" s="18"/>
      <c r="K23400" s="18" t="s">
        <v>316</v>
      </c>
    </row>
    <row r="23401">
      <c r="A23401" s="17"/>
      <c r="H23401" s="18"/>
      <c r="K23401" s="18" t="s">
        <v>316</v>
      </c>
    </row>
    <row r="23402">
      <c r="A23402" s="17"/>
      <c r="H23402" s="18"/>
      <c r="K23402" s="18" t="s">
        <v>316</v>
      </c>
    </row>
    <row r="23403">
      <c r="A23403" s="17"/>
      <c r="H23403" s="18"/>
      <c r="K23403" s="18" t="s">
        <v>316</v>
      </c>
    </row>
    <row r="23404">
      <c r="A23404" s="17"/>
      <c r="H23404" s="18"/>
      <c r="K23404" s="18" t="s">
        <v>316</v>
      </c>
    </row>
    <row r="23405">
      <c r="A23405" s="17"/>
      <c r="H23405" s="18"/>
      <c r="K23405" s="18" t="s">
        <v>316</v>
      </c>
    </row>
    <row r="23406">
      <c r="A23406" s="17"/>
      <c r="H23406" s="18"/>
      <c r="K23406" s="18" t="s">
        <v>316</v>
      </c>
    </row>
    <row r="23407">
      <c r="A23407" s="17"/>
      <c r="H23407" s="18"/>
      <c r="K23407" s="18" t="s">
        <v>316</v>
      </c>
    </row>
    <row r="23408">
      <c r="A23408" s="17"/>
      <c r="H23408" s="18"/>
      <c r="K23408" s="18" t="s">
        <v>316</v>
      </c>
    </row>
    <row r="23409">
      <c r="A23409" s="17"/>
      <c r="H23409" s="18"/>
      <c r="K23409" s="18" t="s">
        <v>316</v>
      </c>
    </row>
    <row r="23410">
      <c r="A23410" s="17"/>
      <c r="H23410" s="18"/>
      <c r="K23410" s="18" t="s">
        <v>316</v>
      </c>
    </row>
    <row r="23411">
      <c r="A23411" s="17"/>
      <c r="H23411" s="18"/>
      <c r="K23411" s="18" t="s">
        <v>316</v>
      </c>
    </row>
    <row r="23412">
      <c r="A23412" s="17"/>
      <c r="H23412" s="18"/>
      <c r="K23412" s="18" t="s">
        <v>316</v>
      </c>
    </row>
    <row r="23413">
      <c r="A23413" s="17"/>
      <c r="H23413" s="18"/>
      <c r="K23413" s="18" t="s">
        <v>316</v>
      </c>
    </row>
    <row r="23414">
      <c r="A23414" s="17"/>
      <c r="H23414" s="18"/>
      <c r="K23414" s="18" t="s">
        <v>316</v>
      </c>
    </row>
    <row r="23415">
      <c r="A23415" s="17"/>
      <c r="H23415" s="18"/>
      <c r="K23415" s="18" t="s">
        <v>316</v>
      </c>
    </row>
    <row r="23416">
      <c r="A23416" s="17"/>
      <c r="H23416" s="18"/>
      <c r="K23416" s="18" t="s">
        <v>316</v>
      </c>
    </row>
    <row r="23417">
      <c r="A23417" s="17"/>
      <c r="H23417" s="18"/>
      <c r="K23417" s="18" t="s">
        <v>316</v>
      </c>
    </row>
    <row r="23418">
      <c r="A23418" s="17"/>
      <c r="H23418" s="18"/>
      <c r="K23418" s="18" t="s">
        <v>316</v>
      </c>
    </row>
    <row r="23419">
      <c r="A23419" s="17"/>
      <c r="H23419" s="18"/>
      <c r="K23419" s="18" t="s">
        <v>316</v>
      </c>
    </row>
    <row r="23420">
      <c r="A23420" s="17"/>
      <c r="H23420" s="18"/>
      <c r="K23420" s="18" t="s">
        <v>316</v>
      </c>
    </row>
    <row r="23421">
      <c r="A23421" s="17"/>
      <c r="H23421" s="18"/>
      <c r="K23421" s="18" t="s">
        <v>316</v>
      </c>
    </row>
    <row r="23422">
      <c r="A23422" s="17"/>
      <c r="H23422" s="18"/>
      <c r="K23422" s="18" t="s">
        <v>316</v>
      </c>
    </row>
    <row r="23423">
      <c r="A23423" s="17"/>
      <c r="H23423" s="18"/>
      <c r="K23423" s="18" t="s">
        <v>316</v>
      </c>
    </row>
    <row r="23424">
      <c r="A23424" s="17"/>
      <c r="H23424" s="18"/>
      <c r="K23424" s="18" t="s">
        <v>316</v>
      </c>
    </row>
    <row r="23425">
      <c r="A23425" s="17"/>
      <c r="H23425" s="18"/>
      <c r="K23425" s="18" t="s">
        <v>316</v>
      </c>
    </row>
    <row r="23426">
      <c r="A23426" s="17"/>
      <c r="H23426" s="18"/>
      <c r="K23426" s="18" t="s">
        <v>316</v>
      </c>
    </row>
    <row r="23427">
      <c r="A23427" s="17"/>
      <c r="H23427" s="18"/>
      <c r="K23427" s="18" t="s">
        <v>316</v>
      </c>
    </row>
    <row r="23428">
      <c r="A23428" s="17"/>
      <c r="H23428" s="18"/>
      <c r="K23428" s="18" t="s">
        <v>316</v>
      </c>
    </row>
    <row r="23429">
      <c r="A23429" s="17"/>
      <c r="H23429" s="18"/>
      <c r="K23429" s="18" t="s">
        <v>316</v>
      </c>
    </row>
    <row r="23430">
      <c r="A23430" s="17"/>
      <c r="H23430" s="18"/>
      <c r="K23430" s="18" t="s">
        <v>316</v>
      </c>
    </row>
    <row r="23431">
      <c r="A23431" s="17"/>
      <c r="H23431" s="18"/>
      <c r="K23431" s="18" t="s">
        <v>316</v>
      </c>
    </row>
    <row r="23432">
      <c r="A23432" s="17"/>
      <c r="H23432" s="18"/>
      <c r="K23432" s="18" t="s">
        <v>316</v>
      </c>
    </row>
    <row r="23433">
      <c r="A23433" s="17"/>
      <c r="H23433" s="18"/>
      <c r="K23433" s="18" t="s">
        <v>316</v>
      </c>
    </row>
    <row r="23434">
      <c r="A23434" s="17"/>
      <c r="H23434" s="18"/>
      <c r="K23434" s="18" t="s">
        <v>316</v>
      </c>
    </row>
    <row r="23435">
      <c r="A23435" s="17"/>
      <c r="H23435" s="18"/>
      <c r="K23435" s="18" t="s">
        <v>316</v>
      </c>
    </row>
    <row r="23436">
      <c r="A23436" s="17"/>
      <c r="H23436" s="18"/>
      <c r="K23436" s="18" t="s">
        <v>316</v>
      </c>
    </row>
    <row r="23437">
      <c r="A23437" s="17"/>
      <c r="H23437" s="18"/>
      <c r="K23437" s="18" t="s">
        <v>316</v>
      </c>
    </row>
    <row r="23438">
      <c r="A23438" s="17"/>
      <c r="H23438" s="18"/>
      <c r="K23438" s="18" t="s">
        <v>316</v>
      </c>
    </row>
    <row r="23439">
      <c r="A23439" s="17"/>
      <c r="H23439" s="18"/>
      <c r="K23439" s="18" t="s">
        <v>316</v>
      </c>
    </row>
    <row r="23440">
      <c r="A23440" s="17"/>
      <c r="H23440" s="18"/>
      <c r="K23440" s="18" t="s">
        <v>316</v>
      </c>
    </row>
    <row r="23441">
      <c r="A23441" s="17"/>
      <c r="H23441" s="18"/>
      <c r="K23441" s="18" t="s">
        <v>316</v>
      </c>
    </row>
    <row r="23442">
      <c r="A23442" s="17"/>
      <c r="H23442" s="18"/>
      <c r="K23442" s="18" t="s">
        <v>316</v>
      </c>
    </row>
    <row r="23443">
      <c r="A23443" s="17"/>
      <c r="H23443" s="18"/>
      <c r="K23443" s="18" t="s">
        <v>316</v>
      </c>
    </row>
    <row r="23444">
      <c r="A23444" s="17"/>
      <c r="H23444" s="18"/>
      <c r="K23444" s="18" t="s">
        <v>316</v>
      </c>
    </row>
    <row r="23445">
      <c r="A23445" s="17"/>
      <c r="H23445" s="18"/>
      <c r="K23445" s="18" t="s">
        <v>316</v>
      </c>
    </row>
    <row r="23446">
      <c r="A23446" s="17"/>
      <c r="H23446" s="18"/>
      <c r="K23446" s="18" t="s">
        <v>316</v>
      </c>
    </row>
    <row r="23447">
      <c r="A23447" s="17"/>
      <c r="H23447" s="18"/>
      <c r="K23447" s="18" t="s">
        <v>316</v>
      </c>
    </row>
    <row r="23448">
      <c r="A23448" s="17"/>
      <c r="H23448" s="18"/>
      <c r="K23448" s="18" t="s">
        <v>316</v>
      </c>
    </row>
    <row r="23449">
      <c r="A23449" s="17"/>
      <c r="H23449" s="18"/>
      <c r="K23449" s="18" t="s">
        <v>316</v>
      </c>
    </row>
    <row r="23450">
      <c r="A23450" s="17"/>
      <c r="H23450" s="18"/>
      <c r="K23450" s="18" t="s">
        <v>316</v>
      </c>
    </row>
    <row r="23451">
      <c r="A23451" s="17"/>
      <c r="H23451" s="18"/>
      <c r="K23451" s="18" t="s">
        <v>316</v>
      </c>
    </row>
    <row r="23452">
      <c r="A23452" s="17"/>
      <c r="H23452" s="18"/>
      <c r="K23452" s="18" t="s">
        <v>316</v>
      </c>
    </row>
    <row r="23453">
      <c r="A23453" s="17"/>
      <c r="H23453" s="18"/>
      <c r="K23453" s="18" t="s">
        <v>316</v>
      </c>
    </row>
    <row r="23454">
      <c r="A23454" s="17"/>
      <c r="H23454" s="18"/>
      <c r="K23454" s="18" t="s">
        <v>316</v>
      </c>
    </row>
    <row r="23455">
      <c r="A23455" s="17"/>
      <c r="H23455" s="18"/>
      <c r="K23455" s="18" t="s">
        <v>316</v>
      </c>
    </row>
    <row r="23456">
      <c r="A23456" s="17"/>
      <c r="H23456" s="18"/>
      <c r="K23456" s="18" t="s">
        <v>316</v>
      </c>
    </row>
    <row r="23457">
      <c r="A23457" s="17"/>
      <c r="H23457" s="18"/>
      <c r="K23457" s="18" t="s">
        <v>316</v>
      </c>
    </row>
    <row r="23458">
      <c r="A23458" s="17"/>
      <c r="H23458" s="18"/>
      <c r="K23458" s="18" t="s">
        <v>316</v>
      </c>
    </row>
    <row r="23459">
      <c r="A23459" s="17"/>
      <c r="H23459" s="18"/>
      <c r="K23459" s="18" t="s">
        <v>316</v>
      </c>
    </row>
    <row r="23460">
      <c r="A23460" s="17"/>
      <c r="H23460" s="18"/>
      <c r="K23460" s="18" t="s">
        <v>316</v>
      </c>
    </row>
    <row r="23461">
      <c r="A23461" s="17"/>
      <c r="H23461" s="18"/>
      <c r="K23461" s="18" t="s">
        <v>316</v>
      </c>
    </row>
    <row r="23462">
      <c r="A23462" s="17"/>
      <c r="H23462" s="18"/>
      <c r="K23462" s="18" t="s">
        <v>316</v>
      </c>
    </row>
    <row r="23463">
      <c r="A23463" s="17"/>
      <c r="H23463" s="18"/>
      <c r="K23463" s="18" t="s">
        <v>316</v>
      </c>
    </row>
    <row r="23464">
      <c r="A23464" s="17"/>
      <c r="H23464" s="18"/>
      <c r="K23464" s="18" t="s">
        <v>316</v>
      </c>
    </row>
    <row r="23465">
      <c r="A23465" s="17"/>
      <c r="H23465" s="18"/>
      <c r="K23465" s="18" t="s">
        <v>316</v>
      </c>
    </row>
    <row r="23466">
      <c r="A23466" s="17"/>
      <c r="H23466" s="18"/>
      <c r="K23466" s="18" t="s">
        <v>316</v>
      </c>
    </row>
    <row r="23467">
      <c r="A23467" s="17"/>
      <c r="H23467" s="18"/>
      <c r="K23467" s="18" t="s">
        <v>316</v>
      </c>
    </row>
    <row r="23468">
      <c r="A23468" s="17"/>
      <c r="H23468" s="18"/>
      <c r="K23468" s="18" t="s">
        <v>316</v>
      </c>
    </row>
    <row r="23469">
      <c r="A23469" s="17"/>
      <c r="H23469" s="18"/>
      <c r="K23469" s="18" t="s">
        <v>316</v>
      </c>
    </row>
    <row r="23470">
      <c r="A23470" s="17"/>
      <c r="H23470" s="18"/>
      <c r="K23470" s="18" t="s">
        <v>316</v>
      </c>
    </row>
    <row r="23471">
      <c r="A23471" s="17"/>
      <c r="H23471" s="18"/>
      <c r="K23471" s="18" t="s">
        <v>316</v>
      </c>
    </row>
    <row r="23472">
      <c r="A23472" s="17"/>
      <c r="H23472" s="18"/>
      <c r="K23472" s="18" t="s">
        <v>316</v>
      </c>
    </row>
    <row r="23473">
      <c r="A23473" s="17"/>
      <c r="H23473" s="18"/>
      <c r="K23473" s="18" t="s">
        <v>316</v>
      </c>
    </row>
    <row r="23474">
      <c r="A23474" s="17"/>
      <c r="H23474" s="18"/>
      <c r="K23474" s="18" t="s">
        <v>316</v>
      </c>
    </row>
    <row r="23475">
      <c r="A23475" s="17"/>
      <c r="H23475" s="18"/>
      <c r="K23475" s="18" t="s">
        <v>316</v>
      </c>
    </row>
    <row r="23476">
      <c r="A23476" s="17"/>
      <c r="H23476" s="18"/>
      <c r="K23476" s="18" t="s">
        <v>316</v>
      </c>
    </row>
    <row r="23477">
      <c r="A23477" s="17"/>
      <c r="H23477" s="18"/>
      <c r="K23477" s="18" t="s">
        <v>316</v>
      </c>
    </row>
    <row r="23478">
      <c r="A23478" s="17"/>
      <c r="H23478" s="18"/>
      <c r="K23478" s="18" t="s">
        <v>316</v>
      </c>
    </row>
    <row r="23479">
      <c r="A23479" s="17"/>
      <c r="H23479" s="18"/>
      <c r="K23479" s="18" t="s">
        <v>316</v>
      </c>
    </row>
    <row r="23480">
      <c r="A23480" s="17"/>
      <c r="H23480" s="18"/>
      <c r="K23480" s="18" t="s">
        <v>316</v>
      </c>
    </row>
    <row r="23481">
      <c r="A23481" s="17"/>
      <c r="H23481" s="18"/>
      <c r="K23481" s="18" t="s">
        <v>316</v>
      </c>
    </row>
    <row r="23482">
      <c r="A23482" s="17"/>
      <c r="H23482" s="18"/>
      <c r="K23482" s="18" t="s">
        <v>316</v>
      </c>
    </row>
    <row r="23483">
      <c r="A23483" s="17"/>
      <c r="H23483" s="18"/>
      <c r="K23483" s="18" t="s">
        <v>316</v>
      </c>
    </row>
    <row r="23484">
      <c r="A23484" s="17"/>
      <c r="H23484" s="18"/>
      <c r="K23484" s="18" t="s">
        <v>316</v>
      </c>
    </row>
    <row r="23485">
      <c r="A23485" s="17"/>
      <c r="H23485" s="18"/>
      <c r="K23485" s="18" t="s">
        <v>316</v>
      </c>
    </row>
    <row r="23486">
      <c r="A23486" s="17"/>
      <c r="H23486" s="18"/>
      <c r="K23486" s="18" t="s">
        <v>316</v>
      </c>
    </row>
    <row r="23487">
      <c r="A23487" s="17"/>
      <c r="H23487" s="18"/>
      <c r="K23487" s="18" t="s">
        <v>316</v>
      </c>
    </row>
    <row r="23488">
      <c r="A23488" s="17"/>
      <c r="H23488" s="18"/>
      <c r="K23488" s="18" t="s">
        <v>316</v>
      </c>
    </row>
    <row r="23489">
      <c r="A23489" s="17"/>
      <c r="H23489" s="18"/>
      <c r="K23489" s="18" t="s">
        <v>316</v>
      </c>
    </row>
    <row r="23490">
      <c r="A23490" s="17"/>
      <c r="H23490" s="18"/>
      <c r="K23490" s="18" t="s">
        <v>316</v>
      </c>
    </row>
    <row r="23491">
      <c r="A23491" s="17"/>
      <c r="H23491" s="18"/>
      <c r="K23491" s="18" t="s">
        <v>316</v>
      </c>
    </row>
    <row r="23492">
      <c r="A23492" s="17"/>
      <c r="H23492" s="18"/>
      <c r="K23492" s="18" t="s">
        <v>316</v>
      </c>
    </row>
    <row r="23493">
      <c r="A23493" s="17"/>
      <c r="H23493" s="18"/>
      <c r="K23493" s="18" t="s">
        <v>316</v>
      </c>
    </row>
    <row r="23494">
      <c r="A23494" s="17"/>
      <c r="H23494" s="18"/>
      <c r="K23494" s="18" t="s">
        <v>316</v>
      </c>
    </row>
    <row r="23495">
      <c r="A23495" s="17"/>
      <c r="H23495" s="18"/>
      <c r="K23495" s="18" t="s">
        <v>316</v>
      </c>
    </row>
    <row r="23496">
      <c r="A23496" s="17"/>
      <c r="H23496" s="18"/>
      <c r="K23496" s="18" t="s">
        <v>316</v>
      </c>
    </row>
    <row r="23497">
      <c r="A23497" s="17"/>
      <c r="H23497" s="18"/>
      <c r="K23497" s="18" t="s">
        <v>316</v>
      </c>
    </row>
    <row r="23498">
      <c r="A23498" s="17"/>
      <c r="H23498" s="18"/>
      <c r="K23498" s="18" t="s">
        <v>316</v>
      </c>
    </row>
    <row r="23499">
      <c r="A23499" s="17"/>
      <c r="H23499" s="18"/>
      <c r="K23499" s="18" t="s">
        <v>316</v>
      </c>
    </row>
    <row r="23500">
      <c r="A23500" s="17"/>
      <c r="H23500" s="18"/>
      <c r="K23500" s="18" t="s">
        <v>316</v>
      </c>
    </row>
    <row r="23501">
      <c r="A23501" s="17"/>
      <c r="H23501" s="18"/>
      <c r="K23501" s="18" t="s">
        <v>316</v>
      </c>
    </row>
    <row r="23502">
      <c r="A23502" s="17"/>
      <c r="H23502" s="18"/>
      <c r="K23502" s="18" t="s">
        <v>316</v>
      </c>
    </row>
    <row r="23503">
      <c r="A23503" s="17"/>
      <c r="H23503" s="18"/>
      <c r="K23503" s="18" t="s">
        <v>316</v>
      </c>
    </row>
    <row r="23504">
      <c r="A23504" s="17"/>
      <c r="H23504" s="18"/>
      <c r="K23504" s="18" t="s">
        <v>316</v>
      </c>
    </row>
    <row r="23505">
      <c r="A23505" s="17"/>
      <c r="H23505" s="18"/>
      <c r="K23505" s="18" t="s">
        <v>316</v>
      </c>
    </row>
    <row r="23506">
      <c r="A23506" s="17"/>
      <c r="H23506" s="18"/>
      <c r="K23506" s="18" t="s">
        <v>316</v>
      </c>
    </row>
    <row r="23507">
      <c r="A23507" s="17"/>
      <c r="H23507" s="18"/>
      <c r="K23507" s="18" t="s">
        <v>316</v>
      </c>
    </row>
    <row r="23508">
      <c r="A23508" s="17"/>
      <c r="H23508" s="18"/>
      <c r="K23508" s="18" t="s">
        <v>316</v>
      </c>
    </row>
    <row r="23509">
      <c r="A23509" s="17"/>
      <c r="H23509" s="18"/>
      <c r="K23509" s="18" t="s">
        <v>316</v>
      </c>
    </row>
    <row r="23510">
      <c r="A23510" s="17"/>
      <c r="H23510" s="18"/>
      <c r="K23510" s="18" t="s">
        <v>316</v>
      </c>
    </row>
    <row r="23511">
      <c r="A23511" s="17"/>
      <c r="H23511" s="18"/>
      <c r="K23511" s="18" t="s">
        <v>316</v>
      </c>
    </row>
    <row r="23512">
      <c r="A23512" s="17"/>
      <c r="H23512" s="18"/>
      <c r="K23512" s="18" t="s">
        <v>316</v>
      </c>
    </row>
    <row r="23513">
      <c r="A23513" s="17"/>
      <c r="H23513" s="18"/>
      <c r="K23513" s="18" t="s">
        <v>316</v>
      </c>
    </row>
    <row r="23514">
      <c r="A23514" s="17"/>
      <c r="H23514" s="18"/>
      <c r="K23514" s="18" t="s">
        <v>316</v>
      </c>
    </row>
    <row r="23515">
      <c r="A23515" s="17"/>
      <c r="H23515" s="18"/>
      <c r="K23515" s="18" t="s">
        <v>316</v>
      </c>
    </row>
    <row r="23516">
      <c r="A23516" s="17"/>
      <c r="H23516" s="18"/>
      <c r="K23516" s="18" t="s">
        <v>316</v>
      </c>
    </row>
    <row r="23517">
      <c r="A23517" s="17"/>
      <c r="H23517" s="18"/>
      <c r="K23517" s="18" t="s">
        <v>316</v>
      </c>
    </row>
    <row r="23518">
      <c r="A23518" s="17"/>
      <c r="H23518" s="18"/>
      <c r="K23518" s="18" t="s">
        <v>316</v>
      </c>
    </row>
    <row r="23519">
      <c r="A23519" s="17"/>
      <c r="H23519" s="18"/>
      <c r="K23519" s="18" t="s">
        <v>316</v>
      </c>
    </row>
    <row r="23520">
      <c r="A23520" s="17"/>
      <c r="H23520" s="18"/>
      <c r="K23520" s="18" t="s">
        <v>316</v>
      </c>
    </row>
    <row r="23521">
      <c r="A23521" s="17"/>
      <c r="H23521" s="18"/>
      <c r="K23521" s="18" t="s">
        <v>316</v>
      </c>
    </row>
    <row r="23522">
      <c r="A23522" s="17"/>
      <c r="H23522" s="18"/>
      <c r="K23522" s="18" t="s">
        <v>316</v>
      </c>
    </row>
    <row r="23523">
      <c r="A23523" s="17"/>
      <c r="H23523" s="18"/>
      <c r="K23523" s="18" t="s">
        <v>316</v>
      </c>
    </row>
    <row r="23524">
      <c r="A23524" s="17"/>
      <c r="H23524" s="18"/>
      <c r="K23524" s="18" t="s">
        <v>316</v>
      </c>
    </row>
    <row r="23525">
      <c r="A23525" s="17"/>
      <c r="H23525" s="18"/>
      <c r="K23525" s="18" t="s">
        <v>316</v>
      </c>
    </row>
    <row r="23526">
      <c r="A23526" s="17"/>
      <c r="H23526" s="18"/>
      <c r="K23526" s="18" t="s">
        <v>316</v>
      </c>
    </row>
    <row r="23527">
      <c r="A23527" s="17"/>
      <c r="H23527" s="18"/>
      <c r="K23527" s="18" t="s">
        <v>316</v>
      </c>
    </row>
    <row r="23528">
      <c r="A23528" s="17"/>
      <c r="H23528" s="18"/>
      <c r="K23528" s="18" t="s">
        <v>316</v>
      </c>
    </row>
    <row r="23529">
      <c r="A23529" s="17"/>
      <c r="H23529" s="18"/>
      <c r="K23529" s="18" t="s">
        <v>316</v>
      </c>
    </row>
    <row r="23530">
      <c r="A23530" s="17"/>
      <c r="H23530" s="18"/>
      <c r="K23530" s="18" t="s">
        <v>316</v>
      </c>
    </row>
    <row r="23531">
      <c r="A23531" s="17"/>
      <c r="H23531" s="18"/>
      <c r="K23531" s="18" t="s">
        <v>316</v>
      </c>
    </row>
    <row r="23532">
      <c r="A23532" s="17"/>
      <c r="H23532" s="18"/>
      <c r="K23532" s="18" t="s">
        <v>316</v>
      </c>
    </row>
    <row r="23533">
      <c r="A23533" s="17"/>
      <c r="H23533" s="18"/>
      <c r="K23533" s="18" t="s">
        <v>316</v>
      </c>
    </row>
    <row r="23534">
      <c r="A23534" s="17"/>
      <c r="H23534" s="18"/>
      <c r="K23534" s="18" t="s">
        <v>316</v>
      </c>
    </row>
    <row r="23535">
      <c r="A23535" s="17"/>
      <c r="H23535" s="18"/>
      <c r="K23535" s="18" t="s">
        <v>316</v>
      </c>
    </row>
    <row r="23536">
      <c r="A23536" s="17"/>
      <c r="H23536" s="18"/>
      <c r="K23536" s="18" t="s">
        <v>316</v>
      </c>
    </row>
    <row r="23537">
      <c r="A23537" s="17"/>
      <c r="H23537" s="18"/>
      <c r="K23537" s="18" t="s">
        <v>316</v>
      </c>
    </row>
    <row r="23538">
      <c r="A23538" s="17"/>
      <c r="H23538" s="18"/>
      <c r="K23538" s="18" t="s">
        <v>316</v>
      </c>
    </row>
    <row r="23539">
      <c r="A23539" s="17"/>
      <c r="H23539" s="18"/>
      <c r="K23539" s="18" t="s">
        <v>316</v>
      </c>
    </row>
    <row r="23540">
      <c r="A23540" s="17"/>
      <c r="H23540" s="18"/>
      <c r="K23540" s="18" t="s">
        <v>316</v>
      </c>
    </row>
    <row r="23541">
      <c r="A23541" s="17"/>
      <c r="H23541" s="18"/>
      <c r="K23541" s="18" t="s">
        <v>316</v>
      </c>
    </row>
    <row r="23542">
      <c r="A23542" s="17"/>
      <c r="H23542" s="18"/>
      <c r="K23542" s="18" t="s">
        <v>316</v>
      </c>
    </row>
    <row r="23543">
      <c r="A23543" s="17"/>
      <c r="H23543" s="18"/>
      <c r="K23543" s="18" t="s">
        <v>316</v>
      </c>
    </row>
    <row r="23544">
      <c r="A23544" s="17"/>
      <c r="H23544" s="18"/>
      <c r="K23544" s="18" t="s">
        <v>316</v>
      </c>
    </row>
    <row r="23545">
      <c r="A23545" s="17"/>
      <c r="H23545" s="18"/>
      <c r="K23545" s="18" t="s">
        <v>316</v>
      </c>
    </row>
    <row r="23546">
      <c r="A23546" s="17"/>
      <c r="H23546" s="18"/>
      <c r="K23546" s="18" t="s">
        <v>316</v>
      </c>
    </row>
    <row r="23547">
      <c r="A23547" s="17"/>
      <c r="H23547" s="18"/>
      <c r="K23547" s="18" t="s">
        <v>316</v>
      </c>
    </row>
    <row r="23548">
      <c r="A23548" s="17"/>
      <c r="H23548" s="18"/>
      <c r="K23548" s="18" t="s">
        <v>316</v>
      </c>
    </row>
    <row r="23549">
      <c r="A23549" s="17"/>
      <c r="H23549" s="18"/>
      <c r="K23549" s="18" t="s">
        <v>316</v>
      </c>
    </row>
    <row r="23550">
      <c r="A23550" s="17"/>
      <c r="H23550" s="18"/>
      <c r="K23550" s="18" t="s">
        <v>316</v>
      </c>
    </row>
    <row r="23551">
      <c r="A23551" s="17"/>
      <c r="H23551" s="18"/>
      <c r="K23551" s="18" t="s">
        <v>316</v>
      </c>
    </row>
    <row r="23552">
      <c r="A23552" s="17"/>
      <c r="H23552" s="18"/>
      <c r="K23552" s="18" t="s">
        <v>316</v>
      </c>
    </row>
    <row r="23553">
      <c r="A23553" s="17"/>
      <c r="H23553" s="18"/>
      <c r="K23553" s="18" t="s">
        <v>316</v>
      </c>
    </row>
    <row r="23554">
      <c r="A23554" s="17"/>
      <c r="H23554" s="18"/>
      <c r="K23554" s="18" t="s">
        <v>316</v>
      </c>
    </row>
    <row r="23555">
      <c r="A23555" s="17"/>
      <c r="H23555" s="18"/>
      <c r="K23555" s="18" t="s">
        <v>316</v>
      </c>
    </row>
    <row r="23556">
      <c r="A23556" s="17"/>
      <c r="H23556" s="18"/>
      <c r="K23556" s="18" t="s">
        <v>316</v>
      </c>
    </row>
    <row r="23557">
      <c r="A23557" s="17"/>
      <c r="H23557" s="18"/>
      <c r="K23557" s="18" t="s">
        <v>316</v>
      </c>
    </row>
    <row r="23558">
      <c r="A23558" s="17"/>
      <c r="H23558" s="18"/>
      <c r="K23558" s="18" t="s">
        <v>316</v>
      </c>
    </row>
    <row r="23559">
      <c r="A23559" s="17"/>
      <c r="H23559" s="18"/>
      <c r="K23559" s="18" t="s">
        <v>316</v>
      </c>
    </row>
    <row r="23560">
      <c r="A23560" s="17"/>
      <c r="H23560" s="18"/>
      <c r="K23560" s="18" t="s">
        <v>316</v>
      </c>
    </row>
    <row r="23561">
      <c r="A23561" s="17"/>
      <c r="H23561" s="18"/>
      <c r="K23561" s="18" t="s">
        <v>316</v>
      </c>
    </row>
    <row r="23562">
      <c r="A23562" s="17"/>
      <c r="H23562" s="18"/>
      <c r="K23562" s="18" t="s">
        <v>316</v>
      </c>
    </row>
    <row r="23563">
      <c r="A23563" s="17"/>
      <c r="H23563" s="18"/>
      <c r="K23563" s="18" t="s">
        <v>316</v>
      </c>
    </row>
    <row r="23564">
      <c r="A23564" s="17"/>
      <c r="H23564" s="18"/>
      <c r="K23564" s="18" t="s">
        <v>316</v>
      </c>
    </row>
    <row r="23565">
      <c r="A23565" s="17"/>
      <c r="H23565" s="18"/>
      <c r="K23565" s="18" t="s">
        <v>316</v>
      </c>
    </row>
    <row r="23566">
      <c r="A23566" s="17"/>
      <c r="H23566" s="18"/>
      <c r="K23566" s="18" t="s">
        <v>316</v>
      </c>
    </row>
    <row r="23567">
      <c r="A23567" s="17"/>
      <c r="H23567" s="18"/>
      <c r="K23567" s="18" t="s">
        <v>316</v>
      </c>
    </row>
    <row r="23568">
      <c r="A23568" s="17"/>
      <c r="H23568" s="18"/>
      <c r="K23568" s="18" t="s">
        <v>316</v>
      </c>
    </row>
    <row r="23569">
      <c r="A23569" s="17"/>
      <c r="H23569" s="18"/>
      <c r="K23569" s="18" t="s">
        <v>316</v>
      </c>
    </row>
    <row r="23570">
      <c r="A23570" s="17"/>
      <c r="H23570" s="18"/>
      <c r="K23570" s="18" t="s">
        <v>316</v>
      </c>
    </row>
    <row r="23571">
      <c r="A23571" s="17"/>
      <c r="H23571" s="18"/>
      <c r="K23571" s="18" t="s">
        <v>316</v>
      </c>
    </row>
    <row r="23572">
      <c r="A23572" s="17"/>
      <c r="H23572" s="18"/>
      <c r="K23572" s="18" t="s">
        <v>316</v>
      </c>
    </row>
    <row r="23573">
      <c r="A23573" s="17"/>
      <c r="H23573" s="18"/>
      <c r="K23573" s="18" t="s">
        <v>316</v>
      </c>
    </row>
    <row r="23574">
      <c r="A23574" s="17"/>
      <c r="H23574" s="18"/>
      <c r="K23574" s="18" t="s">
        <v>316</v>
      </c>
    </row>
    <row r="23575">
      <c r="A23575" s="17"/>
      <c r="H23575" s="18"/>
      <c r="K23575" s="18" t="s">
        <v>316</v>
      </c>
    </row>
    <row r="23576">
      <c r="A23576" s="17"/>
      <c r="H23576" s="18"/>
      <c r="K23576" s="18" t="s">
        <v>316</v>
      </c>
    </row>
    <row r="23577">
      <c r="A23577" s="17"/>
      <c r="H23577" s="18"/>
      <c r="K23577" s="18" t="s">
        <v>316</v>
      </c>
    </row>
    <row r="23578">
      <c r="A23578" s="17"/>
      <c r="H23578" s="18"/>
      <c r="K23578" s="18" t="s">
        <v>316</v>
      </c>
    </row>
    <row r="23579">
      <c r="A23579" s="17"/>
      <c r="H23579" s="18"/>
      <c r="K23579" s="18" t="s">
        <v>316</v>
      </c>
    </row>
    <row r="23580">
      <c r="A23580" s="17"/>
      <c r="H23580" s="18"/>
      <c r="K23580" s="18" t="s">
        <v>316</v>
      </c>
    </row>
    <row r="23581">
      <c r="A23581" s="17"/>
      <c r="H23581" s="18"/>
      <c r="K23581" s="18" t="s">
        <v>316</v>
      </c>
    </row>
    <row r="23582">
      <c r="A23582" s="17"/>
      <c r="H23582" s="18"/>
      <c r="K23582" s="18" t="s">
        <v>316</v>
      </c>
    </row>
    <row r="23583">
      <c r="A23583" s="17"/>
      <c r="H23583" s="18"/>
      <c r="K23583" s="18" t="s">
        <v>316</v>
      </c>
    </row>
    <row r="23584">
      <c r="A23584" s="17"/>
      <c r="H23584" s="18"/>
      <c r="K23584" s="18" t="s">
        <v>316</v>
      </c>
    </row>
    <row r="23585">
      <c r="A23585" s="17"/>
      <c r="H23585" s="18"/>
      <c r="K23585" s="18" t="s">
        <v>316</v>
      </c>
    </row>
    <row r="23586">
      <c r="A23586" s="17"/>
      <c r="H23586" s="18"/>
      <c r="K23586" s="18" t="s">
        <v>316</v>
      </c>
    </row>
    <row r="23587">
      <c r="A23587" s="17"/>
      <c r="H23587" s="18"/>
      <c r="K23587" s="18" t="s">
        <v>316</v>
      </c>
    </row>
    <row r="23588">
      <c r="A23588" s="17"/>
      <c r="H23588" s="18"/>
      <c r="K23588" s="18" t="s">
        <v>316</v>
      </c>
    </row>
    <row r="23589">
      <c r="A23589" s="17"/>
      <c r="H23589" s="18"/>
      <c r="K23589" s="18" t="s">
        <v>316</v>
      </c>
    </row>
    <row r="23590">
      <c r="A23590" s="17"/>
      <c r="H23590" s="18"/>
      <c r="K23590" s="18" t="s">
        <v>316</v>
      </c>
    </row>
    <row r="23591">
      <c r="A23591" s="17"/>
      <c r="H23591" s="18"/>
      <c r="K23591" s="18" t="s">
        <v>316</v>
      </c>
    </row>
    <row r="23592">
      <c r="A23592" s="17"/>
      <c r="H23592" s="18"/>
      <c r="K23592" s="18" t="s">
        <v>316</v>
      </c>
    </row>
    <row r="23593">
      <c r="A23593" s="17"/>
      <c r="H23593" s="18"/>
      <c r="K23593" s="18" t="s">
        <v>316</v>
      </c>
    </row>
    <row r="23594">
      <c r="A23594" s="17"/>
      <c r="H23594" s="18"/>
      <c r="K23594" s="18" t="s">
        <v>316</v>
      </c>
    </row>
    <row r="23595">
      <c r="A23595" s="17"/>
      <c r="H23595" s="18"/>
      <c r="K23595" s="18" t="s">
        <v>316</v>
      </c>
    </row>
    <row r="23596">
      <c r="A23596" s="17"/>
      <c r="H23596" s="18"/>
      <c r="K23596" s="18" t="s">
        <v>316</v>
      </c>
    </row>
    <row r="23597">
      <c r="A23597" s="17"/>
      <c r="H23597" s="18"/>
      <c r="K23597" s="18" t="s">
        <v>316</v>
      </c>
    </row>
    <row r="23598">
      <c r="A23598" s="17"/>
      <c r="H23598" s="18"/>
      <c r="K23598" s="18" t="s">
        <v>316</v>
      </c>
    </row>
    <row r="23599">
      <c r="A23599" s="17"/>
      <c r="H23599" s="18"/>
      <c r="K23599" s="18" t="s">
        <v>316</v>
      </c>
    </row>
    <row r="23600">
      <c r="A23600" s="17"/>
      <c r="H23600" s="18"/>
      <c r="K23600" s="18" t="s">
        <v>316</v>
      </c>
    </row>
    <row r="23601">
      <c r="A23601" s="17"/>
      <c r="H23601" s="18"/>
      <c r="K23601" s="18" t="s">
        <v>316</v>
      </c>
    </row>
    <row r="23602">
      <c r="A23602" s="17"/>
      <c r="H23602" s="18"/>
      <c r="K23602" s="18" t="s">
        <v>316</v>
      </c>
    </row>
    <row r="23603">
      <c r="A23603" s="17"/>
      <c r="H23603" s="18"/>
      <c r="K23603" s="18" t="s">
        <v>316</v>
      </c>
    </row>
    <row r="23604">
      <c r="A23604" s="17"/>
      <c r="H23604" s="18"/>
      <c r="K23604" s="18" t="s">
        <v>316</v>
      </c>
    </row>
    <row r="23605">
      <c r="A23605" s="17"/>
      <c r="H23605" s="18"/>
      <c r="K23605" s="18" t="s">
        <v>316</v>
      </c>
    </row>
    <row r="23606">
      <c r="A23606" s="17"/>
      <c r="H23606" s="18"/>
      <c r="K23606" s="18" t="s">
        <v>316</v>
      </c>
    </row>
    <row r="23607">
      <c r="A23607" s="17"/>
      <c r="H23607" s="18"/>
      <c r="K23607" s="18" t="s">
        <v>316</v>
      </c>
    </row>
    <row r="23608">
      <c r="A23608" s="17"/>
      <c r="H23608" s="18"/>
      <c r="K23608" s="18" t="s">
        <v>316</v>
      </c>
    </row>
    <row r="23609">
      <c r="A23609" s="17"/>
      <c r="H23609" s="18"/>
      <c r="K23609" s="18" t="s">
        <v>316</v>
      </c>
    </row>
    <row r="23610">
      <c r="A23610" s="17"/>
      <c r="H23610" s="18"/>
      <c r="K23610" s="18" t="s">
        <v>316</v>
      </c>
    </row>
    <row r="23611">
      <c r="A23611" s="17"/>
      <c r="H23611" s="18"/>
      <c r="K23611" s="18" t="s">
        <v>316</v>
      </c>
    </row>
    <row r="23612">
      <c r="A23612" s="17"/>
      <c r="H23612" s="18"/>
      <c r="K23612" s="18" t="s">
        <v>316</v>
      </c>
    </row>
    <row r="23613">
      <c r="A23613" s="17"/>
      <c r="H23613" s="18"/>
      <c r="K23613" s="18" t="s">
        <v>316</v>
      </c>
    </row>
    <row r="23614">
      <c r="A23614" s="17"/>
      <c r="H23614" s="18"/>
      <c r="K23614" s="18" t="s">
        <v>316</v>
      </c>
    </row>
    <row r="23615">
      <c r="A23615" s="17"/>
      <c r="H23615" s="18"/>
      <c r="K23615" s="18" t="s">
        <v>316</v>
      </c>
    </row>
    <row r="23616">
      <c r="A23616" s="17"/>
      <c r="H23616" s="18"/>
      <c r="K23616" s="18" t="s">
        <v>316</v>
      </c>
    </row>
    <row r="23617">
      <c r="A23617" s="17"/>
      <c r="H23617" s="18"/>
      <c r="K23617" s="18" t="s">
        <v>316</v>
      </c>
    </row>
    <row r="23618">
      <c r="A23618" s="17"/>
      <c r="H23618" s="18"/>
      <c r="K23618" s="18" t="s">
        <v>316</v>
      </c>
    </row>
    <row r="23619">
      <c r="A23619" s="17"/>
      <c r="H23619" s="18"/>
      <c r="K23619" s="18" t="s">
        <v>316</v>
      </c>
    </row>
    <row r="23620">
      <c r="A23620" s="17"/>
      <c r="H23620" s="18"/>
      <c r="K23620" s="18" t="s">
        <v>316</v>
      </c>
    </row>
    <row r="23621">
      <c r="A23621" s="17"/>
      <c r="H23621" s="18"/>
      <c r="K23621" s="18" t="s">
        <v>316</v>
      </c>
    </row>
    <row r="23622">
      <c r="A23622" s="17"/>
      <c r="H23622" s="18"/>
      <c r="K23622" s="18" t="s">
        <v>316</v>
      </c>
    </row>
    <row r="23623">
      <c r="A23623" s="17"/>
      <c r="H23623" s="18"/>
      <c r="K23623" s="18" t="s">
        <v>316</v>
      </c>
    </row>
    <row r="23624">
      <c r="A23624" s="17"/>
      <c r="H23624" s="18"/>
      <c r="K23624" s="18" t="s">
        <v>316</v>
      </c>
    </row>
    <row r="23625">
      <c r="A23625" s="17"/>
      <c r="H23625" s="18"/>
      <c r="K23625" s="18" t="s">
        <v>316</v>
      </c>
    </row>
    <row r="23626">
      <c r="A23626" s="17"/>
      <c r="H23626" s="18"/>
      <c r="K23626" s="18" t="s">
        <v>316</v>
      </c>
    </row>
    <row r="23627">
      <c r="A23627" s="17"/>
      <c r="H23627" s="18"/>
      <c r="K23627" s="18" t="s">
        <v>316</v>
      </c>
    </row>
    <row r="23628">
      <c r="A23628" s="17"/>
      <c r="H23628" s="18"/>
      <c r="K23628" s="18" t="s">
        <v>316</v>
      </c>
    </row>
    <row r="23629">
      <c r="A23629" s="17"/>
      <c r="H23629" s="18"/>
      <c r="K23629" s="18" t="s">
        <v>316</v>
      </c>
    </row>
    <row r="23630">
      <c r="A23630" s="17"/>
      <c r="H23630" s="18"/>
      <c r="K23630" s="18" t="s">
        <v>316</v>
      </c>
    </row>
    <row r="23631">
      <c r="A23631" s="17"/>
      <c r="H23631" s="18"/>
      <c r="K23631" s="18" t="s">
        <v>316</v>
      </c>
    </row>
    <row r="23632">
      <c r="A23632" s="17"/>
      <c r="H23632" s="18"/>
      <c r="K23632" s="18" t="s">
        <v>316</v>
      </c>
    </row>
    <row r="23633">
      <c r="A23633" s="17"/>
      <c r="H23633" s="18"/>
      <c r="K23633" s="18" t="s">
        <v>316</v>
      </c>
    </row>
    <row r="23634">
      <c r="A23634" s="17"/>
      <c r="H23634" s="18"/>
      <c r="K23634" s="18" t="s">
        <v>316</v>
      </c>
    </row>
    <row r="23635">
      <c r="A23635" s="17"/>
      <c r="H23635" s="18"/>
      <c r="K23635" s="18" t="s">
        <v>316</v>
      </c>
    </row>
    <row r="23636">
      <c r="A23636" s="17"/>
      <c r="H23636" s="18"/>
      <c r="K23636" s="18" t="s">
        <v>316</v>
      </c>
    </row>
    <row r="23637">
      <c r="A23637" s="17"/>
      <c r="H23637" s="18"/>
      <c r="K23637" s="18" t="s">
        <v>316</v>
      </c>
    </row>
    <row r="23638">
      <c r="A23638" s="17"/>
      <c r="H23638" s="18"/>
      <c r="K23638" s="18" t="s">
        <v>316</v>
      </c>
    </row>
    <row r="23639">
      <c r="A23639" s="17"/>
      <c r="H23639" s="18"/>
      <c r="K23639" s="18" t="s">
        <v>316</v>
      </c>
    </row>
    <row r="23640">
      <c r="A23640" s="17"/>
      <c r="H23640" s="18"/>
      <c r="K23640" s="18" t="s">
        <v>316</v>
      </c>
    </row>
    <row r="23641">
      <c r="A23641" s="17"/>
      <c r="H23641" s="18"/>
      <c r="K23641" s="18" t="s">
        <v>316</v>
      </c>
    </row>
    <row r="23642">
      <c r="A23642" s="17"/>
      <c r="H23642" s="18"/>
      <c r="K23642" s="18" t="s">
        <v>316</v>
      </c>
    </row>
    <row r="23643">
      <c r="A23643" s="17"/>
      <c r="H23643" s="18"/>
      <c r="K23643" s="18" t="s">
        <v>316</v>
      </c>
    </row>
    <row r="23644">
      <c r="A23644" s="17"/>
      <c r="H23644" s="18"/>
      <c r="K23644" s="18" t="s">
        <v>316</v>
      </c>
    </row>
    <row r="23645">
      <c r="A23645" s="17"/>
      <c r="H23645" s="18"/>
      <c r="K23645" s="18" t="s">
        <v>316</v>
      </c>
    </row>
    <row r="23646">
      <c r="A23646" s="17"/>
      <c r="H23646" s="18"/>
      <c r="K23646" s="18" t="s">
        <v>316</v>
      </c>
    </row>
    <row r="23647">
      <c r="A23647" s="17"/>
      <c r="H23647" s="18"/>
      <c r="K23647" s="18" t="s">
        <v>316</v>
      </c>
    </row>
    <row r="23648">
      <c r="A23648" s="17"/>
      <c r="H23648" s="18"/>
      <c r="K23648" s="18" t="s">
        <v>316</v>
      </c>
    </row>
    <row r="23649">
      <c r="A23649" s="17"/>
      <c r="H23649" s="18"/>
      <c r="K23649" s="18" t="s">
        <v>316</v>
      </c>
    </row>
    <row r="23650">
      <c r="A23650" s="17"/>
      <c r="H23650" s="18"/>
      <c r="K23650" s="18" t="s">
        <v>316</v>
      </c>
    </row>
    <row r="23651">
      <c r="A23651" s="17"/>
      <c r="H23651" s="18"/>
      <c r="K23651" s="18" t="s">
        <v>316</v>
      </c>
    </row>
    <row r="23652">
      <c r="A23652" s="17"/>
      <c r="H23652" s="18"/>
      <c r="K23652" s="18" t="s">
        <v>316</v>
      </c>
    </row>
    <row r="23653">
      <c r="A23653" s="17"/>
      <c r="H23653" s="18"/>
      <c r="K23653" s="18" t="s">
        <v>316</v>
      </c>
    </row>
    <row r="23654">
      <c r="A23654" s="17"/>
      <c r="H23654" s="18"/>
      <c r="K23654" s="18" t="s">
        <v>316</v>
      </c>
    </row>
    <row r="23655">
      <c r="A23655" s="17"/>
      <c r="H23655" s="18"/>
      <c r="K23655" s="18" t="s">
        <v>316</v>
      </c>
    </row>
    <row r="23656">
      <c r="A23656" s="17"/>
      <c r="H23656" s="18"/>
      <c r="K23656" s="18" t="s">
        <v>316</v>
      </c>
    </row>
    <row r="23657">
      <c r="A23657" s="17"/>
      <c r="H23657" s="18"/>
      <c r="K23657" s="18" t="s">
        <v>316</v>
      </c>
    </row>
    <row r="23658">
      <c r="A23658" s="17"/>
      <c r="H23658" s="18"/>
      <c r="K23658" s="18" t="s">
        <v>316</v>
      </c>
    </row>
    <row r="23659">
      <c r="A23659" s="17"/>
      <c r="H23659" s="18"/>
      <c r="K23659" s="18" t="s">
        <v>316</v>
      </c>
    </row>
    <row r="23660">
      <c r="A23660" s="17"/>
      <c r="H23660" s="18"/>
      <c r="K23660" s="18" t="s">
        <v>316</v>
      </c>
    </row>
    <row r="23661">
      <c r="A23661" s="17"/>
      <c r="H23661" s="18"/>
      <c r="K23661" s="18" t="s">
        <v>316</v>
      </c>
    </row>
    <row r="23662">
      <c r="A23662" s="17"/>
      <c r="H23662" s="18"/>
      <c r="K23662" s="18" t="s">
        <v>316</v>
      </c>
    </row>
    <row r="23663">
      <c r="A23663" s="17"/>
      <c r="H23663" s="18"/>
      <c r="K23663" s="18" t="s">
        <v>316</v>
      </c>
    </row>
    <row r="23664">
      <c r="A23664" s="17"/>
      <c r="H23664" s="18"/>
      <c r="K23664" s="18" t="s">
        <v>316</v>
      </c>
    </row>
    <row r="23665">
      <c r="A23665" s="17"/>
      <c r="H23665" s="18"/>
      <c r="K23665" s="18" t="s">
        <v>316</v>
      </c>
    </row>
    <row r="23666">
      <c r="A23666" s="17"/>
      <c r="H23666" s="18"/>
      <c r="K23666" s="18" t="s">
        <v>316</v>
      </c>
    </row>
    <row r="23667">
      <c r="A23667" s="17"/>
      <c r="H23667" s="18"/>
      <c r="K23667" s="18" t="s">
        <v>316</v>
      </c>
    </row>
    <row r="23668">
      <c r="A23668" s="17"/>
      <c r="H23668" s="18"/>
      <c r="K23668" s="18" t="s">
        <v>316</v>
      </c>
    </row>
    <row r="23669">
      <c r="A23669" s="17"/>
      <c r="H23669" s="18"/>
      <c r="K23669" s="18" t="s">
        <v>316</v>
      </c>
    </row>
    <row r="23670">
      <c r="A23670" s="17"/>
      <c r="H23670" s="18"/>
      <c r="K23670" s="18" t="s">
        <v>316</v>
      </c>
    </row>
    <row r="23671">
      <c r="A23671" s="17"/>
      <c r="H23671" s="18"/>
      <c r="K23671" s="18" t="s">
        <v>316</v>
      </c>
    </row>
    <row r="23672">
      <c r="A23672" s="17"/>
      <c r="H23672" s="18"/>
      <c r="K23672" s="18" t="s">
        <v>316</v>
      </c>
    </row>
    <row r="23673">
      <c r="A23673" s="17"/>
      <c r="H23673" s="18"/>
      <c r="K23673" s="18" t="s">
        <v>316</v>
      </c>
    </row>
    <row r="23674">
      <c r="A23674" s="17"/>
      <c r="H23674" s="18"/>
      <c r="K23674" s="18" t="s">
        <v>316</v>
      </c>
    </row>
    <row r="23675">
      <c r="A23675" s="17"/>
      <c r="H23675" s="18"/>
      <c r="K23675" s="18" t="s">
        <v>316</v>
      </c>
    </row>
    <row r="23676">
      <c r="A23676" s="17"/>
      <c r="H23676" s="18"/>
      <c r="K23676" s="18" t="s">
        <v>316</v>
      </c>
    </row>
    <row r="23677">
      <c r="A23677" s="17"/>
      <c r="H23677" s="18"/>
      <c r="K23677" s="18" t="s">
        <v>316</v>
      </c>
    </row>
    <row r="23678">
      <c r="A23678" s="17"/>
      <c r="H23678" s="18"/>
      <c r="K23678" s="18" t="s">
        <v>316</v>
      </c>
    </row>
    <row r="23679">
      <c r="A23679" s="17"/>
      <c r="H23679" s="18"/>
      <c r="K23679" s="18" t="s">
        <v>316</v>
      </c>
    </row>
    <row r="23680">
      <c r="A23680" s="17"/>
      <c r="H23680" s="18"/>
      <c r="K23680" s="18" t="s">
        <v>316</v>
      </c>
    </row>
    <row r="23681">
      <c r="A23681" s="17"/>
      <c r="H23681" s="18"/>
      <c r="K23681" s="18" t="s">
        <v>316</v>
      </c>
    </row>
    <row r="23682">
      <c r="A23682" s="17"/>
      <c r="H23682" s="18"/>
      <c r="K23682" s="18" t="s">
        <v>316</v>
      </c>
    </row>
    <row r="23683">
      <c r="A23683" s="17"/>
      <c r="H23683" s="18"/>
      <c r="K23683" s="18" t="s">
        <v>316</v>
      </c>
    </row>
    <row r="23684">
      <c r="A23684" s="17"/>
      <c r="H23684" s="18"/>
      <c r="K23684" s="18" t="s">
        <v>316</v>
      </c>
    </row>
    <row r="23685">
      <c r="A23685" s="17"/>
      <c r="H23685" s="18"/>
      <c r="K23685" s="18" t="s">
        <v>316</v>
      </c>
    </row>
    <row r="23686">
      <c r="A23686" s="17"/>
      <c r="H23686" s="18"/>
      <c r="K23686" s="18" t="s">
        <v>316</v>
      </c>
    </row>
    <row r="23687">
      <c r="A23687" s="17"/>
      <c r="H23687" s="18"/>
      <c r="K23687" s="18" t="s">
        <v>316</v>
      </c>
    </row>
    <row r="23688">
      <c r="A23688" s="17"/>
      <c r="H23688" s="18"/>
      <c r="K23688" s="18" t="s">
        <v>316</v>
      </c>
    </row>
    <row r="23689">
      <c r="A23689" s="17"/>
      <c r="H23689" s="18"/>
      <c r="K23689" s="18" t="s">
        <v>316</v>
      </c>
    </row>
    <row r="23690">
      <c r="A23690" s="17"/>
      <c r="H23690" s="18"/>
      <c r="K23690" s="18" t="s">
        <v>316</v>
      </c>
    </row>
    <row r="23691">
      <c r="A23691" s="17"/>
      <c r="H23691" s="18"/>
      <c r="K23691" s="18" t="s">
        <v>316</v>
      </c>
    </row>
    <row r="23692">
      <c r="A23692" s="17"/>
      <c r="H23692" s="18"/>
      <c r="K23692" s="18" t="s">
        <v>316</v>
      </c>
    </row>
    <row r="23693">
      <c r="A23693" s="17"/>
      <c r="H23693" s="18"/>
      <c r="K23693" s="18" t="s">
        <v>316</v>
      </c>
    </row>
    <row r="23694">
      <c r="A23694" s="17"/>
      <c r="H23694" s="18"/>
      <c r="K23694" s="18" t="s">
        <v>316</v>
      </c>
    </row>
    <row r="23695">
      <c r="A23695" s="17"/>
      <c r="H23695" s="18"/>
      <c r="K23695" s="18" t="s">
        <v>316</v>
      </c>
    </row>
    <row r="23696">
      <c r="A23696" s="17"/>
      <c r="H23696" s="18"/>
      <c r="K23696" s="18" t="s">
        <v>316</v>
      </c>
    </row>
    <row r="23697">
      <c r="A23697" s="17"/>
      <c r="H23697" s="18"/>
      <c r="K23697" s="18" t="s">
        <v>316</v>
      </c>
    </row>
    <row r="23698">
      <c r="A23698" s="17"/>
      <c r="H23698" s="18"/>
      <c r="K23698" s="18" t="s">
        <v>316</v>
      </c>
    </row>
    <row r="23699">
      <c r="A23699" s="17"/>
      <c r="H23699" s="18"/>
      <c r="K23699" s="18" t="s">
        <v>316</v>
      </c>
    </row>
    <row r="23700">
      <c r="A23700" s="17"/>
      <c r="H23700" s="18"/>
      <c r="K23700" s="18" t="s">
        <v>316</v>
      </c>
    </row>
    <row r="23701">
      <c r="A23701" s="17"/>
      <c r="H23701" s="18"/>
      <c r="K23701" s="18" t="s">
        <v>316</v>
      </c>
    </row>
    <row r="23702">
      <c r="A23702" s="17"/>
      <c r="H23702" s="18"/>
      <c r="K23702" s="18" t="s">
        <v>316</v>
      </c>
    </row>
    <row r="23703">
      <c r="A23703" s="17"/>
      <c r="H23703" s="18"/>
      <c r="K23703" s="18" t="s">
        <v>316</v>
      </c>
    </row>
    <row r="23704">
      <c r="A23704" s="17"/>
      <c r="H23704" s="18"/>
      <c r="K23704" s="18" t="s">
        <v>316</v>
      </c>
    </row>
    <row r="23705">
      <c r="A23705" s="17"/>
      <c r="H23705" s="18"/>
      <c r="K23705" s="18" t="s">
        <v>316</v>
      </c>
    </row>
    <row r="23706">
      <c r="A23706" s="17"/>
      <c r="H23706" s="18"/>
      <c r="K23706" s="18" t="s">
        <v>316</v>
      </c>
    </row>
    <row r="23707">
      <c r="A23707" s="17"/>
      <c r="H23707" s="18"/>
      <c r="K23707" s="18" t="s">
        <v>316</v>
      </c>
    </row>
    <row r="23708">
      <c r="A23708" s="17"/>
      <c r="H23708" s="18"/>
      <c r="K23708" s="18" t="s">
        <v>316</v>
      </c>
    </row>
    <row r="23709">
      <c r="A23709" s="17"/>
      <c r="H23709" s="18"/>
      <c r="K23709" s="18" t="s">
        <v>316</v>
      </c>
    </row>
    <row r="23710">
      <c r="A23710" s="17"/>
      <c r="H23710" s="18"/>
      <c r="K23710" s="18" t="s">
        <v>316</v>
      </c>
    </row>
    <row r="23711">
      <c r="A23711" s="17"/>
      <c r="H23711" s="18"/>
      <c r="K23711" s="18" t="s">
        <v>316</v>
      </c>
    </row>
    <row r="23712">
      <c r="A23712" s="17"/>
      <c r="H23712" s="18"/>
      <c r="K23712" s="18" t="s">
        <v>316</v>
      </c>
    </row>
    <row r="23713">
      <c r="A23713" s="17"/>
      <c r="H23713" s="18"/>
      <c r="K23713" s="18" t="s">
        <v>316</v>
      </c>
    </row>
    <row r="23714">
      <c r="A23714" s="17"/>
      <c r="H23714" s="18"/>
      <c r="K23714" s="18" t="s">
        <v>316</v>
      </c>
    </row>
    <row r="23715">
      <c r="A23715" s="17"/>
      <c r="H23715" s="18"/>
      <c r="K23715" s="18" t="s">
        <v>316</v>
      </c>
    </row>
    <row r="23716">
      <c r="A23716" s="17"/>
      <c r="H23716" s="18"/>
      <c r="K23716" s="18" t="s">
        <v>316</v>
      </c>
    </row>
    <row r="23717">
      <c r="A23717" s="17"/>
      <c r="H23717" s="18"/>
      <c r="K23717" s="18" t="s">
        <v>316</v>
      </c>
    </row>
    <row r="23718">
      <c r="A23718" s="17"/>
      <c r="H23718" s="18"/>
      <c r="K23718" s="18" t="s">
        <v>316</v>
      </c>
    </row>
    <row r="23719">
      <c r="A23719" s="17"/>
      <c r="H23719" s="18"/>
      <c r="K23719" s="18" t="s">
        <v>316</v>
      </c>
    </row>
    <row r="23720">
      <c r="A23720" s="17"/>
      <c r="H23720" s="18"/>
      <c r="K23720" s="18" t="s">
        <v>316</v>
      </c>
    </row>
    <row r="23721">
      <c r="A23721" s="17"/>
      <c r="H23721" s="18"/>
      <c r="K23721" s="18" t="s">
        <v>316</v>
      </c>
    </row>
    <row r="23722">
      <c r="A23722" s="17"/>
      <c r="H23722" s="18"/>
      <c r="K23722" s="18" t="s">
        <v>316</v>
      </c>
    </row>
    <row r="23723">
      <c r="A23723" s="17"/>
      <c r="H23723" s="18"/>
      <c r="K23723" s="18" t="s">
        <v>316</v>
      </c>
    </row>
    <row r="23724">
      <c r="A23724" s="17"/>
      <c r="H23724" s="18"/>
      <c r="K23724" s="18" t="s">
        <v>316</v>
      </c>
    </row>
    <row r="23725">
      <c r="A23725" s="17"/>
      <c r="H23725" s="18"/>
      <c r="K23725" s="18" t="s">
        <v>316</v>
      </c>
    </row>
    <row r="23726">
      <c r="A23726" s="17"/>
      <c r="H23726" s="18"/>
      <c r="K23726" s="18" t="s">
        <v>316</v>
      </c>
    </row>
    <row r="23727">
      <c r="A23727" s="17"/>
      <c r="H23727" s="18"/>
      <c r="K23727" s="18" t="s">
        <v>316</v>
      </c>
    </row>
    <row r="23728">
      <c r="A23728" s="17"/>
      <c r="H23728" s="18"/>
      <c r="K23728" s="18" t="s">
        <v>316</v>
      </c>
    </row>
    <row r="23729">
      <c r="A23729" s="17"/>
      <c r="H23729" s="18"/>
      <c r="K23729" s="18" t="s">
        <v>316</v>
      </c>
    </row>
    <row r="23730">
      <c r="A23730" s="17"/>
      <c r="H23730" s="18"/>
      <c r="K23730" s="18" t="s">
        <v>316</v>
      </c>
    </row>
    <row r="23731">
      <c r="A23731" s="17"/>
      <c r="H23731" s="18"/>
      <c r="K23731" s="18" t="s">
        <v>316</v>
      </c>
    </row>
    <row r="23732">
      <c r="A23732" s="17"/>
      <c r="H23732" s="18"/>
      <c r="K23732" s="18" t="s">
        <v>316</v>
      </c>
    </row>
    <row r="23733">
      <c r="A23733" s="17"/>
      <c r="H23733" s="18"/>
      <c r="K23733" s="18" t="s">
        <v>316</v>
      </c>
    </row>
    <row r="23734">
      <c r="A23734" s="17"/>
      <c r="H23734" s="18"/>
      <c r="K23734" s="18" t="s">
        <v>316</v>
      </c>
    </row>
    <row r="23735">
      <c r="A23735" s="17"/>
      <c r="H23735" s="18"/>
      <c r="K23735" s="18" t="s">
        <v>316</v>
      </c>
    </row>
    <row r="23736">
      <c r="A23736" s="17"/>
      <c r="H23736" s="18"/>
      <c r="K23736" s="18" t="s">
        <v>316</v>
      </c>
    </row>
    <row r="23737">
      <c r="A23737" s="17"/>
      <c r="H23737" s="18"/>
      <c r="K23737" s="18" t="s">
        <v>316</v>
      </c>
    </row>
    <row r="23738">
      <c r="A23738" s="17"/>
      <c r="H23738" s="18"/>
      <c r="K23738" s="18" t="s">
        <v>316</v>
      </c>
    </row>
    <row r="23739">
      <c r="A23739" s="17"/>
      <c r="H23739" s="18"/>
      <c r="K23739" s="18" t="s">
        <v>316</v>
      </c>
    </row>
    <row r="23740">
      <c r="A23740" s="17"/>
      <c r="H23740" s="18"/>
      <c r="K23740" s="18" t="s">
        <v>316</v>
      </c>
    </row>
    <row r="23741">
      <c r="A23741" s="17"/>
      <c r="H23741" s="18"/>
      <c r="K23741" s="18" t="s">
        <v>316</v>
      </c>
    </row>
    <row r="23742">
      <c r="A23742" s="17"/>
      <c r="H23742" s="18"/>
      <c r="K23742" s="18" t="s">
        <v>316</v>
      </c>
    </row>
    <row r="23743">
      <c r="A23743" s="17"/>
      <c r="H23743" s="18"/>
      <c r="K23743" s="18" t="s">
        <v>316</v>
      </c>
    </row>
    <row r="23744">
      <c r="A23744" s="17"/>
      <c r="H23744" s="18"/>
      <c r="K23744" s="18" t="s">
        <v>316</v>
      </c>
    </row>
    <row r="23745">
      <c r="A23745" s="17"/>
      <c r="H23745" s="18"/>
      <c r="K23745" s="18" t="s">
        <v>316</v>
      </c>
    </row>
    <row r="23746">
      <c r="A23746" s="17"/>
      <c r="H23746" s="18"/>
      <c r="K23746" s="18" t="s">
        <v>316</v>
      </c>
    </row>
    <row r="23747">
      <c r="A23747" s="17"/>
      <c r="H23747" s="18"/>
      <c r="K23747" s="18" t="s">
        <v>316</v>
      </c>
    </row>
    <row r="23748">
      <c r="A23748" s="17"/>
      <c r="H23748" s="18"/>
      <c r="K23748" s="18" t="s">
        <v>316</v>
      </c>
    </row>
    <row r="23749">
      <c r="A23749" s="17"/>
      <c r="H23749" s="18"/>
      <c r="K23749" s="18" t="s">
        <v>316</v>
      </c>
    </row>
    <row r="23750">
      <c r="A23750" s="17"/>
      <c r="H23750" s="18"/>
      <c r="K23750" s="18" t="s">
        <v>316</v>
      </c>
    </row>
    <row r="23751">
      <c r="A23751" s="17"/>
      <c r="H23751" s="18"/>
      <c r="K23751" s="18" t="s">
        <v>316</v>
      </c>
    </row>
    <row r="23752">
      <c r="A23752" s="17"/>
      <c r="H23752" s="18"/>
      <c r="K23752" s="18" t="s">
        <v>316</v>
      </c>
    </row>
    <row r="23753">
      <c r="A23753" s="17"/>
      <c r="H23753" s="18"/>
      <c r="K23753" s="18" t="s">
        <v>316</v>
      </c>
    </row>
    <row r="23754">
      <c r="A23754" s="17"/>
      <c r="H23754" s="18"/>
      <c r="K23754" s="18" t="s">
        <v>316</v>
      </c>
    </row>
    <row r="23755">
      <c r="A23755" s="17"/>
      <c r="H23755" s="18"/>
      <c r="K23755" s="18" t="s">
        <v>316</v>
      </c>
    </row>
    <row r="23756">
      <c r="A23756" s="17"/>
      <c r="H23756" s="18"/>
      <c r="K23756" s="18" t="s">
        <v>316</v>
      </c>
    </row>
    <row r="23757">
      <c r="A23757" s="17"/>
      <c r="H23757" s="18"/>
      <c r="K23757" s="18" t="s">
        <v>316</v>
      </c>
    </row>
    <row r="23758">
      <c r="A23758" s="17"/>
      <c r="H23758" s="18"/>
      <c r="K23758" s="18" t="s">
        <v>316</v>
      </c>
    </row>
    <row r="23759">
      <c r="A23759" s="17"/>
      <c r="H23759" s="18"/>
      <c r="K23759" s="18" t="s">
        <v>316</v>
      </c>
    </row>
    <row r="23760">
      <c r="A23760" s="17"/>
      <c r="H23760" s="18"/>
      <c r="K23760" s="18" t="s">
        <v>316</v>
      </c>
    </row>
    <row r="23761">
      <c r="A23761" s="17"/>
      <c r="H23761" s="18"/>
      <c r="K23761" s="18" t="s">
        <v>316</v>
      </c>
    </row>
    <row r="23762">
      <c r="A23762" s="17"/>
      <c r="H23762" s="18"/>
      <c r="K23762" s="18" t="s">
        <v>316</v>
      </c>
    </row>
    <row r="23763">
      <c r="A23763" s="17"/>
      <c r="H23763" s="18"/>
      <c r="K23763" s="18" t="s">
        <v>316</v>
      </c>
    </row>
    <row r="23764">
      <c r="A23764" s="17"/>
      <c r="H23764" s="18"/>
      <c r="K23764" s="18" t="s">
        <v>316</v>
      </c>
    </row>
    <row r="23765">
      <c r="A23765" s="17"/>
      <c r="H23765" s="18"/>
      <c r="K23765" s="18" t="s">
        <v>316</v>
      </c>
    </row>
    <row r="23766">
      <c r="A23766" s="17"/>
      <c r="H23766" s="18"/>
      <c r="K23766" s="18" t="s">
        <v>316</v>
      </c>
    </row>
    <row r="23767">
      <c r="A23767" s="17"/>
      <c r="H23767" s="18"/>
      <c r="K23767" s="18" t="s">
        <v>316</v>
      </c>
    </row>
    <row r="23768">
      <c r="A23768" s="17"/>
      <c r="H23768" s="18"/>
      <c r="K23768" s="18" t="s">
        <v>316</v>
      </c>
    </row>
    <row r="23769">
      <c r="A23769" s="17"/>
      <c r="H23769" s="18"/>
      <c r="K23769" s="18" t="s">
        <v>316</v>
      </c>
    </row>
    <row r="23770">
      <c r="A23770" s="17"/>
      <c r="H23770" s="18"/>
      <c r="K23770" s="18" t="s">
        <v>316</v>
      </c>
    </row>
    <row r="23771">
      <c r="A23771" s="17"/>
      <c r="H23771" s="18"/>
      <c r="K23771" s="18" t="s">
        <v>316</v>
      </c>
    </row>
    <row r="23772">
      <c r="A23772" s="17"/>
      <c r="H23772" s="18"/>
      <c r="K23772" s="18" t="s">
        <v>316</v>
      </c>
    </row>
    <row r="23773">
      <c r="A23773" s="17"/>
      <c r="H23773" s="18"/>
      <c r="K23773" s="18" t="s">
        <v>316</v>
      </c>
    </row>
    <row r="23774">
      <c r="A23774" s="17"/>
      <c r="H23774" s="18"/>
      <c r="K23774" s="18" t="s">
        <v>316</v>
      </c>
    </row>
    <row r="23775">
      <c r="A23775" s="17"/>
      <c r="H23775" s="18"/>
      <c r="K23775" s="18" t="s">
        <v>316</v>
      </c>
    </row>
    <row r="23776">
      <c r="A23776" s="17"/>
      <c r="H23776" s="18"/>
      <c r="K23776" s="18" t="s">
        <v>316</v>
      </c>
    </row>
    <row r="23777">
      <c r="A23777" s="17"/>
      <c r="H23777" s="18"/>
      <c r="K23777" s="18" t="s">
        <v>316</v>
      </c>
    </row>
    <row r="23778">
      <c r="A23778" s="17"/>
      <c r="H23778" s="18"/>
      <c r="K23778" s="18" t="s">
        <v>316</v>
      </c>
    </row>
    <row r="23779">
      <c r="A23779" s="17"/>
      <c r="H23779" s="18"/>
      <c r="K23779" s="18" t="s">
        <v>316</v>
      </c>
    </row>
    <row r="23780">
      <c r="A23780" s="17"/>
      <c r="H23780" s="18"/>
      <c r="K23780" s="18" t="s">
        <v>316</v>
      </c>
    </row>
    <row r="23781">
      <c r="A23781" s="17"/>
      <c r="H23781" s="18"/>
      <c r="K23781" s="18" t="s">
        <v>316</v>
      </c>
    </row>
    <row r="23782">
      <c r="A23782" s="17"/>
      <c r="H23782" s="18"/>
      <c r="K23782" s="18" t="s">
        <v>316</v>
      </c>
    </row>
    <row r="23783">
      <c r="A23783" s="17"/>
      <c r="H23783" s="18"/>
      <c r="K23783" s="18" t="s">
        <v>316</v>
      </c>
    </row>
    <row r="23784">
      <c r="A23784" s="17"/>
      <c r="H23784" s="18"/>
      <c r="K23784" s="18" t="s">
        <v>316</v>
      </c>
    </row>
    <row r="23785">
      <c r="A23785" s="17"/>
      <c r="H23785" s="18"/>
      <c r="K23785" s="18" t="s">
        <v>316</v>
      </c>
    </row>
    <row r="23786">
      <c r="A23786" s="17"/>
      <c r="H23786" s="18"/>
      <c r="K23786" s="18" t="s">
        <v>316</v>
      </c>
    </row>
    <row r="23787">
      <c r="A23787" s="17"/>
      <c r="H23787" s="18"/>
      <c r="K23787" s="18" t="s">
        <v>316</v>
      </c>
    </row>
    <row r="23788">
      <c r="A23788" s="17"/>
      <c r="H23788" s="18"/>
      <c r="K23788" s="18" t="s">
        <v>316</v>
      </c>
    </row>
    <row r="23789">
      <c r="A23789" s="17"/>
      <c r="H23789" s="18"/>
      <c r="K23789" s="18" t="s">
        <v>316</v>
      </c>
    </row>
    <row r="23790">
      <c r="A23790" s="17"/>
      <c r="H23790" s="18"/>
      <c r="K23790" s="18" t="s">
        <v>316</v>
      </c>
    </row>
    <row r="23791">
      <c r="A23791" s="17"/>
      <c r="H23791" s="18"/>
      <c r="K23791" s="18" t="s">
        <v>316</v>
      </c>
    </row>
    <row r="23792">
      <c r="A23792" s="17"/>
      <c r="H23792" s="18"/>
      <c r="K23792" s="18" t="s">
        <v>316</v>
      </c>
    </row>
    <row r="23793">
      <c r="A23793" s="17"/>
      <c r="H23793" s="18"/>
      <c r="K23793" s="18" t="s">
        <v>316</v>
      </c>
    </row>
    <row r="23794">
      <c r="A23794" s="17"/>
      <c r="H23794" s="18"/>
      <c r="K23794" s="18" t="s">
        <v>316</v>
      </c>
    </row>
    <row r="23795">
      <c r="A23795" s="17"/>
      <c r="H23795" s="18"/>
      <c r="K23795" s="18" t="s">
        <v>316</v>
      </c>
    </row>
    <row r="23796">
      <c r="A23796" s="17"/>
      <c r="H23796" s="18"/>
      <c r="K23796" s="18" t="s">
        <v>316</v>
      </c>
    </row>
    <row r="23797">
      <c r="A23797" s="17"/>
      <c r="H23797" s="18"/>
      <c r="K23797" s="18" t="s">
        <v>316</v>
      </c>
    </row>
    <row r="23798">
      <c r="A23798" s="17"/>
      <c r="H23798" s="18"/>
      <c r="K23798" s="18" t="s">
        <v>316</v>
      </c>
    </row>
    <row r="23799">
      <c r="A23799" s="17"/>
      <c r="H23799" s="18"/>
      <c r="K23799" s="18" t="s">
        <v>316</v>
      </c>
    </row>
    <row r="23800">
      <c r="A23800" s="17"/>
      <c r="H23800" s="18"/>
      <c r="K23800" s="18" t="s">
        <v>316</v>
      </c>
    </row>
    <row r="23801">
      <c r="A23801" s="17"/>
      <c r="H23801" s="18"/>
      <c r="K23801" s="18" t="s">
        <v>316</v>
      </c>
    </row>
    <row r="23802">
      <c r="A23802" s="17"/>
      <c r="H23802" s="18"/>
      <c r="K23802" s="18" t="s">
        <v>316</v>
      </c>
    </row>
    <row r="23803">
      <c r="A23803" s="17"/>
      <c r="H23803" s="18"/>
      <c r="K23803" s="18" t="s">
        <v>316</v>
      </c>
    </row>
    <row r="23804">
      <c r="A23804" s="17"/>
      <c r="H23804" s="18"/>
      <c r="K23804" s="18" t="s">
        <v>316</v>
      </c>
    </row>
    <row r="23805">
      <c r="A23805" s="17"/>
      <c r="H23805" s="18"/>
      <c r="K23805" s="18" t="s">
        <v>316</v>
      </c>
    </row>
    <row r="23806">
      <c r="A23806" s="17"/>
      <c r="H23806" s="18"/>
      <c r="K23806" s="18" t="s">
        <v>316</v>
      </c>
    </row>
    <row r="23807">
      <c r="A23807" s="17"/>
      <c r="H23807" s="18"/>
      <c r="K23807" s="18" t="s">
        <v>316</v>
      </c>
    </row>
    <row r="23808">
      <c r="A23808" s="17"/>
      <c r="H23808" s="18"/>
      <c r="K23808" s="18" t="s">
        <v>316</v>
      </c>
    </row>
    <row r="23809">
      <c r="A23809" s="17"/>
      <c r="H23809" s="18"/>
      <c r="K23809" s="18" t="s">
        <v>316</v>
      </c>
    </row>
    <row r="23810">
      <c r="A23810" s="17"/>
      <c r="H23810" s="18"/>
      <c r="K23810" s="18" t="s">
        <v>316</v>
      </c>
    </row>
    <row r="23811">
      <c r="A23811" s="17"/>
      <c r="H23811" s="18"/>
      <c r="K23811" s="18" t="s">
        <v>316</v>
      </c>
    </row>
    <row r="23812">
      <c r="A23812" s="17"/>
      <c r="H23812" s="18"/>
      <c r="K23812" s="18" t="s">
        <v>316</v>
      </c>
    </row>
    <row r="23813">
      <c r="A23813" s="17"/>
      <c r="H23813" s="18"/>
      <c r="K23813" s="18" t="s">
        <v>316</v>
      </c>
    </row>
    <row r="23814">
      <c r="A23814" s="17"/>
      <c r="H23814" s="18"/>
      <c r="K23814" s="18" t="s">
        <v>316</v>
      </c>
    </row>
    <row r="23815">
      <c r="A23815" s="17"/>
      <c r="H23815" s="18"/>
      <c r="K23815" s="18" t="s">
        <v>316</v>
      </c>
    </row>
    <row r="23816">
      <c r="A23816" s="17"/>
      <c r="H23816" s="18"/>
      <c r="K23816" s="18" t="s">
        <v>316</v>
      </c>
    </row>
    <row r="23817">
      <c r="A23817" s="17"/>
      <c r="H23817" s="18"/>
      <c r="K23817" s="18" t="s">
        <v>316</v>
      </c>
    </row>
    <row r="23818">
      <c r="A23818" s="17"/>
      <c r="H23818" s="18"/>
      <c r="K23818" s="18" t="s">
        <v>316</v>
      </c>
    </row>
    <row r="23819">
      <c r="A23819" s="17"/>
      <c r="H23819" s="18"/>
      <c r="K23819" s="18" t="s">
        <v>316</v>
      </c>
    </row>
    <row r="23820">
      <c r="A23820" s="17"/>
      <c r="H23820" s="18"/>
      <c r="K23820" s="18" t="s">
        <v>316</v>
      </c>
    </row>
    <row r="23821">
      <c r="A23821" s="17"/>
      <c r="H23821" s="18"/>
      <c r="K23821" s="18" t="s">
        <v>316</v>
      </c>
    </row>
    <row r="23822">
      <c r="A23822" s="17"/>
      <c r="H23822" s="18"/>
      <c r="K23822" s="18" t="s">
        <v>316</v>
      </c>
    </row>
    <row r="23823">
      <c r="A23823" s="17"/>
      <c r="H23823" s="18"/>
      <c r="K23823" s="18" t="s">
        <v>316</v>
      </c>
    </row>
    <row r="23824">
      <c r="A23824" s="17"/>
      <c r="H23824" s="18"/>
      <c r="K23824" s="18" t="s">
        <v>316</v>
      </c>
    </row>
    <row r="23825">
      <c r="A23825" s="17"/>
      <c r="H23825" s="18"/>
      <c r="K23825" s="18" t="s">
        <v>316</v>
      </c>
    </row>
    <row r="23826">
      <c r="A23826" s="17"/>
      <c r="H23826" s="18"/>
      <c r="K23826" s="18" t="s">
        <v>316</v>
      </c>
    </row>
    <row r="23827">
      <c r="A23827" s="17"/>
      <c r="H23827" s="18"/>
      <c r="K23827" s="18" t="s">
        <v>316</v>
      </c>
    </row>
    <row r="23828">
      <c r="A23828" s="17"/>
      <c r="H23828" s="18"/>
      <c r="K23828" s="18" t="s">
        <v>316</v>
      </c>
    </row>
    <row r="23829">
      <c r="A23829" s="17"/>
      <c r="H23829" s="18"/>
      <c r="K23829" s="18" t="s">
        <v>316</v>
      </c>
    </row>
    <row r="23830">
      <c r="A23830" s="17"/>
      <c r="H23830" s="18"/>
      <c r="K23830" s="18" t="s">
        <v>316</v>
      </c>
    </row>
    <row r="23831">
      <c r="A23831" s="17"/>
      <c r="H23831" s="18"/>
      <c r="K23831" s="18" t="s">
        <v>316</v>
      </c>
    </row>
    <row r="23832">
      <c r="A23832" s="17"/>
      <c r="H23832" s="18"/>
      <c r="K23832" s="18" t="s">
        <v>316</v>
      </c>
    </row>
    <row r="23833">
      <c r="A23833" s="17"/>
      <c r="H23833" s="18"/>
      <c r="K23833" s="18" t="s">
        <v>316</v>
      </c>
    </row>
    <row r="23834">
      <c r="A23834" s="17"/>
      <c r="H23834" s="18"/>
      <c r="K23834" s="18" t="s">
        <v>316</v>
      </c>
    </row>
    <row r="23835">
      <c r="A23835" s="17"/>
      <c r="H23835" s="18"/>
      <c r="K23835" s="18" t="s">
        <v>316</v>
      </c>
    </row>
    <row r="23836">
      <c r="A23836" s="17"/>
      <c r="H23836" s="18"/>
      <c r="K23836" s="18" t="s">
        <v>316</v>
      </c>
    </row>
    <row r="23837">
      <c r="A23837" s="17"/>
      <c r="H23837" s="18"/>
      <c r="K23837" s="18" t="s">
        <v>316</v>
      </c>
    </row>
    <row r="23838">
      <c r="A23838" s="17"/>
      <c r="H23838" s="18"/>
      <c r="K23838" s="18" t="s">
        <v>316</v>
      </c>
    </row>
    <row r="23839">
      <c r="A23839" s="17"/>
      <c r="H23839" s="18"/>
      <c r="K23839" s="18" t="s">
        <v>316</v>
      </c>
    </row>
    <row r="23840">
      <c r="A23840" s="17"/>
      <c r="H23840" s="18"/>
      <c r="K23840" s="18" t="s">
        <v>316</v>
      </c>
    </row>
    <row r="23841">
      <c r="A23841" s="17"/>
      <c r="H23841" s="18"/>
      <c r="K23841" s="18" t="s">
        <v>316</v>
      </c>
    </row>
    <row r="23842">
      <c r="A23842" s="17"/>
      <c r="H23842" s="18"/>
      <c r="K23842" s="18" t="s">
        <v>316</v>
      </c>
    </row>
    <row r="23843">
      <c r="A23843" s="17"/>
      <c r="H23843" s="18"/>
      <c r="K23843" s="18" t="s">
        <v>316</v>
      </c>
    </row>
    <row r="23844">
      <c r="A23844" s="17"/>
      <c r="H23844" s="18"/>
      <c r="K23844" s="18" t="s">
        <v>316</v>
      </c>
    </row>
    <row r="23845">
      <c r="A23845" s="17"/>
      <c r="H23845" s="18"/>
      <c r="K23845" s="18" t="s">
        <v>316</v>
      </c>
    </row>
    <row r="23846">
      <c r="A23846" s="17"/>
      <c r="H23846" s="18"/>
      <c r="K23846" s="18" t="s">
        <v>316</v>
      </c>
    </row>
    <row r="23847">
      <c r="A23847" s="17"/>
      <c r="H23847" s="18"/>
      <c r="K23847" s="18" t="s">
        <v>316</v>
      </c>
    </row>
    <row r="23848">
      <c r="A23848" s="17"/>
      <c r="H23848" s="18"/>
      <c r="K23848" s="18" t="s">
        <v>316</v>
      </c>
    </row>
    <row r="23849">
      <c r="A23849" s="17"/>
      <c r="H23849" s="18"/>
      <c r="K23849" s="18" t="s">
        <v>316</v>
      </c>
    </row>
    <row r="23850">
      <c r="A23850" s="17"/>
      <c r="H23850" s="18"/>
      <c r="K23850" s="18" t="s">
        <v>316</v>
      </c>
    </row>
    <row r="23851">
      <c r="A23851" s="17"/>
      <c r="H23851" s="18"/>
      <c r="K23851" s="18" t="s">
        <v>316</v>
      </c>
    </row>
    <row r="23852">
      <c r="A23852" s="17"/>
      <c r="H23852" s="18"/>
      <c r="K23852" s="18" t="s">
        <v>316</v>
      </c>
    </row>
    <row r="23853">
      <c r="A23853" s="17"/>
      <c r="H23853" s="18"/>
      <c r="K23853" s="18" t="s">
        <v>316</v>
      </c>
    </row>
    <row r="23854">
      <c r="A23854" s="17"/>
      <c r="H23854" s="18"/>
      <c r="K23854" s="18" t="s">
        <v>316</v>
      </c>
    </row>
    <row r="23855">
      <c r="A23855" s="17"/>
      <c r="H23855" s="18"/>
      <c r="K23855" s="18" t="s">
        <v>316</v>
      </c>
    </row>
    <row r="23856">
      <c r="A23856" s="17"/>
      <c r="H23856" s="18"/>
      <c r="K23856" s="18" t="s">
        <v>316</v>
      </c>
    </row>
    <row r="23857">
      <c r="A23857" s="17"/>
      <c r="H23857" s="18"/>
      <c r="K23857" s="18" t="s">
        <v>316</v>
      </c>
    </row>
    <row r="23858">
      <c r="A23858" s="17"/>
      <c r="H23858" s="18"/>
      <c r="K23858" s="18" t="s">
        <v>316</v>
      </c>
    </row>
    <row r="23859">
      <c r="A23859" s="17"/>
      <c r="H23859" s="18"/>
      <c r="K23859" s="18" t="s">
        <v>316</v>
      </c>
    </row>
    <row r="23860">
      <c r="A23860" s="17"/>
      <c r="H23860" s="18"/>
      <c r="K23860" s="18" t="s">
        <v>316</v>
      </c>
    </row>
    <row r="23861">
      <c r="A23861" s="17"/>
      <c r="H23861" s="18"/>
      <c r="K23861" s="18" t="s">
        <v>316</v>
      </c>
    </row>
    <row r="23862">
      <c r="A23862" s="17"/>
      <c r="H23862" s="18"/>
      <c r="K23862" s="18" t="s">
        <v>316</v>
      </c>
    </row>
    <row r="23863">
      <c r="A23863" s="17"/>
      <c r="H23863" s="18"/>
      <c r="K23863" s="18" t="s">
        <v>316</v>
      </c>
    </row>
    <row r="23864">
      <c r="A23864" s="17"/>
      <c r="H23864" s="18"/>
      <c r="K23864" s="18" t="s">
        <v>316</v>
      </c>
    </row>
    <row r="23865">
      <c r="A23865" s="17"/>
      <c r="H23865" s="18"/>
      <c r="K23865" s="18" t="s">
        <v>316</v>
      </c>
    </row>
    <row r="23866">
      <c r="A23866" s="17"/>
      <c r="H23866" s="18"/>
      <c r="K23866" s="18" t="s">
        <v>316</v>
      </c>
    </row>
    <row r="23867">
      <c r="A23867" s="17"/>
      <c r="H23867" s="18"/>
      <c r="K23867" s="18" t="s">
        <v>316</v>
      </c>
    </row>
    <row r="23868">
      <c r="A23868" s="17"/>
      <c r="H23868" s="18"/>
      <c r="K23868" s="18" t="s">
        <v>316</v>
      </c>
    </row>
    <row r="23869">
      <c r="A23869" s="17"/>
      <c r="H23869" s="18"/>
      <c r="K23869" s="18" t="s">
        <v>316</v>
      </c>
    </row>
    <row r="23870">
      <c r="A23870" s="17"/>
      <c r="H23870" s="18"/>
      <c r="K23870" s="18" t="s">
        <v>316</v>
      </c>
    </row>
    <row r="23871">
      <c r="A23871" s="17"/>
      <c r="H23871" s="18"/>
      <c r="K23871" s="18" t="s">
        <v>316</v>
      </c>
    </row>
    <row r="23872">
      <c r="A23872" s="17"/>
      <c r="H23872" s="18"/>
      <c r="K23872" s="18" t="s">
        <v>316</v>
      </c>
    </row>
    <row r="23873">
      <c r="A23873" s="17"/>
      <c r="H23873" s="18"/>
      <c r="K23873" s="18" t="s">
        <v>316</v>
      </c>
    </row>
    <row r="23874">
      <c r="A23874" s="17"/>
      <c r="H23874" s="18"/>
      <c r="K23874" s="18" t="s">
        <v>316</v>
      </c>
    </row>
    <row r="23875">
      <c r="A23875" s="17"/>
      <c r="H23875" s="18"/>
      <c r="K23875" s="18" t="s">
        <v>316</v>
      </c>
    </row>
    <row r="23876">
      <c r="A23876" s="17"/>
      <c r="H23876" s="18"/>
      <c r="K23876" s="18" t="s">
        <v>316</v>
      </c>
    </row>
    <row r="23877">
      <c r="A23877" s="17"/>
      <c r="H23877" s="18"/>
      <c r="K23877" s="18" t="s">
        <v>316</v>
      </c>
    </row>
    <row r="23878">
      <c r="A23878" s="17"/>
      <c r="H23878" s="18"/>
      <c r="K23878" s="18" t="s">
        <v>316</v>
      </c>
    </row>
    <row r="23879">
      <c r="A23879" s="17"/>
      <c r="H23879" s="18"/>
      <c r="K23879" s="18" t="s">
        <v>316</v>
      </c>
    </row>
    <row r="23880">
      <c r="A23880" s="17"/>
      <c r="H23880" s="18"/>
      <c r="K23880" s="18" t="s">
        <v>316</v>
      </c>
    </row>
    <row r="23881">
      <c r="A23881" s="17"/>
      <c r="H23881" s="18"/>
      <c r="K23881" s="18" t="s">
        <v>316</v>
      </c>
    </row>
    <row r="23882">
      <c r="A23882" s="17"/>
      <c r="H23882" s="18"/>
      <c r="K23882" s="18" t="s">
        <v>316</v>
      </c>
    </row>
    <row r="23883">
      <c r="A23883" s="17"/>
      <c r="H23883" s="18"/>
      <c r="K23883" s="18" t="s">
        <v>316</v>
      </c>
    </row>
    <row r="23884">
      <c r="A23884" s="17"/>
      <c r="H23884" s="18"/>
      <c r="K23884" s="18" t="s">
        <v>316</v>
      </c>
    </row>
    <row r="23885">
      <c r="A23885" s="17"/>
      <c r="H23885" s="18"/>
      <c r="K23885" s="18" t="s">
        <v>316</v>
      </c>
    </row>
    <row r="23886">
      <c r="A23886" s="17"/>
      <c r="H23886" s="18"/>
      <c r="K23886" s="18" t="s">
        <v>316</v>
      </c>
    </row>
    <row r="23887">
      <c r="A23887" s="17"/>
      <c r="H23887" s="18"/>
      <c r="K23887" s="18" t="s">
        <v>316</v>
      </c>
    </row>
    <row r="23888">
      <c r="A23888" s="17"/>
      <c r="H23888" s="18"/>
      <c r="K23888" s="18" t="s">
        <v>316</v>
      </c>
    </row>
    <row r="23889">
      <c r="A23889" s="17"/>
      <c r="H23889" s="18"/>
      <c r="K23889" s="18" t="s">
        <v>316</v>
      </c>
    </row>
    <row r="23890">
      <c r="A23890" s="17"/>
      <c r="H23890" s="18"/>
      <c r="K23890" s="18" t="s">
        <v>316</v>
      </c>
    </row>
    <row r="23891">
      <c r="A23891" s="17"/>
      <c r="H23891" s="18"/>
      <c r="K23891" s="18" t="s">
        <v>316</v>
      </c>
    </row>
    <row r="23892">
      <c r="A23892" s="17"/>
      <c r="H23892" s="18"/>
      <c r="K23892" s="18" t="s">
        <v>316</v>
      </c>
    </row>
    <row r="23893">
      <c r="A23893" s="17"/>
      <c r="H23893" s="18"/>
      <c r="K23893" s="18" t="s">
        <v>316</v>
      </c>
    </row>
    <row r="23894">
      <c r="A23894" s="17"/>
      <c r="H23894" s="18"/>
      <c r="K23894" s="18" t="s">
        <v>316</v>
      </c>
    </row>
    <row r="23895">
      <c r="A23895" s="17"/>
      <c r="H23895" s="18"/>
      <c r="K23895" s="18" t="s">
        <v>316</v>
      </c>
    </row>
    <row r="23896">
      <c r="A23896" s="17"/>
      <c r="H23896" s="18"/>
      <c r="K23896" s="18" t="s">
        <v>316</v>
      </c>
    </row>
    <row r="23897">
      <c r="A23897" s="17"/>
      <c r="H23897" s="18"/>
      <c r="K23897" s="18" t="s">
        <v>316</v>
      </c>
    </row>
    <row r="23898">
      <c r="A23898" s="17"/>
      <c r="H23898" s="18"/>
      <c r="K23898" s="18" t="s">
        <v>316</v>
      </c>
    </row>
    <row r="23899">
      <c r="A23899" s="17"/>
      <c r="H23899" s="18"/>
      <c r="K23899" s="18" t="s">
        <v>316</v>
      </c>
    </row>
    <row r="23900">
      <c r="A23900" s="17"/>
      <c r="H23900" s="18"/>
      <c r="K23900" s="18" t="s">
        <v>316</v>
      </c>
    </row>
    <row r="23901">
      <c r="A23901" s="17"/>
      <c r="H23901" s="18"/>
      <c r="K23901" s="18" t="s">
        <v>316</v>
      </c>
    </row>
    <row r="23902">
      <c r="A23902" s="17"/>
      <c r="H23902" s="18"/>
      <c r="K23902" s="18" t="s">
        <v>316</v>
      </c>
    </row>
    <row r="23903">
      <c r="A23903" s="17"/>
      <c r="H23903" s="18"/>
      <c r="K23903" s="18" t="s">
        <v>316</v>
      </c>
    </row>
    <row r="23904">
      <c r="A23904" s="17"/>
      <c r="H23904" s="18"/>
      <c r="K23904" s="18" t="s">
        <v>316</v>
      </c>
    </row>
    <row r="23905">
      <c r="A23905" s="17"/>
      <c r="H23905" s="18"/>
      <c r="K23905" s="18" t="s">
        <v>316</v>
      </c>
    </row>
    <row r="23906">
      <c r="A23906" s="17"/>
      <c r="H23906" s="18"/>
      <c r="K23906" s="18" t="s">
        <v>316</v>
      </c>
    </row>
    <row r="23907">
      <c r="A23907" s="17"/>
      <c r="H23907" s="18"/>
      <c r="K23907" s="18" t="s">
        <v>316</v>
      </c>
    </row>
    <row r="23908">
      <c r="A23908" s="17"/>
      <c r="H23908" s="18"/>
      <c r="K23908" s="18" t="s">
        <v>316</v>
      </c>
    </row>
    <row r="23909">
      <c r="A23909" s="17"/>
      <c r="H23909" s="18"/>
      <c r="K23909" s="18" t="s">
        <v>316</v>
      </c>
    </row>
    <row r="23910">
      <c r="A23910" s="17"/>
      <c r="H23910" s="18"/>
      <c r="K23910" s="18" t="s">
        <v>316</v>
      </c>
    </row>
    <row r="23911">
      <c r="A23911" s="17"/>
      <c r="H23911" s="18"/>
      <c r="K23911" s="18" t="s">
        <v>316</v>
      </c>
    </row>
    <row r="23912">
      <c r="A23912" s="17"/>
      <c r="H23912" s="18"/>
      <c r="K23912" s="18" t="s">
        <v>316</v>
      </c>
    </row>
    <row r="23913">
      <c r="A23913" s="17"/>
      <c r="H23913" s="18"/>
      <c r="K23913" s="18" t="s">
        <v>316</v>
      </c>
    </row>
    <row r="23914">
      <c r="A23914" s="17"/>
      <c r="H23914" s="18"/>
      <c r="K23914" s="18" t="s">
        <v>316</v>
      </c>
    </row>
    <row r="23915">
      <c r="A23915" s="17"/>
      <c r="H23915" s="18"/>
      <c r="K23915" s="18" t="s">
        <v>316</v>
      </c>
    </row>
    <row r="23916">
      <c r="A23916" s="17"/>
      <c r="H23916" s="18"/>
      <c r="K23916" s="18" t="s">
        <v>316</v>
      </c>
    </row>
    <row r="23917">
      <c r="A23917" s="17"/>
      <c r="H23917" s="18"/>
      <c r="K23917" s="18" t="s">
        <v>316</v>
      </c>
    </row>
    <row r="23918">
      <c r="A23918" s="17"/>
      <c r="H23918" s="18"/>
      <c r="K23918" s="18" t="s">
        <v>316</v>
      </c>
    </row>
    <row r="23919">
      <c r="A23919" s="17"/>
      <c r="H23919" s="18"/>
      <c r="K23919" s="18" t="s">
        <v>316</v>
      </c>
    </row>
    <row r="23920">
      <c r="A23920" s="17"/>
      <c r="H23920" s="18"/>
      <c r="K23920" s="18" t="s">
        <v>316</v>
      </c>
    </row>
    <row r="23921">
      <c r="A23921" s="17"/>
      <c r="H23921" s="18"/>
      <c r="K23921" s="18" t="s">
        <v>316</v>
      </c>
    </row>
    <row r="23922">
      <c r="A23922" s="17"/>
      <c r="H23922" s="18"/>
      <c r="K23922" s="18" t="s">
        <v>316</v>
      </c>
    </row>
    <row r="23923">
      <c r="A23923" s="17"/>
      <c r="H23923" s="18"/>
      <c r="K23923" s="18" t="s">
        <v>316</v>
      </c>
    </row>
    <row r="23924">
      <c r="A23924" s="17"/>
      <c r="H23924" s="18"/>
      <c r="K23924" s="18" t="s">
        <v>316</v>
      </c>
    </row>
    <row r="23925">
      <c r="A23925" s="17"/>
      <c r="H23925" s="18"/>
      <c r="K23925" s="18" t="s">
        <v>316</v>
      </c>
    </row>
    <row r="23926">
      <c r="A23926" s="17"/>
      <c r="H23926" s="18"/>
      <c r="K23926" s="18" t="s">
        <v>316</v>
      </c>
    </row>
    <row r="23927">
      <c r="A23927" s="17"/>
      <c r="H23927" s="18"/>
      <c r="K23927" s="18" t="s">
        <v>316</v>
      </c>
    </row>
    <row r="23928">
      <c r="A23928" s="17"/>
      <c r="H23928" s="18"/>
      <c r="K23928" s="18" t="s">
        <v>316</v>
      </c>
    </row>
    <row r="23929">
      <c r="A23929" s="17"/>
      <c r="H23929" s="18"/>
      <c r="K23929" s="18" t="s">
        <v>316</v>
      </c>
    </row>
    <row r="23930">
      <c r="A23930" s="17"/>
      <c r="H23930" s="18"/>
      <c r="K23930" s="18" t="s">
        <v>316</v>
      </c>
    </row>
    <row r="23931">
      <c r="A23931" s="17"/>
      <c r="H23931" s="18"/>
      <c r="K23931" s="18" t="s">
        <v>316</v>
      </c>
    </row>
    <row r="23932">
      <c r="A23932" s="17"/>
      <c r="H23932" s="18"/>
      <c r="K23932" s="18" t="s">
        <v>316</v>
      </c>
    </row>
    <row r="23933">
      <c r="A23933" s="17"/>
      <c r="H23933" s="18"/>
      <c r="K23933" s="18" t="s">
        <v>316</v>
      </c>
    </row>
    <row r="23934">
      <c r="A23934" s="17"/>
      <c r="H23934" s="18"/>
      <c r="K23934" s="18" t="s">
        <v>316</v>
      </c>
    </row>
    <row r="23935">
      <c r="A23935" s="17"/>
      <c r="H23935" s="18"/>
      <c r="K23935" s="18" t="s">
        <v>316</v>
      </c>
    </row>
    <row r="23936">
      <c r="A23936" s="17"/>
      <c r="H23936" s="18"/>
      <c r="K23936" s="18" t="s">
        <v>316</v>
      </c>
    </row>
    <row r="23937">
      <c r="A23937" s="17"/>
      <c r="H23937" s="18"/>
      <c r="K23937" s="18" t="s">
        <v>316</v>
      </c>
    </row>
    <row r="23938">
      <c r="A23938" s="17"/>
      <c r="H23938" s="18"/>
      <c r="K23938" s="18" t="s">
        <v>316</v>
      </c>
    </row>
    <row r="23939">
      <c r="A23939" s="17"/>
      <c r="H23939" s="18"/>
      <c r="K23939" s="18" t="s">
        <v>316</v>
      </c>
    </row>
    <row r="23940">
      <c r="A23940" s="17"/>
      <c r="H23940" s="18"/>
      <c r="K23940" s="18" t="s">
        <v>316</v>
      </c>
    </row>
    <row r="23941">
      <c r="A23941" s="17"/>
      <c r="H23941" s="18"/>
      <c r="K23941" s="18" t="s">
        <v>316</v>
      </c>
    </row>
    <row r="23942">
      <c r="A23942" s="17"/>
      <c r="H23942" s="18"/>
      <c r="K23942" s="18" t="s">
        <v>316</v>
      </c>
    </row>
    <row r="23943">
      <c r="A23943" s="17"/>
      <c r="H23943" s="18"/>
      <c r="K23943" s="18" t="s">
        <v>316</v>
      </c>
    </row>
    <row r="23944">
      <c r="A23944" s="17"/>
      <c r="H23944" s="18"/>
      <c r="K23944" s="18" t="s">
        <v>316</v>
      </c>
    </row>
    <row r="23945">
      <c r="A23945" s="17"/>
      <c r="H23945" s="18"/>
      <c r="K23945" s="18" t="s">
        <v>316</v>
      </c>
    </row>
    <row r="23946">
      <c r="A23946" s="17"/>
      <c r="H23946" s="18"/>
      <c r="K23946" s="18" t="s">
        <v>316</v>
      </c>
    </row>
    <row r="23947">
      <c r="A23947" s="17"/>
      <c r="H23947" s="18"/>
      <c r="K23947" s="18" t="s">
        <v>316</v>
      </c>
    </row>
    <row r="23948">
      <c r="A23948" s="17"/>
      <c r="H23948" s="18"/>
      <c r="K23948" s="18" t="s">
        <v>316</v>
      </c>
    </row>
    <row r="23949">
      <c r="A23949" s="17"/>
      <c r="H23949" s="18"/>
      <c r="K23949" s="18" t="s">
        <v>316</v>
      </c>
    </row>
    <row r="23950">
      <c r="A23950" s="17"/>
      <c r="H23950" s="18"/>
      <c r="K23950" s="18" t="s">
        <v>316</v>
      </c>
    </row>
    <row r="23951">
      <c r="A23951" s="17"/>
      <c r="H23951" s="18"/>
      <c r="K23951" s="18" t="s">
        <v>316</v>
      </c>
    </row>
    <row r="23952">
      <c r="A23952" s="17"/>
      <c r="H23952" s="18"/>
      <c r="K23952" s="18" t="s">
        <v>316</v>
      </c>
    </row>
    <row r="23953">
      <c r="A23953" s="17"/>
      <c r="H23953" s="18"/>
      <c r="K23953" s="18" t="s">
        <v>316</v>
      </c>
    </row>
    <row r="23954">
      <c r="A23954" s="17"/>
      <c r="H23954" s="18"/>
      <c r="K23954" s="18" t="s">
        <v>316</v>
      </c>
    </row>
    <row r="23955">
      <c r="A23955" s="17"/>
      <c r="H23955" s="18"/>
      <c r="K23955" s="18" t="s">
        <v>316</v>
      </c>
    </row>
    <row r="23956">
      <c r="A23956" s="17"/>
      <c r="H23956" s="18"/>
      <c r="K23956" s="18" t="s">
        <v>316</v>
      </c>
    </row>
    <row r="23957">
      <c r="A23957" s="17"/>
      <c r="H23957" s="18"/>
      <c r="K23957" s="18" t="s">
        <v>316</v>
      </c>
    </row>
    <row r="23958">
      <c r="A23958" s="17"/>
      <c r="H23958" s="18"/>
      <c r="K23958" s="18" t="s">
        <v>316</v>
      </c>
    </row>
    <row r="23959">
      <c r="A23959" s="17"/>
      <c r="H23959" s="18"/>
      <c r="K23959" s="18" t="s">
        <v>316</v>
      </c>
    </row>
    <row r="23960">
      <c r="A23960" s="17"/>
      <c r="H23960" s="18"/>
      <c r="K23960" s="18" t="s">
        <v>316</v>
      </c>
    </row>
    <row r="23961">
      <c r="A23961" s="17"/>
      <c r="H23961" s="18"/>
      <c r="K23961" s="18" t="s">
        <v>316</v>
      </c>
    </row>
    <row r="23962">
      <c r="A23962" s="17"/>
      <c r="H23962" s="18"/>
      <c r="K23962" s="18" t="s">
        <v>316</v>
      </c>
    </row>
    <row r="23963">
      <c r="A23963" s="17"/>
      <c r="H23963" s="18"/>
      <c r="K23963" s="18" t="s">
        <v>316</v>
      </c>
    </row>
    <row r="23964">
      <c r="A23964" s="17"/>
      <c r="H23964" s="18"/>
      <c r="K23964" s="18" t="s">
        <v>316</v>
      </c>
    </row>
    <row r="23965">
      <c r="A23965" s="17"/>
      <c r="H23965" s="18"/>
      <c r="K23965" s="18" t="s">
        <v>316</v>
      </c>
    </row>
    <row r="23966">
      <c r="A23966" s="17"/>
      <c r="H23966" s="18"/>
      <c r="K23966" s="18" t="s">
        <v>316</v>
      </c>
    </row>
    <row r="23967">
      <c r="A23967" s="17"/>
      <c r="H23967" s="18"/>
      <c r="K23967" s="18" t="s">
        <v>316</v>
      </c>
    </row>
    <row r="23968">
      <c r="A23968" s="17"/>
      <c r="H23968" s="18"/>
      <c r="K23968" s="18" t="s">
        <v>316</v>
      </c>
    </row>
    <row r="23969">
      <c r="A23969" s="17"/>
      <c r="H23969" s="18"/>
      <c r="K23969" s="18" t="s">
        <v>316</v>
      </c>
    </row>
    <row r="23970">
      <c r="A23970" s="17"/>
      <c r="H23970" s="18"/>
      <c r="K23970" s="18" t="s">
        <v>316</v>
      </c>
    </row>
    <row r="23971">
      <c r="A23971" s="17"/>
      <c r="H23971" s="18"/>
      <c r="K23971" s="18" t="s">
        <v>316</v>
      </c>
    </row>
    <row r="23972">
      <c r="A23972" s="17"/>
      <c r="H23972" s="18"/>
      <c r="K23972" s="18" t="s">
        <v>316</v>
      </c>
    </row>
    <row r="23973">
      <c r="A23973" s="17"/>
      <c r="H23973" s="18"/>
      <c r="K23973" s="18" t="s">
        <v>316</v>
      </c>
    </row>
    <row r="23974">
      <c r="A23974" s="17"/>
      <c r="H23974" s="18"/>
      <c r="K23974" s="18" t="s">
        <v>316</v>
      </c>
    </row>
    <row r="23975">
      <c r="A23975" s="17"/>
      <c r="H23975" s="18"/>
      <c r="K23975" s="18" t="s">
        <v>316</v>
      </c>
    </row>
    <row r="23976">
      <c r="A23976" s="17"/>
      <c r="H23976" s="18"/>
      <c r="K23976" s="18" t="s">
        <v>316</v>
      </c>
    </row>
    <row r="23977">
      <c r="A23977" s="17"/>
      <c r="H23977" s="18"/>
      <c r="K23977" s="18" t="s">
        <v>316</v>
      </c>
    </row>
    <row r="23978">
      <c r="A23978" s="17"/>
      <c r="H23978" s="18"/>
      <c r="K23978" s="18" t="s">
        <v>316</v>
      </c>
    </row>
    <row r="23979">
      <c r="A23979" s="17"/>
      <c r="H23979" s="18"/>
      <c r="K23979" s="18" t="s">
        <v>316</v>
      </c>
    </row>
    <row r="23980">
      <c r="A23980" s="17"/>
      <c r="H23980" s="18"/>
      <c r="K23980" s="18" t="s">
        <v>316</v>
      </c>
    </row>
    <row r="23981">
      <c r="A23981" s="17"/>
      <c r="H23981" s="18"/>
      <c r="K23981" s="18" t="s">
        <v>316</v>
      </c>
    </row>
    <row r="23982">
      <c r="A23982" s="17"/>
      <c r="H23982" s="18"/>
      <c r="K23982" s="18" t="s">
        <v>316</v>
      </c>
    </row>
    <row r="23983">
      <c r="A23983" s="17"/>
      <c r="H23983" s="18"/>
      <c r="K23983" s="18" t="s">
        <v>316</v>
      </c>
    </row>
    <row r="23984">
      <c r="A23984" s="17"/>
      <c r="H23984" s="18"/>
      <c r="K23984" s="18" t="s">
        <v>316</v>
      </c>
    </row>
    <row r="23985">
      <c r="A23985" s="17"/>
      <c r="H23985" s="18"/>
      <c r="K23985" s="18" t="s">
        <v>316</v>
      </c>
    </row>
    <row r="23986">
      <c r="A23986" s="17"/>
      <c r="H23986" s="18"/>
      <c r="K23986" s="18" t="s">
        <v>316</v>
      </c>
    </row>
    <row r="23987">
      <c r="A23987" s="17"/>
      <c r="H23987" s="18"/>
      <c r="K23987" s="18" t="s">
        <v>316</v>
      </c>
    </row>
    <row r="23988">
      <c r="A23988" s="17"/>
      <c r="H23988" s="18"/>
      <c r="K23988" s="18" t="s">
        <v>316</v>
      </c>
    </row>
    <row r="23989">
      <c r="A23989" s="17"/>
      <c r="H23989" s="18"/>
      <c r="K23989" s="18" t="s">
        <v>316</v>
      </c>
    </row>
    <row r="23990">
      <c r="A23990" s="17"/>
      <c r="H23990" s="18"/>
      <c r="K23990" s="18" t="s">
        <v>316</v>
      </c>
    </row>
    <row r="23991">
      <c r="A23991" s="17"/>
      <c r="H23991" s="18"/>
      <c r="K23991" s="18" t="s">
        <v>316</v>
      </c>
    </row>
    <row r="23992">
      <c r="A23992" s="17"/>
      <c r="H23992" s="18"/>
      <c r="K23992" s="18" t="s">
        <v>316</v>
      </c>
    </row>
    <row r="23993">
      <c r="A23993" s="17"/>
      <c r="H23993" s="18"/>
      <c r="K23993" s="18" t="s">
        <v>316</v>
      </c>
    </row>
    <row r="23994">
      <c r="A23994" s="17"/>
      <c r="H23994" s="18"/>
      <c r="K23994" s="18" t="s">
        <v>316</v>
      </c>
    </row>
    <row r="23995">
      <c r="A23995" s="17"/>
      <c r="H23995" s="18"/>
      <c r="K23995" s="18" t="s">
        <v>316</v>
      </c>
    </row>
    <row r="23996">
      <c r="A23996" s="17"/>
      <c r="H23996" s="18"/>
      <c r="K23996" s="18" t="s">
        <v>316</v>
      </c>
    </row>
    <row r="23997">
      <c r="A23997" s="17"/>
      <c r="H23997" s="18"/>
      <c r="K23997" s="18" t="s">
        <v>316</v>
      </c>
    </row>
    <row r="23998">
      <c r="A23998" s="17"/>
      <c r="H23998" s="18"/>
      <c r="K23998" s="18" t="s">
        <v>316</v>
      </c>
    </row>
    <row r="23999">
      <c r="A23999" s="17"/>
      <c r="H23999" s="18"/>
      <c r="K23999" s="18" t="s">
        <v>316</v>
      </c>
    </row>
    <row r="24000">
      <c r="A24000" s="17"/>
      <c r="H24000" s="18"/>
      <c r="K24000" s="18" t="s">
        <v>316</v>
      </c>
    </row>
    <row r="24001">
      <c r="A24001" s="17"/>
      <c r="H24001" s="18"/>
      <c r="K24001" s="18" t="s">
        <v>316</v>
      </c>
    </row>
    <row r="24002">
      <c r="A24002" s="17"/>
      <c r="H24002" s="18"/>
      <c r="K24002" s="18" t="s">
        <v>316</v>
      </c>
    </row>
    <row r="24003">
      <c r="A24003" s="17"/>
      <c r="H24003" s="18"/>
      <c r="K24003" s="18" t="s">
        <v>316</v>
      </c>
    </row>
    <row r="24004">
      <c r="A24004" s="17"/>
      <c r="H24004" s="18"/>
      <c r="K24004" s="18" t="s">
        <v>316</v>
      </c>
    </row>
    <row r="24005">
      <c r="A24005" s="17"/>
      <c r="H24005" s="18"/>
      <c r="K24005" s="18" t="s">
        <v>316</v>
      </c>
    </row>
    <row r="24006">
      <c r="A24006" s="17"/>
      <c r="H24006" s="18"/>
      <c r="K24006" s="18" t="s">
        <v>316</v>
      </c>
    </row>
    <row r="24007">
      <c r="A24007" s="17"/>
      <c r="H24007" s="18"/>
      <c r="K24007" s="18" t="s">
        <v>316</v>
      </c>
    </row>
    <row r="24008">
      <c r="A24008" s="17"/>
      <c r="H24008" s="18"/>
      <c r="K24008" s="18" t="s">
        <v>316</v>
      </c>
    </row>
    <row r="24009">
      <c r="A24009" s="17"/>
      <c r="H24009" s="18"/>
      <c r="K24009" s="18" t="s">
        <v>316</v>
      </c>
    </row>
    <row r="24010">
      <c r="A24010" s="17"/>
      <c r="H24010" s="18"/>
      <c r="K24010" s="18" t="s">
        <v>316</v>
      </c>
    </row>
    <row r="24011">
      <c r="A24011" s="17"/>
      <c r="H24011" s="18"/>
      <c r="K24011" s="18" t="s">
        <v>316</v>
      </c>
    </row>
    <row r="24012">
      <c r="A24012" s="17"/>
      <c r="H24012" s="18"/>
      <c r="K24012" s="18" t="s">
        <v>316</v>
      </c>
    </row>
    <row r="24013">
      <c r="A24013" s="17"/>
      <c r="H24013" s="18"/>
      <c r="K24013" s="18" t="s">
        <v>316</v>
      </c>
    </row>
    <row r="24014">
      <c r="A24014" s="17"/>
      <c r="H24014" s="18"/>
      <c r="K24014" s="18" t="s">
        <v>316</v>
      </c>
    </row>
    <row r="24015">
      <c r="A24015" s="17"/>
      <c r="H24015" s="18"/>
      <c r="K24015" s="18" t="s">
        <v>316</v>
      </c>
    </row>
    <row r="24016">
      <c r="A24016" s="17"/>
      <c r="H24016" s="18"/>
      <c r="K24016" s="18" t="s">
        <v>316</v>
      </c>
    </row>
    <row r="24017">
      <c r="A24017" s="17"/>
      <c r="H24017" s="18"/>
      <c r="K24017" s="18" t="s">
        <v>316</v>
      </c>
    </row>
    <row r="24018">
      <c r="A24018" s="17"/>
      <c r="H24018" s="18"/>
      <c r="K24018" s="18" t="s">
        <v>316</v>
      </c>
    </row>
    <row r="24019">
      <c r="A24019" s="17"/>
      <c r="H24019" s="18"/>
      <c r="K24019" s="18" t="s">
        <v>316</v>
      </c>
    </row>
    <row r="24020">
      <c r="A24020" s="17"/>
      <c r="H24020" s="18"/>
      <c r="K24020" s="18" t="s">
        <v>316</v>
      </c>
    </row>
    <row r="24021">
      <c r="A24021" s="17"/>
      <c r="H24021" s="18"/>
      <c r="K24021" s="18" t="s">
        <v>316</v>
      </c>
    </row>
    <row r="24022">
      <c r="A24022" s="17"/>
      <c r="H24022" s="18"/>
      <c r="K24022" s="18" t="s">
        <v>316</v>
      </c>
    </row>
    <row r="24023">
      <c r="A24023" s="17"/>
      <c r="H24023" s="18"/>
      <c r="K24023" s="18" t="s">
        <v>316</v>
      </c>
    </row>
    <row r="24024">
      <c r="A24024" s="17"/>
      <c r="H24024" s="18"/>
      <c r="K24024" s="18" t="s">
        <v>316</v>
      </c>
    </row>
    <row r="24025">
      <c r="A24025" s="17"/>
      <c r="H24025" s="18"/>
      <c r="K24025" s="18" t="s">
        <v>316</v>
      </c>
    </row>
    <row r="24026">
      <c r="A24026" s="17"/>
      <c r="H24026" s="18"/>
      <c r="K24026" s="18" t="s">
        <v>316</v>
      </c>
    </row>
    <row r="24027">
      <c r="A24027" s="17"/>
      <c r="H24027" s="18"/>
      <c r="K24027" s="18" t="s">
        <v>316</v>
      </c>
    </row>
    <row r="24028">
      <c r="A24028" s="17"/>
      <c r="H24028" s="18"/>
      <c r="K24028" s="18" t="s">
        <v>316</v>
      </c>
    </row>
    <row r="24029">
      <c r="A24029" s="17"/>
      <c r="H24029" s="18"/>
      <c r="K24029" s="18" t="s">
        <v>316</v>
      </c>
    </row>
    <row r="24030">
      <c r="A24030" s="17"/>
      <c r="H24030" s="18"/>
      <c r="K24030" s="18" t="s">
        <v>316</v>
      </c>
    </row>
    <row r="24031">
      <c r="A24031" s="17"/>
      <c r="H24031" s="18"/>
      <c r="K24031" s="18" t="s">
        <v>316</v>
      </c>
    </row>
    <row r="24032">
      <c r="A24032" s="17"/>
      <c r="H24032" s="18"/>
      <c r="K24032" s="18" t="s">
        <v>316</v>
      </c>
    </row>
    <row r="24033">
      <c r="A24033" s="17"/>
      <c r="H24033" s="18"/>
      <c r="K24033" s="18" t="s">
        <v>316</v>
      </c>
    </row>
    <row r="24034">
      <c r="A24034" s="17"/>
      <c r="H24034" s="18"/>
      <c r="K24034" s="18" t="s">
        <v>316</v>
      </c>
    </row>
    <row r="24035">
      <c r="A24035" s="17"/>
      <c r="H24035" s="18"/>
      <c r="K24035" s="18" t="s">
        <v>316</v>
      </c>
    </row>
    <row r="24036">
      <c r="A24036" s="17"/>
      <c r="H24036" s="18"/>
      <c r="K24036" s="18" t="s">
        <v>316</v>
      </c>
    </row>
    <row r="24037">
      <c r="A24037" s="17"/>
      <c r="H24037" s="18"/>
      <c r="K24037" s="18" t="s">
        <v>316</v>
      </c>
    </row>
    <row r="24038">
      <c r="A24038" s="17"/>
      <c r="H24038" s="18"/>
      <c r="K24038" s="18" t="s">
        <v>316</v>
      </c>
    </row>
    <row r="24039">
      <c r="A24039" s="17"/>
      <c r="H24039" s="18"/>
      <c r="K24039" s="18" t="s">
        <v>316</v>
      </c>
    </row>
    <row r="24040">
      <c r="A24040" s="17"/>
      <c r="H24040" s="18"/>
      <c r="K24040" s="18" t="s">
        <v>316</v>
      </c>
    </row>
    <row r="24041">
      <c r="A24041" s="17"/>
      <c r="H24041" s="18"/>
      <c r="K24041" s="18" t="s">
        <v>316</v>
      </c>
    </row>
    <row r="24042">
      <c r="A24042" s="17"/>
      <c r="H24042" s="18"/>
      <c r="K24042" s="18" t="s">
        <v>316</v>
      </c>
    </row>
    <row r="24043">
      <c r="A24043" s="17"/>
      <c r="H24043" s="18"/>
      <c r="K24043" s="18" t="s">
        <v>316</v>
      </c>
    </row>
    <row r="24044">
      <c r="A24044" s="17"/>
      <c r="H24044" s="18"/>
      <c r="K24044" s="18" t="s">
        <v>316</v>
      </c>
    </row>
    <row r="24045">
      <c r="A24045" s="17"/>
      <c r="H24045" s="18"/>
      <c r="K24045" s="18" t="s">
        <v>316</v>
      </c>
    </row>
    <row r="24046">
      <c r="A24046" s="17"/>
      <c r="H24046" s="18"/>
      <c r="K24046" s="18" t="s">
        <v>316</v>
      </c>
    </row>
    <row r="24047">
      <c r="A24047" s="17"/>
      <c r="H24047" s="18"/>
      <c r="K24047" s="18" t="s">
        <v>316</v>
      </c>
    </row>
    <row r="24048">
      <c r="A24048" s="17"/>
      <c r="H24048" s="18"/>
      <c r="K24048" s="18" t="s">
        <v>316</v>
      </c>
    </row>
    <row r="24049">
      <c r="A24049" s="17"/>
      <c r="H24049" s="18"/>
      <c r="K24049" s="18" t="s">
        <v>316</v>
      </c>
    </row>
    <row r="24050">
      <c r="A24050" s="17"/>
      <c r="H24050" s="18"/>
      <c r="K24050" s="18" t="s">
        <v>316</v>
      </c>
    </row>
    <row r="24051">
      <c r="A24051" s="17"/>
      <c r="H24051" s="18"/>
      <c r="K24051" s="18" t="s">
        <v>316</v>
      </c>
    </row>
    <row r="24052">
      <c r="A24052" s="17"/>
      <c r="H24052" s="18"/>
      <c r="K24052" s="18" t="s">
        <v>316</v>
      </c>
    </row>
    <row r="24053">
      <c r="A24053" s="17"/>
      <c r="H24053" s="18"/>
      <c r="K24053" s="18" t="s">
        <v>316</v>
      </c>
    </row>
    <row r="24054">
      <c r="A24054" s="17"/>
      <c r="H24054" s="18"/>
      <c r="K24054" s="18" t="s">
        <v>316</v>
      </c>
    </row>
    <row r="24055">
      <c r="A24055" s="17"/>
      <c r="H24055" s="18"/>
      <c r="K24055" s="18" t="s">
        <v>316</v>
      </c>
    </row>
    <row r="24056">
      <c r="A24056" s="17"/>
      <c r="H24056" s="18"/>
      <c r="K24056" s="18" t="s">
        <v>316</v>
      </c>
    </row>
    <row r="24057">
      <c r="A24057" s="17"/>
      <c r="H24057" s="18"/>
      <c r="K24057" s="18" t="s">
        <v>316</v>
      </c>
    </row>
    <row r="24058">
      <c r="A24058" s="17"/>
      <c r="H24058" s="18"/>
      <c r="K24058" s="18" t="s">
        <v>316</v>
      </c>
    </row>
    <row r="24059">
      <c r="A24059" s="17"/>
      <c r="H24059" s="18"/>
      <c r="K24059" s="18" t="s">
        <v>316</v>
      </c>
    </row>
    <row r="24060">
      <c r="A24060" s="17"/>
      <c r="H24060" s="18"/>
      <c r="K24060" s="18" t="s">
        <v>316</v>
      </c>
    </row>
    <row r="24061">
      <c r="A24061" s="17"/>
      <c r="H24061" s="18"/>
      <c r="K24061" s="18" t="s">
        <v>316</v>
      </c>
    </row>
    <row r="24062">
      <c r="A24062" s="17"/>
      <c r="H24062" s="18"/>
      <c r="K24062" s="18" t="s">
        <v>316</v>
      </c>
    </row>
    <row r="24063">
      <c r="A24063" s="17"/>
      <c r="H24063" s="18"/>
      <c r="K24063" s="18" t="s">
        <v>316</v>
      </c>
    </row>
    <row r="24064">
      <c r="A24064" s="17"/>
      <c r="H24064" s="18"/>
      <c r="K24064" s="18" t="s">
        <v>316</v>
      </c>
    </row>
    <row r="24065">
      <c r="A24065" s="17"/>
      <c r="H24065" s="18"/>
      <c r="K24065" s="18" t="s">
        <v>316</v>
      </c>
    </row>
    <row r="24066">
      <c r="A24066" s="17"/>
      <c r="H24066" s="18"/>
      <c r="K24066" s="18" t="s">
        <v>316</v>
      </c>
    </row>
    <row r="24067">
      <c r="A24067" s="17"/>
      <c r="H24067" s="18"/>
      <c r="K24067" s="18" t="s">
        <v>316</v>
      </c>
    </row>
    <row r="24068">
      <c r="A24068" s="17"/>
      <c r="H24068" s="18"/>
      <c r="K24068" s="18" t="s">
        <v>316</v>
      </c>
    </row>
    <row r="24069">
      <c r="A24069" s="17"/>
      <c r="H24069" s="18"/>
      <c r="K24069" s="18" t="s">
        <v>316</v>
      </c>
    </row>
    <row r="24070">
      <c r="A24070" s="17"/>
      <c r="H24070" s="18"/>
      <c r="K24070" s="18" t="s">
        <v>316</v>
      </c>
    </row>
    <row r="24071">
      <c r="A24071" s="17"/>
      <c r="H24071" s="18"/>
      <c r="K24071" s="18" t="s">
        <v>316</v>
      </c>
    </row>
    <row r="24072">
      <c r="A24072" s="17"/>
      <c r="H24072" s="18"/>
      <c r="K24072" s="18" t="s">
        <v>316</v>
      </c>
    </row>
    <row r="24073">
      <c r="A24073" s="17"/>
      <c r="H24073" s="18"/>
      <c r="K24073" s="18" t="s">
        <v>316</v>
      </c>
    </row>
    <row r="24074">
      <c r="A24074" s="17"/>
      <c r="H24074" s="18"/>
      <c r="K24074" s="18" t="s">
        <v>316</v>
      </c>
    </row>
    <row r="24075">
      <c r="A24075" s="17"/>
      <c r="H24075" s="18"/>
      <c r="K24075" s="18" t="s">
        <v>316</v>
      </c>
    </row>
    <row r="24076">
      <c r="A24076" s="17"/>
      <c r="H24076" s="18"/>
      <c r="K24076" s="18" t="s">
        <v>316</v>
      </c>
    </row>
    <row r="24077">
      <c r="A24077" s="17"/>
      <c r="H24077" s="18"/>
      <c r="K24077" s="18" t="s">
        <v>316</v>
      </c>
    </row>
    <row r="24078">
      <c r="A24078" s="17"/>
      <c r="H24078" s="18"/>
      <c r="K24078" s="18" t="s">
        <v>316</v>
      </c>
    </row>
    <row r="24079">
      <c r="A24079" s="17"/>
      <c r="H24079" s="18"/>
      <c r="K24079" s="18" t="s">
        <v>316</v>
      </c>
    </row>
    <row r="24080">
      <c r="A24080" s="17"/>
      <c r="H24080" s="18"/>
      <c r="K24080" s="18" t="s">
        <v>316</v>
      </c>
    </row>
    <row r="24081">
      <c r="A24081" s="17"/>
      <c r="H24081" s="18"/>
      <c r="K24081" s="18" t="s">
        <v>316</v>
      </c>
    </row>
    <row r="24082">
      <c r="A24082" s="17"/>
      <c r="H24082" s="18"/>
      <c r="K24082" s="18" t="s">
        <v>316</v>
      </c>
    </row>
    <row r="24083">
      <c r="A24083" s="17"/>
      <c r="H24083" s="18"/>
      <c r="K24083" s="18" t="s">
        <v>316</v>
      </c>
    </row>
    <row r="24084">
      <c r="A24084" s="17"/>
      <c r="H24084" s="18"/>
      <c r="K24084" s="18" t="s">
        <v>316</v>
      </c>
    </row>
    <row r="24085">
      <c r="A24085" s="17"/>
      <c r="H24085" s="18"/>
      <c r="K24085" s="18" t="s">
        <v>316</v>
      </c>
    </row>
    <row r="24086">
      <c r="A24086" s="17"/>
      <c r="H24086" s="18"/>
      <c r="K24086" s="18" t="s">
        <v>316</v>
      </c>
    </row>
    <row r="24087">
      <c r="A24087" s="17"/>
      <c r="H24087" s="18"/>
      <c r="K24087" s="18" t="s">
        <v>316</v>
      </c>
    </row>
    <row r="24088">
      <c r="A24088" s="17"/>
      <c r="H24088" s="18"/>
      <c r="K24088" s="18" t="s">
        <v>316</v>
      </c>
    </row>
    <row r="24089">
      <c r="A24089" s="17"/>
      <c r="H24089" s="18"/>
      <c r="K24089" s="18" t="s">
        <v>316</v>
      </c>
    </row>
    <row r="24090">
      <c r="A24090" s="17"/>
      <c r="H24090" s="18"/>
      <c r="K24090" s="18" t="s">
        <v>316</v>
      </c>
    </row>
    <row r="24091">
      <c r="A24091" s="17"/>
      <c r="H24091" s="18"/>
      <c r="K24091" s="18" t="s">
        <v>316</v>
      </c>
    </row>
    <row r="24092">
      <c r="A24092" s="17"/>
      <c r="H24092" s="18"/>
      <c r="K24092" s="18" t="s">
        <v>316</v>
      </c>
    </row>
    <row r="24093">
      <c r="A24093" s="17"/>
      <c r="H24093" s="18"/>
      <c r="K24093" s="18" t="s">
        <v>316</v>
      </c>
    </row>
    <row r="24094">
      <c r="A24094" s="17"/>
      <c r="H24094" s="18"/>
      <c r="K24094" s="18" t="s">
        <v>316</v>
      </c>
    </row>
    <row r="24095">
      <c r="A24095" s="17"/>
      <c r="H24095" s="18"/>
      <c r="K24095" s="18" t="s">
        <v>316</v>
      </c>
    </row>
    <row r="24096">
      <c r="A24096" s="17"/>
      <c r="H24096" s="18"/>
      <c r="K24096" s="18" t="s">
        <v>316</v>
      </c>
    </row>
    <row r="24097">
      <c r="A24097" s="17"/>
      <c r="H24097" s="18"/>
      <c r="K24097" s="18" t="s">
        <v>316</v>
      </c>
    </row>
    <row r="24098">
      <c r="A24098" s="17"/>
      <c r="H24098" s="18"/>
      <c r="K24098" s="18" t="s">
        <v>316</v>
      </c>
    </row>
    <row r="24099">
      <c r="A24099" s="17"/>
      <c r="H24099" s="18"/>
      <c r="K24099" s="18" t="s">
        <v>316</v>
      </c>
    </row>
    <row r="24100">
      <c r="A24100" s="17"/>
      <c r="H24100" s="18"/>
      <c r="K24100" s="18" t="s">
        <v>316</v>
      </c>
    </row>
    <row r="24101">
      <c r="A24101" s="17"/>
      <c r="H24101" s="18"/>
      <c r="K24101" s="18" t="s">
        <v>316</v>
      </c>
    </row>
    <row r="24102">
      <c r="A24102" s="17"/>
      <c r="H24102" s="18"/>
      <c r="K24102" s="18" t="s">
        <v>316</v>
      </c>
    </row>
    <row r="24103">
      <c r="A24103" s="17"/>
      <c r="H24103" s="18"/>
      <c r="K24103" s="18" t="s">
        <v>316</v>
      </c>
    </row>
    <row r="24104">
      <c r="A24104" s="17"/>
      <c r="H24104" s="18"/>
      <c r="K24104" s="18" t="s">
        <v>316</v>
      </c>
    </row>
    <row r="24105">
      <c r="A24105" s="17"/>
      <c r="H24105" s="18"/>
      <c r="K24105" s="18" t="s">
        <v>316</v>
      </c>
    </row>
    <row r="24106">
      <c r="A24106" s="17"/>
      <c r="H24106" s="18"/>
      <c r="K24106" s="18" t="s">
        <v>316</v>
      </c>
    </row>
    <row r="24107">
      <c r="A24107" s="17"/>
      <c r="H24107" s="18"/>
      <c r="K24107" s="18" t="s">
        <v>316</v>
      </c>
    </row>
    <row r="24108">
      <c r="A24108" s="17"/>
      <c r="H24108" s="18"/>
      <c r="K24108" s="18" t="s">
        <v>316</v>
      </c>
    </row>
    <row r="24109">
      <c r="A24109" s="17"/>
      <c r="H24109" s="18"/>
      <c r="K24109" s="18" t="s">
        <v>316</v>
      </c>
    </row>
    <row r="24110">
      <c r="A24110" s="17"/>
      <c r="H24110" s="18"/>
      <c r="K24110" s="18" t="s">
        <v>316</v>
      </c>
    </row>
    <row r="24111">
      <c r="A24111" s="17"/>
      <c r="H24111" s="18"/>
      <c r="K24111" s="18" t="s">
        <v>316</v>
      </c>
    </row>
    <row r="24112">
      <c r="A24112" s="17"/>
      <c r="H24112" s="18"/>
      <c r="K24112" s="18" t="s">
        <v>316</v>
      </c>
    </row>
    <row r="24113">
      <c r="A24113" s="17"/>
      <c r="H24113" s="18"/>
      <c r="K24113" s="18" t="s">
        <v>316</v>
      </c>
    </row>
    <row r="24114">
      <c r="A24114" s="17"/>
      <c r="H24114" s="18"/>
      <c r="K24114" s="18" t="s">
        <v>316</v>
      </c>
    </row>
    <row r="24115">
      <c r="A24115" s="17"/>
      <c r="H24115" s="18"/>
      <c r="K24115" s="18" t="s">
        <v>316</v>
      </c>
    </row>
    <row r="24116">
      <c r="A24116" s="17"/>
      <c r="H24116" s="18"/>
      <c r="K24116" s="18" t="s">
        <v>316</v>
      </c>
    </row>
    <row r="24117">
      <c r="A24117" s="17"/>
      <c r="H24117" s="18"/>
      <c r="K24117" s="18" t="s">
        <v>316</v>
      </c>
    </row>
    <row r="24118">
      <c r="A24118" s="17"/>
      <c r="H24118" s="18"/>
      <c r="K24118" s="18" t="s">
        <v>316</v>
      </c>
    </row>
    <row r="24119">
      <c r="A24119" s="17"/>
      <c r="H24119" s="18"/>
      <c r="K24119" s="18" t="s">
        <v>316</v>
      </c>
    </row>
    <row r="24120">
      <c r="A24120" s="17"/>
      <c r="H24120" s="18"/>
      <c r="K24120" s="18" t="s">
        <v>316</v>
      </c>
    </row>
    <row r="24121">
      <c r="A24121" s="17"/>
      <c r="H24121" s="18"/>
      <c r="K24121" s="18" t="s">
        <v>316</v>
      </c>
    </row>
    <row r="24122">
      <c r="A24122" s="17"/>
      <c r="H24122" s="18"/>
      <c r="K24122" s="18" t="s">
        <v>316</v>
      </c>
    </row>
    <row r="24123">
      <c r="A24123" s="17"/>
      <c r="H24123" s="18"/>
      <c r="K24123" s="18" t="s">
        <v>316</v>
      </c>
    </row>
    <row r="24124">
      <c r="A24124" s="17"/>
      <c r="H24124" s="18"/>
      <c r="K24124" s="18" t="s">
        <v>316</v>
      </c>
    </row>
    <row r="24125">
      <c r="A24125" s="17"/>
      <c r="H24125" s="18"/>
      <c r="K24125" s="18" t="s">
        <v>316</v>
      </c>
    </row>
    <row r="24126">
      <c r="A24126" s="17"/>
      <c r="H24126" s="18"/>
      <c r="K24126" s="18" t="s">
        <v>316</v>
      </c>
    </row>
    <row r="24127">
      <c r="A24127" s="17"/>
      <c r="H24127" s="18"/>
      <c r="K24127" s="18" t="s">
        <v>316</v>
      </c>
    </row>
    <row r="24128">
      <c r="A24128" s="17"/>
      <c r="H24128" s="18"/>
      <c r="K24128" s="18" t="s">
        <v>316</v>
      </c>
    </row>
    <row r="24129">
      <c r="A24129" s="17"/>
      <c r="H24129" s="18"/>
      <c r="K24129" s="18" t="s">
        <v>316</v>
      </c>
    </row>
    <row r="24130">
      <c r="A24130" s="17"/>
      <c r="H24130" s="18"/>
      <c r="K24130" s="18" t="s">
        <v>316</v>
      </c>
    </row>
    <row r="24131">
      <c r="A24131" s="17"/>
      <c r="H24131" s="18"/>
      <c r="K24131" s="18" t="s">
        <v>316</v>
      </c>
    </row>
    <row r="24132">
      <c r="A24132" s="17"/>
      <c r="H24132" s="18"/>
      <c r="K24132" s="18" t="s">
        <v>316</v>
      </c>
    </row>
    <row r="24133">
      <c r="A24133" s="17"/>
      <c r="H24133" s="18"/>
      <c r="K24133" s="18" t="s">
        <v>316</v>
      </c>
    </row>
    <row r="24134">
      <c r="A24134" s="17"/>
      <c r="H24134" s="18"/>
      <c r="K24134" s="18" t="s">
        <v>316</v>
      </c>
    </row>
    <row r="24135">
      <c r="A24135" s="17"/>
      <c r="H24135" s="18"/>
      <c r="K24135" s="18" t="s">
        <v>316</v>
      </c>
    </row>
    <row r="24136">
      <c r="A24136" s="17"/>
      <c r="H24136" s="18"/>
      <c r="K24136" s="18" t="s">
        <v>316</v>
      </c>
    </row>
    <row r="24137">
      <c r="A24137" s="17"/>
      <c r="H24137" s="18"/>
      <c r="K24137" s="18" t="s">
        <v>316</v>
      </c>
    </row>
    <row r="24138">
      <c r="A24138" s="17"/>
      <c r="H24138" s="18"/>
      <c r="K24138" s="18" t="s">
        <v>316</v>
      </c>
    </row>
    <row r="24139">
      <c r="A24139" s="17"/>
      <c r="H24139" s="18"/>
      <c r="K24139" s="18" t="s">
        <v>316</v>
      </c>
    </row>
    <row r="24140">
      <c r="A24140" s="17"/>
      <c r="H24140" s="18"/>
      <c r="K24140" s="18" t="s">
        <v>316</v>
      </c>
    </row>
    <row r="24141">
      <c r="A24141" s="17"/>
      <c r="H24141" s="18"/>
      <c r="K24141" s="18" t="s">
        <v>316</v>
      </c>
    </row>
    <row r="24142">
      <c r="A24142" s="17"/>
      <c r="H24142" s="18"/>
      <c r="K24142" s="18" t="s">
        <v>316</v>
      </c>
    </row>
    <row r="24143">
      <c r="A24143" s="17"/>
      <c r="H24143" s="18"/>
      <c r="K24143" s="18" t="s">
        <v>316</v>
      </c>
    </row>
    <row r="24144">
      <c r="A24144" s="17"/>
      <c r="H24144" s="18"/>
      <c r="K24144" s="18" t="s">
        <v>316</v>
      </c>
    </row>
    <row r="24145">
      <c r="A24145" s="17"/>
      <c r="H24145" s="18"/>
      <c r="K24145" s="18" t="s">
        <v>316</v>
      </c>
    </row>
    <row r="24146">
      <c r="A24146" s="17"/>
      <c r="H24146" s="18"/>
      <c r="K24146" s="18" t="s">
        <v>316</v>
      </c>
    </row>
    <row r="24147">
      <c r="A24147" s="17"/>
      <c r="H24147" s="18"/>
      <c r="K24147" s="18" t="s">
        <v>316</v>
      </c>
    </row>
    <row r="24148">
      <c r="A24148" s="17"/>
      <c r="H24148" s="18"/>
      <c r="K24148" s="18" t="s">
        <v>316</v>
      </c>
    </row>
    <row r="24149">
      <c r="A24149" s="17"/>
      <c r="H24149" s="18"/>
      <c r="K24149" s="18" t="s">
        <v>316</v>
      </c>
    </row>
    <row r="24150">
      <c r="A24150" s="17"/>
      <c r="H24150" s="18"/>
      <c r="K24150" s="18" t="s">
        <v>316</v>
      </c>
    </row>
    <row r="24151">
      <c r="A24151" s="17"/>
      <c r="H24151" s="18"/>
      <c r="K24151" s="18" t="s">
        <v>316</v>
      </c>
    </row>
    <row r="24152">
      <c r="A24152" s="17"/>
      <c r="H24152" s="18"/>
      <c r="K24152" s="18" t="s">
        <v>316</v>
      </c>
    </row>
    <row r="24153">
      <c r="A24153" s="17"/>
      <c r="H24153" s="18"/>
      <c r="K24153" s="18" t="s">
        <v>316</v>
      </c>
    </row>
    <row r="24154">
      <c r="A24154" s="17"/>
      <c r="H24154" s="18"/>
      <c r="K24154" s="18" t="s">
        <v>316</v>
      </c>
    </row>
    <row r="24155">
      <c r="A24155" s="17"/>
      <c r="H24155" s="18"/>
      <c r="K24155" s="18" t="s">
        <v>316</v>
      </c>
    </row>
    <row r="24156">
      <c r="A24156" s="17"/>
      <c r="H24156" s="18"/>
      <c r="K24156" s="18" t="s">
        <v>316</v>
      </c>
    </row>
    <row r="24157">
      <c r="A24157" s="17"/>
      <c r="H24157" s="18"/>
      <c r="K24157" s="18" t="s">
        <v>316</v>
      </c>
    </row>
    <row r="24158">
      <c r="A24158" s="17"/>
      <c r="H24158" s="18"/>
      <c r="K24158" s="18" t="s">
        <v>316</v>
      </c>
    </row>
    <row r="24159">
      <c r="A24159" s="17"/>
      <c r="H24159" s="18"/>
      <c r="K24159" s="18" t="s">
        <v>316</v>
      </c>
    </row>
    <row r="24160">
      <c r="A24160" s="17"/>
      <c r="H24160" s="18"/>
      <c r="K24160" s="18" t="s">
        <v>316</v>
      </c>
    </row>
    <row r="24161">
      <c r="A24161" s="17"/>
      <c r="H24161" s="18"/>
      <c r="K24161" s="18" t="s">
        <v>316</v>
      </c>
    </row>
    <row r="24162">
      <c r="A24162" s="17"/>
      <c r="H24162" s="18"/>
      <c r="K24162" s="18" t="s">
        <v>316</v>
      </c>
    </row>
    <row r="24163">
      <c r="A24163" s="17"/>
      <c r="H24163" s="18"/>
      <c r="K24163" s="18" t="s">
        <v>316</v>
      </c>
    </row>
    <row r="24164">
      <c r="A24164" s="17"/>
      <c r="H24164" s="18"/>
      <c r="K24164" s="18" t="s">
        <v>316</v>
      </c>
    </row>
    <row r="24165">
      <c r="A24165" s="17"/>
      <c r="H24165" s="18"/>
      <c r="K24165" s="18" t="s">
        <v>316</v>
      </c>
    </row>
    <row r="24166">
      <c r="A24166" s="17"/>
      <c r="H24166" s="18"/>
      <c r="K24166" s="18" t="s">
        <v>316</v>
      </c>
    </row>
    <row r="24167">
      <c r="A24167" s="17"/>
      <c r="H24167" s="18"/>
      <c r="K24167" s="18" t="s">
        <v>316</v>
      </c>
    </row>
    <row r="24168">
      <c r="A24168" s="17"/>
      <c r="H24168" s="18"/>
      <c r="K24168" s="18" t="s">
        <v>316</v>
      </c>
    </row>
    <row r="24169">
      <c r="A24169" s="17"/>
      <c r="H24169" s="18"/>
      <c r="K24169" s="18" t="s">
        <v>316</v>
      </c>
    </row>
    <row r="24170">
      <c r="A24170" s="17"/>
      <c r="H24170" s="18"/>
      <c r="K24170" s="18" t="s">
        <v>316</v>
      </c>
    </row>
    <row r="24171">
      <c r="A24171" s="17"/>
      <c r="H24171" s="18"/>
      <c r="K24171" s="18" t="s">
        <v>316</v>
      </c>
    </row>
    <row r="24172">
      <c r="A24172" s="17"/>
      <c r="H24172" s="18"/>
      <c r="K24172" s="18" t="s">
        <v>316</v>
      </c>
    </row>
    <row r="24173">
      <c r="A24173" s="17"/>
      <c r="H24173" s="18"/>
      <c r="K24173" s="18" t="s">
        <v>316</v>
      </c>
    </row>
    <row r="24174">
      <c r="A24174" s="17"/>
      <c r="H24174" s="18"/>
      <c r="K24174" s="18" t="s">
        <v>316</v>
      </c>
    </row>
    <row r="24175">
      <c r="A24175" s="17"/>
      <c r="H24175" s="18"/>
      <c r="K24175" s="18" t="s">
        <v>316</v>
      </c>
    </row>
    <row r="24176">
      <c r="A24176" s="17"/>
      <c r="H24176" s="18"/>
      <c r="K24176" s="18" t="s">
        <v>316</v>
      </c>
    </row>
    <row r="24177">
      <c r="A24177" s="17"/>
      <c r="H24177" s="18"/>
      <c r="K24177" s="18" t="s">
        <v>316</v>
      </c>
    </row>
    <row r="24178">
      <c r="A24178" s="17"/>
      <c r="H24178" s="18"/>
      <c r="K24178" s="18" t="s">
        <v>316</v>
      </c>
    </row>
    <row r="24179">
      <c r="A24179" s="17"/>
      <c r="H24179" s="18"/>
      <c r="K24179" s="18" t="s">
        <v>316</v>
      </c>
    </row>
    <row r="24180">
      <c r="A24180" s="17"/>
      <c r="H24180" s="18"/>
      <c r="K24180" s="18" t="s">
        <v>316</v>
      </c>
    </row>
    <row r="24181">
      <c r="A24181" s="17"/>
      <c r="H24181" s="18"/>
      <c r="K24181" s="18" t="s">
        <v>316</v>
      </c>
    </row>
    <row r="24182">
      <c r="A24182" s="17"/>
      <c r="H24182" s="18"/>
      <c r="K24182" s="18" t="s">
        <v>316</v>
      </c>
    </row>
    <row r="24183">
      <c r="A24183" s="17"/>
      <c r="H24183" s="18"/>
      <c r="K24183" s="18" t="s">
        <v>316</v>
      </c>
    </row>
    <row r="24184">
      <c r="A24184" s="17"/>
      <c r="H24184" s="18"/>
      <c r="K24184" s="18" t="s">
        <v>316</v>
      </c>
    </row>
    <row r="24185">
      <c r="A24185" s="17"/>
      <c r="H24185" s="18"/>
      <c r="K24185" s="18" t="s">
        <v>316</v>
      </c>
    </row>
    <row r="24186">
      <c r="A24186" s="17"/>
      <c r="H24186" s="18"/>
      <c r="K24186" s="18" t="s">
        <v>316</v>
      </c>
    </row>
    <row r="24187">
      <c r="A24187" s="17"/>
      <c r="H24187" s="18"/>
      <c r="K24187" s="18" t="s">
        <v>316</v>
      </c>
    </row>
    <row r="24188">
      <c r="A24188" s="17"/>
      <c r="H24188" s="18"/>
      <c r="K24188" s="18" t="s">
        <v>316</v>
      </c>
    </row>
    <row r="24189">
      <c r="A24189" s="17"/>
      <c r="H24189" s="18"/>
      <c r="K24189" s="18" t="s">
        <v>316</v>
      </c>
    </row>
    <row r="24190">
      <c r="A24190" s="17"/>
      <c r="H24190" s="18"/>
      <c r="K24190" s="18" t="s">
        <v>316</v>
      </c>
    </row>
    <row r="24191">
      <c r="A24191" s="17"/>
      <c r="H24191" s="18"/>
      <c r="K24191" s="18" t="s">
        <v>316</v>
      </c>
    </row>
    <row r="24192">
      <c r="A24192" s="17"/>
      <c r="H24192" s="18"/>
      <c r="K24192" s="18" t="s">
        <v>316</v>
      </c>
    </row>
    <row r="24193">
      <c r="A24193" s="17"/>
      <c r="H24193" s="18"/>
      <c r="K24193" s="18" t="s">
        <v>316</v>
      </c>
    </row>
    <row r="24194">
      <c r="A24194" s="17"/>
      <c r="H24194" s="18"/>
      <c r="K24194" s="18" t="s">
        <v>316</v>
      </c>
    </row>
    <row r="24195">
      <c r="A24195" s="17"/>
      <c r="H24195" s="18"/>
      <c r="K24195" s="18" t="s">
        <v>316</v>
      </c>
    </row>
    <row r="24196">
      <c r="A24196" s="17"/>
      <c r="H24196" s="18"/>
      <c r="K24196" s="18" t="s">
        <v>316</v>
      </c>
    </row>
    <row r="24197">
      <c r="A24197" s="17"/>
      <c r="H24197" s="18"/>
      <c r="K24197" s="18" t="s">
        <v>316</v>
      </c>
    </row>
    <row r="24198">
      <c r="A24198" s="17"/>
      <c r="H24198" s="18"/>
      <c r="K24198" s="18" t="s">
        <v>316</v>
      </c>
    </row>
    <row r="24199">
      <c r="A24199" s="17"/>
      <c r="H24199" s="18"/>
      <c r="K24199" s="18" t="s">
        <v>316</v>
      </c>
    </row>
    <row r="24200">
      <c r="A24200" s="17"/>
      <c r="H24200" s="18"/>
      <c r="K24200" s="18" t="s">
        <v>316</v>
      </c>
    </row>
    <row r="24201">
      <c r="A24201" s="17"/>
      <c r="H24201" s="18"/>
      <c r="K24201" s="18" t="s">
        <v>316</v>
      </c>
    </row>
    <row r="24202">
      <c r="A24202" s="17"/>
      <c r="H24202" s="18"/>
      <c r="K24202" s="18" t="s">
        <v>316</v>
      </c>
    </row>
    <row r="24203">
      <c r="A24203" s="17"/>
      <c r="H24203" s="18"/>
      <c r="K24203" s="18" t="s">
        <v>316</v>
      </c>
    </row>
    <row r="24204">
      <c r="A24204" s="17"/>
      <c r="H24204" s="18"/>
      <c r="K24204" s="18" t="s">
        <v>316</v>
      </c>
    </row>
    <row r="24205">
      <c r="A24205" s="17"/>
      <c r="H24205" s="18"/>
      <c r="K24205" s="18" t="s">
        <v>316</v>
      </c>
    </row>
    <row r="24206">
      <c r="A24206" s="17"/>
      <c r="H24206" s="18"/>
      <c r="K24206" s="18" t="s">
        <v>316</v>
      </c>
    </row>
    <row r="24207">
      <c r="A24207" s="17"/>
      <c r="H24207" s="18"/>
      <c r="K24207" s="18" t="s">
        <v>316</v>
      </c>
    </row>
    <row r="24208">
      <c r="A24208" s="17"/>
      <c r="H24208" s="18"/>
      <c r="K24208" s="18" t="s">
        <v>316</v>
      </c>
    </row>
    <row r="24209">
      <c r="A24209" s="17"/>
      <c r="H24209" s="18"/>
      <c r="K24209" s="18" t="s">
        <v>316</v>
      </c>
    </row>
    <row r="24210">
      <c r="A24210" s="17"/>
      <c r="H24210" s="18"/>
      <c r="K24210" s="18" t="s">
        <v>316</v>
      </c>
    </row>
    <row r="24211">
      <c r="A24211" s="17"/>
      <c r="H24211" s="18"/>
      <c r="K24211" s="18" t="s">
        <v>316</v>
      </c>
    </row>
    <row r="24212">
      <c r="A24212" s="17"/>
      <c r="H24212" s="18"/>
      <c r="K24212" s="18" t="s">
        <v>316</v>
      </c>
    </row>
    <row r="24213">
      <c r="A24213" s="17"/>
      <c r="H24213" s="18"/>
      <c r="K24213" s="18" t="s">
        <v>316</v>
      </c>
    </row>
    <row r="24214">
      <c r="A24214" s="17"/>
      <c r="H24214" s="18"/>
      <c r="K24214" s="18" t="s">
        <v>316</v>
      </c>
    </row>
    <row r="24215">
      <c r="A24215" s="17"/>
      <c r="H24215" s="18"/>
      <c r="K24215" s="18" t="s">
        <v>316</v>
      </c>
    </row>
    <row r="24216">
      <c r="A24216" s="17"/>
      <c r="H24216" s="18"/>
      <c r="K24216" s="18" t="s">
        <v>316</v>
      </c>
    </row>
    <row r="24217">
      <c r="A24217" s="17"/>
      <c r="H24217" s="18"/>
      <c r="K24217" s="18" t="s">
        <v>316</v>
      </c>
    </row>
    <row r="24218">
      <c r="A24218" s="17"/>
      <c r="H24218" s="18"/>
      <c r="K24218" s="18" t="s">
        <v>316</v>
      </c>
    </row>
    <row r="24219">
      <c r="A24219" s="17"/>
      <c r="H24219" s="18"/>
      <c r="K24219" s="18" t="s">
        <v>316</v>
      </c>
    </row>
    <row r="24220">
      <c r="A24220" s="17"/>
      <c r="H24220" s="18"/>
      <c r="K24220" s="18" t="s">
        <v>316</v>
      </c>
    </row>
    <row r="24221">
      <c r="A24221" s="17"/>
      <c r="H24221" s="18"/>
      <c r="K24221" s="18" t="s">
        <v>316</v>
      </c>
    </row>
    <row r="24222">
      <c r="A24222" s="17"/>
      <c r="H24222" s="18"/>
      <c r="K24222" s="18" t="s">
        <v>316</v>
      </c>
    </row>
    <row r="24223">
      <c r="A24223" s="17"/>
      <c r="H24223" s="18"/>
      <c r="K24223" s="18" t="s">
        <v>316</v>
      </c>
    </row>
    <row r="24224">
      <c r="A24224" s="17"/>
      <c r="H24224" s="18"/>
      <c r="K24224" s="18" t="s">
        <v>316</v>
      </c>
    </row>
    <row r="24225">
      <c r="A24225" s="17"/>
      <c r="H24225" s="18"/>
      <c r="K24225" s="18" t="s">
        <v>316</v>
      </c>
    </row>
    <row r="24226">
      <c r="A24226" s="17"/>
      <c r="H24226" s="18"/>
      <c r="K24226" s="18" t="s">
        <v>316</v>
      </c>
    </row>
    <row r="24227">
      <c r="A24227" s="17"/>
      <c r="H24227" s="18"/>
      <c r="K24227" s="18" t="s">
        <v>316</v>
      </c>
    </row>
    <row r="24228">
      <c r="A24228" s="17"/>
      <c r="H24228" s="18"/>
      <c r="K24228" s="18" t="s">
        <v>316</v>
      </c>
    </row>
    <row r="24229">
      <c r="A24229" s="17"/>
      <c r="H24229" s="18"/>
      <c r="K24229" s="18" t="s">
        <v>316</v>
      </c>
    </row>
    <row r="24230">
      <c r="A24230" s="17"/>
      <c r="H24230" s="18"/>
      <c r="K24230" s="18" t="s">
        <v>316</v>
      </c>
    </row>
    <row r="24231">
      <c r="A24231" s="17"/>
      <c r="H24231" s="18"/>
      <c r="K24231" s="18" t="s">
        <v>316</v>
      </c>
    </row>
    <row r="24232">
      <c r="A24232" s="17"/>
      <c r="H24232" s="18"/>
      <c r="K24232" s="18" t="s">
        <v>316</v>
      </c>
    </row>
    <row r="24233">
      <c r="A24233" s="17"/>
      <c r="H24233" s="18"/>
      <c r="K24233" s="18" t="s">
        <v>316</v>
      </c>
    </row>
    <row r="24234">
      <c r="A24234" s="17"/>
      <c r="H24234" s="18"/>
      <c r="K24234" s="18" t="s">
        <v>316</v>
      </c>
    </row>
    <row r="24235">
      <c r="A24235" s="17"/>
      <c r="H24235" s="18"/>
      <c r="K24235" s="18" t="s">
        <v>316</v>
      </c>
    </row>
    <row r="24236">
      <c r="A24236" s="17"/>
      <c r="H24236" s="18"/>
      <c r="K24236" s="18" t="s">
        <v>316</v>
      </c>
    </row>
    <row r="24237">
      <c r="A24237" s="17"/>
      <c r="H24237" s="18"/>
      <c r="K24237" s="18" t="s">
        <v>316</v>
      </c>
    </row>
    <row r="24238">
      <c r="A24238" s="17"/>
      <c r="H24238" s="18"/>
      <c r="K24238" s="18" t="s">
        <v>316</v>
      </c>
    </row>
    <row r="24239">
      <c r="A24239" s="17"/>
      <c r="H24239" s="18"/>
      <c r="K24239" s="18" t="s">
        <v>316</v>
      </c>
    </row>
    <row r="24240">
      <c r="A24240" s="17"/>
      <c r="H24240" s="18"/>
      <c r="K24240" s="18" t="s">
        <v>316</v>
      </c>
    </row>
    <row r="24241">
      <c r="A24241" s="17"/>
      <c r="H24241" s="18"/>
      <c r="K24241" s="18" t="s">
        <v>316</v>
      </c>
    </row>
    <row r="24242">
      <c r="A24242" s="17"/>
      <c r="H24242" s="18"/>
      <c r="K24242" s="18" t="s">
        <v>316</v>
      </c>
    </row>
    <row r="24243">
      <c r="A24243" s="17"/>
      <c r="H24243" s="18"/>
      <c r="K24243" s="18" t="s">
        <v>316</v>
      </c>
    </row>
    <row r="24244">
      <c r="A24244" s="17"/>
      <c r="H24244" s="18"/>
      <c r="K24244" s="18" t="s">
        <v>316</v>
      </c>
    </row>
    <row r="24245">
      <c r="A24245" s="17"/>
      <c r="H24245" s="18"/>
      <c r="K24245" s="18" t="s">
        <v>316</v>
      </c>
    </row>
    <row r="24246">
      <c r="A24246" s="17"/>
      <c r="H24246" s="18"/>
      <c r="K24246" s="18" t="s">
        <v>316</v>
      </c>
    </row>
    <row r="24247">
      <c r="A24247" s="17"/>
      <c r="H24247" s="18"/>
      <c r="K24247" s="18" t="s">
        <v>316</v>
      </c>
    </row>
    <row r="24248">
      <c r="A24248" s="17"/>
      <c r="H24248" s="18"/>
      <c r="K24248" s="18" t="s">
        <v>316</v>
      </c>
    </row>
    <row r="24249">
      <c r="A24249" s="17"/>
      <c r="H24249" s="18"/>
      <c r="K24249" s="18" t="s">
        <v>316</v>
      </c>
    </row>
    <row r="24250">
      <c r="A24250" s="17"/>
      <c r="H24250" s="18"/>
      <c r="K24250" s="18" t="s">
        <v>316</v>
      </c>
    </row>
    <row r="24251">
      <c r="A24251" s="17"/>
      <c r="H24251" s="18"/>
      <c r="K24251" s="18" t="s">
        <v>316</v>
      </c>
    </row>
    <row r="24252">
      <c r="A24252" s="17"/>
      <c r="H24252" s="18"/>
      <c r="K24252" s="18" t="s">
        <v>316</v>
      </c>
    </row>
    <row r="24253">
      <c r="A24253" s="17"/>
      <c r="H24253" s="18"/>
      <c r="K24253" s="18" t="s">
        <v>316</v>
      </c>
    </row>
    <row r="24254">
      <c r="A24254" s="17"/>
      <c r="H24254" s="18"/>
      <c r="K24254" s="18" t="s">
        <v>316</v>
      </c>
    </row>
    <row r="24255">
      <c r="A24255" s="17"/>
      <c r="H24255" s="18"/>
      <c r="K24255" s="18" t="s">
        <v>316</v>
      </c>
    </row>
    <row r="24256">
      <c r="A24256" s="17"/>
      <c r="H24256" s="18"/>
      <c r="K24256" s="18" t="s">
        <v>316</v>
      </c>
    </row>
    <row r="24257">
      <c r="A24257" s="17"/>
      <c r="H24257" s="18"/>
      <c r="K24257" s="18" t="s">
        <v>316</v>
      </c>
    </row>
    <row r="24258">
      <c r="A24258" s="17"/>
      <c r="H24258" s="18"/>
      <c r="K24258" s="18" t="s">
        <v>316</v>
      </c>
    </row>
    <row r="24259">
      <c r="A24259" s="17"/>
      <c r="H24259" s="18"/>
      <c r="K24259" s="18" t="s">
        <v>316</v>
      </c>
    </row>
    <row r="24260">
      <c r="A24260" s="17"/>
      <c r="H24260" s="18"/>
      <c r="K24260" s="18" t="s">
        <v>316</v>
      </c>
    </row>
    <row r="24261">
      <c r="A24261" s="17"/>
      <c r="H24261" s="18"/>
      <c r="K24261" s="18" t="s">
        <v>316</v>
      </c>
    </row>
    <row r="24262">
      <c r="A24262" s="17"/>
      <c r="H24262" s="18"/>
      <c r="K24262" s="18" t="s">
        <v>316</v>
      </c>
    </row>
    <row r="24263">
      <c r="A24263" s="17"/>
      <c r="H24263" s="18"/>
      <c r="K24263" s="18" t="s">
        <v>316</v>
      </c>
    </row>
    <row r="24264">
      <c r="A24264" s="17"/>
      <c r="H24264" s="18"/>
      <c r="K24264" s="18" t="s">
        <v>316</v>
      </c>
    </row>
    <row r="24265">
      <c r="A24265" s="17"/>
      <c r="H24265" s="18"/>
      <c r="K24265" s="18" t="s">
        <v>316</v>
      </c>
    </row>
    <row r="24266">
      <c r="A24266" s="17"/>
      <c r="H24266" s="18"/>
      <c r="K24266" s="18" t="s">
        <v>316</v>
      </c>
    </row>
    <row r="24267">
      <c r="A24267" s="17"/>
      <c r="H24267" s="18"/>
      <c r="K24267" s="18" t="s">
        <v>316</v>
      </c>
    </row>
    <row r="24268">
      <c r="A24268" s="17"/>
      <c r="H24268" s="18"/>
      <c r="K24268" s="18" t="s">
        <v>316</v>
      </c>
    </row>
    <row r="24269">
      <c r="A24269" s="17"/>
      <c r="H24269" s="18"/>
      <c r="K24269" s="18" t="s">
        <v>316</v>
      </c>
    </row>
    <row r="24270">
      <c r="A24270" s="17"/>
      <c r="H24270" s="18"/>
      <c r="K24270" s="18" t="s">
        <v>316</v>
      </c>
    </row>
    <row r="24271">
      <c r="A24271" s="17"/>
      <c r="H24271" s="18"/>
      <c r="K24271" s="18" t="s">
        <v>316</v>
      </c>
    </row>
    <row r="24272">
      <c r="A24272" s="17"/>
      <c r="H24272" s="18"/>
      <c r="K24272" s="18" t="s">
        <v>316</v>
      </c>
    </row>
    <row r="24273">
      <c r="A24273" s="17"/>
      <c r="H24273" s="18"/>
      <c r="K24273" s="18" t="s">
        <v>316</v>
      </c>
    </row>
    <row r="24274">
      <c r="A24274" s="17"/>
      <c r="H24274" s="18"/>
      <c r="K24274" s="18" t="s">
        <v>316</v>
      </c>
    </row>
    <row r="24275">
      <c r="A24275" s="17"/>
      <c r="H24275" s="18"/>
      <c r="K24275" s="18" t="s">
        <v>316</v>
      </c>
    </row>
    <row r="24276">
      <c r="A24276" s="17"/>
      <c r="H24276" s="18"/>
      <c r="K24276" s="18" t="s">
        <v>316</v>
      </c>
    </row>
    <row r="24277">
      <c r="A24277" s="17"/>
      <c r="H24277" s="18"/>
      <c r="K24277" s="18" t="s">
        <v>316</v>
      </c>
    </row>
    <row r="24278">
      <c r="A24278" s="17"/>
      <c r="H24278" s="18"/>
      <c r="K24278" s="18" t="s">
        <v>316</v>
      </c>
    </row>
    <row r="24279">
      <c r="A24279" s="17"/>
      <c r="H24279" s="18"/>
      <c r="K24279" s="18" t="s">
        <v>316</v>
      </c>
    </row>
    <row r="24280">
      <c r="A24280" s="17"/>
      <c r="H24280" s="18"/>
      <c r="K24280" s="18" t="s">
        <v>316</v>
      </c>
    </row>
    <row r="24281">
      <c r="A24281" s="17"/>
      <c r="H24281" s="18"/>
      <c r="K24281" s="18" t="s">
        <v>316</v>
      </c>
    </row>
    <row r="24282">
      <c r="A24282" s="17"/>
      <c r="H24282" s="18"/>
      <c r="K24282" s="18" t="s">
        <v>316</v>
      </c>
    </row>
    <row r="24283">
      <c r="A24283" s="17"/>
      <c r="H24283" s="18"/>
      <c r="K24283" s="18" t="s">
        <v>316</v>
      </c>
    </row>
    <row r="24284">
      <c r="A24284" s="17"/>
      <c r="H24284" s="18"/>
      <c r="K24284" s="18" t="s">
        <v>316</v>
      </c>
    </row>
    <row r="24285">
      <c r="A24285" s="17"/>
      <c r="H24285" s="18"/>
      <c r="K24285" s="18" t="s">
        <v>316</v>
      </c>
    </row>
    <row r="24286">
      <c r="A24286" s="17"/>
      <c r="H24286" s="18"/>
      <c r="K24286" s="18" t="s">
        <v>316</v>
      </c>
    </row>
    <row r="24287">
      <c r="A24287" s="17"/>
      <c r="H24287" s="18"/>
      <c r="K24287" s="18" t="s">
        <v>316</v>
      </c>
    </row>
    <row r="24288">
      <c r="A24288" s="17"/>
      <c r="H24288" s="18"/>
      <c r="K24288" s="18" t="s">
        <v>316</v>
      </c>
    </row>
    <row r="24289">
      <c r="A24289" s="17"/>
      <c r="H24289" s="18"/>
      <c r="K24289" s="18" t="s">
        <v>316</v>
      </c>
    </row>
    <row r="24290">
      <c r="A24290" s="17"/>
      <c r="H24290" s="18"/>
      <c r="K24290" s="18" t="s">
        <v>316</v>
      </c>
    </row>
    <row r="24291">
      <c r="A24291" s="17"/>
      <c r="H24291" s="18"/>
      <c r="K24291" s="18" t="s">
        <v>316</v>
      </c>
    </row>
    <row r="24292">
      <c r="A24292" s="17"/>
      <c r="H24292" s="18"/>
      <c r="K24292" s="18" t="s">
        <v>316</v>
      </c>
    </row>
    <row r="24293">
      <c r="A24293" s="17"/>
      <c r="H24293" s="18"/>
      <c r="K24293" s="18" t="s">
        <v>316</v>
      </c>
    </row>
    <row r="24294">
      <c r="A24294" s="17"/>
      <c r="H24294" s="18"/>
      <c r="K24294" s="18" t="s">
        <v>316</v>
      </c>
    </row>
    <row r="24295">
      <c r="A24295" s="17"/>
      <c r="H24295" s="18"/>
      <c r="K24295" s="18" t="s">
        <v>316</v>
      </c>
    </row>
    <row r="24296">
      <c r="A24296" s="17"/>
      <c r="H24296" s="18"/>
      <c r="K24296" s="18" t="s">
        <v>316</v>
      </c>
    </row>
    <row r="24297">
      <c r="A24297" s="17"/>
      <c r="H24297" s="18"/>
      <c r="K24297" s="18" t="s">
        <v>316</v>
      </c>
    </row>
    <row r="24298">
      <c r="A24298" s="17"/>
      <c r="H24298" s="18"/>
      <c r="K24298" s="18" t="s">
        <v>316</v>
      </c>
    </row>
    <row r="24299">
      <c r="A24299" s="17"/>
      <c r="H24299" s="18"/>
      <c r="K24299" s="18" t="s">
        <v>316</v>
      </c>
    </row>
    <row r="24300">
      <c r="A24300" s="17"/>
      <c r="H24300" s="18"/>
      <c r="K24300" s="18" t="s">
        <v>316</v>
      </c>
    </row>
    <row r="24301">
      <c r="A24301" s="17"/>
      <c r="H24301" s="18"/>
      <c r="K24301" s="18" t="s">
        <v>316</v>
      </c>
    </row>
    <row r="24302">
      <c r="A24302" s="17"/>
      <c r="H24302" s="18"/>
      <c r="K24302" s="18" t="s">
        <v>316</v>
      </c>
    </row>
    <row r="24303">
      <c r="A24303" s="17"/>
      <c r="H24303" s="18"/>
      <c r="K24303" s="18" t="s">
        <v>316</v>
      </c>
    </row>
    <row r="24304">
      <c r="A24304" s="17"/>
      <c r="H24304" s="18"/>
      <c r="K24304" s="18" t="s">
        <v>316</v>
      </c>
    </row>
    <row r="24305">
      <c r="A24305" s="17"/>
      <c r="H24305" s="18"/>
      <c r="K24305" s="18" t="s">
        <v>316</v>
      </c>
    </row>
    <row r="24306">
      <c r="A24306" s="17"/>
      <c r="H24306" s="18"/>
      <c r="K24306" s="18" t="s">
        <v>316</v>
      </c>
    </row>
    <row r="24307">
      <c r="A24307" s="17"/>
      <c r="H24307" s="18"/>
      <c r="K24307" s="18" t="s">
        <v>316</v>
      </c>
    </row>
    <row r="24308">
      <c r="A24308" s="17"/>
      <c r="H24308" s="18"/>
      <c r="K24308" s="18" t="s">
        <v>316</v>
      </c>
    </row>
    <row r="24309">
      <c r="A24309" s="17"/>
      <c r="H24309" s="18"/>
      <c r="K24309" s="18" t="s">
        <v>316</v>
      </c>
    </row>
    <row r="24310">
      <c r="A24310" s="17"/>
      <c r="H24310" s="18"/>
      <c r="K24310" s="18" t="s">
        <v>316</v>
      </c>
    </row>
    <row r="24311">
      <c r="A24311" s="17"/>
      <c r="H24311" s="18"/>
      <c r="K24311" s="18" t="s">
        <v>316</v>
      </c>
    </row>
    <row r="24312">
      <c r="A24312" s="17"/>
      <c r="H24312" s="18"/>
      <c r="K24312" s="18" t="s">
        <v>316</v>
      </c>
    </row>
    <row r="24313">
      <c r="A24313" s="17"/>
      <c r="H24313" s="18"/>
      <c r="K24313" s="18" t="s">
        <v>316</v>
      </c>
    </row>
    <row r="24314">
      <c r="A24314" s="17"/>
      <c r="H24314" s="18"/>
      <c r="K24314" s="18" t="s">
        <v>316</v>
      </c>
    </row>
    <row r="24315">
      <c r="A24315" s="17"/>
      <c r="H24315" s="18"/>
      <c r="K24315" s="18" t="s">
        <v>316</v>
      </c>
    </row>
    <row r="24316">
      <c r="A24316" s="17"/>
      <c r="H24316" s="18"/>
      <c r="K24316" s="18" t="s">
        <v>316</v>
      </c>
    </row>
    <row r="24317">
      <c r="A24317" s="17"/>
      <c r="H24317" s="18"/>
      <c r="K24317" s="18" t="s">
        <v>316</v>
      </c>
    </row>
    <row r="24318">
      <c r="A24318" s="17"/>
      <c r="H24318" s="18"/>
      <c r="K24318" s="18" t="s">
        <v>316</v>
      </c>
    </row>
    <row r="24319">
      <c r="A24319" s="17"/>
      <c r="H24319" s="18"/>
      <c r="K24319" s="18" t="s">
        <v>316</v>
      </c>
    </row>
    <row r="24320">
      <c r="A24320" s="17"/>
      <c r="H24320" s="18"/>
      <c r="K24320" s="18" t="s">
        <v>316</v>
      </c>
    </row>
    <row r="24321">
      <c r="A24321" s="17"/>
      <c r="H24321" s="18"/>
      <c r="K24321" s="18" t="s">
        <v>316</v>
      </c>
    </row>
    <row r="24322">
      <c r="A24322" s="17"/>
      <c r="H24322" s="18"/>
      <c r="K24322" s="18" t="s">
        <v>316</v>
      </c>
    </row>
    <row r="24323">
      <c r="A24323" s="17"/>
      <c r="H24323" s="18"/>
      <c r="K24323" s="18" t="s">
        <v>316</v>
      </c>
    </row>
    <row r="24324">
      <c r="A24324" s="17"/>
      <c r="H24324" s="18"/>
      <c r="K24324" s="18" t="s">
        <v>316</v>
      </c>
    </row>
    <row r="24325">
      <c r="A24325" s="17"/>
      <c r="H24325" s="18"/>
      <c r="K24325" s="18" t="s">
        <v>316</v>
      </c>
    </row>
    <row r="24326">
      <c r="A24326" s="17"/>
      <c r="H24326" s="18"/>
      <c r="K24326" s="18" t="s">
        <v>316</v>
      </c>
    </row>
    <row r="24327">
      <c r="A24327" s="17"/>
      <c r="H24327" s="18"/>
      <c r="K24327" s="18" t="s">
        <v>316</v>
      </c>
    </row>
    <row r="24328">
      <c r="A24328" s="17"/>
      <c r="H24328" s="18"/>
      <c r="K24328" s="18" t="s">
        <v>316</v>
      </c>
    </row>
    <row r="24329">
      <c r="A24329" s="17"/>
      <c r="H24329" s="18"/>
      <c r="K24329" s="18" t="s">
        <v>316</v>
      </c>
    </row>
    <row r="24330">
      <c r="A24330" s="17"/>
      <c r="H24330" s="18"/>
      <c r="K24330" s="18" t="s">
        <v>316</v>
      </c>
    </row>
    <row r="24331">
      <c r="A24331" s="17"/>
      <c r="H24331" s="18"/>
      <c r="K24331" s="18" t="s">
        <v>316</v>
      </c>
    </row>
    <row r="24332">
      <c r="A24332" s="17"/>
      <c r="H24332" s="18"/>
      <c r="K24332" s="18" t="s">
        <v>316</v>
      </c>
    </row>
    <row r="24333">
      <c r="A24333" s="17"/>
      <c r="H24333" s="18"/>
      <c r="K24333" s="18" t="s">
        <v>316</v>
      </c>
    </row>
    <row r="24334">
      <c r="A24334" s="17"/>
      <c r="H24334" s="18"/>
      <c r="K24334" s="18" t="s">
        <v>316</v>
      </c>
    </row>
    <row r="24335">
      <c r="A24335" s="17"/>
      <c r="H24335" s="18"/>
      <c r="K24335" s="18" t="s">
        <v>316</v>
      </c>
    </row>
    <row r="24336">
      <c r="A24336" s="17"/>
      <c r="H24336" s="18"/>
      <c r="K24336" s="18" t="s">
        <v>316</v>
      </c>
    </row>
    <row r="24337">
      <c r="A24337" s="17"/>
      <c r="H24337" s="18"/>
      <c r="K24337" s="18" t="s">
        <v>316</v>
      </c>
    </row>
    <row r="24338">
      <c r="A24338" s="17"/>
      <c r="H24338" s="18"/>
      <c r="K24338" s="18" t="s">
        <v>316</v>
      </c>
    </row>
    <row r="24339">
      <c r="A24339" s="17"/>
      <c r="H24339" s="18"/>
      <c r="K24339" s="18" t="s">
        <v>316</v>
      </c>
    </row>
    <row r="24340">
      <c r="A24340" s="17"/>
      <c r="H24340" s="18"/>
      <c r="K24340" s="18" t="s">
        <v>316</v>
      </c>
    </row>
    <row r="24341">
      <c r="A24341" s="17"/>
      <c r="H24341" s="18"/>
      <c r="K24341" s="18" t="s">
        <v>316</v>
      </c>
    </row>
    <row r="24342">
      <c r="A24342" s="17"/>
      <c r="H24342" s="18"/>
      <c r="K24342" s="18" t="s">
        <v>316</v>
      </c>
    </row>
    <row r="24343">
      <c r="A24343" s="17"/>
      <c r="H24343" s="18"/>
      <c r="K24343" s="18" t="s">
        <v>316</v>
      </c>
    </row>
    <row r="24344">
      <c r="A24344" s="17"/>
      <c r="H24344" s="18"/>
      <c r="K24344" s="18" t="s">
        <v>316</v>
      </c>
    </row>
    <row r="24345">
      <c r="A24345" s="17"/>
      <c r="H24345" s="18"/>
      <c r="K24345" s="18" t="s">
        <v>316</v>
      </c>
    </row>
    <row r="24346">
      <c r="A24346" s="17"/>
      <c r="H24346" s="18"/>
      <c r="K24346" s="18" t="s">
        <v>316</v>
      </c>
    </row>
    <row r="24347">
      <c r="A24347" s="17"/>
      <c r="H24347" s="18"/>
      <c r="K24347" s="18" t="s">
        <v>316</v>
      </c>
    </row>
    <row r="24348">
      <c r="A24348" s="17"/>
      <c r="H24348" s="18"/>
      <c r="K24348" s="18" t="s">
        <v>316</v>
      </c>
    </row>
    <row r="24349">
      <c r="A24349" s="17"/>
      <c r="H24349" s="18"/>
      <c r="K24349" s="18" t="s">
        <v>316</v>
      </c>
    </row>
    <row r="24350">
      <c r="A24350" s="17"/>
      <c r="H24350" s="18"/>
      <c r="K24350" s="18" t="s">
        <v>316</v>
      </c>
    </row>
    <row r="24351">
      <c r="A24351" s="17"/>
      <c r="H24351" s="18"/>
      <c r="K24351" s="18" t="s">
        <v>316</v>
      </c>
    </row>
    <row r="24352">
      <c r="A24352" s="17"/>
      <c r="H24352" s="18"/>
      <c r="K24352" s="18" t="s">
        <v>316</v>
      </c>
    </row>
    <row r="24353">
      <c r="A24353" s="17"/>
      <c r="H24353" s="18"/>
      <c r="K24353" s="18" t="s">
        <v>316</v>
      </c>
    </row>
    <row r="24354">
      <c r="A24354" s="17"/>
      <c r="H24354" s="18"/>
      <c r="K24354" s="18" t="s">
        <v>316</v>
      </c>
    </row>
    <row r="24355">
      <c r="A24355" s="17"/>
      <c r="H24355" s="18"/>
      <c r="K24355" s="18" t="s">
        <v>316</v>
      </c>
    </row>
    <row r="24356">
      <c r="A24356" s="17"/>
      <c r="H24356" s="18"/>
      <c r="K24356" s="18" t="s">
        <v>316</v>
      </c>
    </row>
    <row r="24357">
      <c r="A24357" s="17"/>
      <c r="H24357" s="18"/>
      <c r="K24357" s="18" t="s">
        <v>316</v>
      </c>
    </row>
    <row r="24358">
      <c r="A24358" s="17"/>
      <c r="H24358" s="18"/>
      <c r="K24358" s="18" t="s">
        <v>316</v>
      </c>
    </row>
    <row r="24359">
      <c r="A24359" s="17"/>
      <c r="H24359" s="18"/>
      <c r="K24359" s="18" t="s">
        <v>316</v>
      </c>
    </row>
    <row r="24360">
      <c r="A24360" s="17"/>
      <c r="H24360" s="18"/>
      <c r="K24360" s="18" t="s">
        <v>316</v>
      </c>
    </row>
    <row r="24361">
      <c r="A24361" s="17"/>
      <c r="H24361" s="18"/>
      <c r="K24361" s="18" t="s">
        <v>316</v>
      </c>
    </row>
    <row r="24362">
      <c r="A24362" s="17"/>
      <c r="H24362" s="18"/>
      <c r="K24362" s="18" t="s">
        <v>316</v>
      </c>
    </row>
    <row r="24363">
      <c r="A24363" s="17"/>
      <c r="H24363" s="18"/>
      <c r="K24363" s="18" t="s">
        <v>316</v>
      </c>
    </row>
    <row r="24364">
      <c r="A24364" s="17"/>
      <c r="H24364" s="18"/>
      <c r="K24364" s="18" t="s">
        <v>316</v>
      </c>
    </row>
    <row r="24365">
      <c r="A24365" s="17"/>
      <c r="H24365" s="18"/>
      <c r="K24365" s="18" t="s">
        <v>316</v>
      </c>
    </row>
    <row r="24366">
      <c r="A24366" s="17"/>
      <c r="H24366" s="18"/>
      <c r="K24366" s="18" t="s">
        <v>316</v>
      </c>
    </row>
    <row r="24367">
      <c r="A24367" s="17"/>
      <c r="H24367" s="18"/>
      <c r="K24367" s="18" t="s">
        <v>316</v>
      </c>
    </row>
    <row r="24368">
      <c r="A24368" s="17"/>
      <c r="H24368" s="18"/>
      <c r="K24368" s="18" t="s">
        <v>316</v>
      </c>
    </row>
    <row r="24369">
      <c r="A24369" s="17"/>
      <c r="H24369" s="18"/>
      <c r="K24369" s="18" t="s">
        <v>316</v>
      </c>
    </row>
    <row r="24370">
      <c r="A24370" s="17"/>
      <c r="H24370" s="18"/>
      <c r="K24370" s="18" t="s">
        <v>316</v>
      </c>
    </row>
    <row r="24371">
      <c r="A24371" s="17"/>
      <c r="H24371" s="18"/>
      <c r="K24371" s="18" t="s">
        <v>316</v>
      </c>
    </row>
    <row r="24372">
      <c r="A24372" s="17"/>
      <c r="H24372" s="18"/>
      <c r="K24372" s="18" t="s">
        <v>316</v>
      </c>
    </row>
    <row r="24373">
      <c r="A24373" s="17"/>
      <c r="H24373" s="18"/>
      <c r="K24373" s="18" t="s">
        <v>316</v>
      </c>
    </row>
    <row r="24374">
      <c r="A24374" s="17"/>
      <c r="H24374" s="18"/>
      <c r="K24374" s="18" t="s">
        <v>316</v>
      </c>
    </row>
    <row r="24375">
      <c r="A24375" s="17"/>
      <c r="H24375" s="18"/>
      <c r="K24375" s="18" t="s">
        <v>316</v>
      </c>
    </row>
    <row r="24376">
      <c r="A24376" s="17"/>
      <c r="H24376" s="18"/>
      <c r="K24376" s="18" t="s">
        <v>316</v>
      </c>
    </row>
    <row r="24377">
      <c r="A24377" s="17"/>
      <c r="H24377" s="18"/>
      <c r="K24377" s="18" t="s">
        <v>316</v>
      </c>
    </row>
    <row r="24378">
      <c r="A24378" s="17"/>
      <c r="H24378" s="18"/>
      <c r="K24378" s="18" t="s">
        <v>316</v>
      </c>
    </row>
    <row r="24379">
      <c r="A24379" s="17"/>
      <c r="H24379" s="18"/>
      <c r="K24379" s="18" t="s">
        <v>316</v>
      </c>
    </row>
    <row r="24380">
      <c r="A24380" s="17"/>
      <c r="H24380" s="18"/>
      <c r="K24380" s="18" t="s">
        <v>316</v>
      </c>
    </row>
    <row r="24381">
      <c r="A24381" s="17"/>
      <c r="H24381" s="18"/>
      <c r="K24381" s="18" t="s">
        <v>316</v>
      </c>
    </row>
    <row r="24382">
      <c r="A24382" s="17"/>
      <c r="H24382" s="18"/>
      <c r="K24382" s="18" t="s">
        <v>316</v>
      </c>
    </row>
    <row r="24383">
      <c r="A24383" s="17"/>
      <c r="H24383" s="18"/>
      <c r="K24383" s="18" t="s">
        <v>316</v>
      </c>
    </row>
    <row r="24384">
      <c r="A24384" s="17"/>
      <c r="H24384" s="18"/>
      <c r="K24384" s="18" t="s">
        <v>316</v>
      </c>
    </row>
    <row r="24385">
      <c r="A24385" s="17"/>
      <c r="H24385" s="18"/>
      <c r="K24385" s="18" t="s">
        <v>316</v>
      </c>
    </row>
    <row r="24386">
      <c r="A24386" s="17"/>
      <c r="H24386" s="18"/>
      <c r="K24386" s="18" t="s">
        <v>316</v>
      </c>
    </row>
    <row r="24387">
      <c r="A24387" s="17"/>
      <c r="H24387" s="18"/>
      <c r="K24387" s="18" t="s">
        <v>316</v>
      </c>
    </row>
    <row r="24388">
      <c r="A24388" s="17"/>
      <c r="H24388" s="18"/>
      <c r="K24388" s="18" t="s">
        <v>316</v>
      </c>
    </row>
    <row r="24389">
      <c r="A24389" s="17"/>
      <c r="H24389" s="18"/>
      <c r="K24389" s="18" t="s">
        <v>316</v>
      </c>
    </row>
    <row r="24390">
      <c r="A24390" s="17"/>
      <c r="H24390" s="18"/>
      <c r="K24390" s="18" t="s">
        <v>316</v>
      </c>
    </row>
    <row r="24391">
      <c r="A24391" s="17"/>
      <c r="H24391" s="18"/>
      <c r="K24391" s="18" t="s">
        <v>316</v>
      </c>
    </row>
    <row r="24392">
      <c r="A24392" s="17"/>
      <c r="H24392" s="18"/>
      <c r="K24392" s="18" t="s">
        <v>316</v>
      </c>
    </row>
    <row r="24393">
      <c r="A24393" s="17"/>
      <c r="H24393" s="18"/>
      <c r="K24393" s="18" t="s">
        <v>316</v>
      </c>
    </row>
    <row r="24394">
      <c r="A24394" s="17"/>
      <c r="H24394" s="18"/>
      <c r="K24394" s="18" t="s">
        <v>316</v>
      </c>
    </row>
    <row r="24395">
      <c r="A24395" s="17"/>
      <c r="H24395" s="18"/>
      <c r="K24395" s="18" t="s">
        <v>316</v>
      </c>
    </row>
    <row r="24396">
      <c r="A24396" s="17"/>
      <c r="H24396" s="18"/>
      <c r="K24396" s="18" t="s">
        <v>316</v>
      </c>
    </row>
    <row r="24397">
      <c r="A24397" s="17"/>
      <c r="H24397" s="18"/>
      <c r="K24397" s="18" t="s">
        <v>316</v>
      </c>
    </row>
    <row r="24398">
      <c r="A24398" s="17"/>
      <c r="H24398" s="18"/>
      <c r="K24398" s="18" t="s">
        <v>316</v>
      </c>
    </row>
    <row r="24399">
      <c r="A24399" s="17"/>
      <c r="H24399" s="18"/>
      <c r="K24399" s="18" t="s">
        <v>316</v>
      </c>
    </row>
    <row r="24400">
      <c r="A24400" s="17"/>
      <c r="H24400" s="18"/>
      <c r="K24400" s="18" t="s">
        <v>316</v>
      </c>
    </row>
    <row r="24401">
      <c r="A24401" s="17"/>
      <c r="H24401" s="18"/>
      <c r="K24401" s="18" t="s">
        <v>316</v>
      </c>
    </row>
    <row r="24402">
      <c r="A24402" s="17"/>
      <c r="H24402" s="18"/>
      <c r="K24402" s="18" t="s">
        <v>316</v>
      </c>
    </row>
    <row r="24403">
      <c r="A24403" s="17"/>
      <c r="H24403" s="18"/>
      <c r="K24403" s="18" t="s">
        <v>316</v>
      </c>
    </row>
    <row r="24404">
      <c r="A24404" s="17"/>
      <c r="H24404" s="18"/>
      <c r="K24404" s="18" t="s">
        <v>316</v>
      </c>
    </row>
    <row r="24405">
      <c r="A24405" s="17"/>
      <c r="H24405" s="18"/>
      <c r="K24405" s="18" t="s">
        <v>316</v>
      </c>
    </row>
    <row r="24406">
      <c r="A24406" s="17"/>
      <c r="H24406" s="18"/>
      <c r="K24406" s="18" t="s">
        <v>316</v>
      </c>
    </row>
    <row r="24407">
      <c r="A24407" s="17"/>
      <c r="H24407" s="18"/>
      <c r="K24407" s="18" t="s">
        <v>316</v>
      </c>
    </row>
    <row r="24408">
      <c r="A24408" s="17"/>
      <c r="H24408" s="18"/>
      <c r="K24408" s="18" t="s">
        <v>316</v>
      </c>
    </row>
    <row r="24409">
      <c r="A24409" s="17"/>
      <c r="H24409" s="18"/>
      <c r="K24409" s="18" t="s">
        <v>316</v>
      </c>
    </row>
    <row r="24410">
      <c r="A24410" s="17"/>
      <c r="H24410" s="18"/>
      <c r="K24410" s="18" t="s">
        <v>316</v>
      </c>
    </row>
    <row r="24411">
      <c r="A24411" s="17"/>
      <c r="H24411" s="18"/>
      <c r="K24411" s="18" t="s">
        <v>316</v>
      </c>
    </row>
    <row r="24412">
      <c r="A24412" s="17"/>
      <c r="H24412" s="18"/>
      <c r="K24412" s="18" t="s">
        <v>316</v>
      </c>
    </row>
    <row r="24413">
      <c r="A24413" s="17"/>
      <c r="H24413" s="18"/>
      <c r="K24413" s="18" t="s">
        <v>316</v>
      </c>
    </row>
    <row r="24414">
      <c r="A24414" s="17"/>
      <c r="H24414" s="18"/>
      <c r="K24414" s="18" t="s">
        <v>316</v>
      </c>
    </row>
    <row r="24415">
      <c r="A24415" s="17"/>
      <c r="H24415" s="18"/>
      <c r="K24415" s="18" t="s">
        <v>316</v>
      </c>
    </row>
    <row r="24416">
      <c r="A24416" s="17"/>
      <c r="H24416" s="18"/>
      <c r="K24416" s="18" t="s">
        <v>316</v>
      </c>
    </row>
    <row r="24417">
      <c r="A24417" s="17"/>
      <c r="H24417" s="18"/>
      <c r="K24417" s="18" t="s">
        <v>316</v>
      </c>
    </row>
    <row r="24418">
      <c r="A24418" s="17"/>
      <c r="H24418" s="18"/>
      <c r="K24418" s="18" t="s">
        <v>316</v>
      </c>
    </row>
    <row r="24419">
      <c r="A24419" s="17"/>
      <c r="H24419" s="18"/>
      <c r="K24419" s="18" t="s">
        <v>316</v>
      </c>
    </row>
    <row r="24420">
      <c r="A24420" s="17"/>
      <c r="H24420" s="18"/>
      <c r="K24420" s="18" t="s">
        <v>316</v>
      </c>
    </row>
    <row r="24421">
      <c r="A24421" s="17"/>
      <c r="H24421" s="18"/>
      <c r="K24421" s="18" t="s">
        <v>316</v>
      </c>
    </row>
    <row r="24422">
      <c r="A24422" s="17"/>
      <c r="H24422" s="18"/>
      <c r="K24422" s="18" t="s">
        <v>316</v>
      </c>
    </row>
    <row r="24423">
      <c r="A24423" s="17"/>
      <c r="H24423" s="18"/>
      <c r="K24423" s="18" t="s">
        <v>316</v>
      </c>
    </row>
    <row r="24424">
      <c r="A24424" s="17"/>
      <c r="H24424" s="18"/>
      <c r="K24424" s="18" t="s">
        <v>316</v>
      </c>
    </row>
    <row r="24425">
      <c r="A24425" s="17"/>
      <c r="H24425" s="18"/>
      <c r="K24425" s="18" t="s">
        <v>316</v>
      </c>
    </row>
    <row r="24426">
      <c r="A24426" s="17"/>
      <c r="H24426" s="18"/>
      <c r="K24426" s="18" t="s">
        <v>316</v>
      </c>
    </row>
    <row r="24427">
      <c r="A24427" s="17"/>
      <c r="H24427" s="18"/>
      <c r="K24427" s="18" t="s">
        <v>316</v>
      </c>
    </row>
    <row r="24428">
      <c r="A24428" s="17"/>
      <c r="H24428" s="18"/>
      <c r="K24428" s="18" t="s">
        <v>316</v>
      </c>
    </row>
    <row r="24429">
      <c r="A24429" s="17"/>
      <c r="H24429" s="18"/>
      <c r="K24429" s="18" t="s">
        <v>316</v>
      </c>
    </row>
    <row r="24430">
      <c r="A24430" s="17"/>
      <c r="H24430" s="18"/>
      <c r="K24430" s="18" t="s">
        <v>316</v>
      </c>
    </row>
    <row r="24431">
      <c r="A24431" s="17"/>
      <c r="H24431" s="18"/>
      <c r="K24431" s="18" t="s">
        <v>316</v>
      </c>
    </row>
    <row r="24432">
      <c r="A24432" s="17"/>
      <c r="H24432" s="18"/>
      <c r="K24432" s="18" t="s">
        <v>316</v>
      </c>
    </row>
    <row r="24433">
      <c r="A24433" s="17"/>
      <c r="H24433" s="18"/>
      <c r="K24433" s="18" t="s">
        <v>316</v>
      </c>
    </row>
    <row r="24434">
      <c r="A24434" s="17"/>
      <c r="H24434" s="18"/>
      <c r="K24434" s="18" t="s">
        <v>316</v>
      </c>
    </row>
    <row r="24435">
      <c r="A24435" s="17"/>
      <c r="H24435" s="18"/>
      <c r="K24435" s="18" t="s">
        <v>316</v>
      </c>
    </row>
    <row r="24436">
      <c r="A24436" s="17"/>
      <c r="H24436" s="18"/>
      <c r="K24436" s="18" t="s">
        <v>316</v>
      </c>
    </row>
    <row r="24437">
      <c r="A24437" s="17"/>
      <c r="H24437" s="18"/>
      <c r="K24437" s="18" t="s">
        <v>316</v>
      </c>
    </row>
    <row r="24438">
      <c r="A24438" s="17"/>
      <c r="H24438" s="18"/>
      <c r="K24438" s="18" t="s">
        <v>316</v>
      </c>
    </row>
    <row r="24439">
      <c r="A24439" s="17"/>
      <c r="H24439" s="18"/>
      <c r="K24439" s="18" t="s">
        <v>316</v>
      </c>
    </row>
    <row r="24440">
      <c r="A24440" s="17"/>
      <c r="H24440" s="18"/>
      <c r="K24440" s="18" t="s">
        <v>316</v>
      </c>
    </row>
    <row r="24441">
      <c r="A24441" s="17"/>
      <c r="H24441" s="18"/>
      <c r="K24441" s="18" t="s">
        <v>316</v>
      </c>
    </row>
    <row r="24442">
      <c r="A24442" s="17"/>
      <c r="H24442" s="18"/>
      <c r="K24442" s="18" t="s">
        <v>316</v>
      </c>
    </row>
    <row r="24443">
      <c r="A24443" s="17"/>
      <c r="H24443" s="18"/>
      <c r="K24443" s="18" t="s">
        <v>316</v>
      </c>
    </row>
    <row r="24444">
      <c r="A24444" s="17"/>
      <c r="H24444" s="18"/>
      <c r="K24444" s="18" t="s">
        <v>316</v>
      </c>
    </row>
    <row r="24445">
      <c r="A24445" s="17"/>
      <c r="H24445" s="18"/>
      <c r="K24445" s="18" t="s">
        <v>316</v>
      </c>
    </row>
    <row r="24446">
      <c r="A24446" s="17"/>
      <c r="H24446" s="18"/>
      <c r="K24446" s="18" t="s">
        <v>316</v>
      </c>
    </row>
    <row r="24447">
      <c r="A24447" s="17"/>
      <c r="H24447" s="18"/>
      <c r="K24447" s="18" t="s">
        <v>316</v>
      </c>
    </row>
    <row r="24448">
      <c r="A24448" s="17"/>
      <c r="H24448" s="18"/>
      <c r="K24448" s="18" t="s">
        <v>316</v>
      </c>
    </row>
    <row r="24449">
      <c r="A24449" s="17"/>
      <c r="H24449" s="18"/>
      <c r="K24449" s="18" t="s">
        <v>316</v>
      </c>
    </row>
    <row r="24450">
      <c r="A24450" s="17"/>
      <c r="H24450" s="18"/>
      <c r="K24450" s="18" t="s">
        <v>316</v>
      </c>
    </row>
    <row r="24451">
      <c r="A24451" s="17"/>
      <c r="H24451" s="18"/>
      <c r="K24451" s="18" t="s">
        <v>316</v>
      </c>
    </row>
    <row r="24452">
      <c r="A24452" s="17"/>
      <c r="H24452" s="18"/>
      <c r="K24452" s="18" t="s">
        <v>316</v>
      </c>
    </row>
    <row r="24453">
      <c r="A24453" s="17"/>
      <c r="H24453" s="18"/>
      <c r="K24453" s="18" t="s">
        <v>316</v>
      </c>
    </row>
    <row r="24454">
      <c r="A24454" s="17"/>
      <c r="H24454" s="18"/>
      <c r="K24454" s="18" t="s">
        <v>316</v>
      </c>
    </row>
    <row r="24455">
      <c r="A24455" s="17"/>
      <c r="H24455" s="18"/>
      <c r="K24455" s="18" t="s">
        <v>316</v>
      </c>
    </row>
    <row r="24456">
      <c r="A24456" s="17"/>
      <c r="H24456" s="18"/>
      <c r="K24456" s="18" t="s">
        <v>316</v>
      </c>
    </row>
    <row r="24457">
      <c r="A24457" s="17"/>
      <c r="H24457" s="18"/>
      <c r="K24457" s="18" t="s">
        <v>316</v>
      </c>
    </row>
    <row r="24458">
      <c r="A24458" s="17"/>
      <c r="H24458" s="18"/>
      <c r="K24458" s="18" t="s">
        <v>316</v>
      </c>
    </row>
    <row r="24459">
      <c r="A24459" s="17"/>
      <c r="H24459" s="18"/>
      <c r="K24459" s="18" t="s">
        <v>316</v>
      </c>
    </row>
    <row r="24460">
      <c r="A24460" s="17"/>
      <c r="H24460" s="18"/>
      <c r="K24460" s="18" t="s">
        <v>316</v>
      </c>
    </row>
    <row r="24461">
      <c r="A24461" s="17"/>
      <c r="H24461" s="18"/>
      <c r="K24461" s="18" t="s">
        <v>316</v>
      </c>
    </row>
    <row r="24462">
      <c r="A24462" s="17"/>
      <c r="H24462" s="18"/>
      <c r="K24462" s="18" t="s">
        <v>316</v>
      </c>
    </row>
    <row r="24463">
      <c r="A24463" s="17"/>
      <c r="H24463" s="18"/>
      <c r="K24463" s="18" t="s">
        <v>316</v>
      </c>
    </row>
    <row r="24464">
      <c r="A24464" s="17"/>
      <c r="H24464" s="18"/>
      <c r="K24464" s="18" t="s">
        <v>316</v>
      </c>
    </row>
    <row r="24465">
      <c r="A24465" s="17"/>
      <c r="H24465" s="18"/>
      <c r="K24465" s="18" t="s">
        <v>316</v>
      </c>
    </row>
    <row r="24466">
      <c r="A24466" s="17"/>
      <c r="H24466" s="18"/>
      <c r="K24466" s="18" t="s">
        <v>316</v>
      </c>
    </row>
    <row r="24467">
      <c r="A24467" s="17"/>
      <c r="H24467" s="18"/>
      <c r="K24467" s="18" t="s">
        <v>316</v>
      </c>
    </row>
    <row r="24468">
      <c r="A24468" s="17"/>
      <c r="H24468" s="18"/>
      <c r="K24468" s="18" t="s">
        <v>316</v>
      </c>
    </row>
    <row r="24469">
      <c r="A24469" s="17"/>
      <c r="H24469" s="18"/>
      <c r="K24469" s="18" t="s">
        <v>316</v>
      </c>
    </row>
    <row r="24470">
      <c r="A24470" s="17"/>
      <c r="H24470" s="18"/>
      <c r="K24470" s="18" t="s">
        <v>316</v>
      </c>
    </row>
    <row r="24471">
      <c r="A24471" s="17"/>
      <c r="H24471" s="18"/>
      <c r="K24471" s="18" t="s">
        <v>316</v>
      </c>
    </row>
    <row r="24472">
      <c r="A24472" s="17"/>
      <c r="H24472" s="18"/>
      <c r="K24472" s="18" t="s">
        <v>316</v>
      </c>
    </row>
    <row r="24473">
      <c r="A24473" s="17"/>
      <c r="H24473" s="18"/>
      <c r="K24473" s="18" t="s">
        <v>316</v>
      </c>
    </row>
    <row r="24474">
      <c r="A24474" s="17"/>
      <c r="H24474" s="18"/>
      <c r="K24474" s="18" t="s">
        <v>316</v>
      </c>
    </row>
    <row r="24475">
      <c r="A24475" s="17"/>
      <c r="H24475" s="18"/>
      <c r="K24475" s="18" t="s">
        <v>316</v>
      </c>
    </row>
    <row r="24476">
      <c r="A24476" s="17"/>
      <c r="H24476" s="18"/>
      <c r="K24476" s="18" t="s">
        <v>316</v>
      </c>
    </row>
    <row r="24477">
      <c r="A24477" s="17"/>
      <c r="H24477" s="18"/>
      <c r="K24477" s="18" t="s">
        <v>316</v>
      </c>
    </row>
    <row r="24478">
      <c r="A24478" s="17"/>
      <c r="H24478" s="18"/>
      <c r="K24478" s="18" t="s">
        <v>316</v>
      </c>
    </row>
    <row r="24479">
      <c r="A24479" s="17"/>
      <c r="H24479" s="18"/>
      <c r="K24479" s="18" t="s">
        <v>316</v>
      </c>
    </row>
    <row r="24480">
      <c r="A24480" s="17"/>
      <c r="H24480" s="18"/>
      <c r="K24480" s="18" t="s">
        <v>316</v>
      </c>
    </row>
    <row r="24481">
      <c r="A24481" s="17"/>
      <c r="H24481" s="18"/>
      <c r="K24481" s="18" t="s">
        <v>316</v>
      </c>
    </row>
    <row r="24482">
      <c r="A24482" s="17"/>
      <c r="H24482" s="18"/>
      <c r="K24482" s="18" t="s">
        <v>316</v>
      </c>
    </row>
    <row r="24483">
      <c r="A24483" s="17"/>
      <c r="H24483" s="18"/>
      <c r="K24483" s="18" t="s">
        <v>316</v>
      </c>
    </row>
    <row r="24484">
      <c r="A24484" s="17"/>
      <c r="H24484" s="18"/>
      <c r="K24484" s="18" t="s">
        <v>316</v>
      </c>
    </row>
    <row r="24485">
      <c r="A24485" s="17"/>
      <c r="H24485" s="18"/>
      <c r="K24485" s="18" t="s">
        <v>316</v>
      </c>
    </row>
    <row r="24486">
      <c r="A24486" s="17"/>
      <c r="H24486" s="18"/>
      <c r="K24486" s="18" t="s">
        <v>316</v>
      </c>
    </row>
    <row r="24487">
      <c r="A24487" s="17"/>
      <c r="H24487" s="18"/>
      <c r="K24487" s="18" t="s">
        <v>316</v>
      </c>
    </row>
    <row r="24488">
      <c r="A24488" s="17"/>
      <c r="H24488" s="18"/>
      <c r="K24488" s="18" t="s">
        <v>316</v>
      </c>
    </row>
    <row r="24489">
      <c r="A24489" s="17"/>
      <c r="H24489" s="18"/>
      <c r="K24489" s="18" t="s">
        <v>316</v>
      </c>
    </row>
    <row r="24490">
      <c r="A24490" s="17"/>
      <c r="H24490" s="18"/>
      <c r="K24490" s="18" t="s">
        <v>316</v>
      </c>
    </row>
    <row r="24491">
      <c r="A24491" s="17"/>
      <c r="H24491" s="18"/>
      <c r="K24491" s="18" t="s">
        <v>316</v>
      </c>
    </row>
    <row r="24492">
      <c r="A24492" s="17"/>
      <c r="H24492" s="18"/>
      <c r="K24492" s="18" t="s">
        <v>316</v>
      </c>
    </row>
    <row r="24493">
      <c r="A24493" s="17"/>
      <c r="H24493" s="18"/>
      <c r="K24493" s="18" t="s">
        <v>316</v>
      </c>
    </row>
    <row r="24494">
      <c r="A24494" s="17"/>
      <c r="H24494" s="18"/>
      <c r="K24494" s="18" t="s">
        <v>316</v>
      </c>
    </row>
    <row r="24495">
      <c r="A24495" s="17"/>
      <c r="H24495" s="18"/>
      <c r="K24495" s="18" t="s">
        <v>316</v>
      </c>
    </row>
    <row r="24496">
      <c r="A24496" s="17"/>
      <c r="H24496" s="18"/>
      <c r="K24496" s="18" t="s">
        <v>316</v>
      </c>
    </row>
    <row r="24497">
      <c r="A24497" s="17"/>
      <c r="H24497" s="18"/>
      <c r="K24497" s="18" t="s">
        <v>316</v>
      </c>
    </row>
    <row r="24498">
      <c r="A24498" s="17"/>
      <c r="H24498" s="18"/>
      <c r="K24498" s="18" t="s">
        <v>316</v>
      </c>
    </row>
    <row r="24499">
      <c r="A24499" s="17"/>
      <c r="H24499" s="18"/>
      <c r="K24499" s="18" t="s">
        <v>316</v>
      </c>
    </row>
    <row r="24500">
      <c r="A24500" s="17"/>
      <c r="H24500" s="18"/>
      <c r="K24500" s="18" t="s">
        <v>316</v>
      </c>
    </row>
    <row r="24501">
      <c r="A24501" s="17"/>
      <c r="H24501" s="18"/>
      <c r="K24501" s="18" t="s">
        <v>316</v>
      </c>
    </row>
    <row r="24502">
      <c r="A24502" s="17"/>
      <c r="H24502" s="18"/>
      <c r="K24502" s="18" t="s">
        <v>316</v>
      </c>
    </row>
    <row r="24503">
      <c r="A24503" s="17"/>
      <c r="H24503" s="18"/>
      <c r="K24503" s="18" t="s">
        <v>316</v>
      </c>
    </row>
    <row r="24504">
      <c r="A24504" s="17"/>
      <c r="H24504" s="18"/>
      <c r="K24504" s="18" t="s">
        <v>316</v>
      </c>
    </row>
    <row r="24505">
      <c r="A24505" s="17"/>
      <c r="H24505" s="18"/>
      <c r="K24505" s="18" t="s">
        <v>316</v>
      </c>
    </row>
    <row r="24506">
      <c r="A24506" s="17"/>
      <c r="H24506" s="18"/>
      <c r="K24506" s="18" t="s">
        <v>316</v>
      </c>
    </row>
    <row r="24507">
      <c r="A24507" s="17"/>
      <c r="H24507" s="18"/>
      <c r="K24507" s="18" t="s">
        <v>316</v>
      </c>
    </row>
    <row r="24508">
      <c r="A24508" s="17"/>
      <c r="H24508" s="18"/>
      <c r="K24508" s="18" t="s">
        <v>316</v>
      </c>
    </row>
    <row r="24509">
      <c r="A24509" s="17"/>
      <c r="H24509" s="18"/>
      <c r="K24509" s="18" t="s">
        <v>316</v>
      </c>
    </row>
    <row r="24510">
      <c r="A24510" s="17"/>
      <c r="H24510" s="18"/>
      <c r="K24510" s="18" t="s">
        <v>316</v>
      </c>
    </row>
    <row r="24511">
      <c r="A24511" s="17"/>
      <c r="H24511" s="18"/>
      <c r="K24511" s="18" t="s">
        <v>316</v>
      </c>
    </row>
    <row r="24512">
      <c r="A24512" s="17"/>
      <c r="H24512" s="18"/>
      <c r="K24512" s="18" t="s">
        <v>316</v>
      </c>
    </row>
    <row r="24513">
      <c r="A24513" s="17"/>
      <c r="H24513" s="18"/>
      <c r="K24513" s="18" t="s">
        <v>316</v>
      </c>
    </row>
    <row r="24514">
      <c r="A24514" s="17"/>
      <c r="H24514" s="18"/>
      <c r="K24514" s="18" t="s">
        <v>316</v>
      </c>
    </row>
    <row r="24515">
      <c r="A24515" s="17"/>
      <c r="H24515" s="18"/>
      <c r="K24515" s="18" t="s">
        <v>316</v>
      </c>
    </row>
    <row r="24516">
      <c r="A24516" s="17"/>
      <c r="H24516" s="18"/>
      <c r="K24516" s="18" t="s">
        <v>316</v>
      </c>
    </row>
    <row r="24517">
      <c r="A24517" s="17"/>
      <c r="H24517" s="18"/>
      <c r="K24517" s="18" t="s">
        <v>316</v>
      </c>
    </row>
    <row r="24518">
      <c r="A24518" s="17"/>
      <c r="H24518" s="18"/>
      <c r="K24518" s="18" t="s">
        <v>316</v>
      </c>
    </row>
    <row r="24519">
      <c r="A24519" s="17"/>
      <c r="H24519" s="18"/>
      <c r="K24519" s="18" t="s">
        <v>316</v>
      </c>
    </row>
    <row r="24520">
      <c r="A24520" s="17"/>
      <c r="H24520" s="18"/>
      <c r="K24520" s="18" t="s">
        <v>316</v>
      </c>
    </row>
    <row r="24521">
      <c r="A24521" s="17"/>
      <c r="H24521" s="18"/>
      <c r="K24521" s="18" t="s">
        <v>316</v>
      </c>
    </row>
    <row r="24522">
      <c r="A24522" s="17"/>
      <c r="H24522" s="18"/>
      <c r="K24522" s="18" t="s">
        <v>316</v>
      </c>
    </row>
    <row r="24523">
      <c r="A24523" s="17"/>
      <c r="H24523" s="18"/>
      <c r="K24523" s="18" t="s">
        <v>316</v>
      </c>
    </row>
    <row r="24524">
      <c r="A24524" s="17"/>
      <c r="H24524" s="18"/>
      <c r="K24524" s="18" t="s">
        <v>316</v>
      </c>
    </row>
    <row r="24525">
      <c r="A24525" s="17"/>
      <c r="H24525" s="18"/>
      <c r="K24525" s="18" t="s">
        <v>316</v>
      </c>
    </row>
    <row r="24526">
      <c r="A24526" s="17"/>
      <c r="H24526" s="18"/>
      <c r="K24526" s="18" t="s">
        <v>316</v>
      </c>
    </row>
    <row r="24527">
      <c r="A24527" s="17"/>
      <c r="H24527" s="18"/>
      <c r="K24527" s="18" t="s">
        <v>316</v>
      </c>
    </row>
    <row r="24528">
      <c r="A24528" s="17"/>
      <c r="H24528" s="18"/>
      <c r="K24528" s="18" t="s">
        <v>316</v>
      </c>
    </row>
    <row r="24529">
      <c r="A24529" s="17"/>
      <c r="H24529" s="18"/>
      <c r="K24529" s="18" t="s">
        <v>316</v>
      </c>
    </row>
    <row r="24530">
      <c r="A24530" s="17"/>
      <c r="H24530" s="18"/>
      <c r="K24530" s="18" t="s">
        <v>316</v>
      </c>
    </row>
    <row r="24531">
      <c r="A24531" s="17"/>
      <c r="H24531" s="18"/>
      <c r="K24531" s="18" t="s">
        <v>316</v>
      </c>
    </row>
    <row r="24532">
      <c r="A24532" s="17"/>
      <c r="H24532" s="18"/>
      <c r="K24532" s="18" t="s">
        <v>316</v>
      </c>
    </row>
    <row r="24533">
      <c r="A24533" s="17"/>
      <c r="H24533" s="18"/>
      <c r="K24533" s="18" t="s">
        <v>316</v>
      </c>
    </row>
    <row r="24534">
      <c r="A24534" s="17"/>
      <c r="H24534" s="18"/>
      <c r="K24534" s="18" t="s">
        <v>316</v>
      </c>
    </row>
    <row r="24535">
      <c r="A24535" s="17"/>
      <c r="H24535" s="18"/>
      <c r="K24535" s="18" t="s">
        <v>316</v>
      </c>
    </row>
    <row r="24536">
      <c r="A24536" s="17"/>
      <c r="H24536" s="18"/>
      <c r="K24536" s="18" t="s">
        <v>316</v>
      </c>
    </row>
    <row r="24537">
      <c r="A24537" s="17"/>
      <c r="H24537" s="18"/>
      <c r="K24537" s="18" t="s">
        <v>316</v>
      </c>
    </row>
    <row r="24538">
      <c r="A24538" s="17"/>
      <c r="H24538" s="18"/>
      <c r="K24538" s="18" t="s">
        <v>316</v>
      </c>
    </row>
    <row r="24539">
      <c r="A24539" s="17"/>
      <c r="H24539" s="18"/>
      <c r="K24539" s="18" t="s">
        <v>316</v>
      </c>
    </row>
    <row r="24540">
      <c r="A24540" s="17"/>
      <c r="H24540" s="18"/>
      <c r="K24540" s="18" t="s">
        <v>316</v>
      </c>
    </row>
    <row r="24541">
      <c r="A24541" s="17"/>
      <c r="H24541" s="18"/>
      <c r="K24541" s="18" t="s">
        <v>316</v>
      </c>
    </row>
    <row r="24542">
      <c r="A24542" s="17"/>
      <c r="H24542" s="18"/>
      <c r="K24542" s="18" t="s">
        <v>316</v>
      </c>
    </row>
    <row r="24543">
      <c r="A24543" s="17"/>
      <c r="H24543" s="18"/>
      <c r="K24543" s="18" t="s">
        <v>316</v>
      </c>
    </row>
    <row r="24544">
      <c r="A24544" s="17"/>
      <c r="H24544" s="18"/>
      <c r="K24544" s="18" t="s">
        <v>316</v>
      </c>
    </row>
    <row r="24545">
      <c r="A24545" s="17"/>
      <c r="H24545" s="18"/>
      <c r="K24545" s="18" t="s">
        <v>316</v>
      </c>
    </row>
    <row r="24546">
      <c r="A24546" s="17"/>
      <c r="H24546" s="18"/>
      <c r="K24546" s="18" t="s">
        <v>316</v>
      </c>
    </row>
    <row r="24547">
      <c r="A24547" s="17"/>
      <c r="H24547" s="18"/>
      <c r="K24547" s="18" t="s">
        <v>316</v>
      </c>
    </row>
    <row r="24548">
      <c r="A24548" s="17"/>
      <c r="H24548" s="18"/>
      <c r="K24548" s="18" t="s">
        <v>316</v>
      </c>
    </row>
    <row r="24549">
      <c r="A24549" s="17"/>
      <c r="H24549" s="18"/>
      <c r="K24549" s="18" t="s">
        <v>316</v>
      </c>
    </row>
    <row r="24550">
      <c r="A24550" s="17"/>
      <c r="H24550" s="18"/>
      <c r="K24550" s="18" t="s">
        <v>316</v>
      </c>
    </row>
    <row r="24551">
      <c r="A24551" s="17"/>
      <c r="H24551" s="18"/>
      <c r="K24551" s="18" t="s">
        <v>316</v>
      </c>
    </row>
    <row r="24552">
      <c r="A24552" s="17"/>
      <c r="H24552" s="18"/>
      <c r="K24552" s="18" t="s">
        <v>316</v>
      </c>
    </row>
    <row r="24553">
      <c r="A24553" s="17"/>
      <c r="H24553" s="18"/>
      <c r="K24553" s="18" t="s">
        <v>316</v>
      </c>
    </row>
    <row r="24554">
      <c r="A24554" s="17"/>
      <c r="H24554" s="18"/>
      <c r="K24554" s="18" t="s">
        <v>316</v>
      </c>
    </row>
    <row r="24555">
      <c r="A24555" s="17"/>
      <c r="H24555" s="18"/>
      <c r="K24555" s="18" t="s">
        <v>316</v>
      </c>
    </row>
    <row r="24556">
      <c r="A24556" s="17"/>
      <c r="H24556" s="18"/>
      <c r="K24556" s="18" t="s">
        <v>316</v>
      </c>
    </row>
    <row r="24557">
      <c r="A24557" s="17"/>
      <c r="H24557" s="18"/>
      <c r="K24557" s="18" t="s">
        <v>316</v>
      </c>
    </row>
    <row r="24558">
      <c r="A24558" s="17"/>
      <c r="H24558" s="18"/>
      <c r="K24558" s="18" t="s">
        <v>316</v>
      </c>
    </row>
    <row r="24559">
      <c r="A24559" s="17"/>
      <c r="H24559" s="18"/>
      <c r="K24559" s="18" t="s">
        <v>316</v>
      </c>
    </row>
    <row r="24560">
      <c r="A24560" s="17"/>
      <c r="H24560" s="18"/>
      <c r="K24560" s="18" t="s">
        <v>316</v>
      </c>
    </row>
    <row r="24561">
      <c r="A24561" s="17"/>
      <c r="H24561" s="18"/>
      <c r="K24561" s="18" t="s">
        <v>316</v>
      </c>
    </row>
    <row r="24562">
      <c r="A24562" s="17"/>
      <c r="H24562" s="18"/>
      <c r="K24562" s="18" t="s">
        <v>316</v>
      </c>
    </row>
    <row r="24563">
      <c r="A24563" s="17"/>
      <c r="H24563" s="18"/>
      <c r="K24563" s="18" t="s">
        <v>316</v>
      </c>
    </row>
    <row r="24564">
      <c r="A24564" s="17"/>
      <c r="H24564" s="18"/>
      <c r="K24564" s="18" t="s">
        <v>316</v>
      </c>
    </row>
    <row r="24565">
      <c r="A24565" s="17"/>
      <c r="H24565" s="18"/>
      <c r="K24565" s="18" t="s">
        <v>316</v>
      </c>
    </row>
    <row r="24566">
      <c r="A24566" s="17"/>
      <c r="H24566" s="18"/>
      <c r="K24566" s="18" t="s">
        <v>316</v>
      </c>
    </row>
    <row r="24567">
      <c r="A24567" s="17"/>
      <c r="H24567" s="18"/>
      <c r="K24567" s="18" t="s">
        <v>316</v>
      </c>
    </row>
    <row r="24568">
      <c r="A24568" s="17"/>
      <c r="H24568" s="18"/>
      <c r="K24568" s="18" t="s">
        <v>316</v>
      </c>
    </row>
    <row r="24569">
      <c r="A24569" s="17"/>
      <c r="H24569" s="18"/>
      <c r="K24569" s="18" t="s">
        <v>316</v>
      </c>
    </row>
    <row r="24570">
      <c r="A24570" s="17"/>
      <c r="H24570" s="18"/>
      <c r="K24570" s="18" t="s">
        <v>316</v>
      </c>
    </row>
    <row r="24571">
      <c r="A24571" s="17"/>
      <c r="H24571" s="18"/>
      <c r="K24571" s="18" t="s">
        <v>316</v>
      </c>
    </row>
    <row r="24572">
      <c r="A24572" s="17"/>
      <c r="H24572" s="18"/>
      <c r="K24572" s="18" t="s">
        <v>316</v>
      </c>
    </row>
    <row r="24573">
      <c r="A24573" s="17"/>
      <c r="H24573" s="18"/>
      <c r="K24573" s="18" t="s">
        <v>316</v>
      </c>
    </row>
    <row r="24574">
      <c r="A24574" s="17"/>
      <c r="H24574" s="18"/>
      <c r="K24574" s="18" t="s">
        <v>316</v>
      </c>
    </row>
    <row r="24575">
      <c r="A24575" s="17"/>
      <c r="H24575" s="18"/>
      <c r="K24575" s="18" t="s">
        <v>316</v>
      </c>
    </row>
    <row r="24576">
      <c r="A24576" s="17"/>
      <c r="H24576" s="18"/>
      <c r="K24576" s="18" t="s">
        <v>316</v>
      </c>
    </row>
    <row r="24577">
      <c r="A24577" s="17"/>
      <c r="H24577" s="18"/>
      <c r="K24577" s="18" t="s">
        <v>316</v>
      </c>
    </row>
    <row r="24578">
      <c r="A24578" s="17"/>
      <c r="H24578" s="18"/>
      <c r="K24578" s="18" t="s">
        <v>316</v>
      </c>
    </row>
    <row r="24579">
      <c r="A24579" s="17"/>
      <c r="H24579" s="18"/>
      <c r="K24579" s="18" t="s">
        <v>316</v>
      </c>
    </row>
    <row r="24580">
      <c r="A24580" s="17"/>
      <c r="H24580" s="18"/>
      <c r="K24580" s="18" t="s">
        <v>316</v>
      </c>
    </row>
    <row r="24581">
      <c r="A24581" s="17"/>
      <c r="H24581" s="18"/>
      <c r="K24581" s="18" t="s">
        <v>316</v>
      </c>
    </row>
    <row r="24582">
      <c r="A24582" s="17"/>
      <c r="H24582" s="18"/>
      <c r="K24582" s="18" t="s">
        <v>316</v>
      </c>
    </row>
    <row r="24583">
      <c r="A24583" s="17"/>
      <c r="H24583" s="18"/>
      <c r="K24583" s="18" t="s">
        <v>316</v>
      </c>
    </row>
    <row r="24584">
      <c r="A24584" s="17"/>
      <c r="H24584" s="18"/>
      <c r="K24584" s="18" t="s">
        <v>316</v>
      </c>
    </row>
    <row r="24585">
      <c r="A24585" s="17"/>
      <c r="H24585" s="18"/>
      <c r="K24585" s="18" t="s">
        <v>316</v>
      </c>
    </row>
    <row r="24586">
      <c r="A24586" s="17"/>
      <c r="H24586" s="18"/>
      <c r="K24586" s="18" t="s">
        <v>316</v>
      </c>
    </row>
    <row r="24587">
      <c r="A24587" s="17"/>
      <c r="H24587" s="18"/>
      <c r="K24587" s="18" t="s">
        <v>316</v>
      </c>
    </row>
    <row r="24588">
      <c r="A24588" s="17"/>
      <c r="H24588" s="18"/>
      <c r="K24588" s="18" t="s">
        <v>316</v>
      </c>
    </row>
    <row r="24589">
      <c r="A24589" s="17"/>
      <c r="H24589" s="18"/>
      <c r="K24589" s="18" t="s">
        <v>316</v>
      </c>
    </row>
    <row r="24590">
      <c r="A24590" s="17"/>
      <c r="H24590" s="18"/>
      <c r="K24590" s="18" t="s">
        <v>316</v>
      </c>
    </row>
    <row r="24591">
      <c r="A24591" s="17"/>
      <c r="H24591" s="18"/>
      <c r="K24591" s="18" t="s">
        <v>316</v>
      </c>
    </row>
    <row r="24592">
      <c r="A24592" s="17"/>
      <c r="H24592" s="18"/>
      <c r="K24592" s="18" t="s">
        <v>316</v>
      </c>
    </row>
    <row r="24593">
      <c r="A24593" s="17"/>
      <c r="H24593" s="18"/>
      <c r="K24593" s="18" t="s">
        <v>316</v>
      </c>
    </row>
    <row r="24594">
      <c r="A24594" s="17"/>
      <c r="H24594" s="18"/>
      <c r="K24594" s="18" t="s">
        <v>316</v>
      </c>
    </row>
    <row r="24595">
      <c r="A24595" s="17"/>
      <c r="H24595" s="18"/>
      <c r="K24595" s="18" t="s">
        <v>316</v>
      </c>
    </row>
    <row r="24596">
      <c r="A24596" s="17"/>
      <c r="H24596" s="18"/>
      <c r="K24596" s="18" t="s">
        <v>316</v>
      </c>
    </row>
    <row r="24597">
      <c r="A24597" s="17"/>
      <c r="H24597" s="18"/>
      <c r="K24597" s="18" t="s">
        <v>316</v>
      </c>
    </row>
    <row r="24598">
      <c r="A24598" s="17"/>
      <c r="H24598" s="18"/>
      <c r="K24598" s="18" t="s">
        <v>316</v>
      </c>
    </row>
    <row r="24599">
      <c r="A24599" s="17"/>
      <c r="H24599" s="18"/>
      <c r="K24599" s="18" t="s">
        <v>316</v>
      </c>
    </row>
    <row r="24600">
      <c r="A24600" s="17"/>
      <c r="H24600" s="18"/>
      <c r="K24600" s="18" t="s">
        <v>316</v>
      </c>
    </row>
    <row r="24601">
      <c r="A24601" s="17"/>
      <c r="H24601" s="18"/>
      <c r="K24601" s="18" t="s">
        <v>316</v>
      </c>
    </row>
    <row r="24602">
      <c r="A24602" s="17"/>
      <c r="H24602" s="18"/>
      <c r="K24602" s="18" t="s">
        <v>316</v>
      </c>
    </row>
    <row r="24603">
      <c r="A24603" s="17"/>
      <c r="H24603" s="18"/>
      <c r="K24603" s="18" t="s">
        <v>316</v>
      </c>
    </row>
    <row r="24604">
      <c r="A24604" s="17"/>
      <c r="H24604" s="18"/>
      <c r="K24604" s="18" t="s">
        <v>316</v>
      </c>
    </row>
    <row r="24605">
      <c r="A24605" s="17"/>
      <c r="H24605" s="18"/>
      <c r="K24605" s="18" t="s">
        <v>316</v>
      </c>
    </row>
    <row r="24606">
      <c r="A24606" s="17"/>
      <c r="H24606" s="18"/>
      <c r="K24606" s="18" t="s">
        <v>316</v>
      </c>
    </row>
    <row r="24607">
      <c r="A24607" s="17"/>
      <c r="H24607" s="18"/>
      <c r="K24607" s="18" t="s">
        <v>316</v>
      </c>
    </row>
    <row r="24608">
      <c r="A24608" s="17"/>
      <c r="H24608" s="18"/>
      <c r="K24608" s="18" t="s">
        <v>316</v>
      </c>
    </row>
    <row r="24609">
      <c r="A24609" s="17"/>
      <c r="H24609" s="18"/>
      <c r="K24609" s="18" t="s">
        <v>316</v>
      </c>
    </row>
    <row r="24610">
      <c r="A24610" s="17"/>
      <c r="H24610" s="18"/>
      <c r="K24610" s="18" t="s">
        <v>316</v>
      </c>
    </row>
    <row r="24611">
      <c r="A24611" s="17"/>
      <c r="H24611" s="18"/>
      <c r="K24611" s="18" t="s">
        <v>316</v>
      </c>
    </row>
    <row r="24612">
      <c r="A24612" s="17"/>
      <c r="H24612" s="18"/>
      <c r="K24612" s="18" t="s">
        <v>316</v>
      </c>
    </row>
    <row r="24613">
      <c r="A24613" s="17"/>
      <c r="H24613" s="18"/>
      <c r="K24613" s="18" t="s">
        <v>316</v>
      </c>
    </row>
    <row r="24614">
      <c r="A24614" s="17"/>
      <c r="H24614" s="18"/>
      <c r="K24614" s="18" t="s">
        <v>316</v>
      </c>
    </row>
    <row r="24615">
      <c r="A24615" s="17"/>
      <c r="H24615" s="18"/>
      <c r="K24615" s="18" t="s">
        <v>316</v>
      </c>
    </row>
    <row r="24616">
      <c r="A24616" s="17"/>
      <c r="H24616" s="18"/>
      <c r="K24616" s="18" t="s">
        <v>316</v>
      </c>
    </row>
    <row r="24617">
      <c r="A24617" s="17"/>
      <c r="H24617" s="18"/>
      <c r="K24617" s="18" t="s">
        <v>316</v>
      </c>
    </row>
    <row r="24618">
      <c r="A24618" s="17"/>
      <c r="H24618" s="18"/>
      <c r="K24618" s="18" t="s">
        <v>316</v>
      </c>
    </row>
    <row r="24619">
      <c r="A24619" s="17"/>
      <c r="H24619" s="18"/>
      <c r="K24619" s="18" t="s">
        <v>316</v>
      </c>
    </row>
    <row r="24620">
      <c r="A24620" s="17"/>
      <c r="H24620" s="18"/>
      <c r="K24620" s="18" t="s">
        <v>316</v>
      </c>
    </row>
    <row r="24621">
      <c r="A24621" s="17"/>
      <c r="H24621" s="18"/>
      <c r="K24621" s="18" t="s">
        <v>316</v>
      </c>
    </row>
    <row r="24622">
      <c r="A24622" s="17"/>
      <c r="H24622" s="18"/>
      <c r="K24622" s="18" t="s">
        <v>316</v>
      </c>
    </row>
    <row r="24623">
      <c r="A24623" s="17"/>
      <c r="H24623" s="18"/>
      <c r="K24623" s="18" t="s">
        <v>316</v>
      </c>
    </row>
    <row r="24624">
      <c r="A24624" s="17"/>
      <c r="H24624" s="18"/>
      <c r="K24624" s="18" t="s">
        <v>316</v>
      </c>
    </row>
    <row r="24625">
      <c r="A24625" s="17"/>
      <c r="H24625" s="18"/>
      <c r="K24625" s="18" t="s">
        <v>316</v>
      </c>
    </row>
    <row r="24626">
      <c r="A24626" s="17"/>
      <c r="H24626" s="18"/>
      <c r="K24626" s="18" t="s">
        <v>316</v>
      </c>
    </row>
    <row r="24627">
      <c r="A24627" s="17"/>
      <c r="H24627" s="18"/>
      <c r="K24627" s="18" t="s">
        <v>316</v>
      </c>
    </row>
    <row r="24628">
      <c r="A24628" s="17"/>
      <c r="H24628" s="18"/>
      <c r="K24628" s="18" t="s">
        <v>316</v>
      </c>
    </row>
    <row r="24629">
      <c r="A24629" s="17"/>
      <c r="H24629" s="18"/>
      <c r="K24629" s="18" t="s">
        <v>316</v>
      </c>
    </row>
    <row r="24630">
      <c r="A24630" s="17"/>
      <c r="H24630" s="18"/>
      <c r="K24630" s="18" t="s">
        <v>316</v>
      </c>
    </row>
    <row r="24631">
      <c r="A24631" s="17"/>
      <c r="H24631" s="18"/>
      <c r="K24631" s="18" t="s">
        <v>316</v>
      </c>
    </row>
    <row r="24632">
      <c r="A24632" s="17"/>
      <c r="H24632" s="18"/>
      <c r="K24632" s="18" t="s">
        <v>316</v>
      </c>
    </row>
    <row r="24633">
      <c r="A24633" s="17"/>
      <c r="H24633" s="18"/>
      <c r="K24633" s="18" t="s">
        <v>316</v>
      </c>
    </row>
    <row r="24634">
      <c r="A24634" s="17"/>
      <c r="H24634" s="18"/>
      <c r="K24634" s="18" t="s">
        <v>316</v>
      </c>
    </row>
    <row r="24635">
      <c r="A24635" s="17"/>
      <c r="H24635" s="18"/>
      <c r="K24635" s="18" t="s">
        <v>316</v>
      </c>
    </row>
    <row r="24636">
      <c r="A24636" s="17"/>
      <c r="H24636" s="18"/>
      <c r="K24636" s="18" t="s">
        <v>316</v>
      </c>
    </row>
    <row r="24637">
      <c r="A24637" s="17"/>
      <c r="H24637" s="18"/>
      <c r="K24637" s="18" t="s">
        <v>316</v>
      </c>
    </row>
    <row r="24638">
      <c r="A24638" s="17"/>
      <c r="H24638" s="18"/>
      <c r="K24638" s="18" t="s">
        <v>316</v>
      </c>
    </row>
    <row r="24639">
      <c r="A24639" s="17"/>
      <c r="H24639" s="18"/>
      <c r="K24639" s="18" t="s">
        <v>316</v>
      </c>
    </row>
    <row r="24640">
      <c r="A24640" s="17"/>
      <c r="H24640" s="18"/>
      <c r="K24640" s="18" t="s">
        <v>316</v>
      </c>
    </row>
    <row r="24641">
      <c r="A24641" s="17"/>
      <c r="H24641" s="18"/>
      <c r="K24641" s="18" t="s">
        <v>316</v>
      </c>
    </row>
    <row r="24642">
      <c r="A24642" s="17"/>
      <c r="H24642" s="18"/>
      <c r="K24642" s="18" t="s">
        <v>316</v>
      </c>
    </row>
    <row r="24643">
      <c r="A24643" s="17"/>
      <c r="H24643" s="18"/>
      <c r="K24643" s="18" t="s">
        <v>316</v>
      </c>
    </row>
    <row r="24644">
      <c r="A24644" s="17"/>
      <c r="H24644" s="18"/>
      <c r="K24644" s="18" t="s">
        <v>316</v>
      </c>
    </row>
    <row r="24645">
      <c r="A24645" s="17"/>
      <c r="H24645" s="18"/>
      <c r="K24645" s="18" t="s">
        <v>316</v>
      </c>
    </row>
    <row r="24646">
      <c r="A24646" s="17"/>
      <c r="H24646" s="18"/>
      <c r="K24646" s="18" t="s">
        <v>316</v>
      </c>
    </row>
    <row r="24647">
      <c r="A24647" s="17"/>
      <c r="H24647" s="18"/>
      <c r="K24647" s="18" t="s">
        <v>316</v>
      </c>
    </row>
    <row r="24648">
      <c r="A24648" s="17"/>
      <c r="H24648" s="18"/>
      <c r="K24648" s="18" t="s">
        <v>316</v>
      </c>
    </row>
    <row r="24649">
      <c r="A24649" s="17"/>
      <c r="H24649" s="18"/>
      <c r="K24649" s="18" t="s">
        <v>316</v>
      </c>
    </row>
    <row r="24650">
      <c r="A24650" s="17"/>
      <c r="H24650" s="18"/>
      <c r="K24650" s="18" t="s">
        <v>316</v>
      </c>
    </row>
    <row r="24651">
      <c r="A24651" s="17"/>
      <c r="H24651" s="18"/>
      <c r="K24651" s="18" t="s">
        <v>316</v>
      </c>
    </row>
    <row r="24652">
      <c r="A24652" s="17"/>
      <c r="H24652" s="18"/>
      <c r="K24652" s="18" t="s">
        <v>316</v>
      </c>
    </row>
    <row r="24653">
      <c r="A24653" s="17"/>
      <c r="H24653" s="18"/>
      <c r="K24653" s="18" t="s">
        <v>316</v>
      </c>
    </row>
    <row r="24654">
      <c r="A24654" s="17"/>
      <c r="H24654" s="18"/>
      <c r="K24654" s="18" t="s">
        <v>316</v>
      </c>
    </row>
    <row r="24655">
      <c r="A24655" s="17"/>
      <c r="H24655" s="18"/>
      <c r="K24655" s="18" t="s">
        <v>316</v>
      </c>
    </row>
    <row r="24656">
      <c r="A24656" s="17"/>
      <c r="H24656" s="18"/>
      <c r="K24656" s="18" t="s">
        <v>316</v>
      </c>
    </row>
    <row r="24657">
      <c r="A24657" s="17"/>
      <c r="H24657" s="18"/>
      <c r="K24657" s="18" t="s">
        <v>316</v>
      </c>
    </row>
    <row r="24658">
      <c r="A24658" s="17"/>
      <c r="H24658" s="18"/>
      <c r="K24658" s="18" t="s">
        <v>316</v>
      </c>
    </row>
    <row r="24659">
      <c r="A24659" s="17"/>
      <c r="H24659" s="18"/>
      <c r="K24659" s="18" t="s">
        <v>316</v>
      </c>
    </row>
    <row r="24660">
      <c r="A24660" s="17"/>
      <c r="H24660" s="18"/>
      <c r="K24660" s="18" t="s">
        <v>316</v>
      </c>
    </row>
    <row r="24661">
      <c r="A24661" s="17"/>
      <c r="H24661" s="18"/>
      <c r="K24661" s="18" t="s">
        <v>316</v>
      </c>
    </row>
    <row r="24662">
      <c r="A24662" s="17"/>
      <c r="H24662" s="18"/>
      <c r="K24662" s="18" t="s">
        <v>316</v>
      </c>
    </row>
    <row r="24663">
      <c r="A24663" s="17"/>
      <c r="H24663" s="18"/>
      <c r="K24663" s="18" t="s">
        <v>316</v>
      </c>
    </row>
    <row r="24664">
      <c r="A24664" s="17"/>
      <c r="H24664" s="18"/>
      <c r="K24664" s="18" t="s">
        <v>316</v>
      </c>
    </row>
    <row r="24665">
      <c r="A24665" s="17"/>
      <c r="H24665" s="18"/>
      <c r="K24665" s="18" t="s">
        <v>316</v>
      </c>
    </row>
    <row r="24666">
      <c r="A24666" s="17"/>
      <c r="H24666" s="18"/>
      <c r="K24666" s="18" t="s">
        <v>316</v>
      </c>
    </row>
    <row r="24667">
      <c r="A24667" s="17"/>
      <c r="H24667" s="18"/>
      <c r="K24667" s="18" t="s">
        <v>316</v>
      </c>
    </row>
    <row r="24668">
      <c r="A24668" s="17"/>
      <c r="H24668" s="18"/>
      <c r="K24668" s="18" t="s">
        <v>316</v>
      </c>
    </row>
    <row r="24669">
      <c r="A24669" s="17"/>
      <c r="H24669" s="18"/>
      <c r="K24669" s="18" t="s">
        <v>316</v>
      </c>
    </row>
    <row r="24670">
      <c r="A24670" s="17"/>
      <c r="H24670" s="18"/>
      <c r="K24670" s="18" t="s">
        <v>316</v>
      </c>
    </row>
    <row r="24671">
      <c r="A24671" s="17"/>
      <c r="H24671" s="18"/>
      <c r="K24671" s="18" t="s">
        <v>316</v>
      </c>
    </row>
    <row r="24672">
      <c r="A24672" s="17"/>
      <c r="H24672" s="18"/>
      <c r="K24672" s="18" t="s">
        <v>316</v>
      </c>
    </row>
    <row r="24673">
      <c r="A24673" s="17"/>
      <c r="H24673" s="18"/>
      <c r="K24673" s="18" t="s">
        <v>316</v>
      </c>
    </row>
    <row r="24674">
      <c r="A24674" s="17"/>
      <c r="H24674" s="18"/>
      <c r="K24674" s="18" t="s">
        <v>316</v>
      </c>
    </row>
    <row r="24675">
      <c r="A24675" s="17"/>
      <c r="H24675" s="18"/>
      <c r="K24675" s="18" t="s">
        <v>316</v>
      </c>
    </row>
    <row r="24676">
      <c r="A24676" s="17"/>
      <c r="H24676" s="18"/>
      <c r="K24676" s="18" t="s">
        <v>316</v>
      </c>
    </row>
    <row r="24677">
      <c r="A24677" s="17"/>
      <c r="H24677" s="18"/>
      <c r="K24677" s="18" t="s">
        <v>316</v>
      </c>
    </row>
    <row r="24678">
      <c r="A24678" s="17"/>
      <c r="H24678" s="18"/>
      <c r="K24678" s="18" t="s">
        <v>316</v>
      </c>
    </row>
    <row r="24679">
      <c r="A24679" s="17"/>
      <c r="H24679" s="18"/>
      <c r="K24679" s="18" t="s">
        <v>316</v>
      </c>
    </row>
    <row r="24680">
      <c r="A24680" s="17"/>
      <c r="H24680" s="18"/>
      <c r="K24680" s="18" t="s">
        <v>316</v>
      </c>
    </row>
    <row r="24681">
      <c r="A24681" s="17"/>
      <c r="H24681" s="18"/>
      <c r="K24681" s="18" t="s">
        <v>316</v>
      </c>
    </row>
    <row r="24682">
      <c r="A24682" s="17"/>
      <c r="H24682" s="18"/>
      <c r="K24682" s="18" t="s">
        <v>316</v>
      </c>
    </row>
    <row r="24683">
      <c r="A24683" s="17"/>
      <c r="H24683" s="18"/>
      <c r="K24683" s="18" t="s">
        <v>316</v>
      </c>
    </row>
    <row r="24684">
      <c r="A24684" s="17"/>
      <c r="H24684" s="18"/>
      <c r="K24684" s="18" t="s">
        <v>316</v>
      </c>
    </row>
    <row r="24685">
      <c r="A24685" s="17"/>
      <c r="H24685" s="18"/>
      <c r="K24685" s="18" t="s">
        <v>316</v>
      </c>
    </row>
    <row r="24686">
      <c r="A24686" s="17"/>
      <c r="H24686" s="18"/>
      <c r="K24686" s="18" t="s">
        <v>316</v>
      </c>
    </row>
    <row r="24687">
      <c r="A24687" s="17"/>
      <c r="H24687" s="18"/>
      <c r="K24687" s="18" t="s">
        <v>316</v>
      </c>
    </row>
    <row r="24688">
      <c r="A24688" s="17"/>
      <c r="H24688" s="18"/>
      <c r="K24688" s="18" t="s">
        <v>316</v>
      </c>
    </row>
    <row r="24689">
      <c r="A24689" s="17"/>
      <c r="H24689" s="18"/>
      <c r="K24689" s="18" t="s">
        <v>316</v>
      </c>
    </row>
    <row r="24690">
      <c r="A24690" s="17"/>
      <c r="H24690" s="18"/>
      <c r="K24690" s="18" t="s">
        <v>316</v>
      </c>
    </row>
    <row r="24691">
      <c r="A24691" s="17"/>
      <c r="H24691" s="18"/>
      <c r="K24691" s="18" t="s">
        <v>316</v>
      </c>
    </row>
    <row r="24692">
      <c r="A24692" s="17"/>
      <c r="H24692" s="18"/>
      <c r="K24692" s="18" t="s">
        <v>316</v>
      </c>
    </row>
    <row r="24693">
      <c r="A24693" s="17"/>
      <c r="H24693" s="18"/>
      <c r="K24693" s="18" t="s">
        <v>316</v>
      </c>
    </row>
    <row r="24694">
      <c r="A24694" s="17"/>
      <c r="H24694" s="18"/>
      <c r="K24694" s="18" t="s">
        <v>316</v>
      </c>
    </row>
    <row r="24695">
      <c r="A24695" s="17"/>
      <c r="H24695" s="18"/>
      <c r="K24695" s="18" t="s">
        <v>316</v>
      </c>
    </row>
    <row r="24696">
      <c r="A24696" s="17"/>
      <c r="H24696" s="18"/>
      <c r="K24696" s="18" t="s">
        <v>316</v>
      </c>
    </row>
    <row r="24697">
      <c r="A24697" s="17"/>
      <c r="H24697" s="18"/>
      <c r="K24697" s="18" t="s">
        <v>316</v>
      </c>
    </row>
    <row r="24698">
      <c r="A24698" s="17"/>
      <c r="H24698" s="18"/>
      <c r="K24698" s="18" t="s">
        <v>316</v>
      </c>
    </row>
    <row r="24699">
      <c r="A24699" s="17"/>
      <c r="H24699" s="18"/>
      <c r="K24699" s="18" t="s">
        <v>316</v>
      </c>
    </row>
    <row r="24700">
      <c r="A24700" s="17"/>
      <c r="H24700" s="18"/>
      <c r="K24700" s="18" t="s">
        <v>316</v>
      </c>
    </row>
    <row r="24701">
      <c r="A24701" s="17"/>
      <c r="H24701" s="18"/>
      <c r="K24701" s="18" t="s">
        <v>316</v>
      </c>
    </row>
    <row r="24702">
      <c r="A24702" s="17"/>
      <c r="H24702" s="18"/>
      <c r="K24702" s="18" t="s">
        <v>316</v>
      </c>
    </row>
    <row r="24703">
      <c r="A24703" s="17"/>
      <c r="H24703" s="18"/>
      <c r="K24703" s="18" t="s">
        <v>316</v>
      </c>
    </row>
    <row r="24704">
      <c r="A24704" s="17"/>
      <c r="H24704" s="18"/>
      <c r="K24704" s="18" t="s">
        <v>316</v>
      </c>
    </row>
    <row r="24705">
      <c r="A24705" s="17"/>
      <c r="H24705" s="18"/>
      <c r="K24705" s="18" t="s">
        <v>316</v>
      </c>
    </row>
    <row r="24706">
      <c r="A24706" s="17"/>
      <c r="H24706" s="18"/>
      <c r="K24706" s="18" t="s">
        <v>316</v>
      </c>
    </row>
    <row r="24707">
      <c r="A24707" s="17"/>
      <c r="H24707" s="18"/>
      <c r="K24707" s="18" t="s">
        <v>316</v>
      </c>
    </row>
    <row r="24708">
      <c r="A24708" s="17"/>
      <c r="H24708" s="18"/>
      <c r="K24708" s="18" t="s">
        <v>316</v>
      </c>
    </row>
    <row r="24709">
      <c r="A24709" s="17"/>
      <c r="H24709" s="18"/>
      <c r="K24709" s="18" t="s">
        <v>316</v>
      </c>
    </row>
    <row r="24710">
      <c r="A24710" s="17"/>
      <c r="H24710" s="18"/>
      <c r="K24710" s="18" t="s">
        <v>316</v>
      </c>
    </row>
    <row r="24711">
      <c r="A24711" s="17"/>
      <c r="H24711" s="18"/>
      <c r="K24711" s="18" t="s">
        <v>316</v>
      </c>
    </row>
    <row r="24712">
      <c r="A24712" s="17"/>
      <c r="H24712" s="18"/>
      <c r="K24712" s="18" t="s">
        <v>316</v>
      </c>
    </row>
    <row r="24713">
      <c r="A24713" s="17"/>
      <c r="H24713" s="18"/>
      <c r="K24713" s="18" t="s">
        <v>316</v>
      </c>
    </row>
    <row r="24714">
      <c r="A24714" s="17"/>
      <c r="H24714" s="18"/>
      <c r="K24714" s="18" t="s">
        <v>316</v>
      </c>
    </row>
    <row r="24715">
      <c r="A24715" s="17"/>
      <c r="H24715" s="18"/>
      <c r="K24715" s="18" t="s">
        <v>316</v>
      </c>
    </row>
    <row r="24716">
      <c r="A24716" s="17"/>
      <c r="H24716" s="18"/>
      <c r="K24716" s="18" t="s">
        <v>316</v>
      </c>
    </row>
    <row r="24717">
      <c r="A24717" s="17"/>
      <c r="H24717" s="18"/>
      <c r="K24717" s="18" t="s">
        <v>316</v>
      </c>
    </row>
    <row r="24718">
      <c r="A24718" s="17"/>
      <c r="H24718" s="18"/>
      <c r="K24718" s="18" t="s">
        <v>316</v>
      </c>
    </row>
    <row r="24719">
      <c r="A24719" s="17"/>
      <c r="H24719" s="18"/>
      <c r="K24719" s="18" t="s">
        <v>316</v>
      </c>
    </row>
    <row r="24720">
      <c r="A24720" s="17"/>
      <c r="H24720" s="18"/>
      <c r="K24720" s="18" t="s">
        <v>316</v>
      </c>
    </row>
    <row r="24721">
      <c r="A24721" s="17"/>
      <c r="H24721" s="18"/>
      <c r="K24721" s="18" t="s">
        <v>316</v>
      </c>
    </row>
    <row r="24722">
      <c r="A24722" s="17"/>
      <c r="H24722" s="18"/>
      <c r="K24722" s="18" t="s">
        <v>316</v>
      </c>
    </row>
    <row r="24723">
      <c r="A24723" s="17"/>
      <c r="H24723" s="18"/>
      <c r="K24723" s="18" t="s">
        <v>316</v>
      </c>
    </row>
    <row r="24724">
      <c r="A24724" s="17"/>
      <c r="H24724" s="18"/>
      <c r="K24724" s="18" t="s">
        <v>316</v>
      </c>
    </row>
    <row r="24725">
      <c r="A24725" s="17"/>
      <c r="H24725" s="18"/>
      <c r="K24725" s="18" t="s">
        <v>316</v>
      </c>
    </row>
    <row r="24726">
      <c r="A24726" s="17"/>
      <c r="H24726" s="18"/>
      <c r="K24726" s="18" t="s">
        <v>316</v>
      </c>
    </row>
    <row r="24727">
      <c r="A24727" s="17"/>
      <c r="H24727" s="18"/>
      <c r="K24727" s="18" t="s">
        <v>316</v>
      </c>
    </row>
    <row r="24728">
      <c r="A24728" s="17"/>
      <c r="H24728" s="18"/>
      <c r="K24728" s="18" t="s">
        <v>316</v>
      </c>
    </row>
    <row r="24729">
      <c r="A24729" s="17"/>
      <c r="H24729" s="18"/>
      <c r="K24729" s="18" t="s">
        <v>316</v>
      </c>
    </row>
    <row r="24730">
      <c r="A24730" s="17"/>
      <c r="H24730" s="18"/>
      <c r="K24730" s="18" t="s">
        <v>316</v>
      </c>
    </row>
    <row r="24731">
      <c r="A24731" s="17"/>
      <c r="H24731" s="18"/>
      <c r="K24731" s="18" t="s">
        <v>316</v>
      </c>
    </row>
    <row r="24732">
      <c r="A24732" s="17"/>
      <c r="H24732" s="18"/>
      <c r="K24732" s="18" t="s">
        <v>316</v>
      </c>
    </row>
    <row r="24733">
      <c r="A24733" s="17"/>
      <c r="H24733" s="18"/>
      <c r="K24733" s="18" t="s">
        <v>316</v>
      </c>
    </row>
    <row r="24734">
      <c r="A24734" s="17"/>
      <c r="H24734" s="18"/>
      <c r="K24734" s="18" t="s">
        <v>316</v>
      </c>
    </row>
    <row r="24735">
      <c r="A24735" s="17"/>
      <c r="H24735" s="18"/>
      <c r="K24735" s="18" t="s">
        <v>316</v>
      </c>
    </row>
    <row r="24736">
      <c r="A24736" s="17"/>
      <c r="H24736" s="18"/>
      <c r="K24736" s="18" t="s">
        <v>316</v>
      </c>
    </row>
    <row r="24737">
      <c r="A24737" s="17"/>
      <c r="H24737" s="18"/>
      <c r="K24737" s="18" t="s">
        <v>316</v>
      </c>
    </row>
    <row r="24738">
      <c r="A24738" s="17"/>
      <c r="H24738" s="18"/>
      <c r="K24738" s="18" t="s">
        <v>316</v>
      </c>
    </row>
    <row r="24739">
      <c r="A24739" s="17"/>
      <c r="H24739" s="18"/>
      <c r="K24739" s="18" t="s">
        <v>316</v>
      </c>
    </row>
    <row r="24740">
      <c r="A24740" s="17"/>
      <c r="H24740" s="18"/>
      <c r="K24740" s="18" t="s">
        <v>316</v>
      </c>
    </row>
    <row r="24741">
      <c r="A24741" s="17"/>
      <c r="H24741" s="18"/>
      <c r="K24741" s="18" t="s">
        <v>316</v>
      </c>
    </row>
    <row r="24742">
      <c r="A24742" s="17"/>
      <c r="H24742" s="18"/>
      <c r="K24742" s="18" t="s">
        <v>316</v>
      </c>
    </row>
    <row r="24743">
      <c r="A24743" s="17"/>
      <c r="H24743" s="18"/>
      <c r="K24743" s="18" t="s">
        <v>316</v>
      </c>
    </row>
    <row r="24744">
      <c r="A24744" s="17"/>
      <c r="H24744" s="18"/>
      <c r="K24744" s="18" t="s">
        <v>316</v>
      </c>
    </row>
    <row r="24745">
      <c r="A24745" s="17"/>
      <c r="H24745" s="18"/>
      <c r="K24745" s="18" t="s">
        <v>316</v>
      </c>
    </row>
    <row r="24746">
      <c r="A24746" s="17"/>
      <c r="H24746" s="18"/>
      <c r="K24746" s="18" t="s">
        <v>316</v>
      </c>
    </row>
    <row r="24747">
      <c r="A24747" s="17"/>
      <c r="H24747" s="18"/>
      <c r="K24747" s="18" t="s">
        <v>316</v>
      </c>
    </row>
    <row r="24748">
      <c r="A24748" s="17"/>
      <c r="H24748" s="18"/>
      <c r="K24748" s="18" t="s">
        <v>316</v>
      </c>
    </row>
    <row r="24749">
      <c r="A24749" s="17"/>
      <c r="H24749" s="18"/>
      <c r="K24749" s="18" t="s">
        <v>316</v>
      </c>
    </row>
    <row r="24750">
      <c r="A24750" s="17"/>
      <c r="H24750" s="18"/>
      <c r="K24750" s="18" t="s">
        <v>316</v>
      </c>
    </row>
    <row r="24751">
      <c r="A24751" s="17"/>
      <c r="H24751" s="18"/>
      <c r="K24751" s="18" t="s">
        <v>316</v>
      </c>
    </row>
    <row r="24752">
      <c r="A24752" s="17"/>
      <c r="H24752" s="18"/>
      <c r="K24752" s="18" t="s">
        <v>316</v>
      </c>
    </row>
    <row r="24753">
      <c r="A24753" s="17"/>
      <c r="H24753" s="18"/>
      <c r="K24753" s="18" t="s">
        <v>316</v>
      </c>
    </row>
    <row r="24754">
      <c r="A24754" s="17"/>
      <c r="H24754" s="18"/>
      <c r="K24754" s="18" t="s">
        <v>316</v>
      </c>
    </row>
    <row r="24755">
      <c r="A24755" s="17"/>
      <c r="H24755" s="18"/>
      <c r="K24755" s="18" t="s">
        <v>316</v>
      </c>
    </row>
    <row r="24756">
      <c r="A24756" s="17"/>
      <c r="H24756" s="18"/>
      <c r="K24756" s="18" t="s">
        <v>316</v>
      </c>
    </row>
    <row r="24757">
      <c r="A24757" s="17"/>
      <c r="H24757" s="18"/>
      <c r="K24757" s="18" t="s">
        <v>316</v>
      </c>
    </row>
    <row r="24758">
      <c r="A24758" s="17"/>
      <c r="H24758" s="18"/>
      <c r="K24758" s="18" t="s">
        <v>316</v>
      </c>
    </row>
    <row r="24759">
      <c r="A24759" s="17"/>
      <c r="H24759" s="18"/>
      <c r="K24759" s="18" t="s">
        <v>316</v>
      </c>
    </row>
    <row r="24760">
      <c r="A24760" s="17"/>
      <c r="H24760" s="18"/>
      <c r="K24760" s="18" t="s">
        <v>316</v>
      </c>
    </row>
    <row r="24761">
      <c r="A24761" s="17"/>
      <c r="H24761" s="18"/>
      <c r="K24761" s="18" t="s">
        <v>316</v>
      </c>
    </row>
    <row r="24762">
      <c r="A24762" s="17"/>
      <c r="H24762" s="18"/>
      <c r="K24762" s="18" t="s">
        <v>316</v>
      </c>
    </row>
    <row r="24763">
      <c r="A24763" s="17"/>
      <c r="H24763" s="18"/>
      <c r="K24763" s="18" t="s">
        <v>316</v>
      </c>
    </row>
    <row r="24764">
      <c r="A24764" s="17"/>
      <c r="H24764" s="18"/>
      <c r="K24764" s="18" t="s">
        <v>316</v>
      </c>
    </row>
    <row r="24765">
      <c r="A24765" s="17"/>
      <c r="H24765" s="18"/>
      <c r="K24765" s="18" t="s">
        <v>316</v>
      </c>
    </row>
    <row r="24766">
      <c r="A24766" s="17"/>
      <c r="H24766" s="18"/>
      <c r="K24766" s="18" t="s">
        <v>316</v>
      </c>
    </row>
    <row r="24767">
      <c r="A24767" s="17"/>
      <c r="H24767" s="18"/>
      <c r="K24767" s="18" t="s">
        <v>316</v>
      </c>
    </row>
    <row r="24768">
      <c r="A24768" s="17"/>
      <c r="H24768" s="18"/>
      <c r="K24768" s="18" t="s">
        <v>316</v>
      </c>
    </row>
    <row r="24769">
      <c r="A24769" s="17"/>
      <c r="H24769" s="18"/>
      <c r="K24769" s="18" t="s">
        <v>316</v>
      </c>
    </row>
    <row r="24770">
      <c r="A24770" s="17"/>
      <c r="H24770" s="18"/>
      <c r="K24770" s="18" t="s">
        <v>316</v>
      </c>
    </row>
    <row r="24771">
      <c r="A24771" s="17"/>
      <c r="H24771" s="18"/>
      <c r="K24771" s="18" t="s">
        <v>316</v>
      </c>
    </row>
    <row r="24772">
      <c r="A24772" s="17"/>
      <c r="H24772" s="18"/>
      <c r="K24772" s="18" t="s">
        <v>316</v>
      </c>
    </row>
    <row r="24773">
      <c r="A24773" s="17"/>
      <c r="H24773" s="18"/>
      <c r="K24773" s="18" t="s">
        <v>316</v>
      </c>
    </row>
    <row r="24774">
      <c r="A24774" s="17"/>
      <c r="H24774" s="18"/>
      <c r="K24774" s="18" t="s">
        <v>316</v>
      </c>
    </row>
    <row r="24775">
      <c r="A24775" s="17"/>
      <c r="H24775" s="18"/>
      <c r="K24775" s="18" t="s">
        <v>316</v>
      </c>
    </row>
    <row r="24776">
      <c r="A24776" s="17"/>
      <c r="H24776" s="18"/>
      <c r="K24776" s="18" t="s">
        <v>316</v>
      </c>
    </row>
    <row r="24777">
      <c r="A24777" s="17"/>
      <c r="H24777" s="18"/>
      <c r="K24777" s="18" t="s">
        <v>316</v>
      </c>
    </row>
    <row r="24778">
      <c r="A24778" s="17"/>
      <c r="H24778" s="18"/>
      <c r="K24778" s="18" t="s">
        <v>316</v>
      </c>
    </row>
    <row r="24779">
      <c r="A24779" s="17"/>
      <c r="H24779" s="18"/>
      <c r="K24779" s="18" t="s">
        <v>316</v>
      </c>
    </row>
    <row r="24780">
      <c r="A24780" s="17"/>
      <c r="H24780" s="18"/>
      <c r="K24780" s="18" t="s">
        <v>316</v>
      </c>
    </row>
    <row r="24781">
      <c r="A24781" s="17"/>
      <c r="H24781" s="18"/>
      <c r="K24781" s="18" t="s">
        <v>316</v>
      </c>
    </row>
    <row r="24782">
      <c r="A24782" s="17"/>
      <c r="H24782" s="18"/>
      <c r="K24782" s="18" t="s">
        <v>316</v>
      </c>
    </row>
    <row r="24783">
      <c r="A24783" s="17"/>
      <c r="H24783" s="18"/>
      <c r="K24783" s="18" t="s">
        <v>316</v>
      </c>
    </row>
    <row r="24784">
      <c r="A24784" s="17"/>
      <c r="H24784" s="18"/>
      <c r="K24784" s="18" t="s">
        <v>316</v>
      </c>
    </row>
    <row r="24785">
      <c r="A24785" s="17"/>
      <c r="H24785" s="18"/>
      <c r="K24785" s="18" t="s">
        <v>316</v>
      </c>
    </row>
    <row r="24786">
      <c r="A24786" s="17"/>
      <c r="H24786" s="18"/>
      <c r="K24786" s="18" t="s">
        <v>316</v>
      </c>
    </row>
    <row r="24787">
      <c r="A24787" s="17"/>
      <c r="H24787" s="18"/>
      <c r="K24787" s="18" t="s">
        <v>316</v>
      </c>
    </row>
    <row r="24788">
      <c r="A24788" s="17"/>
      <c r="H24788" s="18"/>
      <c r="K24788" s="18" t="s">
        <v>316</v>
      </c>
    </row>
    <row r="24789">
      <c r="A24789" s="17"/>
      <c r="H24789" s="18"/>
      <c r="K24789" s="18" t="s">
        <v>316</v>
      </c>
    </row>
    <row r="24790">
      <c r="A24790" s="17"/>
      <c r="H24790" s="18"/>
      <c r="K24790" s="18" t="s">
        <v>316</v>
      </c>
    </row>
    <row r="24791">
      <c r="A24791" s="17"/>
      <c r="H24791" s="18"/>
      <c r="K24791" s="18" t="s">
        <v>316</v>
      </c>
    </row>
    <row r="24792">
      <c r="A24792" s="17"/>
      <c r="H24792" s="18"/>
      <c r="K24792" s="18" t="s">
        <v>316</v>
      </c>
    </row>
    <row r="24793">
      <c r="A24793" s="17"/>
      <c r="H24793" s="18"/>
      <c r="K24793" s="18" t="s">
        <v>316</v>
      </c>
    </row>
    <row r="24794">
      <c r="A24794" s="17"/>
      <c r="H24794" s="18"/>
      <c r="K24794" s="18" t="s">
        <v>316</v>
      </c>
    </row>
    <row r="24795">
      <c r="A24795" s="17"/>
      <c r="H24795" s="18"/>
      <c r="K24795" s="18" t="s">
        <v>316</v>
      </c>
    </row>
    <row r="24796">
      <c r="A24796" s="17"/>
      <c r="H24796" s="18"/>
      <c r="K24796" s="18" t="s">
        <v>316</v>
      </c>
    </row>
    <row r="24797">
      <c r="A24797" s="17"/>
      <c r="H24797" s="18"/>
      <c r="K24797" s="18" t="s">
        <v>316</v>
      </c>
    </row>
    <row r="24798">
      <c r="A24798" s="17"/>
      <c r="H24798" s="18"/>
      <c r="K24798" s="18" t="s">
        <v>316</v>
      </c>
    </row>
    <row r="24799">
      <c r="A24799" s="17"/>
      <c r="H24799" s="18"/>
      <c r="K24799" s="18" t="s">
        <v>316</v>
      </c>
    </row>
    <row r="24800">
      <c r="A24800" s="17"/>
      <c r="H24800" s="18"/>
      <c r="K24800" s="18" t="s">
        <v>316</v>
      </c>
    </row>
    <row r="24801">
      <c r="A24801" s="17"/>
      <c r="H24801" s="18"/>
      <c r="K24801" s="18" t="s">
        <v>316</v>
      </c>
    </row>
    <row r="24802">
      <c r="A24802" s="17"/>
      <c r="H24802" s="18"/>
      <c r="K24802" s="18" t="s">
        <v>316</v>
      </c>
    </row>
    <row r="24803">
      <c r="A24803" s="17"/>
      <c r="H24803" s="18"/>
      <c r="K24803" s="18" t="s">
        <v>316</v>
      </c>
    </row>
    <row r="24804">
      <c r="A24804" s="17"/>
      <c r="H24804" s="18"/>
      <c r="K24804" s="18" t="s">
        <v>316</v>
      </c>
    </row>
    <row r="24805">
      <c r="A24805" s="17"/>
      <c r="H24805" s="18"/>
      <c r="K24805" s="18" t="s">
        <v>316</v>
      </c>
    </row>
    <row r="24806">
      <c r="A24806" s="17"/>
      <c r="H24806" s="18"/>
      <c r="K24806" s="18" t="s">
        <v>316</v>
      </c>
    </row>
    <row r="24807">
      <c r="A24807" s="17"/>
      <c r="H24807" s="18"/>
      <c r="K24807" s="18" t="s">
        <v>316</v>
      </c>
    </row>
    <row r="24808">
      <c r="A24808" s="17"/>
      <c r="H24808" s="18"/>
      <c r="K24808" s="18" t="s">
        <v>316</v>
      </c>
    </row>
    <row r="24809">
      <c r="A24809" s="17"/>
      <c r="H24809" s="18"/>
      <c r="K24809" s="18" t="s">
        <v>316</v>
      </c>
    </row>
    <row r="24810">
      <c r="A24810" s="17"/>
      <c r="H24810" s="18"/>
      <c r="K24810" s="18" t="s">
        <v>316</v>
      </c>
    </row>
    <row r="24811">
      <c r="A24811" s="17"/>
      <c r="H24811" s="18"/>
      <c r="K24811" s="18" t="s">
        <v>316</v>
      </c>
    </row>
    <row r="24812">
      <c r="A24812" s="17"/>
      <c r="H24812" s="18"/>
      <c r="K24812" s="18" t="s">
        <v>316</v>
      </c>
    </row>
    <row r="24813">
      <c r="A24813" s="17"/>
      <c r="H24813" s="18"/>
      <c r="K24813" s="18" t="s">
        <v>316</v>
      </c>
    </row>
    <row r="24814">
      <c r="A24814" s="17"/>
      <c r="H24814" s="18"/>
      <c r="K24814" s="18" t="s">
        <v>316</v>
      </c>
    </row>
    <row r="24815">
      <c r="A24815" s="17"/>
      <c r="H24815" s="18"/>
      <c r="K24815" s="18" t="s">
        <v>316</v>
      </c>
    </row>
    <row r="24816">
      <c r="A24816" s="17"/>
      <c r="H24816" s="18"/>
      <c r="K24816" s="18" t="s">
        <v>316</v>
      </c>
    </row>
    <row r="24817">
      <c r="A24817" s="17"/>
      <c r="H24817" s="18"/>
      <c r="K24817" s="18" t="s">
        <v>316</v>
      </c>
    </row>
    <row r="24818">
      <c r="A24818" s="17"/>
      <c r="H24818" s="18"/>
      <c r="K24818" s="18" t="s">
        <v>316</v>
      </c>
    </row>
    <row r="24819">
      <c r="A24819" s="17"/>
      <c r="H24819" s="18"/>
      <c r="K24819" s="18" t="s">
        <v>316</v>
      </c>
    </row>
    <row r="24820">
      <c r="A24820" s="17"/>
      <c r="H24820" s="18"/>
      <c r="K24820" s="18" t="s">
        <v>316</v>
      </c>
    </row>
    <row r="24821">
      <c r="A24821" s="17"/>
      <c r="H24821" s="18"/>
      <c r="K24821" s="18" t="s">
        <v>316</v>
      </c>
    </row>
    <row r="24822">
      <c r="A24822" s="17"/>
      <c r="H24822" s="18"/>
      <c r="K24822" s="18" t="s">
        <v>316</v>
      </c>
    </row>
    <row r="24823">
      <c r="A24823" s="17"/>
      <c r="H24823" s="18"/>
      <c r="K24823" s="18" t="s">
        <v>316</v>
      </c>
    </row>
    <row r="24824">
      <c r="A24824" s="17"/>
      <c r="H24824" s="18"/>
      <c r="K24824" s="18" t="s">
        <v>316</v>
      </c>
    </row>
    <row r="24825">
      <c r="A24825" s="17"/>
      <c r="H24825" s="18"/>
      <c r="K24825" s="18" t="s">
        <v>316</v>
      </c>
    </row>
    <row r="24826">
      <c r="A24826" s="17"/>
      <c r="H24826" s="18"/>
      <c r="K24826" s="18" t="s">
        <v>316</v>
      </c>
    </row>
    <row r="24827">
      <c r="A24827" s="17"/>
      <c r="H24827" s="18"/>
      <c r="K24827" s="18" t="s">
        <v>316</v>
      </c>
    </row>
    <row r="24828">
      <c r="A24828" s="17"/>
      <c r="H24828" s="18"/>
      <c r="K24828" s="18" t="s">
        <v>316</v>
      </c>
    </row>
    <row r="24829">
      <c r="A24829" s="17"/>
      <c r="H24829" s="18"/>
      <c r="K24829" s="18" t="s">
        <v>316</v>
      </c>
    </row>
    <row r="24830">
      <c r="A24830" s="17"/>
      <c r="H24830" s="18"/>
      <c r="K24830" s="18" t="s">
        <v>316</v>
      </c>
    </row>
    <row r="24831">
      <c r="A24831" s="17"/>
      <c r="H24831" s="18"/>
      <c r="K24831" s="18" t="s">
        <v>316</v>
      </c>
    </row>
    <row r="24832">
      <c r="A24832" s="17"/>
      <c r="H24832" s="18"/>
      <c r="K24832" s="18" t="s">
        <v>316</v>
      </c>
    </row>
    <row r="24833">
      <c r="A24833" s="17"/>
      <c r="H24833" s="18"/>
      <c r="K24833" s="18" t="s">
        <v>316</v>
      </c>
    </row>
    <row r="24834">
      <c r="A24834" s="17"/>
      <c r="H24834" s="18"/>
      <c r="K24834" s="18" t="s">
        <v>316</v>
      </c>
    </row>
    <row r="24835">
      <c r="A24835" s="17"/>
      <c r="H24835" s="18"/>
      <c r="K24835" s="18" t="s">
        <v>316</v>
      </c>
    </row>
    <row r="24836">
      <c r="A24836" s="17"/>
      <c r="H24836" s="18"/>
      <c r="K24836" s="18" t="s">
        <v>316</v>
      </c>
    </row>
    <row r="24837">
      <c r="A24837" s="17"/>
      <c r="H24837" s="18"/>
      <c r="K24837" s="18" t="s">
        <v>316</v>
      </c>
    </row>
    <row r="24838">
      <c r="A24838" s="17"/>
      <c r="H24838" s="18"/>
      <c r="K24838" s="18" t="s">
        <v>316</v>
      </c>
    </row>
    <row r="24839">
      <c r="A24839" s="17"/>
      <c r="H24839" s="18"/>
      <c r="K24839" s="18" t="s">
        <v>316</v>
      </c>
    </row>
    <row r="24840">
      <c r="A24840" s="17"/>
      <c r="H24840" s="18"/>
      <c r="K24840" s="18" t="s">
        <v>316</v>
      </c>
    </row>
    <row r="24841">
      <c r="A24841" s="17"/>
      <c r="H24841" s="18"/>
      <c r="K24841" s="18" t="s">
        <v>316</v>
      </c>
    </row>
    <row r="24842">
      <c r="A24842" s="17"/>
      <c r="H24842" s="18"/>
      <c r="K24842" s="18" t="s">
        <v>316</v>
      </c>
    </row>
    <row r="24843">
      <c r="A24843" s="17"/>
      <c r="H24843" s="18"/>
      <c r="K24843" s="18" t="s">
        <v>316</v>
      </c>
    </row>
    <row r="24844">
      <c r="A24844" s="17"/>
      <c r="H24844" s="18"/>
      <c r="K24844" s="18" t="s">
        <v>316</v>
      </c>
    </row>
    <row r="24845">
      <c r="A24845" s="17"/>
      <c r="H24845" s="18"/>
      <c r="K24845" s="18" t="s">
        <v>316</v>
      </c>
    </row>
    <row r="24846">
      <c r="A24846" s="17"/>
      <c r="H24846" s="18"/>
      <c r="K24846" s="18" t="s">
        <v>316</v>
      </c>
    </row>
    <row r="24847">
      <c r="A24847" s="17"/>
      <c r="H24847" s="18"/>
      <c r="K24847" s="18" t="s">
        <v>316</v>
      </c>
    </row>
    <row r="24848">
      <c r="A24848" s="17"/>
      <c r="H24848" s="18"/>
      <c r="K24848" s="18" t="s">
        <v>316</v>
      </c>
    </row>
    <row r="24849">
      <c r="A24849" s="17"/>
      <c r="H24849" s="18"/>
      <c r="K24849" s="18" t="s">
        <v>316</v>
      </c>
    </row>
    <row r="24850">
      <c r="A24850" s="17"/>
      <c r="H24850" s="18"/>
      <c r="K24850" s="18" t="s">
        <v>316</v>
      </c>
    </row>
    <row r="24851">
      <c r="A24851" s="17"/>
      <c r="H24851" s="18"/>
      <c r="K24851" s="18" t="s">
        <v>316</v>
      </c>
    </row>
    <row r="24852">
      <c r="A24852" s="17"/>
      <c r="H24852" s="18"/>
      <c r="K24852" s="18" t="s">
        <v>316</v>
      </c>
    </row>
    <row r="24853">
      <c r="A24853" s="17"/>
      <c r="H24853" s="18"/>
      <c r="K24853" s="18" t="s">
        <v>316</v>
      </c>
    </row>
    <row r="24854">
      <c r="A24854" s="17"/>
      <c r="H24854" s="18"/>
      <c r="K24854" s="18" t="s">
        <v>316</v>
      </c>
    </row>
    <row r="24855">
      <c r="A24855" s="17"/>
      <c r="H24855" s="18"/>
      <c r="K24855" s="18" t="s">
        <v>316</v>
      </c>
    </row>
    <row r="24856">
      <c r="A24856" s="17"/>
      <c r="H24856" s="18"/>
      <c r="K24856" s="18" t="s">
        <v>316</v>
      </c>
    </row>
    <row r="24857">
      <c r="A24857" s="17"/>
      <c r="H24857" s="18"/>
      <c r="K24857" s="18" t="s">
        <v>316</v>
      </c>
    </row>
    <row r="24858">
      <c r="A24858" s="17"/>
      <c r="H24858" s="18"/>
      <c r="K24858" s="18" t="s">
        <v>316</v>
      </c>
    </row>
    <row r="24859">
      <c r="A24859" s="17"/>
      <c r="H24859" s="18"/>
      <c r="K24859" s="18" t="s">
        <v>316</v>
      </c>
    </row>
    <row r="24860">
      <c r="A24860" s="17"/>
      <c r="H24860" s="18"/>
      <c r="K24860" s="18" t="s">
        <v>316</v>
      </c>
    </row>
    <row r="24861">
      <c r="A24861" s="17"/>
      <c r="H24861" s="18"/>
      <c r="K24861" s="18" t="s">
        <v>316</v>
      </c>
    </row>
    <row r="24862">
      <c r="A24862" s="17"/>
      <c r="H24862" s="18"/>
      <c r="K24862" s="18" t="s">
        <v>316</v>
      </c>
    </row>
    <row r="24863">
      <c r="A24863" s="17"/>
      <c r="H24863" s="18"/>
      <c r="K24863" s="18" t="s">
        <v>316</v>
      </c>
    </row>
    <row r="24864">
      <c r="A24864" s="17"/>
      <c r="H24864" s="18"/>
      <c r="K24864" s="18" t="s">
        <v>316</v>
      </c>
    </row>
    <row r="24865">
      <c r="A24865" s="17"/>
      <c r="H24865" s="18"/>
      <c r="K24865" s="18" t="s">
        <v>316</v>
      </c>
    </row>
    <row r="24866">
      <c r="A24866" s="17"/>
      <c r="H24866" s="18"/>
      <c r="K24866" s="18" t="s">
        <v>316</v>
      </c>
    </row>
    <row r="24867">
      <c r="A24867" s="17"/>
      <c r="H24867" s="18"/>
      <c r="K24867" s="18" t="s">
        <v>316</v>
      </c>
    </row>
    <row r="24868">
      <c r="A24868" s="17"/>
      <c r="H24868" s="18"/>
      <c r="K24868" s="18" t="s">
        <v>316</v>
      </c>
    </row>
    <row r="24869">
      <c r="A24869" s="17"/>
      <c r="H24869" s="18"/>
      <c r="K24869" s="18" t="s">
        <v>316</v>
      </c>
    </row>
    <row r="24870">
      <c r="A24870" s="17"/>
      <c r="H24870" s="18"/>
      <c r="K24870" s="18" t="s">
        <v>316</v>
      </c>
    </row>
    <row r="24871">
      <c r="A24871" s="17"/>
      <c r="H24871" s="18"/>
      <c r="K24871" s="18" t="s">
        <v>316</v>
      </c>
    </row>
    <row r="24872">
      <c r="A24872" s="17"/>
      <c r="H24872" s="18"/>
      <c r="K24872" s="18" t="s">
        <v>316</v>
      </c>
    </row>
    <row r="24873">
      <c r="A24873" s="17"/>
      <c r="H24873" s="18"/>
      <c r="K24873" s="18" t="s">
        <v>316</v>
      </c>
    </row>
    <row r="24874">
      <c r="A24874" s="17"/>
      <c r="H24874" s="18"/>
      <c r="K24874" s="18" t="s">
        <v>316</v>
      </c>
    </row>
    <row r="24875">
      <c r="A24875" s="17"/>
      <c r="H24875" s="18"/>
      <c r="K24875" s="18" t="s">
        <v>316</v>
      </c>
    </row>
    <row r="24876">
      <c r="A24876" s="17"/>
      <c r="H24876" s="18"/>
      <c r="K24876" s="18" t="s">
        <v>316</v>
      </c>
    </row>
    <row r="24877">
      <c r="A24877" s="17"/>
      <c r="H24877" s="18"/>
      <c r="K24877" s="18" t="s">
        <v>316</v>
      </c>
    </row>
    <row r="24878">
      <c r="A24878" s="17"/>
      <c r="H24878" s="18"/>
      <c r="K24878" s="18" t="s">
        <v>316</v>
      </c>
    </row>
    <row r="24879">
      <c r="A24879" s="17"/>
      <c r="H24879" s="18"/>
      <c r="K24879" s="18" t="s">
        <v>316</v>
      </c>
    </row>
    <row r="24880">
      <c r="A24880" s="17"/>
      <c r="H24880" s="18"/>
      <c r="K24880" s="18" t="s">
        <v>316</v>
      </c>
    </row>
    <row r="24881">
      <c r="A24881" s="17"/>
      <c r="H24881" s="18"/>
      <c r="K24881" s="18" t="s">
        <v>316</v>
      </c>
    </row>
    <row r="24882">
      <c r="A24882" s="17"/>
      <c r="H24882" s="18"/>
      <c r="K24882" s="18" t="s">
        <v>316</v>
      </c>
    </row>
    <row r="24883">
      <c r="A24883" s="17"/>
      <c r="H24883" s="18"/>
      <c r="K24883" s="18" t="s">
        <v>316</v>
      </c>
    </row>
    <row r="24884">
      <c r="A24884" s="17"/>
      <c r="H24884" s="18"/>
      <c r="K24884" s="18" t="s">
        <v>316</v>
      </c>
    </row>
    <row r="24885">
      <c r="A24885" s="17"/>
      <c r="H24885" s="18"/>
      <c r="K24885" s="18" t="s">
        <v>316</v>
      </c>
    </row>
    <row r="24886">
      <c r="A24886" s="17"/>
      <c r="H24886" s="18"/>
      <c r="K24886" s="18" t="s">
        <v>316</v>
      </c>
    </row>
    <row r="24887">
      <c r="A24887" s="17"/>
      <c r="H24887" s="18"/>
      <c r="K24887" s="18" t="s">
        <v>316</v>
      </c>
    </row>
    <row r="24888">
      <c r="A24888" s="17"/>
      <c r="H24888" s="18"/>
      <c r="K24888" s="18" t="s">
        <v>316</v>
      </c>
    </row>
    <row r="24889">
      <c r="A24889" s="17"/>
      <c r="H24889" s="18"/>
      <c r="K24889" s="18" t="s">
        <v>316</v>
      </c>
    </row>
    <row r="24890">
      <c r="A24890" s="17"/>
      <c r="H24890" s="18"/>
      <c r="K24890" s="18" t="s">
        <v>316</v>
      </c>
    </row>
    <row r="24891">
      <c r="A24891" s="17"/>
      <c r="H24891" s="18"/>
      <c r="K24891" s="18" t="s">
        <v>316</v>
      </c>
    </row>
    <row r="24892">
      <c r="A24892" s="17"/>
      <c r="H24892" s="18"/>
      <c r="K24892" s="18" t="s">
        <v>316</v>
      </c>
    </row>
    <row r="24893">
      <c r="A24893" s="17"/>
      <c r="H24893" s="18"/>
      <c r="K24893" s="18" t="s">
        <v>316</v>
      </c>
    </row>
    <row r="24894">
      <c r="A24894" s="17"/>
      <c r="H24894" s="18"/>
      <c r="K24894" s="18" t="s">
        <v>316</v>
      </c>
    </row>
    <row r="24895">
      <c r="A24895" s="17"/>
      <c r="H24895" s="18"/>
      <c r="K24895" s="18" t="s">
        <v>316</v>
      </c>
    </row>
    <row r="24896">
      <c r="A24896" s="17"/>
      <c r="H24896" s="18"/>
      <c r="K24896" s="18" t="s">
        <v>316</v>
      </c>
    </row>
    <row r="24897">
      <c r="A24897" s="17"/>
      <c r="H24897" s="18"/>
      <c r="K24897" s="18" t="s">
        <v>316</v>
      </c>
    </row>
    <row r="24898">
      <c r="A24898" s="17"/>
      <c r="H24898" s="18"/>
      <c r="K24898" s="18" t="s">
        <v>316</v>
      </c>
    </row>
    <row r="24899">
      <c r="A24899" s="17"/>
      <c r="H24899" s="18"/>
      <c r="K24899" s="18" t="s">
        <v>316</v>
      </c>
    </row>
    <row r="24900">
      <c r="A24900" s="17"/>
      <c r="H24900" s="18"/>
      <c r="K24900" s="18" t="s">
        <v>316</v>
      </c>
    </row>
    <row r="24901">
      <c r="A24901" s="17"/>
      <c r="H24901" s="18"/>
      <c r="K24901" s="18" t="s">
        <v>316</v>
      </c>
    </row>
    <row r="24902">
      <c r="A24902" s="17"/>
      <c r="H24902" s="18"/>
      <c r="K24902" s="18" t="s">
        <v>316</v>
      </c>
    </row>
    <row r="24903">
      <c r="A24903" s="17"/>
      <c r="H24903" s="18"/>
      <c r="K24903" s="18" t="s">
        <v>316</v>
      </c>
    </row>
    <row r="24904">
      <c r="A24904" s="17"/>
      <c r="H24904" s="18"/>
      <c r="K24904" s="18" t="s">
        <v>316</v>
      </c>
    </row>
    <row r="24905">
      <c r="A24905" s="17"/>
      <c r="H24905" s="18"/>
      <c r="K24905" s="18" t="s">
        <v>316</v>
      </c>
    </row>
    <row r="24906">
      <c r="A24906" s="17"/>
      <c r="H24906" s="18"/>
      <c r="K24906" s="18" t="s">
        <v>316</v>
      </c>
    </row>
    <row r="24907">
      <c r="A24907" s="17"/>
      <c r="H24907" s="18"/>
      <c r="K24907" s="18" t="s">
        <v>316</v>
      </c>
    </row>
    <row r="24908">
      <c r="A24908" s="17"/>
      <c r="H24908" s="18"/>
      <c r="K24908" s="18" t="s">
        <v>316</v>
      </c>
    </row>
    <row r="24909">
      <c r="A24909" s="17"/>
      <c r="H24909" s="18"/>
      <c r="K24909" s="18" t="s">
        <v>316</v>
      </c>
    </row>
    <row r="24910">
      <c r="A24910" s="17"/>
      <c r="H24910" s="18"/>
      <c r="K24910" s="18" t="s">
        <v>316</v>
      </c>
    </row>
    <row r="24911">
      <c r="A24911" s="17"/>
      <c r="H24911" s="18"/>
      <c r="K24911" s="18" t="s">
        <v>316</v>
      </c>
    </row>
    <row r="24912">
      <c r="A24912" s="17"/>
      <c r="H24912" s="18"/>
      <c r="K24912" s="18" t="s">
        <v>316</v>
      </c>
    </row>
    <row r="24913">
      <c r="A24913" s="17"/>
      <c r="H24913" s="18"/>
      <c r="K24913" s="18" t="s">
        <v>316</v>
      </c>
    </row>
    <row r="24914">
      <c r="A24914" s="17"/>
      <c r="H24914" s="18"/>
      <c r="K24914" s="18" t="s">
        <v>316</v>
      </c>
    </row>
    <row r="24915">
      <c r="A24915" s="17"/>
      <c r="H24915" s="18"/>
      <c r="K24915" s="18" t="s">
        <v>316</v>
      </c>
    </row>
    <row r="24916">
      <c r="A24916" s="17"/>
      <c r="H24916" s="18"/>
      <c r="K24916" s="18" t="s">
        <v>316</v>
      </c>
    </row>
    <row r="24917">
      <c r="A24917" s="17"/>
      <c r="H24917" s="18"/>
      <c r="K24917" s="18" t="s">
        <v>316</v>
      </c>
    </row>
    <row r="24918">
      <c r="A24918" s="17"/>
      <c r="H24918" s="18"/>
      <c r="K24918" s="18" t="s">
        <v>316</v>
      </c>
    </row>
    <row r="24919">
      <c r="A24919" s="17"/>
      <c r="H24919" s="18"/>
      <c r="K24919" s="18" t="s">
        <v>316</v>
      </c>
    </row>
    <row r="24920">
      <c r="A24920" s="17"/>
      <c r="H24920" s="18"/>
      <c r="K24920" s="18" t="s">
        <v>316</v>
      </c>
    </row>
    <row r="24921">
      <c r="A24921" s="17"/>
      <c r="H24921" s="18"/>
      <c r="K24921" s="18" t="s">
        <v>316</v>
      </c>
    </row>
    <row r="24922">
      <c r="A24922" s="17"/>
      <c r="H24922" s="18"/>
      <c r="K24922" s="18" t="s">
        <v>316</v>
      </c>
    </row>
    <row r="24923">
      <c r="A24923" s="17"/>
      <c r="H24923" s="18"/>
      <c r="K24923" s="18" t="s">
        <v>316</v>
      </c>
    </row>
    <row r="24924">
      <c r="A24924" s="17"/>
      <c r="H24924" s="18"/>
      <c r="K24924" s="18" t="s">
        <v>316</v>
      </c>
    </row>
    <row r="24925">
      <c r="A24925" s="17"/>
      <c r="H24925" s="18"/>
      <c r="K24925" s="18" t="s">
        <v>316</v>
      </c>
    </row>
    <row r="24926">
      <c r="A24926" s="17"/>
      <c r="H24926" s="18"/>
      <c r="K24926" s="18" t="s">
        <v>316</v>
      </c>
    </row>
    <row r="24927">
      <c r="A24927" s="17"/>
      <c r="H24927" s="18"/>
      <c r="K24927" s="18" t="s">
        <v>316</v>
      </c>
    </row>
    <row r="24928">
      <c r="A24928" s="17"/>
      <c r="H24928" s="18"/>
      <c r="K24928" s="18" t="s">
        <v>316</v>
      </c>
    </row>
    <row r="24929">
      <c r="A24929" s="17"/>
      <c r="H24929" s="18"/>
      <c r="K24929" s="18" t="s">
        <v>316</v>
      </c>
    </row>
    <row r="24930">
      <c r="A24930" s="17"/>
      <c r="H24930" s="18"/>
      <c r="K24930" s="18" t="s">
        <v>316</v>
      </c>
    </row>
    <row r="24931">
      <c r="A24931" s="17"/>
      <c r="H24931" s="18"/>
      <c r="K24931" s="18" t="s">
        <v>316</v>
      </c>
    </row>
    <row r="24932">
      <c r="A24932" s="17"/>
      <c r="H24932" s="18"/>
      <c r="K24932" s="18" t="s">
        <v>316</v>
      </c>
    </row>
    <row r="24933">
      <c r="A24933" s="17"/>
      <c r="H24933" s="18"/>
      <c r="K24933" s="18" t="s">
        <v>316</v>
      </c>
    </row>
    <row r="24934">
      <c r="A24934" s="17"/>
      <c r="H24934" s="18"/>
      <c r="K24934" s="18" t="s">
        <v>316</v>
      </c>
    </row>
    <row r="24935">
      <c r="A24935" s="17"/>
      <c r="H24935" s="18"/>
      <c r="K24935" s="18" t="s">
        <v>316</v>
      </c>
    </row>
    <row r="24936">
      <c r="A24936" s="17"/>
      <c r="H24936" s="18"/>
      <c r="K24936" s="18" t="s">
        <v>316</v>
      </c>
    </row>
    <row r="24937">
      <c r="A24937" s="17"/>
      <c r="H24937" s="18"/>
      <c r="K24937" s="18" t="s">
        <v>316</v>
      </c>
    </row>
    <row r="24938">
      <c r="A24938" s="17"/>
      <c r="H24938" s="18"/>
      <c r="K24938" s="18" t="s">
        <v>316</v>
      </c>
    </row>
    <row r="24939">
      <c r="A24939" s="17"/>
      <c r="H24939" s="18"/>
      <c r="K24939" s="18" t="s">
        <v>316</v>
      </c>
    </row>
    <row r="24940">
      <c r="A24940" s="17"/>
      <c r="H24940" s="18"/>
      <c r="K24940" s="18" t="s">
        <v>316</v>
      </c>
    </row>
    <row r="24941">
      <c r="A24941" s="17"/>
      <c r="H24941" s="18"/>
      <c r="K24941" s="18" t="s">
        <v>316</v>
      </c>
    </row>
    <row r="24942">
      <c r="A24942" s="17"/>
      <c r="H24942" s="18"/>
      <c r="K24942" s="18" t="s">
        <v>316</v>
      </c>
    </row>
    <row r="24943">
      <c r="A24943" s="17"/>
      <c r="H24943" s="18"/>
      <c r="K24943" s="18" t="s">
        <v>316</v>
      </c>
    </row>
    <row r="24944">
      <c r="A24944" s="17"/>
      <c r="H24944" s="18"/>
      <c r="K24944" s="18" t="s">
        <v>316</v>
      </c>
    </row>
    <row r="24945">
      <c r="A24945" s="17"/>
      <c r="H24945" s="18"/>
      <c r="K24945" s="18" t="s">
        <v>316</v>
      </c>
    </row>
    <row r="24946">
      <c r="A24946" s="17"/>
      <c r="H24946" s="18"/>
      <c r="K24946" s="18" t="s">
        <v>316</v>
      </c>
    </row>
    <row r="24947">
      <c r="A24947" s="17"/>
      <c r="H24947" s="18"/>
      <c r="K24947" s="18" t="s">
        <v>316</v>
      </c>
    </row>
    <row r="24948">
      <c r="A24948" s="17"/>
      <c r="H24948" s="18"/>
      <c r="K24948" s="18" t="s">
        <v>316</v>
      </c>
    </row>
    <row r="24949">
      <c r="A24949" s="17"/>
      <c r="H24949" s="18"/>
      <c r="K24949" s="18" t="s">
        <v>316</v>
      </c>
    </row>
    <row r="24950">
      <c r="A24950" s="17"/>
      <c r="H24950" s="18"/>
      <c r="K24950" s="18" t="s">
        <v>316</v>
      </c>
    </row>
    <row r="24951">
      <c r="A24951" s="17"/>
      <c r="H24951" s="18"/>
      <c r="K24951" s="18" t="s">
        <v>316</v>
      </c>
    </row>
    <row r="24952">
      <c r="A24952" s="17"/>
      <c r="H24952" s="18"/>
      <c r="K24952" s="18" t="s">
        <v>316</v>
      </c>
    </row>
    <row r="24953">
      <c r="A24953" s="17"/>
      <c r="H24953" s="18"/>
      <c r="K24953" s="18" t="s">
        <v>316</v>
      </c>
    </row>
    <row r="24954">
      <c r="A24954" s="17"/>
      <c r="H24954" s="18"/>
      <c r="K24954" s="18" t="s">
        <v>316</v>
      </c>
    </row>
    <row r="24955">
      <c r="A24955" s="17"/>
      <c r="H24955" s="18"/>
      <c r="K24955" s="18" t="s">
        <v>316</v>
      </c>
    </row>
    <row r="24956">
      <c r="A24956" s="17"/>
      <c r="H24956" s="18"/>
      <c r="K24956" s="18" t="s">
        <v>316</v>
      </c>
    </row>
    <row r="24957">
      <c r="A24957" s="17"/>
      <c r="H24957" s="18"/>
      <c r="K24957" s="18" t="s">
        <v>316</v>
      </c>
    </row>
    <row r="24958">
      <c r="A24958" s="17"/>
      <c r="H24958" s="18"/>
      <c r="K24958" s="18" t="s">
        <v>316</v>
      </c>
    </row>
    <row r="24959">
      <c r="A24959" s="17"/>
      <c r="H24959" s="18"/>
      <c r="K24959" s="18" t="s">
        <v>316</v>
      </c>
    </row>
    <row r="24960">
      <c r="A24960" s="17"/>
      <c r="H24960" s="18"/>
      <c r="K24960" s="18" t="s">
        <v>316</v>
      </c>
    </row>
    <row r="24961">
      <c r="A24961" s="17"/>
      <c r="H24961" s="18"/>
      <c r="K24961" s="18" t="s">
        <v>316</v>
      </c>
    </row>
    <row r="24962">
      <c r="A24962" s="17"/>
      <c r="H24962" s="18"/>
      <c r="K24962" s="18" t="s">
        <v>316</v>
      </c>
    </row>
    <row r="24963">
      <c r="A24963" s="17"/>
      <c r="H24963" s="18"/>
      <c r="K24963" s="18" t="s">
        <v>316</v>
      </c>
    </row>
    <row r="24964">
      <c r="A24964" s="17"/>
      <c r="H24964" s="18"/>
      <c r="K24964" s="18" t="s">
        <v>316</v>
      </c>
    </row>
    <row r="24965">
      <c r="A24965" s="17"/>
      <c r="H24965" s="18"/>
      <c r="K24965" s="18" t="s">
        <v>316</v>
      </c>
    </row>
    <row r="24966">
      <c r="A24966" s="17"/>
      <c r="H24966" s="18"/>
      <c r="K24966" s="18" t="s">
        <v>316</v>
      </c>
    </row>
    <row r="24967">
      <c r="A24967" s="17"/>
      <c r="H24967" s="18"/>
      <c r="K24967" s="18" t="s">
        <v>316</v>
      </c>
    </row>
    <row r="24968">
      <c r="A24968" s="17"/>
      <c r="H24968" s="18"/>
      <c r="K24968" s="18" t="s">
        <v>316</v>
      </c>
    </row>
    <row r="24969">
      <c r="A24969" s="17"/>
      <c r="H24969" s="18"/>
      <c r="K24969" s="18" t="s">
        <v>316</v>
      </c>
    </row>
    <row r="24970">
      <c r="A24970" s="17"/>
      <c r="H24970" s="18"/>
      <c r="K24970" s="18" t="s">
        <v>316</v>
      </c>
    </row>
    <row r="24971">
      <c r="A24971" s="17"/>
      <c r="H24971" s="18"/>
      <c r="K24971" s="18" t="s">
        <v>316</v>
      </c>
    </row>
    <row r="24972">
      <c r="A24972" s="17"/>
      <c r="H24972" s="18"/>
      <c r="K24972" s="18" t="s">
        <v>316</v>
      </c>
    </row>
    <row r="24973">
      <c r="A24973" s="17"/>
      <c r="H24973" s="18"/>
      <c r="K24973" s="18" t="s">
        <v>316</v>
      </c>
    </row>
    <row r="24974">
      <c r="A24974" s="17"/>
      <c r="H24974" s="18"/>
      <c r="K24974" s="18" t="s">
        <v>316</v>
      </c>
    </row>
    <row r="24975">
      <c r="A24975" s="17"/>
      <c r="H24975" s="18"/>
      <c r="K24975" s="18" t="s">
        <v>316</v>
      </c>
    </row>
    <row r="24976">
      <c r="A24976" s="17"/>
      <c r="H24976" s="18"/>
      <c r="K24976" s="18" t="s">
        <v>316</v>
      </c>
    </row>
    <row r="24977">
      <c r="A24977" s="17"/>
      <c r="H24977" s="18"/>
      <c r="K24977" s="18" t="s">
        <v>316</v>
      </c>
    </row>
    <row r="24978">
      <c r="A24978" s="17"/>
      <c r="H24978" s="18"/>
      <c r="K24978" s="18" t="s">
        <v>316</v>
      </c>
    </row>
    <row r="24979">
      <c r="A24979" s="17"/>
      <c r="H24979" s="18"/>
      <c r="K24979" s="18" t="s">
        <v>316</v>
      </c>
    </row>
    <row r="24980">
      <c r="A24980" s="17"/>
      <c r="H24980" s="18"/>
      <c r="K24980" s="18" t="s">
        <v>316</v>
      </c>
    </row>
    <row r="24981">
      <c r="A24981" s="17"/>
      <c r="H24981" s="18"/>
      <c r="K24981" s="18" t="s">
        <v>316</v>
      </c>
    </row>
    <row r="24982">
      <c r="A24982" s="17"/>
      <c r="H24982" s="18"/>
      <c r="K24982" s="18" t="s">
        <v>316</v>
      </c>
    </row>
    <row r="24983">
      <c r="A24983" s="17"/>
      <c r="H24983" s="18"/>
      <c r="K24983" s="18" t="s">
        <v>316</v>
      </c>
    </row>
    <row r="24984">
      <c r="A24984" s="17"/>
      <c r="H24984" s="18"/>
      <c r="K24984" s="18" t="s">
        <v>316</v>
      </c>
    </row>
    <row r="24985">
      <c r="A24985" s="17"/>
      <c r="H24985" s="18"/>
      <c r="K24985" s="18" t="s">
        <v>316</v>
      </c>
    </row>
    <row r="24986">
      <c r="A24986" s="17"/>
      <c r="H24986" s="18"/>
      <c r="K24986" s="18" t="s">
        <v>316</v>
      </c>
    </row>
    <row r="24987">
      <c r="A24987" s="17"/>
      <c r="H24987" s="18"/>
      <c r="K24987" s="18" t="s">
        <v>316</v>
      </c>
    </row>
    <row r="24988">
      <c r="A24988" s="17"/>
      <c r="H24988" s="18"/>
      <c r="K24988" s="18" t="s">
        <v>316</v>
      </c>
    </row>
    <row r="24989">
      <c r="A24989" s="17"/>
      <c r="H24989" s="18"/>
      <c r="K24989" s="18" t="s">
        <v>316</v>
      </c>
    </row>
    <row r="24990">
      <c r="A24990" s="17"/>
      <c r="H24990" s="18"/>
      <c r="K24990" s="18" t="s">
        <v>316</v>
      </c>
    </row>
    <row r="24991">
      <c r="A24991" s="17"/>
      <c r="H24991" s="18"/>
      <c r="K24991" s="18" t="s">
        <v>316</v>
      </c>
    </row>
    <row r="24992">
      <c r="A24992" s="17"/>
      <c r="H24992" s="18"/>
      <c r="K24992" s="18" t="s">
        <v>316</v>
      </c>
    </row>
    <row r="24993">
      <c r="A24993" s="17"/>
      <c r="H24993" s="18"/>
      <c r="K24993" s="18" t="s">
        <v>316</v>
      </c>
    </row>
    <row r="24994">
      <c r="A24994" s="17"/>
      <c r="H24994" s="18"/>
      <c r="K24994" s="18" t="s">
        <v>316</v>
      </c>
    </row>
    <row r="24995">
      <c r="A24995" s="17"/>
      <c r="H24995" s="18"/>
      <c r="K24995" s="18" t="s">
        <v>316</v>
      </c>
    </row>
    <row r="24996">
      <c r="A24996" s="17"/>
      <c r="H24996" s="18"/>
      <c r="K24996" s="18" t="s">
        <v>316</v>
      </c>
    </row>
    <row r="24997">
      <c r="A24997" s="17"/>
      <c r="H24997" s="18"/>
      <c r="K24997" s="18" t="s">
        <v>316</v>
      </c>
    </row>
    <row r="24998">
      <c r="A24998" s="17"/>
      <c r="H24998" s="18"/>
      <c r="K24998" s="18" t="s">
        <v>316</v>
      </c>
    </row>
    <row r="24999">
      <c r="A24999" s="17"/>
      <c r="H24999" s="18"/>
      <c r="K24999" s="18" t="s">
        <v>316</v>
      </c>
    </row>
    <row r="25000">
      <c r="A25000" s="17"/>
      <c r="H25000" s="18"/>
      <c r="K25000" s="18" t="s">
        <v>316</v>
      </c>
    </row>
    <row r="25001">
      <c r="A25001" s="17"/>
      <c r="H25001" s="18"/>
      <c r="K25001" s="18" t="s">
        <v>316</v>
      </c>
    </row>
    <row r="25002">
      <c r="A25002" s="17"/>
      <c r="H25002" s="18"/>
      <c r="K25002" s="18" t="s">
        <v>316</v>
      </c>
    </row>
    <row r="25003">
      <c r="A25003" s="17"/>
      <c r="H25003" s="18"/>
      <c r="K25003" s="18" t="s">
        <v>316</v>
      </c>
    </row>
    <row r="25004">
      <c r="A25004" s="17"/>
      <c r="H25004" s="18"/>
      <c r="K25004" s="18" t="s">
        <v>316</v>
      </c>
    </row>
    <row r="25005">
      <c r="A25005" s="17"/>
      <c r="H25005" s="18"/>
      <c r="K25005" s="18" t="s">
        <v>316</v>
      </c>
    </row>
    <row r="25006">
      <c r="A25006" s="17"/>
      <c r="H25006" s="18"/>
      <c r="K25006" s="18" t="s">
        <v>316</v>
      </c>
    </row>
    <row r="25007">
      <c r="A25007" s="17"/>
      <c r="H25007" s="18"/>
      <c r="K25007" s="18" t="s">
        <v>316</v>
      </c>
    </row>
    <row r="25008">
      <c r="A25008" s="17"/>
      <c r="H25008" s="18"/>
      <c r="K25008" s="18" t="s">
        <v>316</v>
      </c>
    </row>
    <row r="25009">
      <c r="A25009" s="17"/>
      <c r="H25009" s="18"/>
      <c r="K25009" s="18" t="s">
        <v>316</v>
      </c>
    </row>
    <row r="25010">
      <c r="A25010" s="17"/>
      <c r="H25010" s="18"/>
      <c r="K25010" s="18" t="s">
        <v>316</v>
      </c>
    </row>
    <row r="25011">
      <c r="A25011" s="17"/>
      <c r="H25011" s="18"/>
      <c r="K25011" s="18" t="s">
        <v>316</v>
      </c>
    </row>
    <row r="25012">
      <c r="A25012" s="17"/>
      <c r="H25012" s="18"/>
      <c r="K25012" s="18" t="s">
        <v>316</v>
      </c>
    </row>
    <row r="25013">
      <c r="A25013" s="17"/>
      <c r="H25013" s="18"/>
      <c r="K25013" s="18" t="s">
        <v>316</v>
      </c>
    </row>
    <row r="25014">
      <c r="A25014" s="17"/>
      <c r="H25014" s="18"/>
      <c r="K25014" s="18" t="s">
        <v>316</v>
      </c>
    </row>
    <row r="25015">
      <c r="A25015" s="17"/>
      <c r="H25015" s="18"/>
      <c r="K25015" s="18" t="s">
        <v>316</v>
      </c>
    </row>
    <row r="25016">
      <c r="A25016" s="17"/>
      <c r="H25016" s="18"/>
      <c r="K25016" s="18" t="s">
        <v>316</v>
      </c>
    </row>
    <row r="25017">
      <c r="A25017" s="17"/>
      <c r="H25017" s="18"/>
      <c r="K25017" s="18" t="s">
        <v>316</v>
      </c>
    </row>
    <row r="25018">
      <c r="A25018" s="17"/>
      <c r="H25018" s="18"/>
      <c r="K25018" s="18" t="s">
        <v>316</v>
      </c>
    </row>
    <row r="25019">
      <c r="A25019" s="17"/>
      <c r="H25019" s="18"/>
      <c r="K25019" s="18" t="s">
        <v>316</v>
      </c>
    </row>
    <row r="25020">
      <c r="A25020" s="17"/>
      <c r="H25020" s="18"/>
      <c r="K25020" s="18" t="s">
        <v>316</v>
      </c>
    </row>
    <row r="25021">
      <c r="A25021" s="17"/>
      <c r="H25021" s="18"/>
      <c r="K25021" s="18" t="s">
        <v>316</v>
      </c>
    </row>
    <row r="25022">
      <c r="A25022" s="17"/>
      <c r="H25022" s="18"/>
      <c r="K25022" s="18" t="s">
        <v>316</v>
      </c>
    </row>
    <row r="25023">
      <c r="A25023" s="17"/>
      <c r="H25023" s="18"/>
      <c r="K25023" s="18" t="s">
        <v>316</v>
      </c>
    </row>
    <row r="25024">
      <c r="A25024" s="17"/>
      <c r="H25024" s="18"/>
      <c r="K25024" s="18" t="s">
        <v>316</v>
      </c>
    </row>
    <row r="25025">
      <c r="A25025" s="17"/>
      <c r="H25025" s="18"/>
      <c r="K25025" s="18" t="s">
        <v>316</v>
      </c>
    </row>
    <row r="25026">
      <c r="A25026" s="17"/>
      <c r="H25026" s="18"/>
      <c r="K25026" s="18" t="s">
        <v>316</v>
      </c>
    </row>
    <row r="25027">
      <c r="A25027" s="17"/>
      <c r="H25027" s="18"/>
      <c r="K25027" s="18" t="s">
        <v>316</v>
      </c>
    </row>
    <row r="25028">
      <c r="A25028" s="17"/>
      <c r="H25028" s="18"/>
      <c r="K25028" s="18" t="s">
        <v>316</v>
      </c>
    </row>
    <row r="25029">
      <c r="A25029" s="17"/>
      <c r="H25029" s="18"/>
      <c r="K25029" s="18" t="s">
        <v>316</v>
      </c>
    </row>
    <row r="25030">
      <c r="A25030" s="17"/>
      <c r="H25030" s="18"/>
      <c r="K25030" s="18" t="s">
        <v>316</v>
      </c>
    </row>
    <row r="25031">
      <c r="A25031" s="17"/>
      <c r="H25031" s="18"/>
      <c r="K25031" s="18" t="s">
        <v>316</v>
      </c>
    </row>
    <row r="25032">
      <c r="A25032" s="17"/>
      <c r="H25032" s="18"/>
      <c r="K25032" s="18" t="s">
        <v>316</v>
      </c>
    </row>
    <row r="25033">
      <c r="A25033" s="17"/>
      <c r="H25033" s="18"/>
      <c r="K25033" s="18" t="s">
        <v>316</v>
      </c>
    </row>
    <row r="25034">
      <c r="A25034" s="17"/>
      <c r="H25034" s="18"/>
      <c r="K25034" s="18" t="s">
        <v>316</v>
      </c>
    </row>
    <row r="25035">
      <c r="A25035" s="17"/>
      <c r="H25035" s="18"/>
      <c r="K25035" s="18" t="s">
        <v>316</v>
      </c>
    </row>
    <row r="25036">
      <c r="A25036" s="17"/>
      <c r="H25036" s="18"/>
      <c r="K25036" s="18" t="s">
        <v>316</v>
      </c>
    </row>
    <row r="25037">
      <c r="A25037" s="17"/>
      <c r="H25037" s="18"/>
      <c r="K25037" s="18" t="s">
        <v>316</v>
      </c>
    </row>
    <row r="25038">
      <c r="A25038" s="17"/>
      <c r="H25038" s="18"/>
      <c r="K25038" s="18" t="s">
        <v>316</v>
      </c>
    </row>
    <row r="25039">
      <c r="A25039" s="17"/>
      <c r="H25039" s="18"/>
      <c r="K25039" s="18" t="s">
        <v>316</v>
      </c>
    </row>
    <row r="25040">
      <c r="A25040" s="17"/>
      <c r="H25040" s="18"/>
      <c r="K25040" s="18" t="s">
        <v>316</v>
      </c>
    </row>
    <row r="25041">
      <c r="A25041" s="17"/>
      <c r="H25041" s="18"/>
      <c r="K25041" s="18" t="s">
        <v>316</v>
      </c>
    </row>
    <row r="25042">
      <c r="A25042" s="17"/>
      <c r="H25042" s="18"/>
      <c r="K25042" s="18" t="s">
        <v>316</v>
      </c>
    </row>
    <row r="25043">
      <c r="A25043" s="17"/>
      <c r="H25043" s="18"/>
      <c r="K25043" s="18" t="s">
        <v>316</v>
      </c>
    </row>
    <row r="25044">
      <c r="A25044" s="17"/>
      <c r="H25044" s="18"/>
      <c r="K25044" s="18" t="s">
        <v>316</v>
      </c>
    </row>
    <row r="25045">
      <c r="A25045" s="17"/>
      <c r="H25045" s="18"/>
      <c r="K25045" s="18" t="s">
        <v>316</v>
      </c>
    </row>
    <row r="25046">
      <c r="A25046" s="17"/>
      <c r="H25046" s="18"/>
      <c r="K25046" s="18" t="s">
        <v>316</v>
      </c>
    </row>
    <row r="25047">
      <c r="A25047" s="17"/>
      <c r="H25047" s="18"/>
      <c r="K25047" s="18" t="s">
        <v>316</v>
      </c>
    </row>
    <row r="25048">
      <c r="A25048" s="17"/>
      <c r="H25048" s="18"/>
      <c r="K25048" s="18" t="s">
        <v>316</v>
      </c>
    </row>
    <row r="25049">
      <c r="A25049" s="17"/>
      <c r="H25049" s="18"/>
      <c r="K25049" s="18" t="s">
        <v>316</v>
      </c>
    </row>
    <row r="25050">
      <c r="A25050" s="17"/>
      <c r="H25050" s="18"/>
      <c r="K25050" s="18" t="s">
        <v>316</v>
      </c>
    </row>
    <row r="25051">
      <c r="A25051" s="17"/>
      <c r="H25051" s="18"/>
      <c r="K25051" s="18" t="s">
        <v>316</v>
      </c>
    </row>
    <row r="25052">
      <c r="A25052" s="17"/>
      <c r="H25052" s="18"/>
      <c r="K25052" s="18" t="s">
        <v>316</v>
      </c>
    </row>
    <row r="25053">
      <c r="A25053" s="17"/>
      <c r="H25053" s="18"/>
      <c r="K25053" s="18" t="s">
        <v>316</v>
      </c>
    </row>
    <row r="25054">
      <c r="A25054" s="17"/>
      <c r="H25054" s="18"/>
      <c r="K25054" s="18" t="s">
        <v>316</v>
      </c>
    </row>
    <row r="25055">
      <c r="A25055" s="17"/>
      <c r="H25055" s="18"/>
      <c r="K25055" s="18" t="s">
        <v>316</v>
      </c>
    </row>
    <row r="25056">
      <c r="A25056" s="17"/>
      <c r="H25056" s="18"/>
      <c r="K25056" s="18" t="s">
        <v>316</v>
      </c>
    </row>
    <row r="25057">
      <c r="A25057" s="17"/>
      <c r="H25057" s="18"/>
      <c r="K25057" s="18" t="s">
        <v>316</v>
      </c>
    </row>
    <row r="25058">
      <c r="A25058" s="17"/>
      <c r="H25058" s="18"/>
      <c r="K25058" s="18" t="s">
        <v>316</v>
      </c>
    </row>
    <row r="25059">
      <c r="A25059" s="17"/>
      <c r="H25059" s="18"/>
      <c r="K25059" s="18" t="s">
        <v>316</v>
      </c>
    </row>
    <row r="25060">
      <c r="A25060" s="17"/>
      <c r="H25060" s="18"/>
      <c r="K25060" s="18" t="s">
        <v>316</v>
      </c>
    </row>
    <row r="25061">
      <c r="A25061" s="17"/>
      <c r="H25061" s="18"/>
      <c r="K25061" s="18" t="s">
        <v>316</v>
      </c>
    </row>
    <row r="25062">
      <c r="A25062" s="17"/>
      <c r="H25062" s="18"/>
      <c r="K25062" s="18" t="s">
        <v>316</v>
      </c>
    </row>
    <row r="25063">
      <c r="A25063" s="17"/>
      <c r="H25063" s="18"/>
      <c r="K25063" s="18" t="s">
        <v>316</v>
      </c>
    </row>
    <row r="25064">
      <c r="A25064" s="17"/>
      <c r="H25064" s="18"/>
      <c r="K25064" s="18" t="s">
        <v>316</v>
      </c>
    </row>
    <row r="25065">
      <c r="A25065" s="17"/>
      <c r="H25065" s="18"/>
      <c r="K25065" s="18" t="s">
        <v>316</v>
      </c>
    </row>
    <row r="25066">
      <c r="A25066" s="17"/>
      <c r="H25066" s="18"/>
      <c r="K25066" s="18" t="s">
        <v>316</v>
      </c>
    </row>
    <row r="25067">
      <c r="A25067" s="17"/>
      <c r="H25067" s="18"/>
      <c r="K25067" s="18" t="s">
        <v>316</v>
      </c>
    </row>
    <row r="25068">
      <c r="A25068" s="17"/>
      <c r="H25068" s="18"/>
      <c r="K25068" s="18" t="s">
        <v>316</v>
      </c>
    </row>
    <row r="25069">
      <c r="A25069" s="17"/>
      <c r="H25069" s="18"/>
      <c r="K25069" s="18" t="s">
        <v>316</v>
      </c>
    </row>
    <row r="25070">
      <c r="A25070" s="17"/>
      <c r="H25070" s="18"/>
      <c r="K25070" s="18" t="s">
        <v>316</v>
      </c>
    </row>
    <row r="25071">
      <c r="A25071" s="17"/>
      <c r="H25071" s="18"/>
      <c r="K25071" s="18" t="s">
        <v>316</v>
      </c>
    </row>
    <row r="25072">
      <c r="A25072" s="17"/>
      <c r="H25072" s="18"/>
      <c r="K25072" s="18" t="s">
        <v>316</v>
      </c>
    </row>
    <row r="25073">
      <c r="A25073" s="17"/>
      <c r="H25073" s="18"/>
      <c r="K25073" s="18" t="s">
        <v>316</v>
      </c>
    </row>
    <row r="25074">
      <c r="A25074" s="17"/>
      <c r="H25074" s="18"/>
      <c r="K25074" s="18" t="s">
        <v>316</v>
      </c>
    </row>
    <row r="25075">
      <c r="A25075" s="17"/>
      <c r="H25075" s="18"/>
      <c r="K25075" s="18" t="s">
        <v>316</v>
      </c>
    </row>
    <row r="25076">
      <c r="A25076" s="17"/>
      <c r="H25076" s="18"/>
      <c r="K25076" s="18" t="s">
        <v>316</v>
      </c>
    </row>
    <row r="25077">
      <c r="A25077" s="17"/>
      <c r="H25077" s="18"/>
      <c r="K25077" s="18" t="s">
        <v>316</v>
      </c>
    </row>
    <row r="25078">
      <c r="A25078" s="17"/>
      <c r="H25078" s="18"/>
      <c r="K25078" s="18" t="s">
        <v>316</v>
      </c>
    </row>
    <row r="25079">
      <c r="A25079" s="17"/>
      <c r="H25079" s="18"/>
      <c r="K25079" s="18" t="s">
        <v>316</v>
      </c>
    </row>
    <row r="25080">
      <c r="A25080" s="17"/>
      <c r="H25080" s="18"/>
      <c r="K25080" s="18" t="s">
        <v>316</v>
      </c>
    </row>
    <row r="25081">
      <c r="A25081" s="17"/>
      <c r="H25081" s="18"/>
      <c r="K25081" s="18" t="s">
        <v>316</v>
      </c>
    </row>
    <row r="25082">
      <c r="A25082" s="17"/>
      <c r="H25082" s="18"/>
      <c r="K25082" s="18" t="s">
        <v>316</v>
      </c>
    </row>
    <row r="25083">
      <c r="A25083" s="17"/>
      <c r="H25083" s="18"/>
      <c r="K25083" s="18" t="s">
        <v>316</v>
      </c>
    </row>
    <row r="25084">
      <c r="A25084" s="17"/>
      <c r="H25084" s="18"/>
      <c r="K25084" s="18" t="s">
        <v>316</v>
      </c>
    </row>
    <row r="25085">
      <c r="A25085" s="17"/>
      <c r="H25085" s="18"/>
      <c r="K25085" s="18" t="s">
        <v>316</v>
      </c>
    </row>
    <row r="25086">
      <c r="A25086" s="17"/>
      <c r="H25086" s="18"/>
      <c r="K25086" s="18" t="s">
        <v>316</v>
      </c>
    </row>
    <row r="25087">
      <c r="A25087" s="17"/>
      <c r="H25087" s="18"/>
      <c r="K25087" s="18" t="s">
        <v>316</v>
      </c>
    </row>
    <row r="25088">
      <c r="A25088" s="17"/>
      <c r="H25088" s="18"/>
      <c r="K25088" s="18" t="s">
        <v>316</v>
      </c>
    </row>
    <row r="25089">
      <c r="A25089" s="17"/>
      <c r="H25089" s="18"/>
      <c r="K25089" s="18" t="s">
        <v>316</v>
      </c>
    </row>
    <row r="25090">
      <c r="A25090" s="17"/>
      <c r="H25090" s="18"/>
      <c r="K25090" s="18" t="s">
        <v>316</v>
      </c>
    </row>
    <row r="25091">
      <c r="A25091" s="17"/>
      <c r="H25091" s="18"/>
      <c r="K25091" s="18" t="s">
        <v>316</v>
      </c>
    </row>
    <row r="25092">
      <c r="A25092" s="17"/>
      <c r="H25092" s="18"/>
      <c r="K25092" s="18" t="s">
        <v>316</v>
      </c>
    </row>
    <row r="25093">
      <c r="A25093" s="17"/>
      <c r="H25093" s="18"/>
      <c r="K25093" s="18" t="s">
        <v>316</v>
      </c>
    </row>
    <row r="25094">
      <c r="A25094" s="17"/>
      <c r="H25094" s="18"/>
      <c r="K25094" s="18" t="s">
        <v>316</v>
      </c>
    </row>
    <row r="25095">
      <c r="A25095" s="17"/>
      <c r="H25095" s="18"/>
      <c r="K25095" s="18" t="s">
        <v>316</v>
      </c>
    </row>
    <row r="25096">
      <c r="A25096" s="17"/>
      <c r="H25096" s="18"/>
      <c r="K25096" s="18" t="s">
        <v>316</v>
      </c>
    </row>
    <row r="25097">
      <c r="A25097" s="17"/>
      <c r="H25097" s="18"/>
      <c r="K25097" s="18" t="s">
        <v>316</v>
      </c>
    </row>
    <row r="25098">
      <c r="A25098" s="17"/>
      <c r="H25098" s="18"/>
      <c r="K25098" s="18" t="s">
        <v>316</v>
      </c>
    </row>
    <row r="25099">
      <c r="A25099" s="17"/>
      <c r="H25099" s="18"/>
      <c r="K25099" s="18" t="s">
        <v>316</v>
      </c>
    </row>
    <row r="25100">
      <c r="A25100" s="17"/>
      <c r="H25100" s="18"/>
      <c r="K25100" s="18" t="s">
        <v>316</v>
      </c>
    </row>
    <row r="25101">
      <c r="A25101" s="17"/>
      <c r="H25101" s="18"/>
      <c r="K25101" s="18" t="s">
        <v>316</v>
      </c>
    </row>
    <row r="25102">
      <c r="A25102" s="17"/>
      <c r="H25102" s="18"/>
      <c r="K25102" s="18" t="s">
        <v>316</v>
      </c>
    </row>
    <row r="25103">
      <c r="A25103" s="17"/>
      <c r="H25103" s="18"/>
      <c r="K25103" s="18" t="s">
        <v>316</v>
      </c>
    </row>
    <row r="25104">
      <c r="A25104" s="17"/>
      <c r="H25104" s="18"/>
      <c r="K25104" s="18" t="s">
        <v>316</v>
      </c>
    </row>
    <row r="25105">
      <c r="A25105" s="17"/>
      <c r="H25105" s="18"/>
      <c r="K25105" s="18" t="s">
        <v>316</v>
      </c>
    </row>
    <row r="25106">
      <c r="A25106" s="17"/>
      <c r="H25106" s="18"/>
      <c r="K25106" s="18" t="s">
        <v>316</v>
      </c>
    </row>
    <row r="25107">
      <c r="A25107" s="17"/>
      <c r="H25107" s="18"/>
      <c r="K25107" s="18" t="s">
        <v>316</v>
      </c>
    </row>
    <row r="25108">
      <c r="A25108" s="17"/>
      <c r="H25108" s="18"/>
      <c r="K25108" s="18" t="s">
        <v>316</v>
      </c>
    </row>
    <row r="25109">
      <c r="A25109" s="17"/>
      <c r="H25109" s="18"/>
      <c r="K25109" s="18" t="s">
        <v>316</v>
      </c>
    </row>
    <row r="25110">
      <c r="A25110" s="17"/>
      <c r="H25110" s="18"/>
      <c r="K25110" s="18" t="s">
        <v>316</v>
      </c>
    </row>
    <row r="25111">
      <c r="A25111" s="17"/>
      <c r="H25111" s="18"/>
      <c r="K25111" s="18" t="s">
        <v>316</v>
      </c>
    </row>
    <row r="25112">
      <c r="A25112" s="17"/>
      <c r="H25112" s="18"/>
      <c r="K25112" s="18" t="s">
        <v>316</v>
      </c>
    </row>
    <row r="25113">
      <c r="A25113" s="17"/>
      <c r="H25113" s="18"/>
      <c r="K25113" s="18" t="s">
        <v>316</v>
      </c>
    </row>
    <row r="25114">
      <c r="A25114" s="17"/>
      <c r="H25114" s="18"/>
      <c r="K25114" s="18" t="s">
        <v>316</v>
      </c>
    </row>
    <row r="25115">
      <c r="A25115" s="17"/>
      <c r="H25115" s="18"/>
      <c r="K25115" s="18" t="s">
        <v>316</v>
      </c>
    </row>
    <row r="25116">
      <c r="A25116" s="17"/>
      <c r="H25116" s="18"/>
      <c r="K25116" s="18" t="s">
        <v>316</v>
      </c>
    </row>
    <row r="25117">
      <c r="A25117" s="17"/>
      <c r="H25117" s="18"/>
      <c r="K25117" s="18" t="s">
        <v>316</v>
      </c>
    </row>
    <row r="25118">
      <c r="A25118" s="17"/>
      <c r="H25118" s="18"/>
      <c r="K25118" s="18" t="s">
        <v>316</v>
      </c>
    </row>
    <row r="25119">
      <c r="A25119" s="17"/>
      <c r="H25119" s="18"/>
      <c r="K25119" s="18" t="s">
        <v>316</v>
      </c>
    </row>
    <row r="25120">
      <c r="A25120" s="17"/>
      <c r="H25120" s="18"/>
      <c r="K25120" s="18" t="s">
        <v>316</v>
      </c>
    </row>
    <row r="25121">
      <c r="A25121" s="17"/>
      <c r="H25121" s="18"/>
      <c r="K25121" s="18" t="s">
        <v>316</v>
      </c>
    </row>
    <row r="25122">
      <c r="A25122" s="17"/>
      <c r="H25122" s="18"/>
      <c r="K25122" s="18" t="s">
        <v>316</v>
      </c>
    </row>
    <row r="25123">
      <c r="A25123" s="17"/>
      <c r="H25123" s="18"/>
      <c r="K25123" s="18" t="s">
        <v>316</v>
      </c>
    </row>
    <row r="25124">
      <c r="A25124" s="17"/>
      <c r="H25124" s="18"/>
      <c r="K25124" s="18" t="s">
        <v>316</v>
      </c>
    </row>
    <row r="25125">
      <c r="A25125" s="17"/>
      <c r="H25125" s="18"/>
      <c r="K25125" s="18" t="s">
        <v>316</v>
      </c>
    </row>
    <row r="25126">
      <c r="A25126" s="17"/>
      <c r="H25126" s="18"/>
      <c r="K25126" s="18" t="s">
        <v>316</v>
      </c>
    </row>
    <row r="25127">
      <c r="A25127" s="17"/>
      <c r="H25127" s="18"/>
      <c r="K25127" s="18" t="s">
        <v>316</v>
      </c>
    </row>
    <row r="25128">
      <c r="A25128" s="17"/>
      <c r="H25128" s="18"/>
      <c r="K25128" s="18" t="s">
        <v>316</v>
      </c>
    </row>
    <row r="25129">
      <c r="A25129" s="17"/>
      <c r="H25129" s="18"/>
      <c r="K25129" s="18" t="s">
        <v>316</v>
      </c>
    </row>
    <row r="25130">
      <c r="A25130" s="17"/>
      <c r="H25130" s="18"/>
      <c r="K25130" s="18" t="s">
        <v>316</v>
      </c>
    </row>
    <row r="25131">
      <c r="A25131" s="17"/>
      <c r="H25131" s="18"/>
      <c r="K25131" s="18" t="s">
        <v>316</v>
      </c>
    </row>
    <row r="25132">
      <c r="A25132" s="17"/>
      <c r="H25132" s="18"/>
      <c r="K25132" s="18" t="s">
        <v>316</v>
      </c>
    </row>
    <row r="25133">
      <c r="A25133" s="17"/>
      <c r="H25133" s="18"/>
      <c r="K25133" s="18" t="s">
        <v>316</v>
      </c>
    </row>
    <row r="25134">
      <c r="A25134" s="17"/>
      <c r="H25134" s="18"/>
      <c r="K25134" s="18" t="s">
        <v>316</v>
      </c>
    </row>
    <row r="25135">
      <c r="A25135" s="17"/>
      <c r="H25135" s="18"/>
      <c r="K25135" s="18" t="s">
        <v>316</v>
      </c>
    </row>
    <row r="25136">
      <c r="A25136" s="17"/>
      <c r="H25136" s="18"/>
      <c r="K25136" s="18" t="s">
        <v>316</v>
      </c>
    </row>
    <row r="25137">
      <c r="A25137" s="17"/>
      <c r="H25137" s="18"/>
      <c r="K25137" s="18" t="s">
        <v>316</v>
      </c>
    </row>
    <row r="25138">
      <c r="A25138" s="17"/>
      <c r="H25138" s="18"/>
      <c r="K25138" s="18" t="s">
        <v>316</v>
      </c>
    </row>
    <row r="25139">
      <c r="A25139" s="17"/>
      <c r="H25139" s="18"/>
      <c r="K25139" s="18" t="s">
        <v>316</v>
      </c>
    </row>
    <row r="25140">
      <c r="A25140" s="17"/>
      <c r="H25140" s="18"/>
      <c r="K25140" s="18" t="s">
        <v>316</v>
      </c>
    </row>
    <row r="25141">
      <c r="A25141" s="17"/>
      <c r="H25141" s="18"/>
      <c r="K25141" s="18" t="s">
        <v>316</v>
      </c>
    </row>
    <row r="25142">
      <c r="A25142" s="17"/>
      <c r="H25142" s="18"/>
      <c r="K25142" s="18" t="s">
        <v>316</v>
      </c>
    </row>
    <row r="25143">
      <c r="A25143" s="17"/>
      <c r="H25143" s="18"/>
      <c r="K25143" s="18" t="s">
        <v>316</v>
      </c>
    </row>
    <row r="25144">
      <c r="A25144" s="17"/>
      <c r="H25144" s="18"/>
      <c r="K25144" s="18" t="s">
        <v>316</v>
      </c>
    </row>
    <row r="25145">
      <c r="A25145" s="17"/>
      <c r="H25145" s="18"/>
      <c r="K25145" s="18" t="s">
        <v>316</v>
      </c>
    </row>
    <row r="25146">
      <c r="A25146" s="17"/>
      <c r="H25146" s="18"/>
      <c r="K25146" s="18" t="s">
        <v>316</v>
      </c>
    </row>
    <row r="25147">
      <c r="A25147" s="17"/>
      <c r="H25147" s="18"/>
      <c r="K25147" s="18" t="s">
        <v>316</v>
      </c>
    </row>
    <row r="25148">
      <c r="A25148" s="17"/>
      <c r="H25148" s="18"/>
      <c r="K25148" s="18" t="s">
        <v>316</v>
      </c>
    </row>
    <row r="25149">
      <c r="A25149" s="17"/>
      <c r="H25149" s="18"/>
      <c r="K25149" s="18" t="s">
        <v>316</v>
      </c>
    </row>
    <row r="25150">
      <c r="A25150" s="17"/>
      <c r="H25150" s="18"/>
      <c r="K25150" s="18" t="s">
        <v>316</v>
      </c>
    </row>
    <row r="25151">
      <c r="A25151" s="17"/>
      <c r="H25151" s="18"/>
      <c r="K25151" s="18" t="s">
        <v>316</v>
      </c>
    </row>
    <row r="25152">
      <c r="A25152" s="17"/>
      <c r="H25152" s="18"/>
      <c r="K25152" s="18" t="s">
        <v>316</v>
      </c>
    </row>
    <row r="25153">
      <c r="A25153" s="17"/>
      <c r="H25153" s="18"/>
      <c r="K25153" s="18" t="s">
        <v>316</v>
      </c>
    </row>
    <row r="25154">
      <c r="A25154" s="17"/>
      <c r="H25154" s="18"/>
      <c r="K25154" s="18" t="s">
        <v>316</v>
      </c>
    </row>
    <row r="25155">
      <c r="A25155" s="17"/>
      <c r="H25155" s="18"/>
      <c r="K25155" s="18" t="s">
        <v>316</v>
      </c>
    </row>
    <row r="25156">
      <c r="A25156" s="17"/>
      <c r="H25156" s="18"/>
      <c r="K25156" s="18" t="s">
        <v>316</v>
      </c>
    </row>
    <row r="25157">
      <c r="A25157" s="17"/>
      <c r="H25157" s="18"/>
      <c r="K25157" s="18" t="s">
        <v>316</v>
      </c>
    </row>
    <row r="25158">
      <c r="A25158" s="17"/>
      <c r="H25158" s="18"/>
      <c r="K25158" s="18" t="s">
        <v>316</v>
      </c>
    </row>
    <row r="25159">
      <c r="A25159" s="17"/>
      <c r="H25159" s="18"/>
      <c r="K25159" s="18" t="s">
        <v>316</v>
      </c>
    </row>
    <row r="25160">
      <c r="A25160" s="17"/>
      <c r="H25160" s="18"/>
      <c r="K25160" s="18" t="s">
        <v>316</v>
      </c>
    </row>
    <row r="25161">
      <c r="A25161" s="17"/>
      <c r="H25161" s="18"/>
      <c r="K25161" s="18" t="s">
        <v>316</v>
      </c>
    </row>
    <row r="25162">
      <c r="A25162" s="17"/>
      <c r="H25162" s="18"/>
      <c r="K25162" s="18" t="s">
        <v>316</v>
      </c>
    </row>
    <row r="25163">
      <c r="A25163" s="17"/>
      <c r="H25163" s="18"/>
      <c r="K25163" s="18" t="s">
        <v>316</v>
      </c>
    </row>
    <row r="25164">
      <c r="A25164" s="17"/>
      <c r="H25164" s="18"/>
      <c r="K25164" s="18" t="s">
        <v>316</v>
      </c>
    </row>
    <row r="25165">
      <c r="A25165" s="17"/>
      <c r="H25165" s="18"/>
      <c r="K25165" s="18" t="s">
        <v>316</v>
      </c>
    </row>
    <row r="25166">
      <c r="A25166" s="17"/>
      <c r="H25166" s="18"/>
      <c r="K25166" s="18" t="s">
        <v>316</v>
      </c>
    </row>
    <row r="25167">
      <c r="A25167" s="17"/>
      <c r="H25167" s="18"/>
      <c r="K25167" s="18" t="s">
        <v>316</v>
      </c>
    </row>
    <row r="25168">
      <c r="A25168" s="17"/>
      <c r="H25168" s="18"/>
      <c r="K25168" s="18" t="s">
        <v>316</v>
      </c>
    </row>
    <row r="25169">
      <c r="A25169" s="17"/>
      <c r="H25169" s="18"/>
      <c r="K25169" s="18" t="s">
        <v>316</v>
      </c>
    </row>
    <row r="25170">
      <c r="A25170" s="17"/>
      <c r="H25170" s="18"/>
      <c r="K25170" s="18" t="s">
        <v>316</v>
      </c>
    </row>
    <row r="25171">
      <c r="A25171" s="17"/>
      <c r="H25171" s="18"/>
      <c r="K25171" s="18" t="s">
        <v>316</v>
      </c>
    </row>
    <row r="25172">
      <c r="A25172" s="17"/>
      <c r="H25172" s="18"/>
      <c r="K25172" s="18" t="s">
        <v>316</v>
      </c>
    </row>
    <row r="25173">
      <c r="A25173" s="17"/>
      <c r="H25173" s="18"/>
      <c r="K25173" s="18" t="s">
        <v>316</v>
      </c>
    </row>
    <row r="25174">
      <c r="A25174" s="17"/>
      <c r="H25174" s="18"/>
      <c r="K25174" s="18" t="s">
        <v>316</v>
      </c>
    </row>
    <row r="25175">
      <c r="A25175" s="17"/>
      <c r="H25175" s="18"/>
      <c r="K25175" s="18" t="s">
        <v>316</v>
      </c>
    </row>
    <row r="25176">
      <c r="A25176" s="17"/>
      <c r="H25176" s="18"/>
      <c r="K25176" s="18" t="s">
        <v>316</v>
      </c>
    </row>
    <row r="25177">
      <c r="A25177" s="17"/>
      <c r="H25177" s="18"/>
      <c r="K25177" s="18" t="s">
        <v>316</v>
      </c>
    </row>
    <row r="25178">
      <c r="A25178" s="17"/>
      <c r="H25178" s="18"/>
      <c r="K25178" s="18" t="s">
        <v>316</v>
      </c>
    </row>
    <row r="25179">
      <c r="A25179" s="17"/>
      <c r="H25179" s="18"/>
      <c r="K25179" s="18" t="s">
        <v>316</v>
      </c>
    </row>
    <row r="25180">
      <c r="A25180" s="17"/>
      <c r="H25180" s="18"/>
      <c r="K25180" s="18" t="s">
        <v>316</v>
      </c>
    </row>
    <row r="25181">
      <c r="A25181" s="17"/>
      <c r="H25181" s="18"/>
      <c r="K25181" s="18" t="s">
        <v>316</v>
      </c>
    </row>
    <row r="25182">
      <c r="A25182" s="17"/>
      <c r="H25182" s="18"/>
      <c r="K25182" s="18" t="s">
        <v>316</v>
      </c>
    </row>
    <row r="25183">
      <c r="A25183" s="17"/>
      <c r="H25183" s="18"/>
      <c r="K25183" s="18" t="s">
        <v>316</v>
      </c>
    </row>
    <row r="25184">
      <c r="A25184" s="17"/>
      <c r="H25184" s="18"/>
      <c r="K25184" s="18" t="s">
        <v>316</v>
      </c>
    </row>
    <row r="25185">
      <c r="A25185" s="17"/>
      <c r="H25185" s="18"/>
      <c r="K25185" s="18" t="s">
        <v>316</v>
      </c>
    </row>
    <row r="25186">
      <c r="A25186" s="17"/>
      <c r="H25186" s="18"/>
      <c r="K25186" s="18" t="s">
        <v>316</v>
      </c>
    </row>
    <row r="25187">
      <c r="A25187" s="17"/>
      <c r="H25187" s="18"/>
      <c r="K25187" s="18" t="s">
        <v>316</v>
      </c>
    </row>
    <row r="25188">
      <c r="A25188" s="17"/>
      <c r="H25188" s="18"/>
      <c r="K25188" s="18" t="s">
        <v>316</v>
      </c>
    </row>
    <row r="25189">
      <c r="A25189" s="17"/>
      <c r="H25189" s="18"/>
      <c r="K25189" s="18" t="s">
        <v>316</v>
      </c>
    </row>
    <row r="25190">
      <c r="A25190" s="17"/>
      <c r="H25190" s="18"/>
      <c r="K25190" s="18" t="s">
        <v>316</v>
      </c>
    </row>
    <row r="25191">
      <c r="A25191" s="17"/>
      <c r="H25191" s="18"/>
      <c r="K25191" s="18" t="s">
        <v>316</v>
      </c>
    </row>
    <row r="25192">
      <c r="A25192" s="17"/>
      <c r="H25192" s="18"/>
      <c r="K25192" s="18" t="s">
        <v>316</v>
      </c>
    </row>
    <row r="25193">
      <c r="A25193" s="17"/>
      <c r="H25193" s="18"/>
      <c r="K25193" s="18" t="s">
        <v>316</v>
      </c>
    </row>
    <row r="25194">
      <c r="A25194" s="17"/>
      <c r="H25194" s="18"/>
      <c r="K25194" s="18" t="s">
        <v>316</v>
      </c>
    </row>
    <row r="25195">
      <c r="A25195" s="17"/>
      <c r="H25195" s="18"/>
      <c r="K25195" s="18" t="s">
        <v>316</v>
      </c>
    </row>
    <row r="25196">
      <c r="A25196" s="17"/>
      <c r="H25196" s="18"/>
      <c r="K25196" s="18" t="s">
        <v>316</v>
      </c>
    </row>
    <row r="25197">
      <c r="A25197" s="17"/>
      <c r="H25197" s="18"/>
      <c r="K25197" s="18" t="s">
        <v>316</v>
      </c>
    </row>
    <row r="25198">
      <c r="A25198" s="17"/>
      <c r="H25198" s="18"/>
      <c r="K25198" s="18" t="s">
        <v>316</v>
      </c>
    </row>
    <row r="25199">
      <c r="A25199" s="17"/>
      <c r="H25199" s="18"/>
      <c r="K25199" s="18" t="s">
        <v>316</v>
      </c>
    </row>
    <row r="25200">
      <c r="A25200" s="17"/>
      <c r="H25200" s="18"/>
      <c r="K25200" s="18" t="s">
        <v>316</v>
      </c>
    </row>
    <row r="25201">
      <c r="A25201" s="17"/>
      <c r="H25201" s="18"/>
      <c r="K25201" s="18" t="s">
        <v>316</v>
      </c>
    </row>
    <row r="25202">
      <c r="A25202" s="17"/>
      <c r="H25202" s="18"/>
      <c r="K25202" s="18" t="s">
        <v>316</v>
      </c>
    </row>
    <row r="25203">
      <c r="A25203" s="17"/>
      <c r="H25203" s="18"/>
      <c r="K25203" s="18" t="s">
        <v>316</v>
      </c>
    </row>
    <row r="25204">
      <c r="A25204" s="17"/>
      <c r="H25204" s="18"/>
      <c r="K25204" s="18" t="s">
        <v>316</v>
      </c>
    </row>
    <row r="25205">
      <c r="A25205" s="17"/>
      <c r="H25205" s="18"/>
      <c r="K25205" s="18" t="s">
        <v>316</v>
      </c>
    </row>
    <row r="25206">
      <c r="A25206" s="17"/>
      <c r="H25206" s="18"/>
      <c r="K25206" s="18" t="s">
        <v>316</v>
      </c>
    </row>
    <row r="25207">
      <c r="A25207" s="17"/>
      <c r="H25207" s="18"/>
      <c r="K25207" s="18" t="s">
        <v>316</v>
      </c>
    </row>
    <row r="25208">
      <c r="A25208" s="17"/>
      <c r="H25208" s="18"/>
      <c r="K25208" s="18" t="s">
        <v>316</v>
      </c>
    </row>
    <row r="25209">
      <c r="A25209" s="17"/>
      <c r="H25209" s="18"/>
      <c r="K25209" s="18" t="s">
        <v>316</v>
      </c>
    </row>
    <row r="25210">
      <c r="A25210" s="17"/>
      <c r="H25210" s="18"/>
      <c r="K25210" s="18" t="s">
        <v>316</v>
      </c>
    </row>
    <row r="25211">
      <c r="A25211" s="17"/>
      <c r="H25211" s="18"/>
      <c r="K25211" s="18" t="s">
        <v>316</v>
      </c>
    </row>
    <row r="25212">
      <c r="A25212" s="17"/>
      <c r="H25212" s="18"/>
      <c r="K25212" s="18" t="s">
        <v>316</v>
      </c>
    </row>
    <row r="25213">
      <c r="A25213" s="17"/>
      <c r="H25213" s="18"/>
      <c r="K25213" s="18" t="s">
        <v>316</v>
      </c>
    </row>
    <row r="25214">
      <c r="A25214" s="17"/>
      <c r="H25214" s="18"/>
      <c r="K25214" s="18" t="s">
        <v>316</v>
      </c>
    </row>
    <row r="25215">
      <c r="A25215" s="17"/>
      <c r="H25215" s="18"/>
      <c r="K25215" s="18" t="s">
        <v>316</v>
      </c>
    </row>
    <row r="25216">
      <c r="A25216" s="17"/>
      <c r="H25216" s="18"/>
      <c r="K25216" s="18" t="s">
        <v>316</v>
      </c>
    </row>
    <row r="25217">
      <c r="A25217" s="17"/>
      <c r="H25217" s="18"/>
      <c r="K25217" s="18" t="s">
        <v>316</v>
      </c>
    </row>
    <row r="25218">
      <c r="A25218" s="17"/>
      <c r="H25218" s="18"/>
      <c r="K25218" s="18" t="s">
        <v>316</v>
      </c>
    </row>
    <row r="25219">
      <c r="A25219" s="17"/>
      <c r="H25219" s="18"/>
      <c r="K25219" s="18" t="s">
        <v>316</v>
      </c>
    </row>
    <row r="25220">
      <c r="A25220" s="17"/>
      <c r="H25220" s="18"/>
      <c r="K25220" s="18" t="s">
        <v>316</v>
      </c>
    </row>
    <row r="25221">
      <c r="A25221" s="17"/>
      <c r="H25221" s="18"/>
      <c r="K25221" s="18" t="s">
        <v>316</v>
      </c>
    </row>
    <row r="25222">
      <c r="A25222" s="17"/>
      <c r="H25222" s="18"/>
      <c r="K25222" s="18" t="s">
        <v>316</v>
      </c>
    </row>
    <row r="25223">
      <c r="A25223" s="17"/>
      <c r="H25223" s="18"/>
      <c r="K25223" s="18" t="s">
        <v>316</v>
      </c>
    </row>
    <row r="25224">
      <c r="A25224" s="17"/>
      <c r="H25224" s="18"/>
      <c r="K25224" s="18" t="s">
        <v>316</v>
      </c>
    </row>
    <row r="25225">
      <c r="A25225" s="17"/>
      <c r="H25225" s="18"/>
      <c r="K25225" s="18" t="s">
        <v>316</v>
      </c>
    </row>
    <row r="25226">
      <c r="A25226" s="17"/>
      <c r="H25226" s="18"/>
      <c r="K25226" s="18" t="s">
        <v>316</v>
      </c>
    </row>
    <row r="25227">
      <c r="A25227" s="17"/>
      <c r="H25227" s="18"/>
      <c r="K25227" s="18" t="s">
        <v>316</v>
      </c>
    </row>
    <row r="25228">
      <c r="A25228" s="17"/>
      <c r="H25228" s="18"/>
      <c r="K25228" s="18" t="s">
        <v>316</v>
      </c>
    </row>
    <row r="25229">
      <c r="A25229" s="17"/>
      <c r="H25229" s="18"/>
      <c r="K25229" s="18" t="s">
        <v>316</v>
      </c>
    </row>
    <row r="25230">
      <c r="A25230" s="17"/>
      <c r="H25230" s="18"/>
      <c r="K25230" s="18" t="s">
        <v>316</v>
      </c>
    </row>
    <row r="25231">
      <c r="A25231" s="17"/>
      <c r="H25231" s="18"/>
      <c r="K25231" s="18" t="s">
        <v>316</v>
      </c>
    </row>
    <row r="25232">
      <c r="A25232" s="17"/>
      <c r="H25232" s="18"/>
      <c r="K25232" s="18" t="s">
        <v>316</v>
      </c>
    </row>
    <row r="25233">
      <c r="A25233" s="17"/>
      <c r="H25233" s="18"/>
      <c r="K25233" s="18" t="s">
        <v>316</v>
      </c>
    </row>
    <row r="25234">
      <c r="A25234" s="17"/>
      <c r="H25234" s="18"/>
      <c r="K25234" s="18" t="s">
        <v>316</v>
      </c>
    </row>
    <row r="25235">
      <c r="A25235" s="17"/>
      <c r="H25235" s="18"/>
      <c r="K25235" s="18" t="s">
        <v>316</v>
      </c>
    </row>
    <row r="25236">
      <c r="A25236" s="17"/>
      <c r="H25236" s="18"/>
      <c r="K25236" s="18" t="s">
        <v>316</v>
      </c>
    </row>
    <row r="25237">
      <c r="A25237" s="17"/>
      <c r="H25237" s="18"/>
      <c r="K25237" s="18" t="s">
        <v>316</v>
      </c>
    </row>
    <row r="25238">
      <c r="A25238" s="17"/>
      <c r="H25238" s="18"/>
      <c r="K25238" s="18" t="s">
        <v>316</v>
      </c>
    </row>
    <row r="25239">
      <c r="A25239" s="17"/>
      <c r="H25239" s="18"/>
      <c r="K25239" s="18" t="s">
        <v>316</v>
      </c>
    </row>
    <row r="25240">
      <c r="A25240" s="17"/>
      <c r="H25240" s="18"/>
      <c r="K25240" s="18" t="s">
        <v>316</v>
      </c>
    </row>
    <row r="25241">
      <c r="A25241" s="17"/>
      <c r="H25241" s="18"/>
      <c r="K25241" s="18" t="s">
        <v>316</v>
      </c>
    </row>
    <row r="25242">
      <c r="A25242" s="17"/>
      <c r="H25242" s="18"/>
      <c r="K25242" s="18" t="s">
        <v>316</v>
      </c>
    </row>
    <row r="25243">
      <c r="A25243" s="17"/>
      <c r="H25243" s="18"/>
      <c r="K25243" s="18" t="s">
        <v>316</v>
      </c>
    </row>
    <row r="25244">
      <c r="A25244" s="17"/>
      <c r="H25244" s="18"/>
      <c r="K25244" s="18" t="s">
        <v>316</v>
      </c>
    </row>
    <row r="25245">
      <c r="A25245" s="17"/>
      <c r="H25245" s="18"/>
      <c r="K25245" s="18" t="s">
        <v>316</v>
      </c>
    </row>
    <row r="25246">
      <c r="A25246" s="17"/>
      <c r="H25246" s="18"/>
      <c r="K25246" s="18" t="s">
        <v>316</v>
      </c>
    </row>
    <row r="25247">
      <c r="A25247" s="17"/>
      <c r="H25247" s="18"/>
      <c r="K25247" s="18" t="s">
        <v>316</v>
      </c>
    </row>
    <row r="25248">
      <c r="A25248" s="17"/>
      <c r="H25248" s="18"/>
      <c r="K25248" s="18" t="s">
        <v>316</v>
      </c>
    </row>
    <row r="25249">
      <c r="A25249" s="17"/>
      <c r="H25249" s="18"/>
      <c r="K25249" s="18" t="s">
        <v>316</v>
      </c>
    </row>
    <row r="25250">
      <c r="A25250" s="17"/>
      <c r="H25250" s="18"/>
      <c r="K25250" s="18" t="s">
        <v>316</v>
      </c>
    </row>
    <row r="25251">
      <c r="A25251" s="17"/>
      <c r="H25251" s="18"/>
      <c r="K25251" s="18" t="s">
        <v>316</v>
      </c>
    </row>
    <row r="25252">
      <c r="A25252" s="17"/>
      <c r="H25252" s="18"/>
      <c r="K25252" s="18" t="s">
        <v>316</v>
      </c>
    </row>
    <row r="25253">
      <c r="A25253" s="17"/>
      <c r="H25253" s="18"/>
      <c r="K25253" s="18" t="s">
        <v>316</v>
      </c>
    </row>
    <row r="25254">
      <c r="A25254" s="17"/>
      <c r="H25254" s="18"/>
      <c r="K25254" s="18" t="s">
        <v>316</v>
      </c>
    </row>
    <row r="25255">
      <c r="A25255" s="17"/>
      <c r="H25255" s="18"/>
      <c r="K25255" s="18" t="s">
        <v>316</v>
      </c>
    </row>
    <row r="25256">
      <c r="A25256" s="17"/>
      <c r="H25256" s="18"/>
      <c r="K25256" s="18" t="s">
        <v>316</v>
      </c>
    </row>
    <row r="25257">
      <c r="A25257" s="17"/>
      <c r="H25257" s="18"/>
      <c r="K25257" s="18" t="s">
        <v>316</v>
      </c>
    </row>
    <row r="25258">
      <c r="A25258" s="17"/>
      <c r="H25258" s="18"/>
      <c r="K25258" s="18" t="s">
        <v>316</v>
      </c>
    </row>
    <row r="25259">
      <c r="A25259" s="17"/>
      <c r="H25259" s="18"/>
      <c r="K25259" s="18" t="s">
        <v>316</v>
      </c>
    </row>
    <row r="25260">
      <c r="A25260" s="17"/>
      <c r="H25260" s="18"/>
      <c r="K25260" s="18" t="s">
        <v>316</v>
      </c>
    </row>
    <row r="25261">
      <c r="A25261" s="17"/>
      <c r="H25261" s="18"/>
      <c r="K25261" s="18" t="s">
        <v>316</v>
      </c>
    </row>
    <row r="25262">
      <c r="A25262" s="17"/>
      <c r="H25262" s="18"/>
      <c r="K25262" s="18" t="s">
        <v>316</v>
      </c>
    </row>
    <row r="25263">
      <c r="A25263" s="17"/>
      <c r="H25263" s="18"/>
      <c r="K25263" s="18" t="s">
        <v>316</v>
      </c>
    </row>
    <row r="25264">
      <c r="A25264" s="17"/>
      <c r="H25264" s="18"/>
      <c r="K25264" s="18" t="s">
        <v>316</v>
      </c>
    </row>
    <row r="25265">
      <c r="A25265" s="17"/>
      <c r="H25265" s="18"/>
      <c r="K25265" s="18" t="s">
        <v>316</v>
      </c>
    </row>
    <row r="25266">
      <c r="A25266" s="17"/>
      <c r="H25266" s="18"/>
      <c r="K25266" s="18" t="s">
        <v>316</v>
      </c>
    </row>
    <row r="25267">
      <c r="A25267" s="17"/>
      <c r="H25267" s="18"/>
      <c r="K25267" s="18" t="s">
        <v>316</v>
      </c>
    </row>
    <row r="25268">
      <c r="A25268" s="17"/>
      <c r="H25268" s="18"/>
      <c r="K25268" s="18" t="s">
        <v>316</v>
      </c>
    </row>
    <row r="25269">
      <c r="A25269" s="17"/>
      <c r="H25269" s="18"/>
      <c r="K25269" s="18" t="s">
        <v>316</v>
      </c>
    </row>
    <row r="25270">
      <c r="A25270" s="17"/>
      <c r="H25270" s="18"/>
      <c r="K25270" s="18" t="s">
        <v>316</v>
      </c>
    </row>
    <row r="25271">
      <c r="A25271" s="17"/>
      <c r="H25271" s="18"/>
      <c r="K25271" s="18" t="s">
        <v>316</v>
      </c>
    </row>
    <row r="25272">
      <c r="A25272" s="17"/>
      <c r="H25272" s="18"/>
      <c r="K25272" s="18" t="s">
        <v>316</v>
      </c>
    </row>
    <row r="25273">
      <c r="A25273" s="17"/>
      <c r="H25273" s="18"/>
      <c r="K25273" s="18" t="s">
        <v>316</v>
      </c>
    </row>
    <row r="25274">
      <c r="A25274" s="17"/>
      <c r="H25274" s="18"/>
      <c r="K25274" s="18" t="s">
        <v>316</v>
      </c>
    </row>
    <row r="25275">
      <c r="A25275" s="17"/>
      <c r="H25275" s="18"/>
      <c r="K25275" s="18" t="s">
        <v>316</v>
      </c>
    </row>
    <row r="25276">
      <c r="A25276" s="17"/>
      <c r="H25276" s="18"/>
      <c r="K25276" s="18" t="s">
        <v>316</v>
      </c>
    </row>
    <row r="25277">
      <c r="A25277" s="17"/>
      <c r="H25277" s="18"/>
      <c r="K25277" s="18" t="s">
        <v>316</v>
      </c>
    </row>
    <row r="25278">
      <c r="A25278" s="17"/>
      <c r="H25278" s="18"/>
      <c r="K25278" s="18" t="s">
        <v>316</v>
      </c>
    </row>
    <row r="25279">
      <c r="A25279" s="17"/>
      <c r="H25279" s="18"/>
      <c r="K25279" s="18" t="s">
        <v>316</v>
      </c>
    </row>
    <row r="25280">
      <c r="A25280" s="17"/>
      <c r="H25280" s="18"/>
      <c r="K25280" s="18" t="s">
        <v>316</v>
      </c>
    </row>
    <row r="25281">
      <c r="A25281" s="17"/>
      <c r="H25281" s="18"/>
      <c r="K25281" s="18" t="s">
        <v>316</v>
      </c>
    </row>
    <row r="25282">
      <c r="A25282" s="17"/>
      <c r="H25282" s="18"/>
      <c r="K25282" s="18" t="s">
        <v>316</v>
      </c>
    </row>
    <row r="25283">
      <c r="A25283" s="17"/>
      <c r="H25283" s="18"/>
      <c r="K25283" s="18" t="s">
        <v>316</v>
      </c>
    </row>
    <row r="25284">
      <c r="A25284" s="17"/>
      <c r="H25284" s="18"/>
      <c r="K25284" s="18" t="s">
        <v>316</v>
      </c>
    </row>
    <row r="25285">
      <c r="A25285" s="17"/>
      <c r="H25285" s="18"/>
      <c r="K25285" s="18" t="s">
        <v>316</v>
      </c>
    </row>
    <row r="25286">
      <c r="A25286" s="17"/>
      <c r="H25286" s="18"/>
      <c r="K25286" s="18" t="s">
        <v>316</v>
      </c>
    </row>
    <row r="25287">
      <c r="A25287" s="17"/>
      <c r="H25287" s="18"/>
      <c r="K25287" s="18" t="s">
        <v>316</v>
      </c>
    </row>
    <row r="25288">
      <c r="A25288" s="17"/>
      <c r="H25288" s="18"/>
      <c r="K25288" s="18" t="s">
        <v>316</v>
      </c>
    </row>
    <row r="25289">
      <c r="A25289" s="17"/>
      <c r="H25289" s="18"/>
      <c r="K25289" s="18" t="s">
        <v>316</v>
      </c>
    </row>
    <row r="25290">
      <c r="A25290" s="17"/>
      <c r="H25290" s="18"/>
      <c r="K25290" s="18" t="s">
        <v>316</v>
      </c>
    </row>
    <row r="25291">
      <c r="A25291" s="17"/>
      <c r="H25291" s="18"/>
      <c r="K25291" s="18" t="s">
        <v>316</v>
      </c>
    </row>
    <row r="25292">
      <c r="A25292" s="17"/>
      <c r="H25292" s="18"/>
      <c r="K25292" s="18" t="s">
        <v>316</v>
      </c>
    </row>
    <row r="25293">
      <c r="A25293" s="17"/>
      <c r="H25293" s="18"/>
      <c r="K25293" s="18" t="s">
        <v>316</v>
      </c>
    </row>
    <row r="25294">
      <c r="A25294" s="17"/>
      <c r="H25294" s="18"/>
      <c r="K25294" s="18" t="s">
        <v>316</v>
      </c>
    </row>
    <row r="25295">
      <c r="A25295" s="17"/>
      <c r="H25295" s="18"/>
      <c r="K25295" s="18" t="s">
        <v>316</v>
      </c>
    </row>
    <row r="25296">
      <c r="A25296" s="17"/>
      <c r="H25296" s="18"/>
      <c r="K25296" s="18" t="s">
        <v>316</v>
      </c>
    </row>
    <row r="25297">
      <c r="A25297" s="17"/>
      <c r="H25297" s="18"/>
      <c r="K25297" s="18" t="s">
        <v>316</v>
      </c>
    </row>
    <row r="25298">
      <c r="A25298" s="17"/>
      <c r="H25298" s="18"/>
      <c r="K25298" s="18" t="s">
        <v>316</v>
      </c>
    </row>
    <row r="25299">
      <c r="A25299" s="17"/>
      <c r="H25299" s="18"/>
      <c r="K25299" s="18" t="s">
        <v>316</v>
      </c>
    </row>
    <row r="25300">
      <c r="A25300" s="17"/>
      <c r="H25300" s="18"/>
      <c r="K25300" s="18" t="s">
        <v>316</v>
      </c>
    </row>
    <row r="25301">
      <c r="A25301" s="17"/>
      <c r="H25301" s="18"/>
      <c r="K25301" s="18" t="s">
        <v>316</v>
      </c>
    </row>
    <row r="25302">
      <c r="A25302" s="17"/>
      <c r="H25302" s="18"/>
      <c r="K25302" s="18" t="s">
        <v>316</v>
      </c>
    </row>
    <row r="25303">
      <c r="A25303" s="17"/>
      <c r="H25303" s="18"/>
      <c r="K25303" s="18" t="s">
        <v>316</v>
      </c>
    </row>
    <row r="25304">
      <c r="A25304" s="17"/>
      <c r="H25304" s="18"/>
      <c r="K25304" s="18" t="s">
        <v>316</v>
      </c>
    </row>
    <row r="25305">
      <c r="A25305" s="17"/>
      <c r="H25305" s="18"/>
      <c r="K25305" s="18" t="s">
        <v>316</v>
      </c>
    </row>
    <row r="25306">
      <c r="A25306" s="17"/>
      <c r="H25306" s="18"/>
      <c r="K25306" s="18" t="s">
        <v>316</v>
      </c>
    </row>
    <row r="25307">
      <c r="A25307" s="17"/>
      <c r="H25307" s="18"/>
      <c r="K25307" s="18" t="s">
        <v>316</v>
      </c>
    </row>
    <row r="25308">
      <c r="A25308" s="17"/>
      <c r="H25308" s="18"/>
      <c r="K25308" s="18" t="s">
        <v>316</v>
      </c>
    </row>
    <row r="25309">
      <c r="A25309" s="17"/>
      <c r="H25309" s="18"/>
      <c r="K25309" s="18" t="s">
        <v>316</v>
      </c>
    </row>
    <row r="25310">
      <c r="A25310" s="17"/>
      <c r="H25310" s="18"/>
      <c r="K25310" s="18" t="s">
        <v>316</v>
      </c>
    </row>
    <row r="25311">
      <c r="A25311" s="17"/>
      <c r="H25311" s="18"/>
      <c r="K25311" s="18" t="s">
        <v>316</v>
      </c>
    </row>
    <row r="25312">
      <c r="A25312" s="17"/>
      <c r="H25312" s="18"/>
      <c r="K25312" s="18" t="s">
        <v>316</v>
      </c>
    </row>
    <row r="25313">
      <c r="A25313" s="17"/>
      <c r="H25313" s="18"/>
      <c r="K25313" s="18" t="s">
        <v>316</v>
      </c>
    </row>
    <row r="25314">
      <c r="A25314" s="17"/>
      <c r="H25314" s="18"/>
      <c r="K25314" s="18" t="s">
        <v>316</v>
      </c>
    </row>
    <row r="25315">
      <c r="A25315" s="17"/>
      <c r="H25315" s="18"/>
      <c r="K25315" s="18" t="s">
        <v>316</v>
      </c>
    </row>
    <row r="25316">
      <c r="A25316" s="17"/>
      <c r="H25316" s="18"/>
      <c r="K25316" s="18" t="s">
        <v>316</v>
      </c>
    </row>
    <row r="25317">
      <c r="A25317" s="17"/>
      <c r="H25317" s="18"/>
      <c r="K25317" s="18" t="s">
        <v>316</v>
      </c>
    </row>
    <row r="25318">
      <c r="A25318" s="17"/>
      <c r="H25318" s="18"/>
      <c r="K25318" s="18" t="s">
        <v>316</v>
      </c>
    </row>
    <row r="25319">
      <c r="A25319" s="17"/>
      <c r="H25319" s="18"/>
      <c r="K25319" s="18" t="s">
        <v>316</v>
      </c>
    </row>
    <row r="25320">
      <c r="A25320" s="17"/>
      <c r="H25320" s="18"/>
      <c r="K25320" s="18" t="s">
        <v>316</v>
      </c>
    </row>
    <row r="25321">
      <c r="A25321" s="17"/>
      <c r="H25321" s="18"/>
      <c r="K25321" s="18" t="s">
        <v>316</v>
      </c>
    </row>
    <row r="25322">
      <c r="A25322" s="17"/>
      <c r="H25322" s="18"/>
      <c r="K25322" s="18" t="s">
        <v>316</v>
      </c>
    </row>
    <row r="25323">
      <c r="A25323" s="17"/>
      <c r="H25323" s="18"/>
      <c r="K25323" s="18" t="s">
        <v>316</v>
      </c>
    </row>
    <row r="25324">
      <c r="A25324" s="17"/>
      <c r="H25324" s="18"/>
      <c r="K25324" s="18" t="s">
        <v>316</v>
      </c>
    </row>
    <row r="25325">
      <c r="A25325" s="17"/>
      <c r="H25325" s="18"/>
      <c r="K25325" s="18" t="s">
        <v>316</v>
      </c>
    </row>
    <row r="25326">
      <c r="A25326" s="17"/>
      <c r="H25326" s="18"/>
      <c r="K25326" s="18" t="s">
        <v>316</v>
      </c>
    </row>
    <row r="25327">
      <c r="A25327" s="17"/>
      <c r="H25327" s="18"/>
      <c r="K25327" s="18" t="s">
        <v>316</v>
      </c>
    </row>
    <row r="25328">
      <c r="A25328" s="17"/>
      <c r="H25328" s="18"/>
      <c r="K25328" s="18" t="s">
        <v>316</v>
      </c>
    </row>
    <row r="25329">
      <c r="A25329" s="17"/>
      <c r="H25329" s="18"/>
      <c r="K25329" s="18" t="s">
        <v>316</v>
      </c>
    </row>
    <row r="25330">
      <c r="A25330" s="17"/>
      <c r="H25330" s="18"/>
      <c r="K25330" s="18" t="s">
        <v>316</v>
      </c>
    </row>
    <row r="25331">
      <c r="A25331" s="17"/>
      <c r="H25331" s="18"/>
      <c r="K25331" s="18" t="s">
        <v>316</v>
      </c>
    </row>
    <row r="25332">
      <c r="A25332" s="17"/>
      <c r="H25332" s="18"/>
      <c r="K25332" s="18" t="s">
        <v>316</v>
      </c>
    </row>
    <row r="25333">
      <c r="A25333" s="17"/>
      <c r="H25333" s="18"/>
      <c r="K25333" s="18" t="s">
        <v>316</v>
      </c>
    </row>
    <row r="25334">
      <c r="A25334" s="17"/>
      <c r="H25334" s="18"/>
      <c r="K25334" s="18" t="s">
        <v>316</v>
      </c>
    </row>
    <row r="25335">
      <c r="A25335" s="17"/>
      <c r="H25335" s="18"/>
      <c r="K25335" s="18" t="s">
        <v>316</v>
      </c>
    </row>
    <row r="25336">
      <c r="A25336" s="17"/>
      <c r="H25336" s="18"/>
      <c r="K25336" s="18" t="s">
        <v>316</v>
      </c>
    </row>
    <row r="25337">
      <c r="A25337" s="17"/>
      <c r="H25337" s="18"/>
      <c r="K25337" s="18" t="s">
        <v>316</v>
      </c>
    </row>
    <row r="25338">
      <c r="A25338" s="17"/>
      <c r="H25338" s="18"/>
      <c r="K25338" s="18" t="s">
        <v>316</v>
      </c>
    </row>
    <row r="25339">
      <c r="A25339" s="17"/>
      <c r="H25339" s="18"/>
      <c r="K25339" s="18" t="s">
        <v>316</v>
      </c>
    </row>
    <row r="25340">
      <c r="A25340" s="17"/>
      <c r="H25340" s="18"/>
      <c r="K25340" s="18" t="s">
        <v>316</v>
      </c>
    </row>
    <row r="25341">
      <c r="A25341" s="17"/>
      <c r="H25341" s="18"/>
      <c r="K25341" s="18" t="s">
        <v>316</v>
      </c>
    </row>
    <row r="25342">
      <c r="A25342" s="17"/>
      <c r="H25342" s="18"/>
      <c r="K25342" s="18" t="s">
        <v>316</v>
      </c>
    </row>
    <row r="25343">
      <c r="A25343" s="17"/>
      <c r="H25343" s="18"/>
      <c r="K25343" s="18" t="s">
        <v>316</v>
      </c>
    </row>
    <row r="25344">
      <c r="A25344" s="17"/>
      <c r="H25344" s="18"/>
      <c r="K25344" s="18" t="s">
        <v>316</v>
      </c>
    </row>
    <row r="25345">
      <c r="A25345" s="17"/>
      <c r="H25345" s="18"/>
      <c r="K25345" s="18" t="s">
        <v>316</v>
      </c>
    </row>
    <row r="25346">
      <c r="A25346" s="17"/>
      <c r="H25346" s="18"/>
      <c r="K25346" s="18" t="s">
        <v>316</v>
      </c>
    </row>
    <row r="25347">
      <c r="A25347" s="17"/>
      <c r="H25347" s="18"/>
      <c r="K25347" s="18" t="s">
        <v>316</v>
      </c>
    </row>
    <row r="25348">
      <c r="A25348" s="17"/>
      <c r="H25348" s="18"/>
      <c r="K25348" s="18" t="s">
        <v>316</v>
      </c>
    </row>
    <row r="25349">
      <c r="A25349" s="17"/>
      <c r="H25349" s="18"/>
      <c r="K25349" s="18" t="s">
        <v>316</v>
      </c>
    </row>
    <row r="25350">
      <c r="A25350" s="17"/>
      <c r="H25350" s="18"/>
      <c r="K25350" s="18" t="s">
        <v>316</v>
      </c>
    </row>
    <row r="25351">
      <c r="A25351" s="17"/>
      <c r="H25351" s="18"/>
      <c r="K25351" s="18" t="s">
        <v>316</v>
      </c>
    </row>
    <row r="25352">
      <c r="A25352" s="17"/>
      <c r="H25352" s="18"/>
      <c r="K25352" s="18" t="s">
        <v>316</v>
      </c>
    </row>
    <row r="25353">
      <c r="A25353" s="17"/>
      <c r="H25353" s="18"/>
      <c r="K25353" s="18" t="s">
        <v>316</v>
      </c>
    </row>
    <row r="25354">
      <c r="A25354" s="17"/>
      <c r="H25354" s="18"/>
      <c r="K25354" s="18" t="s">
        <v>316</v>
      </c>
    </row>
    <row r="25355">
      <c r="A25355" s="17"/>
      <c r="H25355" s="18"/>
      <c r="K25355" s="18" t="s">
        <v>316</v>
      </c>
    </row>
    <row r="25356">
      <c r="A25356" s="17"/>
      <c r="H25356" s="18"/>
      <c r="K25356" s="18" t="s">
        <v>316</v>
      </c>
    </row>
    <row r="25357">
      <c r="A25357" s="17"/>
      <c r="H25357" s="18"/>
      <c r="K25357" s="18" t="s">
        <v>316</v>
      </c>
    </row>
    <row r="25358">
      <c r="A25358" s="17"/>
      <c r="H25358" s="18"/>
      <c r="K25358" s="18" t="s">
        <v>316</v>
      </c>
    </row>
    <row r="25359">
      <c r="A25359" s="17"/>
      <c r="H25359" s="18"/>
      <c r="K25359" s="18" t="s">
        <v>316</v>
      </c>
    </row>
    <row r="25360">
      <c r="A25360" s="17"/>
      <c r="H25360" s="18"/>
      <c r="K25360" s="18" t="s">
        <v>316</v>
      </c>
    </row>
    <row r="25361">
      <c r="A25361" s="17"/>
      <c r="H25361" s="18"/>
      <c r="K25361" s="18" t="s">
        <v>316</v>
      </c>
    </row>
    <row r="25362">
      <c r="A25362" s="17"/>
      <c r="H25362" s="18"/>
      <c r="K25362" s="18" t="s">
        <v>316</v>
      </c>
    </row>
    <row r="25363">
      <c r="A25363" s="17"/>
      <c r="H25363" s="18"/>
      <c r="K25363" s="18" t="s">
        <v>316</v>
      </c>
    </row>
    <row r="25364">
      <c r="A25364" s="17"/>
      <c r="H25364" s="18"/>
      <c r="K25364" s="18" t="s">
        <v>316</v>
      </c>
    </row>
    <row r="25365">
      <c r="A25365" s="17"/>
      <c r="H25365" s="18"/>
      <c r="K25365" s="18" t="s">
        <v>316</v>
      </c>
    </row>
    <row r="25366">
      <c r="A25366" s="17"/>
      <c r="H25366" s="18"/>
      <c r="K25366" s="18" t="s">
        <v>316</v>
      </c>
    </row>
    <row r="25367">
      <c r="A25367" s="17"/>
      <c r="H25367" s="18"/>
      <c r="K25367" s="18" t="s">
        <v>316</v>
      </c>
    </row>
    <row r="25368">
      <c r="A25368" s="17"/>
      <c r="H25368" s="18"/>
      <c r="K25368" s="18" t="s">
        <v>316</v>
      </c>
    </row>
    <row r="25369">
      <c r="A25369" s="17"/>
      <c r="H25369" s="18"/>
      <c r="K25369" s="18" t="s">
        <v>316</v>
      </c>
    </row>
    <row r="25370">
      <c r="A25370" s="17"/>
      <c r="H25370" s="18"/>
      <c r="K25370" s="18" t="s">
        <v>316</v>
      </c>
    </row>
    <row r="25371">
      <c r="A25371" s="17"/>
      <c r="H25371" s="18"/>
      <c r="K25371" s="18" t="s">
        <v>316</v>
      </c>
    </row>
    <row r="25372">
      <c r="A25372" s="17"/>
      <c r="H25372" s="18"/>
      <c r="K25372" s="18" t="s">
        <v>316</v>
      </c>
    </row>
    <row r="25373">
      <c r="A25373" s="17"/>
      <c r="H25373" s="18"/>
      <c r="K25373" s="18" t="s">
        <v>316</v>
      </c>
    </row>
    <row r="25374">
      <c r="A25374" s="17"/>
      <c r="H25374" s="18"/>
      <c r="K25374" s="18" t="s">
        <v>316</v>
      </c>
    </row>
    <row r="25375">
      <c r="A25375" s="17"/>
      <c r="H25375" s="18"/>
      <c r="K25375" s="18" t="s">
        <v>316</v>
      </c>
    </row>
    <row r="25376">
      <c r="A25376" s="17"/>
      <c r="H25376" s="18"/>
      <c r="K25376" s="18" t="s">
        <v>316</v>
      </c>
    </row>
    <row r="25377">
      <c r="A25377" s="17"/>
      <c r="H25377" s="18"/>
      <c r="K25377" s="18" t="s">
        <v>316</v>
      </c>
    </row>
    <row r="25378">
      <c r="A25378" s="17"/>
      <c r="H25378" s="18"/>
      <c r="K25378" s="18" t="s">
        <v>316</v>
      </c>
    </row>
    <row r="25379">
      <c r="A25379" s="17"/>
      <c r="H25379" s="18"/>
      <c r="K25379" s="18" t="s">
        <v>316</v>
      </c>
    </row>
    <row r="25380">
      <c r="A25380" s="17"/>
      <c r="H25380" s="18"/>
      <c r="K25380" s="18" t="s">
        <v>316</v>
      </c>
    </row>
    <row r="25381">
      <c r="A25381" s="17"/>
      <c r="H25381" s="18"/>
      <c r="K25381" s="18" t="s">
        <v>316</v>
      </c>
    </row>
    <row r="25382">
      <c r="A25382" s="17"/>
      <c r="H25382" s="18"/>
      <c r="K25382" s="18" t="s">
        <v>316</v>
      </c>
    </row>
    <row r="25383">
      <c r="A25383" s="17"/>
      <c r="H25383" s="18"/>
      <c r="K25383" s="18" t="s">
        <v>316</v>
      </c>
    </row>
    <row r="25384">
      <c r="A25384" s="17"/>
      <c r="H25384" s="18"/>
      <c r="K25384" s="18" t="s">
        <v>316</v>
      </c>
    </row>
    <row r="25385">
      <c r="A25385" s="17"/>
      <c r="H25385" s="18"/>
      <c r="K25385" s="18" t="s">
        <v>316</v>
      </c>
    </row>
    <row r="25386">
      <c r="A25386" s="17"/>
      <c r="H25386" s="18"/>
      <c r="K25386" s="18" t="s">
        <v>316</v>
      </c>
    </row>
    <row r="25387">
      <c r="A25387" s="17"/>
      <c r="H25387" s="18"/>
      <c r="K25387" s="18" t="s">
        <v>316</v>
      </c>
    </row>
    <row r="25388">
      <c r="A25388" s="17"/>
      <c r="H25388" s="18"/>
      <c r="K25388" s="18" t="s">
        <v>316</v>
      </c>
    </row>
    <row r="25389">
      <c r="A25389" s="17"/>
      <c r="H25389" s="18"/>
      <c r="K25389" s="18" t="s">
        <v>316</v>
      </c>
    </row>
    <row r="25390">
      <c r="A25390" s="17"/>
      <c r="H25390" s="18"/>
      <c r="K25390" s="18" t="s">
        <v>316</v>
      </c>
    </row>
    <row r="25391">
      <c r="A25391" s="17"/>
      <c r="H25391" s="18"/>
      <c r="K25391" s="18" t="s">
        <v>316</v>
      </c>
    </row>
    <row r="25392">
      <c r="A25392" s="17"/>
      <c r="H25392" s="18"/>
      <c r="K25392" s="18" t="s">
        <v>316</v>
      </c>
    </row>
    <row r="25393">
      <c r="A25393" s="17"/>
      <c r="H25393" s="18"/>
      <c r="K25393" s="18" t="s">
        <v>316</v>
      </c>
    </row>
    <row r="25394">
      <c r="A25394" s="17"/>
      <c r="H25394" s="18"/>
      <c r="K25394" s="18" t="s">
        <v>316</v>
      </c>
    </row>
    <row r="25395">
      <c r="A25395" s="17"/>
      <c r="H25395" s="18"/>
      <c r="K25395" s="18" t="s">
        <v>316</v>
      </c>
    </row>
    <row r="25396">
      <c r="A25396" s="17"/>
      <c r="H25396" s="18"/>
      <c r="K25396" s="18" t="s">
        <v>316</v>
      </c>
    </row>
    <row r="25397">
      <c r="A25397" s="17"/>
      <c r="H25397" s="18"/>
      <c r="K25397" s="18" t="s">
        <v>316</v>
      </c>
    </row>
    <row r="25398">
      <c r="A25398" s="17"/>
      <c r="H25398" s="18"/>
      <c r="K25398" s="18" t="s">
        <v>316</v>
      </c>
    </row>
    <row r="25399">
      <c r="A25399" s="17"/>
      <c r="H25399" s="18"/>
      <c r="K25399" s="18" t="s">
        <v>316</v>
      </c>
    </row>
    <row r="25400">
      <c r="A25400" s="17"/>
      <c r="H25400" s="18"/>
      <c r="K25400" s="18" t="s">
        <v>316</v>
      </c>
    </row>
    <row r="25401">
      <c r="A25401" s="17"/>
      <c r="H25401" s="18"/>
      <c r="K25401" s="18" t="s">
        <v>316</v>
      </c>
    </row>
    <row r="25402">
      <c r="A25402" s="17"/>
      <c r="H25402" s="18"/>
      <c r="K25402" s="18" t="s">
        <v>316</v>
      </c>
    </row>
    <row r="25403">
      <c r="A25403" s="17"/>
      <c r="H25403" s="18"/>
      <c r="K25403" s="18" t="s">
        <v>316</v>
      </c>
    </row>
    <row r="25404">
      <c r="A25404" s="17"/>
      <c r="H25404" s="18"/>
      <c r="K25404" s="18" t="s">
        <v>316</v>
      </c>
    </row>
    <row r="25405">
      <c r="A25405" s="17"/>
      <c r="H25405" s="18"/>
      <c r="K25405" s="18" t="s">
        <v>316</v>
      </c>
    </row>
    <row r="25406">
      <c r="A25406" s="17"/>
      <c r="H25406" s="18"/>
      <c r="K25406" s="18" t="s">
        <v>316</v>
      </c>
    </row>
    <row r="25407">
      <c r="A25407" s="17"/>
      <c r="H25407" s="18"/>
      <c r="K25407" s="18" t="s">
        <v>316</v>
      </c>
    </row>
    <row r="25408">
      <c r="A25408" s="17"/>
      <c r="H25408" s="18"/>
      <c r="K25408" s="18" t="s">
        <v>316</v>
      </c>
    </row>
    <row r="25409">
      <c r="A25409" s="17"/>
      <c r="H25409" s="18"/>
      <c r="K25409" s="18" t="s">
        <v>316</v>
      </c>
    </row>
    <row r="25410">
      <c r="A25410" s="17"/>
      <c r="H25410" s="18"/>
      <c r="K25410" s="18" t="s">
        <v>316</v>
      </c>
    </row>
    <row r="25411">
      <c r="A25411" s="17"/>
      <c r="H25411" s="18"/>
      <c r="K25411" s="18" t="s">
        <v>316</v>
      </c>
    </row>
    <row r="25412">
      <c r="A25412" s="17"/>
      <c r="H25412" s="18"/>
      <c r="K25412" s="18" t="s">
        <v>316</v>
      </c>
    </row>
    <row r="25413">
      <c r="A25413" s="17"/>
      <c r="H25413" s="18"/>
      <c r="K25413" s="18" t="s">
        <v>316</v>
      </c>
    </row>
    <row r="25414">
      <c r="A25414" s="17"/>
      <c r="H25414" s="18"/>
      <c r="K25414" s="18" t="s">
        <v>316</v>
      </c>
    </row>
    <row r="25415">
      <c r="A25415" s="17"/>
      <c r="H25415" s="18"/>
      <c r="K25415" s="18" t="s">
        <v>316</v>
      </c>
    </row>
    <row r="25416">
      <c r="A25416" s="17"/>
      <c r="H25416" s="18"/>
      <c r="K25416" s="18" t="s">
        <v>316</v>
      </c>
    </row>
    <row r="25417">
      <c r="A25417" s="17"/>
      <c r="H25417" s="18"/>
      <c r="K25417" s="18" t="s">
        <v>316</v>
      </c>
    </row>
    <row r="25418">
      <c r="A25418" s="17"/>
      <c r="H25418" s="18"/>
      <c r="K25418" s="18" t="s">
        <v>316</v>
      </c>
    </row>
    <row r="25419">
      <c r="A25419" s="17"/>
      <c r="H25419" s="18"/>
      <c r="K25419" s="18" t="s">
        <v>316</v>
      </c>
    </row>
    <row r="25420">
      <c r="A25420" s="17"/>
      <c r="H25420" s="18"/>
      <c r="K25420" s="18" t="s">
        <v>316</v>
      </c>
    </row>
    <row r="25421">
      <c r="A25421" s="17"/>
      <c r="H25421" s="18"/>
      <c r="K25421" s="18" t="s">
        <v>316</v>
      </c>
    </row>
    <row r="25422">
      <c r="A25422" s="17"/>
      <c r="H25422" s="18"/>
      <c r="K25422" s="18" t="s">
        <v>316</v>
      </c>
    </row>
    <row r="25423">
      <c r="A25423" s="17"/>
      <c r="H25423" s="18"/>
      <c r="K25423" s="18" t="s">
        <v>316</v>
      </c>
    </row>
    <row r="25424">
      <c r="A25424" s="17"/>
      <c r="H25424" s="18"/>
      <c r="K25424" s="18" t="s">
        <v>316</v>
      </c>
    </row>
    <row r="25425">
      <c r="A25425" s="17"/>
      <c r="H25425" s="18"/>
      <c r="K25425" s="18" t="s">
        <v>316</v>
      </c>
    </row>
    <row r="25426">
      <c r="A25426" s="17"/>
      <c r="H25426" s="18"/>
      <c r="K25426" s="18" t="s">
        <v>316</v>
      </c>
    </row>
    <row r="25427">
      <c r="A25427" s="17"/>
      <c r="H25427" s="18"/>
      <c r="K25427" s="18" t="s">
        <v>316</v>
      </c>
    </row>
    <row r="25428">
      <c r="A25428" s="17"/>
      <c r="H25428" s="18"/>
      <c r="K25428" s="18" t="s">
        <v>316</v>
      </c>
    </row>
    <row r="25429">
      <c r="A25429" s="17"/>
      <c r="H25429" s="18"/>
      <c r="K25429" s="18" t="s">
        <v>316</v>
      </c>
    </row>
    <row r="25430">
      <c r="A25430" s="17"/>
      <c r="H25430" s="18"/>
      <c r="K25430" s="18" t="s">
        <v>316</v>
      </c>
    </row>
    <row r="25431">
      <c r="A25431" s="17"/>
      <c r="H25431" s="18"/>
      <c r="K25431" s="18" t="s">
        <v>316</v>
      </c>
    </row>
    <row r="25432">
      <c r="A25432" s="17"/>
      <c r="H25432" s="18"/>
      <c r="K25432" s="18" t="s">
        <v>316</v>
      </c>
    </row>
    <row r="25433">
      <c r="A25433" s="17"/>
      <c r="H25433" s="18"/>
      <c r="K25433" s="18" t="s">
        <v>316</v>
      </c>
    </row>
    <row r="25434">
      <c r="A25434" s="17"/>
      <c r="H25434" s="18"/>
      <c r="K25434" s="18" t="s">
        <v>316</v>
      </c>
    </row>
    <row r="25435">
      <c r="A25435" s="17"/>
      <c r="H25435" s="18"/>
      <c r="K25435" s="18" t="s">
        <v>316</v>
      </c>
    </row>
    <row r="25436">
      <c r="A25436" s="17"/>
      <c r="H25436" s="18"/>
      <c r="K25436" s="18" t="s">
        <v>316</v>
      </c>
    </row>
    <row r="25437">
      <c r="A25437" s="17"/>
      <c r="H25437" s="18"/>
      <c r="K25437" s="18" t="s">
        <v>316</v>
      </c>
    </row>
    <row r="25438">
      <c r="A25438" s="17"/>
      <c r="H25438" s="18"/>
      <c r="K25438" s="18" t="s">
        <v>316</v>
      </c>
    </row>
    <row r="25439">
      <c r="A25439" s="17"/>
      <c r="H25439" s="18"/>
      <c r="K25439" s="18" t="s">
        <v>316</v>
      </c>
    </row>
    <row r="25440">
      <c r="A25440" s="17"/>
      <c r="H25440" s="18"/>
      <c r="K25440" s="18" t="s">
        <v>316</v>
      </c>
    </row>
    <row r="25441">
      <c r="A25441" s="17"/>
      <c r="H25441" s="18"/>
      <c r="K25441" s="18" t="s">
        <v>316</v>
      </c>
    </row>
    <row r="25442">
      <c r="A25442" s="17"/>
      <c r="H25442" s="18"/>
      <c r="K25442" s="18" t="s">
        <v>316</v>
      </c>
    </row>
    <row r="25443">
      <c r="A25443" s="17"/>
      <c r="H25443" s="18"/>
      <c r="K25443" s="18" t="s">
        <v>316</v>
      </c>
    </row>
    <row r="25444">
      <c r="A25444" s="17"/>
      <c r="H25444" s="18"/>
      <c r="K25444" s="18" t="s">
        <v>316</v>
      </c>
    </row>
    <row r="25445">
      <c r="A25445" s="17"/>
      <c r="H25445" s="18"/>
      <c r="K25445" s="18" t="s">
        <v>316</v>
      </c>
    </row>
    <row r="25446">
      <c r="A25446" s="17"/>
      <c r="H25446" s="18"/>
      <c r="K25446" s="18" t="s">
        <v>316</v>
      </c>
    </row>
    <row r="25447">
      <c r="A25447" s="17"/>
      <c r="H25447" s="18"/>
      <c r="K25447" s="18" t="s">
        <v>316</v>
      </c>
    </row>
    <row r="25448">
      <c r="A25448" s="17"/>
      <c r="H25448" s="18"/>
      <c r="K25448" s="18" t="s">
        <v>316</v>
      </c>
    </row>
    <row r="25449">
      <c r="A25449" s="17"/>
      <c r="H25449" s="18"/>
      <c r="K25449" s="18" t="s">
        <v>316</v>
      </c>
    </row>
    <row r="25450">
      <c r="A25450" s="17"/>
      <c r="H25450" s="18"/>
      <c r="K25450" s="18" t="s">
        <v>316</v>
      </c>
    </row>
    <row r="25451">
      <c r="A25451" s="17"/>
      <c r="H25451" s="18"/>
      <c r="K25451" s="18" t="s">
        <v>316</v>
      </c>
    </row>
    <row r="25452">
      <c r="A25452" s="17"/>
      <c r="H25452" s="18"/>
      <c r="K25452" s="18" t="s">
        <v>316</v>
      </c>
    </row>
    <row r="25453">
      <c r="A25453" s="17"/>
      <c r="H25453" s="18"/>
      <c r="K25453" s="18" t="s">
        <v>316</v>
      </c>
    </row>
    <row r="25454">
      <c r="A25454" s="17"/>
      <c r="H25454" s="18"/>
      <c r="K25454" s="18" t="s">
        <v>316</v>
      </c>
    </row>
    <row r="25455">
      <c r="A25455" s="17"/>
      <c r="H25455" s="18"/>
      <c r="K25455" s="18" t="s">
        <v>316</v>
      </c>
    </row>
    <row r="25456">
      <c r="A25456" s="17"/>
      <c r="H25456" s="18"/>
      <c r="K25456" s="18" t="s">
        <v>316</v>
      </c>
    </row>
    <row r="25457">
      <c r="A25457" s="17"/>
      <c r="H25457" s="18"/>
      <c r="K25457" s="18" t="s">
        <v>316</v>
      </c>
    </row>
    <row r="25458">
      <c r="A25458" s="17"/>
      <c r="H25458" s="18"/>
      <c r="K25458" s="18" t="s">
        <v>316</v>
      </c>
    </row>
    <row r="25459">
      <c r="A25459" s="17"/>
      <c r="H25459" s="18"/>
      <c r="K25459" s="18" t="s">
        <v>316</v>
      </c>
    </row>
    <row r="25460">
      <c r="A25460" s="17"/>
      <c r="H25460" s="18"/>
      <c r="K25460" s="18" t="s">
        <v>316</v>
      </c>
    </row>
    <row r="25461">
      <c r="A25461" s="17"/>
      <c r="H25461" s="18"/>
      <c r="K25461" s="18" t="s">
        <v>316</v>
      </c>
    </row>
    <row r="25462">
      <c r="A25462" s="17"/>
      <c r="H25462" s="18"/>
      <c r="K25462" s="18" t="s">
        <v>316</v>
      </c>
    </row>
    <row r="25463">
      <c r="A25463" s="17"/>
      <c r="H25463" s="18"/>
      <c r="K25463" s="18" t="s">
        <v>316</v>
      </c>
    </row>
    <row r="25464">
      <c r="A25464" s="17"/>
      <c r="H25464" s="18"/>
      <c r="K25464" s="18" t="s">
        <v>316</v>
      </c>
    </row>
    <row r="25465">
      <c r="A25465" s="17"/>
      <c r="H25465" s="18"/>
      <c r="K25465" s="18" t="s">
        <v>316</v>
      </c>
    </row>
    <row r="25466">
      <c r="A25466" s="17"/>
      <c r="H25466" s="18"/>
      <c r="K25466" s="18" t="s">
        <v>316</v>
      </c>
    </row>
    <row r="25467">
      <c r="A25467" s="17"/>
      <c r="H25467" s="18"/>
      <c r="K25467" s="18" t="s">
        <v>316</v>
      </c>
    </row>
    <row r="25468">
      <c r="A25468" s="17"/>
      <c r="H25468" s="18"/>
      <c r="K25468" s="18" t="s">
        <v>316</v>
      </c>
    </row>
    <row r="25469">
      <c r="A25469" s="17"/>
      <c r="H25469" s="18"/>
      <c r="K25469" s="18" t="s">
        <v>316</v>
      </c>
    </row>
    <row r="25470">
      <c r="A25470" s="17"/>
      <c r="H25470" s="18"/>
      <c r="K25470" s="18" t="s">
        <v>316</v>
      </c>
    </row>
    <row r="25471">
      <c r="A25471" s="17"/>
      <c r="H25471" s="18"/>
      <c r="K25471" s="18" t="s">
        <v>316</v>
      </c>
    </row>
    <row r="25472">
      <c r="A25472" s="17"/>
      <c r="H25472" s="18"/>
      <c r="K25472" s="18" t="s">
        <v>316</v>
      </c>
    </row>
    <row r="25473">
      <c r="A25473" s="17"/>
      <c r="H25473" s="18"/>
      <c r="K25473" s="18" t="s">
        <v>316</v>
      </c>
    </row>
    <row r="25474">
      <c r="A25474" s="17"/>
      <c r="H25474" s="18"/>
      <c r="K25474" s="18" t="s">
        <v>316</v>
      </c>
    </row>
    <row r="25475">
      <c r="A25475" s="17"/>
      <c r="H25475" s="18"/>
      <c r="K25475" s="18" t="s">
        <v>316</v>
      </c>
    </row>
    <row r="25476">
      <c r="A25476" s="17"/>
      <c r="H25476" s="18"/>
      <c r="K25476" s="18" t="s">
        <v>316</v>
      </c>
    </row>
    <row r="25477">
      <c r="A25477" s="17"/>
      <c r="H25477" s="18"/>
      <c r="K25477" s="18" t="s">
        <v>316</v>
      </c>
    </row>
    <row r="25478">
      <c r="A25478" s="17"/>
      <c r="H25478" s="18"/>
      <c r="K25478" s="18" t="s">
        <v>316</v>
      </c>
    </row>
    <row r="25479">
      <c r="A25479" s="17"/>
      <c r="H25479" s="18"/>
      <c r="K25479" s="18" t="s">
        <v>316</v>
      </c>
    </row>
    <row r="25480">
      <c r="A25480" s="17"/>
      <c r="H25480" s="18"/>
      <c r="K25480" s="18" t="s">
        <v>316</v>
      </c>
    </row>
    <row r="25481">
      <c r="A25481" s="17"/>
      <c r="H25481" s="18"/>
      <c r="K25481" s="18" t="s">
        <v>316</v>
      </c>
    </row>
    <row r="25482">
      <c r="A25482" s="17"/>
      <c r="H25482" s="18"/>
      <c r="K25482" s="18" t="s">
        <v>316</v>
      </c>
    </row>
    <row r="25483">
      <c r="A25483" s="17"/>
      <c r="H25483" s="18"/>
      <c r="K25483" s="18" t="s">
        <v>316</v>
      </c>
    </row>
    <row r="25484">
      <c r="A25484" s="17"/>
      <c r="H25484" s="18"/>
      <c r="K25484" s="18" t="s">
        <v>316</v>
      </c>
    </row>
    <row r="25485">
      <c r="A25485" s="17"/>
      <c r="H25485" s="18"/>
      <c r="K25485" s="18" t="s">
        <v>316</v>
      </c>
    </row>
    <row r="25486">
      <c r="A25486" s="17"/>
      <c r="H25486" s="18"/>
      <c r="K25486" s="18" t="s">
        <v>316</v>
      </c>
    </row>
    <row r="25487">
      <c r="A25487" s="17"/>
      <c r="H25487" s="18"/>
      <c r="K25487" s="18" t="s">
        <v>316</v>
      </c>
    </row>
    <row r="25488">
      <c r="A25488" s="17"/>
      <c r="H25488" s="18"/>
      <c r="K25488" s="18" t="s">
        <v>316</v>
      </c>
    </row>
    <row r="25489">
      <c r="A25489" s="17"/>
      <c r="H25489" s="18"/>
      <c r="K25489" s="18" t="s">
        <v>316</v>
      </c>
    </row>
    <row r="25490">
      <c r="A25490" s="17"/>
      <c r="H25490" s="18"/>
      <c r="K25490" s="18" t="s">
        <v>316</v>
      </c>
    </row>
    <row r="25491">
      <c r="A25491" s="17"/>
      <c r="H25491" s="18"/>
      <c r="K25491" s="18" t="s">
        <v>316</v>
      </c>
    </row>
    <row r="25492">
      <c r="A25492" s="17"/>
      <c r="H25492" s="18"/>
      <c r="K25492" s="18" t="s">
        <v>316</v>
      </c>
    </row>
    <row r="25493">
      <c r="A25493" s="17"/>
      <c r="H25493" s="18"/>
      <c r="K25493" s="18" t="s">
        <v>316</v>
      </c>
    </row>
    <row r="25494">
      <c r="A25494" s="17"/>
      <c r="H25494" s="18"/>
      <c r="K25494" s="18" t="s">
        <v>316</v>
      </c>
    </row>
    <row r="25495">
      <c r="A25495" s="17"/>
      <c r="H25495" s="18"/>
      <c r="K25495" s="18" t="s">
        <v>316</v>
      </c>
    </row>
    <row r="25496">
      <c r="A25496" s="17"/>
      <c r="H25496" s="18"/>
      <c r="K25496" s="18" t="s">
        <v>316</v>
      </c>
    </row>
    <row r="25497">
      <c r="A25497" s="17"/>
      <c r="H25497" s="18"/>
      <c r="K25497" s="18" t="s">
        <v>316</v>
      </c>
    </row>
    <row r="25498">
      <c r="A25498" s="17"/>
      <c r="H25498" s="18"/>
      <c r="K25498" s="18" t="s">
        <v>316</v>
      </c>
    </row>
    <row r="25499">
      <c r="A25499" s="17"/>
      <c r="H25499" s="18"/>
      <c r="K25499" s="18" t="s">
        <v>316</v>
      </c>
    </row>
    <row r="25500">
      <c r="A25500" s="17"/>
      <c r="H25500" s="18"/>
      <c r="K25500" s="18" t="s">
        <v>316</v>
      </c>
    </row>
    <row r="25501">
      <c r="A25501" s="17"/>
      <c r="H25501" s="18"/>
      <c r="K25501" s="18" t="s">
        <v>316</v>
      </c>
    </row>
    <row r="25502">
      <c r="A25502" s="17"/>
      <c r="H25502" s="18"/>
      <c r="K25502" s="18" t="s">
        <v>316</v>
      </c>
    </row>
    <row r="25503">
      <c r="A25503" s="17"/>
      <c r="H25503" s="18"/>
      <c r="K25503" s="18" t="s">
        <v>316</v>
      </c>
    </row>
    <row r="25504">
      <c r="A25504" s="17"/>
      <c r="H25504" s="18"/>
      <c r="K25504" s="18" t="s">
        <v>316</v>
      </c>
    </row>
    <row r="25505">
      <c r="A25505" s="17"/>
      <c r="H25505" s="18"/>
      <c r="K25505" s="18" t="s">
        <v>316</v>
      </c>
    </row>
    <row r="25506">
      <c r="A25506" s="17"/>
      <c r="H25506" s="18"/>
      <c r="K25506" s="18" t="s">
        <v>316</v>
      </c>
    </row>
    <row r="25507">
      <c r="A25507" s="17"/>
      <c r="H25507" s="18"/>
      <c r="K25507" s="18" t="s">
        <v>316</v>
      </c>
    </row>
    <row r="25508">
      <c r="A25508" s="17"/>
      <c r="H25508" s="18"/>
      <c r="K25508" s="18" t="s">
        <v>316</v>
      </c>
    </row>
    <row r="25509">
      <c r="A25509" s="17"/>
      <c r="H25509" s="18"/>
      <c r="K25509" s="18" t="s">
        <v>316</v>
      </c>
    </row>
    <row r="25510">
      <c r="A25510" s="17"/>
      <c r="H25510" s="18"/>
      <c r="K25510" s="18" t="s">
        <v>316</v>
      </c>
    </row>
    <row r="25511">
      <c r="A25511" s="17"/>
      <c r="H25511" s="18"/>
      <c r="K25511" s="18" t="s">
        <v>316</v>
      </c>
    </row>
    <row r="25512">
      <c r="A25512" s="17"/>
      <c r="H25512" s="18"/>
      <c r="K25512" s="18" t="s">
        <v>316</v>
      </c>
    </row>
    <row r="25513">
      <c r="A25513" s="17"/>
      <c r="H25513" s="18"/>
      <c r="K25513" s="18" t="s">
        <v>316</v>
      </c>
    </row>
    <row r="25514">
      <c r="A25514" s="17"/>
      <c r="H25514" s="18"/>
      <c r="K25514" s="18" t="s">
        <v>316</v>
      </c>
    </row>
    <row r="25515">
      <c r="A25515" s="17"/>
      <c r="H25515" s="18"/>
      <c r="K25515" s="18" t="s">
        <v>316</v>
      </c>
    </row>
    <row r="25516">
      <c r="A25516" s="17"/>
      <c r="H25516" s="18"/>
      <c r="K25516" s="18" t="s">
        <v>316</v>
      </c>
    </row>
    <row r="25517">
      <c r="A25517" s="17"/>
      <c r="H25517" s="18"/>
      <c r="K25517" s="18" t="s">
        <v>316</v>
      </c>
    </row>
    <row r="25518">
      <c r="A25518" s="17"/>
      <c r="H25518" s="18"/>
      <c r="K25518" s="18" t="s">
        <v>316</v>
      </c>
    </row>
    <row r="25519">
      <c r="A25519" s="17"/>
      <c r="H25519" s="18"/>
      <c r="K25519" s="18" t="s">
        <v>316</v>
      </c>
    </row>
    <row r="25520">
      <c r="A25520" s="17"/>
      <c r="H25520" s="18"/>
      <c r="K25520" s="18" t="s">
        <v>316</v>
      </c>
    </row>
    <row r="25521">
      <c r="A25521" s="17"/>
      <c r="H25521" s="18"/>
      <c r="K25521" s="18" t="s">
        <v>316</v>
      </c>
    </row>
    <row r="25522">
      <c r="A25522" s="17"/>
      <c r="H25522" s="18"/>
      <c r="K25522" s="18" t="s">
        <v>316</v>
      </c>
    </row>
    <row r="25523">
      <c r="A25523" s="17"/>
      <c r="H25523" s="18"/>
      <c r="K25523" s="18" t="s">
        <v>316</v>
      </c>
    </row>
    <row r="25524">
      <c r="A25524" s="17"/>
      <c r="H25524" s="18"/>
      <c r="K25524" s="18" t="s">
        <v>316</v>
      </c>
    </row>
    <row r="25525">
      <c r="A25525" s="17"/>
      <c r="H25525" s="18"/>
      <c r="K25525" s="18" t="s">
        <v>316</v>
      </c>
    </row>
    <row r="25526">
      <c r="A25526" s="17"/>
      <c r="H25526" s="18"/>
      <c r="K25526" s="18" t="s">
        <v>316</v>
      </c>
    </row>
    <row r="25527">
      <c r="A25527" s="17"/>
      <c r="H25527" s="18"/>
      <c r="K25527" s="18" t="s">
        <v>316</v>
      </c>
    </row>
    <row r="25528">
      <c r="A25528" s="17"/>
      <c r="H25528" s="18"/>
      <c r="K25528" s="18" t="s">
        <v>316</v>
      </c>
    </row>
    <row r="25529">
      <c r="A25529" s="17"/>
      <c r="H25529" s="18"/>
      <c r="K25529" s="18" t="s">
        <v>316</v>
      </c>
    </row>
    <row r="25530">
      <c r="A25530" s="17"/>
      <c r="H25530" s="18"/>
      <c r="K25530" s="18" t="s">
        <v>316</v>
      </c>
    </row>
    <row r="25531">
      <c r="A25531" s="17"/>
      <c r="H25531" s="18"/>
      <c r="K25531" s="18" t="s">
        <v>316</v>
      </c>
    </row>
    <row r="25532">
      <c r="A25532" s="17"/>
      <c r="H25532" s="18"/>
      <c r="K25532" s="18" t="s">
        <v>316</v>
      </c>
    </row>
    <row r="25533">
      <c r="A25533" s="17"/>
      <c r="H25533" s="18"/>
      <c r="K25533" s="18" t="s">
        <v>316</v>
      </c>
    </row>
    <row r="25534">
      <c r="A25534" s="17"/>
      <c r="H25534" s="18"/>
      <c r="K25534" s="18" t="s">
        <v>316</v>
      </c>
    </row>
    <row r="25535">
      <c r="A25535" s="17"/>
      <c r="H25535" s="18"/>
      <c r="K25535" s="18" t="s">
        <v>316</v>
      </c>
    </row>
    <row r="25536">
      <c r="A25536" s="17"/>
      <c r="H25536" s="18"/>
      <c r="K25536" s="18" t="s">
        <v>316</v>
      </c>
    </row>
    <row r="25537">
      <c r="A25537" s="17"/>
      <c r="H25537" s="18"/>
      <c r="K25537" s="18" t="s">
        <v>316</v>
      </c>
    </row>
    <row r="25538">
      <c r="A25538" s="17"/>
      <c r="H25538" s="18"/>
      <c r="K25538" s="18" t="s">
        <v>316</v>
      </c>
    </row>
    <row r="25539">
      <c r="A25539" s="17"/>
      <c r="H25539" s="18"/>
      <c r="K25539" s="18" t="s">
        <v>316</v>
      </c>
    </row>
    <row r="25540">
      <c r="A25540" s="17"/>
      <c r="H25540" s="18"/>
      <c r="K25540" s="18" t="s">
        <v>316</v>
      </c>
    </row>
    <row r="25541">
      <c r="A25541" s="17"/>
      <c r="H25541" s="18"/>
      <c r="K25541" s="18" t="s">
        <v>316</v>
      </c>
    </row>
    <row r="25542">
      <c r="A25542" s="17"/>
      <c r="H25542" s="18"/>
      <c r="K25542" s="18" t="s">
        <v>316</v>
      </c>
    </row>
    <row r="25543">
      <c r="A25543" s="17"/>
      <c r="H25543" s="18"/>
      <c r="K25543" s="18" t="s">
        <v>316</v>
      </c>
    </row>
    <row r="25544">
      <c r="A25544" s="17"/>
      <c r="H25544" s="18"/>
      <c r="K25544" s="18" t="s">
        <v>316</v>
      </c>
    </row>
    <row r="25545">
      <c r="A25545" s="17"/>
      <c r="H25545" s="18"/>
      <c r="K25545" s="18" t="s">
        <v>316</v>
      </c>
    </row>
    <row r="25546">
      <c r="A25546" s="17"/>
      <c r="H25546" s="18"/>
      <c r="K25546" s="18" t="s">
        <v>316</v>
      </c>
    </row>
    <row r="25547">
      <c r="A25547" s="17"/>
      <c r="H25547" s="18"/>
      <c r="K25547" s="18" t="s">
        <v>316</v>
      </c>
    </row>
    <row r="25548">
      <c r="A25548" s="17"/>
      <c r="H25548" s="18"/>
      <c r="K25548" s="18" t="s">
        <v>316</v>
      </c>
    </row>
    <row r="25549">
      <c r="A25549" s="17"/>
      <c r="H25549" s="18"/>
      <c r="K25549" s="18" t="s">
        <v>316</v>
      </c>
    </row>
    <row r="25550">
      <c r="A25550" s="17"/>
      <c r="H25550" s="18"/>
      <c r="K25550" s="18" t="s">
        <v>316</v>
      </c>
    </row>
    <row r="25551">
      <c r="A25551" s="17"/>
      <c r="H25551" s="18"/>
      <c r="K25551" s="18" t="s">
        <v>316</v>
      </c>
    </row>
    <row r="25552">
      <c r="A25552" s="17"/>
      <c r="H25552" s="18"/>
      <c r="K25552" s="18" t="s">
        <v>316</v>
      </c>
    </row>
    <row r="25553">
      <c r="A25553" s="17"/>
      <c r="H25553" s="18"/>
      <c r="K25553" s="18" t="s">
        <v>316</v>
      </c>
    </row>
    <row r="25554">
      <c r="A25554" s="17"/>
      <c r="H25554" s="18"/>
      <c r="K25554" s="18" t="s">
        <v>316</v>
      </c>
    </row>
    <row r="25555">
      <c r="A25555" s="17"/>
      <c r="H25555" s="18"/>
      <c r="K25555" s="18" t="s">
        <v>316</v>
      </c>
    </row>
    <row r="25556">
      <c r="A25556" s="17"/>
      <c r="H25556" s="18"/>
      <c r="K25556" s="18" t="s">
        <v>316</v>
      </c>
    </row>
    <row r="25557">
      <c r="A25557" s="17"/>
      <c r="H25557" s="18"/>
      <c r="K25557" s="18" t="s">
        <v>316</v>
      </c>
    </row>
    <row r="25558">
      <c r="A25558" s="17"/>
      <c r="H25558" s="18"/>
      <c r="K25558" s="18" t="s">
        <v>316</v>
      </c>
    </row>
    <row r="25559">
      <c r="A25559" s="17"/>
      <c r="H25559" s="18"/>
      <c r="K25559" s="18" t="s">
        <v>316</v>
      </c>
    </row>
    <row r="25560">
      <c r="A25560" s="17"/>
      <c r="H25560" s="18"/>
      <c r="K25560" s="18" t="s">
        <v>316</v>
      </c>
    </row>
    <row r="25561">
      <c r="A25561" s="17"/>
      <c r="H25561" s="18"/>
      <c r="K25561" s="18" t="s">
        <v>316</v>
      </c>
    </row>
    <row r="25562">
      <c r="A25562" s="17"/>
      <c r="H25562" s="18"/>
      <c r="K25562" s="18" t="s">
        <v>316</v>
      </c>
    </row>
    <row r="25563">
      <c r="A25563" s="17"/>
      <c r="H25563" s="18"/>
      <c r="K25563" s="18" t="s">
        <v>316</v>
      </c>
    </row>
    <row r="25564">
      <c r="A25564" s="17"/>
      <c r="H25564" s="18"/>
      <c r="K25564" s="18" t="s">
        <v>316</v>
      </c>
    </row>
    <row r="25565">
      <c r="A25565" s="17"/>
      <c r="H25565" s="18"/>
      <c r="K25565" s="18" t="s">
        <v>316</v>
      </c>
    </row>
    <row r="25566">
      <c r="A25566" s="17"/>
      <c r="H25566" s="18"/>
      <c r="K25566" s="18" t="s">
        <v>316</v>
      </c>
    </row>
    <row r="25567">
      <c r="A25567" s="17"/>
      <c r="H25567" s="18"/>
      <c r="K25567" s="18" t="s">
        <v>316</v>
      </c>
    </row>
    <row r="25568">
      <c r="A25568" s="17"/>
      <c r="H25568" s="18"/>
      <c r="K25568" s="18" t="s">
        <v>316</v>
      </c>
    </row>
    <row r="25569">
      <c r="A25569" s="17"/>
      <c r="H25569" s="18"/>
      <c r="K25569" s="18" t="s">
        <v>316</v>
      </c>
    </row>
    <row r="25570">
      <c r="A25570" s="17"/>
      <c r="H25570" s="18"/>
      <c r="K25570" s="18" t="s">
        <v>316</v>
      </c>
    </row>
    <row r="25571">
      <c r="A25571" s="17"/>
      <c r="H25571" s="18"/>
      <c r="K25571" s="18" t="s">
        <v>316</v>
      </c>
    </row>
    <row r="25572">
      <c r="A25572" s="17"/>
      <c r="H25572" s="18"/>
      <c r="K25572" s="18" t="s">
        <v>316</v>
      </c>
    </row>
    <row r="25573">
      <c r="A25573" s="17"/>
      <c r="H25573" s="18"/>
      <c r="K25573" s="18" t="s">
        <v>316</v>
      </c>
    </row>
    <row r="25574">
      <c r="A25574" s="17"/>
      <c r="H25574" s="18"/>
      <c r="K25574" s="18" t="s">
        <v>316</v>
      </c>
    </row>
    <row r="25575">
      <c r="A25575" s="17"/>
      <c r="H25575" s="18"/>
      <c r="K25575" s="18" t="s">
        <v>316</v>
      </c>
    </row>
    <row r="25576">
      <c r="A25576" s="17"/>
      <c r="H25576" s="18"/>
      <c r="K25576" s="18" t="s">
        <v>316</v>
      </c>
    </row>
    <row r="25577">
      <c r="A25577" s="17"/>
      <c r="H25577" s="18"/>
      <c r="K25577" s="18" t="s">
        <v>316</v>
      </c>
    </row>
    <row r="25578">
      <c r="A25578" s="17"/>
      <c r="H25578" s="18"/>
      <c r="K25578" s="18" t="s">
        <v>316</v>
      </c>
    </row>
    <row r="25579">
      <c r="A25579" s="17"/>
      <c r="H25579" s="18"/>
      <c r="K25579" s="18" t="s">
        <v>316</v>
      </c>
    </row>
    <row r="25580">
      <c r="A25580" s="17"/>
      <c r="H25580" s="18"/>
      <c r="K25580" s="18" t="s">
        <v>316</v>
      </c>
    </row>
    <row r="25581">
      <c r="A25581" s="17"/>
      <c r="H25581" s="18"/>
      <c r="K25581" s="18" t="s">
        <v>316</v>
      </c>
    </row>
    <row r="25582">
      <c r="A25582" s="17"/>
      <c r="H25582" s="18"/>
      <c r="K25582" s="18" t="s">
        <v>316</v>
      </c>
    </row>
    <row r="25583">
      <c r="A25583" s="17"/>
      <c r="H25583" s="18"/>
      <c r="K25583" s="18" t="s">
        <v>316</v>
      </c>
    </row>
    <row r="25584">
      <c r="A25584" s="17"/>
      <c r="H25584" s="18"/>
      <c r="K25584" s="18" t="s">
        <v>316</v>
      </c>
    </row>
    <row r="25585">
      <c r="A25585" s="17"/>
      <c r="H25585" s="18"/>
      <c r="K25585" s="18" t="s">
        <v>316</v>
      </c>
    </row>
    <row r="25586">
      <c r="A25586" s="17"/>
      <c r="H25586" s="18"/>
      <c r="K25586" s="18" t="s">
        <v>316</v>
      </c>
    </row>
    <row r="25587">
      <c r="A25587" s="17"/>
      <c r="H25587" s="18"/>
      <c r="K25587" s="18" t="s">
        <v>316</v>
      </c>
    </row>
    <row r="25588">
      <c r="A25588" s="17"/>
      <c r="H25588" s="18"/>
      <c r="K25588" s="18" t="s">
        <v>316</v>
      </c>
    </row>
    <row r="25589">
      <c r="A25589" s="17"/>
      <c r="H25589" s="18"/>
      <c r="K25589" s="18" t="s">
        <v>316</v>
      </c>
    </row>
    <row r="25590">
      <c r="A25590" s="17"/>
      <c r="H25590" s="18"/>
      <c r="K25590" s="18" t="s">
        <v>316</v>
      </c>
    </row>
    <row r="25591">
      <c r="A25591" s="17"/>
      <c r="H25591" s="18"/>
      <c r="K25591" s="18" t="s">
        <v>316</v>
      </c>
    </row>
    <row r="25592">
      <c r="A25592" s="17"/>
      <c r="H25592" s="18"/>
      <c r="K25592" s="18" t="s">
        <v>316</v>
      </c>
    </row>
    <row r="25593">
      <c r="A25593" s="17"/>
      <c r="H25593" s="18"/>
      <c r="K25593" s="18" t="s">
        <v>316</v>
      </c>
    </row>
    <row r="25594">
      <c r="A25594" s="17"/>
      <c r="H25594" s="18"/>
      <c r="K25594" s="18" t="s">
        <v>316</v>
      </c>
    </row>
    <row r="25595">
      <c r="A25595" s="17"/>
      <c r="H25595" s="18"/>
      <c r="K25595" s="18" t="s">
        <v>316</v>
      </c>
    </row>
    <row r="25596">
      <c r="A25596" s="17"/>
      <c r="H25596" s="18"/>
      <c r="K25596" s="18" t="s">
        <v>316</v>
      </c>
    </row>
    <row r="25597">
      <c r="A25597" s="17"/>
      <c r="H25597" s="18"/>
      <c r="K25597" s="18" t="s">
        <v>316</v>
      </c>
    </row>
    <row r="25598">
      <c r="A25598" s="17"/>
      <c r="H25598" s="18"/>
      <c r="K25598" s="18" t="s">
        <v>316</v>
      </c>
    </row>
    <row r="25599">
      <c r="A25599" s="17"/>
      <c r="H25599" s="18"/>
      <c r="K25599" s="18" t="s">
        <v>316</v>
      </c>
    </row>
    <row r="25600">
      <c r="A25600" s="17"/>
      <c r="H25600" s="18"/>
      <c r="K25600" s="18" t="s">
        <v>316</v>
      </c>
    </row>
    <row r="25601">
      <c r="A25601" s="17"/>
      <c r="H25601" s="18"/>
      <c r="K25601" s="18" t="s">
        <v>316</v>
      </c>
    </row>
    <row r="25602">
      <c r="A25602" s="17"/>
      <c r="H25602" s="18"/>
      <c r="K25602" s="18" t="s">
        <v>316</v>
      </c>
    </row>
    <row r="25603">
      <c r="A25603" s="17"/>
      <c r="H25603" s="18"/>
      <c r="K25603" s="18" t="s">
        <v>316</v>
      </c>
    </row>
    <row r="25604">
      <c r="A25604" s="17"/>
      <c r="H25604" s="18"/>
      <c r="K25604" s="18" t="s">
        <v>316</v>
      </c>
    </row>
    <row r="25605">
      <c r="A25605" s="17"/>
      <c r="H25605" s="18"/>
      <c r="K25605" s="18" t="s">
        <v>316</v>
      </c>
    </row>
    <row r="25606">
      <c r="A25606" s="17"/>
      <c r="H25606" s="18"/>
      <c r="K25606" s="18" t="s">
        <v>316</v>
      </c>
    </row>
    <row r="25607">
      <c r="A25607" s="17"/>
      <c r="H25607" s="18"/>
      <c r="K25607" s="18" t="s">
        <v>316</v>
      </c>
    </row>
    <row r="25608">
      <c r="A25608" s="17"/>
      <c r="H25608" s="18"/>
      <c r="K25608" s="18" t="s">
        <v>316</v>
      </c>
    </row>
    <row r="25609">
      <c r="A25609" s="17"/>
      <c r="H25609" s="18"/>
      <c r="K25609" s="18" t="s">
        <v>316</v>
      </c>
    </row>
    <row r="25610">
      <c r="A25610" s="17"/>
      <c r="H25610" s="18"/>
      <c r="K25610" s="18" t="s">
        <v>316</v>
      </c>
    </row>
    <row r="25611">
      <c r="A25611" s="17"/>
      <c r="H25611" s="18"/>
      <c r="K25611" s="18" t="s">
        <v>316</v>
      </c>
    </row>
    <row r="25612">
      <c r="A25612" s="17"/>
      <c r="H25612" s="18"/>
      <c r="K25612" s="18" t="s">
        <v>316</v>
      </c>
    </row>
    <row r="25613">
      <c r="A25613" s="17"/>
      <c r="H25613" s="18"/>
      <c r="K25613" s="18" t="s">
        <v>316</v>
      </c>
    </row>
    <row r="25614">
      <c r="A25614" s="17"/>
      <c r="H25614" s="18"/>
      <c r="K25614" s="18" t="s">
        <v>316</v>
      </c>
    </row>
    <row r="25615">
      <c r="A25615" s="17"/>
      <c r="H25615" s="18"/>
      <c r="K25615" s="18" t="s">
        <v>316</v>
      </c>
    </row>
    <row r="25616">
      <c r="A25616" s="17"/>
      <c r="H25616" s="18"/>
      <c r="K25616" s="18" t="s">
        <v>316</v>
      </c>
    </row>
    <row r="25617">
      <c r="A25617" s="17"/>
      <c r="H25617" s="18"/>
      <c r="K25617" s="18" t="s">
        <v>316</v>
      </c>
    </row>
    <row r="25618">
      <c r="A25618" s="17"/>
      <c r="H25618" s="18"/>
      <c r="K25618" s="18" t="s">
        <v>316</v>
      </c>
    </row>
    <row r="25619">
      <c r="A25619" s="17"/>
      <c r="H25619" s="18"/>
      <c r="K25619" s="18" t="s">
        <v>316</v>
      </c>
    </row>
    <row r="25620">
      <c r="A25620" s="17"/>
      <c r="H25620" s="18"/>
      <c r="K25620" s="18" t="s">
        <v>316</v>
      </c>
    </row>
    <row r="25621">
      <c r="A25621" s="17"/>
      <c r="H25621" s="18"/>
      <c r="K25621" s="18" t="s">
        <v>316</v>
      </c>
    </row>
    <row r="25622">
      <c r="A25622" s="17"/>
      <c r="H25622" s="18"/>
      <c r="K25622" s="18" t="s">
        <v>316</v>
      </c>
    </row>
    <row r="25623">
      <c r="A25623" s="17"/>
      <c r="H25623" s="18"/>
      <c r="K25623" s="18" t="s">
        <v>316</v>
      </c>
    </row>
    <row r="25624">
      <c r="A25624" s="17"/>
      <c r="H25624" s="18"/>
      <c r="K25624" s="18" t="s">
        <v>316</v>
      </c>
    </row>
    <row r="25625">
      <c r="A25625" s="17"/>
      <c r="H25625" s="18"/>
      <c r="K25625" s="18" t="s">
        <v>316</v>
      </c>
    </row>
    <row r="25626">
      <c r="A25626" s="17"/>
      <c r="H25626" s="18"/>
      <c r="K25626" s="18" t="s">
        <v>316</v>
      </c>
    </row>
    <row r="25627">
      <c r="A25627" s="17"/>
      <c r="H25627" s="18"/>
      <c r="K25627" s="18" t="s">
        <v>316</v>
      </c>
    </row>
    <row r="25628">
      <c r="A25628" s="17"/>
      <c r="H25628" s="18"/>
      <c r="K25628" s="18" t="s">
        <v>316</v>
      </c>
    </row>
    <row r="25629">
      <c r="A25629" s="17"/>
      <c r="H25629" s="18"/>
      <c r="K25629" s="18" t="s">
        <v>316</v>
      </c>
    </row>
    <row r="25630">
      <c r="A25630" s="17"/>
      <c r="H25630" s="18"/>
      <c r="K25630" s="18" t="s">
        <v>316</v>
      </c>
    </row>
    <row r="25631">
      <c r="A25631" s="17"/>
      <c r="H25631" s="18"/>
      <c r="K25631" s="18" t="s">
        <v>316</v>
      </c>
    </row>
    <row r="25632">
      <c r="A25632" s="17"/>
      <c r="H25632" s="18"/>
      <c r="K25632" s="18" t="s">
        <v>316</v>
      </c>
    </row>
    <row r="25633">
      <c r="A25633" s="17"/>
      <c r="H25633" s="18"/>
      <c r="K25633" s="18" t="s">
        <v>316</v>
      </c>
    </row>
    <row r="25634">
      <c r="A25634" s="17"/>
      <c r="H25634" s="18"/>
      <c r="K25634" s="18" t="s">
        <v>316</v>
      </c>
    </row>
    <row r="25635">
      <c r="A25635" s="17"/>
      <c r="H25635" s="18"/>
      <c r="K25635" s="18" t="s">
        <v>316</v>
      </c>
    </row>
    <row r="25636">
      <c r="A25636" s="17"/>
      <c r="H25636" s="18"/>
      <c r="K25636" s="18" t="s">
        <v>316</v>
      </c>
    </row>
    <row r="25637">
      <c r="A25637" s="17"/>
      <c r="H25637" s="18"/>
      <c r="K25637" s="18" t="s">
        <v>316</v>
      </c>
    </row>
    <row r="25638">
      <c r="A25638" s="17"/>
      <c r="H25638" s="18"/>
      <c r="K25638" s="18" t="s">
        <v>316</v>
      </c>
    </row>
    <row r="25639">
      <c r="A25639" s="17"/>
      <c r="H25639" s="18"/>
      <c r="K25639" s="18" t="s">
        <v>316</v>
      </c>
    </row>
    <row r="25640">
      <c r="A25640" s="17"/>
      <c r="H25640" s="18"/>
      <c r="K25640" s="18" t="s">
        <v>316</v>
      </c>
    </row>
    <row r="25641">
      <c r="A25641" s="17"/>
      <c r="H25641" s="18"/>
      <c r="K25641" s="18" t="s">
        <v>316</v>
      </c>
    </row>
    <row r="25642">
      <c r="A25642" s="17"/>
      <c r="H25642" s="18"/>
      <c r="K25642" s="18" t="s">
        <v>316</v>
      </c>
    </row>
    <row r="25643">
      <c r="A25643" s="17"/>
      <c r="H25643" s="18"/>
      <c r="K25643" s="18" t="s">
        <v>316</v>
      </c>
    </row>
    <row r="25644">
      <c r="A25644" s="17"/>
      <c r="H25644" s="18"/>
      <c r="K25644" s="18" t="s">
        <v>316</v>
      </c>
    </row>
    <row r="25645">
      <c r="A25645" s="17"/>
      <c r="H25645" s="18"/>
      <c r="K25645" s="18" t="s">
        <v>316</v>
      </c>
    </row>
    <row r="25646">
      <c r="A25646" s="17"/>
      <c r="H25646" s="18"/>
      <c r="K25646" s="18" t="s">
        <v>316</v>
      </c>
    </row>
    <row r="25647">
      <c r="A25647" s="17"/>
      <c r="H25647" s="18"/>
      <c r="K25647" s="18" t="s">
        <v>316</v>
      </c>
    </row>
    <row r="25648">
      <c r="A25648" s="17"/>
      <c r="H25648" s="18"/>
      <c r="K25648" s="18" t="s">
        <v>316</v>
      </c>
    </row>
    <row r="25649">
      <c r="A25649" s="17"/>
      <c r="H25649" s="18"/>
      <c r="K25649" s="18" t="s">
        <v>316</v>
      </c>
    </row>
    <row r="25650">
      <c r="A25650" s="17"/>
      <c r="H25650" s="18"/>
      <c r="K25650" s="18" t="s">
        <v>316</v>
      </c>
    </row>
    <row r="25651">
      <c r="A25651" s="17"/>
      <c r="H25651" s="18"/>
      <c r="K25651" s="18" t="s">
        <v>316</v>
      </c>
    </row>
    <row r="25652">
      <c r="A25652" s="17"/>
      <c r="H25652" s="18"/>
      <c r="K25652" s="18" t="s">
        <v>316</v>
      </c>
    </row>
    <row r="25653">
      <c r="A25653" s="17"/>
      <c r="H25653" s="18"/>
      <c r="K25653" s="18" t="s">
        <v>316</v>
      </c>
    </row>
    <row r="25654">
      <c r="A25654" s="17"/>
      <c r="H25654" s="18"/>
      <c r="K25654" s="18" t="s">
        <v>316</v>
      </c>
    </row>
    <row r="25655">
      <c r="A25655" s="17"/>
      <c r="H25655" s="18"/>
      <c r="K25655" s="18" t="s">
        <v>316</v>
      </c>
    </row>
    <row r="25656">
      <c r="A25656" s="17"/>
      <c r="H25656" s="18"/>
      <c r="K25656" s="18" t="s">
        <v>316</v>
      </c>
    </row>
    <row r="25657">
      <c r="A25657" s="17"/>
      <c r="H25657" s="18"/>
      <c r="K25657" s="18" t="s">
        <v>316</v>
      </c>
    </row>
    <row r="25658">
      <c r="A25658" s="17"/>
      <c r="H25658" s="18"/>
      <c r="K25658" s="18" t="s">
        <v>316</v>
      </c>
    </row>
    <row r="25659">
      <c r="A25659" s="17"/>
      <c r="H25659" s="18"/>
      <c r="K25659" s="18" t="s">
        <v>316</v>
      </c>
    </row>
    <row r="25660">
      <c r="A25660" s="17"/>
      <c r="H25660" s="18"/>
      <c r="K25660" s="18" t="s">
        <v>316</v>
      </c>
    </row>
    <row r="25661">
      <c r="A25661" s="17"/>
      <c r="H25661" s="18"/>
      <c r="K25661" s="18" t="s">
        <v>316</v>
      </c>
    </row>
    <row r="25662">
      <c r="A25662" s="17"/>
      <c r="H25662" s="18"/>
      <c r="K25662" s="18" t="s">
        <v>316</v>
      </c>
    </row>
    <row r="25663">
      <c r="A25663" s="17"/>
      <c r="H25663" s="18"/>
      <c r="K25663" s="18" t="s">
        <v>316</v>
      </c>
    </row>
    <row r="25664">
      <c r="A25664" s="17"/>
      <c r="H25664" s="18"/>
      <c r="K25664" s="18" t="s">
        <v>316</v>
      </c>
    </row>
    <row r="25665">
      <c r="A25665" s="17"/>
      <c r="H25665" s="18"/>
      <c r="K25665" s="18" t="s">
        <v>316</v>
      </c>
    </row>
    <row r="25666">
      <c r="A25666" s="17"/>
      <c r="H25666" s="18"/>
      <c r="K25666" s="18" t="s">
        <v>316</v>
      </c>
    </row>
    <row r="25667">
      <c r="A25667" s="17"/>
      <c r="H25667" s="18"/>
      <c r="K25667" s="18" t="s">
        <v>316</v>
      </c>
    </row>
    <row r="25668">
      <c r="A25668" s="17"/>
      <c r="H25668" s="18"/>
      <c r="K25668" s="18" t="s">
        <v>316</v>
      </c>
    </row>
    <row r="25669">
      <c r="A25669" s="17"/>
      <c r="H25669" s="18"/>
      <c r="K25669" s="18" t="s">
        <v>316</v>
      </c>
    </row>
    <row r="25670">
      <c r="A25670" s="17"/>
      <c r="H25670" s="18"/>
      <c r="K25670" s="18" t="s">
        <v>316</v>
      </c>
    </row>
    <row r="25671">
      <c r="A25671" s="17"/>
      <c r="H25671" s="18"/>
      <c r="K25671" s="18" t="s">
        <v>316</v>
      </c>
    </row>
    <row r="25672">
      <c r="A25672" s="17"/>
      <c r="H25672" s="18"/>
      <c r="K25672" s="18" t="s">
        <v>316</v>
      </c>
    </row>
    <row r="25673">
      <c r="A25673" s="17"/>
      <c r="H25673" s="18"/>
      <c r="K25673" s="18" t="s">
        <v>316</v>
      </c>
    </row>
    <row r="25674">
      <c r="A25674" s="17"/>
      <c r="H25674" s="18"/>
      <c r="K25674" s="18" t="s">
        <v>316</v>
      </c>
    </row>
    <row r="25675">
      <c r="A25675" s="17"/>
      <c r="H25675" s="18"/>
      <c r="K25675" s="18" t="s">
        <v>316</v>
      </c>
    </row>
    <row r="25676">
      <c r="A25676" s="17"/>
      <c r="H25676" s="18"/>
      <c r="K25676" s="18" t="s">
        <v>316</v>
      </c>
    </row>
    <row r="25677">
      <c r="A25677" s="17"/>
      <c r="H25677" s="18"/>
      <c r="K25677" s="18" t="s">
        <v>316</v>
      </c>
    </row>
    <row r="25678">
      <c r="A25678" s="17"/>
      <c r="H25678" s="18"/>
      <c r="K25678" s="18" t="s">
        <v>316</v>
      </c>
    </row>
    <row r="25679">
      <c r="A25679" s="17"/>
      <c r="H25679" s="18"/>
      <c r="K25679" s="18" t="s">
        <v>316</v>
      </c>
    </row>
    <row r="25680">
      <c r="A25680" s="17"/>
      <c r="H25680" s="18"/>
      <c r="K25680" s="18" t="s">
        <v>316</v>
      </c>
    </row>
    <row r="25681">
      <c r="A25681" s="17"/>
      <c r="H25681" s="18"/>
      <c r="K25681" s="18" t="s">
        <v>316</v>
      </c>
    </row>
    <row r="25682">
      <c r="A25682" s="17"/>
      <c r="H25682" s="18"/>
      <c r="K25682" s="18" t="s">
        <v>316</v>
      </c>
    </row>
    <row r="25683">
      <c r="A25683" s="17"/>
      <c r="H25683" s="18"/>
      <c r="K25683" s="18" t="s">
        <v>316</v>
      </c>
    </row>
    <row r="25684">
      <c r="A25684" s="17"/>
      <c r="H25684" s="18"/>
      <c r="K25684" s="18" t="s">
        <v>316</v>
      </c>
    </row>
    <row r="25685">
      <c r="A25685" s="17"/>
      <c r="H25685" s="18"/>
      <c r="K25685" s="18" t="s">
        <v>316</v>
      </c>
    </row>
    <row r="25686">
      <c r="A25686" s="17"/>
      <c r="H25686" s="18"/>
      <c r="K25686" s="18" t="s">
        <v>316</v>
      </c>
    </row>
    <row r="25687">
      <c r="A25687" s="17"/>
      <c r="H25687" s="18"/>
      <c r="K25687" s="18" t="s">
        <v>316</v>
      </c>
    </row>
    <row r="25688">
      <c r="A25688" s="17"/>
      <c r="H25688" s="18"/>
      <c r="K25688" s="18" t="s">
        <v>316</v>
      </c>
    </row>
    <row r="25689">
      <c r="A25689" s="17"/>
      <c r="H25689" s="18"/>
      <c r="K25689" s="18" t="s">
        <v>316</v>
      </c>
    </row>
    <row r="25690">
      <c r="A25690" s="17"/>
      <c r="H25690" s="18"/>
      <c r="K25690" s="18" t="s">
        <v>316</v>
      </c>
    </row>
    <row r="25691">
      <c r="A25691" s="17"/>
      <c r="H25691" s="18"/>
      <c r="K25691" s="18" t="s">
        <v>316</v>
      </c>
    </row>
    <row r="25692">
      <c r="A25692" s="17"/>
      <c r="H25692" s="18"/>
      <c r="K25692" s="18" t="s">
        <v>316</v>
      </c>
    </row>
    <row r="25693">
      <c r="A25693" s="17"/>
      <c r="H25693" s="18"/>
      <c r="K25693" s="18" t="s">
        <v>316</v>
      </c>
    </row>
    <row r="25694">
      <c r="A25694" s="17"/>
      <c r="H25694" s="18"/>
      <c r="K25694" s="18" t="s">
        <v>316</v>
      </c>
    </row>
    <row r="25695">
      <c r="A25695" s="17"/>
      <c r="H25695" s="18"/>
      <c r="K25695" s="18" t="s">
        <v>316</v>
      </c>
    </row>
    <row r="25696">
      <c r="A25696" s="17"/>
      <c r="H25696" s="18"/>
      <c r="K25696" s="18" t="s">
        <v>316</v>
      </c>
    </row>
    <row r="25697">
      <c r="A25697" s="17"/>
      <c r="H25697" s="18"/>
      <c r="K25697" s="18" t="s">
        <v>316</v>
      </c>
    </row>
    <row r="25698">
      <c r="A25698" s="17"/>
      <c r="H25698" s="18"/>
      <c r="K25698" s="18" t="s">
        <v>316</v>
      </c>
    </row>
    <row r="25699">
      <c r="A25699" s="17"/>
      <c r="H25699" s="18"/>
      <c r="K25699" s="18" t="s">
        <v>316</v>
      </c>
    </row>
    <row r="25700">
      <c r="A25700" s="17"/>
      <c r="H25700" s="18"/>
      <c r="K25700" s="18" t="s">
        <v>316</v>
      </c>
    </row>
    <row r="25701">
      <c r="A25701" s="17"/>
      <c r="H25701" s="18"/>
      <c r="K25701" s="18" t="s">
        <v>316</v>
      </c>
    </row>
    <row r="25702">
      <c r="A25702" s="17"/>
      <c r="H25702" s="18"/>
      <c r="K25702" s="18" t="s">
        <v>316</v>
      </c>
    </row>
    <row r="25703">
      <c r="A25703" s="17"/>
      <c r="H25703" s="18"/>
      <c r="K25703" s="18" t="s">
        <v>316</v>
      </c>
    </row>
    <row r="25704">
      <c r="A25704" s="17"/>
      <c r="H25704" s="18"/>
      <c r="K25704" s="18" t="s">
        <v>316</v>
      </c>
    </row>
    <row r="25705">
      <c r="A25705" s="17"/>
      <c r="H25705" s="18"/>
      <c r="K25705" s="18" t="s">
        <v>316</v>
      </c>
    </row>
    <row r="25706">
      <c r="A25706" s="17"/>
      <c r="H25706" s="18"/>
      <c r="K25706" s="18" t="s">
        <v>316</v>
      </c>
    </row>
    <row r="25707">
      <c r="A25707" s="17"/>
      <c r="H25707" s="18"/>
      <c r="K25707" s="18" t="s">
        <v>316</v>
      </c>
    </row>
    <row r="25708">
      <c r="A25708" s="17"/>
      <c r="H25708" s="18"/>
      <c r="K25708" s="18" t="s">
        <v>316</v>
      </c>
    </row>
    <row r="25709">
      <c r="A25709" s="17"/>
      <c r="H25709" s="18"/>
      <c r="K25709" s="18" t="s">
        <v>316</v>
      </c>
    </row>
    <row r="25710">
      <c r="A25710" s="17"/>
      <c r="H25710" s="18"/>
      <c r="K25710" s="18" t="s">
        <v>316</v>
      </c>
    </row>
    <row r="25711">
      <c r="A25711" s="17"/>
      <c r="H25711" s="18"/>
      <c r="K25711" s="18" t="s">
        <v>316</v>
      </c>
    </row>
    <row r="25712">
      <c r="A25712" s="17"/>
      <c r="H25712" s="18"/>
      <c r="K25712" s="18" t="s">
        <v>316</v>
      </c>
    </row>
    <row r="25713">
      <c r="A25713" s="17"/>
      <c r="H25713" s="18"/>
      <c r="K25713" s="18" t="s">
        <v>316</v>
      </c>
    </row>
    <row r="25714">
      <c r="A25714" s="17"/>
      <c r="H25714" s="18"/>
      <c r="K25714" s="18" t="s">
        <v>316</v>
      </c>
    </row>
    <row r="25715">
      <c r="A25715" s="17"/>
      <c r="H25715" s="18"/>
      <c r="K25715" s="18" t="s">
        <v>316</v>
      </c>
    </row>
    <row r="25716">
      <c r="A25716" s="17"/>
      <c r="H25716" s="18"/>
      <c r="K25716" s="18" t="s">
        <v>316</v>
      </c>
    </row>
    <row r="25717">
      <c r="A25717" s="17"/>
      <c r="H25717" s="18"/>
      <c r="K25717" s="18" t="s">
        <v>316</v>
      </c>
    </row>
    <row r="25718">
      <c r="A25718" s="17"/>
      <c r="H25718" s="18"/>
      <c r="K25718" s="18" t="s">
        <v>316</v>
      </c>
    </row>
    <row r="25719">
      <c r="A25719" s="17"/>
      <c r="H25719" s="18"/>
      <c r="K25719" s="18" t="s">
        <v>316</v>
      </c>
    </row>
    <row r="25720">
      <c r="A25720" s="17"/>
      <c r="H25720" s="18"/>
      <c r="K25720" s="18" t="s">
        <v>316</v>
      </c>
    </row>
    <row r="25721">
      <c r="A25721" s="17"/>
      <c r="H25721" s="18"/>
      <c r="K25721" s="18" t="s">
        <v>316</v>
      </c>
    </row>
    <row r="25722">
      <c r="A25722" s="17"/>
      <c r="H25722" s="18"/>
      <c r="K25722" s="18" t="s">
        <v>316</v>
      </c>
    </row>
    <row r="25723">
      <c r="A25723" s="17"/>
      <c r="H25723" s="18"/>
      <c r="K25723" s="18" t="s">
        <v>316</v>
      </c>
    </row>
    <row r="25724">
      <c r="A25724" s="17"/>
      <c r="H25724" s="18"/>
      <c r="K25724" s="18" t="s">
        <v>316</v>
      </c>
    </row>
    <row r="25725">
      <c r="A25725" s="17"/>
      <c r="H25725" s="18"/>
      <c r="K25725" s="18" t="s">
        <v>316</v>
      </c>
    </row>
    <row r="25726">
      <c r="A25726" s="17"/>
      <c r="H25726" s="18"/>
      <c r="K25726" s="18" t="s">
        <v>316</v>
      </c>
    </row>
    <row r="25727">
      <c r="A25727" s="17"/>
      <c r="H25727" s="18"/>
      <c r="K25727" s="18" t="s">
        <v>316</v>
      </c>
    </row>
    <row r="25728">
      <c r="A25728" s="17"/>
      <c r="H25728" s="18"/>
      <c r="K25728" s="18" t="s">
        <v>316</v>
      </c>
    </row>
    <row r="25729">
      <c r="A25729" s="17"/>
      <c r="H25729" s="18"/>
      <c r="K25729" s="18" t="s">
        <v>316</v>
      </c>
    </row>
    <row r="25730">
      <c r="A25730" s="17"/>
      <c r="H25730" s="18"/>
      <c r="K25730" s="18" t="s">
        <v>316</v>
      </c>
    </row>
    <row r="25731">
      <c r="A25731" s="17"/>
      <c r="H25731" s="18"/>
      <c r="K25731" s="18" t="s">
        <v>316</v>
      </c>
    </row>
    <row r="25732">
      <c r="A25732" s="17"/>
      <c r="H25732" s="18"/>
      <c r="K25732" s="18" t="s">
        <v>316</v>
      </c>
    </row>
    <row r="25733">
      <c r="A25733" s="17"/>
      <c r="H25733" s="18"/>
      <c r="K25733" s="18" t="s">
        <v>316</v>
      </c>
    </row>
    <row r="25734">
      <c r="A25734" s="17"/>
      <c r="H25734" s="18"/>
      <c r="K25734" s="18" t="s">
        <v>316</v>
      </c>
    </row>
    <row r="25735">
      <c r="A25735" s="17"/>
      <c r="H25735" s="18"/>
      <c r="K25735" s="18" t="s">
        <v>316</v>
      </c>
    </row>
    <row r="25736">
      <c r="A25736" s="17"/>
      <c r="H25736" s="18"/>
      <c r="K25736" s="18" t="s">
        <v>316</v>
      </c>
    </row>
    <row r="25737">
      <c r="A25737" s="17"/>
      <c r="H25737" s="18"/>
      <c r="K25737" s="18" t="s">
        <v>316</v>
      </c>
    </row>
    <row r="25738">
      <c r="A25738" s="17"/>
      <c r="H25738" s="18"/>
      <c r="K25738" s="18" t="s">
        <v>316</v>
      </c>
    </row>
    <row r="25739">
      <c r="A25739" s="17"/>
      <c r="H25739" s="18"/>
      <c r="K25739" s="18" t="s">
        <v>316</v>
      </c>
    </row>
    <row r="25740">
      <c r="A25740" s="17"/>
      <c r="H25740" s="18"/>
      <c r="K25740" s="18" t="s">
        <v>316</v>
      </c>
    </row>
    <row r="25741">
      <c r="A25741" s="17"/>
      <c r="H25741" s="18"/>
      <c r="K25741" s="18" t="s">
        <v>316</v>
      </c>
    </row>
    <row r="25742">
      <c r="A25742" s="17"/>
      <c r="H25742" s="18"/>
      <c r="K25742" s="18" t="s">
        <v>316</v>
      </c>
    </row>
    <row r="25743">
      <c r="A25743" s="17"/>
      <c r="H25743" s="18"/>
      <c r="K25743" s="18" t="s">
        <v>316</v>
      </c>
    </row>
    <row r="25744">
      <c r="A25744" s="17"/>
      <c r="H25744" s="18"/>
      <c r="K25744" s="18" t="s">
        <v>316</v>
      </c>
    </row>
    <row r="25745">
      <c r="A25745" s="17"/>
      <c r="H25745" s="18"/>
      <c r="K25745" s="18" t="s">
        <v>316</v>
      </c>
    </row>
    <row r="25746">
      <c r="A25746" s="17"/>
      <c r="H25746" s="18"/>
      <c r="K25746" s="18" t="s">
        <v>316</v>
      </c>
    </row>
    <row r="25747">
      <c r="A25747" s="17"/>
      <c r="H25747" s="18"/>
      <c r="K25747" s="18" t="s">
        <v>316</v>
      </c>
    </row>
    <row r="25748">
      <c r="A25748" s="17"/>
      <c r="H25748" s="18"/>
      <c r="K25748" s="18" t="s">
        <v>316</v>
      </c>
    </row>
    <row r="25749">
      <c r="A25749" s="17"/>
      <c r="H25749" s="18"/>
      <c r="K25749" s="18" t="s">
        <v>316</v>
      </c>
    </row>
    <row r="25750">
      <c r="A25750" s="17"/>
      <c r="H25750" s="18"/>
      <c r="K25750" s="18" t="s">
        <v>316</v>
      </c>
    </row>
    <row r="25751">
      <c r="A25751" s="17"/>
      <c r="H25751" s="18"/>
      <c r="K25751" s="18" t="s">
        <v>316</v>
      </c>
    </row>
    <row r="25752">
      <c r="A25752" s="17"/>
      <c r="H25752" s="18"/>
      <c r="K25752" s="18" t="s">
        <v>316</v>
      </c>
    </row>
    <row r="25753">
      <c r="A25753" s="17"/>
      <c r="H25753" s="18"/>
      <c r="K25753" s="18" t="s">
        <v>316</v>
      </c>
    </row>
    <row r="25754">
      <c r="A25754" s="17"/>
      <c r="H25754" s="18"/>
      <c r="K25754" s="18" t="s">
        <v>316</v>
      </c>
    </row>
    <row r="25755">
      <c r="A25755" s="17"/>
      <c r="H25755" s="18"/>
      <c r="K25755" s="18" t="s">
        <v>316</v>
      </c>
    </row>
    <row r="25756">
      <c r="A25756" s="17"/>
      <c r="H25756" s="18"/>
      <c r="K25756" s="18" t="s">
        <v>316</v>
      </c>
    </row>
    <row r="25757">
      <c r="A25757" s="17"/>
      <c r="H25757" s="18"/>
      <c r="K25757" s="18" t="s">
        <v>316</v>
      </c>
    </row>
    <row r="25758">
      <c r="A25758" s="17"/>
      <c r="H25758" s="18"/>
      <c r="K25758" s="18" t="s">
        <v>316</v>
      </c>
    </row>
    <row r="25759">
      <c r="A25759" s="17"/>
      <c r="H25759" s="18"/>
      <c r="K25759" s="18" t="s">
        <v>316</v>
      </c>
    </row>
    <row r="25760">
      <c r="A25760" s="17"/>
      <c r="H25760" s="18"/>
      <c r="K25760" s="18" t="s">
        <v>316</v>
      </c>
    </row>
    <row r="25761">
      <c r="A25761" s="17"/>
      <c r="H25761" s="18"/>
      <c r="K25761" s="18" t="s">
        <v>316</v>
      </c>
    </row>
    <row r="25762">
      <c r="A25762" s="17"/>
      <c r="H25762" s="18"/>
      <c r="K25762" s="18" t="s">
        <v>316</v>
      </c>
    </row>
    <row r="25763">
      <c r="A25763" s="17"/>
      <c r="H25763" s="18"/>
      <c r="K25763" s="18" t="s">
        <v>316</v>
      </c>
    </row>
    <row r="25764">
      <c r="A25764" s="17"/>
      <c r="H25764" s="18"/>
      <c r="K25764" s="18" t="s">
        <v>316</v>
      </c>
    </row>
    <row r="25765">
      <c r="A25765" s="17"/>
      <c r="H25765" s="18"/>
      <c r="K25765" s="18" t="s">
        <v>316</v>
      </c>
    </row>
    <row r="25766">
      <c r="A25766" s="17"/>
      <c r="H25766" s="18"/>
      <c r="K25766" s="18" t="s">
        <v>316</v>
      </c>
    </row>
    <row r="25767">
      <c r="A25767" s="17"/>
      <c r="H25767" s="18"/>
      <c r="K25767" s="18" t="s">
        <v>316</v>
      </c>
    </row>
    <row r="25768">
      <c r="A25768" s="17"/>
      <c r="H25768" s="18"/>
      <c r="K25768" s="18" t="s">
        <v>316</v>
      </c>
    </row>
    <row r="25769">
      <c r="A25769" s="17"/>
      <c r="H25769" s="18"/>
      <c r="K25769" s="18" t="s">
        <v>316</v>
      </c>
    </row>
    <row r="25770">
      <c r="A25770" s="17"/>
      <c r="H25770" s="18"/>
      <c r="K25770" s="18" t="s">
        <v>316</v>
      </c>
    </row>
    <row r="25771">
      <c r="A25771" s="17"/>
      <c r="H25771" s="18"/>
      <c r="K25771" s="18" t="s">
        <v>316</v>
      </c>
    </row>
    <row r="25772">
      <c r="A25772" s="17"/>
      <c r="H25772" s="18"/>
      <c r="K25772" s="18" t="s">
        <v>316</v>
      </c>
    </row>
    <row r="25773">
      <c r="A25773" s="17"/>
      <c r="H25773" s="18"/>
      <c r="K25773" s="18" t="s">
        <v>316</v>
      </c>
    </row>
    <row r="25774">
      <c r="A25774" s="17"/>
      <c r="H25774" s="18"/>
      <c r="K25774" s="18" t="s">
        <v>316</v>
      </c>
    </row>
    <row r="25775">
      <c r="A25775" s="17"/>
      <c r="H25775" s="18"/>
      <c r="K25775" s="18" t="s">
        <v>316</v>
      </c>
    </row>
    <row r="25776">
      <c r="A25776" s="17"/>
      <c r="H25776" s="18"/>
      <c r="K25776" s="18" t="s">
        <v>316</v>
      </c>
    </row>
    <row r="25777">
      <c r="A25777" s="17"/>
      <c r="H25777" s="18"/>
      <c r="K25777" s="18" t="s">
        <v>316</v>
      </c>
    </row>
    <row r="25778">
      <c r="A25778" s="17"/>
      <c r="H25778" s="18"/>
      <c r="K25778" s="18" t="s">
        <v>316</v>
      </c>
    </row>
    <row r="25779">
      <c r="A25779" s="17"/>
      <c r="H25779" s="18"/>
      <c r="K25779" s="18" t="s">
        <v>316</v>
      </c>
    </row>
    <row r="25780">
      <c r="A25780" s="17"/>
      <c r="H25780" s="18"/>
      <c r="K25780" s="18" t="s">
        <v>316</v>
      </c>
    </row>
    <row r="25781">
      <c r="A25781" s="17"/>
      <c r="H25781" s="18"/>
      <c r="K25781" s="18" t="s">
        <v>316</v>
      </c>
    </row>
    <row r="25782">
      <c r="A25782" s="17"/>
      <c r="H25782" s="18"/>
      <c r="K25782" s="18" t="s">
        <v>316</v>
      </c>
    </row>
    <row r="25783">
      <c r="A25783" s="17"/>
      <c r="H25783" s="18"/>
      <c r="K25783" s="18" t="s">
        <v>316</v>
      </c>
    </row>
    <row r="25784">
      <c r="A25784" s="17"/>
      <c r="H25784" s="18"/>
      <c r="K25784" s="18" t="s">
        <v>316</v>
      </c>
    </row>
    <row r="25785">
      <c r="A25785" s="17"/>
      <c r="H25785" s="18"/>
      <c r="K25785" s="18" t="s">
        <v>316</v>
      </c>
    </row>
    <row r="25786">
      <c r="A25786" s="17"/>
      <c r="H25786" s="18"/>
      <c r="K25786" s="18" t="s">
        <v>316</v>
      </c>
    </row>
    <row r="25787">
      <c r="A25787" s="17"/>
      <c r="H25787" s="18"/>
      <c r="K25787" s="18" t="s">
        <v>316</v>
      </c>
    </row>
    <row r="25788">
      <c r="A25788" s="17"/>
      <c r="H25788" s="18"/>
      <c r="K25788" s="18" t="s">
        <v>316</v>
      </c>
    </row>
    <row r="25789">
      <c r="A25789" s="17"/>
      <c r="H25789" s="18"/>
      <c r="K25789" s="18" t="s">
        <v>316</v>
      </c>
    </row>
    <row r="25790">
      <c r="A25790" s="17"/>
      <c r="H25790" s="18"/>
      <c r="K25790" s="18" t="s">
        <v>316</v>
      </c>
    </row>
    <row r="25791">
      <c r="A25791" s="17"/>
      <c r="H25791" s="18"/>
      <c r="K25791" s="18" t="s">
        <v>316</v>
      </c>
    </row>
    <row r="25792">
      <c r="A25792" s="17"/>
      <c r="H25792" s="18"/>
      <c r="K25792" s="18" t="s">
        <v>316</v>
      </c>
    </row>
    <row r="25793">
      <c r="A25793" s="17"/>
      <c r="H25793" s="18"/>
      <c r="K25793" s="18" t="s">
        <v>316</v>
      </c>
    </row>
    <row r="25794">
      <c r="A25794" s="17"/>
      <c r="H25794" s="18"/>
      <c r="K25794" s="18" t="s">
        <v>316</v>
      </c>
    </row>
    <row r="25795">
      <c r="A25795" s="17"/>
      <c r="H25795" s="18"/>
      <c r="K25795" s="18" t="s">
        <v>316</v>
      </c>
    </row>
    <row r="25796">
      <c r="A25796" s="17"/>
      <c r="H25796" s="18"/>
      <c r="K25796" s="18" t="s">
        <v>316</v>
      </c>
    </row>
    <row r="25797">
      <c r="A25797" s="17"/>
      <c r="H25797" s="18"/>
      <c r="K25797" s="18" t="s">
        <v>316</v>
      </c>
    </row>
    <row r="25798">
      <c r="A25798" s="17"/>
      <c r="H25798" s="18"/>
      <c r="K25798" s="18" t="s">
        <v>316</v>
      </c>
    </row>
    <row r="25799">
      <c r="A25799" s="17"/>
      <c r="H25799" s="18"/>
      <c r="K25799" s="18" t="s">
        <v>316</v>
      </c>
    </row>
    <row r="25800">
      <c r="A25800" s="17"/>
      <c r="H25800" s="18"/>
      <c r="K25800" s="18" t="s">
        <v>316</v>
      </c>
    </row>
    <row r="25801">
      <c r="A25801" s="17"/>
      <c r="H25801" s="18"/>
      <c r="K25801" s="18" t="s">
        <v>316</v>
      </c>
    </row>
    <row r="25802">
      <c r="A25802" s="17"/>
      <c r="H25802" s="18"/>
      <c r="K25802" s="18" t="s">
        <v>316</v>
      </c>
    </row>
    <row r="25803">
      <c r="A25803" s="17"/>
      <c r="H25803" s="18"/>
      <c r="K25803" s="18" t="s">
        <v>316</v>
      </c>
    </row>
    <row r="25804">
      <c r="A25804" s="17"/>
      <c r="H25804" s="18"/>
      <c r="K25804" s="18" t="s">
        <v>316</v>
      </c>
    </row>
    <row r="25805">
      <c r="A25805" s="17"/>
      <c r="H25805" s="18"/>
      <c r="K25805" s="18" t="s">
        <v>316</v>
      </c>
    </row>
    <row r="25806">
      <c r="A25806" s="17"/>
      <c r="H25806" s="18"/>
      <c r="K25806" s="18" t="s">
        <v>316</v>
      </c>
    </row>
    <row r="25807">
      <c r="A25807" s="17"/>
      <c r="H25807" s="18"/>
      <c r="K25807" s="18" t="s">
        <v>316</v>
      </c>
    </row>
    <row r="25808">
      <c r="A25808" s="17"/>
      <c r="H25808" s="18"/>
      <c r="K25808" s="18" t="s">
        <v>316</v>
      </c>
    </row>
    <row r="25809">
      <c r="A25809" s="17"/>
      <c r="H25809" s="18"/>
      <c r="K25809" s="18" t="s">
        <v>316</v>
      </c>
    </row>
    <row r="25810">
      <c r="A25810" s="17"/>
      <c r="H25810" s="18"/>
      <c r="K25810" s="18" t="s">
        <v>316</v>
      </c>
    </row>
    <row r="25811">
      <c r="A25811" s="17"/>
      <c r="H25811" s="18"/>
      <c r="K25811" s="18" t="s">
        <v>316</v>
      </c>
    </row>
    <row r="25812">
      <c r="A25812" s="17"/>
      <c r="H25812" s="18"/>
      <c r="K25812" s="18" t="s">
        <v>316</v>
      </c>
    </row>
    <row r="25813">
      <c r="A25813" s="17"/>
      <c r="H25813" s="18"/>
      <c r="K25813" s="18" t="s">
        <v>316</v>
      </c>
    </row>
    <row r="25814">
      <c r="A25814" s="17"/>
      <c r="H25814" s="18"/>
      <c r="K25814" s="18" t="s">
        <v>316</v>
      </c>
    </row>
    <row r="25815">
      <c r="A25815" s="17"/>
      <c r="H25815" s="18"/>
      <c r="K25815" s="18" t="s">
        <v>316</v>
      </c>
    </row>
    <row r="25816">
      <c r="A25816" s="17"/>
      <c r="H25816" s="18"/>
      <c r="K25816" s="18" t="s">
        <v>316</v>
      </c>
    </row>
    <row r="25817">
      <c r="A25817" s="17"/>
      <c r="H25817" s="18"/>
      <c r="K25817" s="18" t="s">
        <v>316</v>
      </c>
    </row>
    <row r="25818">
      <c r="A25818" s="17"/>
      <c r="H25818" s="18"/>
      <c r="K25818" s="18" t="s">
        <v>316</v>
      </c>
    </row>
    <row r="25819">
      <c r="A25819" s="17"/>
      <c r="H25819" s="18"/>
      <c r="K25819" s="18" t="s">
        <v>316</v>
      </c>
    </row>
    <row r="25820">
      <c r="A25820" s="17"/>
      <c r="H25820" s="18"/>
      <c r="K25820" s="18" t="s">
        <v>316</v>
      </c>
    </row>
    <row r="25821">
      <c r="A25821" s="17"/>
      <c r="H25821" s="18"/>
      <c r="K25821" s="18" t="s">
        <v>316</v>
      </c>
    </row>
    <row r="25822">
      <c r="A25822" s="17"/>
      <c r="H25822" s="18"/>
      <c r="K25822" s="18" t="s">
        <v>316</v>
      </c>
    </row>
    <row r="25823">
      <c r="A25823" s="17"/>
      <c r="H25823" s="18"/>
      <c r="K25823" s="18" t="s">
        <v>316</v>
      </c>
    </row>
    <row r="25824">
      <c r="A25824" s="17"/>
      <c r="H25824" s="18"/>
      <c r="K25824" s="18" t="s">
        <v>316</v>
      </c>
    </row>
    <row r="25825">
      <c r="A25825" s="17"/>
      <c r="H25825" s="18"/>
      <c r="K25825" s="18" t="s">
        <v>316</v>
      </c>
    </row>
    <row r="25826">
      <c r="A25826" s="17"/>
      <c r="H25826" s="18"/>
      <c r="K25826" s="18" t="s">
        <v>316</v>
      </c>
    </row>
    <row r="25827">
      <c r="A25827" s="17"/>
      <c r="H25827" s="18"/>
      <c r="K25827" s="18" t="s">
        <v>316</v>
      </c>
    </row>
    <row r="25828">
      <c r="A25828" s="17"/>
      <c r="H25828" s="18"/>
      <c r="K25828" s="18" t="s">
        <v>316</v>
      </c>
    </row>
    <row r="25829">
      <c r="A25829" s="17"/>
      <c r="H25829" s="18"/>
      <c r="K25829" s="18" t="s">
        <v>316</v>
      </c>
    </row>
    <row r="25830">
      <c r="A25830" s="17"/>
      <c r="H25830" s="18"/>
      <c r="K25830" s="18" t="s">
        <v>316</v>
      </c>
    </row>
    <row r="25831">
      <c r="A25831" s="17"/>
      <c r="H25831" s="18"/>
      <c r="K25831" s="18" t="s">
        <v>316</v>
      </c>
    </row>
    <row r="25832">
      <c r="A25832" s="17"/>
      <c r="H25832" s="18"/>
      <c r="K25832" s="18" t="s">
        <v>316</v>
      </c>
    </row>
    <row r="25833">
      <c r="A25833" s="17"/>
      <c r="H25833" s="18"/>
      <c r="K25833" s="18" t="s">
        <v>316</v>
      </c>
    </row>
    <row r="25834">
      <c r="A25834" s="17"/>
      <c r="H25834" s="18"/>
      <c r="K25834" s="18" t="s">
        <v>316</v>
      </c>
    </row>
    <row r="25835">
      <c r="A25835" s="17"/>
      <c r="H25835" s="18"/>
      <c r="K25835" s="18" t="s">
        <v>316</v>
      </c>
    </row>
    <row r="25836">
      <c r="A25836" s="17"/>
      <c r="H25836" s="18"/>
      <c r="K25836" s="18" t="s">
        <v>316</v>
      </c>
    </row>
    <row r="25837">
      <c r="A25837" s="17"/>
      <c r="H25837" s="18"/>
      <c r="K25837" s="18" t="s">
        <v>316</v>
      </c>
    </row>
    <row r="25838">
      <c r="A25838" s="17"/>
      <c r="H25838" s="18"/>
      <c r="K25838" s="18" t="s">
        <v>316</v>
      </c>
    </row>
    <row r="25839">
      <c r="A25839" s="17"/>
      <c r="H25839" s="18"/>
      <c r="K25839" s="18" t="s">
        <v>316</v>
      </c>
    </row>
    <row r="25840">
      <c r="A25840" s="17"/>
      <c r="H25840" s="18"/>
      <c r="K25840" s="18" t="s">
        <v>316</v>
      </c>
    </row>
    <row r="25841">
      <c r="A25841" s="17"/>
      <c r="H25841" s="18"/>
      <c r="K25841" s="18" t="s">
        <v>316</v>
      </c>
    </row>
    <row r="25842">
      <c r="A25842" s="17"/>
      <c r="H25842" s="18"/>
      <c r="K25842" s="18" t="s">
        <v>316</v>
      </c>
    </row>
    <row r="25843">
      <c r="A25843" s="17"/>
      <c r="H25843" s="18"/>
      <c r="K25843" s="18" t="s">
        <v>316</v>
      </c>
    </row>
    <row r="25844">
      <c r="A25844" s="17"/>
      <c r="H25844" s="18"/>
      <c r="K25844" s="18" t="s">
        <v>316</v>
      </c>
    </row>
    <row r="25845">
      <c r="A25845" s="17"/>
      <c r="H25845" s="18"/>
      <c r="K25845" s="18" t="s">
        <v>316</v>
      </c>
    </row>
    <row r="25846">
      <c r="A25846" s="17"/>
      <c r="H25846" s="18"/>
      <c r="K25846" s="18" t="s">
        <v>316</v>
      </c>
    </row>
    <row r="25847">
      <c r="A25847" s="17"/>
      <c r="H25847" s="18"/>
      <c r="K25847" s="18" t="s">
        <v>316</v>
      </c>
    </row>
    <row r="25848">
      <c r="A25848" s="17"/>
      <c r="H25848" s="18"/>
      <c r="K25848" s="18" t="s">
        <v>316</v>
      </c>
    </row>
    <row r="25849">
      <c r="A25849" s="17"/>
      <c r="H25849" s="18"/>
      <c r="K25849" s="18" t="s">
        <v>316</v>
      </c>
    </row>
    <row r="25850">
      <c r="A25850" s="17"/>
      <c r="H25850" s="18"/>
      <c r="K25850" s="18" t="s">
        <v>316</v>
      </c>
    </row>
    <row r="25851">
      <c r="A25851" s="17"/>
      <c r="H25851" s="18"/>
      <c r="K25851" s="18" t="s">
        <v>316</v>
      </c>
    </row>
    <row r="25852">
      <c r="A25852" s="17"/>
      <c r="H25852" s="18"/>
      <c r="K25852" s="18" t="s">
        <v>316</v>
      </c>
    </row>
    <row r="25853">
      <c r="A25853" s="17"/>
      <c r="H25853" s="18"/>
      <c r="K25853" s="18" t="s">
        <v>316</v>
      </c>
    </row>
    <row r="25854">
      <c r="A25854" s="17"/>
      <c r="H25854" s="18"/>
      <c r="K25854" s="18" t="s">
        <v>316</v>
      </c>
    </row>
    <row r="25855">
      <c r="A25855" s="17"/>
      <c r="H25855" s="18"/>
      <c r="K25855" s="18" t="s">
        <v>316</v>
      </c>
    </row>
    <row r="25856">
      <c r="A25856" s="17"/>
      <c r="H25856" s="18"/>
      <c r="K25856" s="18" t="s">
        <v>316</v>
      </c>
    </row>
    <row r="25857">
      <c r="A25857" s="17"/>
      <c r="H25857" s="18"/>
      <c r="K25857" s="18" t="s">
        <v>316</v>
      </c>
    </row>
    <row r="25858">
      <c r="A25858" s="17"/>
      <c r="H25858" s="18"/>
      <c r="K25858" s="18" t="s">
        <v>316</v>
      </c>
    </row>
    <row r="25859">
      <c r="A25859" s="17"/>
      <c r="H25859" s="18"/>
      <c r="K25859" s="18" t="s">
        <v>316</v>
      </c>
    </row>
    <row r="25860">
      <c r="A25860" s="17"/>
      <c r="H25860" s="18"/>
      <c r="K25860" s="18" t="s">
        <v>316</v>
      </c>
    </row>
    <row r="25861">
      <c r="A25861" s="17"/>
      <c r="H25861" s="18"/>
      <c r="K25861" s="18" t="s">
        <v>316</v>
      </c>
    </row>
    <row r="25862">
      <c r="A25862" s="17"/>
      <c r="H25862" s="18"/>
      <c r="K25862" s="18" t="s">
        <v>316</v>
      </c>
    </row>
    <row r="25863">
      <c r="A25863" s="17"/>
      <c r="H25863" s="18"/>
      <c r="K25863" s="18" t="s">
        <v>316</v>
      </c>
    </row>
    <row r="25864">
      <c r="A25864" s="17"/>
      <c r="H25864" s="18"/>
      <c r="K25864" s="18" t="s">
        <v>316</v>
      </c>
    </row>
    <row r="25865">
      <c r="A25865" s="17"/>
      <c r="H25865" s="18"/>
      <c r="K25865" s="18" t="s">
        <v>316</v>
      </c>
    </row>
    <row r="25866">
      <c r="A25866" s="17"/>
      <c r="H25866" s="18"/>
      <c r="K25866" s="18" t="s">
        <v>316</v>
      </c>
    </row>
    <row r="25867">
      <c r="A25867" s="17"/>
      <c r="H25867" s="18"/>
      <c r="K25867" s="18" t="s">
        <v>316</v>
      </c>
    </row>
    <row r="25868">
      <c r="A25868" s="17"/>
      <c r="H25868" s="18"/>
      <c r="K25868" s="18" t="s">
        <v>316</v>
      </c>
    </row>
    <row r="25869">
      <c r="A25869" s="17"/>
      <c r="H25869" s="18"/>
      <c r="K25869" s="18" t="s">
        <v>316</v>
      </c>
    </row>
    <row r="25870">
      <c r="A25870" s="17"/>
      <c r="H25870" s="18"/>
      <c r="K25870" s="18" t="s">
        <v>316</v>
      </c>
    </row>
    <row r="25871">
      <c r="A25871" s="17"/>
      <c r="H25871" s="18"/>
      <c r="K25871" s="18" t="s">
        <v>316</v>
      </c>
    </row>
    <row r="25872">
      <c r="A25872" s="17"/>
      <c r="H25872" s="18"/>
      <c r="K25872" s="18" t="s">
        <v>316</v>
      </c>
    </row>
    <row r="25873">
      <c r="A25873" s="17"/>
      <c r="H25873" s="18"/>
      <c r="K25873" s="18" t="s">
        <v>316</v>
      </c>
    </row>
    <row r="25874">
      <c r="A25874" s="17"/>
      <c r="H25874" s="18"/>
      <c r="K25874" s="18" t="s">
        <v>316</v>
      </c>
    </row>
    <row r="25875">
      <c r="A25875" s="17"/>
      <c r="H25875" s="18"/>
      <c r="K25875" s="18" t="s">
        <v>316</v>
      </c>
    </row>
    <row r="25876">
      <c r="A25876" s="17"/>
      <c r="H25876" s="18"/>
      <c r="K25876" s="18" t="s">
        <v>316</v>
      </c>
    </row>
    <row r="25877">
      <c r="A25877" s="17"/>
      <c r="H25877" s="18"/>
      <c r="K25877" s="18" t="s">
        <v>316</v>
      </c>
    </row>
    <row r="25878">
      <c r="A25878" s="17"/>
      <c r="H25878" s="18"/>
      <c r="K25878" s="18" t="s">
        <v>316</v>
      </c>
    </row>
    <row r="25879">
      <c r="A25879" s="17"/>
      <c r="H25879" s="18"/>
      <c r="K25879" s="18" t="s">
        <v>316</v>
      </c>
    </row>
    <row r="25880">
      <c r="A25880" s="17"/>
      <c r="H25880" s="18"/>
      <c r="K25880" s="18" t="s">
        <v>316</v>
      </c>
    </row>
    <row r="25881">
      <c r="A25881" s="17"/>
      <c r="H25881" s="18"/>
      <c r="K25881" s="18" t="s">
        <v>316</v>
      </c>
    </row>
    <row r="25882">
      <c r="A25882" s="17"/>
      <c r="H25882" s="18"/>
      <c r="K25882" s="18" t="s">
        <v>316</v>
      </c>
    </row>
    <row r="25883">
      <c r="A25883" s="17"/>
      <c r="H25883" s="18"/>
      <c r="K25883" s="18" t="s">
        <v>316</v>
      </c>
    </row>
    <row r="25884">
      <c r="A25884" s="17"/>
      <c r="H25884" s="18"/>
      <c r="K25884" s="18" t="s">
        <v>316</v>
      </c>
    </row>
    <row r="25885">
      <c r="A25885" s="17"/>
      <c r="H25885" s="18"/>
      <c r="K25885" s="18" t="s">
        <v>316</v>
      </c>
    </row>
    <row r="25886">
      <c r="A25886" s="17"/>
      <c r="H25886" s="18"/>
      <c r="K25886" s="18" t="s">
        <v>316</v>
      </c>
    </row>
    <row r="25887">
      <c r="A25887" s="17"/>
      <c r="H25887" s="18"/>
      <c r="K25887" s="18" t="s">
        <v>316</v>
      </c>
    </row>
    <row r="25888">
      <c r="A25888" s="17"/>
      <c r="H25888" s="18"/>
      <c r="K25888" s="18" t="s">
        <v>316</v>
      </c>
    </row>
    <row r="25889">
      <c r="A25889" s="17"/>
      <c r="H25889" s="18"/>
      <c r="K25889" s="18" t="s">
        <v>316</v>
      </c>
    </row>
    <row r="25890">
      <c r="A25890" s="17"/>
      <c r="H25890" s="18"/>
      <c r="K25890" s="18" t="s">
        <v>316</v>
      </c>
    </row>
    <row r="25891">
      <c r="A25891" s="17"/>
      <c r="H25891" s="18"/>
      <c r="K25891" s="18" t="s">
        <v>316</v>
      </c>
    </row>
    <row r="25892">
      <c r="A25892" s="17"/>
      <c r="H25892" s="18"/>
      <c r="K25892" s="18" t="s">
        <v>316</v>
      </c>
    </row>
    <row r="25893">
      <c r="A25893" s="17"/>
      <c r="H25893" s="18"/>
      <c r="K25893" s="18" t="s">
        <v>316</v>
      </c>
    </row>
    <row r="25894">
      <c r="A25894" s="17"/>
      <c r="H25894" s="18"/>
      <c r="K25894" s="18" t="s">
        <v>316</v>
      </c>
    </row>
    <row r="25895">
      <c r="A25895" s="17"/>
      <c r="H25895" s="18"/>
      <c r="K25895" s="18" t="s">
        <v>316</v>
      </c>
    </row>
    <row r="25896">
      <c r="A25896" s="17"/>
      <c r="H25896" s="18"/>
      <c r="K25896" s="18" t="s">
        <v>316</v>
      </c>
    </row>
    <row r="25897">
      <c r="A25897" s="17"/>
      <c r="H25897" s="18"/>
      <c r="K25897" s="18" t="s">
        <v>316</v>
      </c>
    </row>
    <row r="25898">
      <c r="A25898" s="17"/>
      <c r="H25898" s="18"/>
      <c r="K25898" s="18" t="s">
        <v>316</v>
      </c>
    </row>
    <row r="25899">
      <c r="A25899" s="17"/>
      <c r="H25899" s="18"/>
      <c r="K25899" s="18" t="s">
        <v>316</v>
      </c>
    </row>
    <row r="25900">
      <c r="A25900" s="17"/>
      <c r="H25900" s="18"/>
      <c r="K25900" s="18" t="s">
        <v>316</v>
      </c>
    </row>
    <row r="25901">
      <c r="A25901" s="17"/>
      <c r="H25901" s="18"/>
      <c r="K25901" s="18" t="s">
        <v>316</v>
      </c>
    </row>
    <row r="25902">
      <c r="A25902" s="17"/>
      <c r="H25902" s="18"/>
      <c r="K25902" s="18" t="s">
        <v>316</v>
      </c>
    </row>
    <row r="25903">
      <c r="A25903" s="17"/>
      <c r="H25903" s="18"/>
      <c r="K25903" s="18" t="s">
        <v>316</v>
      </c>
    </row>
    <row r="25904">
      <c r="A25904" s="17"/>
      <c r="H25904" s="18"/>
      <c r="K25904" s="18" t="s">
        <v>316</v>
      </c>
    </row>
    <row r="25905">
      <c r="A25905" s="17"/>
      <c r="H25905" s="18"/>
      <c r="K25905" s="18" t="s">
        <v>316</v>
      </c>
    </row>
    <row r="25906">
      <c r="A25906" s="17"/>
      <c r="H25906" s="18"/>
      <c r="K25906" s="18" t="s">
        <v>316</v>
      </c>
    </row>
    <row r="25907">
      <c r="A25907" s="17"/>
      <c r="H25907" s="18"/>
      <c r="K25907" s="18" t="s">
        <v>316</v>
      </c>
    </row>
    <row r="25908">
      <c r="A25908" s="17"/>
      <c r="H25908" s="18"/>
      <c r="K25908" s="18" t="s">
        <v>316</v>
      </c>
    </row>
    <row r="25909">
      <c r="A25909" s="17"/>
      <c r="H25909" s="18"/>
      <c r="K25909" s="18" t="s">
        <v>316</v>
      </c>
    </row>
    <row r="25910">
      <c r="A25910" s="17"/>
      <c r="H25910" s="18"/>
      <c r="K25910" s="18" t="s">
        <v>316</v>
      </c>
    </row>
    <row r="25911">
      <c r="A25911" s="17"/>
      <c r="H25911" s="18"/>
      <c r="K25911" s="18" t="s">
        <v>316</v>
      </c>
    </row>
    <row r="25912">
      <c r="A25912" s="17"/>
      <c r="H25912" s="18"/>
      <c r="K25912" s="18" t="s">
        <v>316</v>
      </c>
    </row>
    <row r="25913">
      <c r="A25913" s="17"/>
      <c r="H25913" s="18"/>
      <c r="K25913" s="18" t="s">
        <v>316</v>
      </c>
    </row>
    <row r="25914">
      <c r="A25914" s="17"/>
      <c r="H25914" s="18"/>
      <c r="K25914" s="18" t="s">
        <v>316</v>
      </c>
    </row>
    <row r="25915">
      <c r="A25915" s="17"/>
      <c r="H25915" s="18"/>
      <c r="K25915" s="18" t="s">
        <v>316</v>
      </c>
    </row>
    <row r="25916">
      <c r="A25916" s="17"/>
      <c r="H25916" s="18"/>
      <c r="K25916" s="18" t="s">
        <v>316</v>
      </c>
    </row>
    <row r="25917">
      <c r="A25917" s="17"/>
      <c r="H25917" s="18"/>
      <c r="K25917" s="18" t="s">
        <v>316</v>
      </c>
    </row>
    <row r="25918">
      <c r="A25918" s="17"/>
      <c r="H25918" s="18"/>
      <c r="K25918" s="18" t="s">
        <v>316</v>
      </c>
    </row>
    <row r="25919">
      <c r="A25919" s="17"/>
      <c r="H25919" s="18"/>
      <c r="K25919" s="18" t="s">
        <v>316</v>
      </c>
    </row>
    <row r="25920">
      <c r="A25920" s="17"/>
      <c r="H25920" s="18"/>
      <c r="K25920" s="18" t="s">
        <v>316</v>
      </c>
    </row>
    <row r="25921">
      <c r="A25921" s="17"/>
      <c r="H25921" s="18"/>
      <c r="K25921" s="18" t="s">
        <v>316</v>
      </c>
    </row>
    <row r="25922">
      <c r="A25922" s="17"/>
      <c r="H25922" s="18"/>
      <c r="K25922" s="18" t="s">
        <v>316</v>
      </c>
    </row>
    <row r="25923">
      <c r="A25923" s="17"/>
      <c r="H25923" s="18"/>
      <c r="K25923" s="18" t="s">
        <v>316</v>
      </c>
    </row>
    <row r="25924">
      <c r="A25924" s="17"/>
      <c r="H25924" s="18"/>
      <c r="K25924" s="18" t="s">
        <v>316</v>
      </c>
    </row>
    <row r="25925">
      <c r="A25925" s="17"/>
      <c r="H25925" s="18"/>
      <c r="K25925" s="18" t="s">
        <v>316</v>
      </c>
    </row>
    <row r="25926">
      <c r="A25926" s="17"/>
      <c r="H25926" s="18"/>
      <c r="K25926" s="18" t="s">
        <v>316</v>
      </c>
    </row>
    <row r="25927">
      <c r="A25927" s="17"/>
      <c r="H25927" s="18"/>
      <c r="K25927" s="18" t="s">
        <v>316</v>
      </c>
    </row>
    <row r="25928">
      <c r="A25928" s="17"/>
      <c r="H25928" s="18"/>
      <c r="K25928" s="18" t="s">
        <v>316</v>
      </c>
    </row>
    <row r="25929">
      <c r="A25929" s="17"/>
      <c r="H25929" s="18"/>
      <c r="K25929" s="18" t="s">
        <v>316</v>
      </c>
    </row>
    <row r="25930">
      <c r="A25930" s="17"/>
      <c r="H25930" s="18"/>
      <c r="K25930" s="18" t="s">
        <v>316</v>
      </c>
    </row>
    <row r="25931">
      <c r="A25931" s="17"/>
      <c r="H25931" s="18"/>
      <c r="K25931" s="18" t="s">
        <v>316</v>
      </c>
    </row>
    <row r="25932">
      <c r="A25932" s="17"/>
      <c r="H25932" s="18"/>
      <c r="K25932" s="18" t="s">
        <v>316</v>
      </c>
    </row>
    <row r="25933">
      <c r="A25933" s="17"/>
      <c r="H25933" s="18"/>
      <c r="K25933" s="18" t="s">
        <v>316</v>
      </c>
    </row>
    <row r="25934">
      <c r="A25934" s="17"/>
      <c r="H25934" s="18"/>
      <c r="K25934" s="18" t="s">
        <v>316</v>
      </c>
    </row>
    <row r="25935">
      <c r="A25935" s="17"/>
      <c r="H25935" s="18"/>
      <c r="K25935" s="18" t="s">
        <v>316</v>
      </c>
    </row>
    <row r="25936">
      <c r="A25936" s="17"/>
      <c r="H25936" s="18"/>
      <c r="K25936" s="18" t="s">
        <v>316</v>
      </c>
    </row>
    <row r="25937">
      <c r="A25937" s="17"/>
      <c r="H25937" s="18"/>
      <c r="K25937" s="18" t="s">
        <v>316</v>
      </c>
    </row>
    <row r="25938">
      <c r="A25938" s="17"/>
      <c r="H25938" s="18"/>
      <c r="K25938" s="18" t="s">
        <v>316</v>
      </c>
    </row>
    <row r="25939">
      <c r="A25939" s="17"/>
      <c r="H25939" s="18"/>
      <c r="K25939" s="18" t="s">
        <v>316</v>
      </c>
    </row>
    <row r="25940">
      <c r="A25940" s="17"/>
      <c r="H25940" s="18"/>
      <c r="K25940" s="18" t="s">
        <v>316</v>
      </c>
    </row>
    <row r="25941">
      <c r="A25941" s="17"/>
      <c r="H25941" s="18"/>
      <c r="K25941" s="18" t="s">
        <v>316</v>
      </c>
    </row>
    <row r="25942">
      <c r="A25942" s="17"/>
      <c r="H25942" s="18"/>
      <c r="K25942" s="18" t="s">
        <v>316</v>
      </c>
    </row>
    <row r="25943">
      <c r="A25943" s="17"/>
      <c r="H25943" s="18"/>
      <c r="K25943" s="18" t="s">
        <v>316</v>
      </c>
    </row>
    <row r="25944">
      <c r="A25944" s="17"/>
      <c r="H25944" s="18"/>
      <c r="K25944" s="18" t="s">
        <v>316</v>
      </c>
    </row>
    <row r="25945">
      <c r="A25945" s="17"/>
      <c r="H25945" s="18"/>
      <c r="K25945" s="18" t="s">
        <v>316</v>
      </c>
    </row>
    <row r="25946">
      <c r="A25946" s="17"/>
      <c r="H25946" s="18"/>
      <c r="K25946" s="18" t="s">
        <v>316</v>
      </c>
    </row>
    <row r="25947">
      <c r="A25947" s="17"/>
      <c r="H25947" s="18"/>
      <c r="K25947" s="18" t="s">
        <v>316</v>
      </c>
    </row>
    <row r="25948">
      <c r="A25948" s="17"/>
      <c r="H25948" s="18"/>
      <c r="K25948" s="18" t="s">
        <v>316</v>
      </c>
    </row>
    <row r="25949">
      <c r="A25949" s="17"/>
      <c r="H25949" s="18"/>
      <c r="K25949" s="18" t="s">
        <v>316</v>
      </c>
    </row>
    <row r="25950">
      <c r="A25950" s="17"/>
      <c r="H25950" s="18"/>
      <c r="K25950" s="18" t="s">
        <v>316</v>
      </c>
    </row>
    <row r="25951">
      <c r="A25951" s="17"/>
      <c r="H25951" s="18"/>
      <c r="K25951" s="18" t="s">
        <v>316</v>
      </c>
    </row>
    <row r="25952">
      <c r="A25952" s="17"/>
      <c r="H25952" s="18"/>
      <c r="K25952" s="18" t="s">
        <v>316</v>
      </c>
    </row>
    <row r="25953">
      <c r="A25953" s="17"/>
      <c r="H25953" s="18"/>
      <c r="K25953" s="18" t="s">
        <v>316</v>
      </c>
    </row>
    <row r="25954">
      <c r="A25954" s="17"/>
      <c r="H25954" s="18"/>
      <c r="K25954" s="18" t="s">
        <v>316</v>
      </c>
    </row>
    <row r="25955">
      <c r="A25955" s="17"/>
      <c r="H25955" s="18"/>
      <c r="K25955" s="18" t="s">
        <v>316</v>
      </c>
    </row>
    <row r="25956">
      <c r="A25956" s="17"/>
      <c r="H25956" s="18"/>
      <c r="K25956" s="18" t="s">
        <v>316</v>
      </c>
    </row>
    <row r="25957">
      <c r="A25957" s="17"/>
      <c r="H25957" s="18"/>
      <c r="K25957" s="18" t="s">
        <v>316</v>
      </c>
    </row>
    <row r="25958">
      <c r="A25958" s="17"/>
      <c r="H25958" s="18"/>
      <c r="K25958" s="18" t="s">
        <v>316</v>
      </c>
    </row>
    <row r="25959">
      <c r="A25959" s="17"/>
      <c r="H25959" s="18"/>
      <c r="K25959" s="18" t="s">
        <v>316</v>
      </c>
    </row>
    <row r="25960">
      <c r="A25960" s="17"/>
      <c r="H25960" s="18"/>
      <c r="K25960" s="18" t="s">
        <v>316</v>
      </c>
    </row>
    <row r="25961">
      <c r="A25961" s="17"/>
      <c r="H25961" s="18"/>
      <c r="K25961" s="18" t="s">
        <v>316</v>
      </c>
    </row>
    <row r="25962">
      <c r="A25962" s="17"/>
      <c r="H25962" s="18"/>
      <c r="K25962" s="18" t="s">
        <v>316</v>
      </c>
    </row>
    <row r="25963">
      <c r="A25963" s="17"/>
      <c r="H25963" s="18"/>
      <c r="K25963" s="18" t="s">
        <v>316</v>
      </c>
    </row>
    <row r="25964">
      <c r="A25964" s="17"/>
      <c r="H25964" s="18"/>
      <c r="K25964" s="18" t="s">
        <v>316</v>
      </c>
    </row>
    <row r="25965">
      <c r="A25965" s="17"/>
      <c r="H25965" s="18"/>
      <c r="K25965" s="18" t="s">
        <v>316</v>
      </c>
    </row>
    <row r="25966">
      <c r="A25966" s="17"/>
      <c r="H25966" s="18"/>
      <c r="K25966" s="18" t="s">
        <v>316</v>
      </c>
    </row>
    <row r="25967">
      <c r="A25967" s="17"/>
      <c r="H25967" s="18"/>
      <c r="K25967" s="18" t="s">
        <v>316</v>
      </c>
    </row>
    <row r="25968">
      <c r="A25968" s="17"/>
      <c r="H25968" s="18"/>
      <c r="K25968" s="18" t="s">
        <v>316</v>
      </c>
    </row>
    <row r="25969">
      <c r="A25969" s="17"/>
      <c r="H25969" s="18"/>
      <c r="K25969" s="18" t="s">
        <v>316</v>
      </c>
    </row>
    <row r="25970">
      <c r="A25970" s="17"/>
      <c r="H25970" s="18"/>
      <c r="K25970" s="18" t="s">
        <v>316</v>
      </c>
    </row>
    <row r="25971">
      <c r="A25971" s="17"/>
      <c r="H25971" s="18"/>
      <c r="K25971" s="18" t="s">
        <v>316</v>
      </c>
    </row>
    <row r="25972">
      <c r="A25972" s="17"/>
      <c r="H25972" s="18"/>
      <c r="K25972" s="18" t="s">
        <v>316</v>
      </c>
    </row>
    <row r="25973">
      <c r="A25973" s="17"/>
      <c r="H25973" s="18"/>
      <c r="K25973" s="18" t="s">
        <v>316</v>
      </c>
    </row>
    <row r="25974">
      <c r="A25974" s="17"/>
      <c r="H25974" s="18"/>
      <c r="K25974" s="18" t="s">
        <v>316</v>
      </c>
    </row>
    <row r="25975">
      <c r="A25975" s="17"/>
      <c r="H25975" s="18"/>
      <c r="K25975" s="18" t="s">
        <v>316</v>
      </c>
    </row>
    <row r="25976">
      <c r="A25976" s="17"/>
      <c r="H25976" s="18"/>
      <c r="K25976" s="18" t="s">
        <v>316</v>
      </c>
    </row>
    <row r="25977">
      <c r="A25977" s="17"/>
      <c r="H25977" s="18"/>
      <c r="K25977" s="18" t="s">
        <v>316</v>
      </c>
    </row>
    <row r="25978">
      <c r="A25978" s="17"/>
      <c r="H25978" s="18"/>
      <c r="K25978" s="18" t="s">
        <v>316</v>
      </c>
    </row>
    <row r="25979">
      <c r="A25979" s="17"/>
      <c r="H25979" s="18"/>
      <c r="K25979" s="18" t="s">
        <v>316</v>
      </c>
    </row>
    <row r="25980">
      <c r="A25980" s="17"/>
      <c r="H25980" s="18"/>
      <c r="K25980" s="18" t="s">
        <v>316</v>
      </c>
    </row>
    <row r="25981">
      <c r="A25981" s="17"/>
      <c r="H25981" s="18"/>
      <c r="K25981" s="18" t="s">
        <v>316</v>
      </c>
    </row>
    <row r="25982">
      <c r="A25982" s="17"/>
      <c r="H25982" s="18"/>
      <c r="K25982" s="18" t="s">
        <v>316</v>
      </c>
    </row>
    <row r="25983">
      <c r="A25983" s="17"/>
      <c r="H25983" s="18"/>
      <c r="K25983" s="18" t="s">
        <v>316</v>
      </c>
    </row>
    <row r="25984">
      <c r="A25984" s="17"/>
      <c r="H25984" s="18"/>
      <c r="K25984" s="18" t="s">
        <v>316</v>
      </c>
    </row>
    <row r="25985">
      <c r="A25985" s="17"/>
      <c r="H25985" s="18"/>
      <c r="K25985" s="18" t="s">
        <v>316</v>
      </c>
    </row>
    <row r="25986">
      <c r="A25986" s="17"/>
      <c r="H25986" s="18"/>
      <c r="K25986" s="18" t="s">
        <v>316</v>
      </c>
    </row>
    <row r="25987">
      <c r="A25987" s="17"/>
      <c r="H25987" s="18"/>
      <c r="K25987" s="18" t="s">
        <v>316</v>
      </c>
    </row>
    <row r="25988">
      <c r="A25988" s="17"/>
      <c r="H25988" s="18"/>
      <c r="K25988" s="18" t="s">
        <v>316</v>
      </c>
    </row>
    <row r="25989">
      <c r="A25989" s="17"/>
      <c r="H25989" s="18"/>
      <c r="K25989" s="18" t="s">
        <v>316</v>
      </c>
    </row>
    <row r="25990">
      <c r="A25990" s="17"/>
      <c r="H25990" s="18"/>
      <c r="K25990" s="18" t="s">
        <v>316</v>
      </c>
    </row>
    <row r="25991">
      <c r="A25991" s="17"/>
      <c r="H25991" s="18"/>
      <c r="K25991" s="18" t="s">
        <v>316</v>
      </c>
    </row>
    <row r="25992">
      <c r="A25992" s="17"/>
      <c r="H25992" s="18"/>
      <c r="K25992" s="18" t="s">
        <v>316</v>
      </c>
    </row>
    <row r="25993">
      <c r="A25993" s="17"/>
      <c r="H25993" s="18"/>
      <c r="K25993" s="18" t="s">
        <v>316</v>
      </c>
    </row>
    <row r="25994">
      <c r="A25994" s="17"/>
      <c r="H25994" s="18"/>
      <c r="K25994" s="18" t="s">
        <v>316</v>
      </c>
    </row>
    <row r="25995">
      <c r="A25995" s="17"/>
      <c r="H25995" s="18"/>
      <c r="K25995" s="18" t="s">
        <v>316</v>
      </c>
    </row>
    <row r="25996">
      <c r="A25996" s="17"/>
      <c r="H25996" s="18"/>
      <c r="K25996" s="18" t="s">
        <v>316</v>
      </c>
    </row>
    <row r="25997">
      <c r="A25997" s="17"/>
      <c r="H25997" s="18"/>
      <c r="K25997" s="18" t="s">
        <v>316</v>
      </c>
    </row>
    <row r="25998">
      <c r="A25998" s="17"/>
      <c r="H25998" s="18"/>
      <c r="K25998" s="18" t="s">
        <v>316</v>
      </c>
    </row>
    <row r="25999">
      <c r="A25999" s="17"/>
      <c r="H25999" s="18"/>
      <c r="K25999" s="18" t="s">
        <v>316</v>
      </c>
    </row>
    <row r="26000">
      <c r="A26000" s="17"/>
      <c r="H26000" s="18"/>
      <c r="K26000" s="18" t="s">
        <v>316</v>
      </c>
    </row>
    <row r="26001">
      <c r="A26001" s="17"/>
      <c r="H26001" s="18"/>
      <c r="K26001" s="18" t="s">
        <v>316</v>
      </c>
    </row>
    <row r="26002">
      <c r="A26002" s="17"/>
      <c r="H26002" s="18"/>
      <c r="K26002" s="18" t="s">
        <v>316</v>
      </c>
    </row>
    <row r="26003">
      <c r="A26003" s="17"/>
      <c r="H26003" s="18"/>
      <c r="K26003" s="18" t="s">
        <v>316</v>
      </c>
    </row>
    <row r="26004">
      <c r="A26004" s="17"/>
      <c r="H26004" s="18"/>
      <c r="K26004" s="18" t="s">
        <v>316</v>
      </c>
    </row>
    <row r="26005">
      <c r="A26005" s="17"/>
      <c r="H26005" s="18"/>
      <c r="K26005" s="18" t="s">
        <v>316</v>
      </c>
    </row>
    <row r="26006">
      <c r="A26006" s="17"/>
      <c r="H26006" s="18"/>
      <c r="K26006" s="18" t="s">
        <v>316</v>
      </c>
    </row>
    <row r="26007">
      <c r="A26007" s="17"/>
      <c r="H26007" s="18"/>
      <c r="K26007" s="18" t="s">
        <v>316</v>
      </c>
    </row>
    <row r="26008">
      <c r="A26008" s="17"/>
      <c r="H26008" s="18"/>
      <c r="K26008" s="18" t="s">
        <v>316</v>
      </c>
    </row>
    <row r="26009">
      <c r="A26009" s="17"/>
      <c r="H26009" s="18"/>
      <c r="K26009" s="18" t="s">
        <v>316</v>
      </c>
    </row>
    <row r="26010">
      <c r="A26010" s="17"/>
      <c r="H26010" s="18"/>
      <c r="K26010" s="18" t="s">
        <v>316</v>
      </c>
    </row>
    <row r="26011">
      <c r="A26011" s="17"/>
      <c r="H26011" s="18"/>
      <c r="K26011" s="18" t="s">
        <v>316</v>
      </c>
    </row>
    <row r="26012">
      <c r="A26012" s="17"/>
      <c r="H26012" s="18"/>
      <c r="K26012" s="18" t="s">
        <v>316</v>
      </c>
    </row>
    <row r="26013">
      <c r="A26013" s="17"/>
      <c r="H26013" s="18"/>
      <c r="K26013" s="18" t="s">
        <v>316</v>
      </c>
    </row>
    <row r="26014">
      <c r="A26014" s="17"/>
      <c r="H26014" s="18"/>
      <c r="K26014" s="18" t="s">
        <v>316</v>
      </c>
    </row>
    <row r="26015">
      <c r="A26015" s="17"/>
      <c r="H26015" s="18"/>
      <c r="K26015" s="18" t="s">
        <v>316</v>
      </c>
    </row>
    <row r="26016">
      <c r="A26016" s="17"/>
      <c r="H26016" s="18"/>
      <c r="K26016" s="18" t="s">
        <v>316</v>
      </c>
    </row>
    <row r="26017">
      <c r="A26017" s="17"/>
      <c r="H26017" s="18"/>
      <c r="K26017" s="18" t="s">
        <v>316</v>
      </c>
    </row>
    <row r="26018">
      <c r="A26018" s="17"/>
      <c r="H26018" s="18"/>
      <c r="K26018" s="18" t="s">
        <v>316</v>
      </c>
    </row>
    <row r="26019">
      <c r="A26019" s="17"/>
      <c r="H26019" s="18"/>
      <c r="K26019" s="18" t="s">
        <v>316</v>
      </c>
    </row>
    <row r="26020">
      <c r="A26020" s="17"/>
      <c r="H26020" s="18"/>
      <c r="K26020" s="18" t="s">
        <v>316</v>
      </c>
    </row>
    <row r="26021">
      <c r="A26021" s="17"/>
      <c r="H26021" s="18"/>
      <c r="K26021" s="18" t="s">
        <v>316</v>
      </c>
    </row>
    <row r="26022">
      <c r="A26022" s="17"/>
      <c r="H26022" s="18"/>
      <c r="K26022" s="18" t="s">
        <v>316</v>
      </c>
    </row>
    <row r="26023">
      <c r="A26023" s="17"/>
      <c r="H26023" s="18"/>
      <c r="K26023" s="18" t="s">
        <v>316</v>
      </c>
    </row>
    <row r="26024">
      <c r="A26024" s="17"/>
      <c r="H26024" s="18"/>
      <c r="K26024" s="18" t="s">
        <v>316</v>
      </c>
    </row>
    <row r="26025">
      <c r="A26025" s="17"/>
      <c r="H26025" s="18"/>
      <c r="K26025" s="18" t="s">
        <v>316</v>
      </c>
    </row>
    <row r="26026">
      <c r="A26026" s="17"/>
      <c r="H26026" s="18"/>
      <c r="K26026" s="18" t="s">
        <v>316</v>
      </c>
    </row>
    <row r="26027">
      <c r="A26027" s="17"/>
      <c r="H26027" s="18"/>
      <c r="K26027" s="18" t="s">
        <v>316</v>
      </c>
    </row>
    <row r="26028">
      <c r="A26028" s="17"/>
      <c r="H26028" s="18"/>
      <c r="K26028" s="18" t="s">
        <v>316</v>
      </c>
    </row>
    <row r="26029">
      <c r="A26029" s="17"/>
      <c r="H26029" s="18"/>
      <c r="K26029" s="18" t="s">
        <v>316</v>
      </c>
    </row>
    <row r="26030">
      <c r="A26030" s="17"/>
      <c r="H26030" s="18"/>
      <c r="K26030" s="18" t="s">
        <v>316</v>
      </c>
    </row>
    <row r="26031">
      <c r="A26031" s="17"/>
      <c r="H26031" s="18"/>
      <c r="K26031" s="18" t="s">
        <v>316</v>
      </c>
    </row>
    <row r="26032">
      <c r="A26032" s="17"/>
      <c r="H26032" s="18"/>
      <c r="K26032" s="18" t="s">
        <v>316</v>
      </c>
    </row>
    <row r="26033">
      <c r="A26033" s="17"/>
      <c r="H26033" s="18"/>
      <c r="K26033" s="18" t="s">
        <v>316</v>
      </c>
    </row>
    <row r="26034">
      <c r="A26034" s="17"/>
      <c r="H26034" s="18"/>
      <c r="K26034" s="18" t="s">
        <v>316</v>
      </c>
    </row>
    <row r="26035">
      <c r="A26035" s="17"/>
      <c r="H26035" s="18"/>
      <c r="K26035" s="18" t="s">
        <v>316</v>
      </c>
    </row>
    <row r="26036">
      <c r="A26036" s="17"/>
      <c r="H26036" s="18"/>
      <c r="K26036" s="18" t="s">
        <v>316</v>
      </c>
    </row>
    <row r="26037">
      <c r="A26037" s="17"/>
      <c r="H26037" s="18"/>
      <c r="K26037" s="18" t="s">
        <v>316</v>
      </c>
    </row>
    <row r="26038">
      <c r="A26038" s="17"/>
      <c r="H26038" s="18"/>
      <c r="K26038" s="18" t="s">
        <v>316</v>
      </c>
    </row>
    <row r="26039">
      <c r="A26039" s="17"/>
      <c r="H26039" s="18"/>
      <c r="K26039" s="18" t="s">
        <v>316</v>
      </c>
    </row>
    <row r="26040">
      <c r="A26040" s="17"/>
      <c r="H26040" s="18"/>
      <c r="K26040" s="18" t="s">
        <v>316</v>
      </c>
    </row>
    <row r="26041">
      <c r="A26041" s="17"/>
      <c r="H26041" s="18"/>
      <c r="K26041" s="18" t="s">
        <v>316</v>
      </c>
    </row>
    <row r="26042">
      <c r="A26042" s="17"/>
      <c r="H26042" s="18"/>
      <c r="K26042" s="18" t="s">
        <v>316</v>
      </c>
    </row>
    <row r="26043">
      <c r="A26043" s="17"/>
      <c r="H26043" s="18"/>
      <c r="K26043" s="18" t="s">
        <v>316</v>
      </c>
    </row>
    <row r="26044">
      <c r="A26044" s="17"/>
      <c r="H26044" s="18"/>
      <c r="K26044" s="18" t="s">
        <v>316</v>
      </c>
    </row>
    <row r="26045">
      <c r="A26045" s="17"/>
      <c r="H26045" s="18"/>
      <c r="K26045" s="18" t="s">
        <v>316</v>
      </c>
    </row>
    <row r="26046">
      <c r="A26046" s="17"/>
      <c r="H26046" s="18"/>
      <c r="K26046" s="18" t="s">
        <v>316</v>
      </c>
    </row>
    <row r="26047">
      <c r="A26047" s="17"/>
      <c r="H26047" s="18"/>
      <c r="K26047" s="18" t="s">
        <v>316</v>
      </c>
    </row>
    <row r="26048">
      <c r="A26048" s="17"/>
      <c r="H26048" s="18"/>
      <c r="K26048" s="18" t="s">
        <v>316</v>
      </c>
    </row>
    <row r="26049">
      <c r="A26049" s="17"/>
      <c r="H26049" s="18"/>
      <c r="K26049" s="18" t="s">
        <v>316</v>
      </c>
    </row>
    <row r="26050">
      <c r="A26050" s="17"/>
      <c r="H26050" s="18"/>
      <c r="K26050" s="18" t="s">
        <v>316</v>
      </c>
    </row>
    <row r="26051">
      <c r="A26051" s="17"/>
      <c r="H26051" s="18"/>
      <c r="K26051" s="18" t="s">
        <v>316</v>
      </c>
    </row>
    <row r="26052">
      <c r="A26052" s="17"/>
      <c r="H26052" s="18"/>
      <c r="K26052" s="18" t="s">
        <v>316</v>
      </c>
    </row>
    <row r="26053">
      <c r="A26053" s="17"/>
      <c r="H26053" s="18"/>
      <c r="K26053" s="18" t="s">
        <v>316</v>
      </c>
    </row>
    <row r="26054">
      <c r="A26054" s="17"/>
      <c r="H26054" s="18"/>
      <c r="K26054" s="18" t="s">
        <v>316</v>
      </c>
    </row>
    <row r="26055">
      <c r="A26055" s="17"/>
      <c r="H26055" s="18"/>
      <c r="K26055" s="18" t="s">
        <v>316</v>
      </c>
    </row>
    <row r="26056">
      <c r="A26056" s="17"/>
      <c r="H26056" s="18"/>
      <c r="K26056" s="18" t="s">
        <v>316</v>
      </c>
    </row>
    <row r="26057">
      <c r="A26057" s="17"/>
      <c r="H26057" s="18"/>
      <c r="K26057" s="18" t="s">
        <v>316</v>
      </c>
    </row>
    <row r="26058">
      <c r="A26058" s="17"/>
      <c r="H26058" s="18"/>
      <c r="K26058" s="18" t="s">
        <v>316</v>
      </c>
    </row>
    <row r="26059">
      <c r="A26059" s="17"/>
      <c r="H26059" s="18"/>
      <c r="K26059" s="18" t="s">
        <v>316</v>
      </c>
    </row>
    <row r="26060">
      <c r="A26060" s="17"/>
      <c r="H26060" s="18"/>
      <c r="K26060" s="18" t="s">
        <v>316</v>
      </c>
    </row>
    <row r="26061">
      <c r="A26061" s="17"/>
      <c r="H26061" s="18"/>
      <c r="K26061" s="18" t="s">
        <v>316</v>
      </c>
    </row>
    <row r="26062">
      <c r="A26062" s="17"/>
      <c r="H26062" s="18"/>
      <c r="K26062" s="18" t="s">
        <v>316</v>
      </c>
    </row>
    <row r="26063">
      <c r="A26063" s="17"/>
      <c r="H26063" s="18"/>
      <c r="K26063" s="18" t="s">
        <v>316</v>
      </c>
    </row>
    <row r="26064">
      <c r="A26064" s="17"/>
      <c r="H26064" s="18"/>
      <c r="K26064" s="18" t="s">
        <v>316</v>
      </c>
    </row>
    <row r="26065">
      <c r="A26065" s="17"/>
      <c r="H26065" s="18"/>
      <c r="K26065" s="18" t="s">
        <v>316</v>
      </c>
    </row>
    <row r="26066">
      <c r="A26066" s="17"/>
      <c r="H26066" s="18"/>
      <c r="K26066" s="18" t="s">
        <v>316</v>
      </c>
    </row>
    <row r="26067">
      <c r="A26067" s="17"/>
      <c r="H26067" s="18"/>
      <c r="K26067" s="18" t="s">
        <v>316</v>
      </c>
    </row>
    <row r="26068">
      <c r="A26068" s="17"/>
      <c r="H26068" s="18"/>
      <c r="K26068" s="18" t="s">
        <v>316</v>
      </c>
    </row>
    <row r="26069">
      <c r="A26069" s="17"/>
      <c r="H26069" s="18"/>
      <c r="K26069" s="18" t="s">
        <v>316</v>
      </c>
    </row>
    <row r="26070">
      <c r="A26070" s="17"/>
      <c r="H26070" s="18"/>
      <c r="K26070" s="18" t="s">
        <v>316</v>
      </c>
    </row>
    <row r="26071">
      <c r="A26071" s="17"/>
      <c r="H26071" s="18"/>
      <c r="K26071" s="18" t="s">
        <v>316</v>
      </c>
    </row>
    <row r="26072">
      <c r="A26072" s="17"/>
      <c r="H26072" s="18"/>
      <c r="K26072" s="18" t="s">
        <v>316</v>
      </c>
    </row>
    <row r="26073">
      <c r="A26073" s="17"/>
      <c r="H26073" s="18"/>
      <c r="K26073" s="18" t="s">
        <v>316</v>
      </c>
    </row>
    <row r="26074">
      <c r="A26074" s="17"/>
      <c r="H26074" s="18"/>
      <c r="K26074" s="18" t="s">
        <v>316</v>
      </c>
    </row>
    <row r="26075">
      <c r="A26075" s="17"/>
      <c r="H26075" s="18"/>
      <c r="K26075" s="18" t="s">
        <v>316</v>
      </c>
    </row>
    <row r="26076">
      <c r="A26076" s="17"/>
      <c r="H26076" s="18"/>
      <c r="K26076" s="18" t="s">
        <v>316</v>
      </c>
    </row>
    <row r="26077">
      <c r="A26077" s="17"/>
      <c r="H26077" s="18"/>
      <c r="K26077" s="18" t="s">
        <v>316</v>
      </c>
    </row>
    <row r="26078">
      <c r="A26078" s="17"/>
      <c r="H26078" s="18"/>
      <c r="K26078" s="18" t="s">
        <v>316</v>
      </c>
    </row>
    <row r="26079">
      <c r="A26079" s="17"/>
      <c r="H26079" s="18"/>
      <c r="K26079" s="18" t="s">
        <v>316</v>
      </c>
    </row>
    <row r="26080">
      <c r="A26080" s="17"/>
      <c r="H26080" s="18"/>
      <c r="K26080" s="18" t="s">
        <v>316</v>
      </c>
    </row>
    <row r="26081">
      <c r="A26081" s="17"/>
      <c r="H26081" s="18"/>
      <c r="K26081" s="18" t="s">
        <v>316</v>
      </c>
    </row>
    <row r="26082">
      <c r="A26082" s="17"/>
      <c r="H26082" s="18"/>
      <c r="K26082" s="18" t="s">
        <v>316</v>
      </c>
    </row>
    <row r="26083">
      <c r="A26083" s="17"/>
      <c r="H26083" s="18"/>
      <c r="K26083" s="18" t="s">
        <v>316</v>
      </c>
    </row>
    <row r="26084">
      <c r="A26084" s="17"/>
      <c r="H26084" s="18"/>
      <c r="K26084" s="18" t="s">
        <v>316</v>
      </c>
    </row>
    <row r="26085">
      <c r="A26085" s="17"/>
      <c r="H26085" s="18"/>
      <c r="K26085" s="18" t="s">
        <v>316</v>
      </c>
    </row>
    <row r="26086">
      <c r="A26086" s="17"/>
      <c r="H26086" s="18"/>
      <c r="K26086" s="18" t="s">
        <v>316</v>
      </c>
    </row>
    <row r="26087">
      <c r="A26087" s="17"/>
      <c r="H26087" s="18"/>
      <c r="K26087" s="18" t="s">
        <v>316</v>
      </c>
    </row>
    <row r="26088">
      <c r="A26088" s="17"/>
      <c r="H26088" s="18"/>
      <c r="K26088" s="18" t="s">
        <v>316</v>
      </c>
    </row>
    <row r="26089">
      <c r="A26089" s="17"/>
      <c r="H26089" s="18"/>
      <c r="K26089" s="18" t="s">
        <v>316</v>
      </c>
    </row>
    <row r="26090">
      <c r="A26090" s="17"/>
      <c r="H26090" s="18"/>
      <c r="K26090" s="18" t="s">
        <v>316</v>
      </c>
    </row>
    <row r="26091">
      <c r="A26091" s="17"/>
      <c r="H26091" s="18"/>
      <c r="K26091" s="18" t="s">
        <v>316</v>
      </c>
    </row>
    <row r="26092">
      <c r="A26092" s="17"/>
      <c r="H26092" s="18"/>
      <c r="K26092" s="18" t="s">
        <v>316</v>
      </c>
    </row>
    <row r="26093">
      <c r="A26093" s="17"/>
      <c r="H26093" s="18"/>
      <c r="K26093" s="18" t="s">
        <v>316</v>
      </c>
    </row>
    <row r="26094">
      <c r="A26094" s="17"/>
      <c r="H26094" s="18"/>
      <c r="K26094" s="18" t="s">
        <v>316</v>
      </c>
    </row>
    <row r="26095">
      <c r="A26095" s="17"/>
      <c r="H26095" s="18"/>
      <c r="K26095" s="18" t="s">
        <v>316</v>
      </c>
    </row>
    <row r="26096">
      <c r="A26096" s="17"/>
      <c r="H26096" s="18"/>
      <c r="K26096" s="18" t="s">
        <v>316</v>
      </c>
    </row>
    <row r="26097">
      <c r="A26097" s="17"/>
      <c r="H26097" s="18"/>
      <c r="K26097" s="18" t="s">
        <v>316</v>
      </c>
    </row>
    <row r="26098">
      <c r="A26098" s="17"/>
      <c r="H26098" s="18"/>
      <c r="K26098" s="18" t="s">
        <v>316</v>
      </c>
    </row>
    <row r="26099">
      <c r="A26099" s="17"/>
      <c r="H26099" s="18"/>
      <c r="K26099" s="18" t="s">
        <v>316</v>
      </c>
    </row>
    <row r="26100">
      <c r="A26100" s="17"/>
      <c r="H26100" s="18"/>
      <c r="K26100" s="18" t="s">
        <v>316</v>
      </c>
    </row>
    <row r="26101">
      <c r="A26101" s="17"/>
      <c r="H26101" s="18"/>
      <c r="K26101" s="18" t="s">
        <v>316</v>
      </c>
    </row>
    <row r="26102">
      <c r="A26102" s="17"/>
      <c r="H26102" s="18"/>
      <c r="K26102" s="18" t="s">
        <v>316</v>
      </c>
    </row>
    <row r="26103">
      <c r="A26103" s="17"/>
      <c r="H26103" s="18"/>
      <c r="K26103" s="18" t="s">
        <v>316</v>
      </c>
    </row>
    <row r="26104">
      <c r="A26104" s="17"/>
      <c r="H26104" s="18"/>
      <c r="K26104" s="18" t="s">
        <v>316</v>
      </c>
    </row>
    <row r="26105">
      <c r="A26105" s="17"/>
      <c r="H26105" s="18"/>
      <c r="K26105" s="18" t="s">
        <v>316</v>
      </c>
    </row>
    <row r="26106">
      <c r="A26106" s="17"/>
      <c r="H26106" s="18"/>
      <c r="K26106" s="18" t="s">
        <v>316</v>
      </c>
    </row>
    <row r="26107">
      <c r="A26107" s="17"/>
      <c r="H26107" s="18"/>
      <c r="K26107" s="18" t="s">
        <v>316</v>
      </c>
    </row>
    <row r="26108">
      <c r="A26108" s="17"/>
      <c r="H26108" s="18"/>
      <c r="K26108" s="18" t="s">
        <v>316</v>
      </c>
    </row>
    <row r="26109">
      <c r="A26109" s="17"/>
      <c r="H26109" s="18"/>
      <c r="K26109" s="18" t="s">
        <v>316</v>
      </c>
    </row>
    <row r="26110">
      <c r="A26110" s="17"/>
      <c r="H26110" s="18"/>
      <c r="K26110" s="18" t="s">
        <v>316</v>
      </c>
    </row>
    <row r="26111">
      <c r="A26111" s="17"/>
      <c r="H26111" s="18"/>
      <c r="K26111" s="18" t="s">
        <v>316</v>
      </c>
    </row>
    <row r="26112">
      <c r="A26112" s="17"/>
      <c r="H26112" s="18"/>
      <c r="K26112" s="18" t="s">
        <v>316</v>
      </c>
    </row>
    <row r="26113">
      <c r="A26113" s="17"/>
      <c r="H26113" s="18"/>
      <c r="K26113" s="18" t="s">
        <v>316</v>
      </c>
    </row>
    <row r="26114">
      <c r="A26114" s="17"/>
      <c r="H26114" s="18"/>
      <c r="K26114" s="18" t="s">
        <v>316</v>
      </c>
    </row>
    <row r="26115">
      <c r="A26115" s="17"/>
      <c r="H26115" s="18"/>
      <c r="K26115" s="18" t="s">
        <v>316</v>
      </c>
    </row>
    <row r="26116">
      <c r="A26116" s="17"/>
      <c r="H26116" s="18"/>
      <c r="K26116" s="18" t="s">
        <v>316</v>
      </c>
    </row>
    <row r="26117">
      <c r="A26117" s="17"/>
      <c r="H26117" s="18"/>
      <c r="K26117" s="18" t="s">
        <v>316</v>
      </c>
    </row>
    <row r="26118">
      <c r="A26118" s="17"/>
      <c r="H26118" s="18"/>
      <c r="K26118" s="18" t="s">
        <v>316</v>
      </c>
    </row>
    <row r="26119">
      <c r="A26119" s="17"/>
      <c r="H26119" s="18"/>
      <c r="K26119" s="18" t="s">
        <v>316</v>
      </c>
    </row>
    <row r="26120">
      <c r="A26120" s="17"/>
      <c r="H26120" s="18"/>
      <c r="K26120" s="18" t="s">
        <v>316</v>
      </c>
    </row>
    <row r="26121">
      <c r="A26121" s="17"/>
      <c r="H26121" s="18"/>
      <c r="K26121" s="18" t="s">
        <v>316</v>
      </c>
    </row>
    <row r="26122">
      <c r="A26122" s="17"/>
      <c r="H26122" s="18"/>
      <c r="K26122" s="18" t="s">
        <v>316</v>
      </c>
    </row>
    <row r="26123">
      <c r="A26123" s="17"/>
      <c r="H26123" s="18"/>
      <c r="K26123" s="18" t="s">
        <v>316</v>
      </c>
    </row>
    <row r="26124">
      <c r="A26124" s="17"/>
      <c r="H26124" s="18"/>
      <c r="K26124" s="18" t="s">
        <v>316</v>
      </c>
    </row>
    <row r="26125">
      <c r="A26125" s="17"/>
      <c r="H26125" s="18"/>
      <c r="K26125" s="18" t="s">
        <v>316</v>
      </c>
    </row>
    <row r="26126">
      <c r="A26126" s="17"/>
      <c r="H26126" s="18"/>
      <c r="K26126" s="18" t="s">
        <v>316</v>
      </c>
    </row>
    <row r="26127">
      <c r="A26127" s="17"/>
      <c r="H26127" s="18"/>
      <c r="K26127" s="18" t="s">
        <v>316</v>
      </c>
    </row>
    <row r="26128">
      <c r="A26128" s="17"/>
      <c r="H26128" s="18"/>
      <c r="K26128" s="18" t="s">
        <v>316</v>
      </c>
    </row>
    <row r="26129">
      <c r="A26129" s="17"/>
      <c r="H26129" s="18"/>
      <c r="K26129" s="18" t="s">
        <v>316</v>
      </c>
    </row>
    <row r="26130">
      <c r="A26130" s="17"/>
      <c r="H26130" s="18"/>
      <c r="K26130" s="18" t="s">
        <v>316</v>
      </c>
    </row>
    <row r="26131">
      <c r="A26131" s="17"/>
      <c r="H26131" s="18"/>
      <c r="K26131" s="18" t="s">
        <v>316</v>
      </c>
    </row>
    <row r="26132">
      <c r="A26132" s="17"/>
      <c r="H26132" s="18"/>
      <c r="K26132" s="18" t="s">
        <v>316</v>
      </c>
    </row>
    <row r="26133">
      <c r="A26133" s="17"/>
      <c r="H26133" s="18"/>
      <c r="K26133" s="18" t="s">
        <v>316</v>
      </c>
    </row>
    <row r="26134">
      <c r="A26134" s="17"/>
      <c r="H26134" s="18"/>
      <c r="K26134" s="18" t="s">
        <v>316</v>
      </c>
    </row>
    <row r="26135">
      <c r="A26135" s="17"/>
      <c r="H26135" s="18"/>
      <c r="K26135" s="18" t="s">
        <v>316</v>
      </c>
    </row>
    <row r="26136">
      <c r="A26136" s="17"/>
      <c r="H26136" s="18"/>
      <c r="K26136" s="18" t="s">
        <v>316</v>
      </c>
    </row>
    <row r="26137">
      <c r="A26137" s="17"/>
      <c r="H26137" s="18"/>
      <c r="K26137" s="18" t="s">
        <v>316</v>
      </c>
    </row>
    <row r="26138">
      <c r="A26138" s="17"/>
      <c r="H26138" s="18"/>
      <c r="K26138" s="18" t="s">
        <v>316</v>
      </c>
    </row>
    <row r="26139">
      <c r="A26139" s="17"/>
      <c r="H26139" s="18"/>
      <c r="K26139" s="18" t="s">
        <v>316</v>
      </c>
    </row>
    <row r="26140">
      <c r="A26140" s="17"/>
      <c r="H26140" s="18"/>
      <c r="K26140" s="18" t="s">
        <v>316</v>
      </c>
    </row>
    <row r="26141">
      <c r="A26141" s="17"/>
      <c r="H26141" s="18"/>
      <c r="K26141" s="18" t="s">
        <v>316</v>
      </c>
    </row>
    <row r="26142">
      <c r="A26142" s="17"/>
      <c r="H26142" s="18"/>
      <c r="K26142" s="18" t="s">
        <v>316</v>
      </c>
    </row>
    <row r="26143">
      <c r="A26143" s="17"/>
      <c r="H26143" s="18"/>
      <c r="K26143" s="18" t="s">
        <v>316</v>
      </c>
    </row>
    <row r="26144">
      <c r="A26144" s="17"/>
      <c r="H26144" s="18"/>
      <c r="K26144" s="18" t="s">
        <v>316</v>
      </c>
    </row>
    <row r="26145">
      <c r="A26145" s="17"/>
      <c r="H26145" s="18"/>
      <c r="K26145" s="18" t="s">
        <v>316</v>
      </c>
    </row>
    <row r="26146">
      <c r="A26146" s="17"/>
      <c r="H26146" s="18"/>
      <c r="K26146" s="18" t="s">
        <v>316</v>
      </c>
    </row>
    <row r="26147">
      <c r="A26147" s="17"/>
      <c r="H26147" s="18"/>
      <c r="K26147" s="18" t="s">
        <v>316</v>
      </c>
    </row>
    <row r="26148">
      <c r="A26148" s="17"/>
      <c r="H26148" s="18"/>
      <c r="K26148" s="18" t="s">
        <v>316</v>
      </c>
    </row>
    <row r="26149">
      <c r="A26149" s="17"/>
      <c r="H26149" s="18"/>
      <c r="K26149" s="18" t="s">
        <v>316</v>
      </c>
    </row>
    <row r="26150">
      <c r="A26150" s="17"/>
      <c r="H26150" s="18"/>
      <c r="K26150" s="18" t="s">
        <v>316</v>
      </c>
    </row>
    <row r="26151">
      <c r="A26151" s="17"/>
      <c r="H26151" s="18"/>
      <c r="K26151" s="18" t="s">
        <v>316</v>
      </c>
    </row>
    <row r="26152">
      <c r="A26152" s="17"/>
      <c r="H26152" s="18"/>
      <c r="K26152" s="18" t="s">
        <v>316</v>
      </c>
    </row>
    <row r="26153">
      <c r="A26153" s="17"/>
      <c r="H26153" s="18"/>
      <c r="K26153" s="18" t="s">
        <v>316</v>
      </c>
    </row>
    <row r="26154">
      <c r="A26154" s="17"/>
      <c r="H26154" s="18"/>
      <c r="K26154" s="18" t="s">
        <v>316</v>
      </c>
    </row>
    <row r="26155">
      <c r="A26155" s="17"/>
      <c r="H26155" s="18"/>
      <c r="K26155" s="18" t="s">
        <v>316</v>
      </c>
    </row>
    <row r="26156">
      <c r="A26156" s="17"/>
      <c r="H26156" s="18"/>
      <c r="K26156" s="18" t="s">
        <v>316</v>
      </c>
    </row>
    <row r="26157">
      <c r="A26157" s="17"/>
      <c r="H26157" s="18"/>
      <c r="K26157" s="18" t="s">
        <v>316</v>
      </c>
    </row>
    <row r="26158">
      <c r="A26158" s="17"/>
      <c r="H26158" s="18"/>
      <c r="K26158" s="18" t="s">
        <v>316</v>
      </c>
    </row>
    <row r="26159">
      <c r="A26159" s="17"/>
      <c r="H26159" s="18"/>
      <c r="K26159" s="18" t="s">
        <v>316</v>
      </c>
    </row>
    <row r="26160">
      <c r="A26160" s="17"/>
      <c r="H26160" s="18"/>
      <c r="K26160" s="18" t="s">
        <v>316</v>
      </c>
    </row>
    <row r="26161">
      <c r="A26161" s="17"/>
      <c r="H26161" s="18"/>
      <c r="K26161" s="18" t="s">
        <v>316</v>
      </c>
    </row>
    <row r="26162">
      <c r="A26162" s="17"/>
      <c r="H26162" s="18"/>
      <c r="K26162" s="18" t="s">
        <v>316</v>
      </c>
    </row>
    <row r="26163">
      <c r="A26163" s="17"/>
      <c r="H26163" s="18"/>
      <c r="K26163" s="18" t="s">
        <v>316</v>
      </c>
    </row>
    <row r="26164">
      <c r="A26164" s="17"/>
      <c r="H26164" s="18"/>
      <c r="K26164" s="18" t="s">
        <v>316</v>
      </c>
    </row>
    <row r="26165">
      <c r="A26165" s="17"/>
      <c r="H26165" s="18"/>
      <c r="K26165" s="18" t="s">
        <v>316</v>
      </c>
    </row>
    <row r="26166">
      <c r="A26166" s="17"/>
      <c r="H26166" s="18"/>
      <c r="K26166" s="18" t="s">
        <v>316</v>
      </c>
    </row>
    <row r="26167">
      <c r="A26167" s="17"/>
      <c r="H26167" s="18"/>
      <c r="K26167" s="18" t="s">
        <v>316</v>
      </c>
    </row>
    <row r="26168">
      <c r="A26168" s="17"/>
      <c r="H26168" s="18"/>
      <c r="K26168" s="18" t="s">
        <v>316</v>
      </c>
    </row>
    <row r="26169">
      <c r="A26169" s="17"/>
      <c r="H26169" s="18"/>
      <c r="K26169" s="18" t="s">
        <v>316</v>
      </c>
    </row>
    <row r="26170">
      <c r="A26170" s="17"/>
      <c r="H26170" s="18"/>
      <c r="K26170" s="18" t="s">
        <v>316</v>
      </c>
    </row>
    <row r="26171">
      <c r="A26171" s="17"/>
      <c r="H26171" s="18"/>
      <c r="K26171" s="18" t="s">
        <v>316</v>
      </c>
    </row>
    <row r="26172">
      <c r="A26172" s="17"/>
      <c r="H26172" s="18"/>
      <c r="K26172" s="18" t="s">
        <v>316</v>
      </c>
    </row>
    <row r="26173">
      <c r="A26173" s="17"/>
      <c r="H26173" s="18"/>
      <c r="K26173" s="18" t="s">
        <v>316</v>
      </c>
    </row>
    <row r="26174">
      <c r="A26174" s="17"/>
      <c r="H26174" s="18"/>
      <c r="K26174" s="18" t="s">
        <v>316</v>
      </c>
    </row>
    <row r="26175">
      <c r="A26175" s="17"/>
      <c r="H26175" s="18"/>
      <c r="K26175" s="18" t="s">
        <v>316</v>
      </c>
    </row>
    <row r="26176">
      <c r="A26176" s="17"/>
      <c r="H26176" s="18"/>
      <c r="K26176" s="18" t="s">
        <v>316</v>
      </c>
    </row>
    <row r="26177">
      <c r="A26177" s="17"/>
      <c r="H26177" s="18"/>
      <c r="K26177" s="18" t="s">
        <v>316</v>
      </c>
    </row>
    <row r="26178">
      <c r="A26178" s="17"/>
      <c r="H26178" s="18"/>
      <c r="K26178" s="18" t="s">
        <v>316</v>
      </c>
    </row>
    <row r="26179">
      <c r="A26179" s="17"/>
      <c r="H26179" s="18"/>
      <c r="K26179" s="18" t="s">
        <v>316</v>
      </c>
    </row>
    <row r="26180">
      <c r="A26180" s="17"/>
      <c r="H26180" s="18"/>
      <c r="K26180" s="18" t="s">
        <v>316</v>
      </c>
    </row>
    <row r="26181">
      <c r="A26181" s="17"/>
      <c r="H26181" s="18"/>
      <c r="K26181" s="18" t="s">
        <v>316</v>
      </c>
    </row>
    <row r="26182">
      <c r="A26182" s="17"/>
      <c r="H26182" s="18"/>
      <c r="K26182" s="18" t="s">
        <v>316</v>
      </c>
    </row>
    <row r="26183">
      <c r="A26183" s="17"/>
      <c r="H26183" s="18"/>
      <c r="K26183" s="18" t="s">
        <v>316</v>
      </c>
    </row>
    <row r="26184">
      <c r="A26184" s="17"/>
      <c r="H26184" s="18"/>
      <c r="K26184" s="18" t="s">
        <v>316</v>
      </c>
    </row>
    <row r="26185">
      <c r="A26185" s="17"/>
      <c r="H26185" s="18"/>
      <c r="K26185" s="18" t="s">
        <v>316</v>
      </c>
    </row>
    <row r="26186">
      <c r="A26186" s="17"/>
      <c r="H26186" s="18"/>
      <c r="K26186" s="18" t="s">
        <v>316</v>
      </c>
    </row>
    <row r="26187">
      <c r="A26187" s="17"/>
      <c r="H26187" s="18"/>
      <c r="K26187" s="18" t="s">
        <v>316</v>
      </c>
    </row>
    <row r="26188">
      <c r="A26188" s="17"/>
      <c r="H26188" s="18"/>
      <c r="K26188" s="18" t="s">
        <v>316</v>
      </c>
    </row>
    <row r="26189">
      <c r="A26189" s="17"/>
      <c r="H26189" s="18"/>
      <c r="K26189" s="18" t="s">
        <v>316</v>
      </c>
    </row>
    <row r="26190">
      <c r="A26190" s="17"/>
      <c r="H26190" s="18"/>
      <c r="K26190" s="18" t="s">
        <v>316</v>
      </c>
    </row>
    <row r="26191">
      <c r="A26191" s="17"/>
      <c r="H26191" s="18"/>
      <c r="K26191" s="18" t="s">
        <v>316</v>
      </c>
    </row>
    <row r="26192">
      <c r="A26192" s="17"/>
      <c r="H26192" s="18"/>
      <c r="K26192" s="18" t="s">
        <v>316</v>
      </c>
    </row>
    <row r="26193">
      <c r="A26193" s="17"/>
      <c r="H26193" s="18"/>
      <c r="K26193" s="18" t="s">
        <v>316</v>
      </c>
    </row>
    <row r="26194">
      <c r="A26194" s="17"/>
      <c r="H26194" s="18"/>
      <c r="K26194" s="18" t="s">
        <v>316</v>
      </c>
    </row>
    <row r="26195">
      <c r="A26195" s="17"/>
      <c r="H26195" s="18"/>
      <c r="K26195" s="18" t="s">
        <v>316</v>
      </c>
    </row>
    <row r="26196">
      <c r="A26196" s="17"/>
      <c r="H26196" s="18"/>
      <c r="K26196" s="18" t="s">
        <v>316</v>
      </c>
    </row>
    <row r="26197">
      <c r="A26197" s="17"/>
      <c r="H26197" s="18"/>
      <c r="K26197" s="18" t="s">
        <v>316</v>
      </c>
    </row>
    <row r="26198">
      <c r="A26198" s="17"/>
      <c r="H26198" s="18"/>
      <c r="K26198" s="18" t="s">
        <v>316</v>
      </c>
    </row>
    <row r="26199">
      <c r="A26199" s="17"/>
      <c r="H26199" s="18"/>
      <c r="K26199" s="18" t="s">
        <v>316</v>
      </c>
    </row>
    <row r="26200">
      <c r="A26200" s="17"/>
      <c r="H26200" s="18"/>
      <c r="K26200" s="18" t="s">
        <v>316</v>
      </c>
    </row>
    <row r="26201">
      <c r="A26201" s="17"/>
      <c r="H26201" s="18"/>
      <c r="K26201" s="18" t="s">
        <v>316</v>
      </c>
    </row>
    <row r="26202">
      <c r="A26202" s="17"/>
      <c r="H26202" s="18"/>
      <c r="K26202" s="18" t="s">
        <v>316</v>
      </c>
    </row>
    <row r="26203">
      <c r="A26203" s="17"/>
      <c r="H26203" s="18"/>
      <c r="K26203" s="18" t="s">
        <v>316</v>
      </c>
    </row>
    <row r="26204">
      <c r="A26204" s="17"/>
      <c r="H26204" s="18"/>
      <c r="K26204" s="18" t="s">
        <v>316</v>
      </c>
    </row>
    <row r="26205">
      <c r="A26205" s="17"/>
      <c r="H26205" s="18"/>
      <c r="K26205" s="18" t="s">
        <v>316</v>
      </c>
    </row>
    <row r="26206">
      <c r="A26206" s="17"/>
      <c r="H26206" s="18"/>
      <c r="K26206" s="18" t="s">
        <v>316</v>
      </c>
    </row>
    <row r="26207">
      <c r="A26207" s="17"/>
      <c r="H26207" s="18"/>
      <c r="K26207" s="18" t="s">
        <v>316</v>
      </c>
    </row>
    <row r="26208">
      <c r="A26208" s="17"/>
      <c r="H26208" s="18"/>
      <c r="K26208" s="18" t="s">
        <v>316</v>
      </c>
    </row>
    <row r="26209">
      <c r="A26209" s="17"/>
      <c r="H26209" s="18"/>
      <c r="K26209" s="18" t="s">
        <v>316</v>
      </c>
    </row>
    <row r="26210">
      <c r="A26210" s="17"/>
      <c r="H26210" s="18"/>
      <c r="K26210" s="18" t="s">
        <v>316</v>
      </c>
    </row>
    <row r="26211">
      <c r="A26211" s="17"/>
      <c r="H26211" s="18"/>
      <c r="K26211" s="18" t="s">
        <v>316</v>
      </c>
    </row>
    <row r="26212">
      <c r="A26212" s="17"/>
      <c r="H26212" s="18"/>
      <c r="K26212" s="18" t="s">
        <v>316</v>
      </c>
    </row>
    <row r="26213">
      <c r="A26213" s="17"/>
      <c r="H26213" s="18"/>
      <c r="K26213" s="18" t="s">
        <v>316</v>
      </c>
    </row>
    <row r="26214">
      <c r="A26214" s="17"/>
      <c r="H26214" s="18"/>
      <c r="K26214" s="18" t="s">
        <v>316</v>
      </c>
    </row>
    <row r="26215">
      <c r="A26215" s="17"/>
      <c r="H26215" s="18"/>
      <c r="K26215" s="18" t="s">
        <v>316</v>
      </c>
    </row>
    <row r="26216">
      <c r="A26216" s="17"/>
      <c r="H26216" s="18"/>
      <c r="K26216" s="18" t="s">
        <v>316</v>
      </c>
    </row>
    <row r="26217">
      <c r="A26217" s="17"/>
      <c r="H26217" s="18"/>
      <c r="K26217" s="18" t="s">
        <v>316</v>
      </c>
    </row>
    <row r="26218">
      <c r="A26218" s="17"/>
      <c r="H26218" s="18"/>
      <c r="K26218" s="18" t="s">
        <v>316</v>
      </c>
    </row>
    <row r="26219">
      <c r="A26219" s="17"/>
      <c r="H26219" s="18"/>
      <c r="K26219" s="18" t="s">
        <v>316</v>
      </c>
    </row>
    <row r="26220">
      <c r="A26220" s="17"/>
      <c r="H26220" s="18"/>
      <c r="K26220" s="18" t="s">
        <v>316</v>
      </c>
    </row>
    <row r="26221">
      <c r="A26221" s="17"/>
      <c r="H26221" s="18"/>
      <c r="K26221" s="18" t="s">
        <v>316</v>
      </c>
    </row>
    <row r="26222">
      <c r="A26222" s="17"/>
      <c r="H26222" s="18"/>
      <c r="K26222" s="18" t="s">
        <v>316</v>
      </c>
    </row>
    <row r="26223">
      <c r="A26223" s="17"/>
      <c r="H26223" s="18"/>
      <c r="K26223" s="18" t="s">
        <v>316</v>
      </c>
    </row>
    <row r="26224">
      <c r="A26224" s="17"/>
      <c r="H26224" s="18"/>
      <c r="K26224" s="18" t="s">
        <v>316</v>
      </c>
    </row>
    <row r="26225">
      <c r="A26225" s="17"/>
      <c r="H26225" s="18"/>
      <c r="K26225" s="18" t="s">
        <v>316</v>
      </c>
    </row>
    <row r="26226">
      <c r="A26226" s="17"/>
      <c r="H26226" s="18"/>
      <c r="K26226" s="18" t="s">
        <v>316</v>
      </c>
    </row>
    <row r="26227">
      <c r="A26227" s="17"/>
      <c r="H26227" s="18"/>
      <c r="K26227" s="18" t="s">
        <v>316</v>
      </c>
    </row>
    <row r="26228">
      <c r="A26228" s="17"/>
      <c r="H26228" s="18"/>
      <c r="K26228" s="18" t="s">
        <v>316</v>
      </c>
    </row>
    <row r="26229">
      <c r="A26229" s="17"/>
      <c r="H26229" s="18"/>
      <c r="K26229" s="18" t="s">
        <v>316</v>
      </c>
    </row>
    <row r="26230">
      <c r="A26230" s="17"/>
      <c r="H26230" s="18"/>
      <c r="K26230" s="18" t="s">
        <v>316</v>
      </c>
    </row>
    <row r="26231">
      <c r="A26231" s="17"/>
      <c r="H26231" s="18"/>
      <c r="K26231" s="18" t="s">
        <v>316</v>
      </c>
    </row>
    <row r="26232">
      <c r="A26232" s="17"/>
      <c r="H26232" s="18"/>
      <c r="K26232" s="18" t="s">
        <v>316</v>
      </c>
    </row>
    <row r="26233">
      <c r="A26233" s="17"/>
      <c r="H26233" s="18"/>
      <c r="K26233" s="18" t="s">
        <v>316</v>
      </c>
    </row>
    <row r="26234">
      <c r="A26234" s="17"/>
      <c r="H26234" s="18"/>
      <c r="K26234" s="18" t="s">
        <v>316</v>
      </c>
    </row>
    <row r="26235">
      <c r="A26235" s="17"/>
      <c r="H26235" s="18"/>
      <c r="K26235" s="18" t="s">
        <v>316</v>
      </c>
    </row>
    <row r="26236">
      <c r="A26236" s="17"/>
      <c r="H26236" s="18"/>
      <c r="K26236" s="18" t="s">
        <v>316</v>
      </c>
    </row>
    <row r="26237">
      <c r="A26237" s="17"/>
      <c r="H26237" s="18"/>
      <c r="K26237" s="18" t="s">
        <v>316</v>
      </c>
    </row>
    <row r="26238">
      <c r="A26238" s="17"/>
      <c r="H26238" s="18"/>
      <c r="K26238" s="18" t="s">
        <v>316</v>
      </c>
    </row>
    <row r="26239">
      <c r="A26239" s="17"/>
      <c r="H26239" s="18"/>
      <c r="K26239" s="18" t="s">
        <v>316</v>
      </c>
    </row>
    <row r="26240">
      <c r="A26240" s="17"/>
      <c r="H26240" s="18"/>
      <c r="K26240" s="18" t="s">
        <v>316</v>
      </c>
    </row>
    <row r="26241">
      <c r="A26241" s="17"/>
      <c r="H26241" s="18"/>
      <c r="K26241" s="18" t="s">
        <v>316</v>
      </c>
    </row>
    <row r="26242">
      <c r="A26242" s="17"/>
      <c r="H26242" s="18"/>
      <c r="K26242" s="18" t="s">
        <v>316</v>
      </c>
    </row>
    <row r="26243">
      <c r="A26243" s="17"/>
      <c r="H26243" s="18"/>
      <c r="K26243" s="18" t="s">
        <v>316</v>
      </c>
    </row>
    <row r="26244">
      <c r="A26244" s="17"/>
      <c r="H26244" s="18"/>
      <c r="K26244" s="18" t="s">
        <v>316</v>
      </c>
    </row>
    <row r="26245">
      <c r="A26245" s="17"/>
      <c r="H26245" s="18"/>
      <c r="K26245" s="18" t="s">
        <v>316</v>
      </c>
    </row>
    <row r="26246">
      <c r="A26246" s="17"/>
      <c r="H26246" s="18"/>
      <c r="K26246" s="18" t="s">
        <v>316</v>
      </c>
    </row>
    <row r="26247">
      <c r="A26247" s="17"/>
      <c r="H26247" s="18"/>
      <c r="K26247" s="18" t="s">
        <v>316</v>
      </c>
    </row>
    <row r="26248">
      <c r="A26248" s="17"/>
      <c r="H26248" s="18"/>
      <c r="K26248" s="18" t="s">
        <v>316</v>
      </c>
    </row>
    <row r="26249">
      <c r="A26249" s="17"/>
      <c r="H26249" s="18"/>
      <c r="K26249" s="18" t="s">
        <v>316</v>
      </c>
    </row>
    <row r="26250">
      <c r="A26250" s="17"/>
      <c r="H26250" s="18"/>
      <c r="K26250" s="18" t="s">
        <v>316</v>
      </c>
    </row>
    <row r="26251">
      <c r="A26251" s="17"/>
      <c r="H26251" s="18"/>
      <c r="K26251" s="18" t="s">
        <v>316</v>
      </c>
    </row>
    <row r="26252">
      <c r="A26252" s="17"/>
      <c r="H26252" s="18"/>
      <c r="K26252" s="18" t="s">
        <v>316</v>
      </c>
    </row>
    <row r="26253">
      <c r="A26253" s="17"/>
      <c r="H26253" s="18"/>
      <c r="K26253" s="18" t="s">
        <v>316</v>
      </c>
    </row>
    <row r="26254">
      <c r="A26254" s="17"/>
      <c r="H26254" s="18"/>
      <c r="K26254" s="18" t="s">
        <v>316</v>
      </c>
    </row>
    <row r="26255">
      <c r="A26255" s="17"/>
      <c r="H26255" s="18"/>
      <c r="K26255" s="18" t="s">
        <v>316</v>
      </c>
    </row>
    <row r="26256">
      <c r="A26256" s="17"/>
      <c r="H26256" s="18"/>
      <c r="K26256" s="18" t="s">
        <v>316</v>
      </c>
    </row>
    <row r="26257">
      <c r="A26257" s="17"/>
      <c r="H26257" s="18"/>
      <c r="K26257" s="18" t="s">
        <v>316</v>
      </c>
    </row>
    <row r="26258">
      <c r="A26258" s="17"/>
      <c r="H26258" s="18"/>
      <c r="K26258" s="18" t="s">
        <v>316</v>
      </c>
    </row>
    <row r="26259">
      <c r="A26259" s="17"/>
      <c r="H26259" s="18"/>
      <c r="K26259" s="18" t="s">
        <v>316</v>
      </c>
    </row>
    <row r="26260">
      <c r="A26260" s="17"/>
      <c r="H26260" s="18"/>
      <c r="K26260" s="18" t="s">
        <v>316</v>
      </c>
    </row>
    <row r="26261">
      <c r="A26261" s="17"/>
      <c r="H26261" s="18"/>
      <c r="K26261" s="18" t="s">
        <v>316</v>
      </c>
    </row>
    <row r="26262">
      <c r="A26262" s="17"/>
      <c r="H26262" s="18"/>
      <c r="K26262" s="18" t="s">
        <v>316</v>
      </c>
    </row>
    <row r="26263">
      <c r="A26263" s="17"/>
      <c r="H26263" s="18"/>
      <c r="K26263" s="18" t="s">
        <v>316</v>
      </c>
    </row>
    <row r="26264">
      <c r="A26264" s="17"/>
      <c r="H26264" s="18"/>
      <c r="K26264" s="18" t="s">
        <v>316</v>
      </c>
    </row>
    <row r="26265">
      <c r="A26265" s="17"/>
      <c r="H26265" s="18"/>
      <c r="K26265" s="18" t="s">
        <v>316</v>
      </c>
    </row>
    <row r="26266">
      <c r="A26266" s="17"/>
      <c r="H26266" s="18"/>
      <c r="K26266" s="18" t="s">
        <v>316</v>
      </c>
    </row>
    <row r="26267">
      <c r="A26267" s="17"/>
      <c r="H26267" s="18"/>
      <c r="K26267" s="18" t="s">
        <v>316</v>
      </c>
    </row>
    <row r="26268">
      <c r="A26268" s="17"/>
      <c r="H26268" s="18"/>
      <c r="K26268" s="18" t="s">
        <v>316</v>
      </c>
    </row>
    <row r="26269">
      <c r="A26269" s="17"/>
      <c r="H26269" s="18"/>
      <c r="K26269" s="18" t="s">
        <v>316</v>
      </c>
    </row>
    <row r="26270">
      <c r="A26270" s="17"/>
      <c r="H26270" s="18"/>
      <c r="K26270" s="18" t="s">
        <v>316</v>
      </c>
    </row>
    <row r="26271">
      <c r="A26271" s="17"/>
      <c r="H26271" s="18"/>
      <c r="K26271" s="18" t="s">
        <v>316</v>
      </c>
    </row>
    <row r="26272">
      <c r="A26272" s="17"/>
      <c r="H26272" s="18"/>
      <c r="K26272" s="18" t="s">
        <v>316</v>
      </c>
    </row>
    <row r="26273">
      <c r="A26273" s="17"/>
      <c r="H26273" s="18"/>
      <c r="K26273" s="18" t="s">
        <v>316</v>
      </c>
    </row>
    <row r="26274">
      <c r="A26274" s="17"/>
      <c r="H26274" s="18"/>
      <c r="K26274" s="18" t="s">
        <v>316</v>
      </c>
    </row>
    <row r="26275">
      <c r="A26275" s="17"/>
      <c r="H26275" s="18"/>
      <c r="K26275" s="18" t="s">
        <v>316</v>
      </c>
    </row>
    <row r="26276">
      <c r="A26276" s="17"/>
      <c r="H26276" s="18"/>
      <c r="K26276" s="18" t="s">
        <v>316</v>
      </c>
    </row>
    <row r="26277">
      <c r="A26277" s="17"/>
      <c r="H26277" s="18"/>
      <c r="K26277" s="18" t="s">
        <v>316</v>
      </c>
    </row>
    <row r="26278">
      <c r="A26278" s="17"/>
      <c r="H26278" s="18"/>
      <c r="K26278" s="18" t="s">
        <v>316</v>
      </c>
    </row>
    <row r="26279">
      <c r="A26279" s="17"/>
      <c r="H26279" s="18"/>
      <c r="K26279" s="18" t="s">
        <v>316</v>
      </c>
    </row>
    <row r="26280">
      <c r="A26280" s="17"/>
      <c r="H26280" s="18"/>
      <c r="K26280" s="18" t="s">
        <v>316</v>
      </c>
    </row>
    <row r="26281">
      <c r="A26281" s="17"/>
      <c r="H26281" s="18"/>
      <c r="K26281" s="18" t="s">
        <v>316</v>
      </c>
    </row>
    <row r="26282">
      <c r="A26282" s="17"/>
      <c r="H26282" s="18"/>
      <c r="K26282" s="18" t="s">
        <v>316</v>
      </c>
    </row>
    <row r="26283">
      <c r="A26283" s="17"/>
      <c r="H26283" s="18"/>
      <c r="K26283" s="18" t="s">
        <v>316</v>
      </c>
    </row>
    <row r="26284">
      <c r="A26284" s="17"/>
      <c r="H26284" s="18"/>
      <c r="K26284" s="18" t="s">
        <v>316</v>
      </c>
    </row>
    <row r="26285">
      <c r="A26285" s="17"/>
      <c r="H26285" s="18"/>
      <c r="K26285" s="18" t="s">
        <v>316</v>
      </c>
    </row>
    <row r="26286">
      <c r="A26286" s="17"/>
      <c r="H26286" s="18"/>
      <c r="K26286" s="18" t="s">
        <v>316</v>
      </c>
    </row>
    <row r="26287">
      <c r="A26287" s="17"/>
      <c r="H26287" s="18"/>
      <c r="K26287" s="18" t="s">
        <v>316</v>
      </c>
    </row>
    <row r="26288">
      <c r="A26288" s="17"/>
      <c r="H26288" s="18"/>
      <c r="K26288" s="18" t="s">
        <v>316</v>
      </c>
    </row>
    <row r="26289">
      <c r="A26289" s="17"/>
      <c r="H26289" s="18"/>
      <c r="K26289" s="18" t="s">
        <v>316</v>
      </c>
    </row>
    <row r="26290">
      <c r="A26290" s="17"/>
      <c r="H26290" s="18"/>
      <c r="K26290" s="18" t="s">
        <v>316</v>
      </c>
    </row>
    <row r="26291">
      <c r="A26291" s="17"/>
      <c r="H26291" s="18"/>
      <c r="K26291" s="18" t="s">
        <v>316</v>
      </c>
    </row>
    <row r="26292">
      <c r="A26292" s="17"/>
      <c r="H26292" s="18"/>
      <c r="K26292" s="18" t="s">
        <v>316</v>
      </c>
    </row>
    <row r="26293">
      <c r="A26293" s="17"/>
      <c r="H26293" s="18"/>
      <c r="K26293" s="18" t="s">
        <v>316</v>
      </c>
    </row>
    <row r="26294">
      <c r="A26294" s="17"/>
      <c r="H26294" s="18"/>
      <c r="K26294" s="18" t="s">
        <v>316</v>
      </c>
    </row>
    <row r="26295">
      <c r="A26295" s="17"/>
      <c r="H26295" s="18"/>
      <c r="K26295" s="18" t="s">
        <v>316</v>
      </c>
    </row>
    <row r="26296">
      <c r="A26296" s="17"/>
      <c r="H26296" s="18"/>
      <c r="K26296" s="18" t="s">
        <v>316</v>
      </c>
    </row>
    <row r="26297">
      <c r="A26297" s="17"/>
      <c r="H26297" s="18"/>
      <c r="K26297" s="18" t="s">
        <v>316</v>
      </c>
    </row>
    <row r="26298">
      <c r="A26298" s="17"/>
      <c r="H26298" s="18"/>
      <c r="K26298" s="18" t="s">
        <v>316</v>
      </c>
    </row>
    <row r="26299">
      <c r="A26299" s="17"/>
      <c r="H26299" s="18"/>
      <c r="K26299" s="18" t="s">
        <v>316</v>
      </c>
    </row>
    <row r="26300">
      <c r="A26300" s="17"/>
      <c r="H26300" s="18"/>
      <c r="K26300" s="18" t="s">
        <v>316</v>
      </c>
    </row>
    <row r="26301">
      <c r="A26301" s="17"/>
      <c r="H26301" s="18"/>
      <c r="K26301" s="18" t="s">
        <v>316</v>
      </c>
    </row>
    <row r="26302">
      <c r="A26302" s="17"/>
      <c r="H26302" s="18"/>
      <c r="K26302" s="18" t="s">
        <v>316</v>
      </c>
    </row>
    <row r="26303">
      <c r="A26303" s="17"/>
      <c r="H26303" s="18"/>
      <c r="K26303" s="18" t="s">
        <v>316</v>
      </c>
    </row>
    <row r="26304">
      <c r="A26304" s="17"/>
      <c r="H26304" s="18"/>
      <c r="K26304" s="18" t="s">
        <v>316</v>
      </c>
    </row>
    <row r="26305">
      <c r="A26305" s="17"/>
      <c r="H26305" s="18"/>
      <c r="K26305" s="18" t="s">
        <v>316</v>
      </c>
    </row>
    <row r="26306">
      <c r="A26306" s="17"/>
      <c r="H26306" s="18"/>
      <c r="K26306" s="18" t="s">
        <v>316</v>
      </c>
    </row>
    <row r="26307">
      <c r="A26307" s="17"/>
      <c r="H26307" s="18"/>
      <c r="K26307" s="18" t="s">
        <v>316</v>
      </c>
    </row>
    <row r="26308">
      <c r="A26308" s="17"/>
      <c r="H26308" s="18"/>
      <c r="K26308" s="18" t="s">
        <v>316</v>
      </c>
    </row>
    <row r="26309">
      <c r="A26309" s="17"/>
      <c r="H26309" s="18"/>
      <c r="K26309" s="18" t="s">
        <v>316</v>
      </c>
    </row>
    <row r="26310">
      <c r="A26310" s="17"/>
      <c r="H26310" s="18"/>
      <c r="K26310" s="18" t="s">
        <v>316</v>
      </c>
    </row>
    <row r="26311">
      <c r="A26311" s="17"/>
      <c r="H26311" s="18"/>
      <c r="K26311" s="18" t="s">
        <v>316</v>
      </c>
    </row>
    <row r="26312">
      <c r="A26312" s="17"/>
      <c r="H26312" s="18"/>
      <c r="K26312" s="18" t="s">
        <v>316</v>
      </c>
    </row>
    <row r="26313">
      <c r="A26313" s="17"/>
      <c r="H26313" s="18"/>
      <c r="K26313" s="18" t="s">
        <v>316</v>
      </c>
    </row>
    <row r="26314">
      <c r="A26314" s="17"/>
      <c r="H26314" s="18"/>
      <c r="K26314" s="18" t="s">
        <v>316</v>
      </c>
    </row>
    <row r="26315">
      <c r="A26315" s="17"/>
      <c r="H26315" s="18"/>
      <c r="K26315" s="18" t="s">
        <v>316</v>
      </c>
    </row>
    <row r="26316">
      <c r="A26316" s="17"/>
      <c r="H26316" s="18"/>
      <c r="K26316" s="18" t="s">
        <v>316</v>
      </c>
    </row>
    <row r="26317">
      <c r="A26317" s="17"/>
      <c r="H26317" s="18"/>
      <c r="K26317" s="18" t="s">
        <v>316</v>
      </c>
    </row>
    <row r="26318">
      <c r="A26318" s="17"/>
      <c r="H26318" s="18"/>
      <c r="K26318" s="18" t="s">
        <v>316</v>
      </c>
    </row>
    <row r="26319">
      <c r="A26319" s="17"/>
      <c r="H26319" s="18"/>
      <c r="K26319" s="18" t="s">
        <v>316</v>
      </c>
    </row>
    <row r="26320">
      <c r="A26320" s="17"/>
      <c r="H26320" s="18"/>
      <c r="K26320" s="18" t="s">
        <v>316</v>
      </c>
    </row>
    <row r="26321">
      <c r="A26321" s="17"/>
      <c r="H26321" s="18"/>
      <c r="K26321" s="18" t="s">
        <v>316</v>
      </c>
    </row>
    <row r="26322">
      <c r="A26322" s="17"/>
      <c r="H26322" s="18"/>
      <c r="K26322" s="18" t="s">
        <v>316</v>
      </c>
    </row>
    <row r="26323">
      <c r="A26323" s="17"/>
      <c r="H26323" s="18"/>
      <c r="K26323" s="18" t="s">
        <v>316</v>
      </c>
    </row>
    <row r="26324">
      <c r="A26324" s="17"/>
      <c r="H26324" s="18"/>
      <c r="K26324" s="18" t="s">
        <v>316</v>
      </c>
    </row>
    <row r="26325">
      <c r="A26325" s="17"/>
      <c r="H26325" s="18"/>
      <c r="K26325" s="18" t="s">
        <v>316</v>
      </c>
    </row>
    <row r="26326">
      <c r="A26326" s="17"/>
      <c r="H26326" s="18"/>
      <c r="K26326" s="18" t="s">
        <v>316</v>
      </c>
    </row>
    <row r="26327">
      <c r="A26327" s="17"/>
      <c r="H26327" s="18"/>
      <c r="K26327" s="18" t="s">
        <v>316</v>
      </c>
    </row>
    <row r="26328">
      <c r="A26328" s="17"/>
      <c r="H26328" s="18"/>
      <c r="K26328" s="18" t="s">
        <v>316</v>
      </c>
    </row>
    <row r="26329">
      <c r="A26329" s="17"/>
      <c r="H26329" s="18"/>
      <c r="K26329" s="18" t="s">
        <v>316</v>
      </c>
    </row>
    <row r="26330">
      <c r="A26330" s="17"/>
      <c r="H26330" s="18"/>
      <c r="K26330" s="18" t="s">
        <v>316</v>
      </c>
    </row>
    <row r="26331">
      <c r="A26331" s="17"/>
      <c r="H26331" s="18"/>
      <c r="K26331" s="18" t="s">
        <v>316</v>
      </c>
    </row>
    <row r="26332">
      <c r="A26332" s="17"/>
      <c r="H26332" s="18"/>
      <c r="K26332" s="18" t="s">
        <v>316</v>
      </c>
    </row>
    <row r="26333">
      <c r="A26333" s="17"/>
      <c r="H26333" s="18"/>
      <c r="K26333" s="18" t="s">
        <v>316</v>
      </c>
    </row>
    <row r="26334">
      <c r="A26334" s="17"/>
      <c r="H26334" s="18"/>
      <c r="K26334" s="18" t="s">
        <v>316</v>
      </c>
    </row>
    <row r="26335">
      <c r="A26335" s="17"/>
      <c r="H26335" s="18"/>
      <c r="K26335" s="18" t="s">
        <v>316</v>
      </c>
    </row>
    <row r="26336">
      <c r="A26336" s="17"/>
      <c r="H26336" s="18"/>
      <c r="K26336" s="18" t="s">
        <v>316</v>
      </c>
    </row>
    <row r="26337">
      <c r="A26337" s="17"/>
      <c r="H26337" s="18"/>
      <c r="K26337" s="18" t="s">
        <v>316</v>
      </c>
    </row>
    <row r="26338">
      <c r="A26338" s="17"/>
      <c r="H26338" s="18"/>
      <c r="K26338" s="18" t="s">
        <v>316</v>
      </c>
    </row>
    <row r="26339">
      <c r="A26339" s="17"/>
      <c r="H26339" s="18"/>
      <c r="K26339" s="18" t="s">
        <v>316</v>
      </c>
    </row>
    <row r="26340">
      <c r="A26340" s="17"/>
      <c r="H26340" s="18"/>
      <c r="K26340" s="18" t="s">
        <v>316</v>
      </c>
    </row>
    <row r="26341">
      <c r="A26341" s="17"/>
      <c r="H26341" s="18"/>
      <c r="K26341" s="18" t="s">
        <v>316</v>
      </c>
    </row>
    <row r="26342">
      <c r="A26342" s="17"/>
      <c r="H26342" s="18"/>
      <c r="K26342" s="18" t="s">
        <v>316</v>
      </c>
    </row>
    <row r="26343">
      <c r="A26343" s="17"/>
      <c r="H26343" s="18"/>
      <c r="K26343" s="18" t="s">
        <v>316</v>
      </c>
    </row>
    <row r="26344">
      <c r="A26344" s="17"/>
      <c r="H26344" s="18"/>
      <c r="K26344" s="18" t="s">
        <v>316</v>
      </c>
    </row>
    <row r="26345">
      <c r="A26345" s="17"/>
      <c r="H26345" s="18"/>
      <c r="K26345" s="18" t="s">
        <v>316</v>
      </c>
    </row>
    <row r="26346">
      <c r="A26346" s="17"/>
      <c r="H26346" s="18"/>
      <c r="K26346" s="18" t="s">
        <v>316</v>
      </c>
    </row>
    <row r="26347">
      <c r="A26347" s="17"/>
      <c r="H26347" s="18"/>
      <c r="K26347" s="18" t="s">
        <v>316</v>
      </c>
    </row>
    <row r="26348">
      <c r="A26348" s="17"/>
      <c r="H26348" s="18"/>
      <c r="K26348" s="18" t="s">
        <v>316</v>
      </c>
    </row>
    <row r="26349">
      <c r="A26349" s="17"/>
      <c r="H26349" s="18"/>
      <c r="K26349" s="18" t="s">
        <v>316</v>
      </c>
    </row>
    <row r="26350">
      <c r="A26350" s="17"/>
      <c r="H26350" s="18"/>
      <c r="K26350" s="18" t="s">
        <v>316</v>
      </c>
    </row>
    <row r="26351">
      <c r="A26351" s="17"/>
      <c r="H26351" s="18"/>
      <c r="K26351" s="18" t="s">
        <v>316</v>
      </c>
    </row>
    <row r="26352">
      <c r="A26352" s="17"/>
      <c r="H26352" s="18"/>
      <c r="K26352" s="18" t="s">
        <v>316</v>
      </c>
    </row>
    <row r="26353">
      <c r="A26353" s="17"/>
      <c r="H26353" s="18"/>
      <c r="K26353" s="18" t="s">
        <v>316</v>
      </c>
    </row>
    <row r="26354">
      <c r="A26354" s="17"/>
      <c r="H26354" s="18"/>
      <c r="K26354" s="18" t="s">
        <v>316</v>
      </c>
    </row>
    <row r="26355">
      <c r="A26355" s="17"/>
      <c r="H26355" s="18"/>
      <c r="K26355" s="18" t="s">
        <v>316</v>
      </c>
    </row>
    <row r="26356">
      <c r="A26356" s="17"/>
      <c r="H26356" s="18"/>
      <c r="K26356" s="18" t="s">
        <v>316</v>
      </c>
    </row>
    <row r="26357">
      <c r="A26357" s="17"/>
      <c r="H26357" s="18"/>
      <c r="K26357" s="18" t="s">
        <v>316</v>
      </c>
    </row>
    <row r="26358">
      <c r="A26358" s="17"/>
      <c r="H26358" s="18"/>
      <c r="K26358" s="18" t="s">
        <v>316</v>
      </c>
    </row>
    <row r="26359">
      <c r="A26359" s="17"/>
      <c r="H26359" s="18"/>
      <c r="K26359" s="18" t="s">
        <v>316</v>
      </c>
    </row>
    <row r="26360">
      <c r="A26360" s="17"/>
      <c r="H26360" s="18"/>
      <c r="K26360" s="18" t="s">
        <v>316</v>
      </c>
    </row>
    <row r="26361">
      <c r="A26361" s="17"/>
      <c r="H26361" s="18"/>
      <c r="K26361" s="18" t="s">
        <v>316</v>
      </c>
    </row>
    <row r="26362">
      <c r="A26362" s="17"/>
      <c r="H26362" s="18"/>
      <c r="K26362" s="18" t="s">
        <v>316</v>
      </c>
    </row>
    <row r="26363">
      <c r="A26363" s="17"/>
      <c r="H26363" s="18"/>
      <c r="K26363" s="18" t="s">
        <v>316</v>
      </c>
    </row>
    <row r="26364">
      <c r="A26364" s="17"/>
      <c r="H26364" s="18"/>
      <c r="K26364" s="18" t="s">
        <v>316</v>
      </c>
    </row>
    <row r="26365">
      <c r="A26365" s="17"/>
      <c r="H26365" s="18"/>
      <c r="K26365" s="18" t="s">
        <v>316</v>
      </c>
    </row>
    <row r="26366">
      <c r="A26366" s="17"/>
      <c r="H26366" s="18"/>
      <c r="K26366" s="18" t="s">
        <v>316</v>
      </c>
    </row>
    <row r="26367">
      <c r="A26367" s="17"/>
      <c r="H26367" s="18"/>
      <c r="K26367" s="18" t="s">
        <v>316</v>
      </c>
    </row>
    <row r="26368">
      <c r="A26368" s="17"/>
      <c r="H26368" s="18"/>
      <c r="K26368" s="18" t="s">
        <v>316</v>
      </c>
    </row>
    <row r="26369">
      <c r="A26369" s="17"/>
      <c r="H26369" s="18"/>
      <c r="K26369" s="18" t="s">
        <v>316</v>
      </c>
    </row>
    <row r="26370">
      <c r="A26370" s="17"/>
      <c r="H26370" s="18"/>
      <c r="K26370" s="18" t="s">
        <v>316</v>
      </c>
    </row>
    <row r="26371">
      <c r="A26371" s="17"/>
      <c r="H26371" s="18"/>
      <c r="K26371" s="18" t="s">
        <v>316</v>
      </c>
    </row>
    <row r="26372">
      <c r="A26372" s="17"/>
      <c r="H26372" s="18"/>
      <c r="K26372" s="18" t="s">
        <v>316</v>
      </c>
    </row>
    <row r="26373">
      <c r="A26373" s="17"/>
      <c r="H26373" s="18"/>
      <c r="K26373" s="18" t="s">
        <v>316</v>
      </c>
    </row>
    <row r="26374">
      <c r="A26374" s="17"/>
      <c r="H26374" s="18"/>
      <c r="K26374" s="18" t="s">
        <v>316</v>
      </c>
    </row>
    <row r="26375">
      <c r="A26375" s="17"/>
      <c r="H26375" s="18"/>
      <c r="K26375" s="18" t="s">
        <v>316</v>
      </c>
    </row>
    <row r="26376">
      <c r="A26376" s="17"/>
      <c r="H26376" s="18"/>
      <c r="K26376" s="18" t="s">
        <v>316</v>
      </c>
    </row>
    <row r="26377">
      <c r="A26377" s="17"/>
      <c r="H26377" s="18"/>
      <c r="K26377" s="18" t="s">
        <v>316</v>
      </c>
    </row>
    <row r="26378">
      <c r="A26378" s="17"/>
      <c r="H26378" s="18"/>
      <c r="K26378" s="18" t="s">
        <v>316</v>
      </c>
    </row>
    <row r="26379">
      <c r="A26379" s="17"/>
      <c r="H26379" s="18"/>
      <c r="K26379" s="18" t="s">
        <v>316</v>
      </c>
    </row>
    <row r="26380">
      <c r="A26380" s="17"/>
      <c r="H26380" s="18"/>
      <c r="K26380" s="18" t="s">
        <v>316</v>
      </c>
    </row>
    <row r="26381">
      <c r="A26381" s="17"/>
      <c r="H26381" s="18"/>
      <c r="K26381" s="18" t="s">
        <v>316</v>
      </c>
    </row>
    <row r="26382">
      <c r="A26382" s="17"/>
      <c r="H26382" s="18"/>
      <c r="K26382" s="18" t="s">
        <v>316</v>
      </c>
    </row>
    <row r="26383">
      <c r="A26383" s="17"/>
      <c r="H26383" s="18"/>
      <c r="K26383" s="18" t="s">
        <v>316</v>
      </c>
    </row>
    <row r="26384">
      <c r="A26384" s="17"/>
      <c r="H26384" s="18"/>
      <c r="K26384" s="18" t="s">
        <v>316</v>
      </c>
    </row>
    <row r="26385">
      <c r="A26385" s="17"/>
      <c r="H26385" s="18"/>
      <c r="K26385" s="18" t="s">
        <v>316</v>
      </c>
    </row>
    <row r="26386">
      <c r="A26386" s="17"/>
      <c r="H26386" s="18"/>
      <c r="K26386" s="18" t="s">
        <v>316</v>
      </c>
    </row>
    <row r="26387">
      <c r="A26387" s="17"/>
      <c r="H26387" s="18"/>
      <c r="K26387" s="18" t="s">
        <v>316</v>
      </c>
    </row>
    <row r="26388">
      <c r="A26388" s="17"/>
      <c r="H26388" s="18"/>
      <c r="K26388" s="18" t="s">
        <v>316</v>
      </c>
    </row>
    <row r="26389">
      <c r="A26389" s="17"/>
      <c r="H26389" s="18"/>
      <c r="K26389" s="18" t="s">
        <v>316</v>
      </c>
    </row>
    <row r="26390">
      <c r="A26390" s="17"/>
      <c r="H26390" s="18"/>
      <c r="K26390" s="18" t="s">
        <v>316</v>
      </c>
    </row>
    <row r="26391">
      <c r="A26391" s="17"/>
      <c r="H26391" s="18"/>
      <c r="K26391" s="18" t="s">
        <v>316</v>
      </c>
    </row>
    <row r="26392">
      <c r="A26392" s="17"/>
      <c r="H26392" s="18"/>
      <c r="K26392" s="18" t="s">
        <v>316</v>
      </c>
    </row>
    <row r="26393">
      <c r="A26393" s="17"/>
      <c r="H26393" s="18"/>
      <c r="K26393" s="18" t="s">
        <v>316</v>
      </c>
    </row>
    <row r="26394">
      <c r="A26394" s="17"/>
      <c r="H26394" s="18"/>
      <c r="K26394" s="18" t="s">
        <v>316</v>
      </c>
    </row>
    <row r="26395">
      <c r="A26395" s="17"/>
      <c r="H26395" s="18"/>
      <c r="K26395" s="18" t="s">
        <v>316</v>
      </c>
    </row>
    <row r="26396">
      <c r="A26396" s="17"/>
      <c r="H26396" s="18"/>
      <c r="K26396" s="18" t="s">
        <v>316</v>
      </c>
    </row>
    <row r="26397">
      <c r="A26397" s="17"/>
      <c r="H26397" s="18"/>
      <c r="K26397" s="18" t="s">
        <v>316</v>
      </c>
    </row>
    <row r="26398">
      <c r="A26398" s="17"/>
      <c r="H26398" s="18"/>
      <c r="K26398" s="18" t="s">
        <v>316</v>
      </c>
    </row>
    <row r="26399">
      <c r="A26399" s="17"/>
      <c r="H26399" s="18"/>
      <c r="K26399" s="18" t="s">
        <v>316</v>
      </c>
    </row>
    <row r="26400">
      <c r="A26400" s="17"/>
      <c r="H26400" s="18"/>
      <c r="K26400" s="18" t="s">
        <v>316</v>
      </c>
    </row>
    <row r="26401">
      <c r="A26401" s="17"/>
      <c r="H26401" s="18"/>
      <c r="K26401" s="18" t="s">
        <v>316</v>
      </c>
    </row>
    <row r="26402">
      <c r="A26402" s="17"/>
      <c r="H26402" s="18"/>
      <c r="K26402" s="18" t="s">
        <v>316</v>
      </c>
    </row>
    <row r="26403">
      <c r="A26403" s="17"/>
      <c r="H26403" s="18"/>
      <c r="K26403" s="18" t="s">
        <v>316</v>
      </c>
    </row>
    <row r="26404">
      <c r="A26404" s="17"/>
      <c r="H26404" s="18"/>
      <c r="K26404" s="18" t="s">
        <v>316</v>
      </c>
    </row>
    <row r="26405">
      <c r="A26405" s="17"/>
      <c r="H26405" s="18"/>
      <c r="K26405" s="18" t="s">
        <v>316</v>
      </c>
    </row>
    <row r="26406">
      <c r="A26406" s="17"/>
      <c r="H26406" s="18"/>
      <c r="K26406" s="18" t="s">
        <v>316</v>
      </c>
    </row>
    <row r="26407">
      <c r="A26407" s="17"/>
      <c r="H26407" s="18"/>
      <c r="K26407" s="18" t="s">
        <v>316</v>
      </c>
    </row>
    <row r="26408">
      <c r="A26408" s="17"/>
      <c r="H26408" s="18"/>
      <c r="K26408" s="18" t="s">
        <v>316</v>
      </c>
    </row>
    <row r="26409">
      <c r="A26409" s="17"/>
      <c r="H26409" s="18"/>
      <c r="K26409" s="18" t="s">
        <v>316</v>
      </c>
    </row>
    <row r="26410">
      <c r="A26410" s="17"/>
      <c r="H26410" s="18"/>
      <c r="K26410" s="18" t="s">
        <v>316</v>
      </c>
    </row>
    <row r="26411">
      <c r="A26411" s="17"/>
      <c r="H26411" s="18"/>
      <c r="K26411" s="18" t="s">
        <v>316</v>
      </c>
    </row>
    <row r="26412">
      <c r="A26412" s="17"/>
      <c r="H26412" s="18"/>
      <c r="K26412" s="18" t="s">
        <v>316</v>
      </c>
    </row>
    <row r="26413">
      <c r="A26413" s="17"/>
      <c r="H26413" s="18"/>
      <c r="K26413" s="18" t="s">
        <v>316</v>
      </c>
    </row>
    <row r="26414">
      <c r="A26414" s="17"/>
      <c r="H26414" s="18"/>
      <c r="K26414" s="18" t="s">
        <v>316</v>
      </c>
    </row>
    <row r="26415">
      <c r="A26415" s="17"/>
      <c r="H26415" s="18"/>
      <c r="K26415" s="18" t="s">
        <v>316</v>
      </c>
    </row>
    <row r="26416">
      <c r="A26416" s="17"/>
      <c r="H26416" s="18"/>
      <c r="K26416" s="18" t="s">
        <v>316</v>
      </c>
    </row>
    <row r="26417">
      <c r="A26417" s="17"/>
      <c r="H26417" s="18"/>
      <c r="K26417" s="18" t="s">
        <v>316</v>
      </c>
    </row>
    <row r="26418">
      <c r="A26418" s="17"/>
      <c r="H26418" s="18"/>
      <c r="K26418" s="18" t="s">
        <v>316</v>
      </c>
    </row>
    <row r="26419">
      <c r="A26419" s="17"/>
      <c r="H26419" s="18"/>
      <c r="K26419" s="18" t="s">
        <v>316</v>
      </c>
    </row>
    <row r="26420">
      <c r="A26420" s="17"/>
      <c r="H26420" s="18"/>
      <c r="K26420" s="18" t="s">
        <v>316</v>
      </c>
    </row>
    <row r="26421">
      <c r="A26421" s="17"/>
      <c r="H26421" s="18"/>
      <c r="K26421" s="18" t="s">
        <v>316</v>
      </c>
    </row>
    <row r="26422">
      <c r="A26422" s="17"/>
      <c r="H26422" s="18"/>
      <c r="K26422" s="18" t="s">
        <v>316</v>
      </c>
    </row>
    <row r="26423">
      <c r="A26423" s="17"/>
      <c r="H26423" s="18"/>
      <c r="K26423" s="18" t="s">
        <v>316</v>
      </c>
    </row>
    <row r="26424">
      <c r="A26424" s="17"/>
      <c r="H26424" s="18"/>
      <c r="K26424" s="18" t="s">
        <v>316</v>
      </c>
    </row>
    <row r="26425">
      <c r="A26425" s="17"/>
      <c r="H26425" s="18"/>
      <c r="K26425" s="18" t="s">
        <v>316</v>
      </c>
    </row>
    <row r="26426">
      <c r="A26426" s="17"/>
      <c r="H26426" s="18"/>
      <c r="K26426" s="18" t="s">
        <v>316</v>
      </c>
    </row>
    <row r="26427">
      <c r="A26427" s="17"/>
      <c r="H26427" s="18"/>
      <c r="K26427" s="18" t="s">
        <v>316</v>
      </c>
    </row>
    <row r="26428">
      <c r="A26428" s="17"/>
      <c r="H26428" s="18"/>
      <c r="K26428" s="18" t="s">
        <v>316</v>
      </c>
    </row>
    <row r="26429">
      <c r="A26429" s="17"/>
      <c r="H26429" s="18"/>
      <c r="K26429" s="18" t="s">
        <v>316</v>
      </c>
    </row>
    <row r="26430">
      <c r="A26430" s="17"/>
      <c r="H26430" s="18"/>
      <c r="K26430" s="18" t="s">
        <v>316</v>
      </c>
    </row>
    <row r="26431">
      <c r="A26431" s="17"/>
      <c r="H26431" s="18"/>
      <c r="K26431" s="18" t="s">
        <v>316</v>
      </c>
    </row>
    <row r="26432">
      <c r="A26432" s="17"/>
      <c r="H26432" s="18"/>
      <c r="K26432" s="18" t="s">
        <v>316</v>
      </c>
    </row>
    <row r="26433">
      <c r="A26433" s="17"/>
      <c r="H26433" s="18"/>
      <c r="K26433" s="18" t="s">
        <v>316</v>
      </c>
    </row>
    <row r="26434">
      <c r="A26434" s="17"/>
      <c r="H26434" s="18"/>
      <c r="K26434" s="18" t="s">
        <v>316</v>
      </c>
    </row>
    <row r="26435">
      <c r="A26435" s="17"/>
      <c r="H26435" s="18"/>
      <c r="K26435" s="18" t="s">
        <v>316</v>
      </c>
    </row>
    <row r="26436">
      <c r="A26436" s="17"/>
      <c r="H26436" s="18"/>
      <c r="K26436" s="18" t="s">
        <v>316</v>
      </c>
    </row>
    <row r="26437">
      <c r="A26437" s="17"/>
      <c r="H26437" s="18"/>
      <c r="K26437" s="18" t="s">
        <v>316</v>
      </c>
    </row>
    <row r="26438">
      <c r="A26438" s="17"/>
      <c r="H26438" s="18"/>
      <c r="K26438" s="18" t="s">
        <v>316</v>
      </c>
    </row>
    <row r="26439">
      <c r="A26439" s="17"/>
      <c r="H26439" s="18"/>
      <c r="K26439" s="18" t="s">
        <v>316</v>
      </c>
    </row>
    <row r="26440">
      <c r="A26440" s="17"/>
      <c r="H26440" s="18"/>
      <c r="K26440" s="18" t="s">
        <v>316</v>
      </c>
    </row>
    <row r="26441">
      <c r="A26441" s="17"/>
      <c r="H26441" s="18"/>
      <c r="K26441" s="18" t="s">
        <v>316</v>
      </c>
    </row>
    <row r="26442">
      <c r="A26442" s="17"/>
      <c r="H26442" s="18"/>
      <c r="K26442" s="18" t="s">
        <v>316</v>
      </c>
    </row>
    <row r="26443">
      <c r="A26443" s="17"/>
      <c r="H26443" s="18"/>
      <c r="K26443" s="18" t="s">
        <v>316</v>
      </c>
    </row>
    <row r="26444">
      <c r="A26444" s="17"/>
      <c r="H26444" s="18"/>
      <c r="K26444" s="18" t="s">
        <v>316</v>
      </c>
    </row>
    <row r="26445">
      <c r="A26445" s="17"/>
      <c r="H26445" s="18"/>
      <c r="K26445" s="18" t="s">
        <v>316</v>
      </c>
    </row>
    <row r="26446">
      <c r="A26446" s="17"/>
      <c r="H26446" s="18"/>
      <c r="K26446" s="18" t="s">
        <v>316</v>
      </c>
    </row>
    <row r="26447">
      <c r="A26447" s="17"/>
      <c r="H26447" s="18"/>
      <c r="K26447" s="18" t="s">
        <v>316</v>
      </c>
    </row>
    <row r="26448">
      <c r="A26448" s="17"/>
      <c r="H26448" s="18"/>
      <c r="K26448" s="18" t="s">
        <v>316</v>
      </c>
    </row>
    <row r="26449">
      <c r="A26449" s="17"/>
      <c r="H26449" s="18"/>
      <c r="K26449" s="18" t="s">
        <v>316</v>
      </c>
    </row>
    <row r="26450">
      <c r="A26450" s="17"/>
      <c r="H26450" s="18"/>
      <c r="K26450" s="18" t="s">
        <v>316</v>
      </c>
    </row>
    <row r="26451">
      <c r="A26451" s="17"/>
      <c r="H26451" s="18"/>
      <c r="K26451" s="18" t="s">
        <v>316</v>
      </c>
    </row>
    <row r="26452">
      <c r="A26452" s="17"/>
      <c r="H26452" s="18"/>
      <c r="K26452" s="18" t="s">
        <v>316</v>
      </c>
    </row>
    <row r="26453">
      <c r="A26453" s="17"/>
      <c r="H26453" s="18"/>
      <c r="K26453" s="18" t="s">
        <v>316</v>
      </c>
    </row>
    <row r="26454">
      <c r="A26454" s="17"/>
      <c r="H26454" s="18"/>
      <c r="K26454" s="18" t="s">
        <v>316</v>
      </c>
    </row>
    <row r="26455">
      <c r="A26455" s="17"/>
      <c r="H26455" s="18"/>
      <c r="K26455" s="18" t="s">
        <v>316</v>
      </c>
    </row>
    <row r="26456">
      <c r="A26456" s="17"/>
      <c r="H26456" s="18"/>
      <c r="K26456" s="18" t="s">
        <v>316</v>
      </c>
    </row>
    <row r="26457">
      <c r="A26457" s="17"/>
      <c r="H26457" s="18"/>
      <c r="K26457" s="18" t="s">
        <v>316</v>
      </c>
    </row>
    <row r="26458">
      <c r="A26458" s="17"/>
      <c r="H26458" s="18"/>
      <c r="K26458" s="18" t="s">
        <v>316</v>
      </c>
    </row>
    <row r="26459">
      <c r="A26459" s="17"/>
      <c r="H26459" s="18"/>
      <c r="K26459" s="18" t="s">
        <v>316</v>
      </c>
    </row>
    <row r="26460">
      <c r="A26460" s="17"/>
      <c r="H26460" s="18"/>
      <c r="K26460" s="18" t="s">
        <v>316</v>
      </c>
    </row>
    <row r="26461">
      <c r="A26461" s="17"/>
      <c r="H26461" s="18"/>
      <c r="K26461" s="18" t="s">
        <v>316</v>
      </c>
    </row>
    <row r="26462">
      <c r="A26462" s="17"/>
      <c r="H26462" s="18"/>
      <c r="K26462" s="18" t="s">
        <v>316</v>
      </c>
    </row>
    <row r="26463">
      <c r="A26463" s="17"/>
      <c r="H26463" s="18"/>
      <c r="K26463" s="18" t="s">
        <v>316</v>
      </c>
    </row>
    <row r="26464">
      <c r="A26464" s="17"/>
      <c r="H26464" s="18"/>
      <c r="K26464" s="18" t="s">
        <v>316</v>
      </c>
    </row>
    <row r="26465">
      <c r="A26465" s="17"/>
      <c r="H26465" s="18"/>
      <c r="K26465" s="18" t="s">
        <v>316</v>
      </c>
    </row>
    <row r="26466">
      <c r="A26466" s="17"/>
      <c r="H26466" s="18"/>
      <c r="K26466" s="18" t="s">
        <v>316</v>
      </c>
    </row>
    <row r="26467">
      <c r="A26467" s="17"/>
      <c r="H26467" s="18"/>
      <c r="K26467" s="18" t="s">
        <v>316</v>
      </c>
    </row>
    <row r="26468">
      <c r="A26468" s="17"/>
      <c r="H26468" s="18"/>
      <c r="K26468" s="18" t="s">
        <v>316</v>
      </c>
    </row>
    <row r="26469">
      <c r="A26469" s="17"/>
      <c r="H26469" s="18"/>
      <c r="K26469" s="18" t="s">
        <v>316</v>
      </c>
    </row>
    <row r="26470">
      <c r="A26470" s="17"/>
      <c r="H26470" s="18"/>
      <c r="K26470" s="18" t="s">
        <v>316</v>
      </c>
    </row>
    <row r="26471">
      <c r="A26471" s="17"/>
      <c r="H26471" s="18"/>
      <c r="K26471" s="18" t="s">
        <v>316</v>
      </c>
    </row>
    <row r="26472">
      <c r="A26472" s="17"/>
      <c r="H26472" s="18"/>
      <c r="K26472" s="18" t="s">
        <v>316</v>
      </c>
    </row>
    <row r="26473">
      <c r="A26473" s="17"/>
      <c r="H26473" s="18"/>
      <c r="K26473" s="18" t="s">
        <v>316</v>
      </c>
    </row>
    <row r="26474">
      <c r="A26474" s="17"/>
      <c r="H26474" s="18"/>
      <c r="K26474" s="18" t="s">
        <v>316</v>
      </c>
    </row>
    <row r="26475">
      <c r="A26475" s="17"/>
      <c r="H26475" s="18"/>
      <c r="K26475" s="18" t="s">
        <v>316</v>
      </c>
    </row>
    <row r="26476">
      <c r="A26476" s="17"/>
      <c r="H26476" s="18"/>
      <c r="K26476" s="18" t="s">
        <v>316</v>
      </c>
    </row>
    <row r="26477">
      <c r="A26477" s="17"/>
      <c r="H26477" s="18"/>
      <c r="K26477" s="18" t="s">
        <v>316</v>
      </c>
    </row>
    <row r="26478">
      <c r="A26478" s="17"/>
      <c r="H26478" s="18"/>
      <c r="K26478" s="18" t="s">
        <v>316</v>
      </c>
    </row>
    <row r="26479">
      <c r="A26479" s="17"/>
      <c r="H26479" s="18"/>
      <c r="K26479" s="18" t="s">
        <v>316</v>
      </c>
    </row>
    <row r="26480">
      <c r="A26480" s="17"/>
      <c r="H26480" s="18"/>
      <c r="K26480" s="18" t="s">
        <v>316</v>
      </c>
    </row>
    <row r="26481">
      <c r="A26481" s="17"/>
      <c r="H26481" s="18"/>
      <c r="K26481" s="18" t="s">
        <v>316</v>
      </c>
    </row>
    <row r="26482">
      <c r="A26482" s="17"/>
      <c r="H26482" s="18"/>
      <c r="K26482" s="18" t="s">
        <v>316</v>
      </c>
    </row>
    <row r="26483">
      <c r="A26483" s="17"/>
      <c r="H26483" s="18"/>
      <c r="K26483" s="18" t="s">
        <v>316</v>
      </c>
    </row>
    <row r="26484">
      <c r="A26484" s="17"/>
      <c r="H26484" s="18"/>
      <c r="K26484" s="18" t="s">
        <v>316</v>
      </c>
    </row>
    <row r="26485">
      <c r="A26485" s="17"/>
      <c r="H26485" s="18"/>
      <c r="K26485" s="18" t="s">
        <v>316</v>
      </c>
    </row>
    <row r="26486">
      <c r="A26486" s="17"/>
      <c r="H26486" s="18"/>
      <c r="K26486" s="18" t="s">
        <v>316</v>
      </c>
    </row>
    <row r="26487">
      <c r="A26487" s="17"/>
      <c r="H26487" s="18"/>
      <c r="K26487" s="18" t="s">
        <v>316</v>
      </c>
    </row>
    <row r="26488">
      <c r="A26488" s="17"/>
      <c r="H26488" s="18"/>
      <c r="K26488" s="18" t="s">
        <v>316</v>
      </c>
    </row>
    <row r="26489">
      <c r="A26489" s="17"/>
      <c r="H26489" s="18"/>
      <c r="K26489" s="18" t="s">
        <v>316</v>
      </c>
    </row>
    <row r="26490">
      <c r="A26490" s="17"/>
      <c r="H26490" s="18"/>
      <c r="K26490" s="18" t="s">
        <v>316</v>
      </c>
    </row>
    <row r="26491">
      <c r="A26491" s="17"/>
      <c r="H26491" s="18"/>
      <c r="K26491" s="18" t="s">
        <v>316</v>
      </c>
    </row>
    <row r="26492">
      <c r="A26492" s="17"/>
      <c r="H26492" s="18"/>
      <c r="K26492" s="18" t="s">
        <v>316</v>
      </c>
    </row>
    <row r="26493">
      <c r="A26493" s="17"/>
      <c r="H26493" s="18"/>
      <c r="K26493" s="18" t="s">
        <v>316</v>
      </c>
    </row>
    <row r="26494">
      <c r="A26494" s="17"/>
      <c r="H26494" s="18"/>
      <c r="K26494" s="18" t="s">
        <v>316</v>
      </c>
    </row>
    <row r="26495">
      <c r="A26495" s="17"/>
      <c r="H26495" s="18"/>
      <c r="K26495" s="18" t="s">
        <v>316</v>
      </c>
    </row>
    <row r="26496">
      <c r="A26496" s="17"/>
      <c r="H26496" s="18"/>
      <c r="K26496" s="18" t="s">
        <v>316</v>
      </c>
    </row>
    <row r="26497">
      <c r="A26497" s="17"/>
      <c r="H26497" s="18"/>
      <c r="K26497" s="18" t="s">
        <v>316</v>
      </c>
    </row>
    <row r="26498">
      <c r="A26498" s="17"/>
      <c r="H26498" s="18"/>
      <c r="K26498" s="18" t="s">
        <v>316</v>
      </c>
    </row>
    <row r="26499">
      <c r="A26499" s="17"/>
      <c r="H26499" s="18"/>
      <c r="K26499" s="18" t="s">
        <v>316</v>
      </c>
    </row>
    <row r="26500">
      <c r="A26500" s="17"/>
      <c r="H26500" s="18"/>
      <c r="K26500" s="18" t="s">
        <v>316</v>
      </c>
    </row>
    <row r="26501">
      <c r="A26501" s="17"/>
      <c r="H26501" s="18"/>
      <c r="K26501" s="18" t="s">
        <v>316</v>
      </c>
    </row>
    <row r="26502">
      <c r="A26502" s="17"/>
      <c r="H26502" s="18"/>
      <c r="K26502" s="18" t="s">
        <v>316</v>
      </c>
    </row>
    <row r="26503">
      <c r="A26503" s="17"/>
      <c r="H26503" s="18"/>
      <c r="K26503" s="18" t="s">
        <v>316</v>
      </c>
    </row>
    <row r="26504">
      <c r="A26504" s="17"/>
      <c r="H26504" s="18"/>
      <c r="K26504" s="18" t="s">
        <v>316</v>
      </c>
    </row>
    <row r="26505">
      <c r="A26505" s="17"/>
      <c r="H26505" s="18"/>
      <c r="K26505" s="18" t="s">
        <v>316</v>
      </c>
    </row>
    <row r="26506">
      <c r="A26506" s="17"/>
      <c r="H26506" s="18"/>
      <c r="K26506" s="18" t="s">
        <v>316</v>
      </c>
    </row>
    <row r="26507">
      <c r="A26507" s="17"/>
      <c r="H26507" s="18"/>
      <c r="K26507" s="18" t="s">
        <v>316</v>
      </c>
    </row>
    <row r="26508">
      <c r="A26508" s="17"/>
      <c r="H26508" s="18"/>
      <c r="K26508" s="18" t="s">
        <v>316</v>
      </c>
    </row>
    <row r="26509">
      <c r="A26509" s="17"/>
      <c r="H26509" s="18"/>
      <c r="K26509" s="18" t="s">
        <v>316</v>
      </c>
    </row>
    <row r="26510">
      <c r="A26510" s="17"/>
      <c r="H26510" s="18"/>
      <c r="K26510" s="18" t="s">
        <v>316</v>
      </c>
    </row>
    <row r="26511">
      <c r="A26511" s="17"/>
      <c r="H26511" s="18"/>
      <c r="K26511" s="18" t="s">
        <v>316</v>
      </c>
    </row>
    <row r="26512">
      <c r="A26512" s="17"/>
      <c r="H26512" s="18"/>
      <c r="K26512" s="18" t="s">
        <v>316</v>
      </c>
    </row>
    <row r="26513">
      <c r="A26513" s="17"/>
      <c r="H26513" s="18"/>
      <c r="K26513" s="18" t="s">
        <v>316</v>
      </c>
    </row>
    <row r="26514">
      <c r="A26514" s="17"/>
      <c r="H26514" s="18"/>
      <c r="K26514" s="18" t="s">
        <v>316</v>
      </c>
    </row>
    <row r="26515">
      <c r="A26515" s="17"/>
      <c r="H26515" s="18"/>
      <c r="K26515" s="18" t="s">
        <v>316</v>
      </c>
    </row>
    <row r="26516">
      <c r="A26516" s="17"/>
      <c r="H26516" s="18"/>
      <c r="K26516" s="18" t="s">
        <v>316</v>
      </c>
    </row>
    <row r="26517">
      <c r="A26517" s="17"/>
      <c r="H26517" s="18"/>
      <c r="K26517" s="18" t="s">
        <v>316</v>
      </c>
    </row>
    <row r="26518">
      <c r="A26518" s="17"/>
      <c r="H26518" s="18"/>
      <c r="K26518" s="18" t="s">
        <v>316</v>
      </c>
    </row>
    <row r="26519">
      <c r="A26519" s="17"/>
      <c r="H26519" s="18"/>
      <c r="K26519" s="18" t="s">
        <v>316</v>
      </c>
    </row>
    <row r="26520">
      <c r="A26520" s="17"/>
      <c r="H26520" s="18"/>
      <c r="K26520" s="18" t="s">
        <v>316</v>
      </c>
    </row>
    <row r="26521">
      <c r="A26521" s="17"/>
      <c r="H26521" s="18"/>
      <c r="K26521" s="18" t="s">
        <v>316</v>
      </c>
    </row>
    <row r="26522">
      <c r="A26522" s="17"/>
      <c r="H26522" s="18"/>
      <c r="K26522" s="18" t="s">
        <v>316</v>
      </c>
    </row>
    <row r="26523">
      <c r="A26523" s="17"/>
      <c r="H26523" s="18"/>
      <c r="K26523" s="18" t="s">
        <v>316</v>
      </c>
    </row>
    <row r="26524">
      <c r="A26524" s="17"/>
      <c r="H26524" s="18"/>
      <c r="K26524" s="18" t="s">
        <v>316</v>
      </c>
    </row>
    <row r="26525">
      <c r="A26525" s="17"/>
      <c r="H26525" s="18"/>
      <c r="K26525" s="18" t="s">
        <v>316</v>
      </c>
    </row>
    <row r="26526">
      <c r="A26526" s="17"/>
      <c r="H26526" s="18"/>
      <c r="K26526" s="18" t="s">
        <v>316</v>
      </c>
    </row>
    <row r="26527">
      <c r="A26527" s="17"/>
      <c r="H26527" s="18"/>
      <c r="K26527" s="18" t="s">
        <v>316</v>
      </c>
    </row>
    <row r="26528">
      <c r="A26528" s="17"/>
      <c r="H26528" s="18"/>
      <c r="K26528" s="18" t="s">
        <v>316</v>
      </c>
    </row>
    <row r="26529">
      <c r="A26529" s="17"/>
      <c r="H26529" s="18"/>
      <c r="K26529" s="18" t="s">
        <v>316</v>
      </c>
    </row>
    <row r="26530">
      <c r="A26530" s="17"/>
      <c r="H26530" s="18"/>
      <c r="K26530" s="18" t="s">
        <v>316</v>
      </c>
    </row>
    <row r="26531">
      <c r="A26531" s="17"/>
      <c r="H26531" s="18"/>
      <c r="K26531" s="18" t="s">
        <v>316</v>
      </c>
    </row>
    <row r="26532">
      <c r="A26532" s="17"/>
      <c r="H26532" s="18"/>
      <c r="K26532" s="18" t="s">
        <v>316</v>
      </c>
    </row>
    <row r="26533">
      <c r="A26533" s="17"/>
      <c r="H26533" s="18"/>
      <c r="K26533" s="18" t="s">
        <v>316</v>
      </c>
    </row>
    <row r="26534">
      <c r="A26534" s="17"/>
      <c r="H26534" s="18"/>
      <c r="K26534" s="18" t="s">
        <v>316</v>
      </c>
    </row>
    <row r="26535">
      <c r="A26535" s="17"/>
      <c r="H26535" s="18"/>
      <c r="K26535" s="18" t="s">
        <v>316</v>
      </c>
    </row>
    <row r="26536">
      <c r="A26536" s="17"/>
      <c r="H26536" s="18"/>
      <c r="K26536" s="18" t="s">
        <v>316</v>
      </c>
    </row>
    <row r="26537">
      <c r="A26537" s="17"/>
      <c r="H26537" s="18"/>
      <c r="K26537" s="18" t="s">
        <v>316</v>
      </c>
    </row>
    <row r="26538">
      <c r="A26538" s="17"/>
      <c r="H26538" s="18"/>
      <c r="K26538" s="18" t="s">
        <v>316</v>
      </c>
    </row>
    <row r="26539">
      <c r="A26539" s="17"/>
      <c r="H26539" s="18"/>
      <c r="K26539" s="18" t="s">
        <v>316</v>
      </c>
    </row>
    <row r="26540">
      <c r="A26540" s="17"/>
      <c r="H26540" s="18"/>
      <c r="K26540" s="18" t="s">
        <v>316</v>
      </c>
    </row>
    <row r="26541">
      <c r="A26541" s="17"/>
      <c r="H26541" s="18"/>
      <c r="K26541" s="18" t="s">
        <v>316</v>
      </c>
    </row>
    <row r="26542">
      <c r="A26542" s="17"/>
      <c r="H26542" s="18"/>
      <c r="K26542" s="18" t="s">
        <v>316</v>
      </c>
    </row>
    <row r="26543">
      <c r="A26543" s="17"/>
      <c r="H26543" s="18"/>
      <c r="K26543" s="18" t="s">
        <v>316</v>
      </c>
    </row>
    <row r="26544">
      <c r="A26544" s="17"/>
      <c r="H26544" s="18"/>
      <c r="K26544" s="18" t="s">
        <v>316</v>
      </c>
    </row>
    <row r="26545">
      <c r="A26545" s="17"/>
      <c r="H26545" s="18"/>
      <c r="K26545" s="18" t="s">
        <v>316</v>
      </c>
    </row>
    <row r="26546">
      <c r="A26546" s="17"/>
      <c r="H26546" s="18"/>
      <c r="K26546" s="18" t="s">
        <v>316</v>
      </c>
    </row>
    <row r="26547">
      <c r="A26547" s="17"/>
      <c r="H26547" s="18"/>
      <c r="K26547" s="18" t="s">
        <v>316</v>
      </c>
    </row>
    <row r="26548">
      <c r="A26548" s="17"/>
      <c r="H26548" s="18"/>
      <c r="K26548" s="18" t="s">
        <v>316</v>
      </c>
    </row>
    <row r="26549">
      <c r="A26549" s="17"/>
      <c r="H26549" s="18"/>
      <c r="K26549" s="18" t="s">
        <v>316</v>
      </c>
    </row>
    <row r="26550">
      <c r="A26550" s="17"/>
      <c r="H26550" s="18"/>
      <c r="K26550" s="18" t="s">
        <v>316</v>
      </c>
    </row>
    <row r="26551">
      <c r="A26551" s="17"/>
      <c r="H26551" s="18"/>
      <c r="K26551" s="18" t="s">
        <v>316</v>
      </c>
    </row>
    <row r="26552">
      <c r="A26552" s="17"/>
      <c r="H26552" s="18"/>
      <c r="K26552" s="18" t="s">
        <v>316</v>
      </c>
    </row>
    <row r="26553">
      <c r="A26553" s="17"/>
      <c r="H26553" s="18"/>
      <c r="K26553" s="18" t="s">
        <v>316</v>
      </c>
    </row>
    <row r="26554">
      <c r="A26554" s="17"/>
      <c r="H26554" s="18"/>
      <c r="K26554" s="18" t="s">
        <v>316</v>
      </c>
    </row>
    <row r="26555">
      <c r="A26555" s="17"/>
      <c r="H26555" s="18"/>
      <c r="K26555" s="18" t="s">
        <v>316</v>
      </c>
    </row>
    <row r="26556">
      <c r="A26556" s="17"/>
      <c r="H26556" s="18"/>
      <c r="K26556" s="18" t="s">
        <v>316</v>
      </c>
    </row>
    <row r="26557">
      <c r="A26557" s="17"/>
      <c r="H26557" s="18"/>
      <c r="K26557" s="18" t="s">
        <v>316</v>
      </c>
    </row>
    <row r="26558">
      <c r="A26558" s="17"/>
      <c r="H26558" s="18"/>
      <c r="K26558" s="18" t="s">
        <v>316</v>
      </c>
    </row>
    <row r="26559">
      <c r="A26559" s="17"/>
      <c r="H26559" s="18"/>
      <c r="K26559" s="18" t="s">
        <v>316</v>
      </c>
    </row>
    <row r="26560">
      <c r="A26560" s="17"/>
      <c r="H26560" s="18"/>
      <c r="K26560" s="18" t="s">
        <v>316</v>
      </c>
    </row>
    <row r="26561">
      <c r="A26561" s="17"/>
      <c r="H26561" s="18"/>
      <c r="K26561" s="18" t="s">
        <v>316</v>
      </c>
    </row>
    <row r="26562">
      <c r="A26562" s="17"/>
      <c r="H26562" s="18"/>
      <c r="K26562" s="18" t="s">
        <v>316</v>
      </c>
    </row>
    <row r="26563">
      <c r="A26563" s="17"/>
      <c r="H26563" s="18"/>
      <c r="K26563" s="18" t="s">
        <v>316</v>
      </c>
    </row>
    <row r="26564">
      <c r="A26564" s="17"/>
      <c r="H26564" s="18"/>
      <c r="K26564" s="18" t="s">
        <v>316</v>
      </c>
    </row>
    <row r="26565">
      <c r="A26565" s="17"/>
      <c r="H26565" s="18"/>
      <c r="K26565" s="18" t="s">
        <v>316</v>
      </c>
    </row>
    <row r="26566">
      <c r="A26566" s="17"/>
      <c r="H26566" s="18"/>
      <c r="K26566" s="18" t="s">
        <v>316</v>
      </c>
    </row>
    <row r="26567">
      <c r="A26567" s="17"/>
      <c r="H26567" s="18"/>
      <c r="K26567" s="18" t="s">
        <v>316</v>
      </c>
    </row>
    <row r="26568">
      <c r="A26568" s="17"/>
      <c r="H26568" s="18"/>
      <c r="K26568" s="18" t="s">
        <v>316</v>
      </c>
    </row>
    <row r="26569">
      <c r="A26569" s="17"/>
      <c r="H26569" s="18"/>
      <c r="K26569" s="18" t="s">
        <v>316</v>
      </c>
    </row>
    <row r="26570">
      <c r="A26570" s="17"/>
      <c r="H26570" s="18"/>
      <c r="K26570" s="18" t="s">
        <v>316</v>
      </c>
    </row>
    <row r="26571">
      <c r="A26571" s="17"/>
      <c r="H26571" s="18"/>
      <c r="K26571" s="18" t="s">
        <v>316</v>
      </c>
    </row>
    <row r="26572">
      <c r="A26572" s="17"/>
      <c r="H26572" s="18"/>
      <c r="K26572" s="18" t="s">
        <v>316</v>
      </c>
    </row>
    <row r="26573">
      <c r="A26573" s="17"/>
      <c r="H26573" s="18"/>
      <c r="K26573" s="18" t="s">
        <v>316</v>
      </c>
    </row>
    <row r="26574">
      <c r="A26574" s="17"/>
      <c r="H26574" s="18"/>
      <c r="K26574" s="18" t="s">
        <v>316</v>
      </c>
    </row>
    <row r="26575">
      <c r="A26575" s="17"/>
      <c r="H26575" s="18"/>
      <c r="K26575" s="18" t="s">
        <v>316</v>
      </c>
    </row>
    <row r="26576">
      <c r="A26576" s="17"/>
      <c r="H26576" s="18"/>
      <c r="K26576" s="18" t="s">
        <v>316</v>
      </c>
    </row>
    <row r="26577">
      <c r="A26577" s="17"/>
      <c r="H26577" s="18"/>
      <c r="K26577" s="18" t="s">
        <v>316</v>
      </c>
    </row>
    <row r="26578">
      <c r="A26578" s="17"/>
      <c r="H26578" s="18"/>
      <c r="K26578" s="18" t="s">
        <v>316</v>
      </c>
    </row>
    <row r="26579">
      <c r="A26579" s="17"/>
      <c r="H26579" s="18"/>
      <c r="K26579" s="18" t="s">
        <v>316</v>
      </c>
    </row>
    <row r="26580">
      <c r="A26580" s="17"/>
      <c r="H26580" s="18"/>
      <c r="K26580" s="18" t="s">
        <v>316</v>
      </c>
    </row>
    <row r="26581">
      <c r="A26581" s="17"/>
      <c r="H26581" s="18"/>
      <c r="K26581" s="18" t="s">
        <v>316</v>
      </c>
    </row>
    <row r="26582">
      <c r="A26582" s="17"/>
      <c r="H26582" s="18"/>
      <c r="K26582" s="18" t="s">
        <v>316</v>
      </c>
    </row>
    <row r="26583">
      <c r="A26583" s="17"/>
      <c r="H26583" s="18"/>
      <c r="K26583" s="18" t="s">
        <v>316</v>
      </c>
    </row>
    <row r="26584">
      <c r="A26584" s="17"/>
      <c r="H26584" s="18"/>
      <c r="K26584" s="18" t="s">
        <v>316</v>
      </c>
    </row>
    <row r="26585">
      <c r="A26585" s="17"/>
      <c r="H26585" s="18"/>
      <c r="K26585" s="18" t="s">
        <v>316</v>
      </c>
    </row>
    <row r="26586">
      <c r="A26586" s="17"/>
      <c r="H26586" s="18"/>
      <c r="K26586" s="18" t="s">
        <v>316</v>
      </c>
    </row>
    <row r="26587">
      <c r="A26587" s="17"/>
      <c r="H26587" s="18"/>
      <c r="K26587" s="18" t="s">
        <v>316</v>
      </c>
    </row>
    <row r="26588">
      <c r="A26588" s="17"/>
      <c r="H26588" s="18"/>
      <c r="K26588" s="18" t="s">
        <v>316</v>
      </c>
    </row>
    <row r="26589">
      <c r="A26589" s="17"/>
      <c r="H26589" s="18"/>
      <c r="K26589" s="18" t="s">
        <v>316</v>
      </c>
    </row>
    <row r="26590">
      <c r="A26590" s="17"/>
      <c r="H26590" s="18"/>
      <c r="K26590" s="18" t="s">
        <v>316</v>
      </c>
    </row>
    <row r="26591">
      <c r="A26591" s="17"/>
      <c r="H26591" s="18"/>
      <c r="K26591" s="18" t="s">
        <v>316</v>
      </c>
    </row>
    <row r="26592">
      <c r="A26592" s="17"/>
      <c r="H26592" s="18"/>
      <c r="K26592" s="18" t="s">
        <v>316</v>
      </c>
    </row>
    <row r="26593">
      <c r="A26593" s="17"/>
      <c r="H26593" s="18"/>
      <c r="K26593" s="18" t="s">
        <v>316</v>
      </c>
    </row>
    <row r="26594">
      <c r="A26594" s="17"/>
      <c r="H26594" s="18"/>
      <c r="K26594" s="18" t="s">
        <v>316</v>
      </c>
    </row>
    <row r="26595">
      <c r="A26595" s="17"/>
      <c r="H26595" s="18"/>
      <c r="K26595" s="18" t="s">
        <v>316</v>
      </c>
    </row>
    <row r="26596">
      <c r="A26596" s="17"/>
      <c r="H26596" s="18"/>
      <c r="K26596" s="18" t="s">
        <v>316</v>
      </c>
    </row>
    <row r="26597">
      <c r="A26597" s="17"/>
      <c r="H26597" s="18"/>
      <c r="K26597" s="18" t="s">
        <v>316</v>
      </c>
    </row>
    <row r="26598">
      <c r="A26598" s="17"/>
      <c r="H26598" s="18"/>
      <c r="K26598" s="18" t="s">
        <v>316</v>
      </c>
    </row>
    <row r="26599">
      <c r="A26599" s="17"/>
      <c r="H26599" s="18"/>
      <c r="K26599" s="18" t="s">
        <v>316</v>
      </c>
    </row>
    <row r="26600">
      <c r="A26600" s="17"/>
      <c r="H26600" s="18"/>
      <c r="K26600" s="18" t="s">
        <v>316</v>
      </c>
    </row>
    <row r="26601">
      <c r="A26601" s="17"/>
      <c r="H26601" s="18"/>
      <c r="K26601" s="18" t="s">
        <v>316</v>
      </c>
    </row>
    <row r="26602">
      <c r="A26602" s="17"/>
      <c r="H26602" s="18"/>
      <c r="K26602" s="18" t="s">
        <v>316</v>
      </c>
    </row>
    <row r="26603">
      <c r="A26603" s="17"/>
      <c r="H26603" s="18"/>
      <c r="K26603" s="18" t="s">
        <v>316</v>
      </c>
    </row>
    <row r="26604">
      <c r="A26604" s="17"/>
      <c r="H26604" s="18"/>
      <c r="K26604" s="18" t="s">
        <v>316</v>
      </c>
    </row>
    <row r="26605">
      <c r="A26605" s="17"/>
      <c r="H26605" s="18"/>
      <c r="K26605" s="18" t="s">
        <v>316</v>
      </c>
    </row>
    <row r="26606">
      <c r="A26606" s="17"/>
      <c r="H26606" s="18"/>
      <c r="K26606" s="18" t="s">
        <v>316</v>
      </c>
    </row>
    <row r="26607">
      <c r="A26607" s="17"/>
      <c r="H26607" s="18"/>
      <c r="K26607" s="18" t="s">
        <v>316</v>
      </c>
    </row>
    <row r="26608">
      <c r="A26608" s="17"/>
      <c r="H26608" s="18"/>
      <c r="K26608" s="18" t="s">
        <v>316</v>
      </c>
    </row>
    <row r="26609">
      <c r="A26609" s="17"/>
      <c r="H26609" s="18"/>
      <c r="K26609" s="18" t="s">
        <v>316</v>
      </c>
    </row>
    <row r="26610">
      <c r="A26610" s="17"/>
      <c r="H26610" s="18"/>
      <c r="K26610" s="18" t="s">
        <v>316</v>
      </c>
    </row>
    <row r="26611">
      <c r="A26611" s="17"/>
      <c r="H26611" s="18"/>
      <c r="K26611" s="18" t="s">
        <v>316</v>
      </c>
    </row>
    <row r="26612">
      <c r="A26612" s="17"/>
      <c r="H26612" s="18"/>
      <c r="K26612" s="18" t="s">
        <v>316</v>
      </c>
    </row>
    <row r="26613">
      <c r="A26613" s="17"/>
      <c r="H26613" s="18"/>
      <c r="K26613" s="18" t="s">
        <v>316</v>
      </c>
    </row>
    <row r="26614">
      <c r="A26614" s="17"/>
      <c r="H26614" s="18"/>
      <c r="K26614" s="18" t="s">
        <v>316</v>
      </c>
    </row>
    <row r="26615">
      <c r="A26615" s="17"/>
      <c r="H26615" s="18"/>
      <c r="K26615" s="18" t="s">
        <v>316</v>
      </c>
    </row>
    <row r="26616">
      <c r="A26616" s="17"/>
      <c r="H26616" s="18"/>
      <c r="K26616" s="18" t="s">
        <v>316</v>
      </c>
    </row>
    <row r="26617">
      <c r="A26617" s="17"/>
      <c r="H26617" s="18"/>
      <c r="K26617" s="18" t="s">
        <v>316</v>
      </c>
    </row>
    <row r="26618">
      <c r="A26618" s="17"/>
      <c r="H26618" s="18"/>
      <c r="K26618" s="18" t="s">
        <v>316</v>
      </c>
    </row>
    <row r="26619">
      <c r="A26619" s="17"/>
      <c r="H26619" s="18"/>
      <c r="K26619" s="18" t="s">
        <v>316</v>
      </c>
    </row>
    <row r="26620">
      <c r="A26620" s="17"/>
      <c r="H26620" s="18"/>
      <c r="K26620" s="18" t="s">
        <v>316</v>
      </c>
    </row>
    <row r="26621">
      <c r="A26621" s="17"/>
      <c r="H26621" s="18"/>
      <c r="K26621" s="18" t="s">
        <v>316</v>
      </c>
    </row>
    <row r="26622">
      <c r="A26622" s="17"/>
      <c r="H26622" s="18"/>
      <c r="K26622" s="18" t="s">
        <v>316</v>
      </c>
    </row>
    <row r="26623">
      <c r="A26623" s="17"/>
      <c r="H26623" s="18"/>
      <c r="K26623" s="18" t="s">
        <v>316</v>
      </c>
    </row>
    <row r="26624">
      <c r="A26624" s="17"/>
      <c r="H26624" s="18"/>
      <c r="K26624" s="18" t="s">
        <v>316</v>
      </c>
    </row>
    <row r="26625">
      <c r="A26625" s="17"/>
      <c r="H26625" s="18"/>
      <c r="K26625" s="18" t="s">
        <v>316</v>
      </c>
    </row>
    <row r="26626">
      <c r="A26626" s="17"/>
      <c r="H26626" s="18"/>
      <c r="K26626" s="18" t="s">
        <v>316</v>
      </c>
    </row>
    <row r="26627">
      <c r="A26627" s="17"/>
      <c r="H26627" s="18"/>
      <c r="K26627" s="18" t="s">
        <v>316</v>
      </c>
    </row>
    <row r="26628">
      <c r="A26628" s="17"/>
      <c r="H26628" s="18"/>
      <c r="K26628" s="18" t="s">
        <v>316</v>
      </c>
    </row>
    <row r="26629">
      <c r="A26629" s="17"/>
      <c r="H26629" s="18"/>
      <c r="K26629" s="18" t="s">
        <v>316</v>
      </c>
    </row>
    <row r="26630">
      <c r="A26630" s="17"/>
      <c r="H26630" s="18"/>
      <c r="K26630" s="18" t="s">
        <v>316</v>
      </c>
    </row>
    <row r="26631">
      <c r="A26631" s="17"/>
      <c r="H26631" s="18"/>
      <c r="K26631" s="18" t="s">
        <v>316</v>
      </c>
    </row>
    <row r="26632">
      <c r="A26632" s="17"/>
      <c r="H26632" s="18"/>
      <c r="K26632" s="18" t="s">
        <v>316</v>
      </c>
    </row>
    <row r="26633">
      <c r="A26633" s="17"/>
      <c r="H26633" s="18"/>
      <c r="K26633" s="18" t="s">
        <v>316</v>
      </c>
    </row>
    <row r="26634">
      <c r="A26634" s="17"/>
      <c r="H26634" s="18"/>
      <c r="K26634" s="18" t="s">
        <v>316</v>
      </c>
    </row>
    <row r="26635">
      <c r="A26635" s="17"/>
      <c r="H26635" s="18"/>
      <c r="K26635" s="18" t="s">
        <v>316</v>
      </c>
    </row>
    <row r="26636">
      <c r="A26636" s="17"/>
      <c r="H26636" s="18"/>
      <c r="K26636" s="18" t="s">
        <v>316</v>
      </c>
    </row>
    <row r="26637">
      <c r="A26637" s="17"/>
      <c r="H26637" s="18"/>
      <c r="K26637" s="18" t="s">
        <v>316</v>
      </c>
    </row>
    <row r="26638">
      <c r="A26638" s="17"/>
      <c r="H26638" s="18"/>
      <c r="K26638" s="18" t="s">
        <v>316</v>
      </c>
    </row>
    <row r="26639">
      <c r="A26639" s="17"/>
      <c r="H26639" s="18"/>
      <c r="K26639" s="18" t="s">
        <v>316</v>
      </c>
    </row>
    <row r="26640">
      <c r="A26640" s="17"/>
      <c r="H26640" s="18"/>
      <c r="K26640" s="18" t="s">
        <v>316</v>
      </c>
    </row>
    <row r="26641">
      <c r="A26641" s="17"/>
      <c r="H26641" s="18"/>
      <c r="K26641" s="18" t="s">
        <v>316</v>
      </c>
    </row>
    <row r="26642">
      <c r="A26642" s="17"/>
      <c r="H26642" s="18"/>
      <c r="K26642" s="18" t="s">
        <v>316</v>
      </c>
    </row>
    <row r="26643">
      <c r="A26643" s="17"/>
      <c r="H26643" s="18"/>
      <c r="K26643" s="18" t="s">
        <v>316</v>
      </c>
    </row>
    <row r="26644">
      <c r="A26644" s="17"/>
      <c r="H26644" s="18"/>
      <c r="K26644" s="18" t="s">
        <v>316</v>
      </c>
    </row>
    <row r="26645">
      <c r="A26645" s="17"/>
      <c r="H26645" s="18"/>
      <c r="K26645" s="18" t="s">
        <v>316</v>
      </c>
    </row>
    <row r="26646">
      <c r="A26646" s="17"/>
      <c r="H26646" s="18"/>
      <c r="K26646" s="18" t="s">
        <v>316</v>
      </c>
    </row>
    <row r="26647">
      <c r="A26647" s="17"/>
      <c r="H26647" s="18"/>
      <c r="K26647" s="18" t="s">
        <v>316</v>
      </c>
    </row>
    <row r="26648">
      <c r="A26648" s="17"/>
      <c r="H26648" s="18"/>
      <c r="K26648" s="18" t="s">
        <v>316</v>
      </c>
    </row>
    <row r="26649">
      <c r="A26649" s="17"/>
      <c r="H26649" s="18"/>
      <c r="K26649" s="18" t="s">
        <v>316</v>
      </c>
    </row>
    <row r="26650">
      <c r="A26650" s="17"/>
      <c r="H26650" s="18"/>
      <c r="K26650" s="18" t="s">
        <v>316</v>
      </c>
    </row>
    <row r="26651">
      <c r="A26651" s="17"/>
      <c r="H26651" s="18"/>
      <c r="K26651" s="18" t="s">
        <v>316</v>
      </c>
    </row>
    <row r="26652">
      <c r="A26652" s="17"/>
      <c r="H26652" s="18"/>
      <c r="K26652" s="18" t="s">
        <v>316</v>
      </c>
    </row>
    <row r="26653">
      <c r="A26653" s="17"/>
      <c r="H26653" s="18"/>
      <c r="K26653" s="18" t="s">
        <v>316</v>
      </c>
    </row>
    <row r="26654">
      <c r="A26654" s="17"/>
      <c r="H26654" s="18"/>
      <c r="K26654" s="18" t="s">
        <v>316</v>
      </c>
    </row>
    <row r="26655">
      <c r="A26655" s="17"/>
      <c r="H26655" s="18"/>
      <c r="K26655" s="18" t="s">
        <v>316</v>
      </c>
    </row>
    <row r="26656">
      <c r="A26656" s="17"/>
      <c r="H26656" s="18"/>
      <c r="K26656" s="18" t="s">
        <v>316</v>
      </c>
    </row>
    <row r="26657">
      <c r="A26657" s="17"/>
      <c r="H26657" s="18"/>
      <c r="K26657" s="18" t="s">
        <v>316</v>
      </c>
    </row>
    <row r="26658">
      <c r="A26658" s="17"/>
      <c r="H26658" s="18"/>
      <c r="K26658" s="18" t="s">
        <v>316</v>
      </c>
    </row>
    <row r="26659">
      <c r="A26659" s="17"/>
      <c r="H26659" s="18"/>
      <c r="K26659" s="18" t="s">
        <v>316</v>
      </c>
    </row>
    <row r="26660">
      <c r="A26660" s="17"/>
      <c r="H26660" s="18"/>
      <c r="K26660" s="18" t="s">
        <v>316</v>
      </c>
    </row>
    <row r="26661">
      <c r="A26661" s="17"/>
      <c r="H26661" s="18"/>
      <c r="K26661" s="18" t="s">
        <v>316</v>
      </c>
    </row>
    <row r="26662">
      <c r="A26662" s="17"/>
      <c r="H26662" s="18"/>
      <c r="K26662" s="18" t="s">
        <v>316</v>
      </c>
    </row>
    <row r="26663">
      <c r="A26663" s="17"/>
      <c r="H26663" s="18"/>
      <c r="K26663" s="18" t="s">
        <v>316</v>
      </c>
    </row>
    <row r="26664">
      <c r="A26664" s="17"/>
      <c r="H26664" s="18"/>
      <c r="K26664" s="18" t="s">
        <v>316</v>
      </c>
    </row>
    <row r="26665">
      <c r="A26665" s="17"/>
      <c r="H26665" s="18"/>
      <c r="K26665" s="18" t="s">
        <v>316</v>
      </c>
    </row>
    <row r="26666">
      <c r="A26666" s="17"/>
      <c r="H26666" s="18"/>
      <c r="K26666" s="18" t="s">
        <v>316</v>
      </c>
    </row>
    <row r="26667">
      <c r="A26667" s="17"/>
      <c r="H26667" s="18"/>
      <c r="K26667" s="18" t="s">
        <v>316</v>
      </c>
    </row>
    <row r="26668">
      <c r="A26668" s="17"/>
      <c r="H26668" s="18"/>
      <c r="K26668" s="18" t="s">
        <v>316</v>
      </c>
    </row>
    <row r="26669">
      <c r="A26669" s="17"/>
      <c r="H26669" s="18"/>
      <c r="K26669" s="18" t="s">
        <v>316</v>
      </c>
    </row>
    <row r="26670">
      <c r="A26670" s="17"/>
      <c r="H26670" s="18"/>
      <c r="K26670" s="18" t="s">
        <v>316</v>
      </c>
    </row>
    <row r="26671">
      <c r="A26671" s="17"/>
      <c r="H26671" s="18"/>
      <c r="K26671" s="18" t="s">
        <v>316</v>
      </c>
    </row>
    <row r="26672">
      <c r="A26672" s="17"/>
      <c r="H26672" s="18"/>
      <c r="K26672" s="18" t="s">
        <v>316</v>
      </c>
    </row>
    <row r="26673">
      <c r="A26673" s="17"/>
      <c r="H26673" s="18"/>
      <c r="K26673" s="18" t="s">
        <v>316</v>
      </c>
    </row>
    <row r="26674">
      <c r="A26674" s="17"/>
      <c r="H26674" s="18"/>
      <c r="K26674" s="18" t="s">
        <v>316</v>
      </c>
    </row>
    <row r="26675">
      <c r="A26675" s="17"/>
      <c r="H26675" s="18"/>
      <c r="K26675" s="18" t="s">
        <v>316</v>
      </c>
    </row>
    <row r="26676">
      <c r="A26676" s="17"/>
      <c r="H26676" s="18"/>
      <c r="K26676" s="18" t="s">
        <v>316</v>
      </c>
    </row>
    <row r="26677">
      <c r="A26677" s="17"/>
      <c r="H26677" s="18"/>
      <c r="K26677" s="18" t="s">
        <v>316</v>
      </c>
    </row>
    <row r="26678">
      <c r="A26678" s="17"/>
      <c r="H26678" s="18"/>
      <c r="K26678" s="18" t="s">
        <v>316</v>
      </c>
    </row>
    <row r="26679">
      <c r="A26679" s="17"/>
      <c r="H26679" s="18"/>
      <c r="K26679" s="18" t="s">
        <v>316</v>
      </c>
    </row>
    <row r="26680">
      <c r="A26680" s="17"/>
      <c r="H26680" s="18"/>
      <c r="K26680" s="18" t="s">
        <v>316</v>
      </c>
    </row>
    <row r="26681">
      <c r="A26681" s="17"/>
      <c r="H26681" s="18"/>
      <c r="K26681" s="18" t="s">
        <v>316</v>
      </c>
    </row>
    <row r="26682">
      <c r="A26682" s="17"/>
      <c r="H26682" s="18"/>
      <c r="K26682" s="18" t="s">
        <v>316</v>
      </c>
    </row>
    <row r="26683">
      <c r="A26683" s="17"/>
      <c r="H26683" s="18"/>
      <c r="K26683" s="18" t="s">
        <v>316</v>
      </c>
    </row>
    <row r="26684">
      <c r="A26684" s="17"/>
      <c r="H26684" s="18"/>
      <c r="K26684" s="18" t="s">
        <v>316</v>
      </c>
    </row>
    <row r="26685">
      <c r="A26685" s="17"/>
      <c r="H26685" s="18"/>
      <c r="K26685" s="18" t="s">
        <v>316</v>
      </c>
    </row>
    <row r="26686">
      <c r="A26686" s="17"/>
      <c r="H26686" s="18"/>
      <c r="K26686" s="18" t="s">
        <v>316</v>
      </c>
    </row>
    <row r="26687">
      <c r="A26687" s="17"/>
      <c r="H26687" s="18"/>
      <c r="K26687" s="18" t="s">
        <v>316</v>
      </c>
    </row>
    <row r="26688">
      <c r="A26688" s="17"/>
      <c r="H26688" s="18"/>
      <c r="K26688" s="18" t="s">
        <v>316</v>
      </c>
    </row>
    <row r="26689">
      <c r="A26689" s="17"/>
      <c r="H26689" s="18"/>
      <c r="K26689" s="18" t="s">
        <v>316</v>
      </c>
    </row>
    <row r="26690">
      <c r="A26690" s="17"/>
      <c r="H26690" s="18"/>
      <c r="K26690" s="18" t="s">
        <v>316</v>
      </c>
    </row>
    <row r="26691">
      <c r="A26691" s="17"/>
      <c r="H26691" s="18"/>
      <c r="K26691" s="18" t="s">
        <v>316</v>
      </c>
    </row>
    <row r="26692">
      <c r="A26692" s="17"/>
      <c r="H26692" s="18"/>
      <c r="K26692" s="18" t="s">
        <v>316</v>
      </c>
    </row>
    <row r="26693">
      <c r="A26693" s="17"/>
      <c r="H26693" s="18"/>
      <c r="K26693" s="18" t="s">
        <v>316</v>
      </c>
    </row>
    <row r="26694">
      <c r="A26694" s="17"/>
      <c r="H26694" s="18"/>
      <c r="K26694" s="18" t="s">
        <v>316</v>
      </c>
    </row>
    <row r="26695">
      <c r="A26695" s="17"/>
      <c r="H26695" s="18"/>
      <c r="K26695" s="18" t="s">
        <v>316</v>
      </c>
    </row>
    <row r="26696">
      <c r="A26696" s="17"/>
      <c r="H26696" s="18"/>
      <c r="K26696" s="18" t="s">
        <v>316</v>
      </c>
    </row>
    <row r="26697">
      <c r="A26697" s="17"/>
      <c r="H26697" s="18"/>
      <c r="K26697" s="18" t="s">
        <v>316</v>
      </c>
    </row>
    <row r="26698">
      <c r="A26698" s="17"/>
      <c r="H26698" s="18"/>
      <c r="K26698" s="18" t="s">
        <v>316</v>
      </c>
    </row>
    <row r="26699">
      <c r="A26699" s="17"/>
      <c r="H26699" s="18"/>
      <c r="K26699" s="18" t="s">
        <v>316</v>
      </c>
    </row>
    <row r="26700">
      <c r="A26700" s="17"/>
      <c r="H26700" s="18"/>
      <c r="K26700" s="18" t="s">
        <v>316</v>
      </c>
    </row>
    <row r="26701">
      <c r="A26701" s="17"/>
      <c r="H26701" s="18"/>
      <c r="K26701" s="18" t="s">
        <v>316</v>
      </c>
    </row>
    <row r="26702">
      <c r="A26702" s="17"/>
      <c r="H26702" s="18"/>
      <c r="K26702" s="18" t="s">
        <v>316</v>
      </c>
    </row>
    <row r="26703">
      <c r="A26703" s="17"/>
      <c r="H26703" s="18"/>
      <c r="K26703" s="18" t="s">
        <v>316</v>
      </c>
    </row>
    <row r="26704">
      <c r="A26704" s="17"/>
      <c r="H26704" s="18"/>
      <c r="K26704" s="18" t="s">
        <v>316</v>
      </c>
    </row>
    <row r="26705">
      <c r="A26705" s="17"/>
      <c r="H26705" s="18"/>
      <c r="K26705" s="18" t="s">
        <v>316</v>
      </c>
    </row>
    <row r="26706">
      <c r="A26706" s="17"/>
      <c r="H26706" s="18"/>
      <c r="K26706" s="18" t="s">
        <v>316</v>
      </c>
    </row>
    <row r="26707">
      <c r="A26707" s="17"/>
      <c r="H26707" s="18"/>
      <c r="K26707" s="18" t="s">
        <v>316</v>
      </c>
    </row>
    <row r="26708">
      <c r="A26708" s="17"/>
      <c r="H26708" s="18"/>
      <c r="K26708" s="18" t="s">
        <v>316</v>
      </c>
    </row>
    <row r="26709">
      <c r="A26709" s="17"/>
      <c r="H26709" s="18"/>
      <c r="K26709" s="18" t="s">
        <v>316</v>
      </c>
    </row>
    <row r="26710">
      <c r="A26710" s="17"/>
      <c r="H26710" s="18"/>
      <c r="K26710" s="18" t="s">
        <v>316</v>
      </c>
    </row>
    <row r="26711">
      <c r="A26711" s="17"/>
      <c r="H26711" s="18"/>
      <c r="K26711" s="18" t="s">
        <v>316</v>
      </c>
    </row>
    <row r="26712">
      <c r="A26712" s="17"/>
      <c r="H26712" s="18"/>
      <c r="K26712" s="18" t="s">
        <v>316</v>
      </c>
    </row>
    <row r="26713">
      <c r="A26713" s="17"/>
      <c r="H26713" s="18"/>
      <c r="K26713" s="18" t="s">
        <v>316</v>
      </c>
    </row>
    <row r="26714">
      <c r="A26714" s="17"/>
      <c r="H26714" s="18"/>
      <c r="K26714" s="18" t="s">
        <v>316</v>
      </c>
    </row>
    <row r="26715">
      <c r="A26715" s="17"/>
      <c r="H26715" s="18"/>
      <c r="K26715" s="18" t="s">
        <v>316</v>
      </c>
    </row>
    <row r="26716">
      <c r="A26716" s="17"/>
      <c r="H26716" s="18"/>
      <c r="K26716" s="18" t="s">
        <v>316</v>
      </c>
    </row>
    <row r="26717">
      <c r="A26717" s="17"/>
      <c r="H26717" s="18"/>
      <c r="K26717" s="18" t="s">
        <v>316</v>
      </c>
    </row>
    <row r="26718">
      <c r="A26718" s="17"/>
      <c r="H26718" s="18"/>
      <c r="K26718" s="18" t="s">
        <v>316</v>
      </c>
    </row>
    <row r="26719">
      <c r="A26719" s="17"/>
      <c r="H26719" s="18"/>
      <c r="K26719" s="18" t="s">
        <v>316</v>
      </c>
    </row>
    <row r="26720">
      <c r="A26720" s="17"/>
      <c r="H26720" s="18"/>
      <c r="K26720" s="18" t="s">
        <v>316</v>
      </c>
    </row>
    <row r="26721">
      <c r="A26721" s="17"/>
      <c r="H26721" s="18"/>
      <c r="K26721" s="18" t="s">
        <v>316</v>
      </c>
    </row>
    <row r="26722">
      <c r="A26722" s="17"/>
      <c r="H26722" s="18"/>
      <c r="K26722" s="18" t="s">
        <v>316</v>
      </c>
    </row>
    <row r="26723">
      <c r="A26723" s="17"/>
      <c r="H26723" s="18"/>
      <c r="K26723" s="18" t="s">
        <v>316</v>
      </c>
    </row>
    <row r="26724">
      <c r="A26724" s="17"/>
      <c r="H26724" s="18"/>
      <c r="K26724" s="18" t="s">
        <v>316</v>
      </c>
    </row>
    <row r="26725">
      <c r="A26725" s="17"/>
      <c r="H26725" s="18"/>
      <c r="K26725" s="18" t="s">
        <v>316</v>
      </c>
    </row>
    <row r="26726">
      <c r="A26726" s="17"/>
      <c r="H26726" s="18"/>
      <c r="K26726" s="18" t="s">
        <v>316</v>
      </c>
    </row>
    <row r="26727">
      <c r="A26727" s="17"/>
      <c r="H26727" s="18"/>
      <c r="K26727" s="18" t="s">
        <v>316</v>
      </c>
    </row>
    <row r="26728">
      <c r="A26728" s="17"/>
      <c r="H26728" s="18"/>
      <c r="K26728" s="18" t="s">
        <v>316</v>
      </c>
    </row>
    <row r="26729">
      <c r="A26729" s="17"/>
      <c r="H26729" s="18"/>
      <c r="K26729" s="18" t="s">
        <v>316</v>
      </c>
    </row>
    <row r="26730">
      <c r="A26730" s="17"/>
      <c r="H26730" s="18"/>
      <c r="K26730" s="18" t="s">
        <v>316</v>
      </c>
    </row>
    <row r="26731">
      <c r="A26731" s="17"/>
      <c r="H26731" s="18"/>
      <c r="K26731" s="18" t="s">
        <v>316</v>
      </c>
    </row>
    <row r="26732">
      <c r="A26732" s="17"/>
      <c r="H26732" s="18"/>
      <c r="K26732" s="18" t="s">
        <v>316</v>
      </c>
    </row>
    <row r="26733">
      <c r="A26733" s="17"/>
      <c r="H26733" s="18"/>
      <c r="K26733" s="18" t="s">
        <v>316</v>
      </c>
    </row>
    <row r="26734">
      <c r="A26734" s="17"/>
      <c r="H26734" s="18"/>
      <c r="K26734" s="18" t="s">
        <v>316</v>
      </c>
    </row>
    <row r="26735">
      <c r="A26735" s="17"/>
      <c r="H26735" s="18"/>
      <c r="K26735" s="18" t="s">
        <v>316</v>
      </c>
    </row>
    <row r="26736">
      <c r="A26736" s="17"/>
      <c r="H26736" s="18"/>
      <c r="K26736" s="18" t="s">
        <v>316</v>
      </c>
    </row>
    <row r="26737">
      <c r="A26737" s="17"/>
      <c r="H26737" s="18"/>
      <c r="K26737" s="18" t="s">
        <v>316</v>
      </c>
    </row>
    <row r="26738">
      <c r="A26738" s="17"/>
      <c r="H26738" s="18"/>
      <c r="K26738" s="18" t="s">
        <v>316</v>
      </c>
    </row>
    <row r="26739">
      <c r="A26739" s="17"/>
      <c r="H26739" s="18"/>
      <c r="K26739" s="18" t="s">
        <v>316</v>
      </c>
    </row>
    <row r="26740">
      <c r="A26740" s="17"/>
      <c r="H26740" s="18"/>
      <c r="K26740" s="18" t="s">
        <v>316</v>
      </c>
    </row>
    <row r="26741">
      <c r="A26741" s="17"/>
      <c r="H26741" s="18"/>
      <c r="K26741" s="18" t="s">
        <v>316</v>
      </c>
    </row>
    <row r="26742">
      <c r="A26742" s="17"/>
      <c r="H26742" s="18"/>
      <c r="K26742" s="18" t="s">
        <v>316</v>
      </c>
    </row>
    <row r="26743">
      <c r="A26743" s="17"/>
      <c r="H26743" s="18"/>
      <c r="K26743" s="18" t="s">
        <v>316</v>
      </c>
    </row>
    <row r="26744">
      <c r="A26744" s="17"/>
      <c r="H26744" s="18"/>
      <c r="K26744" s="18" t="s">
        <v>316</v>
      </c>
    </row>
    <row r="26745">
      <c r="A26745" s="17"/>
      <c r="H26745" s="18"/>
      <c r="K26745" s="18" t="s">
        <v>316</v>
      </c>
    </row>
    <row r="26746">
      <c r="A26746" s="17"/>
      <c r="H26746" s="18"/>
      <c r="K26746" s="18" t="s">
        <v>316</v>
      </c>
    </row>
    <row r="26747">
      <c r="A26747" s="17"/>
      <c r="H26747" s="18"/>
      <c r="K26747" s="18" t="s">
        <v>316</v>
      </c>
    </row>
    <row r="26748">
      <c r="A26748" s="17"/>
      <c r="H26748" s="18"/>
      <c r="K26748" s="18" t="s">
        <v>316</v>
      </c>
    </row>
    <row r="26749">
      <c r="A26749" s="17"/>
      <c r="H26749" s="18"/>
      <c r="K26749" s="18" t="s">
        <v>316</v>
      </c>
    </row>
    <row r="26750">
      <c r="A26750" s="17"/>
      <c r="H26750" s="18"/>
      <c r="K26750" s="18" t="s">
        <v>316</v>
      </c>
    </row>
    <row r="26751">
      <c r="A26751" s="17"/>
      <c r="H26751" s="18"/>
      <c r="K26751" s="18" t="s">
        <v>316</v>
      </c>
    </row>
    <row r="26752">
      <c r="A26752" s="17"/>
      <c r="H26752" s="18"/>
      <c r="K26752" s="18" t="s">
        <v>316</v>
      </c>
    </row>
    <row r="26753">
      <c r="A26753" s="17"/>
      <c r="H26753" s="18"/>
      <c r="K26753" s="18" t="s">
        <v>316</v>
      </c>
    </row>
    <row r="26754">
      <c r="A26754" s="17"/>
      <c r="H26754" s="18"/>
      <c r="K26754" s="18" t="s">
        <v>316</v>
      </c>
    </row>
    <row r="26755">
      <c r="A26755" s="17"/>
      <c r="H26755" s="18"/>
      <c r="K26755" s="18" t="s">
        <v>316</v>
      </c>
    </row>
    <row r="26756">
      <c r="A26756" s="17"/>
      <c r="H26756" s="18"/>
      <c r="K26756" s="18" t="s">
        <v>316</v>
      </c>
    </row>
    <row r="26757">
      <c r="A26757" s="17"/>
      <c r="H26757" s="18"/>
      <c r="K26757" s="18" t="s">
        <v>316</v>
      </c>
    </row>
    <row r="26758">
      <c r="A26758" s="17"/>
      <c r="H26758" s="18"/>
      <c r="K26758" s="18" t="s">
        <v>316</v>
      </c>
    </row>
    <row r="26759">
      <c r="A26759" s="17"/>
      <c r="H26759" s="18"/>
      <c r="K26759" s="18" t="s">
        <v>316</v>
      </c>
    </row>
    <row r="26760">
      <c r="A26760" s="17"/>
      <c r="H26760" s="18"/>
      <c r="K26760" s="18" t="s">
        <v>316</v>
      </c>
    </row>
    <row r="26761">
      <c r="A26761" s="17"/>
      <c r="H26761" s="18"/>
      <c r="K26761" s="18" t="s">
        <v>316</v>
      </c>
    </row>
    <row r="26762">
      <c r="A26762" s="17"/>
      <c r="H26762" s="18"/>
      <c r="K26762" s="18" t="s">
        <v>316</v>
      </c>
    </row>
    <row r="26763">
      <c r="A26763" s="17"/>
      <c r="H26763" s="18"/>
      <c r="K26763" s="18" t="s">
        <v>316</v>
      </c>
    </row>
    <row r="26764">
      <c r="A26764" s="17"/>
      <c r="H26764" s="18"/>
      <c r="K26764" s="18" t="s">
        <v>316</v>
      </c>
    </row>
    <row r="26765">
      <c r="A26765" s="17"/>
      <c r="H26765" s="18"/>
      <c r="K26765" s="18" t="s">
        <v>316</v>
      </c>
    </row>
    <row r="26766">
      <c r="A26766" s="17"/>
      <c r="H26766" s="18"/>
      <c r="K26766" s="18" t="s">
        <v>316</v>
      </c>
    </row>
    <row r="26767">
      <c r="A26767" s="17"/>
      <c r="H26767" s="18"/>
      <c r="K26767" s="18" t="s">
        <v>316</v>
      </c>
    </row>
    <row r="26768">
      <c r="A26768" s="17"/>
      <c r="H26768" s="18"/>
      <c r="K26768" s="18" t="s">
        <v>316</v>
      </c>
    </row>
    <row r="26769">
      <c r="A26769" s="17"/>
      <c r="H26769" s="18"/>
      <c r="K26769" s="18" t="s">
        <v>316</v>
      </c>
    </row>
    <row r="26770">
      <c r="A26770" s="17"/>
      <c r="H26770" s="18"/>
      <c r="K26770" s="18" t="s">
        <v>316</v>
      </c>
    </row>
    <row r="26771">
      <c r="A26771" s="17"/>
      <c r="H26771" s="18"/>
      <c r="K26771" s="18" t="s">
        <v>316</v>
      </c>
    </row>
    <row r="26772">
      <c r="A26772" s="17"/>
      <c r="H26772" s="18"/>
      <c r="K26772" s="18" t="s">
        <v>316</v>
      </c>
    </row>
    <row r="26773">
      <c r="A26773" s="17"/>
      <c r="H26773" s="18"/>
      <c r="K26773" s="18" t="s">
        <v>316</v>
      </c>
    </row>
    <row r="26774">
      <c r="A26774" s="17"/>
      <c r="H26774" s="18"/>
      <c r="K26774" s="18" t="s">
        <v>316</v>
      </c>
    </row>
    <row r="26775">
      <c r="A26775" s="17"/>
      <c r="H26775" s="18"/>
      <c r="K26775" s="18" t="s">
        <v>316</v>
      </c>
    </row>
    <row r="26776">
      <c r="A26776" s="17"/>
      <c r="H26776" s="18"/>
      <c r="K26776" s="18" t="s">
        <v>316</v>
      </c>
    </row>
    <row r="26777">
      <c r="A26777" s="17"/>
      <c r="H26777" s="18"/>
      <c r="K26777" s="18" t="s">
        <v>316</v>
      </c>
    </row>
    <row r="26778">
      <c r="A26778" s="17"/>
      <c r="H26778" s="18"/>
      <c r="K26778" s="18" t="s">
        <v>316</v>
      </c>
    </row>
    <row r="26779">
      <c r="A26779" s="17"/>
      <c r="H26779" s="18"/>
      <c r="K26779" s="18" t="s">
        <v>316</v>
      </c>
    </row>
    <row r="26780">
      <c r="A26780" s="17"/>
      <c r="H26780" s="18"/>
      <c r="K26780" s="18" t="s">
        <v>316</v>
      </c>
    </row>
    <row r="26781">
      <c r="A26781" s="17"/>
      <c r="H26781" s="18"/>
      <c r="K26781" s="18" t="s">
        <v>316</v>
      </c>
    </row>
    <row r="26782">
      <c r="A26782" s="17"/>
      <c r="H26782" s="18"/>
      <c r="K26782" s="18" t="s">
        <v>316</v>
      </c>
    </row>
    <row r="26783">
      <c r="A26783" s="17"/>
      <c r="H26783" s="18"/>
      <c r="K26783" s="18" t="s">
        <v>316</v>
      </c>
    </row>
    <row r="26784">
      <c r="A26784" s="17"/>
      <c r="H26784" s="18"/>
      <c r="K26784" s="18" t="s">
        <v>316</v>
      </c>
    </row>
    <row r="26785">
      <c r="A26785" s="17"/>
      <c r="H26785" s="18"/>
      <c r="K26785" s="18" t="s">
        <v>316</v>
      </c>
    </row>
    <row r="26786">
      <c r="A26786" s="17"/>
      <c r="H26786" s="18"/>
      <c r="K26786" s="18" t="s">
        <v>316</v>
      </c>
    </row>
    <row r="26787">
      <c r="A26787" s="17"/>
      <c r="H26787" s="18"/>
      <c r="K26787" s="18" t="s">
        <v>316</v>
      </c>
    </row>
    <row r="26788">
      <c r="A26788" s="17"/>
      <c r="H26788" s="18"/>
      <c r="K26788" s="18" t="s">
        <v>316</v>
      </c>
    </row>
    <row r="26789">
      <c r="A26789" s="17"/>
      <c r="H26789" s="18"/>
      <c r="K26789" s="18" t="s">
        <v>316</v>
      </c>
    </row>
    <row r="26790">
      <c r="A26790" s="17"/>
      <c r="H26790" s="18"/>
      <c r="K26790" s="18" t="s">
        <v>316</v>
      </c>
    </row>
    <row r="26791">
      <c r="A26791" s="17"/>
      <c r="H26791" s="18"/>
      <c r="K26791" s="18" t="s">
        <v>316</v>
      </c>
    </row>
    <row r="26792">
      <c r="A26792" s="17"/>
      <c r="H26792" s="18"/>
      <c r="K26792" s="18" t="s">
        <v>316</v>
      </c>
    </row>
    <row r="26793">
      <c r="A26793" s="17"/>
      <c r="H26793" s="18"/>
      <c r="K26793" s="18" t="s">
        <v>316</v>
      </c>
    </row>
    <row r="26794">
      <c r="A26794" s="17"/>
      <c r="H26794" s="18"/>
      <c r="K26794" s="18" t="s">
        <v>316</v>
      </c>
    </row>
    <row r="26795">
      <c r="A26795" s="17"/>
      <c r="H26795" s="18"/>
      <c r="K26795" s="18" t="s">
        <v>316</v>
      </c>
    </row>
    <row r="26796">
      <c r="A26796" s="17"/>
      <c r="H26796" s="18"/>
      <c r="K26796" s="18" t="s">
        <v>316</v>
      </c>
    </row>
    <row r="26797">
      <c r="A26797" s="17"/>
      <c r="H26797" s="18"/>
      <c r="K26797" s="18" t="s">
        <v>316</v>
      </c>
    </row>
    <row r="26798">
      <c r="A26798" s="17"/>
      <c r="H26798" s="18"/>
      <c r="K26798" s="18" t="s">
        <v>316</v>
      </c>
    </row>
    <row r="26799">
      <c r="A26799" s="17"/>
      <c r="H26799" s="18"/>
      <c r="K26799" s="18" t="s">
        <v>316</v>
      </c>
    </row>
    <row r="26800">
      <c r="A26800" s="17"/>
      <c r="H26800" s="18"/>
      <c r="K26800" s="18" t="s">
        <v>316</v>
      </c>
    </row>
    <row r="26801">
      <c r="A26801" s="17"/>
      <c r="H26801" s="18"/>
      <c r="K26801" s="18" t="s">
        <v>316</v>
      </c>
    </row>
    <row r="26802">
      <c r="A26802" s="17"/>
      <c r="H26802" s="18"/>
      <c r="K26802" s="18" t="s">
        <v>316</v>
      </c>
    </row>
    <row r="26803">
      <c r="A26803" s="17"/>
      <c r="H26803" s="18"/>
      <c r="K26803" s="18" t="s">
        <v>316</v>
      </c>
    </row>
    <row r="26804">
      <c r="A26804" s="17"/>
      <c r="H26804" s="18"/>
      <c r="K26804" s="18" t="s">
        <v>316</v>
      </c>
    </row>
    <row r="26805">
      <c r="A26805" s="17"/>
      <c r="H26805" s="18"/>
      <c r="K26805" s="18" t="s">
        <v>316</v>
      </c>
    </row>
    <row r="26806">
      <c r="A26806" s="17"/>
      <c r="H26806" s="18"/>
      <c r="K26806" s="18" t="s">
        <v>316</v>
      </c>
    </row>
    <row r="26807">
      <c r="A26807" s="17"/>
      <c r="H26807" s="18"/>
      <c r="K26807" s="18" t="s">
        <v>316</v>
      </c>
    </row>
    <row r="26808">
      <c r="A26808" s="17"/>
      <c r="H26808" s="18"/>
      <c r="K26808" s="18" t="s">
        <v>316</v>
      </c>
    </row>
    <row r="26809">
      <c r="A26809" s="17"/>
      <c r="H26809" s="18"/>
      <c r="K26809" s="18" t="s">
        <v>316</v>
      </c>
    </row>
    <row r="26810">
      <c r="A26810" s="17"/>
      <c r="H26810" s="18"/>
      <c r="K26810" s="18" t="s">
        <v>316</v>
      </c>
    </row>
    <row r="26811">
      <c r="A26811" s="17"/>
      <c r="H26811" s="18"/>
      <c r="K26811" s="18" t="s">
        <v>316</v>
      </c>
    </row>
    <row r="26812">
      <c r="A26812" s="17"/>
      <c r="H26812" s="18"/>
      <c r="K26812" s="18" t="s">
        <v>316</v>
      </c>
    </row>
    <row r="26813">
      <c r="A26813" s="17"/>
      <c r="H26813" s="18"/>
      <c r="K26813" s="18" t="s">
        <v>316</v>
      </c>
    </row>
    <row r="26814">
      <c r="A26814" s="17"/>
      <c r="H26814" s="18"/>
      <c r="K26814" s="18" t="s">
        <v>316</v>
      </c>
    </row>
    <row r="26815">
      <c r="A26815" s="17"/>
      <c r="H26815" s="18"/>
      <c r="K26815" s="18" t="s">
        <v>316</v>
      </c>
    </row>
    <row r="26816">
      <c r="A26816" s="17"/>
      <c r="H26816" s="18"/>
      <c r="K26816" s="18" t="s">
        <v>316</v>
      </c>
    </row>
    <row r="26817">
      <c r="A26817" s="17"/>
      <c r="H26817" s="18"/>
      <c r="K26817" s="18" t="s">
        <v>316</v>
      </c>
    </row>
    <row r="26818">
      <c r="A26818" s="17"/>
      <c r="H26818" s="18"/>
      <c r="K26818" s="18" t="s">
        <v>316</v>
      </c>
    </row>
    <row r="26819">
      <c r="A26819" s="17"/>
      <c r="H26819" s="18"/>
      <c r="K26819" s="18" t="s">
        <v>316</v>
      </c>
    </row>
    <row r="26820">
      <c r="A26820" s="17"/>
      <c r="H26820" s="18"/>
      <c r="K26820" s="18" t="s">
        <v>316</v>
      </c>
    </row>
    <row r="26821">
      <c r="A26821" s="17"/>
      <c r="H26821" s="18"/>
      <c r="K26821" s="18" t="s">
        <v>316</v>
      </c>
    </row>
    <row r="26822">
      <c r="A26822" s="17"/>
      <c r="H26822" s="18"/>
      <c r="K26822" s="18" t="s">
        <v>316</v>
      </c>
    </row>
    <row r="26823">
      <c r="A26823" s="17"/>
      <c r="H26823" s="18"/>
      <c r="K26823" s="18" t="s">
        <v>316</v>
      </c>
    </row>
    <row r="26824">
      <c r="A26824" s="17"/>
      <c r="H26824" s="18"/>
      <c r="K26824" s="18" t="s">
        <v>316</v>
      </c>
    </row>
    <row r="26825">
      <c r="A26825" s="17"/>
      <c r="H26825" s="18"/>
      <c r="K26825" s="18" t="s">
        <v>316</v>
      </c>
    </row>
    <row r="26826">
      <c r="A26826" s="17"/>
      <c r="H26826" s="18"/>
      <c r="K26826" s="18" t="s">
        <v>316</v>
      </c>
    </row>
    <row r="26827">
      <c r="A26827" s="17"/>
      <c r="H26827" s="18"/>
      <c r="K26827" s="18" t="s">
        <v>316</v>
      </c>
    </row>
    <row r="26828">
      <c r="A26828" s="17"/>
      <c r="H26828" s="18"/>
      <c r="K26828" s="18" t="s">
        <v>316</v>
      </c>
    </row>
    <row r="26829">
      <c r="A26829" s="17"/>
      <c r="H26829" s="18"/>
      <c r="K26829" s="18" t="s">
        <v>316</v>
      </c>
    </row>
    <row r="26830">
      <c r="A26830" s="17"/>
      <c r="H26830" s="18"/>
      <c r="K26830" s="18" t="s">
        <v>316</v>
      </c>
    </row>
    <row r="26831">
      <c r="A26831" s="17"/>
      <c r="H26831" s="18"/>
      <c r="K26831" s="18" t="s">
        <v>316</v>
      </c>
    </row>
    <row r="26832">
      <c r="A26832" s="17"/>
      <c r="H26832" s="18"/>
      <c r="K26832" s="18" t="s">
        <v>316</v>
      </c>
    </row>
    <row r="26833">
      <c r="A26833" s="17"/>
      <c r="H26833" s="18"/>
      <c r="K26833" s="18" t="s">
        <v>316</v>
      </c>
    </row>
    <row r="26834">
      <c r="A26834" s="17"/>
      <c r="H26834" s="18"/>
      <c r="K26834" s="18" t="s">
        <v>316</v>
      </c>
    </row>
    <row r="26835">
      <c r="A26835" s="17"/>
      <c r="H26835" s="18"/>
      <c r="K26835" s="18" t="s">
        <v>316</v>
      </c>
    </row>
    <row r="26836">
      <c r="A26836" s="17"/>
      <c r="H26836" s="18"/>
      <c r="K26836" s="18" t="s">
        <v>316</v>
      </c>
    </row>
    <row r="26837">
      <c r="A26837" s="17"/>
      <c r="H26837" s="18"/>
      <c r="K26837" s="18" t="s">
        <v>316</v>
      </c>
    </row>
    <row r="26838">
      <c r="A26838" s="17"/>
      <c r="H26838" s="18"/>
      <c r="K26838" s="18" t="s">
        <v>316</v>
      </c>
    </row>
    <row r="26839">
      <c r="A26839" s="17"/>
      <c r="H26839" s="18"/>
      <c r="K26839" s="18" t="s">
        <v>316</v>
      </c>
    </row>
    <row r="26840">
      <c r="A26840" s="17"/>
      <c r="H26840" s="18"/>
      <c r="K26840" s="18" t="s">
        <v>316</v>
      </c>
    </row>
    <row r="26841">
      <c r="A26841" s="17"/>
      <c r="H26841" s="18"/>
      <c r="K26841" s="18" t="s">
        <v>316</v>
      </c>
    </row>
    <row r="26842">
      <c r="A26842" s="17"/>
      <c r="H26842" s="18"/>
      <c r="K26842" s="18" t="s">
        <v>316</v>
      </c>
    </row>
    <row r="26843">
      <c r="A26843" s="17"/>
      <c r="H26843" s="18"/>
      <c r="K26843" s="18" t="s">
        <v>316</v>
      </c>
    </row>
    <row r="26844">
      <c r="A26844" s="17"/>
      <c r="H26844" s="18"/>
      <c r="K26844" s="18" t="s">
        <v>316</v>
      </c>
    </row>
    <row r="26845">
      <c r="A26845" s="17"/>
      <c r="H26845" s="18"/>
      <c r="K26845" s="18" t="s">
        <v>316</v>
      </c>
    </row>
    <row r="26846">
      <c r="A26846" s="17"/>
      <c r="H26846" s="18"/>
      <c r="K26846" s="18" t="s">
        <v>316</v>
      </c>
    </row>
    <row r="26847">
      <c r="A26847" s="17"/>
      <c r="H26847" s="18"/>
      <c r="K26847" s="18" t="s">
        <v>316</v>
      </c>
    </row>
    <row r="26848">
      <c r="A26848" s="17"/>
      <c r="H26848" s="18"/>
      <c r="K26848" s="18" t="s">
        <v>316</v>
      </c>
    </row>
    <row r="26849">
      <c r="A26849" s="17"/>
      <c r="H26849" s="18"/>
      <c r="K26849" s="18" t="s">
        <v>316</v>
      </c>
    </row>
    <row r="26850">
      <c r="A26850" s="17"/>
      <c r="H26850" s="18"/>
      <c r="K26850" s="18" t="s">
        <v>316</v>
      </c>
    </row>
    <row r="26851">
      <c r="A26851" s="17"/>
      <c r="H26851" s="18"/>
      <c r="K26851" s="18" t="s">
        <v>316</v>
      </c>
    </row>
    <row r="26852">
      <c r="A26852" s="17"/>
      <c r="H26852" s="18"/>
      <c r="K26852" s="18" t="s">
        <v>316</v>
      </c>
    </row>
    <row r="26853">
      <c r="A26853" s="17"/>
      <c r="H26853" s="18"/>
      <c r="K26853" s="18" t="s">
        <v>316</v>
      </c>
    </row>
    <row r="26854">
      <c r="A26854" s="17"/>
      <c r="H26854" s="18"/>
      <c r="K26854" s="18" t="s">
        <v>316</v>
      </c>
    </row>
    <row r="26855">
      <c r="A26855" s="17"/>
      <c r="H26855" s="18"/>
      <c r="K26855" s="18" t="s">
        <v>316</v>
      </c>
    </row>
    <row r="26856">
      <c r="A26856" s="17"/>
      <c r="H26856" s="18"/>
      <c r="K26856" s="18" t="s">
        <v>316</v>
      </c>
    </row>
    <row r="26857">
      <c r="A26857" s="17"/>
      <c r="H26857" s="18"/>
      <c r="K26857" s="18" t="s">
        <v>316</v>
      </c>
    </row>
    <row r="26858">
      <c r="A26858" s="17"/>
      <c r="H26858" s="18"/>
      <c r="K26858" s="18" t="s">
        <v>316</v>
      </c>
    </row>
    <row r="26859">
      <c r="A26859" s="17"/>
      <c r="H26859" s="18"/>
      <c r="K26859" s="18" t="s">
        <v>316</v>
      </c>
    </row>
    <row r="26860">
      <c r="A26860" s="17"/>
      <c r="H26860" s="18"/>
      <c r="K26860" s="18" t="s">
        <v>316</v>
      </c>
    </row>
    <row r="26861">
      <c r="A26861" s="17"/>
      <c r="H26861" s="18"/>
      <c r="K26861" s="18" t="s">
        <v>316</v>
      </c>
    </row>
    <row r="26862">
      <c r="A26862" s="17"/>
      <c r="H26862" s="18"/>
      <c r="K26862" s="18" t="s">
        <v>316</v>
      </c>
    </row>
    <row r="26863">
      <c r="A26863" s="17"/>
      <c r="H26863" s="18"/>
      <c r="K26863" s="18" t="s">
        <v>316</v>
      </c>
    </row>
    <row r="26864">
      <c r="A26864" s="17"/>
      <c r="H26864" s="18"/>
      <c r="K26864" s="18" t="s">
        <v>316</v>
      </c>
    </row>
    <row r="26865">
      <c r="A26865" s="17"/>
      <c r="H26865" s="18"/>
      <c r="K26865" s="18" t="s">
        <v>316</v>
      </c>
    </row>
    <row r="26866">
      <c r="A26866" s="17"/>
      <c r="H26866" s="18"/>
      <c r="K26866" s="18" t="s">
        <v>316</v>
      </c>
    </row>
    <row r="26867">
      <c r="A26867" s="17"/>
      <c r="H26867" s="18"/>
      <c r="K26867" s="18" t="s">
        <v>316</v>
      </c>
    </row>
    <row r="26868">
      <c r="A26868" s="17"/>
      <c r="H26868" s="18"/>
      <c r="K26868" s="18" t="s">
        <v>316</v>
      </c>
    </row>
    <row r="26869">
      <c r="A26869" s="17"/>
      <c r="H26869" s="18"/>
      <c r="K26869" s="18" t="s">
        <v>316</v>
      </c>
    </row>
    <row r="26870">
      <c r="A26870" s="17"/>
      <c r="H26870" s="18"/>
      <c r="K26870" s="18" t="s">
        <v>316</v>
      </c>
    </row>
    <row r="26871">
      <c r="A26871" s="17"/>
      <c r="H26871" s="18"/>
      <c r="K26871" s="18" t="s">
        <v>316</v>
      </c>
    </row>
    <row r="26872">
      <c r="A26872" s="17"/>
      <c r="H26872" s="18"/>
      <c r="K26872" s="18" t="s">
        <v>316</v>
      </c>
    </row>
    <row r="26873">
      <c r="A26873" s="17"/>
      <c r="H26873" s="18"/>
      <c r="K26873" s="18" t="s">
        <v>316</v>
      </c>
    </row>
    <row r="26874">
      <c r="A26874" s="17"/>
      <c r="H26874" s="18"/>
      <c r="K26874" s="18" t="s">
        <v>316</v>
      </c>
    </row>
    <row r="26875">
      <c r="A26875" s="17"/>
      <c r="H26875" s="18"/>
      <c r="K26875" s="18" t="s">
        <v>316</v>
      </c>
    </row>
    <row r="26876">
      <c r="A26876" s="17"/>
      <c r="H26876" s="18"/>
      <c r="K26876" s="18" t="s">
        <v>316</v>
      </c>
    </row>
    <row r="26877">
      <c r="A26877" s="17"/>
      <c r="H26877" s="18"/>
      <c r="K26877" s="18" t="s">
        <v>316</v>
      </c>
    </row>
    <row r="26878">
      <c r="A26878" s="17"/>
      <c r="H26878" s="18"/>
      <c r="K26878" s="18" t="s">
        <v>316</v>
      </c>
    </row>
    <row r="26879">
      <c r="A26879" s="17"/>
      <c r="H26879" s="18"/>
      <c r="K26879" s="18" t="s">
        <v>316</v>
      </c>
    </row>
    <row r="26880">
      <c r="A26880" s="17"/>
      <c r="H26880" s="18"/>
      <c r="K26880" s="18" t="s">
        <v>316</v>
      </c>
    </row>
    <row r="26881">
      <c r="A26881" s="17"/>
      <c r="H26881" s="18"/>
      <c r="K26881" s="18" t="s">
        <v>316</v>
      </c>
    </row>
    <row r="26882">
      <c r="A26882" s="17"/>
      <c r="H26882" s="18"/>
      <c r="K26882" s="18" t="s">
        <v>316</v>
      </c>
    </row>
    <row r="26883">
      <c r="A26883" s="17"/>
      <c r="H26883" s="18"/>
      <c r="K26883" s="18" t="s">
        <v>316</v>
      </c>
    </row>
    <row r="26884">
      <c r="A26884" s="17"/>
      <c r="H26884" s="18"/>
      <c r="K26884" s="18" t="s">
        <v>316</v>
      </c>
    </row>
    <row r="26885">
      <c r="A26885" s="17"/>
      <c r="H26885" s="18"/>
      <c r="K26885" s="18" t="s">
        <v>316</v>
      </c>
    </row>
    <row r="26886">
      <c r="A26886" s="17"/>
      <c r="H26886" s="18"/>
      <c r="K26886" s="18" t="s">
        <v>316</v>
      </c>
    </row>
    <row r="26887">
      <c r="A26887" s="17"/>
      <c r="H26887" s="18"/>
      <c r="K26887" s="18" t="s">
        <v>316</v>
      </c>
    </row>
    <row r="26888">
      <c r="A26888" s="17"/>
      <c r="H26888" s="18"/>
      <c r="K26888" s="18" t="s">
        <v>316</v>
      </c>
    </row>
    <row r="26889">
      <c r="A26889" s="17"/>
      <c r="H26889" s="18"/>
      <c r="K26889" s="18" t="s">
        <v>316</v>
      </c>
    </row>
    <row r="26890">
      <c r="A26890" s="17"/>
      <c r="H26890" s="18"/>
      <c r="K26890" s="18" t="s">
        <v>316</v>
      </c>
    </row>
    <row r="26891">
      <c r="A26891" s="17"/>
      <c r="H26891" s="18"/>
      <c r="K26891" s="18" t="s">
        <v>316</v>
      </c>
    </row>
    <row r="26892">
      <c r="A26892" s="17"/>
      <c r="H26892" s="18"/>
      <c r="K26892" s="18" t="s">
        <v>316</v>
      </c>
    </row>
    <row r="26893">
      <c r="A26893" s="17"/>
      <c r="H26893" s="18"/>
      <c r="K26893" s="18" t="s">
        <v>316</v>
      </c>
    </row>
    <row r="26894">
      <c r="A26894" s="17"/>
      <c r="H26894" s="18"/>
      <c r="K26894" s="18" t="s">
        <v>316</v>
      </c>
    </row>
    <row r="26895">
      <c r="A26895" s="17"/>
      <c r="H26895" s="18"/>
      <c r="K26895" s="18" t="s">
        <v>316</v>
      </c>
    </row>
    <row r="26896">
      <c r="A26896" s="17"/>
      <c r="H26896" s="18"/>
      <c r="K26896" s="18" t="s">
        <v>316</v>
      </c>
    </row>
    <row r="26897">
      <c r="A26897" s="17"/>
      <c r="H26897" s="18"/>
      <c r="K26897" s="18" t="s">
        <v>316</v>
      </c>
    </row>
    <row r="26898">
      <c r="A26898" s="17"/>
      <c r="H26898" s="18"/>
      <c r="K26898" s="18" t="s">
        <v>316</v>
      </c>
    </row>
    <row r="26899">
      <c r="A26899" s="17"/>
      <c r="H26899" s="18"/>
      <c r="K26899" s="18" t="s">
        <v>316</v>
      </c>
    </row>
    <row r="26900">
      <c r="A26900" s="17"/>
      <c r="H26900" s="18"/>
      <c r="K26900" s="18" t="s">
        <v>316</v>
      </c>
    </row>
    <row r="26901">
      <c r="A26901" s="17"/>
      <c r="H26901" s="18"/>
      <c r="K26901" s="18" t="s">
        <v>316</v>
      </c>
    </row>
    <row r="26902">
      <c r="A26902" s="17"/>
      <c r="H26902" s="18"/>
      <c r="K26902" s="18" t="s">
        <v>316</v>
      </c>
    </row>
    <row r="26903">
      <c r="A26903" s="17"/>
      <c r="H26903" s="18"/>
      <c r="K26903" s="18" t="s">
        <v>316</v>
      </c>
    </row>
    <row r="26904">
      <c r="A26904" s="17"/>
      <c r="H26904" s="18"/>
      <c r="K26904" s="18" t="s">
        <v>316</v>
      </c>
    </row>
    <row r="26905">
      <c r="A26905" s="17"/>
      <c r="H26905" s="18"/>
      <c r="K26905" s="18" t="s">
        <v>316</v>
      </c>
    </row>
    <row r="26906">
      <c r="A26906" s="17"/>
      <c r="H26906" s="18"/>
      <c r="K26906" s="18" t="s">
        <v>316</v>
      </c>
    </row>
    <row r="26907">
      <c r="A26907" s="17"/>
      <c r="H26907" s="18"/>
      <c r="K26907" s="18" t="s">
        <v>316</v>
      </c>
    </row>
    <row r="26908">
      <c r="A26908" s="17"/>
      <c r="H26908" s="18"/>
      <c r="K26908" s="18" t="s">
        <v>316</v>
      </c>
    </row>
    <row r="26909">
      <c r="A26909" s="17"/>
      <c r="H26909" s="18"/>
      <c r="K26909" s="18" t="s">
        <v>316</v>
      </c>
    </row>
    <row r="26910">
      <c r="A26910" s="17"/>
      <c r="H26910" s="18"/>
      <c r="K26910" s="18" t="s">
        <v>316</v>
      </c>
    </row>
    <row r="26911">
      <c r="A26911" s="17"/>
      <c r="H26911" s="18"/>
      <c r="K26911" s="18" t="s">
        <v>316</v>
      </c>
    </row>
    <row r="26912">
      <c r="A26912" s="17"/>
      <c r="H26912" s="18"/>
      <c r="K26912" s="18" t="s">
        <v>316</v>
      </c>
    </row>
    <row r="26913">
      <c r="A26913" s="17"/>
      <c r="H26913" s="18"/>
      <c r="K26913" s="18" t="s">
        <v>316</v>
      </c>
    </row>
    <row r="26914">
      <c r="A26914" s="17"/>
      <c r="H26914" s="18"/>
      <c r="K26914" s="18" t="s">
        <v>316</v>
      </c>
    </row>
    <row r="26915">
      <c r="A26915" s="17"/>
      <c r="H26915" s="18"/>
      <c r="K26915" s="18" t="s">
        <v>316</v>
      </c>
    </row>
    <row r="26916">
      <c r="A26916" s="17"/>
      <c r="H26916" s="18"/>
      <c r="K26916" s="18" t="s">
        <v>316</v>
      </c>
    </row>
    <row r="26917">
      <c r="A26917" s="17"/>
      <c r="H26917" s="18"/>
      <c r="K26917" s="18" t="s">
        <v>316</v>
      </c>
    </row>
    <row r="26918">
      <c r="A26918" s="17"/>
      <c r="H26918" s="18"/>
      <c r="K26918" s="18" t="s">
        <v>316</v>
      </c>
    </row>
    <row r="26919">
      <c r="A26919" s="17"/>
      <c r="H26919" s="18"/>
      <c r="K26919" s="18" t="s">
        <v>316</v>
      </c>
    </row>
    <row r="26920">
      <c r="A26920" s="17"/>
      <c r="H26920" s="18"/>
      <c r="K26920" s="18" t="s">
        <v>316</v>
      </c>
    </row>
    <row r="26921">
      <c r="A26921" s="17"/>
      <c r="H26921" s="18"/>
      <c r="K26921" s="18" t="s">
        <v>316</v>
      </c>
    </row>
    <row r="26922">
      <c r="A26922" s="17"/>
      <c r="H26922" s="18"/>
      <c r="K26922" s="18" t="s">
        <v>316</v>
      </c>
    </row>
    <row r="26923">
      <c r="A26923" s="17"/>
      <c r="H26923" s="18"/>
      <c r="K26923" s="18" t="s">
        <v>316</v>
      </c>
    </row>
    <row r="26924">
      <c r="A26924" s="17"/>
      <c r="H26924" s="18"/>
      <c r="K26924" s="18" t="s">
        <v>316</v>
      </c>
    </row>
    <row r="26925">
      <c r="A26925" s="17"/>
      <c r="H26925" s="18"/>
      <c r="K26925" s="18" t="s">
        <v>316</v>
      </c>
    </row>
    <row r="26926">
      <c r="A26926" s="17"/>
      <c r="H26926" s="18"/>
      <c r="K26926" s="18" t="s">
        <v>316</v>
      </c>
    </row>
    <row r="26927">
      <c r="A26927" s="17"/>
      <c r="H26927" s="18"/>
      <c r="K26927" s="18" t="s">
        <v>316</v>
      </c>
    </row>
    <row r="26928">
      <c r="A26928" s="17"/>
      <c r="H26928" s="18"/>
      <c r="K26928" s="18" t="s">
        <v>316</v>
      </c>
    </row>
    <row r="26929">
      <c r="A26929" s="17"/>
      <c r="H26929" s="18"/>
      <c r="K26929" s="18" t="s">
        <v>316</v>
      </c>
    </row>
    <row r="26930">
      <c r="A26930" s="17"/>
      <c r="H26930" s="18"/>
      <c r="K26930" s="18" t="s">
        <v>316</v>
      </c>
    </row>
    <row r="26931">
      <c r="A26931" s="17"/>
      <c r="H26931" s="18"/>
      <c r="K26931" s="18" t="s">
        <v>316</v>
      </c>
    </row>
    <row r="26932">
      <c r="A26932" s="17"/>
      <c r="H26932" s="18"/>
      <c r="K26932" s="18" t="s">
        <v>316</v>
      </c>
    </row>
    <row r="26933">
      <c r="A26933" s="17"/>
      <c r="H26933" s="18"/>
      <c r="K26933" s="18" t="s">
        <v>316</v>
      </c>
    </row>
    <row r="26934">
      <c r="A26934" s="17"/>
      <c r="H26934" s="18"/>
      <c r="K26934" s="18" t="s">
        <v>316</v>
      </c>
    </row>
    <row r="26935">
      <c r="A26935" s="17"/>
      <c r="H26935" s="18"/>
      <c r="K26935" s="18" t="s">
        <v>316</v>
      </c>
    </row>
    <row r="26936">
      <c r="A26936" s="17"/>
      <c r="H26936" s="18"/>
      <c r="K26936" s="18" t="s">
        <v>316</v>
      </c>
    </row>
    <row r="26937">
      <c r="A26937" s="17"/>
      <c r="H26937" s="18"/>
      <c r="K26937" s="18" t="s">
        <v>316</v>
      </c>
    </row>
    <row r="26938">
      <c r="A26938" s="17"/>
      <c r="H26938" s="18"/>
      <c r="K26938" s="18" t="s">
        <v>316</v>
      </c>
    </row>
    <row r="26939">
      <c r="A26939" s="17"/>
      <c r="H26939" s="18"/>
      <c r="K26939" s="18" t="s">
        <v>316</v>
      </c>
    </row>
    <row r="26940">
      <c r="A26940" s="17"/>
      <c r="H26940" s="18"/>
      <c r="K26940" s="18" t="s">
        <v>316</v>
      </c>
    </row>
    <row r="26941">
      <c r="A26941" s="17"/>
      <c r="H26941" s="18"/>
      <c r="K26941" s="18" t="s">
        <v>316</v>
      </c>
    </row>
    <row r="26942">
      <c r="A26942" s="17"/>
      <c r="H26942" s="18"/>
      <c r="K26942" s="18" t="s">
        <v>316</v>
      </c>
    </row>
    <row r="26943">
      <c r="A26943" s="17"/>
      <c r="H26943" s="18"/>
      <c r="K26943" s="18" t="s">
        <v>316</v>
      </c>
    </row>
    <row r="26944">
      <c r="A26944" s="17"/>
      <c r="H26944" s="18"/>
      <c r="K26944" s="18" t="s">
        <v>316</v>
      </c>
    </row>
    <row r="26945">
      <c r="A26945" s="17"/>
      <c r="H26945" s="18"/>
      <c r="K26945" s="18" t="s">
        <v>316</v>
      </c>
    </row>
    <row r="26946">
      <c r="A26946" s="17"/>
      <c r="H26946" s="18"/>
      <c r="K26946" s="18" t="s">
        <v>316</v>
      </c>
    </row>
    <row r="26947">
      <c r="A26947" s="17"/>
      <c r="H26947" s="18"/>
      <c r="K26947" s="18" t="s">
        <v>316</v>
      </c>
    </row>
    <row r="26948">
      <c r="A26948" s="17"/>
      <c r="H26948" s="18"/>
      <c r="K26948" s="18" t="s">
        <v>316</v>
      </c>
    </row>
    <row r="26949">
      <c r="A26949" s="17"/>
      <c r="H26949" s="18"/>
      <c r="K26949" s="18" t="s">
        <v>316</v>
      </c>
    </row>
    <row r="26950">
      <c r="A26950" s="17"/>
      <c r="H26950" s="18"/>
      <c r="K26950" s="18" t="s">
        <v>316</v>
      </c>
    </row>
    <row r="26951">
      <c r="A26951" s="17"/>
      <c r="H26951" s="18"/>
      <c r="K26951" s="18" t="s">
        <v>316</v>
      </c>
    </row>
    <row r="26952">
      <c r="A26952" s="17"/>
      <c r="H26952" s="18"/>
      <c r="K26952" s="18" t="s">
        <v>316</v>
      </c>
    </row>
    <row r="26953">
      <c r="A26953" s="17"/>
      <c r="H26953" s="18"/>
      <c r="K26953" s="18" t="s">
        <v>316</v>
      </c>
    </row>
    <row r="26954">
      <c r="A26954" s="17"/>
      <c r="H26954" s="18"/>
      <c r="K26954" s="18" t="s">
        <v>316</v>
      </c>
    </row>
    <row r="26955">
      <c r="A26955" s="17"/>
      <c r="H26955" s="18"/>
      <c r="K26955" s="18" t="s">
        <v>316</v>
      </c>
    </row>
    <row r="26956">
      <c r="A26956" s="17"/>
      <c r="H26956" s="18"/>
      <c r="K26956" s="18" t="s">
        <v>316</v>
      </c>
    </row>
    <row r="26957">
      <c r="A26957" s="17"/>
      <c r="H26957" s="18"/>
      <c r="K26957" s="18" t="s">
        <v>316</v>
      </c>
    </row>
    <row r="26958">
      <c r="A26958" s="17"/>
      <c r="H26958" s="18"/>
      <c r="K26958" s="18" t="s">
        <v>316</v>
      </c>
    </row>
    <row r="26959">
      <c r="A26959" s="17"/>
      <c r="H26959" s="18"/>
      <c r="K26959" s="18" t="s">
        <v>316</v>
      </c>
    </row>
    <row r="26960">
      <c r="A26960" s="17"/>
      <c r="H26960" s="18"/>
      <c r="K26960" s="18" t="s">
        <v>316</v>
      </c>
    </row>
    <row r="26961">
      <c r="A26961" s="17"/>
      <c r="H26961" s="18"/>
      <c r="K26961" s="18" t="s">
        <v>316</v>
      </c>
    </row>
    <row r="26962">
      <c r="A26962" s="17"/>
      <c r="H26962" s="18"/>
      <c r="K26962" s="18" t="s">
        <v>316</v>
      </c>
    </row>
    <row r="26963">
      <c r="A26963" s="17"/>
      <c r="H26963" s="18"/>
      <c r="K26963" s="18" t="s">
        <v>316</v>
      </c>
    </row>
    <row r="26964">
      <c r="A26964" s="17"/>
      <c r="H26964" s="18"/>
      <c r="K26964" s="18" t="s">
        <v>316</v>
      </c>
    </row>
    <row r="26965">
      <c r="A26965" s="17"/>
      <c r="H26965" s="18"/>
      <c r="K26965" s="18" t="s">
        <v>316</v>
      </c>
    </row>
    <row r="26966">
      <c r="A26966" s="17"/>
      <c r="H26966" s="18"/>
      <c r="K26966" s="18" t="s">
        <v>316</v>
      </c>
    </row>
    <row r="26967">
      <c r="A26967" s="17"/>
      <c r="H26967" s="18"/>
      <c r="K26967" s="18" t="s">
        <v>316</v>
      </c>
    </row>
    <row r="26968">
      <c r="A26968" s="17"/>
      <c r="H26968" s="18"/>
      <c r="K26968" s="18" t="s">
        <v>316</v>
      </c>
    </row>
    <row r="26969">
      <c r="A26969" s="17"/>
      <c r="H26969" s="18"/>
      <c r="K26969" s="18" t="s">
        <v>316</v>
      </c>
    </row>
    <row r="26970">
      <c r="A26970" s="17"/>
      <c r="H26970" s="18"/>
      <c r="K26970" s="18" t="s">
        <v>316</v>
      </c>
    </row>
    <row r="26971">
      <c r="A26971" s="17"/>
      <c r="H26971" s="18"/>
      <c r="K26971" s="18" t="s">
        <v>316</v>
      </c>
    </row>
    <row r="26972">
      <c r="A26972" s="17"/>
      <c r="H26972" s="18"/>
      <c r="K26972" s="18" t="s">
        <v>316</v>
      </c>
    </row>
    <row r="26973">
      <c r="A26973" s="17"/>
      <c r="H26973" s="18"/>
      <c r="K26973" s="18" t="s">
        <v>316</v>
      </c>
    </row>
    <row r="26974">
      <c r="A26974" s="17"/>
      <c r="H26974" s="18"/>
      <c r="K26974" s="18" t="s">
        <v>316</v>
      </c>
    </row>
    <row r="26975">
      <c r="A26975" s="17"/>
      <c r="H26975" s="18"/>
      <c r="K26975" s="18" t="s">
        <v>316</v>
      </c>
    </row>
    <row r="26976">
      <c r="A26976" s="17"/>
      <c r="H26976" s="18"/>
      <c r="K26976" s="18" t="s">
        <v>316</v>
      </c>
    </row>
    <row r="26977">
      <c r="A26977" s="17"/>
      <c r="H26977" s="18"/>
      <c r="K26977" s="18" t="s">
        <v>316</v>
      </c>
    </row>
    <row r="26978">
      <c r="A26978" s="17"/>
      <c r="H26978" s="18"/>
      <c r="K26978" s="18" t="s">
        <v>316</v>
      </c>
    </row>
    <row r="26979">
      <c r="A26979" s="17"/>
      <c r="H26979" s="18"/>
      <c r="K26979" s="18" t="s">
        <v>316</v>
      </c>
    </row>
    <row r="26980">
      <c r="A26980" s="17"/>
      <c r="H26980" s="18"/>
      <c r="K26980" s="18" t="s">
        <v>316</v>
      </c>
    </row>
    <row r="26981">
      <c r="A26981" s="17"/>
      <c r="H26981" s="18"/>
      <c r="K26981" s="18" t="s">
        <v>316</v>
      </c>
    </row>
    <row r="26982">
      <c r="A26982" s="17"/>
      <c r="H26982" s="18"/>
      <c r="K26982" s="18" t="s">
        <v>316</v>
      </c>
    </row>
    <row r="26983">
      <c r="A26983" s="17"/>
      <c r="H26983" s="18"/>
      <c r="K26983" s="18" t="s">
        <v>316</v>
      </c>
    </row>
    <row r="26984">
      <c r="A26984" s="17"/>
      <c r="H26984" s="18"/>
      <c r="K26984" s="18" t="s">
        <v>316</v>
      </c>
    </row>
    <row r="26985">
      <c r="A26985" s="17"/>
      <c r="H26985" s="18"/>
      <c r="K26985" s="18" t="s">
        <v>316</v>
      </c>
    </row>
    <row r="26986">
      <c r="A26986" s="17"/>
      <c r="H26986" s="18"/>
      <c r="K26986" s="18" t="s">
        <v>316</v>
      </c>
    </row>
    <row r="26987">
      <c r="A26987" s="17"/>
      <c r="H26987" s="18"/>
      <c r="K26987" s="18" t="s">
        <v>316</v>
      </c>
    </row>
    <row r="26988">
      <c r="A26988" s="17"/>
      <c r="H26988" s="18"/>
      <c r="K26988" s="18" t="s">
        <v>316</v>
      </c>
    </row>
    <row r="26989">
      <c r="A26989" s="17"/>
      <c r="H26989" s="18"/>
      <c r="K26989" s="18" t="s">
        <v>316</v>
      </c>
    </row>
    <row r="26990">
      <c r="A26990" s="17"/>
      <c r="H26990" s="18"/>
      <c r="K26990" s="18" t="s">
        <v>316</v>
      </c>
    </row>
    <row r="26991">
      <c r="A26991" s="17"/>
      <c r="H26991" s="18"/>
      <c r="K26991" s="18" t="s">
        <v>316</v>
      </c>
    </row>
    <row r="26992">
      <c r="A26992" s="17"/>
      <c r="H26992" s="18"/>
      <c r="K26992" s="18" t="s">
        <v>316</v>
      </c>
    </row>
    <row r="26993">
      <c r="A26993" s="17"/>
      <c r="H26993" s="18"/>
      <c r="K26993" s="18" t="s">
        <v>316</v>
      </c>
    </row>
    <row r="26994">
      <c r="A26994" s="17"/>
      <c r="H26994" s="18"/>
      <c r="K26994" s="18" t="s">
        <v>316</v>
      </c>
    </row>
    <row r="26995">
      <c r="A26995" s="17"/>
      <c r="H26995" s="18"/>
      <c r="K26995" s="18" t="s">
        <v>316</v>
      </c>
    </row>
    <row r="26996">
      <c r="A26996" s="17"/>
      <c r="H26996" s="18"/>
      <c r="K26996" s="18" t="s">
        <v>316</v>
      </c>
    </row>
    <row r="26997">
      <c r="A26997" s="17"/>
      <c r="H26997" s="18"/>
      <c r="K26997" s="18" t="s">
        <v>316</v>
      </c>
    </row>
    <row r="26998">
      <c r="A26998" s="17"/>
      <c r="H26998" s="18"/>
      <c r="K26998" s="18" t="s">
        <v>316</v>
      </c>
    </row>
    <row r="26999">
      <c r="A26999" s="17"/>
      <c r="H26999" s="18"/>
      <c r="K26999" s="18" t="s">
        <v>316</v>
      </c>
    </row>
    <row r="27000">
      <c r="A27000" s="17"/>
      <c r="H27000" s="18"/>
      <c r="K27000" s="18" t="s">
        <v>316</v>
      </c>
    </row>
    <row r="27001">
      <c r="A27001" s="17"/>
      <c r="H27001" s="18"/>
      <c r="K27001" s="18" t="s">
        <v>316</v>
      </c>
    </row>
    <row r="27002">
      <c r="A27002" s="17"/>
      <c r="H27002" s="18"/>
      <c r="K27002" s="18" t="s">
        <v>316</v>
      </c>
    </row>
    <row r="27003">
      <c r="A27003" s="17"/>
      <c r="H27003" s="18"/>
      <c r="K27003" s="18" t="s">
        <v>316</v>
      </c>
    </row>
    <row r="27004">
      <c r="A27004" s="17"/>
      <c r="H27004" s="18"/>
      <c r="K27004" s="18" t="s">
        <v>316</v>
      </c>
    </row>
    <row r="27005">
      <c r="A27005" s="17"/>
      <c r="H27005" s="18"/>
      <c r="K27005" s="18" t="s">
        <v>316</v>
      </c>
    </row>
    <row r="27006">
      <c r="A27006" s="17"/>
      <c r="H27006" s="18"/>
      <c r="K27006" s="18" t="s">
        <v>316</v>
      </c>
    </row>
    <row r="27007">
      <c r="A27007" s="17"/>
      <c r="H27007" s="18"/>
      <c r="K27007" s="18" t="s">
        <v>316</v>
      </c>
    </row>
    <row r="27008">
      <c r="A27008" s="17"/>
      <c r="H27008" s="18"/>
      <c r="K27008" s="18" t="s">
        <v>316</v>
      </c>
    </row>
    <row r="27009">
      <c r="A27009" s="17"/>
      <c r="H27009" s="18"/>
      <c r="K27009" s="18" t="s">
        <v>316</v>
      </c>
    </row>
    <row r="27010">
      <c r="A27010" s="17"/>
      <c r="H27010" s="18"/>
      <c r="K27010" s="18" t="s">
        <v>316</v>
      </c>
    </row>
    <row r="27011">
      <c r="A27011" s="17"/>
      <c r="H27011" s="18"/>
      <c r="K27011" s="18" t="s">
        <v>316</v>
      </c>
    </row>
    <row r="27012">
      <c r="A27012" s="17"/>
      <c r="H27012" s="18"/>
      <c r="K27012" s="18" t="s">
        <v>316</v>
      </c>
    </row>
    <row r="27013">
      <c r="A27013" s="17"/>
      <c r="H27013" s="18"/>
      <c r="K27013" s="18" t="s">
        <v>316</v>
      </c>
    </row>
    <row r="27014">
      <c r="A27014" s="17"/>
      <c r="H27014" s="18"/>
      <c r="K27014" s="18" t="s">
        <v>316</v>
      </c>
    </row>
    <row r="27015">
      <c r="A27015" s="17"/>
      <c r="H27015" s="18"/>
      <c r="K27015" s="18" t="s">
        <v>316</v>
      </c>
    </row>
    <row r="27016">
      <c r="A27016" s="17"/>
      <c r="H27016" s="18"/>
      <c r="K27016" s="18" t="s">
        <v>316</v>
      </c>
    </row>
    <row r="27017">
      <c r="A27017" s="17"/>
      <c r="H27017" s="18"/>
      <c r="K27017" s="18" t="s">
        <v>316</v>
      </c>
    </row>
    <row r="27018">
      <c r="A27018" s="17"/>
      <c r="H27018" s="18"/>
      <c r="K27018" s="18" t="s">
        <v>316</v>
      </c>
    </row>
    <row r="27019">
      <c r="A27019" s="17"/>
      <c r="H27019" s="18"/>
      <c r="K27019" s="18" t="s">
        <v>316</v>
      </c>
    </row>
    <row r="27020">
      <c r="A27020" s="17"/>
      <c r="H27020" s="18"/>
      <c r="K27020" s="18" t="s">
        <v>316</v>
      </c>
    </row>
    <row r="27021">
      <c r="A27021" s="17"/>
      <c r="H27021" s="18"/>
      <c r="K27021" s="18" t="s">
        <v>316</v>
      </c>
    </row>
    <row r="27022">
      <c r="A27022" s="17"/>
      <c r="H27022" s="18"/>
      <c r="K27022" s="18" t="s">
        <v>316</v>
      </c>
    </row>
    <row r="27023">
      <c r="A27023" s="17"/>
      <c r="H27023" s="18"/>
      <c r="K27023" s="18" t="s">
        <v>316</v>
      </c>
    </row>
    <row r="27024">
      <c r="A27024" s="17"/>
      <c r="H27024" s="18"/>
      <c r="K27024" s="18" t="s">
        <v>316</v>
      </c>
    </row>
    <row r="27025">
      <c r="A27025" s="17"/>
      <c r="H27025" s="18"/>
      <c r="K27025" s="18" t="s">
        <v>316</v>
      </c>
    </row>
    <row r="27026">
      <c r="A27026" s="17"/>
      <c r="H27026" s="18"/>
      <c r="K27026" s="18" t="s">
        <v>316</v>
      </c>
    </row>
    <row r="27027">
      <c r="A27027" s="17"/>
      <c r="H27027" s="18"/>
      <c r="K27027" s="18" t="s">
        <v>316</v>
      </c>
    </row>
    <row r="27028">
      <c r="A27028" s="17"/>
      <c r="H27028" s="18"/>
      <c r="K27028" s="18" t="s">
        <v>316</v>
      </c>
    </row>
    <row r="27029">
      <c r="A27029" s="17"/>
      <c r="H27029" s="18"/>
      <c r="K27029" s="18" t="s">
        <v>316</v>
      </c>
    </row>
    <row r="27030">
      <c r="A27030" s="17"/>
      <c r="H27030" s="18"/>
      <c r="K27030" s="18" t="s">
        <v>316</v>
      </c>
    </row>
    <row r="27031">
      <c r="A27031" s="17"/>
      <c r="H27031" s="18"/>
      <c r="K27031" s="18" t="s">
        <v>316</v>
      </c>
    </row>
    <row r="27032">
      <c r="A27032" s="17"/>
      <c r="H27032" s="18"/>
      <c r="K27032" s="18" t="s">
        <v>316</v>
      </c>
    </row>
    <row r="27033">
      <c r="A27033" s="17"/>
      <c r="H27033" s="18"/>
      <c r="K27033" s="18" t="s">
        <v>316</v>
      </c>
    </row>
    <row r="27034">
      <c r="A27034" s="17"/>
      <c r="H27034" s="18"/>
      <c r="K27034" s="18" t="s">
        <v>316</v>
      </c>
    </row>
    <row r="27035">
      <c r="A27035" s="17"/>
      <c r="H27035" s="18"/>
      <c r="K27035" s="18" t="s">
        <v>316</v>
      </c>
    </row>
    <row r="27036">
      <c r="A27036" s="17"/>
      <c r="H27036" s="18"/>
      <c r="K27036" s="18" t="s">
        <v>316</v>
      </c>
    </row>
    <row r="27037">
      <c r="A27037" s="17"/>
      <c r="H27037" s="18"/>
      <c r="K27037" s="18" t="s">
        <v>316</v>
      </c>
    </row>
    <row r="27038">
      <c r="A27038" s="17"/>
      <c r="H27038" s="18"/>
      <c r="K27038" s="18" t="s">
        <v>316</v>
      </c>
    </row>
    <row r="27039">
      <c r="A27039" s="17"/>
      <c r="H27039" s="18"/>
      <c r="K27039" s="18" t="s">
        <v>316</v>
      </c>
    </row>
    <row r="27040">
      <c r="A27040" s="17"/>
      <c r="H27040" s="18"/>
      <c r="K27040" s="18" t="s">
        <v>316</v>
      </c>
    </row>
    <row r="27041">
      <c r="A27041" s="17"/>
      <c r="H27041" s="18"/>
      <c r="K27041" s="18" t="s">
        <v>316</v>
      </c>
    </row>
    <row r="27042">
      <c r="A27042" s="17"/>
      <c r="H27042" s="18"/>
      <c r="K27042" s="18" t="s">
        <v>316</v>
      </c>
    </row>
    <row r="27043">
      <c r="A27043" s="17"/>
      <c r="H27043" s="18"/>
      <c r="K27043" s="18" t="s">
        <v>316</v>
      </c>
    </row>
    <row r="27044">
      <c r="A27044" s="17"/>
      <c r="H27044" s="18"/>
      <c r="K27044" s="18" t="s">
        <v>316</v>
      </c>
    </row>
    <row r="27045">
      <c r="A27045" s="17"/>
      <c r="H27045" s="18"/>
      <c r="K27045" s="18" t="s">
        <v>316</v>
      </c>
    </row>
    <row r="27046">
      <c r="A27046" s="17"/>
      <c r="H27046" s="18"/>
      <c r="K27046" s="18" t="s">
        <v>316</v>
      </c>
    </row>
    <row r="27047">
      <c r="A27047" s="17"/>
      <c r="H27047" s="18"/>
      <c r="K27047" s="18" t="s">
        <v>316</v>
      </c>
    </row>
    <row r="27048">
      <c r="A27048" s="17"/>
      <c r="H27048" s="18"/>
      <c r="K27048" s="18" t="s">
        <v>316</v>
      </c>
    </row>
    <row r="27049">
      <c r="A27049" s="17"/>
      <c r="H27049" s="18"/>
      <c r="K27049" s="18" t="s">
        <v>316</v>
      </c>
    </row>
    <row r="27050">
      <c r="A27050" s="17"/>
      <c r="H27050" s="18"/>
      <c r="K27050" s="18" t="s">
        <v>316</v>
      </c>
    </row>
    <row r="27051">
      <c r="A27051" s="17"/>
      <c r="H27051" s="18"/>
      <c r="K27051" s="18" t="s">
        <v>316</v>
      </c>
    </row>
    <row r="27052">
      <c r="A27052" s="17"/>
      <c r="H27052" s="18"/>
      <c r="K27052" s="18" t="s">
        <v>316</v>
      </c>
    </row>
    <row r="27053">
      <c r="A27053" s="17"/>
      <c r="H27053" s="18"/>
      <c r="K27053" s="18" t="s">
        <v>316</v>
      </c>
    </row>
    <row r="27054">
      <c r="A27054" s="17"/>
      <c r="H27054" s="18"/>
      <c r="K27054" s="18" t="s">
        <v>316</v>
      </c>
    </row>
    <row r="27055">
      <c r="A27055" s="17"/>
      <c r="H27055" s="18"/>
      <c r="K27055" s="18" t="s">
        <v>316</v>
      </c>
    </row>
    <row r="27056">
      <c r="A27056" s="17"/>
      <c r="H27056" s="18"/>
      <c r="K27056" s="18" t="s">
        <v>316</v>
      </c>
    </row>
    <row r="27057">
      <c r="A27057" s="17"/>
      <c r="H27057" s="18"/>
      <c r="K27057" s="18" t="s">
        <v>316</v>
      </c>
    </row>
    <row r="27058">
      <c r="A27058" s="17"/>
      <c r="H27058" s="18"/>
      <c r="K27058" s="18" t="s">
        <v>316</v>
      </c>
    </row>
    <row r="27059">
      <c r="A27059" s="17"/>
      <c r="H27059" s="18"/>
      <c r="K27059" s="18" t="s">
        <v>316</v>
      </c>
    </row>
    <row r="27060">
      <c r="A27060" s="17"/>
      <c r="H27060" s="18"/>
      <c r="K27060" s="18" t="s">
        <v>316</v>
      </c>
    </row>
    <row r="27061">
      <c r="A27061" s="17"/>
      <c r="H27061" s="18"/>
      <c r="K27061" s="18" t="s">
        <v>316</v>
      </c>
    </row>
    <row r="27062">
      <c r="A27062" s="17"/>
      <c r="H27062" s="18"/>
      <c r="K27062" s="18" t="s">
        <v>316</v>
      </c>
    </row>
    <row r="27063">
      <c r="A27063" s="17"/>
      <c r="H27063" s="18"/>
      <c r="K27063" s="18" t="s">
        <v>316</v>
      </c>
    </row>
    <row r="27064">
      <c r="A27064" s="17"/>
      <c r="H27064" s="18"/>
      <c r="K27064" s="18" t="s">
        <v>316</v>
      </c>
    </row>
    <row r="27065">
      <c r="A27065" s="17"/>
      <c r="H27065" s="18"/>
      <c r="K27065" s="18" t="s">
        <v>316</v>
      </c>
    </row>
    <row r="27066">
      <c r="A27066" s="17"/>
      <c r="H27066" s="18"/>
      <c r="K27066" s="18" t="s">
        <v>316</v>
      </c>
    </row>
    <row r="27067">
      <c r="A27067" s="17"/>
      <c r="H27067" s="18"/>
      <c r="K27067" s="18" t="s">
        <v>316</v>
      </c>
    </row>
    <row r="27068">
      <c r="A27068" s="17"/>
      <c r="H27068" s="18"/>
      <c r="K27068" s="18" t="s">
        <v>316</v>
      </c>
    </row>
    <row r="27069">
      <c r="A27069" s="17"/>
      <c r="H27069" s="18"/>
      <c r="K27069" s="18" t="s">
        <v>316</v>
      </c>
    </row>
    <row r="27070">
      <c r="A27070" s="17"/>
      <c r="H27070" s="18"/>
      <c r="K27070" s="18" t="s">
        <v>316</v>
      </c>
    </row>
    <row r="27071">
      <c r="A27071" s="17"/>
      <c r="H27071" s="18"/>
      <c r="K27071" s="18" t="s">
        <v>316</v>
      </c>
    </row>
    <row r="27072">
      <c r="A27072" s="17"/>
      <c r="H27072" s="18"/>
      <c r="K27072" s="18" t="s">
        <v>316</v>
      </c>
    </row>
    <row r="27073">
      <c r="A27073" s="17"/>
      <c r="H27073" s="18"/>
      <c r="K27073" s="18" t="s">
        <v>316</v>
      </c>
    </row>
    <row r="27074">
      <c r="A27074" s="17"/>
      <c r="H27074" s="18"/>
      <c r="K27074" s="18" t="s">
        <v>316</v>
      </c>
    </row>
    <row r="27075">
      <c r="A27075" s="17"/>
      <c r="H27075" s="18"/>
      <c r="K27075" s="18" t="s">
        <v>316</v>
      </c>
    </row>
    <row r="27076">
      <c r="A27076" s="17"/>
      <c r="H27076" s="18"/>
      <c r="K27076" s="18" t="s">
        <v>316</v>
      </c>
    </row>
    <row r="27077">
      <c r="A27077" s="17"/>
      <c r="H27077" s="18"/>
      <c r="K27077" s="18" t="s">
        <v>316</v>
      </c>
    </row>
    <row r="27078">
      <c r="A27078" s="17"/>
      <c r="H27078" s="18"/>
      <c r="K27078" s="18" t="s">
        <v>316</v>
      </c>
    </row>
    <row r="27079">
      <c r="A27079" s="17"/>
      <c r="H27079" s="18"/>
      <c r="K27079" s="18" t="s">
        <v>316</v>
      </c>
    </row>
    <row r="27080">
      <c r="A27080" s="17"/>
      <c r="H27080" s="18"/>
      <c r="K27080" s="18" t="s">
        <v>316</v>
      </c>
    </row>
    <row r="27081">
      <c r="A27081" s="17"/>
      <c r="H27081" s="18"/>
      <c r="K27081" s="18" t="s">
        <v>316</v>
      </c>
    </row>
    <row r="27082">
      <c r="A27082" s="17"/>
      <c r="H27082" s="18"/>
      <c r="K27082" s="18" t="s">
        <v>316</v>
      </c>
    </row>
    <row r="27083">
      <c r="A27083" s="17"/>
      <c r="H27083" s="18"/>
      <c r="K27083" s="18" t="s">
        <v>316</v>
      </c>
    </row>
    <row r="27084">
      <c r="A27084" s="17"/>
      <c r="H27084" s="18"/>
      <c r="K27084" s="18" t="s">
        <v>316</v>
      </c>
    </row>
    <row r="27085">
      <c r="A27085" s="17"/>
      <c r="H27085" s="18"/>
      <c r="K27085" s="18" t="s">
        <v>316</v>
      </c>
    </row>
    <row r="27086">
      <c r="A27086" s="17"/>
      <c r="H27086" s="18"/>
      <c r="K27086" s="18" t="s">
        <v>316</v>
      </c>
    </row>
    <row r="27087">
      <c r="A27087" s="17"/>
      <c r="H27087" s="18"/>
      <c r="K27087" s="18" t="s">
        <v>316</v>
      </c>
    </row>
    <row r="27088">
      <c r="A27088" s="17"/>
      <c r="H27088" s="18"/>
      <c r="K27088" s="18" t="s">
        <v>316</v>
      </c>
    </row>
    <row r="27089">
      <c r="A27089" s="17"/>
      <c r="H27089" s="18"/>
      <c r="K27089" s="18" t="s">
        <v>316</v>
      </c>
    </row>
    <row r="27090">
      <c r="A27090" s="17"/>
      <c r="H27090" s="18"/>
      <c r="K27090" s="18" t="s">
        <v>316</v>
      </c>
    </row>
    <row r="27091">
      <c r="A27091" s="17"/>
      <c r="H27091" s="18"/>
      <c r="K27091" s="18" t="s">
        <v>316</v>
      </c>
    </row>
    <row r="27092">
      <c r="A27092" s="17"/>
      <c r="H27092" s="18"/>
      <c r="K27092" s="18" t="s">
        <v>316</v>
      </c>
    </row>
    <row r="27093">
      <c r="A27093" s="17"/>
      <c r="H27093" s="18"/>
      <c r="K27093" s="18" t="s">
        <v>316</v>
      </c>
    </row>
    <row r="27094">
      <c r="A27094" s="17"/>
      <c r="H27094" s="18"/>
      <c r="K27094" s="18" t="s">
        <v>316</v>
      </c>
    </row>
    <row r="27095">
      <c r="A27095" s="17"/>
      <c r="H27095" s="18"/>
      <c r="K27095" s="18" t="s">
        <v>316</v>
      </c>
    </row>
    <row r="27096">
      <c r="A27096" s="17"/>
      <c r="H27096" s="18"/>
      <c r="K27096" s="18" t="s">
        <v>316</v>
      </c>
    </row>
    <row r="27097">
      <c r="A27097" s="17"/>
      <c r="H27097" s="18"/>
      <c r="K27097" s="18" t="s">
        <v>316</v>
      </c>
    </row>
    <row r="27098">
      <c r="A27098" s="17"/>
      <c r="H27098" s="18"/>
      <c r="K27098" s="18" t="s">
        <v>316</v>
      </c>
    </row>
    <row r="27099">
      <c r="A27099" s="17"/>
      <c r="H27099" s="18"/>
      <c r="K27099" s="18" t="s">
        <v>316</v>
      </c>
    </row>
    <row r="27100">
      <c r="A27100" s="17"/>
      <c r="H27100" s="18"/>
      <c r="K27100" s="18" t="s">
        <v>316</v>
      </c>
    </row>
    <row r="27101">
      <c r="A27101" s="17"/>
      <c r="H27101" s="18"/>
      <c r="K27101" s="18" t="s">
        <v>316</v>
      </c>
    </row>
    <row r="27102">
      <c r="A27102" s="17"/>
      <c r="H27102" s="18"/>
      <c r="K27102" s="18" t="s">
        <v>316</v>
      </c>
    </row>
    <row r="27103">
      <c r="A27103" s="17"/>
      <c r="H27103" s="18"/>
      <c r="K27103" s="18" t="s">
        <v>316</v>
      </c>
    </row>
    <row r="27104">
      <c r="A27104" s="17"/>
      <c r="H27104" s="18"/>
      <c r="K27104" s="18" t="s">
        <v>316</v>
      </c>
    </row>
    <row r="27105">
      <c r="A27105" s="17"/>
      <c r="H27105" s="18"/>
      <c r="K27105" s="18" t="s">
        <v>316</v>
      </c>
    </row>
    <row r="27106">
      <c r="A27106" s="17"/>
      <c r="H27106" s="18"/>
      <c r="K27106" s="18" t="s">
        <v>316</v>
      </c>
    </row>
    <row r="27107">
      <c r="A27107" s="17"/>
      <c r="H27107" s="18"/>
      <c r="K27107" s="18" t="s">
        <v>316</v>
      </c>
    </row>
    <row r="27108">
      <c r="A27108" s="17"/>
      <c r="H27108" s="18"/>
      <c r="K27108" s="18" t="s">
        <v>316</v>
      </c>
    </row>
    <row r="27109">
      <c r="A27109" s="17"/>
      <c r="H27109" s="18"/>
      <c r="K27109" s="18" t="s">
        <v>316</v>
      </c>
    </row>
    <row r="27110">
      <c r="A27110" s="17"/>
      <c r="H27110" s="18"/>
      <c r="K27110" s="18" t="s">
        <v>316</v>
      </c>
    </row>
    <row r="27111">
      <c r="A27111" s="17"/>
      <c r="H27111" s="18"/>
      <c r="K27111" s="18" t="s">
        <v>316</v>
      </c>
    </row>
    <row r="27112">
      <c r="A27112" s="17"/>
      <c r="H27112" s="18"/>
      <c r="K27112" s="18" t="s">
        <v>316</v>
      </c>
    </row>
    <row r="27113">
      <c r="A27113" s="17"/>
      <c r="H27113" s="18"/>
      <c r="K27113" s="18" t="s">
        <v>316</v>
      </c>
    </row>
    <row r="27114">
      <c r="A27114" s="17"/>
      <c r="H27114" s="18"/>
      <c r="K27114" s="18" t="s">
        <v>316</v>
      </c>
    </row>
    <row r="27115">
      <c r="A27115" s="17"/>
      <c r="H27115" s="18"/>
      <c r="K27115" s="18" t="s">
        <v>316</v>
      </c>
    </row>
    <row r="27116">
      <c r="A27116" s="17"/>
      <c r="H27116" s="18"/>
      <c r="K27116" s="18" t="s">
        <v>316</v>
      </c>
    </row>
    <row r="27117">
      <c r="A27117" s="17"/>
      <c r="H27117" s="18"/>
      <c r="K27117" s="18" t="s">
        <v>316</v>
      </c>
    </row>
    <row r="27118">
      <c r="A27118" s="17"/>
      <c r="H27118" s="18"/>
      <c r="K27118" s="18" t="s">
        <v>316</v>
      </c>
    </row>
    <row r="27119">
      <c r="A27119" s="17"/>
      <c r="H27119" s="18"/>
      <c r="K27119" s="18" t="s">
        <v>316</v>
      </c>
    </row>
    <row r="27120">
      <c r="A27120" s="17"/>
      <c r="H27120" s="18"/>
      <c r="K27120" s="18" t="s">
        <v>316</v>
      </c>
    </row>
    <row r="27121">
      <c r="A27121" s="17"/>
      <c r="H27121" s="18"/>
      <c r="K27121" s="18" t="s">
        <v>316</v>
      </c>
    </row>
    <row r="27122">
      <c r="A27122" s="17"/>
      <c r="H27122" s="18"/>
      <c r="K27122" s="18" t="s">
        <v>316</v>
      </c>
    </row>
    <row r="27123">
      <c r="A27123" s="17"/>
      <c r="H27123" s="18"/>
      <c r="K27123" s="18" t="s">
        <v>316</v>
      </c>
    </row>
    <row r="27124">
      <c r="A27124" s="17"/>
      <c r="H27124" s="18"/>
      <c r="K27124" s="18" t="s">
        <v>316</v>
      </c>
    </row>
    <row r="27125">
      <c r="A27125" s="17"/>
      <c r="H27125" s="18"/>
      <c r="K27125" s="18" t="s">
        <v>316</v>
      </c>
    </row>
    <row r="27126">
      <c r="A27126" s="17"/>
      <c r="H27126" s="18"/>
      <c r="K27126" s="18" t="s">
        <v>316</v>
      </c>
    </row>
    <row r="27127">
      <c r="A27127" s="17"/>
      <c r="H27127" s="18"/>
      <c r="K27127" s="18" t="s">
        <v>316</v>
      </c>
    </row>
    <row r="27128">
      <c r="A27128" s="17"/>
      <c r="H27128" s="18"/>
      <c r="K27128" s="18" t="s">
        <v>316</v>
      </c>
    </row>
    <row r="27129">
      <c r="A27129" s="17"/>
      <c r="H27129" s="18"/>
      <c r="K27129" s="18" t="s">
        <v>316</v>
      </c>
    </row>
    <row r="27130">
      <c r="A27130" s="17"/>
      <c r="H27130" s="18"/>
      <c r="K27130" s="18" t="s">
        <v>316</v>
      </c>
    </row>
    <row r="27131">
      <c r="A27131" s="17"/>
      <c r="H27131" s="18"/>
      <c r="K27131" s="18" t="s">
        <v>316</v>
      </c>
    </row>
    <row r="27132">
      <c r="A27132" s="17"/>
      <c r="H27132" s="18"/>
      <c r="K27132" s="18" t="s">
        <v>316</v>
      </c>
    </row>
    <row r="27133">
      <c r="A27133" s="17"/>
      <c r="H27133" s="18"/>
      <c r="K27133" s="18" t="s">
        <v>316</v>
      </c>
    </row>
    <row r="27134">
      <c r="A27134" s="17"/>
      <c r="H27134" s="18"/>
      <c r="K27134" s="18" t="s">
        <v>316</v>
      </c>
    </row>
    <row r="27135">
      <c r="A27135" s="17"/>
      <c r="H27135" s="18"/>
      <c r="K27135" s="18" t="s">
        <v>316</v>
      </c>
    </row>
    <row r="27136">
      <c r="A27136" s="17"/>
      <c r="H27136" s="18"/>
      <c r="K27136" s="18" t="s">
        <v>316</v>
      </c>
    </row>
    <row r="27137">
      <c r="A27137" s="17"/>
      <c r="H27137" s="18"/>
      <c r="K27137" s="18" t="s">
        <v>316</v>
      </c>
    </row>
    <row r="27138">
      <c r="A27138" s="17"/>
      <c r="H27138" s="18"/>
      <c r="K27138" s="18" t="s">
        <v>316</v>
      </c>
    </row>
    <row r="27139">
      <c r="A27139" s="17"/>
      <c r="H27139" s="18"/>
      <c r="K27139" s="18" t="s">
        <v>316</v>
      </c>
    </row>
    <row r="27140">
      <c r="A27140" s="17"/>
      <c r="H27140" s="18"/>
      <c r="K27140" s="18" t="s">
        <v>316</v>
      </c>
    </row>
    <row r="27141">
      <c r="A27141" s="17"/>
      <c r="H27141" s="18"/>
      <c r="K27141" s="18" t="s">
        <v>316</v>
      </c>
    </row>
    <row r="27142">
      <c r="A27142" s="17"/>
      <c r="H27142" s="18"/>
      <c r="K27142" s="18" t="s">
        <v>316</v>
      </c>
    </row>
    <row r="27143">
      <c r="A27143" s="17"/>
      <c r="H27143" s="18"/>
      <c r="K27143" s="18" t="s">
        <v>316</v>
      </c>
    </row>
    <row r="27144">
      <c r="A27144" s="17"/>
      <c r="H27144" s="18"/>
      <c r="K27144" s="18" t="s">
        <v>316</v>
      </c>
    </row>
    <row r="27145">
      <c r="A27145" s="17"/>
      <c r="H27145" s="18"/>
      <c r="K27145" s="18" t="s">
        <v>316</v>
      </c>
    </row>
    <row r="27146">
      <c r="A27146" s="17"/>
      <c r="H27146" s="18"/>
      <c r="K27146" s="18" t="s">
        <v>316</v>
      </c>
    </row>
    <row r="27147">
      <c r="A27147" s="17"/>
      <c r="H27147" s="18"/>
      <c r="K27147" s="18" t="s">
        <v>316</v>
      </c>
    </row>
    <row r="27148">
      <c r="A27148" s="17"/>
      <c r="H27148" s="18"/>
      <c r="K27148" s="18" t="s">
        <v>316</v>
      </c>
    </row>
    <row r="27149">
      <c r="A27149" s="17"/>
      <c r="H27149" s="18"/>
      <c r="K27149" s="18" t="s">
        <v>316</v>
      </c>
    </row>
    <row r="27150">
      <c r="A27150" s="17"/>
      <c r="H27150" s="18"/>
      <c r="K27150" s="18" t="s">
        <v>316</v>
      </c>
    </row>
    <row r="27151">
      <c r="A27151" s="17"/>
      <c r="H27151" s="18"/>
      <c r="K27151" s="18" t="s">
        <v>316</v>
      </c>
    </row>
    <row r="27152">
      <c r="A27152" s="17"/>
      <c r="H27152" s="18"/>
      <c r="K27152" s="18" t="s">
        <v>316</v>
      </c>
    </row>
    <row r="27153">
      <c r="A27153" s="17"/>
      <c r="H27153" s="18"/>
      <c r="K27153" s="18" t="s">
        <v>316</v>
      </c>
    </row>
    <row r="27154">
      <c r="A27154" s="17"/>
      <c r="H27154" s="18"/>
      <c r="K27154" s="18" t="s">
        <v>316</v>
      </c>
    </row>
    <row r="27155">
      <c r="A27155" s="17"/>
      <c r="H27155" s="18"/>
      <c r="K27155" s="18" t="s">
        <v>316</v>
      </c>
    </row>
    <row r="27156">
      <c r="A27156" s="17"/>
      <c r="H27156" s="18"/>
      <c r="K27156" s="18" t="s">
        <v>316</v>
      </c>
    </row>
    <row r="27157">
      <c r="A27157" s="17"/>
      <c r="H27157" s="18"/>
      <c r="K27157" s="18" t="s">
        <v>316</v>
      </c>
    </row>
    <row r="27158">
      <c r="A27158" s="17"/>
      <c r="H27158" s="18"/>
      <c r="K27158" s="18" t="s">
        <v>316</v>
      </c>
    </row>
    <row r="27159">
      <c r="A27159" s="17"/>
      <c r="H27159" s="18"/>
      <c r="K27159" s="18" t="s">
        <v>316</v>
      </c>
    </row>
    <row r="27160">
      <c r="A27160" s="17"/>
      <c r="H27160" s="18"/>
      <c r="K27160" s="18" t="s">
        <v>316</v>
      </c>
    </row>
    <row r="27161">
      <c r="A27161" s="17"/>
      <c r="H27161" s="18"/>
      <c r="K27161" s="18" t="s">
        <v>316</v>
      </c>
    </row>
    <row r="27162">
      <c r="A27162" s="17"/>
      <c r="H27162" s="18"/>
      <c r="K27162" s="18" t="s">
        <v>316</v>
      </c>
    </row>
    <row r="27163">
      <c r="A27163" s="17"/>
      <c r="H27163" s="18"/>
      <c r="K27163" s="18" t="s">
        <v>316</v>
      </c>
    </row>
    <row r="27164">
      <c r="A27164" s="17"/>
      <c r="H27164" s="18"/>
      <c r="K27164" s="18" t="s">
        <v>316</v>
      </c>
    </row>
    <row r="27165">
      <c r="A27165" s="17"/>
      <c r="H27165" s="18"/>
      <c r="K27165" s="18" t="s">
        <v>316</v>
      </c>
    </row>
    <row r="27166">
      <c r="A27166" s="17"/>
      <c r="H27166" s="18"/>
      <c r="K27166" s="18" t="s">
        <v>316</v>
      </c>
    </row>
    <row r="27167">
      <c r="A27167" s="17"/>
      <c r="H27167" s="18"/>
      <c r="K27167" s="18" t="s">
        <v>316</v>
      </c>
    </row>
    <row r="27168">
      <c r="A27168" s="17"/>
      <c r="H27168" s="18"/>
      <c r="K27168" s="18" t="s">
        <v>316</v>
      </c>
    </row>
    <row r="27169">
      <c r="A27169" s="17"/>
      <c r="H27169" s="18"/>
      <c r="K27169" s="18" t="s">
        <v>316</v>
      </c>
    </row>
    <row r="27170">
      <c r="A27170" s="17"/>
      <c r="H27170" s="18"/>
      <c r="K27170" s="18" t="s">
        <v>316</v>
      </c>
    </row>
    <row r="27171">
      <c r="A27171" s="17"/>
      <c r="H27171" s="18"/>
      <c r="K27171" s="18" t="s">
        <v>316</v>
      </c>
    </row>
    <row r="27172">
      <c r="A27172" s="17"/>
      <c r="H27172" s="18"/>
      <c r="K27172" s="18" t="s">
        <v>316</v>
      </c>
    </row>
    <row r="27173">
      <c r="A27173" s="17"/>
      <c r="H27173" s="18"/>
      <c r="K27173" s="18" t="s">
        <v>316</v>
      </c>
    </row>
    <row r="27174">
      <c r="A27174" s="17"/>
      <c r="H27174" s="18"/>
      <c r="K27174" s="18" t="s">
        <v>316</v>
      </c>
    </row>
    <row r="27175">
      <c r="A27175" s="17"/>
      <c r="H27175" s="18"/>
      <c r="K27175" s="18" t="s">
        <v>316</v>
      </c>
    </row>
    <row r="27176">
      <c r="A27176" s="17"/>
      <c r="H27176" s="18"/>
      <c r="K27176" s="18" t="s">
        <v>316</v>
      </c>
    </row>
    <row r="27177">
      <c r="A27177" s="17"/>
      <c r="H27177" s="18"/>
      <c r="K27177" s="18" t="s">
        <v>316</v>
      </c>
    </row>
    <row r="27178">
      <c r="A27178" s="17"/>
      <c r="H27178" s="18"/>
      <c r="K27178" s="18" t="s">
        <v>316</v>
      </c>
    </row>
    <row r="27179">
      <c r="A27179" s="17"/>
      <c r="H27179" s="18"/>
      <c r="K27179" s="18" t="s">
        <v>316</v>
      </c>
    </row>
    <row r="27180">
      <c r="A27180" s="17"/>
      <c r="H27180" s="18"/>
      <c r="K27180" s="18" t="s">
        <v>316</v>
      </c>
    </row>
    <row r="27181">
      <c r="A27181" s="17"/>
      <c r="H27181" s="18"/>
      <c r="K27181" s="18" t="s">
        <v>316</v>
      </c>
    </row>
    <row r="27182">
      <c r="A27182" s="17"/>
      <c r="H27182" s="18"/>
      <c r="K27182" s="18" t="s">
        <v>316</v>
      </c>
    </row>
    <row r="27183">
      <c r="A27183" s="17"/>
      <c r="H27183" s="18"/>
      <c r="K27183" s="18" t="s">
        <v>316</v>
      </c>
    </row>
    <row r="27184">
      <c r="A27184" s="17"/>
      <c r="H27184" s="18"/>
      <c r="K27184" s="18" t="s">
        <v>316</v>
      </c>
    </row>
    <row r="27185">
      <c r="A27185" s="17"/>
      <c r="H27185" s="18"/>
      <c r="K27185" s="18" t="s">
        <v>316</v>
      </c>
    </row>
    <row r="27186">
      <c r="A27186" s="17"/>
      <c r="H27186" s="18"/>
      <c r="K27186" s="18" t="s">
        <v>316</v>
      </c>
    </row>
    <row r="27187">
      <c r="A27187" s="17"/>
      <c r="H27187" s="18"/>
      <c r="K27187" s="18" t="s">
        <v>316</v>
      </c>
    </row>
    <row r="27188">
      <c r="A27188" s="17"/>
      <c r="H27188" s="18"/>
      <c r="K27188" s="18" t="s">
        <v>316</v>
      </c>
    </row>
    <row r="27189">
      <c r="A27189" s="17"/>
      <c r="H27189" s="18"/>
      <c r="K27189" s="18" t="s">
        <v>316</v>
      </c>
    </row>
    <row r="27190">
      <c r="A27190" s="17"/>
      <c r="H27190" s="18"/>
      <c r="K27190" s="18" t="s">
        <v>316</v>
      </c>
    </row>
    <row r="27191">
      <c r="A27191" s="17"/>
      <c r="H27191" s="18"/>
      <c r="K27191" s="18" t="s">
        <v>316</v>
      </c>
    </row>
    <row r="27192">
      <c r="A27192" s="17"/>
      <c r="H27192" s="18"/>
      <c r="K27192" s="18" t="s">
        <v>316</v>
      </c>
    </row>
    <row r="27193">
      <c r="A27193" s="17"/>
      <c r="H27193" s="18"/>
      <c r="K27193" s="18" t="s">
        <v>316</v>
      </c>
    </row>
    <row r="27194">
      <c r="A27194" s="17"/>
      <c r="H27194" s="18"/>
      <c r="K27194" s="18" t="s">
        <v>316</v>
      </c>
    </row>
    <row r="27195">
      <c r="A27195" s="17"/>
      <c r="H27195" s="18"/>
      <c r="K27195" s="18" t="s">
        <v>316</v>
      </c>
    </row>
    <row r="27196">
      <c r="A27196" s="17"/>
      <c r="H27196" s="18"/>
      <c r="K27196" s="18" t="s">
        <v>316</v>
      </c>
    </row>
    <row r="27197">
      <c r="A27197" s="17"/>
      <c r="H27197" s="18"/>
      <c r="K27197" s="18" t="s">
        <v>316</v>
      </c>
    </row>
    <row r="27198">
      <c r="A27198" s="17"/>
      <c r="H27198" s="18"/>
      <c r="K27198" s="18" t="s">
        <v>316</v>
      </c>
    </row>
    <row r="27199">
      <c r="A27199" s="17"/>
      <c r="H27199" s="18"/>
      <c r="K27199" s="18" t="s">
        <v>316</v>
      </c>
    </row>
    <row r="27200">
      <c r="A27200" s="17"/>
      <c r="H27200" s="18"/>
      <c r="K27200" s="18" t="s">
        <v>316</v>
      </c>
    </row>
    <row r="27201">
      <c r="A27201" s="17"/>
      <c r="H27201" s="18"/>
      <c r="K27201" s="18" t="s">
        <v>316</v>
      </c>
    </row>
    <row r="27202">
      <c r="A27202" s="17"/>
      <c r="H27202" s="18"/>
      <c r="K27202" s="18" t="s">
        <v>316</v>
      </c>
    </row>
    <row r="27203">
      <c r="A27203" s="17"/>
      <c r="H27203" s="18"/>
      <c r="K27203" s="18" t="s">
        <v>316</v>
      </c>
    </row>
    <row r="27204">
      <c r="A27204" s="17"/>
      <c r="H27204" s="18"/>
      <c r="K27204" s="18" t="s">
        <v>316</v>
      </c>
    </row>
    <row r="27205">
      <c r="A27205" s="17"/>
      <c r="H27205" s="18"/>
      <c r="K27205" s="18" t="s">
        <v>316</v>
      </c>
    </row>
    <row r="27206">
      <c r="A27206" s="17"/>
      <c r="H27206" s="18"/>
      <c r="K27206" s="18" t="s">
        <v>316</v>
      </c>
    </row>
    <row r="27207">
      <c r="A27207" s="17"/>
      <c r="H27207" s="18"/>
      <c r="K27207" s="18" t="s">
        <v>316</v>
      </c>
    </row>
    <row r="27208">
      <c r="A27208" s="17"/>
      <c r="H27208" s="18"/>
      <c r="K27208" s="18" t="s">
        <v>316</v>
      </c>
    </row>
    <row r="27209">
      <c r="A27209" s="17"/>
      <c r="H27209" s="18"/>
      <c r="K27209" s="18" t="s">
        <v>316</v>
      </c>
    </row>
    <row r="27210">
      <c r="A27210" s="17"/>
      <c r="H27210" s="18"/>
      <c r="K27210" s="18" t="s">
        <v>316</v>
      </c>
    </row>
    <row r="27211">
      <c r="A27211" s="17"/>
      <c r="H27211" s="18"/>
      <c r="K27211" s="18" t="s">
        <v>316</v>
      </c>
    </row>
    <row r="27212">
      <c r="A27212" s="17"/>
      <c r="H27212" s="18"/>
      <c r="K27212" s="18" t="s">
        <v>316</v>
      </c>
    </row>
    <row r="27213">
      <c r="A27213" s="17"/>
      <c r="H27213" s="18"/>
      <c r="K27213" s="18" t="s">
        <v>316</v>
      </c>
    </row>
    <row r="27214">
      <c r="A27214" s="17"/>
      <c r="H27214" s="18"/>
      <c r="K27214" s="18" t="s">
        <v>316</v>
      </c>
    </row>
    <row r="27215">
      <c r="A27215" s="17"/>
      <c r="H27215" s="18"/>
      <c r="K27215" s="18" t="s">
        <v>316</v>
      </c>
    </row>
    <row r="27216">
      <c r="A27216" s="17"/>
      <c r="H27216" s="18"/>
      <c r="K27216" s="18" t="s">
        <v>316</v>
      </c>
    </row>
    <row r="27217">
      <c r="A27217" s="17"/>
      <c r="H27217" s="18"/>
      <c r="K27217" s="18" t="s">
        <v>316</v>
      </c>
    </row>
    <row r="27218">
      <c r="A27218" s="17"/>
      <c r="H27218" s="18"/>
      <c r="K27218" s="18" t="s">
        <v>316</v>
      </c>
    </row>
    <row r="27219">
      <c r="A27219" s="17"/>
      <c r="H27219" s="18"/>
      <c r="K27219" s="18" t="s">
        <v>316</v>
      </c>
    </row>
    <row r="27220">
      <c r="A27220" s="17"/>
      <c r="H27220" s="18"/>
      <c r="K27220" s="18" t="s">
        <v>316</v>
      </c>
    </row>
    <row r="27221">
      <c r="A27221" s="17"/>
      <c r="H27221" s="18"/>
      <c r="K27221" s="18" t="s">
        <v>316</v>
      </c>
    </row>
    <row r="27222">
      <c r="A27222" s="17"/>
      <c r="H27222" s="18"/>
      <c r="K27222" s="18" t="s">
        <v>316</v>
      </c>
    </row>
    <row r="27223">
      <c r="A27223" s="17"/>
      <c r="H27223" s="18"/>
      <c r="K27223" s="18" t="s">
        <v>316</v>
      </c>
    </row>
    <row r="27224">
      <c r="A27224" s="17"/>
      <c r="H27224" s="18"/>
      <c r="K27224" s="18" t="s">
        <v>316</v>
      </c>
    </row>
    <row r="27225">
      <c r="A27225" s="17"/>
      <c r="H27225" s="18"/>
      <c r="K27225" s="18" t="s">
        <v>316</v>
      </c>
    </row>
    <row r="27226">
      <c r="A27226" s="17"/>
      <c r="H27226" s="18"/>
      <c r="K27226" s="18" t="s">
        <v>316</v>
      </c>
    </row>
    <row r="27227">
      <c r="A27227" s="17"/>
      <c r="H27227" s="18"/>
      <c r="K27227" s="18" t="s">
        <v>316</v>
      </c>
    </row>
    <row r="27228">
      <c r="A27228" s="17"/>
      <c r="H27228" s="18"/>
      <c r="K27228" s="18" t="s">
        <v>316</v>
      </c>
    </row>
    <row r="27229">
      <c r="A27229" s="17"/>
      <c r="H27229" s="18"/>
      <c r="K27229" s="18" t="s">
        <v>316</v>
      </c>
    </row>
    <row r="27230">
      <c r="A27230" s="17"/>
      <c r="H27230" s="18"/>
      <c r="K27230" s="18" t="s">
        <v>316</v>
      </c>
    </row>
    <row r="27231">
      <c r="A27231" s="17"/>
      <c r="H27231" s="18"/>
      <c r="K27231" s="18" t="s">
        <v>316</v>
      </c>
    </row>
    <row r="27232">
      <c r="A27232" s="17"/>
      <c r="H27232" s="18"/>
      <c r="K27232" s="18" t="s">
        <v>316</v>
      </c>
    </row>
    <row r="27233">
      <c r="A27233" s="17"/>
      <c r="H27233" s="18"/>
      <c r="K27233" s="18" t="s">
        <v>316</v>
      </c>
    </row>
    <row r="27234">
      <c r="A27234" s="17"/>
      <c r="H27234" s="18"/>
      <c r="K27234" s="18" t="s">
        <v>316</v>
      </c>
    </row>
    <row r="27235">
      <c r="A27235" s="17"/>
      <c r="H27235" s="18"/>
      <c r="K27235" s="18" t="s">
        <v>316</v>
      </c>
    </row>
    <row r="27236">
      <c r="A27236" s="17"/>
      <c r="H27236" s="18"/>
      <c r="K27236" s="18" t="s">
        <v>316</v>
      </c>
    </row>
    <row r="27237">
      <c r="A27237" s="17"/>
      <c r="H27237" s="18"/>
      <c r="K27237" s="18" t="s">
        <v>316</v>
      </c>
    </row>
    <row r="27238">
      <c r="A27238" s="17"/>
      <c r="H27238" s="18"/>
      <c r="K27238" s="18" t="s">
        <v>316</v>
      </c>
    </row>
    <row r="27239">
      <c r="A27239" s="17"/>
      <c r="H27239" s="18"/>
      <c r="K27239" s="18" t="s">
        <v>316</v>
      </c>
    </row>
    <row r="27240">
      <c r="A27240" s="17"/>
      <c r="H27240" s="18"/>
      <c r="K27240" s="18" t="s">
        <v>316</v>
      </c>
    </row>
    <row r="27241">
      <c r="A27241" s="17"/>
      <c r="H27241" s="18"/>
      <c r="K27241" s="18" t="s">
        <v>316</v>
      </c>
    </row>
    <row r="27242">
      <c r="A27242" s="17"/>
      <c r="H27242" s="18"/>
      <c r="K27242" s="18" t="s">
        <v>316</v>
      </c>
    </row>
    <row r="27243">
      <c r="A27243" s="17"/>
      <c r="H27243" s="18"/>
      <c r="K27243" s="18" t="s">
        <v>316</v>
      </c>
    </row>
    <row r="27244">
      <c r="A27244" s="17"/>
      <c r="H27244" s="18"/>
      <c r="K27244" s="18" t="s">
        <v>316</v>
      </c>
    </row>
    <row r="27245">
      <c r="A27245" s="17"/>
      <c r="H27245" s="18"/>
      <c r="K27245" s="18" t="s">
        <v>316</v>
      </c>
    </row>
    <row r="27246">
      <c r="A27246" s="17"/>
      <c r="H27246" s="18"/>
      <c r="K27246" s="18" t="s">
        <v>316</v>
      </c>
    </row>
    <row r="27247">
      <c r="A27247" s="17"/>
      <c r="H27247" s="18"/>
      <c r="K27247" s="18" t="s">
        <v>316</v>
      </c>
    </row>
    <row r="27248">
      <c r="A27248" s="17"/>
      <c r="H27248" s="18"/>
      <c r="K27248" s="18" t="s">
        <v>316</v>
      </c>
    </row>
    <row r="27249">
      <c r="A27249" s="17"/>
      <c r="H27249" s="18"/>
      <c r="K27249" s="18" t="s">
        <v>316</v>
      </c>
    </row>
    <row r="27250">
      <c r="A27250" s="17"/>
      <c r="H27250" s="18"/>
      <c r="K27250" s="18" t="s">
        <v>316</v>
      </c>
    </row>
    <row r="27251">
      <c r="A27251" s="17"/>
      <c r="H27251" s="18"/>
      <c r="K27251" s="18" t="s">
        <v>316</v>
      </c>
    </row>
    <row r="27252">
      <c r="A27252" s="17"/>
      <c r="H27252" s="18"/>
      <c r="K27252" s="18" t="s">
        <v>316</v>
      </c>
    </row>
    <row r="27253">
      <c r="A27253" s="17"/>
      <c r="H27253" s="18"/>
      <c r="K27253" s="18" t="s">
        <v>316</v>
      </c>
    </row>
    <row r="27254">
      <c r="A27254" s="17"/>
      <c r="H27254" s="18"/>
      <c r="K27254" s="18" t="s">
        <v>316</v>
      </c>
    </row>
    <row r="27255">
      <c r="A27255" s="17"/>
      <c r="H27255" s="18"/>
      <c r="K27255" s="18" t="s">
        <v>316</v>
      </c>
    </row>
    <row r="27256">
      <c r="A27256" s="17"/>
      <c r="H27256" s="18"/>
      <c r="K27256" s="18" t="s">
        <v>316</v>
      </c>
    </row>
    <row r="27257">
      <c r="A27257" s="17"/>
      <c r="H27257" s="18"/>
      <c r="K27257" s="18" t="s">
        <v>316</v>
      </c>
    </row>
    <row r="27258">
      <c r="A27258" s="17"/>
      <c r="H27258" s="18"/>
      <c r="K27258" s="18" t="s">
        <v>316</v>
      </c>
    </row>
    <row r="27259">
      <c r="A27259" s="17"/>
      <c r="H27259" s="18"/>
      <c r="K27259" s="18" t="s">
        <v>316</v>
      </c>
    </row>
    <row r="27260">
      <c r="A27260" s="17"/>
      <c r="H27260" s="18"/>
      <c r="K27260" s="18" t="s">
        <v>316</v>
      </c>
    </row>
    <row r="27261">
      <c r="A27261" s="17"/>
      <c r="H27261" s="18"/>
      <c r="K27261" s="18" t="s">
        <v>316</v>
      </c>
    </row>
    <row r="27262">
      <c r="A27262" s="17"/>
      <c r="H27262" s="18"/>
      <c r="K27262" s="18" t="s">
        <v>316</v>
      </c>
    </row>
    <row r="27263">
      <c r="A27263" s="17"/>
      <c r="H27263" s="18"/>
      <c r="K27263" s="18" t="s">
        <v>316</v>
      </c>
    </row>
    <row r="27264">
      <c r="A27264" s="17"/>
      <c r="H27264" s="18"/>
      <c r="K27264" s="18" t="s">
        <v>316</v>
      </c>
    </row>
    <row r="27265">
      <c r="A27265" s="17"/>
      <c r="H27265" s="18"/>
      <c r="K27265" s="18" t="s">
        <v>316</v>
      </c>
    </row>
    <row r="27266">
      <c r="A27266" s="17"/>
      <c r="H27266" s="18"/>
      <c r="K27266" s="18" t="s">
        <v>316</v>
      </c>
    </row>
    <row r="27267">
      <c r="A27267" s="17"/>
      <c r="H27267" s="18"/>
      <c r="K27267" s="18" t="s">
        <v>316</v>
      </c>
    </row>
    <row r="27268">
      <c r="A27268" s="17"/>
      <c r="H27268" s="18"/>
      <c r="K27268" s="18" t="s">
        <v>316</v>
      </c>
    </row>
    <row r="27269">
      <c r="A27269" s="17"/>
      <c r="H27269" s="18"/>
      <c r="K27269" s="18" t="s">
        <v>316</v>
      </c>
    </row>
    <row r="27270">
      <c r="A27270" s="17"/>
      <c r="H27270" s="18"/>
      <c r="K27270" s="18" t="s">
        <v>316</v>
      </c>
    </row>
    <row r="27271">
      <c r="A27271" s="17"/>
      <c r="H27271" s="18"/>
      <c r="K27271" s="18" t="s">
        <v>316</v>
      </c>
    </row>
    <row r="27272">
      <c r="A27272" s="17"/>
      <c r="H27272" s="18"/>
      <c r="K27272" s="18" t="s">
        <v>316</v>
      </c>
    </row>
    <row r="27273">
      <c r="A27273" s="17"/>
      <c r="H27273" s="18"/>
      <c r="K27273" s="18" t="s">
        <v>316</v>
      </c>
    </row>
    <row r="27274">
      <c r="A27274" s="17"/>
      <c r="H27274" s="18"/>
      <c r="K27274" s="18" t="s">
        <v>316</v>
      </c>
    </row>
    <row r="27275">
      <c r="A27275" s="17"/>
      <c r="H27275" s="18"/>
      <c r="K27275" s="18" t="s">
        <v>316</v>
      </c>
    </row>
    <row r="27276">
      <c r="A27276" s="17"/>
      <c r="H27276" s="18"/>
      <c r="K27276" s="18" t="s">
        <v>316</v>
      </c>
    </row>
    <row r="27277">
      <c r="A27277" s="17"/>
      <c r="H27277" s="18"/>
      <c r="K27277" s="18" t="s">
        <v>316</v>
      </c>
    </row>
    <row r="27278">
      <c r="A27278" s="17"/>
      <c r="H27278" s="18"/>
      <c r="K27278" s="18" t="s">
        <v>316</v>
      </c>
    </row>
    <row r="27279">
      <c r="A27279" s="17"/>
      <c r="H27279" s="18"/>
      <c r="K27279" s="18" t="s">
        <v>316</v>
      </c>
    </row>
    <row r="27280">
      <c r="A27280" s="17"/>
      <c r="H27280" s="18"/>
      <c r="K27280" s="18" t="s">
        <v>316</v>
      </c>
    </row>
    <row r="27281">
      <c r="A27281" s="17"/>
      <c r="H27281" s="18"/>
      <c r="K27281" s="18" t="s">
        <v>316</v>
      </c>
    </row>
    <row r="27282">
      <c r="A27282" s="17"/>
      <c r="H27282" s="18"/>
      <c r="K27282" s="18" t="s">
        <v>316</v>
      </c>
    </row>
    <row r="27283">
      <c r="A27283" s="17"/>
      <c r="H27283" s="18"/>
      <c r="K27283" s="18" t="s">
        <v>316</v>
      </c>
    </row>
    <row r="27284">
      <c r="A27284" s="17"/>
      <c r="H27284" s="18"/>
      <c r="K27284" s="18" t="s">
        <v>316</v>
      </c>
    </row>
    <row r="27285">
      <c r="A27285" s="17"/>
      <c r="H27285" s="18"/>
      <c r="K27285" s="18" t="s">
        <v>316</v>
      </c>
    </row>
    <row r="27286">
      <c r="A27286" s="17"/>
      <c r="H27286" s="18"/>
      <c r="K27286" s="18" t="s">
        <v>316</v>
      </c>
    </row>
    <row r="27287">
      <c r="A27287" s="17"/>
      <c r="H27287" s="18"/>
      <c r="K27287" s="18" t="s">
        <v>316</v>
      </c>
    </row>
    <row r="27288">
      <c r="A27288" s="17"/>
      <c r="H27288" s="18"/>
      <c r="K27288" s="18" t="s">
        <v>316</v>
      </c>
    </row>
    <row r="27289">
      <c r="A27289" s="17"/>
      <c r="H27289" s="18"/>
      <c r="K27289" s="18" t="s">
        <v>316</v>
      </c>
    </row>
    <row r="27290">
      <c r="A27290" s="17"/>
      <c r="H27290" s="18"/>
      <c r="K27290" s="18" t="s">
        <v>316</v>
      </c>
    </row>
    <row r="27291">
      <c r="A27291" s="17"/>
      <c r="H27291" s="18"/>
      <c r="K27291" s="18" t="s">
        <v>316</v>
      </c>
    </row>
    <row r="27292">
      <c r="A27292" s="17"/>
      <c r="H27292" s="18"/>
      <c r="K27292" s="18" t="s">
        <v>316</v>
      </c>
    </row>
    <row r="27293">
      <c r="A27293" s="17"/>
      <c r="H27293" s="18"/>
      <c r="K27293" s="18" t="s">
        <v>316</v>
      </c>
    </row>
    <row r="27294">
      <c r="A27294" s="17"/>
      <c r="H27294" s="18"/>
      <c r="K27294" s="18" t="s">
        <v>316</v>
      </c>
    </row>
    <row r="27295">
      <c r="A27295" s="17"/>
      <c r="H27295" s="18"/>
      <c r="K27295" s="18" t="s">
        <v>316</v>
      </c>
    </row>
    <row r="27296">
      <c r="A27296" s="17"/>
      <c r="H27296" s="18"/>
      <c r="K27296" s="18" t="s">
        <v>316</v>
      </c>
    </row>
    <row r="27297">
      <c r="A27297" s="17"/>
      <c r="H27297" s="18"/>
      <c r="K27297" s="18" t="s">
        <v>316</v>
      </c>
    </row>
    <row r="27298">
      <c r="A27298" s="17"/>
      <c r="H27298" s="18"/>
      <c r="K27298" s="18" t="s">
        <v>316</v>
      </c>
    </row>
    <row r="27299">
      <c r="A27299" s="17"/>
      <c r="H27299" s="18"/>
      <c r="K27299" s="18" t="s">
        <v>316</v>
      </c>
    </row>
    <row r="27300">
      <c r="A27300" s="17"/>
      <c r="H27300" s="18"/>
      <c r="K27300" s="18" t="s">
        <v>316</v>
      </c>
    </row>
    <row r="27301">
      <c r="A27301" s="17"/>
      <c r="H27301" s="18"/>
      <c r="K27301" s="18" t="s">
        <v>316</v>
      </c>
    </row>
    <row r="27302">
      <c r="A27302" s="17"/>
      <c r="H27302" s="18"/>
      <c r="K27302" s="18" t="s">
        <v>316</v>
      </c>
    </row>
    <row r="27303">
      <c r="A27303" s="17"/>
      <c r="H27303" s="18"/>
      <c r="K27303" s="18" t="s">
        <v>316</v>
      </c>
    </row>
    <row r="27304">
      <c r="A27304" s="17"/>
      <c r="H27304" s="18"/>
      <c r="K27304" s="18" t="s">
        <v>316</v>
      </c>
    </row>
    <row r="27305">
      <c r="A27305" s="17"/>
      <c r="H27305" s="18"/>
      <c r="K27305" s="18" t="s">
        <v>316</v>
      </c>
    </row>
    <row r="27306">
      <c r="A27306" s="17"/>
      <c r="H27306" s="18"/>
      <c r="K27306" s="18" t="s">
        <v>316</v>
      </c>
    </row>
    <row r="27307">
      <c r="A27307" s="17"/>
      <c r="H27307" s="18"/>
      <c r="K27307" s="18" t="s">
        <v>316</v>
      </c>
    </row>
    <row r="27308">
      <c r="A27308" s="17"/>
      <c r="H27308" s="18"/>
      <c r="K27308" s="18" t="s">
        <v>316</v>
      </c>
    </row>
    <row r="27309">
      <c r="A27309" s="17"/>
      <c r="H27309" s="18"/>
      <c r="K27309" s="18" t="s">
        <v>316</v>
      </c>
    </row>
    <row r="27310">
      <c r="A27310" s="17"/>
      <c r="H27310" s="18"/>
      <c r="K27310" s="18" t="s">
        <v>316</v>
      </c>
    </row>
    <row r="27311">
      <c r="A27311" s="17"/>
      <c r="H27311" s="18"/>
      <c r="K27311" s="18" t="s">
        <v>316</v>
      </c>
    </row>
    <row r="27312">
      <c r="A27312" s="17"/>
      <c r="H27312" s="18"/>
      <c r="K27312" s="18" t="s">
        <v>316</v>
      </c>
    </row>
    <row r="27313">
      <c r="A27313" s="17"/>
      <c r="H27313" s="18"/>
      <c r="K27313" s="18" t="s">
        <v>316</v>
      </c>
    </row>
    <row r="27314">
      <c r="A27314" s="17"/>
      <c r="H27314" s="18"/>
      <c r="K27314" s="18" t="s">
        <v>316</v>
      </c>
    </row>
    <row r="27315">
      <c r="A27315" s="17"/>
      <c r="H27315" s="18"/>
      <c r="K27315" s="18" t="s">
        <v>316</v>
      </c>
    </row>
    <row r="27316">
      <c r="A27316" s="17"/>
      <c r="H27316" s="18"/>
      <c r="K27316" s="18" t="s">
        <v>316</v>
      </c>
    </row>
    <row r="27317">
      <c r="A27317" s="17"/>
      <c r="H27317" s="18"/>
      <c r="K27317" s="18" t="s">
        <v>316</v>
      </c>
    </row>
    <row r="27318">
      <c r="A27318" s="17"/>
      <c r="H27318" s="18"/>
      <c r="K27318" s="18" t="s">
        <v>316</v>
      </c>
    </row>
    <row r="27319">
      <c r="A27319" s="17"/>
      <c r="H27319" s="18"/>
      <c r="K27319" s="18" t="s">
        <v>316</v>
      </c>
    </row>
    <row r="27320">
      <c r="A27320" s="17"/>
      <c r="H27320" s="18"/>
      <c r="K27320" s="18" t="s">
        <v>316</v>
      </c>
    </row>
    <row r="27321">
      <c r="A27321" s="17"/>
      <c r="H27321" s="18"/>
      <c r="K27321" s="18" t="s">
        <v>316</v>
      </c>
    </row>
    <row r="27322">
      <c r="A27322" s="17"/>
      <c r="H27322" s="18"/>
      <c r="K27322" s="18" t="s">
        <v>316</v>
      </c>
    </row>
    <row r="27323">
      <c r="A27323" s="17"/>
      <c r="H27323" s="18"/>
      <c r="K27323" s="18" t="s">
        <v>316</v>
      </c>
    </row>
    <row r="27324">
      <c r="A27324" s="17"/>
      <c r="H27324" s="18"/>
      <c r="K27324" s="18" t="s">
        <v>316</v>
      </c>
    </row>
    <row r="27325">
      <c r="A27325" s="17"/>
      <c r="H27325" s="18"/>
      <c r="K27325" s="18" t="s">
        <v>316</v>
      </c>
    </row>
    <row r="27326">
      <c r="A27326" s="17"/>
      <c r="H27326" s="18"/>
      <c r="K27326" s="18" t="s">
        <v>316</v>
      </c>
    </row>
    <row r="27327">
      <c r="A27327" s="17"/>
      <c r="H27327" s="18"/>
      <c r="K27327" s="18" t="s">
        <v>316</v>
      </c>
    </row>
    <row r="27328">
      <c r="A27328" s="17"/>
      <c r="H27328" s="18"/>
      <c r="K27328" s="18" t="s">
        <v>316</v>
      </c>
    </row>
    <row r="27329">
      <c r="A27329" s="17"/>
      <c r="H27329" s="18"/>
      <c r="K27329" s="18" t="s">
        <v>316</v>
      </c>
    </row>
    <row r="27330">
      <c r="A27330" s="17"/>
      <c r="H27330" s="18"/>
      <c r="K27330" s="18" t="s">
        <v>316</v>
      </c>
    </row>
    <row r="27331">
      <c r="A27331" s="17"/>
      <c r="H27331" s="18"/>
      <c r="K27331" s="18" t="s">
        <v>316</v>
      </c>
    </row>
    <row r="27332">
      <c r="A27332" s="17"/>
      <c r="H27332" s="18"/>
      <c r="K27332" s="18" t="s">
        <v>316</v>
      </c>
    </row>
    <row r="27333">
      <c r="A27333" s="17"/>
      <c r="H27333" s="18"/>
      <c r="K27333" s="18" t="s">
        <v>316</v>
      </c>
    </row>
    <row r="27334">
      <c r="A27334" s="17"/>
      <c r="H27334" s="18"/>
      <c r="K27334" s="18" t="s">
        <v>316</v>
      </c>
    </row>
    <row r="27335">
      <c r="A27335" s="17"/>
      <c r="H27335" s="18"/>
      <c r="K27335" s="18" t="s">
        <v>316</v>
      </c>
    </row>
    <row r="27336">
      <c r="A27336" s="17"/>
      <c r="H27336" s="18"/>
      <c r="K27336" s="18" t="s">
        <v>316</v>
      </c>
    </row>
    <row r="27337">
      <c r="A27337" s="17"/>
      <c r="H27337" s="18"/>
      <c r="K27337" s="18" t="s">
        <v>316</v>
      </c>
    </row>
    <row r="27338">
      <c r="A27338" s="17"/>
      <c r="H27338" s="18"/>
      <c r="K27338" s="18" t="s">
        <v>316</v>
      </c>
    </row>
    <row r="27339">
      <c r="A27339" s="17"/>
      <c r="H27339" s="18"/>
      <c r="K27339" s="18" t="s">
        <v>316</v>
      </c>
    </row>
    <row r="27340">
      <c r="A27340" s="17"/>
      <c r="H27340" s="18"/>
      <c r="K27340" s="18" t="s">
        <v>316</v>
      </c>
    </row>
    <row r="27341">
      <c r="A27341" s="17"/>
      <c r="H27341" s="18"/>
      <c r="K27341" s="18" t="s">
        <v>316</v>
      </c>
    </row>
    <row r="27342">
      <c r="A27342" s="17"/>
      <c r="H27342" s="18"/>
      <c r="K27342" s="18" t="s">
        <v>316</v>
      </c>
    </row>
    <row r="27343">
      <c r="A27343" s="17"/>
      <c r="H27343" s="18"/>
      <c r="K27343" s="18" t="s">
        <v>316</v>
      </c>
    </row>
    <row r="27344">
      <c r="A27344" s="17"/>
      <c r="H27344" s="18"/>
      <c r="K27344" s="18" t="s">
        <v>316</v>
      </c>
    </row>
    <row r="27345">
      <c r="A27345" s="17"/>
      <c r="H27345" s="18"/>
      <c r="K27345" s="18" t="s">
        <v>316</v>
      </c>
    </row>
    <row r="27346">
      <c r="A27346" s="17"/>
      <c r="H27346" s="18"/>
      <c r="K27346" s="18" t="s">
        <v>316</v>
      </c>
    </row>
    <row r="27347">
      <c r="A27347" s="17"/>
      <c r="H27347" s="18"/>
      <c r="K27347" s="18" t="s">
        <v>316</v>
      </c>
    </row>
    <row r="27348">
      <c r="A27348" s="17"/>
      <c r="H27348" s="18"/>
      <c r="K27348" s="18" t="s">
        <v>316</v>
      </c>
    </row>
    <row r="27349">
      <c r="A27349" s="17"/>
      <c r="H27349" s="18"/>
      <c r="K27349" s="18" t="s">
        <v>316</v>
      </c>
    </row>
    <row r="27350">
      <c r="A27350" s="17"/>
      <c r="H27350" s="18"/>
      <c r="K27350" s="18" t="s">
        <v>316</v>
      </c>
    </row>
    <row r="27351">
      <c r="A27351" s="17"/>
      <c r="H27351" s="18"/>
      <c r="K27351" s="18" t="s">
        <v>316</v>
      </c>
    </row>
    <row r="27352">
      <c r="A27352" s="17"/>
      <c r="H27352" s="18"/>
      <c r="K27352" s="18" t="s">
        <v>316</v>
      </c>
    </row>
    <row r="27353">
      <c r="A27353" s="17"/>
      <c r="H27353" s="18"/>
      <c r="K27353" s="18" t="s">
        <v>316</v>
      </c>
    </row>
    <row r="27354">
      <c r="A27354" s="17"/>
      <c r="H27354" s="18"/>
      <c r="K27354" s="18" t="s">
        <v>316</v>
      </c>
    </row>
    <row r="27355">
      <c r="A27355" s="17"/>
      <c r="H27355" s="18"/>
      <c r="K27355" s="18" t="s">
        <v>316</v>
      </c>
    </row>
    <row r="27356">
      <c r="A27356" s="17"/>
      <c r="H27356" s="18"/>
      <c r="K27356" s="18" t="s">
        <v>316</v>
      </c>
    </row>
    <row r="27357">
      <c r="A27357" s="17"/>
      <c r="H27357" s="18"/>
      <c r="K27357" s="18" t="s">
        <v>316</v>
      </c>
    </row>
    <row r="27358">
      <c r="A27358" s="17"/>
      <c r="H27358" s="18"/>
      <c r="K27358" s="18" t="s">
        <v>316</v>
      </c>
    </row>
    <row r="27359">
      <c r="A27359" s="17"/>
      <c r="H27359" s="18"/>
      <c r="K27359" s="18" t="s">
        <v>316</v>
      </c>
    </row>
    <row r="27360">
      <c r="A27360" s="17"/>
      <c r="H27360" s="18"/>
      <c r="K27360" s="18" t="s">
        <v>316</v>
      </c>
    </row>
    <row r="27361">
      <c r="A27361" s="17"/>
      <c r="H27361" s="18"/>
      <c r="K27361" s="18" t="s">
        <v>316</v>
      </c>
    </row>
    <row r="27362">
      <c r="A27362" s="17"/>
      <c r="H27362" s="18"/>
      <c r="K27362" s="18" t="s">
        <v>316</v>
      </c>
    </row>
    <row r="27363">
      <c r="A27363" s="17"/>
      <c r="H27363" s="18"/>
      <c r="K27363" s="18" t="s">
        <v>316</v>
      </c>
    </row>
    <row r="27364">
      <c r="A27364" s="17"/>
      <c r="H27364" s="18"/>
      <c r="K27364" s="18" t="s">
        <v>316</v>
      </c>
    </row>
    <row r="27365">
      <c r="A27365" s="17"/>
      <c r="H27365" s="18"/>
      <c r="K27365" s="18" t="s">
        <v>316</v>
      </c>
    </row>
    <row r="27366">
      <c r="A27366" s="17"/>
      <c r="H27366" s="18"/>
      <c r="K27366" s="18" t="s">
        <v>316</v>
      </c>
    </row>
    <row r="27367">
      <c r="A27367" s="17"/>
      <c r="H27367" s="18"/>
      <c r="K27367" s="18" t="s">
        <v>316</v>
      </c>
    </row>
    <row r="27368">
      <c r="A27368" s="17"/>
      <c r="H27368" s="18"/>
      <c r="K27368" s="18" t="s">
        <v>316</v>
      </c>
    </row>
    <row r="27369">
      <c r="A27369" s="17"/>
      <c r="H27369" s="18"/>
      <c r="K27369" s="18" t="s">
        <v>316</v>
      </c>
    </row>
    <row r="27370">
      <c r="A27370" s="17"/>
      <c r="H27370" s="18"/>
      <c r="K27370" s="18" t="s">
        <v>316</v>
      </c>
    </row>
    <row r="27371">
      <c r="A27371" s="17"/>
      <c r="H27371" s="18"/>
      <c r="K27371" s="18" t="s">
        <v>316</v>
      </c>
    </row>
    <row r="27372">
      <c r="A27372" s="17"/>
      <c r="H27372" s="18"/>
      <c r="K27372" s="18" t="s">
        <v>316</v>
      </c>
    </row>
    <row r="27373">
      <c r="A27373" s="17"/>
      <c r="H27373" s="18"/>
      <c r="K27373" s="18" t="s">
        <v>316</v>
      </c>
    </row>
    <row r="27374">
      <c r="A27374" s="17"/>
      <c r="H27374" s="18"/>
      <c r="K27374" s="18" t="s">
        <v>316</v>
      </c>
    </row>
    <row r="27375">
      <c r="A27375" s="17"/>
      <c r="H27375" s="18"/>
      <c r="K27375" s="18" t="s">
        <v>316</v>
      </c>
    </row>
    <row r="27376">
      <c r="A27376" s="17"/>
      <c r="H27376" s="18"/>
      <c r="K27376" s="18" t="s">
        <v>316</v>
      </c>
    </row>
    <row r="27377">
      <c r="A27377" s="17"/>
      <c r="H27377" s="18"/>
      <c r="K27377" s="18" t="s">
        <v>316</v>
      </c>
    </row>
    <row r="27378">
      <c r="A27378" s="17"/>
      <c r="H27378" s="18"/>
      <c r="K27378" s="18" t="s">
        <v>316</v>
      </c>
    </row>
    <row r="27379">
      <c r="A27379" s="17"/>
      <c r="H27379" s="18"/>
      <c r="K27379" s="18" t="s">
        <v>316</v>
      </c>
    </row>
    <row r="27380">
      <c r="A27380" s="17"/>
      <c r="H27380" s="18"/>
      <c r="K27380" s="18" t="s">
        <v>316</v>
      </c>
    </row>
    <row r="27381">
      <c r="A27381" s="17"/>
      <c r="H27381" s="18"/>
      <c r="K27381" s="18" t="s">
        <v>316</v>
      </c>
    </row>
    <row r="27382">
      <c r="A27382" s="17"/>
      <c r="H27382" s="18"/>
      <c r="K27382" s="18" t="s">
        <v>316</v>
      </c>
    </row>
    <row r="27383">
      <c r="A27383" s="17"/>
      <c r="H27383" s="18"/>
      <c r="K27383" s="18" t="s">
        <v>316</v>
      </c>
    </row>
    <row r="27384">
      <c r="A27384" s="17"/>
      <c r="H27384" s="18"/>
      <c r="K27384" s="18" t="s">
        <v>316</v>
      </c>
    </row>
    <row r="27385">
      <c r="A27385" s="17"/>
      <c r="H27385" s="18"/>
      <c r="K27385" s="18" t="s">
        <v>316</v>
      </c>
    </row>
    <row r="27386">
      <c r="A27386" s="17"/>
      <c r="H27386" s="18"/>
      <c r="K27386" s="18" t="s">
        <v>316</v>
      </c>
    </row>
    <row r="27387">
      <c r="A27387" s="17"/>
      <c r="H27387" s="18"/>
      <c r="K27387" s="18" t="s">
        <v>316</v>
      </c>
    </row>
    <row r="27388">
      <c r="A27388" s="17"/>
      <c r="H27388" s="18"/>
      <c r="K27388" s="18" t="s">
        <v>316</v>
      </c>
    </row>
    <row r="27389">
      <c r="A27389" s="17"/>
      <c r="H27389" s="18"/>
      <c r="K27389" s="18" t="s">
        <v>316</v>
      </c>
    </row>
    <row r="27390">
      <c r="A27390" s="17"/>
      <c r="H27390" s="18"/>
      <c r="K27390" s="18" t="s">
        <v>316</v>
      </c>
    </row>
    <row r="27391">
      <c r="A27391" s="17"/>
      <c r="H27391" s="18"/>
      <c r="K27391" s="18" t="s">
        <v>316</v>
      </c>
    </row>
    <row r="27392">
      <c r="A27392" s="17"/>
      <c r="H27392" s="18"/>
      <c r="K27392" s="18" t="s">
        <v>316</v>
      </c>
    </row>
    <row r="27393">
      <c r="A27393" s="17"/>
      <c r="H27393" s="18"/>
      <c r="K27393" s="18" t="s">
        <v>316</v>
      </c>
    </row>
    <row r="27394">
      <c r="A27394" s="17"/>
      <c r="H27394" s="18"/>
      <c r="K27394" s="18" t="s">
        <v>316</v>
      </c>
    </row>
    <row r="27395">
      <c r="A27395" s="17"/>
      <c r="H27395" s="18"/>
      <c r="K27395" s="18" t="s">
        <v>316</v>
      </c>
    </row>
    <row r="27396">
      <c r="A27396" s="17"/>
      <c r="H27396" s="18"/>
      <c r="K27396" s="18" t="s">
        <v>316</v>
      </c>
    </row>
    <row r="27397">
      <c r="A27397" s="17"/>
      <c r="H27397" s="18"/>
      <c r="K27397" s="18" t="s">
        <v>316</v>
      </c>
    </row>
    <row r="27398">
      <c r="A27398" s="17"/>
      <c r="H27398" s="18"/>
      <c r="K27398" s="18" t="s">
        <v>316</v>
      </c>
    </row>
    <row r="27399">
      <c r="A27399" s="17"/>
      <c r="H27399" s="18"/>
      <c r="K27399" s="18" t="s">
        <v>316</v>
      </c>
    </row>
    <row r="27400">
      <c r="A27400" s="17"/>
      <c r="H27400" s="18"/>
      <c r="K27400" s="18" t="s">
        <v>316</v>
      </c>
    </row>
    <row r="27401">
      <c r="A27401" s="17"/>
      <c r="H27401" s="18"/>
      <c r="K27401" s="18" t="s">
        <v>316</v>
      </c>
    </row>
    <row r="27402">
      <c r="A27402" s="17"/>
      <c r="H27402" s="18"/>
      <c r="K27402" s="18" t="s">
        <v>316</v>
      </c>
    </row>
    <row r="27403">
      <c r="A27403" s="17"/>
      <c r="H27403" s="18"/>
      <c r="K27403" s="18" t="s">
        <v>316</v>
      </c>
    </row>
    <row r="27404">
      <c r="A27404" s="17"/>
      <c r="H27404" s="18"/>
      <c r="K27404" s="18" t="s">
        <v>316</v>
      </c>
    </row>
    <row r="27405">
      <c r="A27405" s="17"/>
      <c r="H27405" s="18"/>
      <c r="K27405" s="18" t="s">
        <v>316</v>
      </c>
    </row>
    <row r="27406">
      <c r="A27406" s="17"/>
      <c r="H27406" s="18"/>
      <c r="K27406" s="18" t="s">
        <v>316</v>
      </c>
    </row>
    <row r="27407">
      <c r="A27407" s="17"/>
      <c r="H27407" s="18"/>
      <c r="K27407" s="18" t="s">
        <v>316</v>
      </c>
    </row>
    <row r="27408">
      <c r="A27408" s="17"/>
      <c r="H27408" s="18"/>
      <c r="K27408" s="18" t="s">
        <v>316</v>
      </c>
    </row>
    <row r="27409">
      <c r="A27409" s="17"/>
      <c r="H27409" s="18"/>
      <c r="K27409" s="18" t="s">
        <v>316</v>
      </c>
    </row>
    <row r="27410">
      <c r="A27410" s="17"/>
      <c r="H27410" s="18"/>
      <c r="K27410" s="18" t="s">
        <v>316</v>
      </c>
    </row>
    <row r="27411">
      <c r="A27411" s="17"/>
      <c r="H27411" s="18"/>
      <c r="K27411" s="18" t="s">
        <v>316</v>
      </c>
    </row>
    <row r="27412">
      <c r="A27412" s="17"/>
      <c r="H27412" s="18"/>
      <c r="K27412" s="18" t="s">
        <v>316</v>
      </c>
    </row>
    <row r="27413">
      <c r="A27413" s="17"/>
      <c r="H27413" s="18"/>
      <c r="K27413" s="18" t="s">
        <v>316</v>
      </c>
    </row>
    <row r="27414">
      <c r="A27414" s="17"/>
      <c r="H27414" s="18"/>
      <c r="K27414" s="18" t="s">
        <v>316</v>
      </c>
    </row>
    <row r="27415">
      <c r="A27415" s="17"/>
      <c r="H27415" s="18"/>
      <c r="K27415" s="18" t="s">
        <v>316</v>
      </c>
    </row>
    <row r="27416">
      <c r="A27416" s="17"/>
      <c r="H27416" s="18"/>
      <c r="K27416" s="18" t="s">
        <v>316</v>
      </c>
    </row>
    <row r="27417">
      <c r="A27417" s="17"/>
      <c r="H27417" s="18"/>
      <c r="K27417" s="18" t="s">
        <v>316</v>
      </c>
    </row>
    <row r="27418">
      <c r="A27418" s="17"/>
      <c r="H27418" s="18"/>
      <c r="K27418" s="18" t="s">
        <v>316</v>
      </c>
    </row>
    <row r="27419">
      <c r="A27419" s="17"/>
      <c r="H27419" s="18"/>
      <c r="K27419" s="18" t="s">
        <v>316</v>
      </c>
    </row>
    <row r="27420">
      <c r="A27420" s="17"/>
      <c r="H27420" s="18"/>
      <c r="K27420" s="18" t="s">
        <v>316</v>
      </c>
    </row>
    <row r="27421">
      <c r="A27421" s="17"/>
      <c r="H27421" s="18"/>
      <c r="K27421" s="18" t="s">
        <v>316</v>
      </c>
    </row>
    <row r="27422">
      <c r="A27422" s="17"/>
      <c r="H27422" s="18"/>
      <c r="K27422" s="18" t="s">
        <v>316</v>
      </c>
    </row>
    <row r="27423">
      <c r="A27423" s="17"/>
      <c r="H27423" s="18"/>
      <c r="K27423" s="18" t="s">
        <v>316</v>
      </c>
    </row>
    <row r="27424">
      <c r="A27424" s="17"/>
      <c r="H27424" s="18"/>
      <c r="K27424" s="18" t="s">
        <v>316</v>
      </c>
    </row>
    <row r="27425">
      <c r="A27425" s="17"/>
      <c r="H27425" s="18"/>
      <c r="K27425" s="18" t="s">
        <v>316</v>
      </c>
    </row>
    <row r="27426">
      <c r="A27426" s="17"/>
      <c r="H27426" s="18"/>
      <c r="K27426" s="18" t="s">
        <v>316</v>
      </c>
    </row>
    <row r="27427">
      <c r="A27427" s="17"/>
      <c r="H27427" s="18"/>
      <c r="K27427" s="18" t="s">
        <v>316</v>
      </c>
    </row>
    <row r="27428">
      <c r="A27428" s="17"/>
      <c r="H27428" s="18"/>
      <c r="K27428" s="18" t="s">
        <v>316</v>
      </c>
    </row>
    <row r="27429">
      <c r="A27429" s="17"/>
      <c r="H27429" s="18"/>
      <c r="K27429" s="18" t="s">
        <v>316</v>
      </c>
    </row>
    <row r="27430">
      <c r="A27430" s="17"/>
      <c r="H27430" s="18"/>
      <c r="K27430" s="18" t="s">
        <v>316</v>
      </c>
    </row>
    <row r="27431">
      <c r="A27431" s="17"/>
      <c r="H27431" s="18"/>
      <c r="K27431" s="18" t="s">
        <v>316</v>
      </c>
    </row>
    <row r="27432">
      <c r="A27432" s="17"/>
      <c r="H27432" s="18"/>
      <c r="K27432" s="18" t="s">
        <v>316</v>
      </c>
    </row>
    <row r="27433">
      <c r="A27433" s="17"/>
      <c r="H27433" s="18"/>
      <c r="K27433" s="18" t="s">
        <v>316</v>
      </c>
    </row>
    <row r="27434">
      <c r="A27434" s="17"/>
      <c r="H27434" s="18"/>
      <c r="K27434" s="18" t="s">
        <v>316</v>
      </c>
    </row>
    <row r="27435">
      <c r="A27435" s="17"/>
      <c r="H27435" s="18"/>
      <c r="K27435" s="18" t="s">
        <v>316</v>
      </c>
    </row>
    <row r="27436">
      <c r="A27436" s="17"/>
      <c r="H27436" s="18"/>
      <c r="K27436" s="18" t="s">
        <v>316</v>
      </c>
    </row>
    <row r="27437">
      <c r="A27437" s="17"/>
      <c r="H27437" s="18"/>
      <c r="K27437" s="18" t="s">
        <v>316</v>
      </c>
    </row>
    <row r="27438">
      <c r="A27438" s="17"/>
      <c r="H27438" s="18"/>
      <c r="K27438" s="18" t="s">
        <v>316</v>
      </c>
    </row>
    <row r="27439">
      <c r="A27439" s="17"/>
      <c r="H27439" s="18"/>
      <c r="K27439" s="18" t="s">
        <v>316</v>
      </c>
    </row>
    <row r="27440">
      <c r="A27440" s="17"/>
      <c r="H27440" s="18"/>
      <c r="K27440" s="18" t="s">
        <v>316</v>
      </c>
    </row>
    <row r="27441">
      <c r="A27441" s="17"/>
      <c r="H27441" s="18"/>
      <c r="K27441" s="18" t="s">
        <v>316</v>
      </c>
    </row>
    <row r="27442">
      <c r="A27442" s="17"/>
      <c r="H27442" s="18"/>
      <c r="K27442" s="18" t="s">
        <v>316</v>
      </c>
    </row>
    <row r="27443">
      <c r="A27443" s="17"/>
      <c r="H27443" s="18"/>
      <c r="K27443" s="18" t="s">
        <v>316</v>
      </c>
    </row>
    <row r="27444">
      <c r="A27444" s="17"/>
      <c r="H27444" s="18"/>
      <c r="K27444" s="18" t="s">
        <v>316</v>
      </c>
    </row>
    <row r="27445">
      <c r="A27445" s="17"/>
      <c r="H27445" s="18"/>
      <c r="K27445" s="18" t="s">
        <v>316</v>
      </c>
    </row>
    <row r="27446">
      <c r="A27446" s="17"/>
      <c r="H27446" s="18"/>
      <c r="K27446" s="18" t="s">
        <v>316</v>
      </c>
    </row>
    <row r="27447">
      <c r="A27447" s="17"/>
      <c r="H27447" s="18"/>
      <c r="K27447" s="18" t="s">
        <v>316</v>
      </c>
    </row>
    <row r="27448">
      <c r="A27448" s="17"/>
      <c r="H27448" s="18"/>
      <c r="K27448" s="18" t="s">
        <v>316</v>
      </c>
    </row>
    <row r="27449">
      <c r="A27449" s="17"/>
      <c r="H27449" s="18"/>
      <c r="K27449" s="18" t="s">
        <v>316</v>
      </c>
    </row>
    <row r="27450">
      <c r="A27450" s="17"/>
      <c r="H27450" s="18"/>
      <c r="K27450" s="18" t="s">
        <v>316</v>
      </c>
    </row>
    <row r="27451">
      <c r="A27451" s="17"/>
      <c r="H27451" s="18"/>
      <c r="K27451" s="18" t="s">
        <v>316</v>
      </c>
    </row>
    <row r="27452">
      <c r="A27452" s="17"/>
      <c r="H27452" s="18"/>
      <c r="K27452" s="18" t="s">
        <v>316</v>
      </c>
    </row>
    <row r="27453">
      <c r="A27453" s="17"/>
      <c r="H27453" s="18"/>
      <c r="K27453" s="18" t="s">
        <v>316</v>
      </c>
    </row>
    <row r="27454">
      <c r="A27454" s="17"/>
      <c r="H27454" s="18"/>
      <c r="K27454" s="18" t="s">
        <v>316</v>
      </c>
    </row>
    <row r="27455">
      <c r="A27455" s="17"/>
      <c r="H27455" s="18"/>
      <c r="K27455" s="18" t="s">
        <v>316</v>
      </c>
    </row>
    <row r="27456">
      <c r="A27456" s="17"/>
      <c r="H27456" s="18"/>
      <c r="K27456" s="18" t="s">
        <v>316</v>
      </c>
    </row>
    <row r="27457">
      <c r="A27457" s="17"/>
      <c r="H27457" s="18"/>
      <c r="K27457" s="18" t="s">
        <v>316</v>
      </c>
    </row>
    <row r="27458">
      <c r="A27458" s="17"/>
      <c r="H27458" s="18"/>
      <c r="K27458" s="18" t="s">
        <v>316</v>
      </c>
    </row>
    <row r="27459">
      <c r="A27459" s="17"/>
      <c r="H27459" s="18"/>
      <c r="K27459" s="18" t="s">
        <v>316</v>
      </c>
    </row>
    <row r="27460">
      <c r="A27460" s="17"/>
      <c r="H27460" s="18"/>
      <c r="K27460" s="18" t="s">
        <v>316</v>
      </c>
    </row>
    <row r="27461">
      <c r="A27461" s="17"/>
      <c r="H27461" s="18"/>
      <c r="K27461" s="18" t="s">
        <v>316</v>
      </c>
    </row>
    <row r="27462">
      <c r="A27462" s="17"/>
      <c r="H27462" s="18"/>
      <c r="K27462" s="18" t="s">
        <v>316</v>
      </c>
    </row>
    <row r="27463">
      <c r="A27463" s="17"/>
      <c r="H27463" s="18"/>
      <c r="K27463" s="18" t="s">
        <v>316</v>
      </c>
    </row>
    <row r="27464">
      <c r="A27464" s="17"/>
      <c r="H27464" s="18"/>
      <c r="K27464" s="18" t="s">
        <v>316</v>
      </c>
    </row>
    <row r="27465">
      <c r="A27465" s="17"/>
      <c r="H27465" s="18"/>
      <c r="K27465" s="18" t="s">
        <v>316</v>
      </c>
    </row>
    <row r="27466">
      <c r="A27466" s="17"/>
      <c r="H27466" s="18"/>
      <c r="K27466" s="18" t="s">
        <v>316</v>
      </c>
    </row>
    <row r="27467">
      <c r="A27467" s="17"/>
      <c r="H27467" s="18"/>
      <c r="K27467" s="18" t="s">
        <v>316</v>
      </c>
    </row>
    <row r="27468">
      <c r="A27468" s="17"/>
      <c r="H27468" s="18"/>
      <c r="K27468" s="18" t="s">
        <v>316</v>
      </c>
    </row>
    <row r="27469">
      <c r="A27469" s="17"/>
      <c r="H27469" s="18"/>
      <c r="K27469" s="18" t="s">
        <v>316</v>
      </c>
    </row>
    <row r="27470">
      <c r="A27470" s="17"/>
      <c r="H27470" s="18"/>
      <c r="K27470" s="18" t="s">
        <v>316</v>
      </c>
    </row>
    <row r="27471">
      <c r="A27471" s="17"/>
      <c r="H27471" s="18"/>
      <c r="K27471" s="18" t="s">
        <v>316</v>
      </c>
    </row>
    <row r="27472">
      <c r="A27472" s="17"/>
      <c r="H27472" s="18"/>
      <c r="K27472" s="18" t="s">
        <v>316</v>
      </c>
    </row>
    <row r="27473">
      <c r="A27473" s="17"/>
      <c r="H27473" s="18"/>
      <c r="K27473" s="18" t="s">
        <v>316</v>
      </c>
    </row>
    <row r="27474">
      <c r="A27474" s="17"/>
      <c r="H27474" s="18"/>
      <c r="K27474" s="18" t="s">
        <v>316</v>
      </c>
    </row>
    <row r="27475">
      <c r="A27475" s="17"/>
      <c r="H27475" s="18"/>
      <c r="K27475" s="18" t="s">
        <v>316</v>
      </c>
    </row>
    <row r="27476">
      <c r="A27476" s="17"/>
      <c r="H27476" s="18"/>
      <c r="K27476" s="18" t="s">
        <v>316</v>
      </c>
    </row>
    <row r="27477">
      <c r="A27477" s="17"/>
      <c r="H27477" s="18"/>
      <c r="K27477" s="18" t="s">
        <v>316</v>
      </c>
    </row>
    <row r="27478">
      <c r="A27478" s="17"/>
      <c r="H27478" s="18"/>
      <c r="K27478" s="18" t="s">
        <v>316</v>
      </c>
    </row>
    <row r="27479">
      <c r="A27479" s="17"/>
      <c r="H27479" s="18"/>
      <c r="K27479" s="18" t="s">
        <v>316</v>
      </c>
    </row>
    <row r="27480">
      <c r="A27480" s="17"/>
      <c r="H27480" s="18"/>
      <c r="K27480" s="18" t="s">
        <v>316</v>
      </c>
    </row>
    <row r="27481">
      <c r="A27481" s="17"/>
      <c r="H27481" s="18"/>
      <c r="K27481" s="18" t="s">
        <v>316</v>
      </c>
    </row>
    <row r="27482">
      <c r="A27482" s="17"/>
      <c r="H27482" s="18"/>
      <c r="K27482" s="18" t="s">
        <v>316</v>
      </c>
    </row>
    <row r="27483">
      <c r="A27483" s="17"/>
      <c r="H27483" s="18"/>
      <c r="K27483" s="18" t="s">
        <v>316</v>
      </c>
    </row>
    <row r="27484">
      <c r="A27484" s="17"/>
      <c r="H27484" s="18"/>
      <c r="K27484" s="18" t="s">
        <v>316</v>
      </c>
    </row>
    <row r="27485">
      <c r="A27485" s="17"/>
      <c r="H27485" s="18"/>
      <c r="K27485" s="18" t="s">
        <v>316</v>
      </c>
    </row>
    <row r="27486">
      <c r="A27486" s="17"/>
      <c r="H27486" s="18"/>
      <c r="K27486" s="18" t="s">
        <v>316</v>
      </c>
    </row>
    <row r="27487">
      <c r="A27487" s="17"/>
      <c r="H27487" s="18"/>
      <c r="K27487" s="18" t="s">
        <v>316</v>
      </c>
    </row>
    <row r="27488">
      <c r="A27488" s="17"/>
      <c r="H27488" s="18"/>
      <c r="K27488" s="18" t="s">
        <v>316</v>
      </c>
    </row>
    <row r="27489">
      <c r="A27489" s="17"/>
      <c r="H27489" s="18"/>
      <c r="K27489" s="18" t="s">
        <v>316</v>
      </c>
    </row>
    <row r="27490">
      <c r="A27490" s="17"/>
      <c r="H27490" s="18"/>
      <c r="K27490" s="18" t="s">
        <v>316</v>
      </c>
    </row>
    <row r="27491">
      <c r="A27491" s="17"/>
      <c r="H27491" s="18"/>
      <c r="K27491" s="18" t="s">
        <v>316</v>
      </c>
    </row>
    <row r="27492">
      <c r="A27492" s="17"/>
      <c r="H27492" s="18"/>
      <c r="K27492" s="18" t="s">
        <v>316</v>
      </c>
    </row>
    <row r="27493">
      <c r="A27493" s="17"/>
      <c r="H27493" s="18"/>
      <c r="K27493" s="18" t="s">
        <v>316</v>
      </c>
    </row>
    <row r="27494">
      <c r="A27494" s="17"/>
      <c r="H27494" s="18"/>
      <c r="K27494" s="18" t="s">
        <v>316</v>
      </c>
    </row>
    <row r="27495">
      <c r="A27495" s="17"/>
      <c r="H27495" s="18"/>
      <c r="K27495" s="18" t="s">
        <v>316</v>
      </c>
    </row>
    <row r="27496">
      <c r="A27496" s="17"/>
      <c r="H27496" s="18"/>
      <c r="K27496" s="18" t="s">
        <v>316</v>
      </c>
    </row>
    <row r="27497">
      <c r="A27497" s="17"/>
      <c r="H27497" s="18"/>
      <c r="K27497" s="18" t="s">
        <v>316</v>
      </c>
    </row>
    <row r="27498">
      <c r="A27498" s="17"/>
      <c r="H27498" s="18"/>
      <c r="K27498" s="18" t="s">
        <v>316</v>
      </c>
    </row>
    <row r="27499">
      <c r="A27499" s="17"/>
      <c r="H27499" s="18"/>
      <c r="K27499" s="18" t="s">
        <v>316</v>
      </c>
    </row>
    <row r="27500">
      <c r="A27500" s="17"/>
      <c r="H27500" s="18"/>
      <c r="K27500" s="18" t="s">
        <v>316</v>
      </c>
    </row>
    <row r="27501">
      <c r="A27501" s="17"/>
      <c r="H27501" s="18"/>
      <c r="K27501" s="18" t="s">
        <v>316</v>
      </c>
    </row>
    <row r="27502">
      <c r="A27502" s="17"/>
      <c r="H27502" s="18"/>
      <c r="K27502" s="18" t="s">
        <v>316</v>
      </c>
    </row>
    <row r="27503">
      <c r="A27503" s="17"/>
      <c r="H27503" s="18"/>
      <c r="K27503" s="18" t="s">
        <v>316</v>
      </c>
    </row>
    <row r="27504">
      <c r="A27504" s="17"/>
      <c r="H27504" s="18"/>
      <c r="K27504" s="18" t="s">
        <v>316</v>
      </c>
    </row>
    <row r="27505">
      <c r="A27505" s="17"/>
      <c r="H27505" s="18"/>
      <c r="K27505" s="18" t="s">
        <v>316</v>
      </c>
    </row>
    <row r="27506">
      <c r="A27506" s="17"/>
      <c r="H27506" s="18"/>
      <c r="K27506" s="18" t="s">
        <v>316</v>
      </c>
    </row>
    <row r="27507">
      <c r="A27507" s="17"/>
      <c r="H27507" s="18"/>
      <c r="K27507" s="18" t="s">
        <v>316</v>
      </c>
    </row>
    <row r="27508">
      <c r="A27508" s="17"/>
      <c r="H27508" s="18"/>
      <c r="K27508" s="18" t="s">
        <v>316</v>
      </c>
    </row>
    <row r="27509">
      <c r="A27509" s="17"/>
      <c r="H27509" s="18"/>
      <c r="K27509" s="18" t="s">
        <v>316</v>
      </c>
    </row>
    <row r="27510">
      <c r="A27510" s="17"/>
      <c r="H27510" s="18"/>
      <c r="K27510" s="18" t="s">
        <v>316</v>
      </c>
    </row>
    <row r="27511">
      <c r="A27511" s="17"/>
      <c r="H27511" s="18"/>
      <c r="K27511" s="18" t="s">
        <v>316</v>
      </c>
    </row>
    <row r="27512">
      <c r="A27512" s="17"/>
      <c r="H27512" s="18"/>
      <c r="K27512" s="18" t="s">
        <v>316</v>
      </c>
    </row>
    <row r="27513">
      <c r="A27513" s="17"/>
      <c r="H27513" s="18"/>
      <c r="K27513" s="18" t="s">
        <v>316</v>
      </c>
    </row>
    <row r="27514">
      <c r="A27514" s="17"/>
      <c r="H27514" s="18"/>
      <c r="K27514" s="18" t="s">
        <v>316</v>
      </c>
    </row>
    <row r="27515">
      <c r="A27515" s="17"/>
      <c r="H27515" s="18"/>
      <c r="K27515" s="18" t="s">
        <v>316</v>
      </c>
    </row>
    <row r="27516">
      <c r="A27516" s="17"/>
      <c r="H27516" s="18"/>
      <c r="K27516" s="18" t="s">
        <v>316</v>
      </c>
    </row>
    <row r="27517">
      <c r="A27517" s="17"/>
      <c r="H27517" s="18"/>
      <c r="K27517" s="18" t="s">
        <v>316</v>
      </c>
    </row>
    <row r="27518">
      <c r="A27518" s="17"/>
      <c r="H27518" s="18"/>
      <c r="K27518" s="18" t="s">
        <v>316</v>
      </c>
    </row>
    <row r="27519">
      <c r="A27519" s="17"/>
      <c r="H27519" s="18"/>
      <c r="K27519" s="18" t="s">
        <v>316</v>
      </c>
    </row>
    <row r="27520">
      <c r="A27520" s="17"/>
      <c r="H27520" s="18"/>
      <c r="K27520" s="18" t="s">
        <v>316</v>
      </c>
    </row>
    <row r="27521">
      <c r="A27521" s="17"/>
      <c r="H27521" s="18"/>
      <c r="K27521" s="18" t="s">
        <v>316</v>
      </c>
    </row>
    <row r="27522">
      <c r="A27522" s="17"/>
      <c r="H27522" s="18"/>
      <c r="K27522" s="18" t="s">
        <v>316</v>
      </c>
    </row>
    <row r="27523">
      <c r="A27523" s="17"/>
      <c r="H27523" s="18"/>
      <c r="K27523" s="18" t="s">
        <v>316</v>
      </c>
    </row>
    <row r="27524">
      <c r="A27524" s="17"/>
      <c r="H27524" s="18"/>
      <c r="K27524" s="18" t="s">
        <v>316</v>
      </c>
    </row>
    <row r="27525">
      <c r="A27525" s="17"/>
      <c r="H27525" s="18"/>
      <c r="K27525" s="18" t="s">
        <v>316</v>
      </c>
    </row>
    <row r="27526">
      <c r="A27526" s="17"/>
      <c r="H27526" s="18"/>
      <c r="K27526" s="18" t="s">
        <v>316</v>
      </c>
    </row>
    <row r="27527">
      <c r="A27527" s="17"/>
      <c r="H27527" s="18"/>
      <c r="K27527" s="18" t="s">
        <v>316</v>
      </c>
    </row>
    <row r="27528">
      <c r="A27528" s="17"/>
      <c r="H27528" s="18"/>
      <c r="K27528" s="18" t="s">
        <v>316</v>
      </c>
    </row>
    <row r="27529">
      <c r="A27529" s="17"/>
      <c r="H27529" s="18"/>
      <c r="K27529" s="18" t="s">
        <v>316</v>
      </c>
    </row>
    <row r="27530">
      <c r="A27530" s="17"/>
      <c r="H27530" s="18"/>
      <c r="K27530" s="18" t="s">
        <v>316</v>
      </c>
    </row>
    <row r="27531">
      <c r="A27531" s="17"/>
      <c r="H27531" s="18"/>
      <c r="K27531" s="18" t="s">
        <v>316</v>
      </c>
    </row>
    <row r="27532">
      <c r="A27532" s="17"/>
      <c r="H27532" s="18"/>
      <c r="K27532" s="18" t="s">
        <v>316</v>
      </c>
    </row>
    <row r="27533">
      <c r="A27533" s="17"/>
      <c r="H27533" s="18"/>
      <c r="K27533" s="18" t="s">
        <v>316</v>
      </c>
    </row>
    <row r="27534">
      <c r="A27534" s="17"/>
      <c r="H27534" s="18"/>
      <c r="K27534" s="18" t="s">
        <v>316</v>
      </c>
    </row>
    <row r="27535">
      <c r="A27535" s="17"/>
      <c r="H27535" s="18"/>
      <c r="K27535" s="18" t="s">
        <v>316</v>
      </c>
    </row>
    <row r="27536">
      <c r="A27536" s="17"/>
      <c r="H27536" s="18"/>
      <c r="K27536" s="18" t="s">
        <v>316</v>
      </c>
    </row>
    <row r="27537">
      <c r="A27537" s="17"/>
      <c r="H27537" s="18"/>
      <c r="K27537" s="18" t="s">
        <v>316</v>
      </c>
    </row>
    <row r="27538">
      <c r="A27538" s="17"/>
      <c r="H27538" s="18"/>
      <c r="K27538" s="18" t="s">
        <v>316</v>
      </c>
    </row>
    <row r="27539">
      <c r="A27539" s="17"/>
      <c r="H27539" s="18"/>
      <c r="K27539" s="18" t="s">
        <v>316</v>
      </c>
    </row>
    <row r="27540">
      <c r="A27540" s="17"/>
      <c r="H27540" s="18"/>
      <c r="K27540" s="18" t="s">
        <v>316</v>
      </c>
    </row>
    <row r="27541">
      <c r="A27541" s="17"/>
      <c r="H27541" s="18"/>
      <c r="K27541" s="18" t="s">
        <v>316</v>
      </c>
    </row>
    <row r="27542">
      <c r="A27542" s="17"/>
      <c r="H27542" s="18"/>
      <c r="K27542" s="18" t="s">
        <v>316</v>
      </c>
    </row>
    <row r="27543">
      <c r="A27543" s="17"/>
      <c r="H27543" s="18"/>
      <c r="K27543" s="18" t="s">
        <v>316</v>
      </c>
    </row>
    <row r="27544">
      <c r="A27544" s="17"/>
      <c r="H27544" s="18"/>
      <c r="K27544" s="18" t="s">
        <v>316</v>
      </c>
    </row>
    <row r="27545">
      <c r="A27545" s="17"/>
      <c r="H27545" s="18"/>
      <c r="K27545" s="18" t="s">
        <v>316</v>
      </c>
    </row>
    <row r="27546">
      <c r="A27546" s="17"/>
      <c r="H27546" s="18"/>
      <c r="K27546" s="18" t="s">
        <v>316</v>
      </c>
    </row>
    <row r="27547">
      <c r="A27547" s="17"/>
      <c r="H27547" s="18"/>
      <c r="K27547" s="18" t="s">
        <v>316</v>
      </c>
    </row>
    <row r="27548">
      <c r="A27548" s="17"/>
      <c r="H27548" s="18"/>
      <c r="K27548" s="18" t="s">
        <v>316</v>
      </c>
    </row>
    <row r="27549">
      <c r="A27549" s="17"/>
      <c r="H27549" s="18"/>
      <c r="K27549" s="18" t="s">
        <v>316</v>
      </c>
    </row>
    <row r="27550">
      <c r="A27550" s="17"/>
      <c r="H27550" s="18"/>
      <c r="K27550" s="18" t="s">
        <v>316</v>
      </c>
    </row>
    <row r="27551">
      <c r="A27551" s="17"/>
      <c r="H27551" s="18"/>
      <c r="K27551" s="18" t="s">
        <v>316</v>
      </c>
    </row>
    <row r="27552">
      <c r="A27552" s="17"/>
      <c r="H27552" s="18"/>
      <c r="K27552" s="18" t="s">
        <v>316</v>
      </c>
    </row>
    <row r="27553">
      <c r="A27553" s="17"/>
      <c r="H27553" s="18"/>
      <c r="K27553" s="18" t="s">
        <v>316</v>
      </c>
    </row>
    <row r="27554">
      <c r="A27554" s="17"/>
      <c r="H27554" s="18"/>
      <c r="K27554" s="18" t="s">
        <v>316</v>
      </c>
    </row>
    <row r="27555">
      <c r="A27555" s="17"/>
      <c r="H27555" s="18"/>
      <c r="K27555" s="18" t="s">
        <v>316</v>
      </c>
    </row>
    <row r="27556">
      <c r="A27556" s="17"/>
      <c r="H27556" s="18"/>
      <c r="K27556" s="18" t="s">
        <v>316</v>
      </c>
    </row>
    <row r="27557">
      <c r="A27557" s="17"/>
      <c r="H27557" s="18"/>
      <c r="K27557" s="18" t="s">
        <v>316</v>
      </c>
    </row>
    <row r="27558">
      <c r="A27558" s="17"/>
      <c r="H27558" s="18"/>
      <c r="K27558" s="18" t="s">
        <v>316</v>
      </c>
    </row>
    <row r="27559">
      <c r="A27559" s="17"/>
      <c r="H27559" s="18"/>
      <c r="K27559" s="18" t="s">
        <v>316</v>
      </c>
    </row>
    <row r="27560">
      <c r="A27560" s="17"/>
      <c r="H27560" s="18"/>
      <c r="K27560" s="18" t="s">
        <v>316</v>
      </c>
    </row>
    <row r="27561">
      <c r="A27561" s="17"/>
      <c r="H27561" s="18"/>
      <c r="K27561" s="18" t="s">
        <v>316</v>
      </c>
    </row>
    <row r="27562">
      <c r="A27562" s="17"/>
      <c r="H27562" s="18"/>
      <c r="K27562" s="18" t="s">
        <v>316</v>
      </c>
    </row>
    <row r="27563">
      <c r="A27563" s="17"/>
      <c r="H27563" s="18"/>
      <c r="K27563" s="18" t="s">
        <v>316</v>
      </c>
    </row>
    <row r="27564">
      <c r="A27564" s="17"/>
      <c r="H27564" s="18"/>
      <c r="K27564" s="18" t="s">
        <v>316</v>
      </c>
    </row>
    <row r="27565">
      <c r="A27565" s="17"/>
      <c r="H27565" s="18"/>
      <c r="K27565" s="18" t="s">
        <v>316</v>
      </c>
    </row>
    <row r="27566">
      <c r="A27566" s="17"/>
      <c r="H27566" s="18"/>
      <c r="K27566" s="18" t="s">
        <v>316</v>
      </c>
    </row>
    <row r="27567">
      <c r="A27567" s="17"/>
      <c r="H27567" s="18"/>
      <c r="K27567" s="18" t="s">
        <v>316</v>
      </c>
    </row>
    <row r="27568">
      <c r="A27568" s="17"/>
      <c r="H27568" s="18"/>
      <c r="K27568" s="18" t="s">
        <v>316</v>
      </c>
    </row>
    <row r="27569">
      <c r="A27569" s="17"/>
      <c r="H27569" s="18"/>
      <c r="K27569" s="18" t="s">
        <v>316</v>
      </c>
    </row>
    <row r="27570">
      <c r="A27570" s="17"/>
      <c r="H27570" s="18"/>
      <c r="K27570" s="18" t="s">
        <v>316</v>
      </c>
    </row>
    <row r="27571">
      <c r="A27571" s="17"/>
      <c r="H27571" s="18"/>
      <c r="K27571" s="18" t="s">
        <v>316</v>
      </c>
    </row>
    <row r="27572">
      <c r="A27572" s="17"/>
      <c r="H27572" s="18"/>
      <c r="K27572" s="18" t="s">
        <v>316</v>
      </c>
    </row>
    <row r="27573">
      <c r="A27573" s="17"/>
      <c r="H27573" s="18"/>
      <c r="K27573" s="18" t="s">
        <v>316</v>
      </c>
    </row>
    <row r="27574">
      <c r="A27574" s="17"/>
      <c r="H27574" s="18"/>
      <c r="K27574" s="18" t="s">
        <v>316</v>
      </c>
    </row>
    <row r="27575">
      <c r="A27575" s="17"/>
      <c r="H27575" s="18"/>
      <c r="K27575" s="18" t="s">
        <v>316</v>
      </c>
    </row>
    <row r="27576">
      <c r="A27576" s="17"/>
      <c r="H27576" s="18"/>
      <c r="K27576" s="18" t="s">
        <v>316</v>
      </c>
    </row>
    <row r="27577">
      <c r="A27577" s="17"/>
      <c r="H27577" s="18"/>
      <c r="K27577" s="18" t="s">
        <v>316</v>
      </c>
    </row>
    <row r="27578">
      <c r="A27578" s="17"/>
      <c r="H27578" s="18"/>
      <c r="K27578" s="18" t="s">
        <v>316</v>
      </c>
    </row>
    <row r="27579">
      <c r="A27579" s="17"/>
      <c r="H27579" s="18"/>
      <c r="K27579" s="18" t="s">
        <v>316</v>
      </c>
    </row>
    <row r="27580">
      <c r="A27580" s="17"/>
      <c r="H27580" s="18"/>
      <c r="K27580" s="18" t="s">
        <v>316</v>
      </c>
    </row>
    <row r="27581">
      <c r="A27581" s="17"/>
      <c r="H27581" s="18"/>
      <c r="K27581" s="18" t="s">
        <v>316</v>
      </c>
    </row>
    <row r="27582">
      <c r="A27582" s="17"/>
      <c r="H27582" s="18"/>
      <c r="K27582" s="18" t="s">
        <v>316</v>
      </c>
    </row>
    <row r="27583">
      <c r="A27583" s="17"/>
      <c r="H27583" s="18"/>
      <c r="K27583" s="18" t="s">
        <v>316</v>
      </c>
    </row>
    <row r="27584">
      <c r="A27584" s="17"/>
      <c r="H27584" s="18"/>
      <c r="K27584" s="18" t="s">
        <v>316</v>
      </c>
    </row>
    <row r="27585">
      <c r="A27585" s="17"/>
      <c r="H27585" s="18"/>
      <c r="K27585" s="18" t="s">
        <v>316</v>
      </c>
    </row>
    <row r="27586">
      <c r="A27586" s="17"/>
      <c r="H27586" s="18"/>
      <c r="K27586" s="18" t="s">
        <v>316</v>
      </c>
    </row>
    <row r="27587">
      <c r="A27587" s="17"/>
      <c r="H27587" s="18"/>
      <c r="K27587" s="18" t="s">
        <v>316</v>
      </c>
    </row>
    <row r="27588">
      <c r="A27588" s="17"/>
      <c r="H27588" s="18"/>
      <c r="K27588" s="18" t="s">
        <v>316</v>
      </c>
    </row>
    <row r="27589">
      <c r="A27589" s="17"/>
      <c r="H27589" s="18"/>
      <c r="K27589" s="18" t="s">
        <v>316</v>
      </c>
    </row>
    <row r="27590">
      <c r="A27590" s="17"/>
      <c r="H27590" s="18"/>
      <c r="K27590" s="18" t="s">
        <v>316</v>
      </c>
    </row>
    <row r="27591">
      <c r="A27591" s="17"/>
      <c r="H27591" s="18"/>
      <c r="K27591" s="18" t="s">
        <v>316</v>
      </c>
    </row>
    <row r="27592">
      <c r="A27592" s="17"/>
      <c r="H27592" s="18"/>
      <c r="K27592" s="18" t="s">
        <v>316</v>
      </c>
    </row>
    <row r="27593">
      <c r="A27593" s="17"/>
      <c r="H27593" s="18"/>
      <c r="K27593" s="18" t="s">
        <v>316</v>
      </c>
    </row>
    <row r="27594">
      <c r="A27594" s="17"/>
      <c r="H27594" s="18"/>
      <c r="K27594" s="18" t="s">
        <v>316</v>
      </c>
    </row>
    <row r="27595">
      <c r="A27595" s="17"/>
      <c r="H27595" s="18"/>
      <c r="K27595" s="18" t="s">
        <v>316</v>
      </c>
    </row>
    <row r="27596">
      <c r="A27596" s="17"/>
      <c r="H27596" s="18"/>
      <c r="K27596" s="18" t="s">
        <v>316</v>
      </c>
    </row>
    <row r="27597">
      <c r="A27597" s="17"/>
      <c r="H27597" s="18"/>
      <c r="K27597" s="18" t="s">
        <v>316</v>
      </c>
    </row>
    <row r="27598">
      <c r="A27598" s="17"/>
      <c r="H27598" s="18"/>
      <c r="K27598" s="18" t="s">
        <v>316</v>
      </c>
    </row>
    <row r="27599">
      <c r="A27599" s="17"/>
      <c r="H27599" s="18"/>
      <c r="K27599" s="18" t="s">
        <v>316</v>
      </c>
    </row>
    <row r="27600">
      <c r="A27600" s="17"/>
      <c r="H27600" s="18"/>
      <c r="K27600" s="18" t="s">
        <v>316</v>
      </c>
    </row>
    <row r="27601">
      <c r="A27601" s="17"/>
      <c r="H27601" s="18"/>
      <c r="K27601" s="18" t="s">
        <v>316</v>
      </c>
    </row>
    <row r="27602">
      <c r="A27602" s="17"/>
      <c r="H27602" s="18"/>
      <c r="K27602" s="18" t="s">
        <v>316</v>
      </c>
    </row>
    <row r="27603">
      <c r="A27603" s="17"/>
      <c r="H27603" s="18"/>
      <c r="K27603" s="18" t="s">
        <v>316</v>
      </c>
    </row>
    <row r="27604">
      <c r="A27604" s="17"/>
      <c r="H27604" s="18"/>
      <c r="K27604" s="18" t="s">
        <v>316</v>
      </c>
    </row>
    <row r="27605">
      <c r="A27605" s="17"/>
      <c r="H27605" s="18"/>
      <c r="K27605" s="18" t="s">
        <v>316</v>
      </c>
    </row>
    <row r="27606">
      <c r="A27606" s="17"/>
      <c r="H27606" s="18"/>
      <c r="K27606" s="18" t="s">
        <v>316</v>
      </c>
    </row>
    <row r="27607">
      <c r="A27607" s="17"/>
      <c r="H27607" s="18"/>
      <c r="K27607" s="18" t="s">
        <v>316</v>
      </c>
    </row>
    <row r="27608">
      <c r="A27608" s="17"/>
      <c r="H27608" s="18"/>
      <c r="K27608" s="18" t="s">
        <v>316</v>
      </c>
    </row>
    <row r="27609">
      <c r="A27609" s="17"/>
      <c r="H27609" s="18"/>
      <c r="K27609" s="18" t="s">
        <v>316</v>
      </c>
    </row>
    <row r="27610">
      <c r="A27610" s="17"/>
      <c r="H27610" s="18"/>
      <c r="K27610" s="18" t="s">
        <v>316</v>
      </c>
    </row>
    <row r="27611">
      <c r="A27611" s="17"/>
      <c r="H27611" s="18"/>
      <c r="K27611" s="18" t="s">
        <v>316</v>
      </c>
    </row>
    <row r="27612">
      <c r="A27612" s="17"/>
      <c r="H27612" s="18"/>
      <c r="K27612" s="18" t="s">
        <v>316</v>
      </c>
    </row>
    <row r="27613">
      <c r="A27613" s="17"/>
      <c r="H27613" s="18"/>
      <c r="K27613" s="18" t="s">
        <v>316</v>
      </c>
    </row>
    <row r="27614">
      <c r="A27614" s="17"/>
      <c r="H27614" s="18"/>
      <c r="K27614" s="18" t="s">
        <v>316</v>
      </c>
    </row>
    <row r="27615">
      <c r="A27615" s="17"/>
      <c r="H27615" s="18"/>
      <c r="K27615" s="18" t="s">
        <v>316</v>
      </c>
    </row>
    <row r="27616">
      <c r="A27616" s="17"/>
      <c r="H27616" s="18"/>
      <c r="K27616" s="18" t="s">
        <v>316</v>
      </c>
    </row>
    <row r="27617">
      <c r="A27617" s="17"/>
      <c r="H27617" s="18"/>
      <c r="K27617" s="18" t="s">
        <v>316</v>
      </c>
    </row>
    <row r="27618">
      <c r="A27618" s="17"/>
      <c r="H27618" s="18"/>
      <c r="K27618" s="18" t="s">
        <v>316</v>
      </c>
    </row>
    <row r="27619">
      <c r="A27619" s="17"/>
      <c r="H27619" s="18"/>
      <c r="K27619" s="18" t="s">
        <v>316</v>
      </c>
    </row>
    <row r="27620">
      <c r="A27620" s="17"/>
      <c r="H27620" s="18"/>
      <c r="K27620" s="18" t="s">
        <v>316</v>
      </c>
    </row>
    <row r="27621">
      <c r="A27621" s="17"/>
      <c r="H27621" s="18"/>
      <c r="K27621" s="18" t="s">
        <v>316</v>
      </c>
    </row>
    <row r="27622">
      <c r="A27622" s="17"/>
      <c r="H27622" s="18"/>
      <c r="K27622" s="18" t="s">
        <v>316</v>
      </c>
    </row>
    <row r="27623">
      <c r="A27623" s="17"/>
      <c r="H27623" s="18"/>
      <c r="K27623" s="18" t="s">
        <v>316</v>
      </c>
    </row>
    <row r="27624">
      <c r="A27624" s="17"/>
      <c r="H27624" s="18"/>
      <c r="K27624" s="18" t="s">
        <v>316</v>
      </c>
    </row>
    <row r="27625">
      <c r="A27625" s="17"/>
      <c r="H27625" s="18"/>
      <c r="K27625" s="18" t="s">
        <v>316</v>
      </c>
    </row>
    <row r="27626">
      <c r="A27626" s="17"/>
      <c r="H27626" s="18"/>
      <c r="K27626" s="18" t="s">
        <v>316</v>
      </c>
    </row>
    <row r="27627">
      <c r="A27627" s="17"/>
      <c r="H27627" s="18"/>
      <c r="K27627" s="18" t="s">
        <v>316</v>
      </c>
    </row>
    <row r="27628">
      <c r="A27628" s="17"/>
      <c r="H27628" s="18"/>
      <c r="K27628" s="18" t="s">
        <v>316</v>
      </c>
    </row>
    <row r="27629">
      <c r="A27629" s="17"/>
      <c r="H27629" s="18"/>
      <c r="K27629" s="18" t="s">
        <v>316</v>
      </c>
    </row>
    <row r="27630">
      <c r="A27630" s="17"/>
      <c r="H27630" s="18"/>
      <c r="K27630" s="18" t="s">
        <v>316</v>
      </c>
    </row>
    <row r="27631">
      <c r="A27631" s="17"/>
      <c r="H27631" s="18"/>
      <c r="K27631" s="18" t="s">
        <v>316</v>
      </c>
    </row>
    <row r="27632">
      <c r="A27632" s="17"/>
      <c r="H27632" s="18"/>
      <c r="K27632" s="18" t="s">
        <v>316</v>
      </c>
    </row>
    <row r="27633">
      <c r="A27633" s="17"/>
      <c r="H27633" s="18"/>
      <c r="K27633" s="18" t="s">
        <v>316</v>
      </c>
    </row>
    <row r="27634">
      <c r="A27634" s="17"/>
      <c r="H27634" s="18"/>
      <c r="K27634" s="18" t="s">
        <v>316</v>
      </c>
    </row>
    <row r="27635">
      <c r="A27635" s="17"/>
      <c r="H27635" s="18"/>
      <c r="K27635" s="18" t="s">
        <v>316</v>
      </c>
    </row>
    <row r="27636">
      <c r="A27636" s="17"/>
      <c r="H27636" s="18"/>
      <c r="K27636" s="18" t="s">
        <v>316</v>
      </c>
    </row>
    <row r="27637">
      <c r="A27637" s="17"/>
      <c r="H27637" s="18"/>
      <c r="K27637" s="18" t="s">
        <v>316</v>
      </c>
    </row>
    <row r="27638">
      <c r="A27638" s="17"/>
      <c r="H27638" s="18"/>
      <c r="K27638" s="18" t="s">
        <v>316</v>
      </c>
    </row>
    <row r="27639">
      <c r="A27639" s="17"/>
      <c r="H27639" s="18"/>
      <c r="K27639" s="18" t="s">
        <v>316</v>
      </c>
    </row>
    <row r="27640">
      <c r="A27640" s="17"/>
      <c r="H27640" s="18"/>
      <c r="K27640" s="18" t="s">
        <v>316</v>
      </c>
    </row>
    <row r="27641">
      <c r="A27641" s="17"/>
      <c r="H27641" s="18"/>
      <c r="K27641" s="18" t="s">
        <v>316</v>
      </c>
    </row>
    <row r="27642">
      <c r="A27642" s="17"/>
      <c r="H27642" s="18"/>
      <c r="K27642" s="18" t="s">
        <v>316</v>
      </c>
    </row>
    <row r="27643">
      <c r="A27643" s="17"/>
      <c r="H27643" s="18"/>
      <c r="K27643" s="18" t="s">
        <v>316</v>
      </c>
    </row>
    <row r="27644">
      <c r="A27644" s="17"/>
      <c r="H27644" s="18"/>
      <c r="K27644" s="18" t="s">
        <v>316</v>
      </c>
    </row>
    <row r="27645">
      <c r="A27645" s="17"/>
      <c r="H27645" s="18"/>
      <c r="K27645" s="18" t="s">
        <v>316</v>
      </c>
    </row>
    <row r="27646">
      <c r="A27646" s="17"/>
      <c r="H27646" s="18"/>
      <c r="K27646" s="18" t="s">
        <v>316</v>
      </c>
    </row>
    <row r="27647">
      <c r="A27647" s="17"/>
      <c r="H27647" s="18"/>
      <c r="K27647" s="18" t="s">
        <v>316</v>
      </c>
    </row>
    <row r="27648">
      <c r="A27648" s="17"/>
      <c r="H27648" s="18"/>
      <c r="K27648" s="18" t="s">
        <v>316</v>
      </c>
    </row>
    <row r="27649">
      <c r="A27649" s="17"/>
      <c r="H27649" s="18"/>
      <c r="K27649" s="18" t="s">
        <v>316</v>
      </c>
    </row>
    <row r="27650">
      <c r="A27650" s="17"/>
      <c r="H27650" s="18"/>
      <c r="K27650" s="18" t="s">
        <v>316</v>
      </c>
    </row>
    <row r="27651">
      <c r="A27651" s="17"/>
      <c r="H27651" s="18"/>
      <c r="K27651" s="18" t="s">
        <v>316</v>
      </c>
    </row>
    <row r="27652">
      <c r="A27652" s="17"/>
      <c r="H27652" s="18"/>
      <c r="K27652" s="18" t="s">
        <v>316</v>
      </c>
    </row>
    <row r="27653">
      <c r="A27653" s="17"/>
      <c r="H27653" s="18"/>
      <c r="K27653" s="18" t="s">
        <v>316</v>
      </c>
    </row>
    <row r="27654">
      <c r="A27654" s="17"/>
      <c r="H27654" s="18"/>
      <c r="K27654" s="18" t="s">
        <v>316</v>
      </c>
    </row>
    <row r="27655">
      <c r="A27655" s="17"/>
      <c r="H27655" s="18"/>
      <c r="K27655" s="18" t="s">
        <v>316</v>
      </c>
    </row>
    <row r="27656">
      <c r="A27656" s="17"/>
      <c r="H27656" s="18"/>
      <c r="K27656" s="18" t="s">
        <v>316</v>
      </c>
    </row>
    <row r="27657">
      <c r="A27657" s="17"/>
      <c r="H27657" s="18"/>
      <c r="K27657" s="18" t="s">
        <v>316</v>
      </c>
    </row>
    <row r="27658">
      <c r="A27658" s="17"/>
      <c r="H27658" s="18"/>
      <c r="K27658" s="18" t="s">
        <v>316</v>
      </c>
    </row>
    <row r="27659">
      <c r="A27659" s="17"/>
      <c r="H27659" s="18"/>
      <c r="K27659" s="18" t="s">
        <v>316</v>
      </c>
    </row>
    <row r="27660">
      <c r="A27660" s="17"/>
      <c r="H27660" s="18"/>
      <c r="K27660" s="18" t="s">
        <v>316</v>
      </c>
    </row>
    <row r="27661">
      <c r="A27661" s="17"/>
      <c r="H27661" s="18"/>
      <c r="K27661" s="18" t="s">
        <v>316</v>
      </c>
    </row>
    <row r="27662">
      <c r="A27662" s="17"/>
      <c r="H27662" s="18"/>
      <c r="K27662" s="18" t="s">
        <v>316</v>
      </c>
    </row>
    <row r="27663">
      <c r="A27663" s="17"/>
      <c r="H27663" s="18"/>
      <c r="K27663" s="18" t="s">
        <v>316</v>
      </c>
    </row>
    <row r="27664">
      <c r="A27664" s="17"/>
      <c r="H27664" s="18"/>
      <c r="K27664" s="18" t="s">
        <v>316</v>
      </c>
    </row>
    <row r="27665">
      <c r="A27665" s="17"/>
      <c r="H27665" s="18"/>
      <c r="K27665" s="18" t="s">
        <v>316</v>
      </c>
    </row>
    <row r="27666">
      <c r="A27666" s="17"/>
      <c r="H27666" s="18"/>
      <c r="K27666" s="18" t="s">
        <v>316</v>
      </c>
    </row>
    <row r="27667">
      <c r="A27667" s="17"/>
      <c r="H27667" s="18"/>
      <c r="K27667" s="18" t="s">
        <v>316</v>
      </c>
    </row>
    <row r="27668">
      <c r="A27668" s="17"/>
      <c r="H27668" s="18"/>
      <c r="K27668" s="18" t="s">
        <v>316</v>
      </c>
    </row>
    <row r="27669">
      <c r="A27669" s="17"/>
      <c r="H27669" s="18"/>
      <c r="K27669" s="18" t="s">
        <v>316</v>
      </c>
    </row>
    <row r="27670">
      <c r="A27670" s="17"/>
      <c r="H27670" s="18"/>
      <c r="K27670" s="18" t="s">
        <v>316</v>
      </c>
    </row>
    <row r="27671">
      <c r="A27671" s="17"/>
      <c r="H27671" s="18"/>
      <c r="K27671" s="18" t="s">
        <v>316</v>
      </c>
    </row>
    <row r="27672">
      <c r="A27672" s="17"/>
      <c r="H27672" s="18"/>
      <c r="K27672" s="18" t="s">
        <v>316</v>
      </c>
    </row>
    <row r="27673">
      <c r="A27673" s="17"/>
      <c r="H27673" s="18"/>
      <c r="K27673" s="18" t="s">
        <v>316</v>
      </c>
    </row>
    <row r="27674">
      <c r="A27674" s="17"/>
      <c r="H27674" s="18"/>
      <c r="K27674" s="18" t="s">
        <v>316</v>
      </c>
    </row>
    <row r="27675">
      <c r="A27675" s="17"/>
      <c r="H27675" s="18"/>
      <c r="K27675" s="18" t="s">
        <v>316</v>
      </c>
    </row>
    <row r="27676">
      <c r="A27676" s="17"/>
      <c r="H27676" s="18"/>
      <c r="K27676" s="18" t="s">
        <v>316</v>
      </c>
    </row>
    <row r="27677">
      <c r="A27677" s="17"/>
      <c r="H27677" s="18"/>
      <c r="K27677" s="18" t="s">
        <v>316</v>
      </c>
    </row>
    <row r="27678">
      <c r="A27678" s="17"/>
      <c r="H27678" s="18"/>
      <c r="K27678" s="18" t="s">
        <v>316</v>
      </c>
    </row>
    <row r="27679">
      <c r="A27679" s="17"/>
      <c r="H27679" s="18"/>
      <c r="K27679" s="18" t="s">
        <v>316</v>
      </c>
    </row>
    <row r="27680">
      <c r="A27680" s="17"/>
      <c r="H27680" s="18"/>
      <c r="K27680" s="18" t="s">
        <v>316</v>
      </c>
    </row>
    <row r="27681">
      <c r="A27681" s="17"/>
      <c r="H27681" s="18"/>
      <c r="K27681" s="18" t="s">
        <v>316</v>
      </c>
    </row>
    <row r="27682">
      <c r="A27682" s="17"/>
      <c r="H27682" s="18"/>
      <c r="K27682" s="18" t="s">
        <v>316</v>
      </c>
    </row>
    <row r="27683">
      <c r="A27683" s="17"/>
      <c r="H27683" s="18"/>
      <c r="K27683" s="18" t="s">
        <v>316</v>
      </c>
    </row>
    <row r="27684">
      <c r="A27684" s="17"/>
      <c r="H27684" s="18"/>
      <c r="K27684" s="18" t="s">
        <v>316</v>
      </c>
    </row>
    <row r="27685">
      <c r="A27685" s="17"/>
      <c r="H27685" s="18"/>
      <c r="K27685" s="18" t="s">
        <v>316</v>
      </c>
    </row>
    <row r="27686">
      <c r="A27686" s="17"/>
      <c r="H27686" s="18"/>
      <c r="K27686" s="18" t="s">
        <v>316</v>
      </c>
    </row>
    <row r="27687">
      <c r="A27687" s="17"/>
      <c r="H27687" s="18"/>
      <c r="K27687" s="18" t="s">
        <v>316</v>
      </c>
    </row>
    <row r="27688">
      <c r="A27688" s="17"/>
      <c r="H27688" s="18"/>
      <c r="K27688" s="18" t="s">
        <v>316</v>
      </c>
    </row>
    <row r="27689">
      <c r="A27689" s="17"/>
      <c r="H27689" s="18"/>
      <c r="K27689" s="18" t="s">
        <v>316</v>
      </c>
    </row>
    <row r="27690">
      <c r="A27690" s="17"/>
      <c r="H27690" s="18"/>
      <c r="K27690" s="18" t="s">
        <v>316</v>
      </c>
    </row>
    <row r="27691">
      <c r="A27691" s="17"/>
      <c r="H27691" s="18"/>
      <c r="K27691" s="18" t="s">
        <v>316</v>
      </c>
    </row>
    <row r="27692">
      <c r="A27692" s="17"/>
      <c r="H27692" s="18"/>
      <c r="K27692" s="18" t="s">
        <v>316</v>
      </c>
    </row>
    <row r="27693">
      <c r="A27693" s="17"/>
      <c r="H27693" s="18"/>
      <c r="K27693" s="18" t="s">
        <v>316</v>
      </c>
    </row>
    <row r="27694">
      <c r="A27694" s="17"/>
      <c r="H27694" s="18"/>
      <c r="K27694" s="18" t="s">
        <v>316</v>
      </c>
    </row>
    <row r="27695">
      <c r="A27695" s="17"/>
      <c r="H27695" s="18"/>
      <c r="K27695" s="18" t="s">
        <v>316</v>
      </c>
    </row>
    <row r="27696">
      <c r="A27696" s="17"/>
      <c r="H27696" s="18"/>
      <c r="K27696" s="18" t="s">
        <v>316</v>
      </c>
    </row>
    <row r="27697">
      <c r="A27697" s="17"/>
      <c r="H27697" s="18"/>
      <c r="K27697" s="18" t="s">
        <v>316</v>
      </c>
    </row>
    <row r="27698">
      <c r="A27698" s="17"/>
      <c r="H27698" s="18"/>
      <c r="K27698" s="18" t="s">
        <v>316</v>
      </c>
    </row>
    <row r="27699">
      <c r="A27699" s="17"/>
      <c r="H27699" s="18"/>
      <c r="K27699" s="18" t="s">
        <v>316</v>
      </c>
    </row>
    <row r="27700">
      <c r="A27700" s="17"/>
      <c r="H27700" s="18"/>
      <c r="K27700" s="18" t="s">
        <v>316</v>
      </c>
    </row>
    <row r="27701">
      <c r="A27701" s="17"/>
      <c r="H27701" s="18"/>
      <c r="K27701" s="18" t="s">
        <v>316</v>
      </c>
    </row>
    <row r="27702">
      <c r="A27702" s="17"/>
      <c r="H27702" s="18"/>
      <c r="K27702" s="18" t="s">
        <v>316</v>
      </c>
    </row>
    <row r="27703">
      <c r="A27703" s="17"/>
      <c r="H27703" s="18"/>
      <c r="K27703" s="18" t="s">
        <v>316</v>
      </c>
    </row>
    <row r="27704">
      <c r="A27704" s="17"/>
      <c r="H27704" s="18"/>
      <c r="K27704" s="18" t="s">
        <v>316</v>
      </c>
    </row>
    <row r="27705">
      <c r="A27705" s="17"/>
      <c r="H27705" s="18"/>
      <c r="K27705" s="18" t="s">
        <v>316</v>
      </c>
    </row>
    <row r="27706">
      <c r="A27706" s="17"/>
      <c r="H27706" s="18"/>
      <c r="K27706" s="18" t="s">
        <v>316</v>
      </c>
    </row>
    <row r="27707">
      <c r="A27707" s="17"/>
      <c r="H27707" s="18"/>
      <c r="K27707" s="18" t="s">
        <v>316</v>
      </c>
    </row>
    <row r="27708">
      <c r="A27708" s="17"/>
      <c r="H27708" s="18"/>
      <c r="K27708" s="18" t="s">
        <v>316</v>
      </c>
    </row>
    <row r="27709">
      <c r="A27709" s="17"/>
      <c r="H27709" s="18"/>
      <c r="K27709" s="18" t="s">
        <v>316</v>
      </c>
    </row>
    <row r="27710">
      <c r="A27710" s="17"/>
      <c r="H27710" s="18"/>
      <c r="K27710" s="18" t="s">
        <v>316</v>
      </c>
    </row>
    <row r="27711">
      <c r="A27711" s="17"/>
      <c r="H27711" s="18"/>
      <c r="K27711" s="18" t="s">
        <v>316</v>
      </c>
    </row>
    <row r="27712">
      <c r="A27712" s="17"/>
      <c r="H27712" s="18"/>
      <c r="K27712" s="18" t="s">
        <v>316</v>
      </c>
    </row>
    <row r="27713">
      <c r="A27713" s="17"/>
      <c r="H27713" s="18"/>
      <c r="K27713" s="18" t="s">
        <v>316</v>
      </c>
    </row>
    <row r="27714">
      <c r="A27714" s="17"/>
      <c r="H27714" s="18"/>
      <c r="K27714" s="18" t="s">
        <v>316</v>
      </c>
    </row>
    <row r="27715">
      <c r="A27715" s="17"/>
      <c r="H27715" s="18"/>
      <c r="K27715" s="18" t="s">
        <v>316</v>
      </c>
    </row>
    <row r="27716">
      <c r="A27716" s="17"/>
      <c r="H27716" s="18"/>
      <c r="K27716" s="18" t="s">
        <v>316</v>
      </c>
    </row>
    <row r="27717">
      <c r="A27717" s="17"/>
      <c r="H27717" s="18"/>
      <c r="K27717" s="18" t="s">
        <v>316</v>
      </c>
    </row>
    <row r="27718">
      <c r="A27718" s="17"/>
      <c r="H27718" s="18"/>
      <c r="K27718" s="18" t="s">
        <v>316</v>
      </c>
    </row>
    <row r="27719">
      <c r="A27719" s="17"/>
      <c r="H27719" s="18"/>
      <c r="K27719" s="18" t="s">
        <v>316</v>
      </c>
    </row>
    <row r="27720">
      <c r="A27720" s="17"/>
      <c r="H27720" s="18"/>
      <c r="K27720" s="18" t="s">
        <v>316</v>
      </c>
    </row>
    <row r="27721">
      <c r="A27721" s="17"/>
      <c r="H27721" s="18"/>
      <c r="K27721" s="18" t="s">
        <v>316</v>
      </c>
    </row>
    <row r="27722">
      <c r="A27722" s="17"/>
      <c r="H27722" s="18"/>
      <c r="K27722" s="18" t="s">
        <v>316</v>
      </c>
    </row>
    <row r="27723">
      <c r="A27723" s="17"/>
      <c r="H27723" s="18"/>
      <c r="K27723" s="18" t="s">
        <v>316</v>
      </c>
    </row>
    <row r="27724">
      <c r="A27724" s="17"/>
      <c r="H27724" s="18"/>
      <c r="K27724" s="18" t="s">
        <v>316</v>
      </c>
    </row>
    <row r="27725">
      <c r="A27725" s="17"/>
      <c r="H27725" s="18"/>
      <c r="K27725" s="18" t="s">
        <v>316</v>
      </c>
    </row>
    <row r="27726">
      <c r="A27726" s="17"/>
      <c r="H27726" s="18"/>
      <c r="K27726" s="18" t="s">
        <v>316</v>
      </c>
    </row>
    <row r="27727">
      <c r="A27727" s="17"/>
      <c r="H27727" s="18"/>
      <c r="K27727" s="18" t="s">
        <v>316</v>
      </c>
    </row>
    <row r="27728">
      <c r="A27728" s="17"/>
      <c r="H27728" s="18"/>
      <c r="K27728" s="18" t="s">
        <v>316</v>
      </c>
    </row>
    <row r="27729">
      <c r="A27729" s="17"/>
      <c r="H27729" s="18"/>
      <c r="K27729" s="18" t="s">
        <v>316</v>
      </c>
    </row>
    <row r="27730">
      <c r="A27730" s="17"/>
      <c r="H27730" s="18"/>
      <c r="K27730" s="18" t="s">
        <v>316</v>
      </c>
    </row>
    <row r="27731">
      <c r="A27731" s="17"/>
      <c r="H27731" s="18"/>
      <c r="K27731" s="18" t="s">
        <v>316</v>
      </c>
    </row>
    <row r="27732">
      <c r="A27732" s="17"/>
      <c r="H27732" s="18"/>
      <c r="K27732" s="18" t="s">
        <v>316</v>
      </c>
    </row>
    <row r="27733">
      <c r="A27733" s="17"/>
      <c r="H27733" s="18"/>
      <c r="K27733" s="18" t="s">
        <v>316</v>
      </c>
    </row>
    <row r="27734">
      <c r="A27734" s="17"/>
      <c r="H27734" s="18"/>
      <c r="K27734" s="18" t="s">
        <v>316</v>
      </c>
    </row>
    <row r="27735">
      <c r="A27735" s="17"/>
      <c r="H27735" s="18"/>
      <c r="K27735" s="18" t="s">
        <v>316</v>
      </c>
    </row>
    <row r="27736">
      <c r="A27736" s="17"/>
      <c r="H27736" s="18"/>
      <c r="K27736" s="18" t="s">
        <v>316</v>
      </c>
    </row>
    <row r="27737">
      <c r="A27737" s="17"/>
      <c r="H27737" s="18"/>
      <c r="K27737" s="18" t="s">
        <v>316</v>
      </c>
    </row>
    <row r="27738">
      <c r="A27738" s="17"/>
      <c r="H27738" s="18"/>
      <c r="K27738" s="18" t="s">
        <v>316</v>
      </c>
    </row>
    <row r="27739">
      <c r="A27739" s="17"/>
      <c r="H27739" s="18"/>
      <c r="K27739" s="18" t="s">
        <v>316</v>
      </c>
    </row>
    <row r="27740">
      <c r="A27740" s="17"/>
      <c r="H27740" s="18"/>
      <c r="K27740" s="18" t="s">
        <v>316</v>
      </c>
    </row>
    <row r="27741">
      <c r="A27741" s="17"/>
      <c r="H27741" s="18"/>
      <c r="K27741" s="18" t="s">
        <v>316</v>
      </c>
    </row>
    <row r="27742">
      <c r="A27742" s="17"/>
      <c r="H27742" s="18"/>
      <c r="K27742" s="18" t="s">
        <v>316</v>
      </c>
    </row>
    <row r="27743">
      <c r="A27743" s="17"/>
      <c r="H27743" s="18"/>
      <c r="K27743" s="18" t="s">
        <v>316</v>
      </c>
    </row>
    <row r="27744">
      <c r="A27744" s="17"/>
      <c r="H27744" s="18"/>
      <c r="K27744" s="18" t="s">
        <v>316</v>
      </c>
    </row>
    <row r="27745">
      <c r="A27745" s="17"/>
      <c r="H27745" s="18"/>
      <c r="K27745" s="18" t="s">
        <v>316</v>
      </c>
    </row>
    <row r="27746">
      <c r="A27746" s="17"/>
      <c r="H27746" s="18"/>
      <c r="K27746" s="18" t="s">
        <v>316</v>
      </c>
    </row>
    <row r="27747">
      <c r="A27747" s="17"/>
      <c r="H27747" s="18"/>
      <c r="K27747" s="18" t="s">
        <v>316</v>
      </c>
    </row>
    <row r="27748">
      <c r="A27748" s="17"/>
      <c r="H27748" s="18"/>
      <c r="K27748" s="18" t="s">
        <v>316</v>
      </c>
    </row>
    <row r="27749">
      <c r="A27749" s="17"/>
      <c r="H27749" s="18"/>
      <c r="K27749" s="18" t="s">
        <v>316</v>
      </c>
    </row>
    <row r="27750">
      <c r="A27750" s="17"/>
      <c r="H27750" s="18"/>
      <c r="K27750" s="18" t="s">
        <v>316</v>
      </c>
    </row>
    <row r="27751">
      <c r="A27751" s="17"/>
      <c r="H27751" s="18"/>
      <c r="K27751" s="18" t="s">
        <v>316</v>
      </c>
    </row>
    <row r="27752">
      <c r="A27752" s="17"/>
      <c r="H27752" s="18"/>
      <c r="K27752" s="18" t="s">
        <v>316</v>
      </c>
    </row>
    <row r="27753">
      <c r="A27753" s="17"/>
      <c r="H27753" s="18"/>
      <c r="K27753" s="18" t="s">
        <v>316</v>
      </c>
    </row>
    <row r="27754">
      <c r="A27754" s="17"/>
      <c r="H27754" s="18"/>
      <c r="K27754" s="18" t="s">
        <v>316</v>
      </c>
    </row>
    <row r="27755">
      <c r="A27755" s="17"/>
      <c r="H27755" s="18"/>
      <c r="K27755" s="18" t="s">
        <v>316</v>
      </c>
    </row>
    <row r="27756">
      <c r="A27756" s="17"/>
      <c r="H27756" s="18"/>
      <c r="K27756" s="18" t="s">
        <v>316</v>
      </c>
    </row>
    <row r="27757">
      <c r="A27757" s="17"/>
      <c r="H27757" s="18"/>
      <c r="K27757" s="18" t="s">
        <v>316</v>
      </c>
    </row>
    <row r="27758">
      <c r="A27758" s="17"/>
      <c r="H27758" s="18"/>
      <c r="K27758" s="18" t="s">
        <v>316</v>
      </c>
    </row>
    <row r="27759">
      <c r="A27759" s="17"/>
      <c r="H27759" s="18"/>
      <c r="K27759" s="18" t="s">
        <v>316</v>
      </c>
    </row>
    <row r="27760">
      <c r="A27760" s="17"/>
      <c r="H27760" s="18"/>
      <c r="K27760" s="18" t="s">
        <v>316</v>
      </c>
    </row>
    <row r="27761">
      <c r="A27761" s="17"/>
      <c r="H27761" s="18"/>
      <c r="K27761" s="18" t="s">
        <v>316</v>
      </c>
    </row>
    <row r="27762">
      <c r="A27762" s="17"/>
      <c r="H27762" s="18"/>
      <c r="K27762" s="18" t="s">
        <v>316</v>
      </c>
    </row>
    <row r="27763">
      <c r="A27763" s="17"/>
      <c r="H27763" s="18"/>
      <c r="K27763" s="18" t="s">
        <v>316</v>
      </c>
    </row>
    <row r="27764">
      <c r="A27764" s="17"/>
      <c r="H27764" s="18"/>
      <c r="K27764" s="18" t="s">
        <v>316</v>
      </c>
    </row>
    <row r="27765">
      <c r="A27765" s="17"/>
      <c r="H27765" s="18"/>
      <c r="K27765" s="18" t="s">
        <v>316</v>
      </c>
    </row>
    <row r="27766">
      <c r="A27766" s="17"/>
      <c r="H27766" s="18"/>
      <c r="K27766" s="18" t="s">
        <v>316</v>
      </c>
    </row>
    <row r="27767">
      <c r="A27767" s="17"/>
      <c r="H27767" s="18"/>
      <c r="K27767" s="18" t="s">
        <v>316</v>
      </c>
    </row>
    <row r="27768">
      <c r="A27768" s="17"/>
      <c r="H27768" s="18"/>
      <c r="K27768" s="18" t="s">
        <v>316</v>
      </c>
    </row>
    <row r="27769">
      <c r="A27769" s="17"/>
      <c r="H27769" s="18"/>
      <c r="K27769" s="18" t="s">
        <v>316</v>
      </c>
    </row>
    <row r="27770">
      <c r="A27770" s="17"/>
      <c r="H27770" s="18"/>
      <c r="K27770" s="18" t="s">
        <v>316</v>
      </c>
    </row>
    <row r="27771">
      <c r="A27771" s="17"/>
      <c r="H27771" s="18"/>
      <c r="K27771" s="18" t="s">
        <v>316</v>
      </c>
    </row>
    <row r="27772">
      <c r="A27772" s="17"/>
      <c r="H27772" s="18"/>
      <c r="K27772" s="18" t="s">
        <v>316</v>
      </c>
    </row>
    <row r="27773">
      <c r="A27773" s="17"/>
      <c r="H27773" s="18"/>
      <c r="K27773" s="18" t="s">
        <v>316</v>
      </c>
    </row>
    <row r="27774">
      <c r="A27774" s="17"/>
      <c r="H27774" s="18"/>
      <c r="K27774" s="18" t="s">
        <v>316</v>
      </c>
    </row>
    <row r="27775">
      <c r="A27775" s="17"/>
      <c r="H27775" s="18"/>
      <c r="K27775" s="18" t="s">
        <v>316</v>
      </c>
    </row>
    <row r="27776">
      <c r="A27776" s="17"/>
      <c r="H27776" s="18"/>
      <c r="K27776" s="18" t="s">
        <v>316</v>
      </c>
    </row>
    <row r="27777">
      <c r="A27777" s="17"/>
      <c r="H27777" s="18"/>
      <c r="K27777" s="18" t="s">
        <v>316</v>
      </c>
    </row>
    <row r="27778">
      <c r="A27778" s="17"/>
      <c r="H27778" s="18"/>
      <c r="K27778" s="18" t="s">
        <v>316</v>
      </c>
    </row>
    <row r="27779">
      <c r="A27779" s="17"/>
      <c r="H27779" s="18"/>
      <c r="K27779" s="18" t="s">
        <v>316</v>
      </c>
    </row>
    <row r="27780">
      <c r="A27780" s="17"/>
      <c r="H27780" s="18"/>
      <c r="K27780" s="18" t="s">
        <v>316</v>
      </c>
    </row>
    <row r="27781">
      <c r="A27781" s="17"/>
      <c r="H27781" s="18"/>
      <c r="K27781" s="18" t="s">
        <v>316</v>
      </c>
    </row>
    <row r="27782">
      <c r="A27782" s="17"/>
      <c r="H27782" s="18"/>
      <c r="K27782" s="18" t="s">
        <v>316</v>
      </c>
    </row>
    <row r="27783">
      <c r="A27783" s="17"/>
      <c r="H27783" s="18"/>
      <c r="K27783" s="18" t="s">
        <v>316</v>
      </c>
    </row>
    <row r="27784">
      <c r="A27784" s="17"/>
      <c r="H27784" s="18"/>
      <c r="K27784" s="18" t="s">
        <v>316</v>
      </c>
    </row>
    <row r="27785">
      <c r="A27785" s="17"/>
      <c r="H27785" s="18"/>
      <c r="K27785" s="18" t="s">
        <v>316</v>
      </c>
    </row>
    <row r="27786">
      <c r="A27786" s="17"/>
      <c r="H27786" s="18"/>
      <c r="K27786" s="18" t="s">
        <v>316</v>
      </c>
    </row>
    <row r="27787">
      <c r="A27787" s="17"/>
      <c r="H27787" s="18"/>
      <c r="K27787" s="18" t="s">
        <v>316</v>
      </c>
    </row>
    <row r="27788">
      <c r="A27788" s="17"/>
      <c r="H27788" s="18"/>
      <c r="K27788" s="18" t="s">
        <v>316</v>
      </c>
    </row>
    <row r="27789">
      <c r="A27789" s="17"/>
      <c r="H27789" s="18"/>
      <c r="K27789" s="18" t="s">
        <v>316</v>
      </c>
    </row>
    <row r="27790">
      <c r="A27790" s="17"/>
      <c r="H27790" s="18"/>
      <c r="K27790" s="18" t="s">
        <v>316</v>
      </c>
    </row>
    <row r="27791">
      <c r="A27791" s="17"/>
      <c r="H27791" s="18"/>
      <c r="K27791" s="18" t="s">
        <v>316</v>
      </c>
    </row>
    <row r="27792">
      <c r="A27792" s="17"/>
      <c r="H27792" s="18"/>
      <c r="K27792" s="18" t="s">
        <v>316</v>
      </c>
    </row>
    <row r="27793">
      <c r="A27793" s="17"/>
      <c r="H27793" s="18"/>
      <c r="K27793" s="18" t="s">
        <v>316</v>
      </c>
    </row>
    <row r="27794">
      <c r="A27794" s="17"/>
      <c r="H27794" s="18"/>
      <c r="K27794" s="18" t="s">
        <v>316</v>
      </c>
    </row>
    <row r="27795">
      <c r="A27795" s="17"/>
      <c r="H27795" s="18"/>
      <c r="K27795" s="18" t="s">
        <v>316</v>
      </c>
    </row>
    <row r="27796">
      <c r="A27796" s="17"/>
      <c r="H27796" s="18"/>
      <c r="K27796" s="18" t="s">
        <v>316</v>
      </c>
    </row>
    <row r="27797">
      <c r="A27797" s="17"/>
      <c r="H27797" s="18"/>
      <c r="K27797" s="18" t="s">
        <v>316</v>
      </c>
    </row>
    <row r="27798">
      <c r="A27798" s="17"/>
      <c r="H27798" s="18"/>
      <c r="K27798" s="18" t="s">
        <v>316</v>
      </c>
    </row>
    <row r="27799">
      <c r="A27799" s="17"/>
      <c r="H27799" s="18"/>
      <c r="K27799" s="18" t="s">
        <v>316</v>
      </c>
    </row>
    <row r="27800">
      <c r="A27800" s="17"/>
      <c r="H27800" s="18"/>
      <c r="K27800" s="18" t="s">
        <v>316</v>
      </c>
    </row>
    <row r="27801">
      <c r="A27801" s="17"/>
      <c r="H27801" s="18"/>
      <c r="K27801" s="18" t="s">
        <v>316</v>
      </c>
    </row>
    <row r="27802">
      <c r="A27802" s="17"/>
      <c r="H27802" s="18"/>
      <c r="K27802" s="18" t="s">
        <v>316</v>
      </c>
    </row>
    <row r="27803">
      <c r="A27803" s="17"/>
      <c r="H27803" s="18"/>
      <c r="K27803" s="18" t="s">
        <v>316</v>
      </c>
    </row>
    <row r="27804">
      <c r="A27804" s="17"/>
      <c r="H27804" s="18"/>
      <c r="K27804" s="18" t="s">
        <v>316</v>
      </c>
    </row>
    <row r="27805">
      <c r="A27805" s="17"/>
      <c r="H27805" s="18"/>
      <c r="K27805" s="18" t="s">
        <v>316</v>
      </c>
    </row>
    <row r="27806">
      <c r="A27806" s="17"/>
      <c r="H27806" s="18"/>
      <c r="K27806" s="18" t="s">
        <v>316</v>
      </c>
    </row>
    <row r="27807">
      <c r="A27807" s="17"/>
      <c r="H27807" s="18"/>
      <c r="K27807" s="18" t="s">
        <v>316</v>
      </c>
    </row>
    <row r="27808">
      <c r="A27808" s="17"/>
      <c r="H27808" s="18"/>
      <c r="K27808" s="18" t="s">
        <v>316</v>
      </c>
    </row>
    <row r="27809">
      <c r="A27809" s="17"/>
      <c r="H27809" s="18"/>
      <c r="K27809" s="18" t="s">
        <v>316</v>
      </c>
    </row>
    <row r="27810">
      <c r="A27810" s="17"/>
      <c r="H27810" s="18"/>
      <c r="K27810" s="18" t="s">
        <v>316</v>
      </c>
    </row>
    <row r="27811">
      <c r="A27811" s="17"/>
      <c r="H27811" s="18"/>
      <c r="K27811" s="18" t="s">
        <v>316</v>
      </c>
    </row>
    <row r="27812">
      <c r="A27812" s="17"/>
      <c r="H27812" s="18"/>
      <c r="K27812" s="18" t="s">
        <v>316</v>
      </c>
    </row>
    <row r="27813">
      <c r="A27813" s="17"/>
      <c r="H27813" s="18"/>
      <c r="K27813" s="18" t="s">
        <v>316</v>
      </c>
    </row>
    <row r="27814">
      <c r="A27814" s="17"/>
      <c r="H27814" s="18"/>
      <c r="K27814" s="18" t="s">
        <v>316</v>
      </c>
    </row>
    <row r="27815">
      <c r="A27815" s="17"/>
      <c r="H27815" s="18"/>
      <c r="K27815" s="18" t="s">
        <v>316</v>
      </c>
    </row>
    <row r="27816">
      <c r="A27816" s="17"/>
      <c r="H27816" s="18"/>
      <c r="K27816" s="18" t="s">
        <v>316</v>
      </c>
    </row>
    <row r="27817">
      <c r="A27817" s="17"/>
      <c r="H27817" s="18"/>
      <c r="K27817" s="18" t="s">
        <v>316</v>
      </c>
    </row>
    <row r="27818">
      <c r="A27818" s="17"/>
      <c r="H27818" s="18"/>
      <c r="K27818" s="18" t="s">
        <v>316</v>
      </c>
    </row>
    <row r="27819">
      <c r="A27819" s="17"/>
      <c r="H27819" s="18"/>
      <c r="K27819" s="18" t="s">
        <v>316</v>
      </c>
    </row>
    <row r="27820">
      <c r="A27820" s="17"/>
      <c r="H27820" s="18"/>
      <c r="K27820" s="18" t="s">
        <v>316</v>
      </c>
    </row>
    <row r="27821">
      <c r="A27821" s="17"/>
      <c r="H27821" s="18"/>
      <c r="K27821" s="18" t="s">
        <v>316</v>
      </c>
    </row>
    <row r="27822">
      <c r="A27822" s="17"/>
      <c r="H27822" s="18"/>
      <c r="K27822" s="18" t="s">
        <v>316</v>
      </c>
    </row>
    <row r="27823">
      <c r="A27823" s="17"/>
      <c r="H27823" s="18"/>
      <c r="K27823" s="18" t="s">
        <v>316</v>
      </c>
    </row>
    <row r="27824">
      <c r="A27824" s="17"/>
      <c r="H27824" s="18"/>
      <c r="K27824" s="18" t="s">
        <v>316</v>
      </c>
    </row>
    <row r="27825">
      <c r="A27825" s="17"/>
      <c r="H27825" s="18"/>
      <c r="K27825" s="18" t="s">
        <v>316</v>
      </c>
    </row>
    <row r="27826">
      <c r="A27826" s="17"/>
      <c r="H27826" s="18"/>
      <c r="K27826" s="18" t="s">
        <v>316</v>
      </c>
    </row>
    <row r="27827">
      <c r="A27827" s="17"/>
      <c r="H27827" s="18"/>
      <c r="K27827" s="18" t="s">
        <v>316</v>
      </c>
    </row>
    <row r="27828">
      <c r="A27828" s="17"/>
      <c r="H27828" s="18"/>
      <c r="K27828" s="18" t="s">
        <v>316</v>
      </c>
    </row>
    <row r="27829">
      <c r="A27829" s="17"/>
      <c r="H27829" s="18"/>
      <c r="K27829" s="18" t="s">
        <v>316</v>
      </c>
    </row>
    <row r="27830">
      <c r="A27830" s="17"/>
      <c r="H27830" s="18"/>
      <c r="K27830" s="18" t="s">
        <v>316</v>
      </c>
    </row>
    <row r="27831">
      <c r="A27831" s="17"/>
      <c r="H27831" s="18"/>
      <c r="K27831" s="18" t="s">
        <v>316</v>
      </c>
    </row>
    <row r="27832">
      <c r="A27832" s="17"/>
      <c r="H27832" s="18"/>
      <c r="K27832" s="18" t="s">
        <v>316</v>
      </c>
    </row>
    <row r="27833">
      <c r="A27833" s="17"/>
      <c r="H27833" s="18"/>
      <c r="K27833" s="18" t="s">
        <v>316</v>
      </c>
    </row>
    <row r="27834">
      <c r="A27834" s="17"/>
      <c r="H27834" s="18"/>
      <c r="K27834" s="18" t="s">
        <v>316</v>
      </c>
    </row>
    <row r="27835">
      <c r="A27835" s="17"/>
      <c r="H27835" s="18"/>
      <c r="K27835" s="18" t="s">
        <v>316</v>
      </c>
    </row>
    <row r="27836">
      <c r="A27836" s="17"/>
      <c r="H27836" s="18"/>
      <c r="K27836" s="18" t="s">
        <v>316</v>
      </c>
    </row>
    <row r="27837">
      <c r="A27837" s="17"/>
      <c r="H27837" s="18"/>
      <c r="K27837" s="18" t="s">
        <v>316</v>
      </c>
    </row>
    <row r="27838">
      <c r="A27838" s="17"/>
      <c r="H27838" s="18"/>
      <c r="K27838" s="18" t="s">
        <v>316</v>
      </c>
    </row>
    <row r="27839">
      <c r="A27839" s="17"/>
      <c r="H27839" s="18"/>
      <c r="K27839" s="18" t="s">
        <v>316</v>
      </c>
    </row>
    <row r="27840">
      <c r="A27840" s="17"/>
      <c r="H27840" s="18"/>
      <c r="K27840" s="18" t="s">
        <v>316</v>
      </c>
    </row>
    <row r="27841">
      <c r="A27841" s="17"/>
      <c r="H27841" s="18"/>
      <c r="K27841" s="18" t="s">
        <v>316</v>
      </c>
    </row>
    <row r="27842">
      <c r="A27842" s="17"/>
      <c r="H27842" s="18"/>
      <c r="K27842" s="18" t="s">
        <v>316</v>
      </c>
    </row>
    <row r="27843">
      <c r="A27843" s="17"/>
      <c r="H27843" s="18"/>
      <c r="K27843" s="18" t="s">
        <v>316</v>
      </c>
    </row>
    <row r="27844">
      <c r="A27844" s="17"/>
      <c r="H27844" s="18"/>
      <c r="K27844" s="18" t="s">
        <v>316</v>
      </c>
    </row>
    <row r="27845">
      <c r="A27845" s="17"/>
      <c r="H27845" s="18"/>
      <c r="K27845" s="18" t="s">
        <v>316</v>
      </c>
    </row>
    <row r="27846">
      <c r="A27846" s="17"/>
      <c r="H27846" s="18"/>
      <c r="K27846" s="18" t="s">
        <v>316</v>
      </c>
    </row>
    <row r="27847">
      <c r="A27847" s="17"/>
      <c r="H27847" s="18"/>
      <c r="K27847" s="18" t="s">
        <v>316</v>
      </c>
    </row>
    <row r="27848">
      <c r="A27848" s="17"/>
      <c r="H27848" s="18"/>
      <c r="K27848" s="18" t="s">
        <v>316</v>
      </c>
    </row>
    <row r="27849">
      <c r="A27849" s="17"/>
      <c r="H27849" s="18"/>
      <c r="K27849" s="18" t="s">
        <v>316</v>
      </c>
    </row>
    <row r="27850">
      <c r="A27850" s="17"/>
      <c r="H27850" s="18"/>
      <c r="K27850" s="18" t="s">
        <v>316</v>
      </c>
    </row>
    <row r="27851">
      <c r="A27851" s="17"/>
      <c r="H27851" s="18"/>
      <c r="K27851" s="18" t="s">
        <v>316</v>
      </c>
    </row>
    <row r="27852">
      <c r="A27852" s="17"/>
      <c r="H27852" s="18"/>
      <c r="K27852" s="18" t="s">
        <v>316</v>
      </c>
    </row>
    <row r="27853">
      <c r="A27853" s="17"/>
      <c r="H27853" s="18"/>
      <c r="K27853" s="18" t="s">
        <v>316</v>
      </c>
    </row>
    <row r="27854">
      <c r="A27854" s="17"/>
      <c r="H27854" s="18"/>
      <c r="K27854" s="18" t="s">
        <v>316</v>
      </c>
    </row>
    <row r="27855">
      <c r="A27855" s="17"/>
      <c r="H27855" s="18"/>
      <c r="K27855" s="18" t="s">
        <v>316</v>
      </c>
    </row>
    <row r="27856">
      <c r="A27856" s="17"/>
      <c r="H27856" s="18"/>
      <c r="K27856" s="18" t="s">
        <v>316</v>
      </c>
    </row>
    <row r="27857">
      <c r="A27857" s="17"/>
      <c r="H27857" s="18"/>
      <c r="K27857" s="18" t="s">
        <v>316</v>
      </c>
    </row>
    <row r="27858">
      <c r="A27858" s="17"/>
      <c r="H27858" s="18"/>
      <c r="K27858" s="18" t="s">
        <v>316</v>
      </c>
    </row>
    <row r="27859">
      <c r="A27859" s="17"/>
      <c r="H27859" s="18"/>
      <c r="K27859" s="18" t="s">
        <v>316</v>
      </c>
    </row>
    <row r="27860">
      <c r="A27860" s="17"/>
      <c r="H27860" s="18"/>
      <c r="K27860" s="18" t="s">
        <v>316</v>
      </c>
    </row>
    <row r="27861">
      <c r="A27861" s="17"/>
      <c r="H27861" s="18"/>
      <c r="K27861" s="18" t="s">
        <v>316</v>
      </c>
    </row>
    <row r="27862">
      <c r="A27862" s="17"/>
      <c r="H27862" s="18"/>
      <c r="K27862" s="18" t="s">
        <v>316</v>
      </c>
    </row>
    <row r="27863">
      <c r="A27863" s="17"/>
      <c r="H27863" s="18"/>
      <c r="K27863" s="18" t="s">
        <v>316</v>
      </c>
    </row>
    <row r="27864">
      <c r="A27864" s="17"/>
      <c r="H27864" s="18"/>
      <c r="K27864" s="18" t="s">
        <v>316</v>
      </c>
    </row>
    <row r="27865">
      <c r="A27865" s="17"/>
      <c r="H27865" s="18"/>
      <c r="K27865" s="18" t="s">
        <v>316</v>
      </c>
    </row>
    <row r="27866">
      <c r="A27866" s="17"/>
      <c r="H27866" s="18"/>
      <c r="K27866" s="18" t="s">
        <v>316</v>
      </c>
    </row>
    <row r="27867">
      <c r="A27867" s="17"/>
      <c r="H27867" s="18"/>
      <c r="K27867" s="18" t="s">
        <v>316</v>
      </c>
    </row>
    <row r="27868">
      <c r="A27868" s="17"/>
      <c r="H27868" s="18"/>
      <c r="K27868" s="18" t="s">
        <v>316</v>
      </c>
    </row>
    <row r="27869">
      <c r="A27869" s="17"/>
      <c r="H27869" s="18"/>
      <c r="K27869" s="18" t="s">
        <v>316</v>
      </c>
    </row>
    <row r="27870">
      <c r="A27870" s="17"/>
      <c r="H27870" s="18"/>
      <c r="K27870" s="18" t="s">
        <v>316</v>
      </c>
    </row>
    <row r="27871">
      <c r="A27871" s="17"/>
      <c r="H27871" s="18"/>
      <c r="K27871" s="18" t="s">
        <v>316</v>
      </c>
    </row>
    <row r="27872">
      <c r="A27872" s="17"/>
      <c r="H27872" s="18"/>
      <c r="K27872" s="18" t="s">
        <v>316</v>
      </c>
    </row>
    <row r="27873">
      <c r="A27873" s="17"/>
      <c r="H27873" s="18"/>
      <c r="K27873" s="18" t="s">
        <v>316</v>
      </c>
    </row>
    <row r="27874">
      <c r="A27874" s="17"/>
      <c r="H27874" s="18"/>
      <c r="K27874" s="18" t="s">
        <v>316</v>
      </c>
    </row>
    <row r="27875">
      <c r="A27875" s="17"/>
      <c r="H27875" s="18"/>
      <c r="K27875" s="18" t="s">
        <v>316</v>
      </c>
    </row>
    <row r="27876">
      <c r="A27876" s="17"/>
      <c r="H27876" s="18"/>
      <c r="K27876" s="18" t="s">
        <v>316</v>
      </c>
    </row>
    <row r="27877">
      <c r="A27877" s="17"/>
      <c r="H27877" s="18"/>
      <c r="K27877" s="18" t="s">
        <v>316</v>
      </c>
    </row>
    <row r="27878">
      <c r="A27878" s="17"/>
      <c r="H27878" s="18"/>
      <c r="K27878" s="18" t="s">
        <v>316</v>
      </c>
    </row>
    <row r="27879">
      <c r="A27879" s="17"/>
      <c r="H27879" s="18"/>
      <c r="K27879" s="18" t="s">
        <v>316</v>
      </c>
    </row>
    <row r="27880">
      <c r="A27880" s="17"/>
      <c r="H27880" s="18"/>
      <c r="K27880" s="18" t="s">
        <v>316</v>
      </c>
    </row>
    <row r="27881">
      <c r="A27881" s="17"/>
      <c r="H27881" s="18"/>
      <c r="K27881" s="18" t="s">
        <v>316</v>
      </c>
    </row>
    <row r="27882">
      <c r="A27882" s="17"/>
      <c r="H27882" s="18"/>
      <c r="K27882" s="18" t="s">
        <v>316</v>
      </c>
    </row>
    <row r="27883">
      <c r="A27883" s="17"/>
      <c r="H27883" s="18"/>
      <c r="K27883" s="18" t="s">
        <v>316</v>
      </c>
    </row>
    <row r="27884">
      <c r="A27884" s="17"/>
      <c r="H27884" s="18"/>
      <c r="K27884" s="18" t="s">
        <v>316</v>
      </c>
    </row>
    <row r="27885">
      <c r="A27885" s="17"/>
      <c r="H27885" s="18"/>
      <c r="K27885" s="18" t="s">
        <v>316</v>
      </c>
    </row>
    <row r="27886">
      <c r="A27886" s="17"/>
      <c r="H27886" s="18"/>
      <c r="K27886" s="18" t="s">
        <v>316</v>
      </c>
    </row>
    <row r="27887">
      <c r="A27887" s="17"/>
      <c r="H27887" s="18"/>
      <c r="K27887" s="18" t="s">
        <v>316</v>
      </c>
    </row>
    <row r="27888">
      <c r="A27888" s="17"/>
      <c r="H27888" s="18"/>
      <c r="K27888" s="18" t="s">
        <v>316</v>
      </c>
    </row>
    <row r="27889">
      <c r="A27889" s="17"/>
      <c r="H27889" s="18"/>
      <c r="K27889" s="18" t="s">
        <v>316</v>
      </c>
    </row>
    <row r="27890">
      <c r="A27890" s="17"/>
      <c r="H27890" s="18"/>
      <c r="K27890" s="18" t="s">
        <v>316</v>
      </c>
    </row>
    <row r="27891">
      <c r="A27891" s="17"/>
      <c r="H27891" s="18"/>
      <c r="K27891" s="18" t="s">
        <v>316</v>
      </c>
    </row>
    <row r="27892">
      <c r="A27892" s="17"/>
      <c r="H27892" s="18"/>
      <c r="K27892" s="18" t="s">
        <v>316</v>
      </c>
    </row>
    <row r="27893">
      <c r="A27893" s="17"/>
      <c r="H27893" s="18"/>
      <c r="K27893" s="18" t="s">
        <v>316</v>
      </c>
    </row>
    <row r="27894">
      <c r="A27894" s="17"/>
      <c r="H27894" s="18"/>
      <c r="K27894" s="18" t="s">
        <v>316</v>
      </c>
    </row>
    <row r="27895">
      <c r="A27895" s="17"/>
      <c r="H27895" s="18"/>
      <c r="K27895" s="18" t="s">
        <v>316</v>
      </c>
    </row>
    <row r="27896">
      <c r="A27896" s="17"/>
      <c r="H27896" s="18"/>
      <c r="K27896" s="18" t="s">
        <v>316</v>
      </c>
    </row>
    <row r="27897">
      <c r="A27897" s="17"/>
      <c r="H27897" s="18"/>
      <c r="K27897" s="18" t="s">
        <v>316</v>
      </c>
    </row>
    <row r="27898">
      <c r="A27898" s="17"/>
      <c r="H27898" s="18"/>
      <c r="K27898" s="18" t="s">
        <v>316</v>
      </c>
    </row>
    <row r="27899">
      <c r="A27899" s="17"/>
      <c r="H27899" s="18"/>
      <c r="K27899" s="18" t="s">
        <v>316</v>
      </c>
    </row>
    <row r="27900">
      <c r="A27900" s="17"/>
      <c r="H27900" s="18"/>
      <c r="K27900" s="18" t="s">
        <v>316</v>
      </c>
    </row>
    <row r="27901">
      <c r="A27901" s="17"/>
      <c r="H27901" s="18"/>
      <c r="K27901" s="18" t="s">
        <v>316</v>
      </c>
    </row>
    <row r="27902">
      <c r="A27902" s="17"/>
      <c r="H27902" s="18"/>
      <c r="K27902" s="18" t="s">
        <v>316</v>
      </c>
    </row>
    <row r="27903">
      <c r="A27903" s="17"/>
      <c r="H27903" s="18"/>
      <c r="K27903" s="18" t="s">
        <v>316</v>
      </c>
    </row>
    <row r="27904">
      <c r="A27904" s="17"/>
      <c r="H27904" s="18"/>
      <c r="K27904" s="18" t="s">
        <v>316</v>
      </c>
    </row>
    <row r="27905">
      <c r="A27905" s="17"/>
      <c r="H27905" s="18"/>
      <c r="K27905" s="18" t="s">
        <v>316</v>
      </c>
    </row>
    <row r="27906">
      <c r="A27906" s="17"/>
      <c r="H27906" s="18"/>
      <c r="K27906" s="18" t="s">
        <v>316</v>
      </c>
    </row>
    <row r="27907">
      <c r="A27907" s="17"/>
      <c r="H27907" s="18"/>
      <c r="K27907" s="18" t="s">
        <v>316</v>
      </c>
    </row>
    <row r="27908">
      <c r="A27908" s="17"/>
      <c r="H27908" s="18"/>
      <c r="K27908" s="18" t="s">
        <v>316</v>
      </c>
    </row>
    <row r="27909">
      <c r="A27909" s="17"/>
      <c r="H27909" s="18"/>
      <c r="K27909" s="18" t="s">
        <v>316</v>
      </c>
    </row>
    <row r="27910">
      <c r="A27910" s="17"/>
      <c r="H27910" s="18"/>
      <c r="K27910" s="18" t="s">
        <v>316</v>
      </c>
    </row>
    <row r="27911">
      <c r="A27911" s="17"/>
      <c r="H27911" s="18"/>
      <c r="K27911" s="18" t="s">
        <v>316</v>
      </c>
    </row>
    <row r="27912">
      <c r="A27912" s="17"/>
      <c r="H27912" s="18"/>
      <c r="K27912" s="18" t="s">
        <v>316</v>
      </c>
    </row>
    <row r="27913">
      <c r="A27913" s="17"/>
      <c r="H27913" s="18"/>
      <c r="K27913" s="18" t="s">
        <v>316</v>
      </c>
    </row>
    <row r="27914">
      <c r="A27914" s="17"/>
      <c r="H27914" s="18"/>
      <c r="K27914" s="18" t="s">
        <v>316</v>
      </c>
    </row>
    <row r="27915">
      <c r="A27915" s="17"/>
      <c r="H27915" s="18"/>
      <c r="K27915" s="18" t="s">
        <v>316</v>
      </c>
    </row>
    <row r="27916">
      <c r="A27916" s="17"/>
      <c r="H27916" s="18"/>
      <c r="K27916" s="18" t="s">
        <v>316</v>
      </c>
    </row>
    <row r="27917">
      <c r="A27917" s="17"/>
      <c r="H27917" s="18"/>
      <c r="K27917" s="18" t="s">
        <v>316</v>
      </c>
    </row>
    <row r="27918">
      <c r="A27918" s="17"/>
      <c r="H27918" s="18"/>
      <c r="K27918" s="18" t="s">
        <v>316</v>
      </c>
    </row>
    <row r="27919">
      <c r="A27919" s="17"/>
      <c r="H27919" s="18"/>
      <c r="K27919" s="18" t="s">
        <v>316</v>
      </c>
    </row>
    <row r="27920">
      <c r="A27920" s="17"/>
      <c r="H27920" s="18"/>
      <c r="K27920" s="18" t="s">
        <v>316</v>
      </c>
    </row>
    <row r="27921">
      <c r="A27921" s="17"/>
      <c r="H27921" s="18"/>
      <c r="K27921" s="18" t="s">
        <v>316</v>
      </c>
    </row>
    <row r="27922">
      <c r="A27922" s="17"/>
      <c r="H27922" s="18"/>
      <c r="K27922" s="18" t="s">
        <v>316</v>
      </c>
    </row>
    <row r="27923">
      <c r="A27923" s="17"/>
      <c r="H27923" s="18"/>
      <c r="K27923" s="18" t="s">
        <v>316</v>
      </c>
    </row>
    <row r="27924">
      <c r="A27924" s="17"/>
      <c r="H27924" s="18"/>
      <c r="K27924" s="18" t="s">
        <v>316</v>
      </c>
    </row>
    <row r="27925">
      <c r="A27925" s="17"/>
      <c r="H27925" s="18"/>
      <c r="K27925" s="18" t="s">
        <v>316</v>
      </c>
    </row>
    <row r="27926">
      <c r="A27926" s="17"/>
      <c r="H27926" s="18"/>
      <c r="K27926" s="18" t="s">
        <v>316</v>
      </c>
    </row>
    <row r="27927">
      <c r="A27927" s="17"/>
      <c r="H27927" s="18"/>
      <c r="K27927" s="18" t="s">
        <v>316</v>
      </c>
    </row>
    <row r="27928">
      <c r="A27928" s="17"/>
      <c r="H27928" s="18"/>
      <c r="K27928" s="18" t="s">
        <v>316</v>
      </c>
    </row>
    <row r="27929">
      <c r="A27929" s="17"/>
      <c r="H27929" s="18"/>
      <c r="K27929" s="18" t="s">
        <v>316</v>
      </c>
    </row>
    <row r="27930">
      <c r="A27930" s="17"/>
      <c r="H27930" s="18"/>
      <c r="K27930" s="18" t="s">
        <v>316</v>
      </c>
    </row>
    <row r="27931">
      <c r="A27931" s="17"/>
      <c r="H27931" s="18"/>
      <c r="K27931" s="18" t="s">
        <v>316</v>
      </c>
    </row>
    <row r="27932">
      <c r="A27932" s="17"/>
      <c r="H27932" s="18"/>
      <c r="K27932" s="18" t="s">
        <v>316</v>
      </c>
    </row>
    <row r="27933">
      <c r="A27933" s="17"/>
      <c r="H27933" s="18"/>
      <c r="K27933" s="18" t="s">
        <v>316</v>
      </c>
    </row>
    <row r="27934">
      <c r="A27934" s="17"/>
      <c r="H27934" s="18"/>
      <c r="K27934" s="18" t="s">
        <v>316</v>
      </c>
    </row>
    <row r="27935">
      <c r="A27935" s="17"/>
      <c r="H27935" s="18"/>
      <c r="K27935" s="18" t="s">
        <v>316</v>
      </c>
    </row>
    <row r="27936">
      <c r="A27936" s="17"/>
      <c r="H27936" s="18"/>
      <c r="K27936" s="18" t="s">
        <v>316</v>
      </c>
    </row>
    <row r="27937">
      <c r="A27937" s="17"/>
      <c r="H27937" s="18"/>
      <c r="K27937" s="18" t="s">
        <v>316</v>
      </c>
    </row>
    <row r="27938">
      <c r="A27938" s="17"/>
      <c r="H27938" s="18"/>
      <c r="K27938" s="18" t="s">
        <v>316</v>
      </c>
    </row>
    <row r="27939">
      <c r="A27939" s="17"/>
      <c r="H27939" s="18"/>
      <c r="K27939" s="18" t="s">
        <v>316</v>
      </c>
    </row>
    <row r="27940">
      <c r="A27940" s="17"/>
      <c r="H27940" s="18"/>
      <c r="K27940" s="18" t="s">
        <v>316</v>
      </c>
    </row>
    <row r="27941">
      <c r="A27941" s="17"/>
      <c r="H27941" s="18"/>
      <c r="K27941" s="18" t="s">
        <v>316</v>
      </c>
    </row>
    <row r="27942">
      <c r="A27942" s="17"/>
      <c r="H27942" s="18"/>
      <c r="K27942" s="18" t="s">
        <v>316</v>
      </c>
    </row>
    <row r="27943">
      <c r="A27943" s="17"/>
      <c r="H27943" s="18"/>
      <c r="K27943" s="18" t="s">
        <v>316</v>
      </c>
    </row>
    <row r="27944">
      <c r="A27944" s="17"/>
      <c r="H27944" s="18"/>
      <c r="K27944" s="18" t="s">
        <v>316</v>
      </c>
    </row>
    <row r="27945">
      <c r="A27945" s="17"/>
      <c r="H27945" s="18"/>
      <c r="K27945" s="18" t="s">
        <v>316</v>
      </c>
    </row>
    <row r="27946">
      <c r="A27946" s="17"/>
      <c r="H27946" s="18"/>
      <c r="K27946" s="18" t="s">
        <v>316</v>
      </c>
    </row>
    <row r="27947">
      <c r="A27947" s="17"/>
      <c r="H27947" s="18"/>
      <c r="K27947" s="18" t="s">
        <v>316</v>
      </c>
    </row>
    <row r="27948">
      <c r="A27948" s="17"/>
      <c r="H27948" s="18"/>
      <c r="K27948" s="18" t="s">
        <v>316</v>
      </c>
    </row>
    <row r="27949">
      <c r="A27949" s="17"/>
      <c r="H27949" s="18"/>
      <c r="K27949" s="18" t="s">
        <v>316</v>
      </c>
    </row>
    <row r="27950">
      <c r="A27950" s="17"/>
      <c r="H27950" s="18"/>
      <c r="K27950" s="18" t="s">
        <v>316</v>
      </c>
    </row>
    <row r="27951">
      <c r="A27951" s="17"/>
      <c r="H27951" s="18"/>
      <c r="K27951" s="18" t="s">
        <v>316</v>
      </c>
    </row>
    <row r="27952">
      <c r="A27952" s="17"/>
      <c r="H27952" s="18"/>
      <c r="K27952" s="18" t="s">
        <v>316</v>
      </c>
    </row>
    <row r="27953">
      <c r="A27953" s="17"/>
      <c r="H27953" s="18"/>
      <c r="K27953" s="18" t="s">
        <v>316</v>
      </c>
    </row>
    <row r="27954">
      <c r="A27954" s="17"/>
      <c r="H27954" s="18"/>
      <c r="K27954" s="18" t="s">
        <v>316</v>
      </c>
    </row>
    <row r="27955">
      <c r="A27955" s="17"/>
      <c r="H27955" s="18"/>
      <c r="K27955" s="18" t="s">
        <v>316</v>
      </c>
    </row>
    <row r="27956">
      <c r="A27956" s="17"/>
      <c r="H27956" s="18"/>
      <c r="K27956" s="18" t="s">
        <v>316</v>
      </c>
    </row>
    <row r="27957">
      <c r="A27957" s="17"/>
      <c r="H27957" s="18"/>
      <c r="K27957" s="18" t="s">
        <v>316</v>
      </c>
    </row>
    <row r="27958">
      <c r="A27958" s="17"/>
      <c r="H27958" s="18"/>
      <c r="K27958" s="18" t="s">
        <v>316</v>
      </c>
    </row>
    <row r="27959">
      <c r="A27959" s="17"/>
      <c r="H27959" s="18"/>
      <c r="K27959" s="18" t="s">
        <v>316</v>
      </c>
    </row>
    <row r="27960">
      <c r="A27960" s="17"/>
      <c r="H27960" s="18"/>
      <c r="K27960" s="18" t="s">
        <v>316</v>
      </c>
    </row>
    <row r="27961">
      <c r="A27961" s="17"/>
      <c r="H27961" s="18"/>
      <c r="K27961" s="18" t="s">
        <v>316</v>
      </c>
    </row>
    <row r="27962">
      <c r="A27962" s="17"/>
      <c r="H27962" s="18"/>
      <c r="K27962" s="18" t="s">
        <v>316</v>
      </c>
    </row>
    <row r="27963">
      <c r="A27963" s="17"/>
      <c r="H27963" s="18"/>
      <c r="K27963" s="18" t="s">
        <v>316</v>
      </c>
    </row>
    <row r="27964">
      <c r="A27964" s="17"/>
      <c r="H27964" s="18"/>
      <c r="K27964" s="18" t="s">
        <v>316</v>
      </c>
    </row>
    <row r="27965">
      <c r="A27965" s="17"/>
      <c r="H27965" s="18"/>
      <c r="K27965" s="18" t="s">
        <v>316</v>
      </c>
    </row>
    <row r="27966">
      <c r="A27966" s="17"/>
      <c r="H27966" s="18"/>
      <c r="K27966" s="18" t="s">
        <v>316</v>
      </c>
    </row>
    <row r="27967">
      <c r="A27967" s="17"/>
      <c r="H27967" s="18"/>
      <c r="K27967" s="18" t="s">
        <v>316</v>
      </c>
    </row>
    <row r="27968">
      <c r="A27968" s="17"/>
      <c r="H27968" s="18"/>
      <c r="K27968" s="18" t="s">
        <v>316</v>
      </c>
    </row>
    <row r="27969">
      <c r="A27969" s="17"/>
      <c r="H27969" s="18"/>
      <c r="K27969" s="18" t="s">
        <v>316</v>
      </c>
    </row>
    <row r="27970">
      <c r="A27970" s="17"/>
      <c r="H27970" s="18"/>
      <c r="K27970" s="18" t="s">
        <v>316</v>
      </c>
    </row>
    <row r="27971">
      <c r="A27971" s="17"/>
      <c r="H27971" s="18"/>
      <c r="K27971" s="18" t="s">
        <v>316</v>
      </c>
    </row>
    <row r="27972">
      <c r="A27972" s="17"/>
      <c r="H27972" s="18"/>
      <c r="K27972" s="18" t="s">
        <v>316</v>
      </c>
    </row>
    <row r="27973">
      <c r="A27973" s="17"/>
      <c r="H27973" s="18"/>
      <c r="K27973" s="18" t="s">
        <v>316</v>
      </c>
    </row>
    <row r="27974">
      <c r="A27974" s="17"/>
      <c r="H27974" s="18"/>
      <c r="K27974" s="18" t="s">
        <v>316</v>
      </c>
    </row>
    <row r="27975">
      <c r="A27975" s="17"/>
      <c r="H27975" s="18"/>
      <c r="K27975" s="18" t="s">
        <v>316</v>
      </c>
    </row>
    <row r="27976">
      <c r="A27976" s="17"/>
      <c r="H27976" s="18"/>
      <c r="K27976" s="18" t="s">
        <v>316</v>
      </c>
    </row>
    <row r="27977">
      <c r="A27977" s="17"/>
      <c r="H27977" s="18"/>
      <c r="K27977" s="18" t="s">
        <v>316</v>
      </c>
    </row>
    <row r="27978">
      <c r="A27978" s="17"/>
      <c r="H27978" s="18"/>
      <c r="K27978" s="18" t="s">
        <v>316</v>
      </c>
    </row>
    <row r="27979">
      <c r="A27979" s="17"/>
      <c r="H27979" s="18"/>
      <c r="K27979" s="18" t="s">
        <v>316</v>
      </c>
    </row>
    <row r="27980">
      <c r="A27980" s="17"/>
      <c r="H27980" s="18"/>
      <c r="K27980" s="18" t="s">
        <v>316</v>
      </c>
    </row>
    <row r="27981">
      <c r="A27981" s="17"/>
      <c r="H27981" s="18"/>
      <c r="K27981" s="18" t="s">
        <v>316</v>
      </c>
    </row>
    <row r="27982">
      <c r="A27982" s="17"/>
      <c r="H27982" s="18"/>
      <c r="K27982" s="18" t="s">
        <v>316</v>
      </c>
    </row>
    <row r="27983">
      <c r="A27983" s="17"/>
      <c r="H27983" s="18"/>
      <c r="K27983" s="18" t="s">
        <v>316</v>
      </c>
    </row>
    <row r="27984">
      <c r="A27984" s="17"/>
      <c r="H27984" s="18"/>
      <c r="K27984" s="18" t="s">
        <v>316</v>
      </c>
    </row>
    <row r="27985">
      <c r="A27985" s="17"/>
      <c r="H27985" s="18"/>
      <c r="K27985" s="18" t="s">
        <v>316</v>
      </c>
    </row>
    <row r="27986">
      <c r="A27986" s="17"/>
      <c r="H27986" s="18"/>
      <c r="K27986" s="18" t="s">
        <v>316</v>
      </c>
    </row>
    <row r="27987">
      <c r="A27987" s="17"/>
      <c r="H27987" s="18"/>
      <c r="K27987" s="18" t="s">
        <v>316</v>
      </c>
    </row>
    <row r="27988">
      <c r="A27988" s="17"/>
      <c r="H27988" s="18"/>
      <c r="K27988" s="18" t="s">
        <v>316</v>
      </c>
    </row>
    <row r="27989">
      <c r="A27989" s="17"/>
      <c r="H27989" s="18"/>
      <c r="K27989" s="18" t="s">
        <v>316</v>
      </c>
    </row>
    <row r="27990">
      <c r="A27990" s="17"/>
      <c r="H27990" s="18"/>
      <c r="K27990" s="18" t="s">
        <v>316</v>
      </c>
    </row>
    <row r="27991">
      <c r="A27991" s="17"/>
      <c r="H27991" s="18"/>
      <c r="K27991" s="18" t="s">
        <v>316</v>
      </c>
    </row>
    <row r="27992">
      <c r="A27992" s="17"/>
      <c r="H27992" s="18"/>
      <c r="K27992" s="18" t="s">
        <v>316</v>
      </c>
    </row>
    <row r="27993">
      <c r="A27993" s="17"/>
      <c r="H27993" s="18"/>
      <c r="K27993" s="18" t="s">
        <v>316</v>
      </c>
    </row>
    <row r="27994">
      <c r="A27994" s="17"/>
      <c r="H27994" s="18"/>
      <c r="K27994" s="18" t="s">
        <v>316</v>
      </c>
    </row>
    <row r="27995">
      <c r="A27995" s="17"/>
      <c r="H27995" s="18"/>
      <c r="K27995" s="18" t="s">
        <v>316</v>
      </c>
    </row>
    <row r="27996">
      <c r="A27996" s="17"/>
      <c r="H27996" s="18"/>
      <c r="K27996" s="18" t="s">
        <v>316</v>
      </c>
    </row>
    <row r="27997">
      <c r="A27997" s="17"/>
      <c r="H27997" s="18"/>
      <c r="K27997" s="18" t="s">
        <v>316</v>
      </c>
    </row>
    <row r="27998">
      <c r="A27998" s="17"/>
      <c r="H27998" s="18"/>
      <c r="K27998" s="18" t="s">
        <v>316</v>
      </c>
    </row>
    <row r="27999">
      <c r="A27999" s="17"/>
      <c r="H27999" s="18"/>
      <c r="K27999" s="18" t="s">
        <v>316</v>
      </c>
    </row>
    <row r="28000">
      <c r="A28000" s="17"/>
      <c r="H28000" s="18"/>
      <c r="K28000" s="18" t="s">
        <v>316</v>
      </c>
    </row>
    <row r="28001">
      <c r="A28001" s="17"/>
      <c r="H28001" s="18"/>
      <c r="K28001" s="18" t="s">
        <v>316</v>
      </c>
    </row>
    <row r="28002">
      <c r="A28002" s="17"/>
      <c r="H28002" s="18"/>
      <c r="K28002" s="18" t="s">
        <v>316</v>
      </c>
    </row>
    <row r="28003">
      <c r="A28003" s="17"/>
      <c r="H28003" s="18"/>
      <c r="K28003" s="18" t="s">
        <v>316</v>
      </c>
    </row>
    <row r="28004">
      <c r="A28004" s="17"/>
      <c r="H28004" s="18"/>
      <c r="K28004" s="18" t="s">
        <v>316</v>
      </c>
    </row>
    <row r="28005">
      <c r="A28005" s="17"/>
      <c r="H28005" s="18"/>
      <c r="K28005" s="18" t="s">
        <v>316</v>
      </c>
    </row>
    <row r="28006">
      <c r="A28006" s="17"/>
      <c r="H28006" s="18"/>
      <c r="K28006" s="18" t="s">
        <v>316</v>
      </c>
    </row>
    <row r="28007">
      <c r="A28007" s="17"/>
      <c r="H28007" s="18"/>
      <c r="K28007" s="18" t="s">
        <v>316</v>
      </c>
    </row>
    <row r="28008">
      <c r="A28008" s="17"/>
      <c r="H28008" s="18"/>
      <c r="K28008" s="18" t="s">
        <v>316</v>
      </c>
    </row>
    <row r="28009">
      <c r="A28009" s="17"/>
      <c r="H28009" s="18"/>
      <c r="K28009" s="18" t="s">
        <v>316</v>
      </c>
    </row>
    <row r="28010">
      <c r="A28010" s="17"/>
      <c r="H28010" s="18"/>
      <c r="K28010" s="18" t="s">
        <v>316</v>
      </c>
    </row>
    <row r="28011">
      <c r="A28011" s="17"/>
      <c r="H28011" s="18"/>
      <c r="K28011" s="18" t="s">
        <v>316</v>
      </c>
    </row>
    <row r="28012">
      <c r="A28012" s="17"/>
      <c r="H28012" s="18"/>
      <c r="K28012" s="18" t="s">
        <v>316</v>
      </c>
    </row>
    <row r="28013">
      <c r="A28013" s="17"/>
      <c r="H28013" s="18"/>
      <c r="K28013" s="18" t="s">
        <v>316</v>
      </c>
    </row>
    <row r="28014">
      <c r="A28014" s="17"/>
      <c r="H28014" s="18"/>
      <c r="K28014" s="18" t="s">
        <v>316</v>
      </c>
    </row>
    <row r="28015">
      <c r="A28015" s="17"/>
      <c r="H28015" s="18"/>
      <c r="K28015" s="18" t="s">
        <v>316</v>
      </c>
    </row>
    <row r="28016">
      <c r="A28016" s="17"/>
      <c r="H28016" s="18"/>
      <c r="K28016" s="18" t="s">
        <v>316</v>
      </c>
    </row>
    <row r="28017">
      <c r="A28017" s="17"/>
      <c r="H28017" s="18"/>
      <c r="K28017" s="18" t="s">
        <v>316</v>
      </c>
    </row>
    <row r="28018">
      <c r="A28018" s="17"/>
      <c r="H28018" s="18"/>
      <c r="K28018" s="18" t="s">
        <v>316</v>
      </c>
    </row>
    <row r="28019">
      <c r="A28019" s="17"/>
      <c r="H28019" s="18"/>
      <c r="K28019" s="18" t="s">
        <v>316</v>
      </c>
    </row>
    <row r="28020">
      <c r="A28020" s="17"/>
      <c r="H28020" s="18"/>
      <c r="K28020" s="18" t="s">
        <v>316</v>
      </c>
    </row>
    <row r="28021">
      <c r="A28021" s="17"/>
      <c r="H28021" s="18"/>
      <c r="K28021" s="18" t="s">
        <v>316</v>
      </c>
    </row>
    <row r="28022">
      <c r="A28022" s="17"/>
      <c r="H28022" s="18"/>
      <c r="K28022" s="18" t="s">
        <v>316</v>
      </c>
    </row>
    <row r="28023">
      <c r="A28023" s="17"/>
      <c r="H28023" s="18"/>
      <c r="K28023" s="18" t="s">
        <v>316</v>
      </c>
    </row>
    <row r="28024">
      <c r="A28024" s="17"/>
      <c r="H28024" s="18"/>
      <c r="K28024" s="18" t="s">
        <v>316</v>
      </c>
    </row>
    <row r="28025">
      <c r="A28025" s="17"/>
      <c r="H28025" s="18"/>
      <c r="K28025" s="18" t="s">
        <v>316</v>
      </c>
    </row>
    <row r="28026">
      <c r="A28026" s="17"/>
      <c r="H28026" s="18"/>
      <c r="K28026" s="18" t="s">
        <v>316</v>
      </c>
    </row>
    <row r="28027">
      <c r="A28027" s="17"/>
      <c r="H28027" s="18"/>
      <c r="K28027" s="18" t="s">
        <v>316</v>
      </c>
    </row>
    <row r="28028">
      <c r="A28028" s="17"/>
      <c r="H28028" s="18"/>
      <c r="K28028" s="18" t="s">
        <v>316</v>
      </c>
    </row>
    <row r="28029">
      <c r="A28029" s="17"/>
      <c r="H28029" s="18"/>
      <c r="K28029" s="18" t="s">
        <v>316</v>
      </c>
    </row>
    <row r="28030">
      <c r="A28030" s="17"/>
      <c r="H28030" s="18"/>
      <c r="K28030" s="18" t="s">
        <v>316</v>
      </c>
    </row>
    <row r="28031">
      <c r="A28031" s="17"/>
      <c r="H28031" s="18"/>
      <c r="K28031" s="18" t="s">
        <v>316</v>
      </c>
    </row>
    <row r="28032">
      <c r="A28032" s="17"/>
      <c r="H28032" s="18"/>
      <c r="K28032" s="18" t="s">
        <v>316</v>
      </c>
    </row>
    <row r="28033">
      <c r="A28033" s="17"/>
      <c r="H28033" s="18"/>
      <c r="K28033" s="18" t="s">
        <v>316</v>
      </c>
    </row>
    <row r="28034">
      <c r="A28034" s="17"/>
      <c r="H28034" s="18"/>
      <c r="K28034" s="18" t="s">
        <v>316</v>
      </c>
    </row>
    <row r="28035">
      <c r="A28035" s="17"/>
      <c r="H28035" s="18"/>
      <c r="K28035" s="18" t="s">
        <v>316</v>
      </c>
    </row>
    <row r="28036">
      <c r="A28036" s="17"/>
      <c r="H28036" s="18"/>
      <c r="K28036" s="18" t="s">
        <v>316</v>
      </c>
    </row>
    <row r="28037">
      <c r="A28037" s="17"/>
      <c r="H28037" s="18"/>
      <c r="K28037" s="18" t="s">
        <v>316</v>
      </c>
    </row>
    <row r="28038">
      <c r="A28038" s="17"/>
      <c r="H28038" s="18"/>
      <c r="K28038" s="18" t="s">
        <v>316</v>
      </c>
    </row>
    <row r="28039">
      <c r="A28039" s="17"/>
      <c r="H28039" s="18"/>
      <c r="K28039" s="18" t="s">
        <v>316</v>
      </c>
    </row>
    <row r="28040">
      <c r="A28040" s="17"/>
      <c r="H28040" s="18"/>
      <c r="K28040" s="18" t="s">
        <v>316</v>
      </c>
    </row>
    <row r="28041">
      <c r="A28041" s="17"/>
      <c r="H28041" s="18"/>
      <c r="K28041" s="18" t="s">
        <v>316</v>
      </c>
    </row>
    <row r="28042">
      <c r="A28042" s="17"/>
      <c r="H28042" s="18"/>
      <c r="K28042" s="18" t="s">
        <v>316</v>
      </c>
    </row>
    <row r="28043">
      <c r="A28043" s="17"/>
      <c r="H28043" s="18"/>
      <c r="K28043" s="18" t="s">
        <v>316</v>
      </c>
    </row>
    <row r="28044">
      <c r="A28044" s="17"/>
      <c r="H28044" s="18"/>
      <c r="K28044" s="18" t="s">
        <v>316</v>
      </c>
    </row>
    <row r="28045">
      <c r="A28045" s="17"/>
      <c r="H28045" s="18"/>
      <c r="K28045" s="18" t="s">
        <v>316</v>
      </c>
    </row>
    <row r="28046">
      <c r="A28046" s="17"/>
      <c r="H28046" s="18"/>
      <c r="K28046" s="18" t="s">
        <v>316</v>
      </c>
    </row>
    <row r="28047">
      <c r="A28047" s="17"/>
      <c r="H28047" s="18"/>
      <c r="K28047" s="18" t="s">
        <v>316</v>
      </c>
    </row>
    <row r="28048">
      <c r="A28048" s="17"/>
      <c r="H28048" s="18"/>
      <c r="K28048" s="18" t="s">
        <v>316</v>
      </c>
    </row>
    <row r="28049">
      <c r="A28049" s="17"/>
      <c r="H28049" s="18"/>
      <c r="K28049" s="18" t="s">
        <v>316</v>
      </c>
    </row>
    <row r="28050">
      <c r="A28050" s="17"/>
      <c r="H28050" s="18"/>
      <c r="K28050" s="18" t="s">
        <v>316</v>
      </c>
    </row>
    <row r="28051">
      <c r="A28051" s="17"/>
      <c r="H28051" s="18"/>
      <c r="K28051" s="18" t="s">
        <v>316</v>
      </c>
    </row>
    <row r="28052">
      <c r="A28052" s="17"/>
      <c r="H28052" s="18"/>
      <c r="K28052" s="18" t="s">
        <v>316</v>
      </c>
    </row>
    <row r="28053">
      <c r="A28053" s="17"/>
      <c r="H28053" s="18"/>
      <c r="K28053" s="18" t="s">
        <v>316</v>
      </c>
    </row>
    <row r="28054">
      <c r="A28054" s="17"/>
      <c r="H28054" s="18"/>
      <c r="K28054" s="18" t="s">
        <v>316</v>
      </c>
    </row>
    <row r="28055">
      <c r="A28055" s="17"/>
      <c r="H28055" s="18"/>
      <c r="K28055" s="18" t="s">
        <v>316</v>
      </c>
    </row>
    <row r="28056">
      <c r="A28056" s="17"/>
      <c r="H28056" s="18"/>
      <c r="K28056" s="18" t="s">
        <v>316</v>
      </c>
    </row>
    <row r="28057">
      <c r="A28057" s="17"/>
      <c r="H28057" s="18"/>
      <c r="K28057" s="18" t="s">
        <v>316</v>
      </c>
    </row>
    <row r="28058">
      <c r="A28058" s="17"/>
      <c r="H28058" s="18"/>
      <c r="K28058" s="18" t="s">
        <v>316</v>
      </c>
    </row>
    <row r="28059">
      <c r="A28059" s="17"/>
      <c r="H28059" s="18"/>
      <c r="K28059" s="18" t="s">
        <v>316</v>
      </c>
    </row>
    <row r="28060">
      <c r="A28060" s="17"/>
      <c r="H28060" s="18"/>
      <c r="K28060" s="18" t="s">
        <v>316</v>
      </c>
    </row>
    <row r="28061">
      <c r="A28061" s="17"/>
      <c r="H28061" s="18"/>
      <c r="K28061" s="18" t="s">
        <v>316</v>
      </c>
    </row>
    <row r="28062">
      <c r="A28062" s="17"/>
      <c r="H28062" s="18"/>
      <c r="K28062" s="18" t="s">
        <v>316</v>
      </c>
    </row>
    <row r="28063">
      <c r="A28063" s="17"/>
      <c r="H28063" s="18"/>
      <c r="K28063" s="18" t="s">
        <v>316</v>
      </c>
    </row>
    <row r="28064">
      <c r="A28064" s="17"/>
      <c r="H28064" s="18"/>
      <c r="K28064" s="18" t="s">
        <v>316</v>
      </c>
    </row>
    <row r="28065">
      <c r="A28065" s="17"/>
      <c r="H28065" s="18"/>
      <c r="K28065" s="18" t="s">
        <v>316</v>
      </c>
    </row>
    <row r="28066">
      <c r="A28066" s="17"/>
      <c r="H28066" s="18"/>
      <c r="K28066" s="18" t="s">
        <v>316</v>
      </c>
    </row>
    <row r="28067">
      <c r="A28067" s="17"/>
      <c r="H28067" s="18"/>
      <c r="K28067" s="18" t="s">
        <v>316</v>
      </c>
    </row>
    <row r="28068">
      <c r="A28068" s="17"/>
      <c r="H28068" s="18"/>
      <c r="K28068" s="18" t="s">
        <v>316</v>
      </c>
    </row>
    <row r="28069">
      <c r="A28069" s="17"/>
      <c r="H28069" s="18"/>
      <c r="K28069" s="18" t="s">
        <v>316</v>
      </c>
    </row>
    <row r="28070">
      <c r="A28070" s="17"/>
      <c r="H28070" s="18"/>
      <c r="K28070" s="18" t="s">
        <v>316</v>
      </c>
    </row>
    <row r="28071">
      <c r="A28071" s="17"/>
      <c r="H28071" s="18"/>
      <c r="K28071" s="18" t="s">
        <v>316</v>
      </c>
    </row>
    <row r="28072">
      <c r="A28072" s="17"/>
      <c r="H28072" s="18"/>
      <c r="K28072" s="18" t="s">
        <v>316</v>
      </c>
    </row>
    <row r="28073">
      <c r="A28073" s="17"/>
      <c r="H28073" s="18"/>
      <c r="K28073" s="18" t="s">
        <v>316</v>
      </c>
    </row>
    <row r="28074">
      <c r="A28074" s="17"/>
      <c r="H28074" s="18"/>
      <c r="K28074" s="18" t="s">
        <v>316</v>
      </c>
    </row>
    <row r="28075">
      <c r="A28075" s="17"/>
      <c r="H28075" s="18"/>
      <c r="K28075" s="18" t="s">
        <v>316</v>
      </c>
    </row>
    <row r="28076">
      <c r="A28076" s="17"/>
      <c r="H28076" s="18"/>
      <c r="K28076" s="18" t="s">
        <v>316</v>
      </c>
    </row>
    <row r="28077">
      <c r="A28077" s="17"/>
      <c r="H28077" s="18"/>
      <c r="K28077" s="18" t="s">
        <v>316</v>
      </c>
    </row>
    <row r="28078">
      <c r="A28078" s="17"/>
      <c r="H28078" s="18"/>
      <c r="K28078" s="18" t="s">
        <v>316</v>
      </c>
    </row>
    <row r="28079">
      <c r="A28079" s="17"/>
      <c r="H28079" s="18"/>
      <c r="K28079" s="18" t="s">
        <v>316</v>
      </c>
    </row>
    <row r="28080">
      <c r="A28080" s="17"/>
      <c r="H28080" s="18"/>
      <c r="K28080" s="18" t="s">
        <v>316</v>
      </c>
    </row>
    <row r="28081">
      <c r="A28081" s="17"/>
      <c r="H28081" s="18"/>
      <c r="K28081" s="18" t="s">
        <v>316</v>
      </c>
    </row>
    <row r="28082">
      <c r="A28082" s="17"/>
      <c r="H28082" s="18"/>
      <c r="K28082" s="18" t="s">
        <v>316</v>
      </c>
    </row>
    <row r="28083">
      <c r="A28083" s="17"/>
      <c r="H28083" s="18"/>
      <c r="K28083" s="18" t="s">
        <v>316</v>
      </c>
    </row>
    <row r="28084">
      <c r="A28084" s="17"/>
      <c r="H28084" s="18"/>
      <c r="K28084" s="18" t="s">
        <v>316</v>
      </c>
    </row>
    <row r="28085">
      <c r="A28085" s="17"/>
      <c r="H28085" s="18"/>
      <c r="K28085" s="18" t="s">
        <v>316</v>
      </c>
    </row>
    <row r="28086">
      <c r="A28086" s="17"/>
      <c r="H28086" s="18"/>
      <c r="K28086" s="18" t="s">
        <v>316</v>
      </c>
    </row>
    <row r="28087">
      <c r="A28087" s="17"/>
      <c r="H28087" s="18"/>
      <c r="K28087" s="18" t="s">
        <v>316</v>
      </c>
    </row>
    <row r="28088">
      <c r="A28088" s="17"/>
      <c r="H28088" s="18"/>
      <c r="K28088" s="18" t="s">
        <v>316</v>
      </c>
    </row>
    <row r="28089">
      <c r="A28089" s="17"/>
      <c r="H28089" s="18"/>
      <c r="K28089" s="18" t="s">
        <v>316</v>
      </c>
    </row>
    <row r="28090">
      <c r="A28090" s="17"/>
      <c r="H28090" s="18"/>
      <c r="K28090" s="18" t="s">
        <v>316</v>
      </c>
    </row>
    <row r="28091">
      <c r="A28091" s="17"/>
      <c r="H28091" s="18"/>
      <c r="K28091" s="18" t="s">
        <v>316</v>
      </c>
    </row>
    <row r="28092">
      <c r="A28092" s="17"/>
      <c r="H28092" s="18"/>
      <c r="K28092" s="18" t="s">
        <v>316</v>
      </c>
    </row>
    <row r="28093">
      <c r="A28093" s="17"/>
      <c r="H28093" s="18"/>
      <c r="K28093" s="18" t="s">
        <v>316</v>
      </c>
    </row>
    <row r="28094">
      <c r="A28094" s="17"/>
      <c r="H28094" s="18"/>
      <c r="K28094" s="18" t="s">
        <v>316</v>
      </c>
    </row>
    <row r="28095">
      <c r="A28095" s="17"/>
      <c r="H28095" s="18"/>
      <c r="K28095" s="18" t="s">
        <v>316</v>
      </c>
    </row>
    <row r="28096">
      <c r="A28096" s="17"/>
      <c r="H28096" s="18"/>
      <c r="K28096" s="18" t="s">
        <v>316</v>
      </c>
    </row>
    <row r="28097">
      <c r="A28097" s="17"/>
      <c r="H28097" s="18"/>
      <c r="K28097" s="18" t="s">
        <v>316</v>
      </c>
    </row>
    <row r="28098">
      <c r="A28098" s="17"/>
      <c r="H28098" s="18"/>
      <c r="K28098" s="18" t="s">
        <v>316</v>
      </c>
    </row>
    <row r="28099">
      <c r="A28099" s="17"/>
      <c r="H28099" s="18"/>
      <c r="K28099" s="18" t="s">
        <v>316</v>
      </c>
    </row>
    <row r="28100">
      <c r="A28100" s="17"/>
      <c r="H28100" s="18"/>
      <c r="K28100" s="18" t="s">
        <v>316</v>
      </c>
    </row>
    <row r="28101">
      <c r="A28101" s="17"/>
      <c r="H28101" s="18"/>
      <c r="K28101" s="18" t="s">
        <v>316</v>
      </c>
    </row>
    <row r="28102">
      <c r="A28102" s="17"/>
      <c r="H28102" s="18"/>
      <c r="K28102" s="18" t="s">
        <v>316</v>
      </c>
    </row>
    <row r="28103">
      <c r="A28103" s="17"/>
      <c r="H28103" s="18"/>
      <c r="K28103" s="18" t="s">
        <v>316</v>
      </c>
    </row>
    <row r="28104">
      <c r="A28104" s="17"/>
      <c r="H28104" s="18"/>
      <c r="K28104" s="18" t="s">
        <v>316</v>
      </c>
    </row>
    <row r="28105">
      <c r="A28105" s="17"/>
      <c r="H28105" s="18"/>
      <c r="K28105" s="18" t="s">
        <v>316</v>
      </c>
    </row>
    <row r="28106">
      <c r="A28106" s="17"/>
      <c r="H28106" s="18"/>
      <c r="K28106" s="18" t="s">
        <v>316</v>
      </c>
    </row>
    <row r="28107">
      <c r="A28107" s="17"/>
      <c r="H28107" s="18"/>
      <c r="K28107" s="18" t="s">
        <v>316</v>
      </c>
    </row>
    <row r="28108">
      <c r="A28108" s="17"/>
      <c r="H28108" s="18"/>
      <c r="K28108" s="18" t="s">
        <v>316</v>
      </c>
    </row>
    <row r="28109">
      <c r="A28109" s="17"/>
      <c r="H28109" s="18"/>
      <c r="K28109" s="18" t="s">
        <v>316</v>
      </c>
    </row>
    <row r="28110">
      <c r="A28110" s="17"/>
      <c r="H28110" s="18"/>
      <c r="K28110" s="18" t="s">
        <v>316</v>
      </c>
    </row>
    <row r="28111">
      <c r="A28111" s="17"/>
      <c r="H28111" s="18"/>
      <c r="K28111" s="18" t="s">
        <v>316</v>
      </c>
    </row>
    <row r="28112">
      <c r="A28112" s="17"/>
      <c r="H28112" s="18"/>
      <c r="K28112" s="18" t="s">
        <v>316</v>
      </c>
    </row>
    <row r="28113">
      <c r="A28113" s="17"/>
      <c r="H28113" s="18"/>
      <c r="K28113" s="18" t="s">
        <v>316</v>
      </c>
    </row>
    <row r="28114">
      <c r="A28114" s="17"/>
      <c r="H28114" s="18"/>
      <c r="K28114" s="18" t="s">
        <v>316</v>
      </c>
    </row>
    <row r="28115">
      <c r="A28115" s="17"/>
      <c r="H28115" s="18"/>
      <c r="K28115" s="18" t="s">
        <v>316</v>
      </c>
    </row>
    <row r="28116">
      <c r="A28116" s="17"/>
      <c r="H28116" s="18"/>
      <c r="K28116" s="18" t="s">
        <v>316</v>
      </c>
    </row>
    <row r="28117">
      <c r="A28117" s="17"/>
      <c r="H28117" s="18"/>
      <c r="K28117" s="18" t="s">
        <v>316</v>
      </c>
    </row>
    <row r="28118">
      <c r="A28118" s="17"/>
      <c r="H28118" s="18"/>
      <c r="K28118" s="18" t="s">
        <v>316</v>
      </c>
    </row>
    <row r="28119">
      <c r="A28119" s="17"/>
      <c r="H28119" s="18"/>
      <c r="K28119" s="18" t="s">
        <v>316</v>
      </c>
    </row>
    <row r="28120">
      <c r="A28120" s="17"/>
      <c r="H28120" s="18"/>
      <c r="K28120" s="18" t="s">
        <v>316</v>
      </c>
    </row>
    <row r="28121">
      <c r="A28121" s="17"/>
      <c r="H28121" s="18"/>
      <c r="K28121" s="18" t="s">
        <v>316</v>
      </c>
    </row>
    <row r="28122">
      <c r="A28122" s="17"/>
      <c r="H28122" s="18"/>
      <c r="K28122" s="18" t="s">
        <v>316</v>
      </c>
    </row>
    <row r="28123">
      <c r="A28123" s="17"/>
      <c r="H28123" s="18"/>
      <c r="K28123" s="18" t="s">
        <v>316</v>
      </c>
    </row>
    <row r="28124">
      <c r="A28124" s="17"/>
      <c r="H28124" s="18"/>
      <c r="K28124" s="18" t="s">
        <v>316</v>
      </c>
    </row>
    <row r="28125">
      <c r="A28125" s="17"/>
      <c r="H28125" s="18"/>
      <c r="K28125" s="18" t="s">
        <v>316</v>
      </c>
    </row>
    <row r="28126">
      <c r="A28126" s="17"/>
      <c r="H28126" s="18"/>
      <c r="K28126" s="18" t="s">
        <v>316</v>
      </c>
    </row>
    <row r="28127">
      <c r="A28127" s="17"/>
      <c r="H28127" s="18"/>
      <c r="K28127" s="18" t="s">
        <v>316</v>
      </c>
    </row>
    <row r="28128">
      <c r="A28128" s="17"/>
      <c r="H28128" s="18"/>
      <c r="K28128" s="18" t="s">
        <v>316</v>
      </c>
    </row>
    <row r="28129">
      <c r="A28129" s="17"/>
      <c r="H28129" s="18"/>
      <c r="K28129" s="18" t="s">
        <v>316</v>
      </c>
    </row>
    <row r="28130">
      <c r="A28130" s="17"/>
      <c r="H28130" s="18"/>
      <c r="K28130" s="18" t="s">
        <v>316</v>
      </c>
    </row>
    <row r="28131">
      <c r="A28131" s="17"/>
      <c r="H28131" s="18"/>
      <c r="K28131" s="18" t="s">
        <v>316</v>
      </c>
    </row>
    <row r="28132">
      <c r="A28132" s="17"/>
      <c r="H28132" s="18"/>
      <c r="K28132" s="18" t="s">
        <v>316</v>
      </c>
    </row>
    <row r="28133">
      <c r="A28133" s="17"/>
      <c r="H28133" s="18"/>
      <c r="K28133" s="18" t="s">
        <v>316</v>
      </c>
    </row>
    <row r="28134">
      <c r="A28134" s="17"/>
      <c r="H28134" s="18"/>
      <c r="K28134" s="18" t="s">
        <v>316</v>
      </c>
    </row>
    <row r="28135">
      <c r="A28135" s="17"/>
      <c r="H28135" s="18"/>
      <c r="K28135" s="18" t="s">
        <v>316</v>
      </c>
    </row>
    <row r="28136">
      <c r="A28136" s="17"/>
      <c r="H28136" s="18"/>
      <c r="K28136" s="18" t="s">
        <v>316</v>
      </c>
    </row>
    <row r="28137">
      <c r="A28137" s="17"/>
      <c r="H28137" s="18"/>
      <c r="K28137" s="18" t="s">
        <v>316</v>
      </c>
    </row>
    <row r="28138">
      <c r="A28138" s="17"/>
      <c r="H28138" s="18"/>
      <c r="K28138" s="18" t="s">
        <v>316</v>
      </c>
    </row>
    <row r="28139">
      <c r="A28139" s="17"/>
      <c r="H28139" s="18"/>
      <c r="K28139" s="18" t="s">
        <v>316</v>
      </c>
    </row>
    <row r="28140">
      <c r="A28140" s="17"/>
      <c r="H28140" s="18"/>
      <c r="K28140" s="18" t="s">
        <v>316</v>
      </c>
    </row>
    <row r="28141">
      <c r="A28141" s="17"/>
      <c r="H28141" s="18"/>
      <c r="K28141" s="18" t="s">
        <v>316</v>
      </c>
    </row>
    <row r="28142">
      <c r="A28142" s="17"/>
      <c r="H28142" s="18"/>
      <c r="K28142" s="18" t="s">
        <v>316</v>
      </c>
    </row>
    <row r="28143">
      <c r="A28143" s="17"/>
      <c r="H28143" s="18"/>
      <c r="K28143" s="18" t="s">
        <v>316</v>
      </c>
    </row>
    <row r="28144">
      <c r="A28144" s="17"/>
      <c r="H28144" s="18"/>
      <c r="K28144" s="18" t="s">
        <v>316</v>
      </c>
    </row>
    <row r="28145">
      <c r="A28145" s="17"/>
      <c r="H28145" s="18"/>
      <c r="K28145" s="18" t="s">
        <v>316</v>
      </c>
    </row>
    <row r="28146">
      <c r="A28146" s="17"/>
      <c r="H28146" s="18"/>
      <c r="K28146" s="18" t="s">
        <v>316</v>
      </c>
    </row>
    <row r="28147">
      <c r="A28147" s="17"/>
      <c r="H28147" s="18"/>
      <c r="K28147" s="18" t="s">
        <v>316</v>
      </c>
    </row>
    <row r="28148">
      <c r="A28148" s="17"/>
      <c r="H28148" s="18"/>
      <c r="K28148" s="18" t="s">
        <v>316</v>
      </c>
    </row>
    <row r="28149">
      <c r="A28149" s="17"/>
      <c r="H28149" s="18"/>
      <c r="K28149" s="18" t="s">
        <v>316</v>
      </c>
    </row>
    <row r="28150">
      <c r="A28150" s="17"/>
      <c r="H28150" s="18"/>
      <c r="K28150" s="18" t="s">
        <v>316</v>
      </c>
    </row>
    <row r="28151">
      <c r="A28151" s="17"/>
      <c r="H28151" s="18"/>
      <c r="K28151" s="18" t="s">
        <v>316</v>
      </c>
    </row>
    <row r="28152">
      <c r="A28152" s="17"/>
      <c r="H28152" s="18"/>
      <c r="K28152" s="18" t="s">
        <v>316</v>
      </c>
    </row>
    <row r="28153">
      <c r="A28153" s="17"/>
      <c r="H28153" s="18"/>
      <c r="K28153" s="18" t="s">
        <v>316</v>
      </c>
    </row>
    <row r="28154">
      <c r="A28154" s="17"/>
      <c r="H28154" s="18"/>
      <c r="K28154" s="18" t="s">
        <v>316</v>
      </c>
    </row>
    <row r="28155">
      <c r="A28155" s="17"/>
      <c r="H28155" s="18"/>
      <c r="K28155" s="18" t="s">
        <v>316</v>
      </c>
    </row>
    <row r="28156">
      <c r="A28156" s="17"/>
      <c r="H28156" s="18"/>
      <c r="K28156" s="18" t="s">
        <v>316</v>
      </c>
    </row>
    <row r="28157">
      <c r="A28157" s="17"/>
      <c r="H28157" s="18"/>
      <c r="K28157" s="18" t="s">
        <v>316</v>
      </c>
    </row>
    <row r="28158">
      <c r="A28158" s="17"/>
      <c r="H28158" s="18"/>
      <c r="K28158" s="18" t="s">
        <v>316</v>
      </c>
    </row>
    <row r="28159">
      <c r="A28159" s="17"/>
      <c r="H28159" s="18"/>
      <c r="K28159" s="18" t="s">
        <v>316</v>
      </c>
    </row>
    <row r="28160">
      <c r="A28160" s="17"/>
      <c r="H28160" s="18"/>
      <c r="K28160" s="18" t="s">
        <v>316</v>
      </c>
    </row>
    <row r="28161">
      <c r="A28161" s="17"/>
      <c r="H28161" s="18"/>
      <c r="K28161" s="18" t="s">
        <v>316</v>
      </c>
    </row>
    <row r="28162">
      <c r="A28162" s="17"/>
      <c r="H28162" s="18"/>
      <c r="K28162" s="18" t="s">
        <v>316</v>
      </c>
    </row>
    <row r="28163">
      <c r="A28163" s="17"/>
      <c r="H28163" s="18"/>
      <c r="K28163" s="18" t="s">
        <v>316</v>
      </c>
    </row>
    <row r="28164">
      <c r="A28164" s="17"/>
      <c r="H28164" s="18"/>
      <c r="K28164" s="18" t="s">
        <v>316</v>
      </c>
    </row>
    <row r="28165">
      <c r="A28165" s="17"/>
      <c r="H28165" s="18"/>
      <c r="K28165" s="18" t="s">
        <v>316</v>
      </c>
    </row>
    <row r="28166">
      <c r="A28166" s="17"/>
      <c r="H28166" s="18"/>
      <c r="K28166" s="18" t="s">
        <v>316</v>
      </c>
    </row>
    <row r="28167">
      <c r="A28167" s="17"/>
      <c r="H28167" s="18"/>
      <c r="K28167" s="18" t="s">
        <v>316</v>
      </c>
    </row>
    <row r="28168">
      <c r="A28168" s="17"/>
      <c r="H28168" s="18"/>
      <c r="K28168" s="18" t="s">
        <v>316</v>
      </c>
    </row>
    <row r="28169">
      <c r="A28169" s="17"/>
      <c r="H28169" s="18"/>
      <c r="K28169" s="18" t="s">
        <v>316</v>
      </c>
    </row>
    <row r="28170">
      <c r="A28170" s="17"/>
      <c r="H28170" s="18"/>
      <c r="K28170" s="18" t="s">
        <v>316</v>
      </c>
    </row>
    <row r="28171">
      <c r="A28171" s="17"/>
      <c r="H28171" s="18"/>
      <c r="K28171" s="18" t="s">
        <v>316</v>
      </c>
    </row>
    <row r="28172">
      <c r="A28172" s="17"/>
      <c r="H28172" s="18"/>
      <c r="K28172" s="18" t="s">
        <v>316</v>
      </c>
    </row>
    <row r="28173">
      <c r="A28173" s="17"/>
      <c r="H28173" s="18"/>
      <c r="K28173" s="18" t="s">
        <v>316</v>
      </c>
    </row>
    <row r="28174">
      <c r="A28174" s="17"/>
      <c r="H28174" s="18"/>
      <c r="K28174" s="18" t="s">
        <v>316</v>
      </c>
    </row>
    <row r="28175">
      <c r="A28175" s="17"/>
      <c r="H28175" s="18"/>
      <c r="K28175" s="18" t="s">
        <v>316</v>
      </c>
    </row>
    <row r="28176">
      <c r="A28176" s="17"/>
      <c r="H28176" s="18"/>
      <c r="K28176" s="18" t="s">
        <v>316</v>
      </c>
    </row>
    <row r="28177">
      <c r="A28177" s="17"/>
      <c r="H28177" s="18"/>
      <c r="K28177" s="18" t="s">
        <v>316</v>
      </c>
    </row>
    <row r="28178">
      <c r="A28178" s="17"/>
      <c r="H28178" s="18"/>
      <c r="K28178" s="18" t="s">
        <v>316</v>
      </c>
    </row>
    <row r="28179">
      <c r="A28179" s="17"/>
      <c r="H28179" s="18"/>
      <c r="K28179" s="18" t="s">
        <v>316</v>
      </c>
    </row>
    <row r="28180">
      <c r="A28180" s="17"/>
      <c r="H28180" s="18"/>
      <c r="K28180" s="18" t="s">
        <v>316</v>
      </c>
    </row>
    <row r="28181">
      <c r="A28181" s="17"/>
      <c r="H28181" s="18"/>
      <c r="K28181" s="18" t="s">
        <v>316</v>
      </c>
    </row>
    <row r="28182">
      <c r="A28182" s="17"/>
      <c r="H28182" s="18"/>
      <c r="K28182" s="18" t="s">
        <v>316</v>
      </c>
    </row>
    <row r="28183">
      <c r="A28183" s="17"/>
      <c r="H28183" s="18"/>
      <c r="K28183" s="18" t="s">
        <v>316</v>
      </c>
    </row>
    <row r="28184">
      <c r="A28184" s="17"/>
      <c r="H28184" s="18"/>
      <c r="K28184" s="18" t="s">
        <v>316</v>
      </c>
    </row>
    <row r="28185">
      <c r="A28185" s="17"/>
      <c r="H28185" s="18"/>
      <c r="K28185" s="18" t="s">
        <v>316</v>
      </c>
    </row>
    <row r="28186">
      <c r="A28186" s="17"/>
      <c r="H28186" s="18"/>
      <c r="K28186" s="18" t="s">
        <v>316</v>
      </c>
    </row>
    <row r="28187">
      <c r="A28187" s="17"/>
      <c r="H28187" s="18"/>
      <c r="K28187" s="18" t="s">
        <v>316</v>
      </c>
    </row>
    <row r="28188">
      <c r="A28188" s="17"/>
      <c r="H28188" s="18"/>
      <c r="K28188" s="18" t="s">
        <v>316</v>
      </c>
    </row>
    <row r="28189">
      <c r="A28189" s="17"/>
      <c r="H28189" s="18"/>
      <c r="K28189" s="18" t="s">
        <v>316</v>
      </c>
    </row>
    <row r="28190">
      <c r="A28190" s="17"/>
      <c r="H28190" s="18"/>
      <c r="K28190" s="18" t="s">
        <v>316</v>
      </c>
    </row>
    <row r="28191">
      <c r="A28191" s="17"/>
      <c r="H28191" s="18"/>
      <c r="K28191" s="18" t="s">
        <v>316</v>
      </c>
    </row>
    <row r="28192">
      <c r="A28192" s="17"/>
      <c r="H28192" s="18"/>
      <c r="K28192" s="18" t="s">
        <v>316</v>
      </c>
    </row>
    <row r="28193">
      <c r="A28193" s="17"/>
      <c r="H28193" s="18"/>
      <c r="K28193" s="18" t="s">
        <v>316</v>
      </c>
    </row>
    <row r="28194">
      <c r="A28194" s="17"/>
      <c r="H28194" s="18"/>
      <c r="K28194" s="18" t="s">
        <v>316</v>
      </c>
    </row>
    <row r="28195">
      <c r="A28195" s="17"/>
      <c r="H28195" s="18"/>
      <c r="K28195" s="18" t="s">
        <v>316</v>
      </c>
    </row>
    <row r="28196">
      <c r="A28196" s="17"/>
      <c r="H28196" s="18"/>
      <c r="K28196" s="18" t="s">
        <v>316</v>
      </c>
    </row>
    <row r="28197">
      <c r="A28197" s="17"/>
      <c r="H28197" s="18"/>
      <c r="K28197" s="18" t="s">
        <v>316</v>
      </c>
    </row>
    <row r="28198">
      <c r="A28198" s="17"/>
      <c r="H28198" s="18"/>
      <c r="K28198" s="18" t="s">
        <v>316</v>
      </c>
    </row>
    <row r="28199">
      <c r="A28199" s="17"/>
      <c r="H28199" s="18"/>
      <c r="K28199" s="18" t="s">
        <v>316</v>
      </c>
    </row>
    <row r="28200">
      <c r="A28200" s="17"/>
      <c r="H28200" s="18"/>
      <c r="K28200" s="18" t="s">
        <v>316</v>
      </c>
    </row>
    <row r="28201">
      <c r="A28201" s="17"/>
      <c r="H28201" s="18"/>
      <c r="K28201" s="18" t="s">
        <v>316</v>
      </c>
    </row>
    <row r="28202">
      <c r="A28202" s="17"/>
      <c r="H28202" s="18"/>
      <c r="K28202" s="18" t="s">
        <v>316</v>
      </c>
    </row>
    <row r="28203">
      <c r="A28203" s="17"/>
      <c r="H28203" s="18"/>
      <c r="K28203" s="18" t="s">
        <v>316</v>
      </c>
    </row>
    <row r="28204">
      <c r="A28204" s="17"/>
      <c r="H28204" s="18"/>
      <c r="K28204" s="18" t="s">
        <v>316</v>
      </c>
    </row>
    <row r="28205">
      <c r="A28205" s="17"/>
      <c r="H28205" s="18"/>
      <c r="K28205" s="18" t="s">
        <v>316</v>
      </c>
    </row>
    <row r="28206">
      <c r="A28206" s="17"/>
      <c r="H28206" s="18"/>
      <c r="K28206" s="18" t="s">
        <v>316</v>
      </c>
    </row>
    <row r="28207">
      <c r="A28207" s="17"/>
      <c r="H28207" s="18"/>
      <c r="K28207" s="18" t="s">
        <v>316</v>
      </c>
    </row>
    <row r="28208">
      <c r="A28208" s="17"/>
      <c r="H28208" s="18"/>
      <c r="K28208" s="18" t="s">
        <v>316</v>
      </c>
    </row>
    <row r="28209">
      <c r="A28209" s="17"/>
      <c r="H28209" s="18"/>
      <c r="K28209" s="18" t="s">
        <v>316</v>
      </c>
    </row>
    <row r="28210">
      <c r="A28210" s="17"/>
      <c r="H28210" s="18"/>
      <c r="K28210" s="18" t="s">
        <v>316</v>
      </c>
    </row>
    <row r="28211">
      <c r="A28211" s="17"/>
      <c r="H28211" s="18"/>
      <c r="K28211" s="18" t="s">
        <v>316</v>
      </c>
    </row>
    <row r="28212">
      <c r="A28212" s="17"/>
      <c r="H28212" s="18"/>
      <c r="K28212" s="18" t="s">
        <v>316</v>
      </c>
    </row>
    <row r="28213">
      <c r="A28213" s="17"/>
      <c r="H28213" s="18"/>
      <c r="K28213" s="18" t="s">
        <v>316</v>
      </c>
    </row>
    <row r="28214">
      <c r="A28214" s="17"/>
      <c r="H28214" s="18"/>
      <c r="K28214" s="18" t="s">
        <v>316</v>
      </c>
    </row>
    <row r="28215">
      <c r="A28215" s="17"/>
      <c r="H28215" s="18"/>
      <c r="K28215" s="18" t="s">
        <v>316</v>
      </c>
    </row>
    <row r="28216">
      <c r="A28216" s="17"/>
      <c r="H28216" s="18"/>
      <c r="K28216" s="18" t="s">
        <v>316</v>
      </c>
    </row>
    <row r="28217">
      <c r="A28217" s="17"/>
      <c r="H28217" s="18"/>
      <c r="K28217" s="18" t="s">
        <v>316</v>
      </c>
    </row>
    <row r="28218">
      <c r="A28218" s="17"/>
      <c r="H28218" s="18"/>
      <c r="K28218" s="18" t="s">
        <v>316</v>
      </c>
    </row>
    <row r="28219">
      <c r="A28219" s="17"/>
      <c r="H28219" s="18"/>
      <c r="K28219" s="18" t="s">
        <v>316</v>
      </c>
    </row>
    <row r="28220">
      <c r="A28220" s="17"/>
      <c r="H28220" s="18"/>
      <c r="K28220" s="18" t="s">
        <v>316</v>
      </c>
    </row>
    <row r="28221">
      <c r="A28221" s="17"/>
      <c r="H28221" s="18"/>
      <c r="K28221" s="18" t="s">
        <v>316</v>
      </c>
    </row>
    <row r="28222">
      <c r="A28222" s="17"/>
      <c r="H28222" s="18"/>
      <c r="K28222" s="18" t="s">
        <v>316</v>
      </c>
    </row>
    <row r="28223">
      <c r="A28223" s="17"/>
      <c r="H28223" s="18"/>
      <c r="K28223" s="18" t="s">
        <v>316</v>
      </c>
    </row>
    <row r="28224">
      <c r="A28224" s="17"/>
      <c r="H28224" s="18"/>
      <c r="K28224" s="18" t="s">
        <v>316</v>
      </c>
    </row>
    <row r="28225">
      <c r="A28225" s="17"/>
      <c r="H28225" s="18"/>
      <c r="K28225" s="18" t="s">
        <v>316</v>
      </c>
    </row>
    <row r="28226">
      <c r="A28226" s="17"/>
      <c r="H28226" s="18"/>
      <c r="K28226" s="18" t="s">
        <v>316</v>
      </c>
    </row>
    <row r="28227">
      <c r="A28227" s="17"/>
      <c r="H28227" s="18"/>
      <c r="K28227" s="18" t="s">
        <v>316</v>
      </c>
    </row>
    <row r="28228">
      <c r="A28228" s="17"/>
      <c r="H28228" s="18"/>
      <c r="K28228" s="18" t="s">
        <v>316</v>
      </c>
    </row>
    <row r="28229">
      <c r="A28229" s="17"/>
      <c r="H28229" s="18"/>
      <c r="K28229" s="18" t="s">
        <v>316</v>
      </c>
    </row>
    <row r="28230">
      <c r="A28230" s="17"/>
      <c r="H28230" s="18"/>
      <c r="K28230" s="18" t="s">
        <v>316</v>
      </c>
    </row>
    <row r="28231">
      <c r="A28231" s="17"/>
      <c r="H28231" s="18"/>
      <c r="K28231" s="18" t="s">
        <v>316</v>
      </c>
    </row>
    <row r="28232">
      <c r="A28232" s="17"/>
      <c r="H28232" s="18"/>
      <c r="K28232" s="18" t="s">
        <v>316</v>
      </c>
    </row>
    <row r="28233">
      <c r="A28233" s="17"/>
      <c r="H28233" s="18"/>
      <c r="K28233" s="18" t="s">
        <v>316</v>
      </c>
    </row>
    <row r="28234">
      <c r="A28234" s="17"/>
      <c r="H28234" s="18"/>
      <c r="K28234" s="18" t="s">
        <v>316</v>
      </c>
    </row>
    <row r="28235">
      <c r="A28235" s="17"/>
      <c r="H28235" s="18"/>
      <c r="K28235" s="18" t="s">
        <v>316</v>
      </c>
    </row>
    <row r="28236">
      <c r="A28236" s="17"/>
      <c r="H28236" s="18"/>
      <c r="K28236" s="18" t="s">
        <v>316</v>
      </c>
    </row>
    <row r="28237">
      <c r="A28237" s="17"/>
      <c r="H28237" s="18"/>
      <c r="K28237" s="18" t="s">
        <v>316</v>
      </c>
    </row>
    <row r="28238">
      <c r="A28238" s="17"/>
      <c r="H28238" s="18"/>
      <c r="K28238" s="18" t="s">
        <v>316</v>
      </c>
    </row>
    <row r="28239">
      <c r="A28239" s="17"/>
      <c r="H28239" s="18"/>
      <c r="K28239" s="18" t="s">
        <v>316</v>
      </c>
    </row>
    <row r="28240">
      <c r="A28240" s="17"/>
      <c r="H28240" s="18"/>
      <c r="K28240" s="18" t="s">
        <v>316</v>
      </c>
    </row>
    <row r="28241">
      <c r="A28241" s="17"/>
      <c r="H28241" s="18"/>
      <c r="K28241" s="18" t="s">
        <v>316</v>
      </c>
    </row>
    <row r="28242">
      <c r="A28242" s="17"/>
      <c r="H28242" s="18"/>
      <c r="K28242" s="18" t="s">
        <v>316</v>
      </c>
    </row>
    <row r="28243">
      <c r="A28243" s="17"/>
      <c r="H28243" s="18"/>
      <c r="K28243" s="18" t="s">
        <v>316</v>
      </c>
    </row>
    <row r="28244">
      <c r="A28244" s="17"/>
      <c r="H28244" s="18"/>
      <c r="K28244" s="18" t="s">
        <v>316</v>
      </c>
    </row>
    <row r="28245">
      <c r="A28245" s="17"/>
      <c r="H28245" s="18"/>
      <c r="K28245" s="18" t="s">
        <v>316</v>
      </c>
    </row>
    <row r="28246">
      <c r="A28246" s="17"/>
      <c r="H28246" s="18"/>
      <c r="K28246" s="18" t="s">
        <v>316</v>
      </c>
    </row>
    <row r="28247">
      <c r="A28247" s="17"/>
      <c r="H28247" s="18"/>
      <c r="K28247" s="18" t="s">
        <v>316</v>
      </c>
    </row>
    <row r="28248">
      <c r="A28248" s="17"/>
      <c r="H28248" s="18"/>
      <c r="K28248" s="18" t="s">
        <v>316</v>
      </c>
    </row>
    <row r="28249">
      <c r="A28249" s="17"/>
      <c r="H28249" s="18"/>
      <c r="K28249" s="18" t="s">
        <v>316</v>
      </c>
    </row>
    <row r="28250">
      <c r="A28250" s="17"/>
      <c r="H28250" s="18"/>
      <c r="K28250" s="18" t="s">
        <v>316</v>
      </c>
    </row>
    <row r="28251">
      <c r="A28251" s="17"/>
      <c r="H28251" s="18"/>
      <c r="K28251" s="18" t="s">
        <v>316</v>
      </c>
    </row>
    <row r="28252">
      <c r="A28252" s="17"/>
      <c r="H28252" s="18"/>
      <c r="K28252" s="18" t="s">
        <v>316</v>
      </c>
    </row>
    <row r="28253">
      <c r="A28253" s="17"/>
      <c r="H28253" s="18"/>
      <c r="K28253" s="18" t="s">
        <v>316</v>
      </c>
    </row>
    <row r="28254">
      <c r="A28254" s="17"/>
      <c r="H28254" s="18"/>
      <c r="K28254" s="18" t="s">
        <v>316</v>
      </c>
    </row>
    <row r="28255">
      <c r="A28255" s="17"/>
      <c r="H28255" s="18"/>
      <c r="K28255" s="18" t="s">
        <v>316</v>
      </c>
    </row>
    <row r="28256">
      <c r="A28256" s="17"/>
      <c r="H28256" s="18"/>
      <c r="K28256" s="18" t="s">
        <v>316</v>
      </c>
    </row>
    <row r="28257">
      <c r="A28257" s="17"/>
      <c r="H28257" s="18"/>
      <c r="K28257" s="18" t="s">
        <v>316</v>
      </c>
    </row>
    <row r="28258">
      <c r="A28258" s="17"/>
      <c r="H28258" s="18"/>
      <c r="K28258" s="18" t="s">
        <v>316</v>
      </c>
    </row>
    <row r="28259">
      <c r="A28259" s="17"/>
      <c r="H28259" s="18"/>
      <c r="K28259" s="18" t="s">
        <v>316</v>
      </c>
    </row>
    <row r="28260">
      <c r="A28260" s="17"/>
      <c r="H28260" s="18"/>
      <c r="K28260" s="18" t="s">
        <v>316</v>
      </c>
    </row>
    <row r="28261">
      <c r="A28261" s="17"/>
      <c r="H28261" s="18"/>
      <c r="K28261" s="18" t="s">
        <v>316</v>
      </c>
    </row>
    <row r="28262">
      <c r="A28262" s="17"/>
      <c r="H28262" s="18"/>
      <c r="K28262" s="18" t="s">
        <v>316</v>
      </c>
    </row>
    <row r="28263">
      <c r="A28263" s="17"/>
      <c r="H28263" s="18"/>
      <c r="K28263" s="18" t="s">
        <v>316</v>
      </c>
    </row>
    <row r="28264">
      <c r="A28264" s="17"/>
      <c r="H28264" s="18"/>
      <c r="K28264" s="18" t="s">
        <v>316</v>
      </c>
    </row>
    <row r="28265">
      <c r="A28265" s="17"/>
      <c r="H28265" s="18"/>
      <c r="K28265" s="18" t="s">
        <v>316</v>
      </c>
    </row>
    <row r="28266">
      <c r="A28266" s="17"/>
      <c r="H28266" s="18"/>
      <c r="K28266" s="18" t="s">
        <v>316</v>
      </c>
    </row>
    <row r="28267">
      <c r="A28267" s="17"/>
      <c r="H28267" s="18"/>
      <c r="K28267" s="18" t="s">
        <v>316</v>
      </c>
    </row>
    <row r="28268">
      <c r="A28268" s="17"/>
      <c r="H28268" s="18"/>
      <c r="K28268" s="18" t="s">
        <v>316</v>
      </c>
    </row>
    <row r="28269">
      <c r="A28269" s="17"/>
      <c r="H28269" s="18"/>
      <c r="K28269" s="18" t="s">
        <v>316</v>
      </c>
    </row>
    <row r="28270">
      <c r="A28270" s="17"/>
      <c r="H28270" s="18"/>
      <c r="K28270" s="18" t="s">
        <v>316</v>
      </c>
    </row>
    <row r="28271">
      <c r="A28271" s="17"/>
      <c r="H28271" s="18"/>
      <c r="K28271" s="18" t="s">
        <v>316</v>
      </c>
    </row>
    <row r="28272">
      <c r="A28272" s="17"/>
      <c r="H28272" s="18"/>
      <c r="K28272" s="18" t="s">
        <v>316</v>
      </c>
    </row>
    <row r="28273">
      <c r="A28273" s="17"/>
      <c r="H28273" s="18"/>
      <c r="K28273" s="18" t="s">
        <v>316</v>
      </c>
    </row>
    <row r="28274">
      <c r="A28274" s="17"/>
      <c r="H28274" s="18"/>
      <c r="K28274" s="18" t="s">
        <v>316</v>
      </c>
    </row>
    <row r="28275">
      <c r="A28275" s="17"/>
      <c r="H28275" s="18"/>
      <c r="K28275" s="18" t="s">
        <v>316</v>
      </c>
    </row>
    <row r="28276">
      <c r="A28276" s="17"/>
      <c r="H28276" s="18"/>
      <c r="K28276" s="18" t="s">
        <v>316</v>
      </c>
    </row>
    <row r="28277">
      <c r="A28277" s="17"/>
      <c r="H28277" s="18"/>
      <c r="K28277" s="18" t="s">
        <v>316</v>
      </c>
    </row>
    <row r="28278">
      <c r="A28278" s="17"/>
      <c r="H28278" s="18"/>
      <c r="K28278" s="18" t="s">
        <v>316</v>
      </c>
    </row>
    <row r="28279">
      <c r="A28279" s="17"/>
      <c r="H28279" s="18"/>
      <c r="K28279" s="18" t="s">
        <v>316</v>
      </c>
    </row>
    <row r="28280">
      <c r="A28280" s="17"/>
      <c r="H28280" s="18"/>
      <c r="K28280" s="18" t="s">
        <v>316</v>
      </c>
    </row>
    <row r="28281">
      <c r="A28281" s="17"/>
      <c r="H28281" s="18"/>
      <c r="K28281" s="18" t="s">
        <v>316</v>
      </c>
    </row>
    <row r="28282">
      <c r="A28282" s="17"/>
      <c r="H28282" s="18"/>
      <c r="K28282" s="18" t="s">
        <v>316</v>
      </c>
    </row>
    <row r="28283">
      <c r="A28283" s="17"/>
      <c r="H28283" s="18"/>
      <c r="K28283" s="18" t="s">
        <v>316</v>
      </c>
    </row>
    <row r="28284">
      <c r="A28284" s="17"/>
      <c r="H28284" s="18"/>
      <c r="K28284" s="18" t="s">
        <v>316</v>
      </c>
    </row>
    <row r="28285">
      <c r="A28285" s="17"/>
      <c r="H28285" s="18"/>
      <c r="K28285" s="18" t="s">
        <v>316</v>
      </c>
    </row>
    <row r="28286">
      <c r="A28286" s="17"/>
      <c r="H28286" s="18"/>
      <c r="K28286" s="18" t="s">
        <v>316</v>
      </c>
    </row>
    <row r="28287">
      <c r="A28287" s="17"/>
      <c r="H28287" s="18"/>
      <c r="K28287" s="18" t="s">
        <v>316</v>
      </c>
    </row>
    <row r="28288">
      <c r="A28288" s="17"/>
      <c r="H28288" s="18"/>
      <c r="K28288" s="18" t="s">
        <v>316</v>
      </c>
    </row>
    <row r="28289">
      <c r="A28289" s="17"/>
      <c r="H28289" s="18"/>
      <c r="K28289" s="18" t="s">
        <v>316</v>
      </c>
    </row>
    <row r="28290">
      <c r="A28290" s="17"/>
      <c r="H28290" s="18"/>
      <c r="K28290" s="18" t="s">
        <v>316</v>
      </c>
    </row>
    <row r="28291">
      <c r="A28291" s="17"/>
      <c r="H28291" s="18"/>
      <c r="K28291" s="18" t="s">
        <v>316</v>
      </c>
    </row>
    <row r="28292">
      <c r="A28292" s="17"/>
      <c r="H28292" s="18"/>
      <c r="K28292" s="18" t="s">
        <v>316</v>
      </c>
    </row>
    <row r="28293">
      <c r="A28293" s="17"/>
      <c r="H28293" s="18"/>
      <c r="K28293" s="18" t="s">
        <v>316</v>
      </c>
    </row>
    <row r="28294">
      <c r="A28294" s="17"/>
      <c r="H28294" s="18"/>
      <c r="K28294" s="18" t="s">
        <v>316</v>
      </c>
    </row>
    <row r="28295">
      <c r="A28295" s="17"/>
      <c r="H28295" s="18"/>
      <c r="K28295" s="18" t="s">
        <v>316</v>
      </c>
    </row>
    <row r="28296">
      <c r="A28296" s="17"/>
      <c r="H28296" s="18"/>
      <c r="K28296" s="18" t="s">
        <v>316</v>
      </c>
    </row>
    <row r="28297">
      <c r="A28297" s="17"/>
      <c r="H28297" s="18"/>
      <c r="K28297" s="18" t="s">
        <v>316</v>
      </c>
    </row>
    <row r="28298">
      <c r="A28298" s="17"/>
      <c r="H28298" s="18"/>
      <c r="K28298" s="18" t="s">
        <v>316</v>
      </c>
    </row>
    <row r="28299">
      <c r="A28299" s="17"/>
      <c r="H28299" s="18"/>
      <c r="K28299" s="18" t="s">
        <v>316</v>
      </c>
    </row>
    <row r="28300">
      <c r="A28300" s="17"/>
      <c r="H28300" s="18"/>
      <c r="K28300" s="18" t="s">
        <v>316</v>
      </c>
    </row>
    <row r="28301">
      <c r="A28301" s="17"/>
      <c r="H28301" s="18"/>
      <c r="K28301" s="18" t="s">
        <v>316</v>
      </c>
    </row>
    <row r="28302">
      <c r="A28302" s="17"/>
      <c r="H28302" s="18"/>
      <c r="K28302" s="18" t="s">
        <v>316</v>
      </c>
    </row>
    <row r="28303">
      <c r="A28303" s="17"/>
      <c r="H28303" s="18"/>
      <c r="K28303" s="18" t="s">
        <v>316</v>
      </c>
    </row>
    <row r="28304">
      <c r="A28304" s="17"/>
      <c r="H28304" s="18"/>
      <c r="K28304" s="18" t="s">
        <v>316</v>
      </c>
    </row>
    <row r="28305">
      <c r="A28305" s="17"/>
      <c r="H28305" s="18"/>
      <c r="K28305" s="18" t="s">
        <v>316</v>
      </c>
    </row>
    <row r="28306">
      <c r="A28306" s="17"/>
      <c r="H28306" s="18"/>
      <c r="K28306" s="18" t="s">
        <v>316</v>
      </c>
    </row>
    <row r="28307">
      <c r="A28307" s="17"/>
      <c r="H28307" s="18"/>
      <c r="K28307" s="18" t="s">
        <v>316</v>
      </c>
    </row>
    <row r="28308">
      <c r="A28308" s="17"/>
      <c r="H28308" s="18"/>
      <c r="K28308" s="18" t="s">
        <v>316</v>
      </c>
    </row>
    <row r="28309">
      <c r="A28309" s="17"/>
      <c r="H28309" s="18"/>
      <c r="K28309" s="18" t="s">
        <v>316</v>
      </c>
    </row>
    <row r="28310">
      <c r="A28310" s="17"/>
      <c r="H28310" s="18"/>
      <c r="K28310" s="18" t="s">
        <v>316</v>
      </c>
    </row>
    <row r="28311">
      <c r="A28311" s="17"/>
      <c r="H28311" s="18"/>
      <c r="K28311" s="18" t="s">
        <v>316</v>
      </c>
    </row>
    <row r="28312">
      <c r="A28312" s="17"/>
      <c r="H28312" s="18"/>
      <c r="K28312" s="18" t="s">
        <v>316</v>
      </c>
    </row>
    <row r="28313">
      <c r="A28313" s="17"/>
      <c r="H28313" s="18"/>
      <c r="K28313" s="18" t="s">
        <v>316</v>
      </c>
    </row>
    <row r="28314">
      <c r="A28314" s="17"/>
      <c r="H28314" s="18"/>
      <c r="K28314" s="18" t="s">
        <v>316</v>
      </c>
    </row>
    <row r="28315">
      <c r="A28315" s="17"/>
      <c r="H28315" s="18"/>
      <c r="K28315" s="18" t="s">
        <v>316</v>
      </c>
    </row>
    <row r="28316">
      <c r="A28316" s="17"/>
      <c r="H28316" s="18"/>
      <c r="K28316" s="18" t="s">
        <v>316</v>
      </c>
    </row>
    <row r="28317">
      <c r="A28317" s="17"/>
      <c r="H28317" s="18"/>
      <c r="K28317" s="18" t="s">
        <v>316</v>
      </c>
    </row>
    <row r="28318">
      <c r="A28318" s="17"/>
      <c r="H28318" s="18"/>
      <c r="K28318" s="18" t="s">
        <v>316</v>
      </c>
    </row>
    <row r="28319">
      <c r="A28319" s="17"/>
      <c r="H28319" s="18"/>
      <c r="K28319" s="18" t="s">
        <v>316</v>
      </c>
    </row>
    <row r="28320">
      <c r="A28320" s="17"/>
      <c r="H28320" s="18"/>
      <c r="K28320" s="18" t="s">
        <v>316</v>
      </c>
    </row>
    <row r="28321">
      <c r="A28321" s="17"/>
      <c r="H28321" s="18"/>
      <c r="K28321" s="18" t="s">
        <v>316</v>
      </c>
    </row>
    <row r="28322">
      <c r="A28322" s="17"/>
      <c r="H28322" s="18"/>
      <c r="K28322" s="18" t="s">
        <v>316</v>
      </c>
    </row>
    <row r="28323">
      <c r="A28323" s="17"/>
      <c r="H28323" s="18"/>
      <c r="K28323" s="18" t="s">
        <v>316</v>
      </c>
    </row>
    <row r="28324">
      <c r="A28324" s="17"/>
      <c r="H28324" s="18"/>
      <c r="K28324" s="18" t="s">
        <v>316</v>
      </c>
    </row>
    <row r="28325">
      <c r="A28325" s="17"/>
      <c r="H28325" s="18"/>
      <c r="K28325" s="18" t="s">
        <v>316</v>
      </c>
    </row>
    <row r="28326">
      <c r="A28326" s="17"/>
      <c r="H28326" s="18"/>
      <c r="K28326" s="18" t="s">
        <v>316</v>
      </c>
    </row>
    <row r="28327">
      <c r="A28327" s="17"/>
      <c r="H28327" s="18"/>
      <c r="K28327" s="18" t="s">
        <v>316</v>
      </c>
    </row>
    <row r="28328">
      <c r="A28328" s="17"/>
      <c r="H28328" s="18"/>
      <c r="K28328" s="18" t="s">
        <v>316</v>
      </c>
    </row>
    <row r="28329">
      <c r="A28329" s="17"/>
      <c r="H28329" s="18"/>
      <c r="K28329" s="18" t="s">
        <v>316</v>
      </c>
    </row>
    <row r="28330">
      <c r="A28330" s="17"/>
      <c r="H28330" s="18"/>
      <c r="K28330" s="18" t="s">
        <v>316</v>
      </c>
    </row>
    <row r="28331">
      <c r="A28331" s="17"/>
      <c r="H28331" s="18"/>
      <c r="K28331" s="18" t="s">
        <v>316</v>
      </c>
    </row>
    <row r="28332">
      <c r="A28332" s="17"/>
      <c r="H28332" s="18"/>
      <c r="K28332" s="18" t="s">
        <v>316</v>
      </c>
    </row>
    <row r="28333">
      <c r="A28333" s="17"/>
      <c r="H28333" s="18"/>
      <c r="K28333" s="18" t="s">
        <v>316</v>
      </c>
    </row>
    <row r="28334">
      <c r="A28334" s="17"/>
      <c r="H28334" s="18"/>
      <c r="K28334" s="18" t="s">
        <v>316</v>
      </c>
    </row>
    <row r="28335">
      <c r="A28335" s="17"/>
      <c r="H28335" s="18"/>
      <c r="K28335" s="18" t="s">
        <v>316</v>
      </c>
    </row>
    <row r="28336">
      <c r="A28336" s="17"/>
      <c r="H28336" s="18"/>
      <c r="K28336" s="18" t="s">
        <v>316</v>
      </c>
    </row>
    <row r="28337">
      <c r="A28337" s="17"/>
      <c r="H28337" s="18"/>
      <c r="K28337" s="18" t="s">
        <v>316</v>
      </c>
    </row>
    <row r="28338">
      <c r="A28338" s="17"/>
      <c r="H28338" s="18"/>
      <c r="K28338" s="18" t="s">
        <v>316</v>
      </c>
    </row>
    <row r="28339">
      <c r="A28339" s="17"/>
      <c r="H28339" s="18"/>
      <c r="K28339" s="18" t="s">
        <v>316</v>
      </c>
    </row>
    <row r="28340">
      <c r="A28340" s="17"/>
      <c r="H28340" s="18"/>
      <c r="K28340" s="18" t="s">
        <v>316</v>
      </c>
    </row>
    <row r="28341">
      <c r="A28341" s="17"/>
      <c r="H28341" s="18"/>
      <c r="K28341" s="18" t="s">
        <v>316</v>
      </c>
    </row>
    <row r="28342">
      <c r="A28342" s="17"/>
      <c r="H28342" s="18"/>
      <c r="K28342" s="18" t="s">
        <v>316</v>
      </c>
    </row>
    <row r="28343">
      <c r="A28343" s="17"/>
      <c r="H28343" s="18"/>
      <c r="K28343" s="18" t="s">
        <v>316</v>
      </c>
    </row>
    <row r="28344">
      <c r="A28344" s="17"/>
      <c r="H28344" s="18"/>
      <c r="K28344" s="18" t="s">
        <v>316</v>
      </c>
    </row>
    <row r="28345">
      <c r="A28345" s="17"/>
      <c r="H28345" s="18"/>
      <c r="K28345" s="18" t="s">
        <v>316</v>
      </c>
    </row>
    <row r="28346">
      <c r="A28346" s="17"/>
      <c r="H28346" s="18"/>
      <c r="K28346" s="18" t="s">
        <v>316</v>
      </c>
    </row>
    <row r="28347">
      <c r="A28347" s="17"/>
      <c r="H28347" s="18"/>
      <c r="K28347" s="18" t="s">
        <v>316</v>
      </c>
    </row>
    <row r="28348">
      <c r="A28348" s="17"/>
      <c r="H28348" s="18"/>
      <c r="K28348" s="18" t="s">
        <v>316</v>
      </c>
    </row>
    <row r="28349">
      <c r="A28349" s="17"/>
      <c r="H28349" s="18"/>
      <c r="K28349" s="18" t="s">
        <v>316</v>
      </c>
    </row>
    <row r="28350">
      <c r="A28350" s="17"/>
      <c r="H28350" s="18"/>
      <c r="K28350" s="18" t="s">
        <v>316</v>
      </c>
    </row>
    <row r="28351">
      <c r="A28351" s="17"/>
      <c r="H28351" s="18"/>
      <c r="K28351" s="18" t="s">
        <v>316</v>
      </c>
    </row>
    <row r="28352">
      <c r="A28352" s="17"/>
      <c r="H28352" s="18"/>
      <c r="K28352" s="18" t="s">
        <v>316</v>
      </c>
    </row>
    <row r="28353">
      <c r="A28353" s="17"/>
      <c r="H28353" s="18"/>
      <c r="K28353" s="18" t="s">
        <v>316</v>
      </c>
    </row>
    <row r="28354">
      <c r="A28354" s="17"/>
      <c r="H28354" s="18"/>
      <c r="K28354" s="18" t="s">
        <v>316</v>
      </c>
    </row>
    <row r="28355">
      <c r="A28355" s="17"/>
      <c r="H28355" s="18"/>
      <c r="K28355" s="18" t="s">
        <v>316</v>
      </c>
    </row>
    <row r="28356">
      <c r="A28356" s="17"/>
      <c r="H28356" s="18"/>
      <c r="K28356" s="18" t="s">
        <v>316</v>
      </c>
    </row>
    <row r="28357">
      <c r="A28357" s="17"/>
      <c r="H28357" s="18"/>
      <c r="K28357" s="18" t="s">
        <v>316</v>
      </c>
    </row>
    <row r="28358">
      <c r="A28358" s="17"/>
      <c r="H28358" s="18"/>
      <c r="K28358" s="18" t="s">
        <v>316</v>
      </c>
    </row>
    <row r="28359">
      <c r="A28359" s="17"/>
      <c r="H28359" s="18"/>
      <c r="K28359" s="18" t="s">
        <v>316</v>
      </c>
    </row>
    <row r="28360">
      <c r="A28360" s="17"/>
      <c r="H28360" s="18"/>
      <c r="K28360" s="18" t="s">
        <v>316</v>
      </c>
    </row>
    <row r="28361">
      <c r="A28361" s="17"/>
      <c r="H28361" s="18"/>
      <c r="K28361" s="18" t="s">
        <v>316</v>
      </c>
    </row>
    <row r="28362">
      <c r="A28362" s="17"/>
      <c r="H28362" s="18"/>
      <c r="K28362" s="18" t="s">
        <v>316</v>
      </c>
    </row>
    <row r="28363">
      <c r="A28363" s="17"/>
      <c r="H28363" s="18"/>
      <c r="K28363" s="18" t="s">
        <v>316</v>
      </c>
    </row>
    <row r="28364">
      <c r="A28364" s="17"/>
      <c r="H28364" s="18"/>
      <c r="K28364" s="18" t="s">
        <v>316</v>
      </c>
    </row>
    <row r="28365">
      <c r="A28365" s="17"/>
      <c r="H28365" s="18"/>
      <c r="K28365" s="18" t="s">
        <v>316</v>
      </c>
    </row>
    <row r="28366">
      <c r="A28366" s="17"/>
      <c r="H28366" s="18"/>
      <c r="K28366" s="18" t="s">
        <v>316</v>
      </c>
    </row>
    <row r="28367">
      <c r="A28367" s="17"/>
      <c r="H28367" s="18"/>
      <c r="K28367" s="18" t="s">
        <v>316</v>
      </c>
    </row>
    <row r="28368">
      <c r="A28368" s="17"/>
      <c r="H28368" s="18"/>
      <c r="K28368" s="18" t="s">
        <v>316</v>
      </c>
    </row>
    <row r="28369">
      <c r="A28369" s="17"/>
      <c r="H28369" s="18"/>
      <c r="K28369" s="18" t="s">
        <v>316</v>
      </c>
    </row>
    <row r="28370">
      <c r="A28370" s="17"/>
      <c r="H28370" s="18"/>
      <c r="K28370" s="18" t="s">
        <v>316</v>
      </c>
    </row>
    <row r="28371">
      <c r="A28371" s="17"/>
      <c r="H28371" s="18"/>
      <c r="K28371" s="18" t="s">
        <v>316</v>
      </c>
    </row>
    <row r="28372">
      <c r="A28372" s="17"/>
      <c r="H28372" s="18"/>
      <c r="K28372" s="18" t="s">
        <v>316</v>
      </c>
    </row>
    <row r="28373">
      <c r="A28373" s="17"/>
      <c r="H28373" s="18"/>
      <c r="K28373" s="18" t="s">
        <v>316</v>
      </c>
    </row>
    <row r="28374">
      <c r="A28374" s="17"/>
      <c r="H28374" s="18"/>
      <c r="K28374" s="18" t="s">
        <v>316</v>
      </c>
    </row>
    <row r="28375">
      <c r="A28375" s="17"/>
      <c r="H28375" s="18"/>
      <c r="K28375" s="18" t="s">
        <v>316</v>
      </c>
    </row>
    <row r="28376">
      <c r="A28376" s="17"/>
      <c r="H28376" s="18"/>
      <c r="K28376" s="18" t="s">
        <v>316</v>
      </c>
    </row>
    <row r="28377">
      <c r="A28377" s="17"/>
      <c r="H28377" s="18"/>
      <c r="K28377" s="18" t="s">
        <v>316</v>
      </c>
    </row>
    <row r="28378">
      <c r="A28378" s="17"/>
      <c r="H28378" s="18"/>
      <c r="K28378" s="18" t="s">
        <v>316</v>
      </c>
    </row>
    <row r="28379">
      <c r="A28379" s="17"/>
      <c r="H28379" s="18"/>
      <c r="K28379" s="18" t="s">
        <v>316</v>
      </c>
    </row>
    <row r="28380">
      <c r="A28380" s="17"/>
      <c r="H28380" s="18"/>
      <c r="K28380" s="18" t="s">
        <v>316</v>
      </c>
    </row>
    <row r="28381">
      <c r="A28381" s="17"/>
      <c r="H28381" s="18"/>
      <c r="K28381" s="18" t="s">
        <v>316</v>
      </c>
    </row>
    <row r="28382">
      <c r="A28382" s="17"/>
      <c r="H28382" s="18"/>
      <c r="K28382" s="18" t="s">
        <v>316</v>
      </c>
    </row>
    <row r="28383">
      <c r="A28383" s="17"/>
      <c r="H28383" s="18"/>
      <c r="K28383" s="18" t="s">
        <v>316</v>
      </c>
    </row>
    <row r="28384">
      <c r="A28384" s="17"/>
      <c r="H28384" s="18"/>
      <c r="K28384" s="18" t="s">
        <v>316</v>
      </c>
    </row>
    <row r="28385">
      <c r="A28385" s="17"/>
      <c r="H28385" s="18"/>
      <c r="K28385" s="18" t="s">
        <v>316</v>
      </c>
    </row>
    <row r="28386">
      <c r="A28386" s="17"/>
      <c r="H28386" s="18"/>
      <c r="K28386" s="18" t="s">
        <v>316</v>
      </c>
    </row>
    <row r="28387">
      <c r="A28387" s="17"/>
      <c r="H28387" s="18"/>
      <c r="K28387" s="18" t="s">
        <v>316</v>
      </c>
    </row>
    <row r="28388">
      <c r="A28388" s="17"/>
      <c r="H28388" s="18"/>
      <c r="K28388" s="18" t="s">
        <v>316</v>
      </c>
    </row>
    <row r="28389">
      <c r="A28389" s="17"/>
      <c r="H28389" s="18"/>
      <c r="K28389" s="18" t="s">
        <v>316</v>
      </c>
    </row>
    <row r="28390">
      <c r="A28390" s="17"/>
      <c r="H28390" s="18"/>
      <c r="K28390" s="18" t="s">
        <v>316</v>
      </c>
    </row>
    <row r="28391">
      <c r="A28391" s="17"/>
      <c r="H28391" s="18"/>
      <c r="K28391" s="18" t="s">
        <v>316</v>
      </c>
    </row>
    <row r="28392">
      <c r="A28392" s="17"/>
      <c r="H28392" s="18"/>
      <c r="K28392" s="18" t="s">
        <v>316</v>
      </c>
    </row>
    <row r="28393">
      <c r="A28393" s="17"/>
      <c r="H28393" s="18"/>
      <c r="K28393" s="18" t="s">
        <v>316</v>
      </c>
    </row>
    <row r="28394">
      <c r="A28394" s="17"/>
      <c r="H28394" s="18"/>
      <c r="K28394" s="18" t="s">
        <v>316</v>
      </c>
    </row>
    <row r="28395">
      <c r="A28395" s="17"/>
      <c r="H28395" s="18"/>
      <c r="K28395" s="18" t="s">
        <v>316</v>
      </c>
    </row>
    <row r="28396">
      <c r="A28396" s="17"/>
      <c r="H28396" s="18"/>
      <c r="K28396" s="18" t="s">
        <v>316</v>
      </c>
    </row>
    <row r="28397">
      <c r="A28397" s="17"/>
      <c r="H28397" s="18"/>
      <c r="K28397" s="18" t="s">
        <v>316</v>
      </c>
    </row>
    <row r="28398">
      <c r="A28398" s="17"/>
      <c r="H28398" s="18"/>
      <c r="K28398" s="18" t="s">
        <v>316</v>
      </c>
    </row>
    <row r="28399">
      <c r="A28399" s="17"/>
      <c r="H28399" s="18"/>
      <c r="K28399" s="18" t="s">
        <v>316</v>
      </c>
    </row>
    <row r="28400">
      <c r="A28400" s="17"/>
      <c r="H28400" s="18"/>
      <c r="K28400" s="18" t="s">
        <v>316</v>
      </c>
    </row>
    <row r="28401">
      <c r="A28401" s="17"/>
      <c r="H28401" s="18"/>
      <c r="K28401" s="18" t="s">
        <v>316</v>
      </c>
    </row>
    <row r="28402">
      <c r="A28402" s="17"/>
      <c r="H28402" s="18"/>
      <c r="K28402" s="18" t="s">
        <v>316</v>
      </c>
    </row>
    <row r="28403">
      <c r="A28403" s="17"/>
      <c r="H28403" s="18"/>
      <c r="K28403" s="18" t="s">
        <v>316</v>
      </c>
    </row>
    <row r="28404">
      <c r="A28404" s="17"/>
      <c r="H28404" s="18"/>
      <c r="K28404" s="18" t="s">
        <v>316</v>
      </c>
    </row>
    <row r="28405">
      <c r="A28405" s="17"/>
      <c r="H28405" s="18"/>
      <c r="K28405" s="18" t="s">
        <v>316</v>
      </c>
    </row>
    <row r="28406">
      <c r="A28406" s="17"/>
      <c r="H28406" s="18"/>
      <c r="K28406" s="18" t="s">
        <v>316</v>
      </c>
    </row>
    <row r="28407">
      <c r="A28407" s="17"/>
      <c r="H28407" s="18"/>
      <c r="K28407" s="18" t="s">
        <v>316</v>
      </c>
    </row>
    <row r="28408">
      <c r="A28408" s="17"/>
      <c r="H28408" s="18"/>
      <c r="K28408" s="18" t="s">
        <v>316</v>
      </c>
    </row>
    <row r="28409">
      <c r="A28409" s="17"/>
      <c r="H28409" s="18"/>
      <c r="K28409" s="18" t="s">
        <v>316</v>
      </c>
    </row>
    <row r="28410">
      <c r="A28410" s="17"/>
      <c r="H28410" s="18"/>
      <c r="K28410" s="18" t="s">
        <v>316</v>
      </c>
    </row>
    <row r="28411">
      <c r="A28411" s="17"/>
      <c r="H28411" s="18"/>
      <c r="K28411" s="18" t="s">
        <v>316</v>
      </c>
    </row>
    <row r="28412">
      <c r="A28412" s="17"/>
      <c r="H28412" s="18"/>
      <c r="K28412" s="18" t="s">
        <v>316</v>
      </c>
    </row>
    <row r="28413">
      <c r="A28413" s="17"/>
      <c r="H28413" s="18"/>
      <c r="K28413" s="18" t="s">
        <v>316</v>
      </c>
    </row>
    <row r="28414">
      <c r="A28414" s="17"/>
      <c r="H28414" s="18"/>
      <c r="K28414" s="18" t="s">
        <v>316</v>
      </c>
    </row>
    <row r="28415">
      <c r="A28415" s="17"/>
      <c r="H28415" s="18"/>
      <c r="K28415" s="18" t="s">
        <v>316</v>
      </c>
    </row>
    <row r="28416">
      <c r="A28416" s="17"/>
      <c r="H28416" s="18"/>
      <c r="K28416" s="18" t="s">
        <v>316</v>
      </c>
    </row>
    <row r="28417">
      <c r="A28417" s="17"/>
      <c r="H28417" s="18"/>
      <c r="K28417" s="18" t="s">
        <v>316</v>
      </c>
    </row>
    <row r="28418">
      <c r="A28418" s="17"/>
      <c r="H28418" s="18"/>
      <c r="K28418" s="18" t="s">
        <v>316</v>
      </c>
    </row>
    <row r="28419">
      <c r="A28419" s="17"/>
      <c r="H28419" s="18"/>
      <c r="K28419" s="18" t="s">
        <v>316</v>
      </c>
    </row>
    <row r="28420">
      <c r="A28420" s="17"/>
      <c r="H28420" s="18"/>
      <c r="K28420" s="18" t="s">
        <v>316</v>
      </c>
    </row>
    <row r="28421">
      <c r="A28421" s="17"/>
      <c r="H28421" s="18"/>
      <c r="K28421" s="18" t="s">
        <v>316</v>
      </c>
    </row>
    <row r="28422">
      <c r="A28422" s="17"/>
      <c r="H28422" s="18"/>
      <c r="K28422" s="18" t="s">
        <v>316</v>
      </c>
    </row>
    <row r="28423">
      <c r="A28423" s="17"/>
      <c r="H28423" s="18"/>
      <c r="K28423" s="18" t="s">
        <v>316</v>
      </c>
    </row>
    <row r="28424">
      <c r="A28424" s="17"/>
      <c r="H28424" s="18"/>
      <c r="K28424" s="18" t="s">
        <v>316</v>
      </c>
    </row>
    <row r="28425">
      <c r="A28425" s="17"/>
      <c r="H28425" s="18"/>
      <c r="K28425" s="18" t="s">
        <v>316</v>
      </c>
    </row>
    <row r="28426">
      <c r="A28426" s="17"/>
      <c r="H28426" s="18"/>
      <c r="K28426" s="18" t="s">
        <v>316</v>
      </c>
    </row>
    <row r="28427">
      <c r="A28427" s="17"/>
      <c r="H28427" s="18"/>
      <c r="K28427" s="18" t="s">
        <v>316</v>
      </c>
    </row>
    <row r="28428">
      <c r="A28428" s="17"/>
      <c r="H28428" s="18"/>
      <c r="K28428" s="18" t="s">
        <v>316</v>
      </c>
    </row>
    <row r="28429">
      <c r="A28429" s="17"/>
      <c r="H28429" s="18"/>
      <c r="K28429" s="18" t="s">
        <v>316</v>
      </c>
    </row>
    <row r="28430">
      <c r="A28430" s="17"/>
      <c r="H28430" s="18"/>
      <c r="K28430" s="18" t="s">
        <v>316</v>
      </c>
    </row>
    <row r="28431">
      <c r="A28431" s="17"/>
      <c r="H28431" s="18"/>
      <c r="K28431" s="18" t="s">
        <v>316</v>
      </c>
    </row>
    <row r="28432">
      <c r="A28432" s="17"/>
      <c r="H28432" s="18"/>
      <c r="K28432" s="18" t="s">
        <v>316</v>
      </c>
    </row>
    <row r="28433">
      <c r="A28433" s="17"/>
      <c r="H28433" s="18"/>
      <c r="K28433" s="18" t="s">
        <v>316</v>
      </c>
    </row>
    <row r="28434">
      <c r="A28434" s="17"/>
      <c r="H28434" s="18"/>
      <c r="K28434" s="18" t="s">
        <v>316</v>
      </c>
    </row>
    <row r="28435">
      <c r="A28435" s="17"/>
      <c r="H28435" s="18"/>
      <c r="K28435" s="18" t="s">
        <v>316</v>
      </c>
    </row>
    <row r="28436">
      <c r="A28436" s="17"/>
      <c r="H28436" s="18"/>
      <c r="K28436" s="18" t="s">
        <v>316</v>
      </c>
    </row>
    <row r="28437">
      <c r="A28437" s="17"/>
      <c r="H28437" s="18"/>
      <c r="K28437" s="18" t="s">
        <v>316</v>
      </c>
    </row>
    <row r="28438">
      <c r="A28438" s="17"/>
      <c r="H28438" s="18"/>
      <c r="K28438" s="18" t="s">
        <v>316</v>
      </c>
    </row>
    <row r="28439">
      <c r="A28439" s="17"/>
      <c r="H28439" s="18"/>
      <c r="K28439" s="18" t="s">
        <v>316</v>
      </c>
    </row>
    <row r="28440">
      <c r="A28440" s="17"/>
      <c r="H28440" s="18"/>
      <c r="K28440" s="18" t="s">
        <v>316</v>
      </c>
    </row>
    <row r="28441">
      <c r="A28441" s="17"/>
      <c r="H28441" s="18"/>
      <c r="K28441" s="18" t="s">
        <v>316</v>
      </c>
    </row>
    <row r="28442">
      <c r="A28442" s="17"/>
      <c r="H28442" s="18"/>
      <c r="K28442" s="18" t="s">
        <v>316</v>
      </c>
    </row>
    <row r="28443">
      <c r="A28443" s="17"/>
      <c r="H28443" s="18"/>
      <c r="K28443" s="18" t="s">
        <v>316</v>
      </c>
    </row>
    <row r="28444">
      <c r="A28444" s="17"/>
      <c r="H28444" s="18"/>
      <c r="K28444" s="18" t="s">
        <v>316</v>
      </c>
    </row>
    <row r="28445">
      <c r="A28445" s="17"/>
      <c r="H28445" s="18"/>
      <c r="K28445" s="18" t="s">
        <v>316</v>
      </c>
    </row>
    <row r="28446">
      <c r="A28446" s="17"/>
      <c r="H28446" s="18"/>
      <c r="K28446" s="18" t="s">
        <v>316</v>
      </c>
    </row>
    <row r="28447">
      <c r="A28447" s="17"/>
      <c r="H28447" s="18"/>
      <c r="K28447" s="18" t="s">
        <v>316</v>
      </c>
    </row>
    <row r="28448">
      <c r="A28448" s="17"/>
      <c r="H28448" s="18"/>
      <c r="K28448" s="18" t="s">
        <v>316</v>
      </c>
    </row>
    <row r="28449">
      <c r="A28449" s="17"/>
      <c r="H28449" s="18"/>
      <c r="K28449" s="18" t="s">
        <v>316</v>
      </c>
    </row>
    <row r="28450">
      <c r="A28450" s="17"/>
      <c r="H28450" s="18"/>
      <c r="K28450" s="18" t="s">
        <v>316</v>
      </c>
    </row>
    <row r="28451">
      <c r="A28451" s="17"/>
      <c r="H28451" s="18"/>
      <c r="K28451" s="18" t="s">
        <v>316</v>
      </c>
    </row>
    <row r="28452">
      <c r="A28452" s="17"/>
      <c r="H28452" s="18"/>
      <c r="K28452" s="18" t="s">
        <v>316</v>
      </c>
    </row>
    <row r="28453">
      <c r="A28453" s="17"/>
      <c r="H28453" s="18"/>
      <c r="K28453" s="18" t="s">
        <v>316</v>
      </c>
    </row>
    <row r="28454">
      <c r="A28454" s="17"/>
      <c r="H28454" s="18"/>
      <c r="K28454" s="18" t="s">
        <v>316</v>
      </c>
    </row>
    <row r="28455">
      <c r="A28455" s="17"/>
      <c r="H28455" s="18"/>
      <c r="K28455" s="18" t="s">
        <v>316</v>
      </c>
    </row>
    <row r="28456">
      <c r="A28456" s="17"/>
      <c r="H28456" s="18"/>
      <c r="K28456" s="18" t="s">
        <v>316</v>
      </c>
    </row>
    <row r="28457">
      <c r="A28457" s="17"/>
      <c r="H28457" s="18"/>
      <c r="K28457" s="18" t="s">
        <v>316</v>
      </c>
    </row>
    <row r="28458">
      <c r="A28458" s="17"/>
      <c r="H28458" s="18"/>
      <c r="K28458" s="18" t="s">
        <v>316</v>
      </c>
    </row>
    <row r="28459">
      <c r="A28459" s="17"/>
      <c r="H28459" s="18"/>
      <c r="K28459" s="18" t="s">
        <v>316</v>
      </c>
    </row>
    <row r="28460">
      <c r="A28460" s="17"/>
      <c r="H28460" s="18"/>
      <c r="K28460" s="18" t="s">
        <v>316</v>
      </c>
    </row>
    <row r="28461">
      <c r="A28461" s="17"/>
      <c r="H28461" s="18"/>
      <c r="K28461" s="18" t="s">
        <v>316</v>
      </c>
    </row>
    <row r="28462">
      <c r="A28462" s="17"/>
      <c r="H28462" s="18"/>
      <c r="K28462" s="18" t="s">
        <v>316</v>
      </c>
    </row>
    <row r="28463">
      <c r="A28463" s="17"/>
      <c r="H28463" s="18"/>
      <c r="K28463" s="18" t="s">
        <v>316</v>
      </c>
    </row>
    <row r="28464">
      <c r="A28464" s="17"/>
      <c r="H28464" s="18"/>
      <c r="K28464" s="18" t="s">
        <v>316</v>
      </c>
    </row>
    <row r="28465">
      <c r="A28465" s="17"/>
      <c r="H28465" s="18"/>
      <c r="K28465" s="18" t="s">
        <v>316</v>
      </c>
    </row>
    <row r="28466">
      <c r="A28466" s="17"/>
      <c r="H28466" s="18"/>
      <c r="K28466" s="18" t="s">
        <v>316</v>
      </c>
    </row>
    <row r="28467">
      <c r="A28467" s="17"/>
      <c r="H28467" s="18"/>
      <c r="K28467" s="18" t="s">
        <v>316</v>
      </c>
    </row>
    <row r="28468">
      <c r="A28468" s="17"/>
      <c r="H28468" s="18"/>
      <c r="K28468" s="18" t="s">
        <v>316</v>
      </c>
    </row>
    <row r="28469">
      <c r="A28469" s="17"/>
      <c r="H28469" s="18"/>
      <c r="K28469" s="18" t="s">
        <v>316</v>
      </c>
    </row>
    <row r="28470">
      <c r="A28470" s="17"/>
      <c r="H28470" s="18"/>
      <c r="K28470" s="18" t="s">
        <v>316</v>
      </c>
    </row>
    <row r="28471">
      <c r="A28471" s="17"/>
      <c r="H28471" s="18"/>
      <c r="K28471" s="18" t="s">
        <v>316</v>
      </c>
    </row>
    <row r="28472">
      <c r="A28472" s="17"/>
      <c r="H28472" s="18"/>
      <c r="K28472" s="18" t="s">
        <v>316</v>
      </c>
    </row>
    <row r="28473">
      <c r="A28473" s="17"/>
      <c r="H28473" s="18"/>
      <c r="K28473" s="18" t="s">
        <v>316</v>
      </c>
    </row>
    <row r="28474">
      <c r="A28474" s="17"/>
      <c r="H28474" s="18"/>
      <c r="K28474" s="18" t="s">
        <v>316</v>
      </c>
    </row>
    <row r="28475">
      <c r="A28475" s="17"/>
      <c r="H28475" s="18"/>
      <c r="K28475" s="18" t="s">
        <v>316</v>
      </c>
    </row>
    <row r="28476">
      <c r="A28476" s="17"/>
      <c r="H28476" s="18"/>
      <c r="K28476" s="18" t="s">
        <v>316</v>
      </c>
    </row>
    <row r="28477">
      <c r="A28477" s="17"/>
      <c r="H28477" s="18"/>
      <c r="K28477" s="18" t="s">
        <v>316</v>
      </c>
    </row>
    <row r="28478">
      <c r="A28478" s="17"/>
      <c r="H28478" s="18"/>
      <c r="K28478" s="18" t="s">
        <v>316</v>
      </c>
    </row>
    <row r="28479">
      <c r="A28479" s="17"/>
      <c r="H28479" s="18"/>
      <c r="K28479" s="18" t="s">
        <v>316</v>
      </c>
    </row>
    <row r="28480">
      <c r="A28480" s="17"/>
      <c r="H28480" s="18"/>
      <c r="K28480" s="18" t="s">
        <v>316</v>
      </c>
    </row>
    <row r="28481">
      <c r="A28481" s="17"/>
      <c r="H28481" s="18"/>
      <c r="K28481" s="18" t="s">
        <v>316</v>
      </c>
    </row>
    <row r="28482">
      <c r="A28482" s="17"/>
      <c r="H28482" s="18"/>
      <c r="K28482" s="18" t="s">
        <v>316</v>
      </c>
    </row>
    <row r="28483">
      <c r="A28483" s="17"/>
      <c r="H28483" s="18"/>
      <c r="K28483" s="18" t="s">
        <v>316</v>
      </c>
    </row>
    <row r="28484">
      <c r="A28484" s="17"/>
      <c r="H28484" s="18"/>
      <c r="K28484" s="18" t="s">
        <v>316</v>
      </c>
    </row>
    <row r="28485">
      <c r="A28485" s="17"/>
      <c r="H28485" s="18"/>
      <c r="K28485" s="18" t="s">
        <v>316</v>
      </c>
    </row>
    <row r="28486">
      <c r="A28486" s="17"/>
      <c r="H28486" s="18"/>
      <c r="K28486" s="18" t="s">
        <v>316</v>
      </c>
    </row>
    <row r="28487">
      <c r="A28487" s="17"/>
      <c r="H28487" s="18"/>
      <c r="K28487" s="18" t="s">
        <v>316</v>
      </c>
    </row>
    <row r="28488">
      <c r="A28488" s="17"/>
      <c r="H28488" s="18"/>
      <c r="K28488" s="18" t="s">
        <v>316</v>
      </c>
    </row>
    <row r="28489">
      <c r="A28489" s="17"/>
      <c r="H28489" s="18"/>
      <c r="K28489" s="18" t="s">
        <v>316</v>
      </c>
    </row>
    <row r="28490">
      <c r="A28490" s="17"/>
      <c r="H28490" s="18"/>
      <c r="K28490" s="18" t="s">
        <v>316</v>
      </c>
    </row>
    <row r="28491">
      <c r="A28491" s="17"/>
      <c r="H28491" s="18"/>
      <c r="K28491" s="18" t="s">
        <v>316</v>
      </c>
    </row>
    <row r="28492">
      <c r="A28492" s="17"/>
      <c r="H28492" s="18"/>
      <c r="K28492" s="18" t="s">
        <v>316</v>
      </c>
    </row>
    <row r="28493">
      <c r="A28493" s="17"/>
      <c r="H28493" s="18"/>
      <c r="K28493" s="18" t="s">
        <v>316</v>
      </c>
    </row>
    <row r="28494">
      <c r="A28494" s="17"/>
      <c r="H28494" s="18"/>
      <c r="K28494" s="18" t="s">
        <v>316</v>
      </c>
    </row>
    <row r="28495">
      <c r="A28495" s="17"/>
      <c r="H28495" s="18"/>
      <c r="K28495" s="18" t="s">
        <v>316</v>
      </c>
    </row>
    <row r="28496">
      <c r="A28496" s="17"/>
      <c r="H28496" s="18"/>
      <c r="K28496" s="18" t="s">
        <v>316</v>
      </c>
    </row>
    <row r="28497">
      <c r="A28497" s="17"/>
      <c r="H28497" s="18"/>
      <c r="K28497" s="18" t="s">
        <v>316</v>
      </c>
    </row>
    <row r="28498">
      <c r="A28498" s="17"/>
      <c r="H28498" s="18"/>
      <c r="K28498" s="18" t="s">
        <v>316</v>
      </c>
    </row>
    <row r="28499">
      <c r="A28499" s="17"/>
      <c r="H28499" s="18"/>
      <c r="K28499" s="18" t="s">
        <v>316</v>
      </c>
    </row>
    <row r="28500">
      <c r="A28500" s="17"/>
      <c r="H28500" s="18"/>
      <c r="K28500" s="18" t="s">
        <v>316</v>
      </c>
    </row>
    <row r="28501">
      <c r="A28501" s="17"/>
      <c r="H28501" s="18"/>
      <c r="K28501" s="18" t="s">
        <v>316</v>
      </c>
    </row>
    <row r="28502">
      <c r="A28502" s="17"/>
      <c r="H28502" s="18"/>
      <c r="K28502" s="18" t="s">
        <v>316</v>
      </c>
    </row>
    <row r="28503">
      <c r="A28503" s="17"/>
      <c r="H28503" s="18"/>
      <c r="K28503" s="18" t="s">
        <v>316</v>
      </c>
    </row>
    <row r="28504">
      <c r="A28504" s="17"/>
      <c r="H28504" s="18"/>
      <c r="K28504" s="18" t="s">
        <v>316</v>
      </c>
    </row>
    <row r="28505">
      <c r="A28505" s="17"/>
      <c r="H28505" s="18"/>
      <c r="K28505" s="18" t="s">
        <v>316</v>
      </c>
    </row>
    <row r="28506">
      <c r="A28506" s="17"/>
      <c r="H28506" s="18"/>
      <c r="K28506" s="18" t="s">
        <v>316</v>
      </c>
    </row>
    <row r="28507">
      <c r="A28507" s="17"/>
      <c r="H28507" s="18"/>
      <c r="K28507" s="18" t="s">
        <v>316</v>
      </c>
    </row>
    <row r="28508">
      <c r="A28508" s="17"/>
      <c r="H28508" s="18"/>
      <c r="K28508" s="18" t="s">
        <v>316</v>
      </c>
    </row>
    <row r="28509">
      <c r="A28509" s="17"/>
      <c r="H28509" s="18"/>
      <c r="K28509" s="18" t="s">
        <v>316</v>
      </c>
    </row>
    <row r="28510">
      <c r="A28510" s="17"/>
      <c r="H28510" s="18"/>
      <c r="K28510" s="18" t="s">
        <v>316</v>
      </c>
    </row>
    <row r="28511">
      <c r="A28511" s="17"/>
      <c r="H28511" s="18"/>
      <c r="K28511" s="18" t="s">
        <v>316</v>
      </c>
    </row>
    <row r="28512">
      <c r="A28512" s="17"/>
      <c r="H28512" s="18"/>
      <c r="K28512" s="18" t="s">
        <v>316</v>
      </c>
    </row>
    <row r="28513">
      <c r="A28513" s="17"/>
      <c r="H28513" s="18"/>
      <c r="K28513" s="18" t="s">
        <v>316</v>
      </c>
    </row>
    <row r="28514">
      <c r="A28514" s="17"/>
      <c r="H28514" s="18"/>
      <c r="K28514" s="18" t="s">
        <v>316</v>
      </c>
    </row>
    <row r="28515">
      <c r="A28515" s="17"/>
      <c r="H28515" s="18"/>
      <c r="K28515" s="18" t="s">
        <v>316</v>
      </c>
    </row>
    <row r="28516">
      <c r="A28516" s="17"/>
      <c r="H28516" s="18"/>
      <c r="K28516" s="18" t="s">
        <v>316</v>
      </c>
    </row>
    <row r="28517">
      <c r="A28517" s="17"/>
      <c r="H28517" s="18"/>
      <c r="K28517" s="18" t="s">
        <v>316</v>
      </c>
    </row>
    <row r="28518">
      <c r="A28518" s="17"/>
      <c r="H28518" s="18"/>
      <c r="K28518" s="18" t="s">
        <v>316</v>
      </c>
    </row>
    <row r="28519">
      <c r="A28519" s="17"/>
      <c r="H28519" s="18"/>
      <c r="K28519" s="18" t="s">
        <v>316</v>
      </c>
    </row>
    <row r="28520">
      <c r="A28520" s="17"/>
      <c r="H28520" s="18"/>
      <c r="K28520" s="18" t="s">
        <v>316</v>
      </c>
    </row>
    <row r="28521">
      <c r="A28521" s="17"/>
      <c r="H28521" s="18"/>
      <c r="K28521" s="18" t="s">
        <v>316</v>
      </c>
    </row>
    <row r="28522">
      <c r="A28522" s="17"/>
      <c r="H28522" s="18"/>
      <c r="K28522" s="18" t="s">
        <v>316</v>
      </c>
    </row>
    <row r="28523">
      <c r="A28523" s="17"/>
      <c r="H28523" s="18"/>
      <c r="K28523" s="18" t="s">
        <v>316</v>
      </c>
    </row>
    <row r="28524">
      <c r="A28524" s="17"/>
      <c r="H28524" s="18"/>
      <c r="K28524" s="18" t="s">
        <v>316</v>
      </c>
    </row>
    <row r="28525">
      <c r="A28525" s="17"/>
      <c r="H28525" s="18"/>
      <c r="K28525" s="18" t="s">
        <v>316</v>
      </c>
    </row>
    <row r="28526">
      <c r="A28526" s="17"/>
      <c r="H28526" s="18"/>
      <c r="K28526" s="18" t="s">
        <v>316</v>
      </c>
    </row>
    <row r="28527">
      <c r="A28527" s="17"/>
      <c r="H28527" s="18"/>
      <c r="K28527" s="18" t="s">
        <v>316</v>
      </c>
    </row>
    <row r="28528">
      <c r="A28528" s="17"/>
      <c r="H28528" s="18"/>
      <c r="K28528" s="18" t="s">
        <v>316</v>
      </c>
    </row>
    <row r="28529">
      <c r="A28529" s="17"/>
      <c r="H28529" s="18"/>
      <c r="K28529" s="18" t="s">
        <v>316</v>
      </c>
    </row>
    <row r="28530">
      <c r="A28530" s="17"/>
      <c r="H28530" s="18"/>
      <c r="K28530" s="18" t="s">
        <v>316</v>
      </c>
    </row>
    <row r="28531">
      <c r="A28531" s="17"/>
      <c r="H28531" s="18"/>
      <c r="K28531" s="18" t="s">
        <v>316</v>
      </c>
    </row>
    <row r="28532">
      <c r="A28532" s="17"/>
      <c r="H28532" s="18"/>
      <c r="K28532" s="18" t="s">
        <v>316</v>
      </c>
    </row>
    <row r="28533">
      <c r="A28533" s="17"/>
      <c r="H28533" s="18"/>
      <c r="K28533" s="18" t="s">
        <v>316</v>
      </c>
    </row>
    <row r="28534">
      <c r="A28534" s="17"/>
      <c r="H28534" s="18"/>
      <c r="K28534" s="18" t="s">
        <v>316</v>
      </c>
    </row>
    <row r="28535">
      <c r="A28535" s="17"/>
      <c r="H28535" s="18"/>
      <c r="K28535" s="18" t="s">
        <v>316</v>
      </c>
    </row>
    <row r="28536">
      <c r="A28536" s="17"/>
      <c r="H28536" s="18"/>
      <c r="K28536" s="18" t="s">
        <v>316</v>
      </c>
    </row>
    <row r="28537">
      <c r="A28537" s="17"/>
      <c r="H28537" s="18"/>
      <c r="K28537" s="18" t="s">
        <v>316</v>
      </c>
    </row>
    <row r="28538">
      <c r="A28538" s="17"/>
      <c r="H28538" s="18"/>
      <c r="K28538" s="18" t="s">
        <v>316</v>
      </c>
    </row>
    <row r="28539">
      <c r="A28539" s="17"/>
      <c r="H28539" s="18"/>
      <c r="K28539" s="18" t="s">
        <v>316</v>
      </c>
    </row>
    <row r="28540">
      <c r="A28540" s="17"/>
      <c r="H28540" s="18"/>
      <c r="K28540" s="18" t="s">
        <v>316</v>
      </c>
    </row>
    <row r="28541">
      <c r="A28541" s="17"/>
      <c r="H28541" s="18"/>
      <c r="K28541" s="18" t="s">
        <v>316</v>
      </c>
    </row>
    <row r="28542">
      <c r="A28542" s="17"/>
      <c r="H28542" s="18"/>
      <c r="K28542" s="18" t="s">
        <v>316</v>
      </c>
    </row>
    <row r="28543">
      <c r="A28543" s="17"/>
      <c r="H28543" s="18"/>
      <c r="K28543" s="18" t="s">
        <v>316</v>
      </c>
    </row>
    <row r="28544">
      <c r="A28544" s="17"/>
      <c r="H28544" s="18"/>
      <c r="K28544" s="18" t="s">
        <v>316</v>
      </c>
    </row>
    <row r="28545">
      <c r="A28545" s="17"/>
      <c r="H28545" s="18"/>
      <c r="K28545" s="18" t="s">
        <v>316</v>
      </c>
    </row>
    <row r="28546">
      <c r="A28546" s="17"/>
      <c r="H28546" s="18"/>
      <c r="K28546" s="18" t="s">
        <v>316</v>
      </c>
    </row>
    <row r="28547">
      <c r="A28547" s="17"/>
      <c r="H28547" s="18"/>
      <c r="K28547" s="18" t="s">
        <v>316</v>
      </c>
    </row>
    <row r="28548">
      <c r="A28548" s="17"/>
      <c r="H28548" s="18"/>
      <c r="K28548" s="18" t="s">
        <v>316</v>
      </c>
    </row>
    <row r="28549">
      <c r="A28549" s="17"/>
      <c r="H28549" s="18"/>
      <c r="K28549" s="18" t="s">
        <v>316</v>
      </c>
    </row>
    <row r="28550">
      <c r="A28550" s="17"/>
      <c r="H28550" s="18"/>
      <c r="K28550" s="18" t="s">
        <v>316</v>
      </c>
    </row>
    <row r="28551">
      <c r="A28551" s="17"/>
      <c r="H28551" s="18"/>
      <c r="K28551" s="18" t="s">
        <v>316</v>
      </c>
    </row>
    <row r="28552">
      <c r="A28552" s="17"/>
      <c r="H28552" s="18"/>
      <c r="K28552" s="18" t="s">
        <v>316</v>
      </c>
    </row>
    <row r="28553">
      <c r="A28553" s="17"/>
      <c r="H28553" s="18"/>
      <c r="K28553" s="18" t="s">
        <v>316</v>
      </c>
    </row>
    <row r="28554">
      <c r="A28554" s="17"/>
      <c r="H28554" s="18"/>
      <c r="K28554" s="18" t="s">
        <v>316</v>
      </c>
    </row>
    <row r="28555">
      <c r="A28555" s="17"/>
      <c r="H28555" s="18"/>
      <c r="K28555" s="18" t="s">
        <v>316</v>
      </c>
    </row>
    <row r="28556">
      <c r="A28556" s="17"/>
      <c r="H28556" s="18"/>
      <c r="K28556" s="18" t="s">
        <v>316</v>
      </c>
    </row>
    <row r="28557">
      <c r="A28557" s="17"/>
      <c r="H28557" s="18"/>
      <c r="K28557" s="18" t="s">
        <v>316</v>
      </c>
    </row>
    <row r="28558">
      <c r="A28558" s="17"/>
      <c r="H28558" s="18"/>
      <c r="K28558" s="18" t="s">
        <v>316</v>
      </c>
    </row>
    <row r="28559">
      <c r="A28559" s="17"/>
      <c r="H28559" s="18"/>
      <c r="K28559" s="18" t="s">
        <v>316</v>
      </c>
    </row>
    <row r="28560">
      <c r="A28560" s="17"/>
      <c r="H28560" s="18"/>
      <c r="K28560" s="18" t="s">
        <v>316</v>
      </c>
    </row>
    <row r="28561">
      <c r="A28561" s="17"/>
      <c r="H28561" s="18"/>
      <c r="K28561" s="18" t="s">
        <v>316</v>
      </c>
    </row>
    <row r="28562">
      <c r="A28562" s="17"/>
      <c r="H28562" s="18"/>
      <c r="K28562" s="18" t="s">
        <v>316</v>
      </c>
    </row>
    <row r="28563">
      <c r="A28563" s="17"/>
      <c r="H28563" s="18"/>
      <c r="K28563" s="18" t="s">
        <v>316</v>
      </c>
    </row>
    <row r="28564">
      <c r="A28564" s="17"/>
      <c r="H28564" s="18"/>
      <c r="K28564" s="18" t="s">
        <v>316</v>
      </c>
    </row>
    <row r="28565">
      <c r="A28565" s="17"/>
      <c r="H28565" s="18"/>
      <c r="K28565" s="18" t="s">
        <v>316</v>
      </c>
    </row>
    <row r="28566">
      <c r="A28566" s="17"/>
      <c r="H28566" s="18"/>
      <c r="K28566" s="18" t="s">
        <v>316</v>
      </c>
    </row>
    <row r="28567">
      <c r="A28567" s="17"/>
      <c r="H28567" s="18"/>
      <c r="K28567" s="18" t="s">
        <v>316</v>
      </c>
    </row>
    <row r="28568">
      <c r="A28568" s="17"/>
      <c r="H28568" s="18"/>
      <c r="K28568" s="18" t="s">
        <v>316</v>
      </c>
    </row>
    <row r="28569">
      <c r="A28569" s="17"/>
      <c r="H28569" s="18"/>
      <c r="K28569" s="18" t="s">
        <v>316</v>
      </c>
    </row>
    <row r="28570">
      <c r="A28570" s="17"/>
      <c r="H28570" s="18"/>
      <c r="K28570" s="18" t="s">
        <v>316</v>
      </c>
    </row>
    <row r="28571">
      <c r="A28571" s="17"/>
      <c r="H28571" s="18"/>
      <c r="K28571" s="18" t="s">
        <v>316</v>
      </c>
    </row>
    <row r="28572">
      <c r="A28572" s="17"/>
      <c r="H28572" s="18"/>
      <c r="K28572" s="18" t="s">
        <v>316</v>
      </c>
    </row>
    <row r="28573">
      <c r="A28573" s="17"/>
      <c r="H28573" s="18"/>
      <c r="K28573" s="18" t="s">
        <v>316</v>
      </c>
    </row>
    <row r="28574">
      <c r="A28574" s="17"/>
      <c r="H28574" s="18"/>
      <c r="K28574" s="18" t="s">
        <v>316</v>
      </c>
    </row>
    <row r="28575">
      <c r="A28575" s="17"/>
      <c r="H28575" s="18"/>
      <c r="K28575" s="18" t="s">
        <v>316</v>
      </c>
    </row>
    <row r="28576">
      <c r="A28576" s="17"/>
      <c r="H28576" s="18"/>
      <c r="K28576" s="18" t="s">
        <v>316</v>
      </c>
    </row>
    <row r="28577">
      <c r="A28577" s="17"/>
      <c r="H28577" s="18"/>
      <c r="K28577" s="18" t="s">
        <v>316</v>
      </c>
    </row>
    <row r="28578">
      <c r="A28578" s="17"/>
      <c r="H28578" s="18"/>
      <c r="K28578" s="18" t="s">
        <v>316</v>
      </c>
    </row>
    <row r="28579">
      <c r="A28579" s="17"/>
      <c r="H28579" s="18"/>
      <c r="K28579" s="18" t="s">
        <v>316</v>
      </c>
    </row>
    <row r="28580">
      <c r="A28580" s="17"/>
      <c r="H28580" s="18"/>
      <c r="K28580" s="18" t="s">
        <v>316</v>
      </c>
    </row>
    <row r="28581">
      <c r="A28581" s="17"/>
      <c r="H28581" s="18"/>
      <c r="K28581" s="18" t="s">
        <v>316</v>
      </c>
    </row>
    <row r="28582">
      <c r="A28582" s="17"/>
      <c r="H28582" s="18"/>
      <c r="K28582" s="18" t="s">
        <v>316</v>
      </c>
    </row>
    <row r="28583">
      <c r="A28583" s="17"/>
      <c r="H28583" s="18"/>
      <c r="K28583" s="18" t="s">
        <v>316</v>
      </c>
    </row>
    <row r="28584">
      <c r="A28584" s="17"/>
      <c r="H28584" s="18"/>
      <c r="K28584" s="18" t="s">
        <v>316</v>
      </c>
    </row>
    <row r="28585">
      <c r="A28585" s="17"/>
      <c r="H28585" s="18"/>
      <c r="K28585" s="18" t="s">
        <v>316</v>
      </c>
    </row>
    <row r="28586">
      <c r="A28586" s="17"/>
      <c r="H28586" s="18"/>
      <c r="K28586" s="18" t="s">
        <v>316</v>
      </c>
    </row>
    <row r="28587">
      <c r="A28587" s="17"/>
      <c r="H28587" s="18"/>
      <c r="K28587" s="18" t="s">
        <v>316</v>
      </c>
    </row>
    <row r="28588">
      <c r="A28588" s="17"/>
      <c r="H28588" s="18"/>
      <c r="K28588" s="18" t="s">
        <v>316</v>
      </c>
    </row>
    <row r="28589">
      <c r="A28589" s="17"/>
      <c r="H28589" s="18"/>
      <c r="K28589" s="18" t="s">
        <v>316</v>
      </c>
    </row>
    <row r="28590">
      <c r="A28590" s="17"/>
      <c r="H28590" s="18"/>
      <c r="K28590" s="18" t="s">
        <v>316</v>
      </c>
    </row>
    <row r="28591">
      <c r="A28591" s="17"/>
      <c r="H28591" s="18"/>
      <c r="K28591" s="18" t="s">
        <v>316</v>
      </c>
    </row>
    <row r="28592">
      <c r="A28592" s="17"/>
      <c r="H28592" s="18"/>
      <c r="K28592" s="18" t="s">
        <v>316</v>
      </c>
    </row>
    <row r="28593">
      <c r="A28593" s="17"/>
      <c r="H28593" s="18"/>
      <c r="K28593" s="18" t="s">
        <v>316</v>
      </c>
    </row>
    <row r="28594">
      <c r="A28594" s="17"/>
      <c r="H28594" s="18"/>
      <c r="K28594" s="18" t="s">
        <v>316</v>
      </c>
    </row>
    <row r="28595">
      <c r="A28595" s="17"/>
      <c r="H28595" s="18"/>
      <c r="K28595" s="18" t="s">
        <v>316</v>
      </c>
    </row>
    <row r="28596">
      <c r="A28596" s="17"/>
      <c r="H28596" s="18"/>
      <c r="K28596" s="18" t="s">
        <v>316</v>
      </c>
    </row>
    <row r="28597">
      <c r="A28597" s="17"/>
      <c r="H28597" s="18"/>
      <c r="K28597" s="18" t="s">
        <v>316</v>
      </c>
    </row>
    <row r="28598">
      <c r="A28598" s="17"/>
      <c r="H28598" s="18"/>
      <c r="K28598" s="18" t="s">
        <v>316</v>
      </c>
    </row>
    <row r="28599">
      <c r="A28599" s="17"/>
      <c r="H28599" s="18"/>
      <c r="K28599" s="18" t="s">
        <v>316</v>
      </c>
    </row>
    <row r="28600">
      <c r="A28600" s="17"/>
      <c r="H28600" s="18"/>
      <c r="K28600" s="18" t="s">
        <v>316</v>
      </c>
    </row>
    <row r="28601">
      <c r="A28601" s="17"/>
      <c r="H28601" s="18"/>
      <c r="K28601" s="18" t="s">
        <v>316</v>
      </c>
    </row>
    <row r="28602">
      <c r="A28602" s="17"/>
      <c r="H28602" s="18"/>
      <c r="K28602" s="18" t="s">
        <v>316</v>
      </c>
    </row>
    <row r="28603">
      <c r="A28603" s="17"/>
      <c r="H28603" s="18"/>
      <c r="K28603" s="18" t="s">
        <v>316</v>
      </c>
    </row>
    <row r="28604">
      <c r="A28604" s="17"/>
      <c r="H28604" s="18"/>
      <c r="K28604" s="18" t="s">
        <v>316</v>
      </c>
    </row>
    <row r="28605">
      <c r="A28605" s="17"/>
      <c r="H28605" s="18"/>
      <c r="K28605" s="18" t="s">
        <v>316</v>
      </c>
    </row>
    <row r="28606">
      <c r="A28606" s="17"/>
      <c r="H28606" s="18"/>
      <c r="K28606" s="18" t="s">
        <v>316</v>
      </c>
    </row>
    <row r="28607">
      <c r="A28607" s="17"/>
      <c r="H28607" s="18"/>
      <c r="K28607" s="18" t="s">
        <v>316</v>
      </c>
    </row>
    <row r="28608">
      <c r="A28608" s="17"/>
      <c r="H28608" s="18"/>
      <c r="K28608" s="18" t="s">
        <v>316</v>
      </c>
    </row>
    <row r="28609">
      <c r="A28609" s="17"/>
      <c r="H28609" s="18"/>
      <c r="K28609" s="18" t="s">
        <v>316</v>
      </c>
    </row>
    <row r="28610">
      <c r="A28610" s="17"/>
      <c r="H28610" s="18"/>
      <c r="K28610" s="18" t="s">
        <v>316</v>
      </c>
    </row>
    <row r="28611">
      <c r="A28611" s="17"/>
      <c r="H28611" s="18"/>
      <c r="K28611" s="18" t="s">
        <v>316</v>
      </c>
    </row>
    <row r="28612">
      <c r="A28612" s="17"/>
      <c r="H28612" s="18"/>
      <c r="K28612" s="18" t="s">
        <v>316</v>
      </c>
    </row>
    <row r="28613">
      <c r="A28613" s="17"/>
      <c r="H28613" s="18"/>
      <c r="K28613" s="18" t="s">
        <v>316</v>
      </c>
    </row>
    <row r="28614">
      <c r="A28614" s="17"/>
      <c r="H28614" s="18"/>
      <c r="K28614" s="18" t="s">
        <v>316</v>
      </c>
    </row>
    <row r="28615">
      <c r="A28615" s="17"/>
      <c r="H28615" s="18"/>
      <c r="K28615" s="18" t="s">
        <v>316</v>
      </c>
    </row>
    <row r="28616">
      <c r="A28616" s="17"/>
      <c r="H28616" s="18"/>
      <c r="K28616" s="18" t="s">
        <v>316</v>
      </c>
    </row>
    <row r="28617">
      <c r="A28617" s="17"/>
      <c r="H28617" s="18"/>
      <c r="K28617" s="18" t="s">
        <v>316</v>
      </c>
    </row>
    <row r="28618">
      <c r="A28618" s="17"/>
      <c r="H28618" s="18"/>
      <c r="K28618" s="18" t="s">
        <v>316</v>
      </c>
    </row>
    <row r="28619">
      <c r="A28619" s="17"/>
      <c r="H28619" s="18"/>
      <c r="K28619" s="18" t="s">
        <v>316</v>
      </c>
    </row>
    <row r="28620">
      <c r="A28620" s="17"/>
      <c r="H28620" s="18"/>
      <c r="K28620" s="18" t="s">
        <v>316</v>
      </c>
    </row>
    <row r="28621">
      <c r="A28621" s="17"/>
      <c r="H28621" s="18"/>
      <c r="K28621" s="18" t="s">
        <v>316</v>
      </c>
    </row>
    <row r="28622">
      <c r="A28622" s="17"/>
      <c r="H28622" s="18"/>
      <c r="K28622" s="18" t="s">
        <v>316</v>
      </c>
    </row>
    <row r="28623">
      <c r="A28623" s="17"/>
      <c r="H28623" s="18"/>
      <c r="K28623" s="18" t="s">
        <v>316</v>
      </c>
    </row>
    <row r="28624">
      <c r="A28624" s="17"/>
      <c r="H28624" s="18"/>
      <c r="K28624" s="18" t="s">
        <v>316</v>
      </c>
    </row>
    <row r="28625">
      <c r="A28625" s="17"/>
      <c r="H28625" s="18"/>
      <c r="K28625" s="18" t="s">
        <v>316</v>
      </c>
    </row>
    <row r="28626">
      <c r="A28626" s="17"/>
      <c r="H28626" s="18"/>
      <c r="K28626" s="18" t="s">
        <v>316</v>
      </c>
    </row>
    <row r="28627">
      <c r="A28627" s="17"/>
      <c r="H28627" s="18"/>
      <c r="K28627" s="18" t="s">
        <v>316</v>
      </c>
    </row>
    <row r="28628">
      <c r="A28628" s="17"/>
      <c r="H28628" s="18"/>
      <c r="K28628" s="18" t="s">
        <v>316</v>
      </c>
    </row>
    <row r="28629">
      <c r="A28629" s="17"/>
      <c r="H28629" s="18"/>
      <c r="K28629" s="18" t="s">
        <v>316</v>
      </c>
    </row>
    <row r="28630">
      <c r="A28630" s="17"/>
      <c r="H28630" s="18"/>
      <c r="K28630" s="18" t="s">
        <v>316</v>
      </c>
    </row>
    <row r="28631">
      <c r="A28631" s="17"/>
      <c r="H28631" s="18"/>
      <c r="K28631" s="18" t="s">
        <v>316</v>
      </c>
    </row>
    <row r="28632">
      <c r="A28632" s="17"/>
      <c r="H28632" s="18"/>
      <c r="K28632" s="18" t="s">
        <v>316</v>
      </c>
    </row>
    <row r="28633">
      <c r="A28633" s="17"/>
      <c r="H28633" s="18"/>
      <c r="K28633" s="18" t="s">
        <v>316</v>
      </c>
    </row>
    <row r="28634">
      <c r="A28634" s="17"/>
      <c r="H28634" s="18"/>
      <c r="K28634" s="18" t="s">
        <v>316</v>
      </c>
    </row>
    <row r="28635">
      <c r="A28635" s="17"/>
      <c r="H28635" s="18"/>
      <c r="K28635" s="18" t="s">
        <v>316</v>
      </c>
    </row>
    <row r="28636">
      <c r="A28636" s="17"/>
      <c r="H28636" s="18"/>
      <c r="K28636" s="18" t="s">
        <v>316</v>
      </c>
    </row>
    <row r="28637">
      <c r="A28637" s="17"/>
      <c r="H28637" s="18"/>
      <c r="K28637" s="18" t="s">
        <v>316</v>
      </c>
    </row>
    <row r="28638">
      <c r="A28638" s="17"/>
      <c r="H28638" s="18"/>
      <c r="K28638" s="18" t="s">
        <v>316</v>
      </c>
    </row>
    <row r="28639">
      <c r="A28639" s="17"/>
      <c r="H28639" s="18"/>
      <c r="K28639" s="18" t="s">
        <v>316</v>
      </c>
    </row>
    <row r="28640">
      <c r="A28640" s="17"/>
      <c r="H28640" s="18"/>
      <c r="K28640" s="18" t="s">
        <v>316</v>
      </c>
    </row>
    <row r="28641">
      <c r="A28641" s="17"/>
      <c r="H28641" s="18"/>
      <c r="K28641" s="18" t="s">
        <v>316</v>
      </c>
    </row>
    <row r="28642">
      <c r="A28642" s="17"/>
      <c r="H28642" s="18"/>
      <c r="K28642" s="18" t="s">
        <v>316</v>
      </c>
    </row>
    <row r="28643">
      <c r="A28643" s="17"/>
      <c r="H28643" s="18"/>
      <c r="K28643" s="18" t="s">
        <v>316</v>
      </c>
    </row>
    <row r="28644">
      <c r="A28644" s="17"/>
      <c r="H28644" s="18"/>
      <c r="K28644" s="18" t="s">
        <v>316</v>
      </c>
    </row>
    <row r="28645">
      <c r="A28645" s="17"/>
      <c r="H28645" s="18"/>
      <c r="K28645" s="18" t="s">
        <v>316</v>
      </c>
    </row>
    <row r="28646">
      <c r="A28646" s="17"/>
      <c r="H28646" s="18"/>
      <c r="K28646" s="18" t="s">
        <v>316</v>
      </c>
    </row>
    <row r="28647">
      <c r="A28647" s="17"/>
      <c r="H28647" s="18"/>
      <c r="K28647" s="18" t="s">
        <v>316</v>
      </c>
    </row>
    <row r="28648">
      <c r="A28648" s="17"/>
      <c r="H28648" s="18"/>
      <c r="K28648" s="18" t="s">
        <v>316</v>
      </c>
    </row>
    <row r="28649">
      <c r="A28649" s="17"/>
      <c r="H28649" s="18"/>
      <c r="K28649" s="18" t="s">
        <v>316</v>
      </c>
    </row>
    <row r="28650">
      <c r="A28650" s="17"/>
      <c r="H28650" s="18"/>
      <c r="K28650" s="18" t="s">
        <v>316</v>
      </c>
    </row>
    <row r="28651">
      <c r="A28651" s="17"/>
      <c r="H28651" s="18"/>
      <c r="K28651" s="18" t="s">
        <v>316</v>
      </c>
    </row>
    <row r="28652">
      <c r="A28652" s="17"/>
      <c r="H28652" s="18"/>
      <c r="K28652" s="18" t="s">
        <v>316</v>
      </c>
    </row>
    <row r="28653">
      <c r="A28653" s="17"/>
      <c r="H28653" s="18"/>
      <c r="K28653" s="18" t="s">
        <v>316</v>
      </c>
    </row>
    <row r="28654">
      <c r="A28654" s="17"/>
      <c r="H28654" s="18"/>
      <c r="K28654" s="18" t="s">
        <v>316</v>
      </c>
    </row>
    <row r="28655">
      <c r="A28655" s="17"/>
      <c r="H28655" s="18"/>
      <c r="K28655" s="18" t="s">
        <v>316</v>
      </c>
    </row>
    <row r="28656">
      <c r="A28656" s="17"/>
      <c r="H28656" s="18"/>
      <c r="K28656" s="18" t="s">
        <v>316</v>
      </c>
    </row>
    <row r="28657">
      <c r="A28657" s="17"/>
      <c r="H28657" s="18"/>
      <c r="K28657" s="18" t="s">
        <v>316</v>
      </c>
    </row>
    <row r="28658">
      <c r="A28658" s="17"/>
      <c r="H28658" s="18"/>
      <c r="K28658" s="18" t="s">
        <v>316</v>
      </c>
    </row>
    <row r="28659">
      <c r="A28659" s="17"/>
      <c r="H28659" s="18"/>
      <c r="K28659" s="18" t="s">
        <v>316</v>
      </c>
    </row>
    <row r="28660">
      <c r="A28660" s="17"/>
      <c r="H28660" s="18"/>
      <c r="K28660" s="18" t="s">
        <v>316</v>
      </c>
    </row>
    <row r="28661">
      <c r="A28661" s="17"/>
      <c r="H28661" s="18"/>
      <c r="K28661" s="18" t="s">
        <v>316</v>
      </c>
    </row>
    <row r="28662">
      <c r="A28662" s="17"/>
      <c r="H28662" s="18"/>
      <c r="K28662" s="18" t="s">
        <v>316</v>
      </c>
    </row>
    <row r="28663">
      <c r="A28663" s="17"/>
      <c r="H28663" s="18"/>
      <c r="K28663" s="18" t="s">
        <v>316</v>
      </c>
    </row>
    <row r="28664">
      <c r="A28664" s="17"/>
      <c r="H28664" s="18"/>
      <c r="K28664" s="18" t="s">
        <v>316</v>
      </c>
    </row>
    <row r="28665">
      <c r="A28665" s="17"/>
      <c r="H28665" s="18"/>
      <c r="K28665" s="18" t="s">
        <v>316</v>
      </c>
    </row>
    <row r="28666">
      <c r="A28666" s="17"/>
      <c r="H28666" s="18"/>
      <c r="K28666" s="18" t="s">
        <v>316</v>
      </c>
    </row>
    <row r="28667">
      <c r="A28667" s="17"/>
      <c r="H28667" s="18"/>
      <c r="K28667" s="18" t="s">
        <v>316</v>
      </c>
    </row>
    <row r="28668">
      <c r="A28668" s="17"/>
      <c r="H28668" s="18"/>
      <c r="K28668" s="18" t="s">
        <v>316</v>
      </c>
    </row>
    <row r="28669">
      <c r="A28669" s="17"/>
      <c r="H28669" s="18"/>
      <c r="K28669" s="18" t="s">
        <v>316</v>
      </c>
    </row>
    <row r="28670">
      <c r="A28670" s="17"/>
      <c r="H28670" s="18"/>
      <c r="K28670" s="18" t="s">
        <v>316</v>
      </c>
    </row>
    <row r="28671">
      <c r="A28671" s="17"/>
      <c r="H28671" s="18"/>
      <c r="K28671" s="18" t="s">
        <v>316</v>
      </c>
    </row>
    <row r="28672">
      <c r="A28672" s="17"/>
      <c r="H28672" s="18"/>
      <c r="K28672" s="18" t="s">
        <v>316</v>
      </c>
    </row>
    <row r="28673">
      <c r="A28673" s="17"/>
      <c r="H28673" s="18"/>
      <c r="K28673" s="18" t="s">
        <v>316</v>
      </c>
    </row>
    <row r="28674">
      <c r="A28674" s="17"/>
      <c r="H28674" s="18"/>
      <c r="K28674" s="18" t="s">
        <v>316</v>
      </c>
    </row>
    <row r="28675">
      <c r="A28675" s="17"/>
      <c r="H28675" s="18"/>
      <c r="K28675" s="18" t="s">
        <v>316</v>
      </c>
    </row>
    <row r="28676">
      <c r="A28676" s="17"/>
      <c r="H28676" s="18"/>
      <c r="K28676" s="18" t="s">
        <v>316</v>
      </c>
    </row>
    <row r="28677">
      <c r="A28677" s="17"/>
      <c r="H28677" s="18"/>
      <c r="K28677" s="18" t="s">
        <v>316</v>
      </c>
    </row>
    <row r="28678">
      <c r="A28678" s="17"/>
      <c r="H28678" s="18"/>
      <c r="K28678" s="18" t="s">
        <v>316</v>
      </c>
    </row>
    <row r="28679">
      <c r="A28679" s="17"/>
      <c r="H28679" s="18"/>
      <c r="K28679" s="18" t="s">
        <v>316</v>
      </c>
    </row>
    <row r="28680">
      <c r="A28680" s="17"/>
      <c r="H28680" s="18"/>
      <c r="K28680" s="18" t="s">
        <v>316</v>
      </c>
    </row>
    <row r="28681">
      <c r="A28681" s="17"/>
      <c r="H28681" s="18"/>
      <c r="K28681" s="18" t="s">
        <v>316</v>
      </c>
    </row>
    <row r="28682">
      <c r="A28682" s="17"/>
      <c r="H28682" s="18"/>
      <c r="K28682" s="18" t="s">
        <v>316</v>
      </c>
    </row>
    <row r="28683">
      <c r="A28683" s="17"/>
      <c r="H28683" s="18"/>
      <c r="K28683" s="18" t="s">
        <v>316</v>
      </c>
    </row>
    <row r="28684">
      <c r="A28684" s="17"/>
      <c r="H28684" s="18"/>
      <c r="K28684" s="18" t="s">
        <v>316</v>
      </c>
    </row>
    <row r="28685">
      <c r="A28685" s="17"/>
      <c r="H28685" s="18"/>
      <c r="K28685" s="18" t="s">
        <v>316</v>
      </c>
    </row>
    <row r="28686">
      <c r="A28686" s="17"/>
      <c r="H28686" s="18"/>
      <c r="K28686" s="18" t="s">
        <v>316</v>
      </c>
    </row>
    <row r="28687">
      <c r="A28687" s="17"/>
      <c r="H28687" s="18"/>
      <c r="K28687" s="18" t="s">
        <v>316</v>
      </c>
    </row>
    <row r="28688">
      <c r="A28688" s="17"/>
      <c r="H28688" s="18"/>
      <c r="K28688" s="18" t="s">
        <v>316</v>
      </c>
    </row>
    <row r="28689">
      <c r="A28689" s="17"/>
      <c r="H28689" s="18"/>
      <c r="K28689" s="18" t="s">
        <v>316</v>
      </c>
    </row>
    <row r="28690">
      <c r="A28690" s="17"/>
      <c r="H28690" s="18"/>
      <c r="K28690" s="18" t="s">
        <v>316</v>
      </c>
    </row>
    <row r="28691">
      <c r="A28691" s="17"/>
      <c r="H28691" s="18"/>
      <c r="K28691" s="18" t="s">
        <v>316</v>
      </c>
    </row>
    <row r="28692">
      <c r="A28692" s="17"/>
      <c r="H28692" s="18"/>
      <c r="K28692" s="18" t="s">
        <v>316</v>
      </c>
    </row>
    <row r="28693">
      <c r="A28693" s="17"/>
      <c r="H28693" s="18"/>
      <c r="K28693" s="18" t="s">
        <v>316</v>
      </c>
    </row>
    <row r="28694">
      <c r="A28694" s="17"/>
      <c r="H28694" s="18"/>
      <c r="K28694" s="18" t="s">
        <v>316</v>
      </c>
    </row>
    <row r="28695">
      <c r="A28695" s="17"/>
      <c r="H28695" s="18"/>
      <c r="K28695" s="18" t="s">
        <v>316</v>
      </c>
    </row>
    <row r="28696">
      <c r="A28696" s="17"/>
      <c r="H28696" s="18"/>
      <c r="K28696" s="18" t="s">
        <v>316</v>
      </c>
    </row>
    <row r="28697">
      <c r="A28697" s="17"/>
      <c r="H28697" s="18"/>
      <c r="K28697" s="18" t="s">
        <v>316</v>
      </c>
    </row>
    <row r="28698">
      <c r="A28698" s="17"/>
      <c r="H28698" s="18"/>
      <c r="K28698" s="18" t="s">
        <v>316</v>
      </c>
    </row>
    <row r="28699">
      <c r="A28699" s="17"/>
      <c r="H28699" s="18"/>
      <c r="K28699" s="18" t="s">
        <v>316</v>
      </c>
    </row>
    <row r="28700">
      <c r="A28700" s="17"/>
      <c r="H28700" s="18"/>
      <c r="K28700" s="18" t="s">
        <v>316</v>
      </c>
    </row>
    <row r="28701">
      <c r="A28701" s="17"/>
      <c r="H28701" s="18"/>
      <c r="K28701" s="18" t="s">
        <v>316</v>
      </c>
    </row>
    <row r="28702">
      <c r="A28702" s="17"/>
      <c r="H28702" s="18"/>
      <c r="K28702" s="18" t="s">
        <v>316</v>
      </c>
    </row>
    <row r="28703">
      <c r="A28703" s="17"/>
      <c r="H28703" s="18"/>
      <c r="K28703" s="18" t="s">
        <v>316</v>
      </c>
    </row>
    <row r="28704">
      <c r="A28704" s="17"/>
      <c r="H28704" s="18"/>
      <c r="K28704" s="18" t="s">
        <v>316</v>
      </c>
    </row>
    <row r="28705">
      <c r="A28705" s="17"/>
      <c r="H28705" s="18"/>
      <c r="K28705" s="18" t="s">
        <v>316</v>
      </c>
    </row>
    <row r="28706">
      <c r="A28706" s="17"/>
      <c r="H28706" s="18"/>
      <c r="K28706" s="18" t="s">
        <v>316</v>
      </c>
    </row>
    <row r="28707">
      <c r="A28707" s="17"/>
      <c r="H28707" s="18"/>
      <c r="K28707" s="18" t="s">
        <v>316</v>
      </c>
    </row>
    <row r="28708">
      <c r="A28708" s="17"/>
      <c r="H28708" s="18"/>
      <c r="K28708" s="18" t="s">
        <v>316</v>
      </c>
    </row>
    <row r="28709">
      <c r="A28709" s="17"/>
      <c r="H28709" s="18"/>
      <c r="K28709" s="18" t="s">
        <v>316</v>
      </c>
    </row>
    <row r="28710">
      <c r="A28710" s="17"/>
      <c r="H28710" s="18"/>
      <c r="K28710" s="18" t="s">
        <v>316</v>
      </c>
    </row>
    <row r="28711">
      <c r="A28711" s="17"/>
      <c r="H28711" s="18"/>
      <c r="K28711" s="18" t="s">
        <v>316</v>
      </c>
    </row>
    <row r="28712">
      <c r="A28712" s="17"/>
      <c r="H28712" s="18"/>
      <c r="K28712" s="18" t="s">
        <v>316</v>
      </c>
    </row>
    <row r="28713">
      <c r="A28713" s="17"/>
      <c r="H28713" s="18"/>
      <c r="K28713" s="18" t="s">
        <v>316</v>
      </c>
    </row>
    <row r="28714">
      <c r="A28714" s="17"/>
      <c r="H28714" s="18"/>
      <c r="K28714" s="18" t="s">
        <v>316</v>
      </c>
    </row>
    <row r="28715">
      <c r="A28715" s="17"/>
      <c r="H28715" s="18"/>
      <c r="K28715" s="18" t="s">
        <v>316</v>
      </c>
    </row>
    <row r="28716">
      <c r="A28716" s="17"/>
      <c r="H28716" s="18"/>
      <c r="K28716" s="18" t="s">
        <v>316</v>
      </c>
    </row>
    <row r="28717">
      <c r="A28717" s="17"/>
      <c r="H28717" s="18"/>
      <c r="K28717" s="18" t="s">
        <v>316</v>
      </c>
    </row>
    <row r="28718">
      <c r="A28718" s="17"/>
      <c r="H28718" s="18"/>
      <c r="K28718" s="18" t="s">
        <v>316</v>
      </c>
    </row>
    <row r="28719">
      <c r="A28719" s="17"/>
      <c r="H28719" s="18"/>
      <c r="K28719" s="18" t="s">
        <v>316</v>
      </c>
    </row>
    <row r="28720">
      <c r="A28720" s="17"/>
      <c r="H28720" s="18"/>
      <c r="K28720" s="18" t="s">
        <v>316</v>
      </c>
    </row>
    <row r="28721">
      <c r="A28721" s="17"/>
      <c r="H28721" s="18"/>
      <c r="K28721" s="18" t="s">
        <v>316</v>
      </c>
    </row>
    <row r="28722">
      <c r="A28722" s="17"/>
      <c r="H28722" s="18"/>
      <c r="K28722" s="18" t="s">
        <v>316</v>
      </c>
    </row>
    <row r="28723">
      <c r="A28723" s="17"/>
      <c r="H28723" s="18"/>
      <c r="K28723" s="18" t="s">
        <v>316</v>
      </c>
    </row>
    <row r="28724">
      <c r="A28724" s="17"/>
      <c r="H28724" s="18"/>
      <c r="K28724" s="18" t="s">
        <v>316</v>
      </c>
    </row>
    <row r="28725">
      <c r="A28725" s="17"/>
      <c r="H28725" s="18"/>
      <c r="K28725" s="18" t="s">
        <v>316</v>
      </c>
    </row>
    <row r="28726">
      <c r="A28726" s="17"/>
      <c r="H28726" s="18"/>
      <c r="K28726" s="18" t="s">
        <v>316</v>
      </c>
    </row>
    <row r="28727">
      <c r="A28727" s="17"/>
      <c r="H28727" s="18"/>
      <c r="K28727" s="18" t="s">
        <v>316</v>
      </c>
    </row>
    <row r="28728">
      <c r="A28728" s="17"/>
      <c r="H28728" s="18"/>
      <c r="K28728" s="18" t="s">
        <v>316</v>
      </c>
    </row>
    <row r="28729">
      <c r="A28729" s="17"/>
      <c r="H28729" s="18"/>
      <c r="K28729" s="18" t="s">
        <v>316</v>
      </c>
    </row>
    <row r="28730">
      <c r="A28730" s="17"/>
      <c r="H28730" s="18"/>
      <c r="K28730" s="18" t="s">
        <v>316</v>
      </c>
    </row>
    <row r="28731">
      <c r="A28731" s="17"/>
      <c r="H28731" s="18"/>
      <c r="K28731" s="18" t="s">
        <v>316</v>
      </c>
    </row>
    <row r="28732">
      <c r="A28732" s="17"/>
      <c r="H28732" s="18"/>
      <c r="K28732" s="18" t="s">
        <v>316</v>
      </c>
    </row>
    <row r="28733">
      <c r="A28733" s="17"/>
      <c r="H28733" s="18"/>
      <c r="K28733" s="18" t="s">
        <v>316</v>
      </c>
    </row>
    <row r="28734">
      <c r="A28734" s="17"/>
      <c r="H28734" s="18"/>
      <c r="K28734" s="18" t="s">
        <v>316</v>
      </c>
    </row>
    <row r="28735">
      <c r="A28735" s="17"/>
      <c r="H28735" s="18"/>
      <c r="K28735" s="18" t="s">
        <v>316</v>
      </c>
    </row>
    <row r="28736">
      <c r="A28736" s="17"/>
      <c r="H28736" s="18"/>
      <c r="K28736" s="18" t="s">
        <v>316</v>
      </c>
    </row>
    <row r="28737">
      <c r="A28737" s="17"/>
      <c r="H28737" s="18"/>
      <c r="K28737" s="18" t="s">
        <v>316</v>
      </c>
    </row>
    <row r="28738">
      <c r="A28738" s="17"/>
      <c r="H28738" s="18"/>
      <c r="K28738" s="18" t="s">
        <v>316</v>
      </c>
    </row>
    <row r="28739">
      <c r="A28739" s="17"/>
      <c r="H28739" s="18"/>
      <c r="K28739" s="18" t="s">
        <v>316</v>
      </c>
    </row>
    <row r="28740">
      <c r="A28740" s="17"/>
      <c r="H28740" s="18"/>
      <c r="K28740" s="18" t="s">
        <v>316</v>
      </c>
    </row>
    <row r="28741">
      <c r="A28741" s="17"/>
      <c r="H28741" s="18"/>
      <c r="K28741" s="18" t="s">
        <v>316</v>
      </c>
    </row>
    <row r="28742">
      <c r="A28742" s="17"/>
      <c r="H28742" s="18"/>
      <c r="K28742" s="18" t="s">
        <v>316</v>
      </c>
    </row>
    <row r="28743">
      <c r="A28743" s="17"/>
      <c r="H28743" s="18"/>
      <c r="K28743" s="18" t="s">
        <v>316</v>
      </c>
    </row>
    <row r="28744">
      <c r="A28744" s="17"/>
      <c r="H28744" s="18"/>
      <c r="K28744" s="18" t="s">
        <v>316</v>
      </c>
    </row>
    <row r="28745">
      <c r="A28745" s="17"/>
      <c r="H28745" s="18"/>
      <c r="K28745" s="18" t="s">
        <v>316</v>
      </c>
    </row>
    <row r="28746">
      <c r="A28746" s="17"/>
      <c r="H28746" s="18"/>
      <c r="K28746" s="18" t="s">
        <v>316</v>
      </c>
    </row>
    <row r="28747">
      <c r="A28747" s="17"/>
      <c r="H28747" s="18"/>
      <c r="K28747" s="18" t="s">
        <v>316</v>
      </c>
    </row>
    <row r="28748">
      <c r="A28748" s="17"/>
      <c r="H28748" s="18"/>
      <c r="K28748" s="18" t="s">
        <v>316</v>
      </c>
    </row>
    <row r="28749">
      <c r="A28749" s="17"/>
      <c r="H28749" s="18"/>
      <c r="K28749" s="18" t="s">
        <v>316</v>
      </c>
    </row>
    <row r="28750">
      <c r="A28750" s="17"/>
      <c r="H28750" s="18"/>
      <c r="K28750" s="18" t="s">
        <v>316</v>
      </c>
    </row>
    <row r="28751">
      <c r="A28751" s="17"/>
      <c r="H28751" s="18"/>
      <c r="K28751" s="18" t="s">
        <v>316</v>
      </c>
    </row>
    <row r="28752">
      <c r="A28752" s="17"/>
      <c r="H28752" s="18"/>
      <c r="K28752" s="18" t="s">
        <v>316</v>
      </c>
    </row>
    <row r="28753">
      <c r="A28753" s="17"/>
      <c r="H28753" s="18"/>
      <c r="K28753" s="18" t="s">
        <v>316</v>
      </c>
    </row>
    <row r="28754">
      <c r="A28754" s="17"/>
      <c r="H28754" s="18"/>
      <c r="K28754" s="18" t="s">
        <v>316</v>
      </c>
    </row>
    <row r="28755">
      <c r="A28755" s="17"/>
      <c r="H28755" s="18"/>
      <c r="K28755" s="18" t="s">
        <v>316</v>
      </c>
    </row>
    <row r="28756">
      <c r="A28756" s="17"/>
      <c r="H28756" s="18"/>
      <c r="K28756" s="18" t="s">
        <v>316</v>
      </c>
    </row>
    <row r="28757">
      <c r="A28757" s="17"/>
      <c r="H28757" s="18"/>
      <c r="K28757" s="18" t="s">
        <v>316</v>
      </c>
    </row>
    <row r="28758">
      <c r="A28758" s="17"/>
      <c r="H28758" s="18"/>
      <c r="K28758" s="18" t="s">
        <v>316</v>
      </c>
    </row>
    <row r="28759">
      <c r="A28759" s="17"/>
      <c r="H28759" s="18"/>
      <c r="K28759" s="18" t="s">
        <v>316</v>
      </c>
    </row>
    <row r="28760">
      <c r="A28760" s="17"/>
      <c r="H28760" s="18"/>
      <c r="K28760" s="18" t="s">
        <v>316</v>
      </c>
    </row>
    <row r="28761">
      <c r="A28761" s="17"/>
      <c r="H28761" s="18"/>
      <c r="K28761" s="18" t="s">
        <v>316</v>
      </c>
    </row>
    <row r="28762">
      <c r="A28762" s="17"/>
      <c r="H28762" s="18"/>
      <c r="K28762" s="18" t="s">
        <v>316</v>
      </c>
    </row>
    <row r="28763">
      <c r="A28763" s="17"/>
      <c r="H28763" s="18"/>
      <c r="K28763" s="18" t="s">
        <v>316</v>
      </c>
    </row>
    <row r="28764">
      <c r="A28764" s="17"/>
      <c r="H28764" s="18"/>
      <c r="K28764" s="18" t="s">
        <v>316</v>
      </c>
    </row>
    <row r="28765">
      <c r="A28765" s="17"/>
      <c r="H28765" s="18"/>
      <c r="K28765" s="18" t="s">
        <v>316</v>
      </c>
    </row>
    <row r="28766">
      <c r="A28766" s="17"/>
      <c r="H28766" s="18"/>
      <c r="K28766" s="18" t="s">
        <v>316</v>
      </c>
    </row>
    <row r="28767">
      <c r="A28767" s="17"/>
      <c r="H28767" s="18"/>
      <c r="K28767" s="18" t="s">
        <v>316</v>
      </c>
    </row>
    <row r="28768">
      <c r="A28768" s="17"/>
      <c r="H28768" s="18"/>
      <c r="K28768" s="18" t="s">
        <v>316</v>
      </c>
    </row>
    <row r="28769">
      <c r="A28769" s="17"/>
      <c r="H28769" s="18"/>
      <c r="K28769" s="18" t="s">
        <v>316</v>
      </c>
    </row>
    <row r="28770">
      <c r="A28770" s="17"/>
      <c r="H28770" s="18"/>
      <c r="K28770" s="18" t="s">
        <v>316</v>
      </c>
    </row>
    <row r="28771">
      <c r="A28771" s="17"/>
      <c r="H28771" s="18"/>
      <c r="K28771" s="18" t="s">
        <v>316</v>
      </c>
    </row>
    <row r="28772">
      <c r="A28772" s="17"/>
      <c r="H28772" s="18"/>
      <c r="K28772" s="18" t="s">
        <v>316</v>
      </c>
    </row>
    <row r="28773">
      <c r="A28773" s="17"/>
      <c r="H28773" s="18"/>
      <c r="K28773" s="18" t="s">
        <v>316</v>
      </c>
    </row>
    <row r="28774">
      <c r="A28774" s="17"/>
      <c r="H28774" s="18"/>
      <c r="K28774" s="18" t="s">
        <v>316</v>
      </c>
    </row>
    <row r="28775">
      <c r="A28775" s="17"/>
      <c r="H28775" s="18"/>
      <c r="K28775" s="18" t="s">
        <v>316</v>
      </c>
    </row>
    <row r="28776">
      <c r="A28776" s="17"/>
      <c r="H28776" s="18"/>
      <c r="K28776" s="18" t="s">
        <v>316</v>
      </c>
    </row>
    <row r="28777">
      <c r="A28777" s="17"/>
      <c r="H28777" s="18"/>
      <c r="K28777" s="18" t="s">
        <v>316</v>
      </c>
    </row>
    <row r="28778">
      <c r="A28778" s="17"/>
      <c r="H28778" s="18"/>
      <c r="K28778" s="18" t="s">
        <v>316</v>
      </c>
    </row>
    <row r="28779">
      <c r="A28779" s="17"/>
      <c r="H28779" s="18"/>
      <c r="K28779" s="18" t="s">
        <v>316</v>
      </c>
    </row>
    <row r="28780">
      <c r="A28780" s="17"/>
      <c r="H28780" s="18"/>
      <c r="K28780" s="18" t="s">
        <v>316</v>
      </c>
    </row>
    <row r="28781">
      <c r="A28781" s="17"/>
      <c r="H28781" s="18"/>
      <c r="K28781" s="18" t="s">
        <v>316</v>
      </c>
    </row>
    <row r="28782">
      <c r="A28782" s="17"/>
      <c r="H28782" s="18"/>
      <c r="K28782" s="18" t="s">
        <v>316</v>
      </c>
    </row>
    <row r="28783">
      <c r="A28783" s="17"/>
      <c r="H28783" s="18"/>
      <c r="K28783" s="18" t="s">
        <v>316</v>
      </c>
    </row>
    <row r="28784">
      <c r="A28784" s="17"/>
      <c r="H28784" s="18"/>
      <c r="K28784" s="18" t="s">
        <v>316</v>
      </c>
    </row>
    <row r="28785">
      <c r="A28785" s="17"/>
      <c r="H28785" s="18"/>
      <c r="K28785" s="18" t="s">
        <v>316</v>
      </c>
    </row>
    <row r="28786">
      <c r="A28786" s="17"/>
      <c r="H28786" s="18"/>
      <c r="K28786" s="18" t="s">
        <v>316</v>
      </c>
    </row>
    <row r="28787">
      <c r="A28787" s="17"/>
      <c r="H28787" s="18"/>
      <c r="K28787" s="18" t="s">
        <v>316</v>
      </c>
    </row>
    <row r="28788">
      <c r="A28788" s="17"/>
      <c r="H28788" s="18"/>
      <c r="K28788" s="18" t="s">
        <v>316</v>
      </c>
    </row>
    <row r="28789">
      <c r="A28789" s="17"/>
      <c r="H28789" s="18"/>
      <c r="K28789" s="18" t="s">
        <v>316</v>
      </c>
    </row>
    <row r="28790">
      <c r="A28790" s="17"/>
      <c r="H28790" s="18"/>
      <c r="K28790" s="18" t="s">
        <v>316</v>
      </c>
    </row>
    <row r="28791">
      <c r="A28791" s="17"/>
      <c r="H28791" s="18"/>
      <c r="K28791" s="18" t="s">
        <v>316</v>
      </c>
    </row>
    <row r="28792">
      <c r="A28792" s="17"/>
      <c r="H28792" s="18"/>
      <c r="K28792" s="18" t="s">
        <v>316</v>
      </c>
    </row>
    <row r="28793">
      <c r="A28793" s="17"/>
      <c r="H28793" s="18"/>
      <c r="K28793" s="18" t="s">
        <v>316</v>
      </c>
    </row>
    <row r="28794">
      <c r="A28794" s="17"/>
      <c r="H28794" s="18"/>
      <c r="K28794" s="18" t="s">
        <v>316</v>
      </c>
    </row>
    <row r="28795">
      <c r="A28795" s="17"/>
      <c r="H28795" s="18"/>
      <c r="K28795" s="18" t="s">
        <v>316</v>
      </c>
    </row>
    <row r="28796">
      <c r="A28796" s="17"/>
      <c r="H28796" s="18"/>
      <c r="K28796" s="18" t="s">
        <v>316</v>
      </c>
    </row>
    <row r="28797">
      <c r="A28797" s="17"/>
      <c r="H28797" s="18"/>
      <c r="K28797" s="18" t="s">
        <v>316</v>
      </c>
    </row>
    <row r="28798">
      <c r="A28798" s="17"/>
      <c r="H28798" s="18"/>
      <c r="K28798" s="18" t="s">
        <v>316</v>
      </c>
    </row>
    <row r="28799">
      <c r="A28799" s="17"/>
      <c r="H28799" s="18"/>
      <c r="K28799" s="18" t="s">
        <v>316</v>
      </c>
    </row>
    <row r="28800">
      <c r="A28800" s="17"/>
      <c r="H28800" s="18"/>
      <c r="K28800" s="18" t="s">
        <v>316</v>
      </c>
    </row>
    <row r="28801">
      <c r="A28801" s="17"/>
      <c r="H28801" s="18"/>
      <c r="K28801" s="18" t="s">
        <v>316</v>
      </c>
    </row>
    <row r="28802">
      <c r="A28802" s="17"/>
      <c r="H28802" s="18"/>
      <c r="K28802" s="18" t="s">
        <v>316</v>
      </c>
    </row>
    <row r="28803">
      <c r="A28803" s="17"/>
      <c r="H28803" s="18"/>
      <c r="K28803" s="18" t="s">
        <v>316</v>
      </c>
    </row>
    <row r="28804">
      <c r="A28804" s="17"/>
      <c r="H28804" s="18"/>
      <c r="K28804" s="18" t="s">
        <v>316</v>
      </c>
    </row>
    <row r="28805">
      <c r="A28805" s="17"/>
      <c r="H28805" s="18"/>
      <c r="K28805" s="18" t="s">
        <v>316</v>
      </c>
    </row>
    <row r="28806">
      <c r="A28806" s="17"/>
      <c r="H28806" s="18"/>
      <c r="K28806" s="18" t="s">
        <v>316</v>
      </c>
    </row>
    <row r="28807">
      <c r="A28807" s="17"/>
      <c r="H28807" s="18"/>
      <c r="K28807" s="18" t="s">
        <v>316</v>
      </c>
    </row>
    <row r="28808">
      <c r="A28808" s="17"/>
      <c r="H28808" s="18"/>
      <c r="K28808" s="18" t="s">
        <v>316</v>
      </c>
    </row>
    <row r="28809">
      <c r="A28809" s="17"/>
      <c r="H28809" s="18"/>
      <c r="K28809" s="18" t="s">
        <v>316</v>
      </c>
    </row>
    <row r="28810">
      <c r="A28810" s="17"/>
      <c r="H28810" s="18"/>
      <c r="K28810" s="18" t="s">
        <v>316</v>
      </c>
    </row>
    <row r="28811">
      <c r="A28811" s="17"/>
      <c r="H28811" s="18"/>
      <c r="K28811" s="18" t="s">
        <v>316</v>
      </c>
    </row>
    <row r="28812">
      <c r="A28812" s="17"/>
      <c r="H28812" s="18"/>
      <c r="K28812" s="18" t="s">
        <v>316</v>
      </c>
    </row>
    <row r="28813">
      <c r="A28813" s="17"/>
      <c r="H28813" s="18"/>
      <c r="K28813" s="18" t="s">
        <v>316</v>
      </c>
    </row>
    <row r="28814">
      <c r="A28814" s="17"/>
      <c r="H28814" s="18"/>
      <c r="K28814" s="18" t="s">
        <v>316</v>
      </c>
    </row>
    <row r="28815">
      <c r="A28815" s="17"/>
      <c r="H28815" s="18"/>
      <c r="K28815" s="18" t="s">
        <v>316</v>
      </c>
    </row>
    <row r="28816">
      <c r="A28816" s="17"/>
      <c r="H28816" s="18"/>
      <c r="K28816" s="18" t="s">
        <v>316</v>
      </c>
    </row>
    <row r="28817">
      <c r="A28817" s="17"/>
      <c r="H28817" s="18"/>
      <c r="K28817" s="18" t="s">
        <v>316</v>
      </c>
    </row>
    <row r="28818">
      <c r="A28818" s="17"/>
      <c r="H28818" s="18"/>
      <c r="K28818" s="18" t="s">
        <v>316</v>
      </c>
    </row>
    <row r="28819">
      <c r="A28819" s="17"/>
      <c r="H28819" s="18"/>
      <c r="K28819" s="18" t="s">
        <v>316</v>
      </c>
    </row>
    <row r="28820">
      <c r="A28820" s="17"/>
      <c r="H28820" s="18"/>
      <c r="K28820" s="18" t="s">
        <v>316</v>
      </c>
    </row>
    <row r="28821">
      <c r="A28821" s="17"/>
      <c r="H28821" s="18"/>
      <c r="K28821" s="18" t="s">
        <v>316</v>
      </c>
    </row>
    <row r="28822">
      <c r="A28822" s="17"/>
      <c r="H28822" s="18"/>
      <c r="K28822" s="18" t="s">
        <v>316</v>
      </c>
    </row>
    <row r="28823">
      <c r="A28823" s="17"/>
      <c r="H28823" s="18"/>
      <c r="K28823" s="18" t="s">
        <v>316</v>
      </c>
    </row>
    <row r="28824">
      <c r="A28824" s="17"/>
      <c r="H28824" s="18"/>
      <c r="K28824" s="18" t="s">
        <v>316</v>
      </c>
    </row>
    <row r="28825">
      <c r="A28825" s="17"/>
      <c r="H28825" s="18"/>
      <c r="K28825" s="18" t="s">
        <v>316</v>
      </c>
    </row>
    <row r="28826">
      <c r="A28826" s="17"/>
      <c r="H28826" s="18"/>
      <c r="K28826" s="18" t="s">
        <v>316</v>
      </c>
    </row>
    <row r="28827">
      <c r="A28827" s="17"/>
      <c r="H28827" s="18"/>
      <c r="K28827" s="18" t="s">
        <v>316</v>
      </c>
    </row>
    <row r="28828">
      <c r="A28828" s="17"/>
      <c r="H28828" s="18"/>
      <c r="K28828" s="18" t="s">
        <v>316</v>
      </c>
    </row>
    <row r="28829">
      <c r="A28829" s="17"/>
      <c r="H28829" s="18"/>
      <c r="K28829" s="18" t="s">
        <v>316</v>
      </c>
    </row>
    <row r="28830">
      <c r="A28830" s="17"/>
      <c r="H28830" s="18"/>
      <c r="K28830" s="18" t="s">
        <v>316</v>
      </c>
    </row>
    <row r="28831">
      <c r="A28831" s="17"/>
      <c r="H28831" s="18"/>
      <c r="K28831" s="18" t="s">
        <v>316</v>
      </c>
    </row>
    <row r="28832">
      <c r="A28832" s="17"/>
      <c r="H28832" s="18"/>
      <c r="K28832" s="18" t="s">
        <v>316</v>
      </c>
    </row>
    <row r="28833">
      <c r="A28833" s="17"/>
      <c r="H28833" s="18"/>
      <c r="K28833" s="18" t="s">
        <v>316</v>
      </c>
    </row>
    <row r="28834">
      <c r="A28834" s="17"/>
      <c r="H28834" s="18"/>
      <c r="K28834" s="18" t="s">
        <v>316</v>
      </c>
    </row>
    <row r="28835">
      <c r="A28835" s="17"/>
      <c r="H28835" s="18"/>
      <c r="K28835" s="18" t="s">
        <v>316</v>
      </c>
    </row>
    <row r="28836">
      <c r="A28836" s="17"/>
      <c r="H28836" s="18"/>
      <c r="K28836" s="18" t="s">
        <v>316</v>
      </c>
    </row>
    <row r="28837">
      <c r="A28837" s="17"/>
      <c r="H28837" s="18"/>
      <c r="K28837" s="18" t="s">
        <v>316</v>
      </c>
    </row>
    <row r="28838">
      <c r="A28838" s="17"/>
      <c r="H28838" s="18"/>
      <c r="K28838" s="18" t="s">
        <v>316</v>
      </c>
    </row>
    <row r="28839">
      <c r="A28839" s="17"/>
      <c r="H28839" s="18"/>
      <c r="K28839" s="18" t="s">
        <v>316</v>
      </c>
    </row>
    <row r="28840">
      <c r="A28840" s="17"/>
      <c r="H28840" s="18"/>
      <c r="K28840" s="18" t="s">
        <v>316</v>
      </c>
    </row>
    <row r="28841">
      <c r="A28841" s="17"/>
      <c r="H28841" s="18"/>
      <c r="K28841" s="18" t="s">
        <v>316</v>
      </c>
    </row>
    <row r="28842">
      <c r="A28842" s="17"/>
      <c r="H28842" s="18"/>
      <c r="K28842" s="18" t="s">
        <v>316</v>
      </c>
    </row>
    <row r="28843">
      <c r="A28843" s="17"/>
      <c r="H28843" s="18"/>
      <c r="K28843" s="18" t="s">
        <v>316</v>
      </c>
    </row>
    <row r="28844">
      <c r="A28844" s="17"/>
      <c r="H28844" s="18"/>
      <c r="K28844" s="18" t="s">
        <v>316</v>
      </c>
    </row>
    <row r="28845">
      <c r="A28845" s="17"/>
      <c r="H28845" s="18"/>
      <c r="K28845" s="18" t="s">
        <v>316</v>
      </c>
    </row>
    <row r="28846">
      <c r="A28846" s="17"/>
      <c r="H28846" s="18"/>
      <c r="K28846" s="18" t="s">
        <v>316</v>
      </c>
    </row>
    <row r="28847">
      <c r="A28847" s="17"/>
      <c r="H28847" s="18"/>
      <c r="K28847" s="18" t="s">
        <v>316</v>
      </c>
    </row>
    <row r="28848">
      <c r="A28848" s="17"/>
      <c r="H28848" s="18"/>
      <c r="K28848" s="18" t="s">
        <v>316</v>
      </c>
    </row>
    <row r="28849">
      <c r="A28849" s="17"/>
      <c r="H28849" s="18"/>
      <c r="K28849" s="18" t="s">
        <v>316</v>
      </c>
    </row>
    <row r="28850">
      <c r="A28850" s="17"/>
      <c r="H28850" s="18"/>
      <c r="K28850" s="18" t="s">
        <v>316</v>
      </c>
    </row>
    <row r="28851">
      <c r="A28851" s="17"/>
      <c r="H28851" s="18"/>
      <c r="K28851" s="18" t="s">
        <v>316</v>
      </c>
    </row>
    <row r="28852">
      <c r="A28852" s="17"/>
      <c r="H28852" s="18"/>
      <c r="K28852" s="18" t="s">
        <v>316</v>
      </c>
    </row>
    <row r="28853">
      <c r="A28853" s="17"/>
      <c r="H28853" s="18"/>
      <c r="K28853" s="18" t="s">
        <v>316</v>
      </c>
    </row>
    <row r="28854">
      <c r="A28854" s="17"/>
      <c r="H28854" s="18"/>
      <c r="K28854" s="18" t="s">
        <v>316</v>
      </c>
    </row>
    <row r="28855">
      <c r="A28855" s="17"/>
      <c r="H28855" s="18"/>
      <c r="K28855" s="18" t="s">
        <v>316</v>
      </c>
    </row>
    <row r="28856">
      <c r="A28856" s="17"/>
      <c r="H28856" s="18"/>
      <c r="K28856" s="18" t="s">
        <v>316</v>
      </c>
    </row>
    <row r="28857">
      <c r="A28857" s="17"/>
      <c r="H28857" s="18"/>
      <c r="K28857" s="18" t="s">
        <v>316</v>
      </c>
    </row>
    <row r="28858">
      <c r="A28858" s="17"/>
      <c r="H28858" s="18"/>
      <c r="K28858" s="18" t="s">
        <v>316</v>
      </c>
    </row>
    <row r="28859">
      <c r="A28859" s="17"/>
      <c r="H28859" s="18"/>
      <c r="K28859" s="18" t="s">
        <v>316</v>
      </c>
    </row>
    <row r="28860">
      <c r="A28860" s="17"/>
      <c r="H28860" s="18"/>
      <c r="K28860" s="18" t="s">
        <v>316</v>
      </c>
    </row>
    <row r="28861">
      <c r="A28861" s="17"/>
      <c r="H28861" s="18"/>
      <c r="K28861" s="18" t="s">
        <v>316</v>
      </c>
    </row>
    <row r="28862">
      <c r="A28862" s="17"/>
      <c r="H28862" s="18"/>
      <c r="K28862" s="18" t="s">
        <v>316</v>
      </c>
    </row>
    <row r="28863">
      <c r="A28863" s="17"/>
      <c r="H28863" s="18"/>
      <c r="K28863" s="18" t="s">
        <v>316</v>
      </c>
    </row>
    <row r="28864">
      <c r="A28864" s="17"/>
      <c r="H28864" s="18"/>
      <c r="K28864" s="18" t="s">
        <v>316</v>
      </c>
    </row>
    <row r="28865">
      <c r="A28865" s="17"/>
      <c r="H28865" s="18"/>
      <c r="K28865" s="18" t="s">
        <v>316</v>
      </c>
    </row>
    <row r="28866">
      <c r="A28866" s="17"/>
      <c r="H28866" s="18"/>
      <c r="K28866" s="18" t="s">
        <v>316</v>
      </c>
    </row>
    <row r="28867">
      <c r="A28867" s="17"/>
      <c r="H28867" s="18"/>
      <c r="K28867" s="18" t="s">
        <v>316</v>
      </c>
    </row>
    <row r="28868">
      <c r="A28868" s="17"/>
      <c r="H28868" s="18"/>
      <c r="K28868" s="18" t="s">
        <v>316</v>
      </c>
    </row>
    <row r="28869">
      <c r="A28869" s="17"/>
      <c r="H28869" s="18"/>
      <c r="K28869" s="18" t="s">
        <v>316</v>
      </c>
    </row>
    <row r="28870">
      <c r="A28870" s="17"/>
      <c r="H28870" s="18"/>
      <c r="K28870" s="18" t="s">
        <v>316</v>
      </c>
    </row>
    <row r="28871">
      <c r="A28871" s="17"/>
      <c r="H28871" s="18"/>
      <c r="K28871" s="18" t="s">
        <v>316</v>
      </c>
    </row>
    <row r="28872">
      <c r="A28872" s="17"/>
      <c r="H28872" s="18"/>
      <c r="K28872" s="18" t="s">
        <v>316</v>
      </c>
    </row>
    <row r="28873">
      <c r="A28873" s="17"/>
      <c r="H28873" s="18"/>
      <c r="K28873" s="18" t="s">
        <v>316</v>
      </c>
    </row>
    <row r="28874">
      <c r="A28874" s="17"/>
      <c r="H28874" s="18"/>
      <c r="K28874" s="18" t="s">
        <v>316</v>
      </c>
    </row>
    <row r="28875">
      <c r="A28875" s="17"/>
      <c r="H28875" s="18"/>
      <c r="K28875" s="18" t="s">
        <v>316</v>
      </c>
    </row>
    <row r="28876">
      <c r="A28876" s="17"/>
      <c r="H28876" s="18"/>
      <c r="K28876" s="18" t="s">
        <v>316</v>
      </c>
    </row>
    <row r="28877">
      <c r="A28877" s="17"/>
      <c r="H28877" s="18"/>
      <c r="K28877" s="18" t="s">
        <v>316</v>
      </c>
    </row>
    <row r="28878">
      <c r="A28878" s="17"/>
      <c r="H28878" s="18"/>
      <c r="K28878" s="18" t="s">
        <v>316</v>
      </c>
    </row>
    <row r="28879">
      <c r="A28879" s="17"/>
      <c r="H28879" s="18"/>
      <c r="K28879" s="18" t="s">
        <v>316</v>
      </c>
    </row>
    <row r="28880">
      <c r="A28880" s="17"/>
      <c r="H28880" s="18"/>
      <c r="K28880" s="18" t="s">
        <v>316</v>
      </c>
    </row>
    <row r="28881">
      <c r="A28881" s="17"/>
      <c r="H28881" s="18"/>
      <c r="K28881" s="18" t="s">
        <v>316</v>
      </c>
    </row>
    <row r="28882">
      <c r="A28882" s="17"/>
      <c r="H28882" s="18"/>
      <c r="K28882" s="18" t="s">
        <v>316</v>
      </c>
    </row>
    <row r="28883">
      <c r="A28883" s="17"/>
      <c r="H28883" s="18"/>
      <c r="K28883" s="18" t="s">
        <v>316</v>
      </c>
    </row>
    <row r="28884">
      <c r="A28884" s="17"/>
      <c r="H28884" s="18"/>
      <c r="K28884" s="18" t="s">
        <v>316</v>
      </c>
    </row>
    <row r="28885">
      <c r="A28885" s="17"/>
      <c r="H28885" s="18"/>
      <c r="K28885" s="18" t="s">
        <v>316</v>
      </c>
    </row>
    <row r="28886">
      <c r="A28886" s="17"/>
      <c r="H28886" s="18"/>
      <c r="K28886" s="18" t="s">
        <v>316</v>
      </c>
    </row>
    <row r="28887">
      <c r="A28887" s="17"/>
      <c r="H28887" s="18"/>
      <c r="K28887" s="18" t="s">
        <v>316</v>
      </c>
    </row>
    <row r="28888">
      <c r="A28888" s="17"/>
      <c r="H28888" s="18"/>
      <c r="K28888" s="18" t="s">
        <v>316</v>
      </c>
    </row>
    <row r="28889">
      <c r="A28889" s="17"/>
      <c r="H28889" s="18"/>
      <c r="K28889" s="18" t="s">
        <v>316</v>
      </c>
    </row>
    <row r="28890">
      <c r="A28890" s="17"/>
      <c r="H28890" s="18"/>
      <c r="K28890" s="18" t="s">
        <v>316</v>
      </c>
    </row>
    <row r="28891">
      <c r="A28891" s="17"/>
      <c r="H28891" s="18"/>
      <c r="K28891" s="18" t="s">
        <v>316</v>
      </c>
    </row>
    <row r="28892">
      <c r="A28892" s="17"/>
      <c r="H28892" s="18"/>
      <c r="K28892" s="18" t="s">
        <v>316</v>
      </c>
    </row>
    <row r="28893">
      <c r="A28893" s="17"/>
      <c r="H28893" s="18"/>
      <c r="K28893" s="18" t="s">
        <v>316</v>
      </c>
    </row>
    <row r="28894">
      <c r="A28894" s="17"/>
      <c r="H28894" s="18"/>
      <c r="K28894" s="18" t="s">
        <v>316</v>
      </c>
    </row>
    <row r="28895">
      <c r="A28895" s="17"/>
      <c r="H28895" s="18"/>
      <c r="K28895" s="18" t="s">
        <v>316</v>
      </c>
    </row>
    <row r="28896">
      <c r="A28896" s="17"/>
      <c r="H28896" s="18"/>
      <c r="K28896" s="18" t="s">
        <v>316</v>
      </c>
    </row>
    <row r="28897">
      <c r="A28897" s="17"/>
      <c r="H28897" s="18"/>
      <c r="K28897" s="18" t="s">
        <v>316</v>
      </c>
    </row>
    <row r="28898">
      <c r="A28898" s="17"/>
      <c r="H28898" s="18"/>
      <c r="K28898" s="18" t="s">
        <v>316</v>
      </c>
    </row>
    <row r="28899">
      <c r="A28899" s="17"/>
      <c r="H28899" s="18"/>
      <c r="K28899" s="18" t="s">
        <v>316</v>
      </c>
    </row>
    <row r="28900">
      <c r="A28900" s="17"/>
      <c r="H28900" s="18"/>
      <c r="K28900" s="18" t="s">
        <v>316</v>
      </c>
    </row>
    <row r="28901">
      <c r="A28901" s="17"/>
      <c r="H28901" s="18"/>
      <c r="K28901" s="18" t="s">
        <v>316</v>
      </c>
    </row>
    <row r="28902">
      <c r="A28902" s="17"/>
      <c r="H28902" s="18"/>
      <c r="K28902" s="18" t="s">
        <v>316</v>
      </c>
    </row>
    <row r="28903">
      <c r="A28903" s="17"/>
      <c r="H28903" s="18"/>
      <c r="K28903" s="18" t="s">
        <v>316</v>
      </c>
    </row>
    <row r="28904">
      <c r="A28904" s="17"/>
      <c r="H28904" s="18"/>
      <c r="K28904" s="18" t="s">
        <v>316</v>
      </c>
    </row>
    <row r="28905">
      <c r="A28905" s="17"/>
      <c r="H28905" s="18"/>
      <c r="K28905" s="18" t="s">
        <v>316</v>
      </c>
    </row>
    <row r="28906">
      <c r="A28906" s="17"/>
      <c r="H28906" s="18"/>
      <c r="K28906" s="18" t="s">
        <v>316</v>
      </c>
    </row>
    <row r="28907">
      <c r="A28907" s="17"/>
      <c r="H28907" s="18"/>
      <c r="K28907" s="18" t="s">
        <v>316</v>
      </c>
    </row>
    <row r="28908">
      <c r="A28908" s="17"/>
      <c r="H28908" s="18"/>
      <c r="K28908" s="18" t="s">
        <v>316</v>
      </c>
    </row>
    <row r="28909">
      <c r="A28909" s="17"/>
      <c r="H28909" s="18"/>
      <c r="K28909" s="18" t="s">
        <v>316</v>
      </c>
    </row>
    <row r="28910">
      <c r="A28910" s="17"/>
      <c r="H28910" s="18"/>
      <c r="K28910" s="18" t="s">
        <v>316</v>
      </c>
    </row>
    <row r="28911">
      <c r="A28911" s="17"/>
      <c r="H28911" s="18"/>
      <c r="K28911" s="18" t="s">
        <v>316</v>
      </c>
    </row>
    <row r="28912">
      <c r="A28912" s="17"/>
      <c r="H28912" s="18"/>
      <c r="K28912" s="18" t="s">
        <v>316</v>
      </c>
    </row>
    <row r="28913">
      <c r="A28913" s="17"/>
      <c r="H28913" s="18"/>
      <c r="K28913" s="18" t="s">
        <v>316</v>
      </c>
    </row>
    <row r="28914">
      <c r="A28914" s="17"/>
      <c r="H28914" s="18"/>
      <c r="K28914" s="18" t="s">
        <v>316</v>
      </c>
    </row>
    <row r="28915">
      <c r="A28915" s="17"/>
      <c r="H28915" s="18"/>
      <c r="K28915" s="18" t="s">
        <v>316</v>
      </c>
    </row>
    <row r="28916">
      <c r="A28916" s="17"/>
      <c r="H28916" s="18"/>
      <c r="K28916" s="18" t="s">
        <v>316</v>
      </c>
    </row>
    <row r="28917">
      <c r="A28917" s="17"/>
      <c r="H28917" s="18"/>
      <c r="K28917" s="18" t="s">
        <v>316</v>
      </c>
    </row>
    <row r="28918">
      <c r="A28918" s="17"/>
      <c r="H28918" s="18"/>
      <c r="K28918" s="18" t="s">
        <v>316</v>
      </c>
    </row>
    <row r="28919">
      <c r="A28919" s="17"/>
      <c r="H28919" s="18"/>
      <c r="K28919" s="18" t="s">
        <v>316</v>
      </c>
    </row>
    <row r="28920">
      <c r="A28920" s="17"/>
      <c r="H28920" s="18"/>
      <c r="K28920" s="18" t="s">
        <v>316</v>
      </c>
    </row>
    <row r="28921">
      <c r="A28921" s="17"/>
      <c r="H28921" s="18"/>
      <c r="K28921" s="18" t="s">
        <v>316</v>
      </c>
    </row>
    <row r="28922">
      <c r="A28922" s="17"/>
      <c r="H28922" s="18"/>
      <c r="K28922" s="18" t="s">
        <v>316</v>
      </c>
    </row>
    <row r="28923">
      <c r="A28923" s="17"/>
      <c r="H28923" s="18"/>
      <c r="K28923" s="18" t="s">
        <v>316</v>
      </c>
    </row>
    <row r="28924">
      <c r="A28924" s="17"/>
      <c r="H28924" s="18"/>
      <c r="K28924" s="18" t="s">
        <v>316</v>
      </c>
    </row>
    <row r="28925">
      <c r="A28925" s="17"/>
      <c r="H28925" s="18"/>
      <c r="K28925" s="18" t="s">
        <v>316</v>
      </c>
    </row>
    <row r="28926">
      <c r="A28926" s="17"/>
      <c r="H28926" s="18"/>
      <c r="K28926" s="18" t="s">
        <v>316</v>
      </c>
    </row>
    <row r="28927">
      <c r="A28927" s="17"/>
      <c r="H28927" s="18"/>
      <c r="K28927" s="18" t="s">
        <v>316</v>
      </c>
    </row>
    <row r="28928">
      <c r="A28928" s="17"/>
      <c r="H28928" s="18"/>
      <c r="K28928" s="18" t="s">
        <v>316</v>
      </c>
    </row>
    <row r="28929">
      <c r="A28929" s="17"/>
      <c r="H28929" s="18"/>
      <c r="K28929" s="18" t="s">
        <v>316</v>
      </c>
    </row>
    <row r="28930">
      <c r="A28930" s="17"/>
      <c r="H28930" s="18"/>
      <c r="K28930" s="18" t="s">
        <v>316</v>
      </c>
    </row>
    <row r="28931">
      <c r="A28931" s="17"/>
      <c r="H28931" s="18"/>
      <c r="K28931" s="18" t="s">
        <v>316</v>
      </c>
    </row>
    <row r="28932">
      <c r="A28932" s="17"/>
      <c r="H28932" s="18"/>
      <c r="K28932" s="18" t="s">
        <v>316</v>
      </c>
    </row>
    <row r="28933">
      <c r="A28933" s="17"/>
      <c r="H28933" s="18"/>
      <c r="K28933" s="18" t="s">
        <v>316</v>
      </c>
    </row>
    <row r="28934">
      <c r="A28934" s="17"/>
      <c r="H28934" s="18"/>
      <c r="K28934" s="18" t="s">
        <v>316</v>
      </c>
    </row>
    <row r="28935">
      <c r="A28935" s="17"/>
      <c r="H28935" s="18"/>
      <c r="K28935" s="18" t="s">
        <v>316</v>
      </c>
    </row>
    <row r="28936">
      <c r="A28936" s="17"/>
      <c r="H28936" s="18"/>
      <c r="K28936" s="18" t="s">
        <v>316</v>
      </c>
    </row>
    <row r="28937">
      <c r="A28937" s="17"/>
      <c r="H28937" s="18"/>
      <c r="K28937" s="18" t="s">
        <v>316</v>
      </c>
    </row>
    <row r="28938">
      <c r="A28938" s="17"/>
      <c r="H28938" s="18"/>
      <c r="K28938" s="18" t="s">
        <v>316</v>
      </c>
    </row>
    <row r="28939">
      <c r="A28939" s="17"/>
      <c r="H28939" s="18"/>
      <c r="K28939" s="18" t="s">
        <v>316</v>
      </c>
    </row>
    <row r="28940">
      <c r="A28940" s="17"/>
      <c r="H28940" s="18"/>
      <c r="K28940" s="18" t="s">
        <v>316</v>
      </c>
    </row>
    <row r="28941">
      <c r="A28941" s="17"/>
      <c r="H28941" s="18"/>
      <c r="K28941" s="18" t="s">
        <v>316</v>
      </c>
    </row>
    <row r="28942">
      <c r="A28942" s="17"/>
      <c r="H28942" s="18"/>
      <c r="K28942" s="18" t="s">
        <v>316</v>
      </c>
    </row>
    <row r="28943">
      <c r="A28943" s="17"/>
      <c r="H28943" s="18"/>
      <c r="K28943" s="18" t="s">
        <v>316</v>
      </c>
    </row>
    <row r="28944">
      <c r="A28944" s="17"/>
      <c r="H28944" s="18"/>
      <c r="K28944" s="18" t="s">
        <v>316</v>
      </c>
    </row>
    <row r="28945">
      <c r="A28945" s="17"/>
      <c r="H28945" s="18"/>
      <c r="K28945" s="18" t="s">
        <v>316</v>
      </c>
    </row>
    <row r="28946">
      <c r="A28946" s="17"/>
      <c r="H28946" s="18"/>
      <c r="K28946" s="18" t="s">
        <v>316</v>
      </c>
    </row>
    <row r="28947">
      <c r="A28947" s="17"/>
      <c r="H28947" s="18"/>
      <c r="K28947" s="18" t="s">
        <v>316</v>
      </c>
    </row>
    <row r="28948">
      <c r="A28948" s="17"/>
      <c r="H28948" s="18"/>
      <c r="K28948" s="18" t="s">
        <v>316</v>
      </c>
    </row>
    <row r="28949">
      <c r="A28949" s="17"/>
      <c r="H28949" s="18"/>
      <c r="K28949" s="18" t="s">
        <v>316</v>
      </c>
    </row>
    <row r="28950">
      <c r="A28950" s="17"/>
      <c r="H28950" s="18"/>
      <c r="K28950" s="18" t="s">
        <v>316</v>
      </c>
    </row>
    <row r="28951">
      <c r="A28951" s="17"/>
      <c r="H28951" s="18"/>
      <c r="K28951" s="18" t="s">
        <v>316</v>
      </c>
    </row>
    <row r="28952">
      <c r="A28952" s="17"/>
      <c r="H28952" s="18"/>
      <c r="K28952" s="18" t="s">
        <v>316</v>
      </c>
    </row>
    <row r="28953">
      <c r="A28953" s="17"/>
      <c r="H28953" s="18"/>
      <c r="K28953" s="18" t="s">
        <v>316</v>
      </c>
    </row>
    <row r="28954">
      <c r="A28954" s="17"/>
      <c r="H28954" s="18"/>
      <c r="K28954" s="18" t="s">
        <v>316</v>
      </c>
    </row>
    <row r="28955">
      <c r="A28955" s="17"/>
      <c r="H28955" s="18"/>
      <c r="K28955" s="18" t="s">
        <v>316</v>
      </c>
    </row>
    <row r="28956">
      <c r="A28956" s="17"/>
      <c r="H28956" s="18"/>
      <c r="K28956" s="18" t="s">
        <v>316</v>
      </c>
    </row>
    <row r="28957">
      <c r="A28957" s="17"/>
      <c r="H28957" s="18"/>
      <c r="K28957" s="18" t="s">
        <v>316</v>
      </c>
    </row>
    <row r="28958">
      <c r="A28958" s="17"/>
      <c r="H28958" s="18"/>
      <c r="K28958" s="18" t="s">
        <v>316</v>
      </c>
    </row>
    <row r="28959">
      <c r="A28959" s="17"/>
      <c r="H28959" s="18"/>
      <c r="K28959" s="18" t="s">
        <v>316</v>
      </c>
    </row>
    <row r="28960">
      <c r="A28960" s="17"/>
      <c r="H28960" s="18"/>
      <c r="K28960" s="18" t="s">
        <v>316</v>
      </c>
    </row>
    <row r="28961">
      <c r="A28961" s="17"/>
      <c r="H28961" s="18"/>
      <c r="K28961" s="18" t="s">
        <v>316</v>
      </c>
    </row>
    <row r="28962">
      <c r="A28962" s="17"/>
      <c r="H28962" s="18"/>
      <c r="K28962" s="18" t="s">
        <v>316</v>
      </c>
    </row>
    <row r="28963">
      <c r="A28963" s="17"/>
      <c r="H28963" s="18"/>
      <c r="K28963" s="18" t="s">
        <v>316</v>
      </c>
    </row>
    <row r="28964">
      <c r="A28964" s="17"/>
      <c r="H28964" s="18"/>
      <c r="K28964" s="18" t="s">
        <v>316</v>
      </c>
    </row>
    <row r="28965">
      <c r="A28965" s="17"/>
      <c r="H28965" s="18"/>
      <c r="K28965" s="18" t="s">
        <v>316</v>
      </c>
    </row>
    <row r="28966">
      <c r="A28966" s="17"/>
      <c r="H28966" s="18"/>
      <c r="K28966" s="18" t="s">
        <v>316</v>
      </c>
    </row>
    <row r="28967">
      <c r="A28967" s="17"/>
      <c r="H28967" s="18"/>
      <c r="K28967" s="18" t="s">
        <v>316</v>
      </c>
    </row>
    <row r="28968">
      <c r="A28968" s="17"/>
      <c r="H28968" s="18"/>
      <c r="K28968" s="18" t="s">
        <v>316</v>
      </c>
    </row>
    <row r="28969">
      <c r="A28969" s="17"/>
      <c r="H28969" s="18"/>
      <c r="K28969" s="18" t="s">
        <v>316</v>
      </c>
    </row>
    <row r="28970">
      <c r="A28970" s="17"/>
      <c r="H28970" s="18"/>
      <c r="K28970" s="18" t="s">
        <v>316</v>
      </c>
    </row>
    <row r="28971">
      <c r="A28971" s="17"/>
      <c r="H28971" s="18"/>
      <c r="K28971" s="18" t="s">
        <v>316</v>
      </c>
    </row>
    <row r="28972">
      <c r="A28972" s="17"/>
      <c r="H28972" s="18"/>
      <c r="K28972" s="18" t="s">
        <v>316</v>
      </c>
    </row>
    <row r="28973">
      <c r="A28973" s="17"/>
      <c r="H28973" s="18"/>
      <c r="K28973" s="18" t="s">
        <v>316</v>
      </c>
    </row>
    <row r="28974">
      <c r="A28974" s="17"/>
      <c r="H28974" s="18"/>
      <c r="K28974" s="18" t="s">
        <v>316</v>
      </c>
    </row>
    <row r="28975">
      <c r="A28975" s="17"/>
      <c r="H28975" s="18"/>
      <c r="K28975" s="18" t="s">
        <v>316</v>
      </c>
    </row>
    <row r="28976">
      <c r="A28976" s="17"/>
      <c r="H28976" s="18"/>
      <c r="K28976" s="18" t="s">
        <v>316</v>
      </c>
    </row>
    <row r="28977">
      <c r="A28977" s="17"/>
      <c r="H28977" s="18"/>
      <c r="K28977" s="18" t="s">
        <v>316</v>
      </c>
    </row>
    <row r="28978">
      <c r="A28978" s="17"/>
      <c r="H28978" s="18"/>
      <c r="K28978" s="18" t="s">
        <v>316</v>
      </c>
    </row>
    <row r="28979">
      <c r="A28979" s="17"/>
      <c r="H28979" s="18"/>
      <c r="K28979" s="18" t="s">
        <v>316</v>
      </c>
    </row>
    <row r="28980">
      <c r="A28980" s="17"/>
      <c r="H28980" s="18"/>
      <c r="K28980" s="18" t="s">
        <v>316</v>
      </c>
    </row>
    <row r="28981">
      <c r="A28981" s="17"/>
      <c r="H28981" s="18"/>
      <c r="K28981" s="18" t="s">
        <v>316</v>
      </c>
    </row>
    <row r="28982">
      <c r="A28982" s="17"/>
      <c r="H28982" s="18"/>
      <c r="K28982" s="18" t="s">
        <v>316</v>
      </c>
    </row>
    <row r="28983">
      <c r="A28983" s="17"/>
      <c r="H28983" s="18"/>
      <c r="K28983" s="18" t="s">
        <v>316</v>
      </c>
    </row>
    <row r="28984">
      <c r="A28984" s="17"/>
      <c r="H28984" s="18"/>
      <c r="K28984" s="18" t="s">
        <v>316</v>
      </c>
    </row>
    <row r="28985">
      <c r="A28985" s="17"/>
      <c r="H28985" s="18"/>
      <c r="K28985" s="18" t="s">
        <v>316</v>
      </c>
    </row>
    <row r="28986">
      <c r="A28986" s="17"/>
      <c r="H28986" s="18"/>
      <c r="K28986" s="18" t="s">
        <v>316</v>
      </c>
    </row>
    <row r="28987">
      <c r="A28987" s="17"/>
      <c r="H28987" s="18"/>
      <c r="K28987" s="18" t="s">
        <v>316</v>
      </c>
    </row>
    <row r="28988">
      <c r="A28988" s="17"/>
      <c r="H28988" s="18"/>
      <c r="K28988" s="18" t="s">
        <v>316</v>
      </c>
    </row>
    <row r="28989">
      <c r="A28989" s="17"/>
      <c r="H28989" s="18"/>
      <c r="K28989" s="18" t="s">
        <v>316</v>
      </c>
    </row>
    <row r="28990">
      <c r="A28990" s="17"/>
      <c r="H28990" s="18"/>
      <c r="K28990" s="18" t="s">
        <v>316</v>
      </c>
    </row>
    <row r="28991">
      <c r="A28991" s="17"/>
      <c r="H28991" s="18"/>
      <c r="K28991" s="18" t="s">
        <v>316</v>
      </c>
    </row>
    <row r="28992">
      <c r="A28992" s="17"/>
      <c r="H28992" s="18"/>
      <c r="K28992" s="18" t="s">
        <v>316</v>
      </c>
    </row>
    <row r="28993">
      <c r="A28993" s="17"/>
      <c r="H28993" s="18"/>
      <c r="K28993" s="18" t="s">
        <v>316</v>
      </c>
    </row>
    <row r="28994">
      <c r="A28994" s="17"/>
      <c r="H28994" s="18"/>
      <c r="K28994" s="18" t="s">
        <v>316</v>
      </c>
    </row>
    <row r="28995">
      <c r="A28995" s="17"/>
      <c r="H28995" s="18"/>
      <c r="K28995" s="18" t="s">
        <v>316</v>
      </c>
    </row>
    <row r="28996">
      <c r="A28996" s="17"/>
      <c r="H28996" s="18"/>
      <c r="K28996" s="18" t="s">
        <v>316</v>
      </c>
    </row>
    <row r="28997">
      <c r="A28997" s="17"/>
      <c r="H28997" s="18"/>
      <c r="K28997" s="18" t="s">
        <v>316</v>
      </c>
    </row>
    <row r="28998">
      <c r="A28998" s="17"/>
      <c r="H28998" s="18"/>
      <c r="K28998" s="18" t="s">
        <v>316</v>
      </c>
    </row>
    <row r="28999">
      <c r="A28999" s="17"/>
      <c r="H28999" s="18"/>
      <c r="K28999" s="18" t="s">
        <v>316</v>
      </c>
    </row>
    <row r="29000">
      <c r="A29000" s="17"/>
      <c r="H29000" s="18"/>
      <c r="K29000" s="18" t="s">
        <v>316</v>
      </c>
    </row>
    <row r="29001">
      <c r="A29001" s="17"/>
      <c r="H29001" s="18"/>
      <c r="K29001" s="18" t="s">
        <v>316</v>
      </c>
    </row>
    <row r="29002">
      <c r="A29002" s="17"/>
      <c r="H29002" s="18"/>
      <c r="K29002" s="18" t="s">
        <v>316</v>
      </c>
    </row>
    <row r="29003">
      <c r="A29003" s="17"/>
      <c r="H29003" s="18"/>
      <c r="K29003" s="18" t="s">
        <v>316</v>
      </c>
    </row>
    <row r="29004">
      <c r="A29004" s="17"/>
      <c r="H29004" s="18"/>
      <c r="K29004" s="18" t="s">
        <v>316</v>
      </c>
    </row>
    <row r="29005">
      <c r="A29005" s="17"/>
      <c r="H29005" s="18"/>
      <c r="K29005" s="18" t="s">
        <v>316</v>
      </c>
    </row>
    <row r="29006">
      <c r="A29006" s="17"/>
      <c r="H29006" s="18"/>
      <c r="K29006" s="18" t="s">
        <v>316</v>
      </c>
    </row>
    <row r="29007">
      <c r="A29007" s="17"/>
      <c r="H29007" s="18"/>
      <c r="K29007" s="18" t="s">
        <v>316</v>
      </c>
    </row>
    <row r="29008">
      <c r="A29008" s="17"/>
      <c r="H29008" s="18"/>
      <c r="K29008" s="18" t="s">
        <v>316</v>
      </c>
    </row>
    <row r="29009">
      <c r="A29009" s="17"/>
      <c r="H29009" s="18"/>
      <c r="K29009" s="18" t="s">
        <v>316</v>
      </c>
    </row>
    <row r="29010">
      <c r="A29010" s="17"/>
      <c r="H29010" s="18"/>
      <c r="K29010" s="18" t="s">
        <v>316</v>
      </c>
    </row>
    <row r="29011">
      <c r="A29011" s="17"/>
      <c r="H29011" s="18"/>
      <c r="K29011" s="18" t="s">
        <v>316</v>
      </c>
    </row>
    <row r="29012">
      <c r="A29012" s="17"/>
      <c r="H29012" s="18"/>
      <c r="K29012" s="18" t="s">
        <v>316</v>
      </c>
    </row>
    <row r="29013">
      <c r="A29013" s="17"/>
      <c r="H29013" s="18"/>
      <c r="K29013" s="18" t="s">
        <v>316</v>
      </c>
    </row>
    <row r="29014">
      <c r="A29014" s="17"/>
      <c r="H29014" s="18"/>
      <c r="K29014" s="18" t="s">
        <v>316</v>
      </c>
    </row>
    <row r="29015">
      <c r="A29015" s="17"/>
      <c r="H29015" s="18"/>
      <c r="K29015" s="18" t="s">
        <v>316</v>
      </c>
    </row>
    <row r="29016">
      <c r="A29016" s="17"/>
      <c r="H29016" s="18"/>
      <c r="K29016" s="18" t="s">
        <v>316</v>
      </c>
    </row>
    <row r="29017">
      <c r="A29017" s="17"/>
      <c r="H29017" s="18"/>
      <c r="K29017" s="18" t="s">
        <v>316</v>
      </c>
    </row>
    <row r="29018">
      <c r="A29018" s="17"/>
      <c r="H29018" s="18"/>
      <c r="K29018" s="18" t="s">
        <v>316</v>
      </c>
    </row>
    <row r="29019">
      <c r="A29019" s="17"/>
      <c r="H29019" s="18"/>
      <c r="K29019" s="18" t="s">
        <v>316</v>
      </c>
    </row>
    <row r="29020">
      <c r="A29020" s="17"/>
      <c r="H29020" s="18"/>
      <c r="K29020" s="18" t="s">
        <v>316</v>
      </c>
    </row>
    <row r="29021">
      <c r="A29021" s="17"/>
      <c r="H29021" s="18"/>
      <c r="K29021" s="18" t="s">
        <v>316</v>
      </c>
    </row>
    <row r="29022">
      <c r="A29022" s="17"/>
      <c r="H29022" s="18"/>
      <c r="K29022" s="18" t="s">
        <v>316</v>
      </c>
    </row>
    <row r="29023">
      <c r="A29023" s="17"/>
      <c r="H29023" s="18"/>
      <c r="K29023" s="18" t="s">
        <v>316</v>
      </c>
    </row>
    <row r="29024">
      <c r="A29024" s="17"/>
      <c r="H29024" s="18"/>
      <c r="K29024" s="18" t="s">
        <v>316</v>
      </c>
    </row>
    <row r="29025">
      <c r="A29025" s="17"/>
      <c r="H29025" s="18"/>
      <c r="K29025" s="18" t="s">
        <v>316</v>
      </c>
    </row>
    <row r="29026">
      <c r="A29026" s="17"/>
      <c r="H29026" s="18"/>
      <c r="K29026" s="18" t="s">
        <v>316</v>
      </c>
    </row>
    <row r="29027">
      <c r="A29027" s="17"/>
      <c r="H29027" s="18"/>
      <c r="K29027" s="18" t="s">
        <v>316</v>
      </c>
    </row>
    <row r="29028">
      <c r="A29028" s="17"/>
      <c r="H29028" s="18"/>
      <c r="K29028" s="18" t="s">
        <v>316</v>
      </c>
    </row>
    <row r="29029">
      <c r="A29029" s="17"/>
      <c r="H29029" s="18"/>
      <c r="K29029" s="18" t="s">
        <v>316</v>
      </c>
    </row>
    <row r="29030">
      <c r="A29030" s="17"/>
      <c r="H29030" s="18"/>
      <c r="K29030" s="18" t="s">
        <v>316</v>
      </c>
    </row>
    <row r="29031">
      <c r="A29031" s="17"/>
      <c r="H29031" s="18"/>
      <c r="K29031" s="18" t="s">
        <v>316</v>
      </c>
    </row>
    <row r="29032">
      <c r="A29032" s="17"/>
      <c r="H29032" s="18"/>
      <c r="K29032" s="18" t="s">
        <v>316</v>
      </c>
    </row>
    <row r="29033">
      <c r="A29033" s="17"/>
      <c r="H29033" s="18"/>
      <c r="K29033" s="18" t="s">
        <v>316</v>
      </c>
    </row>
    <row r="29034">
      <c r="A29034" s="17"/>
      <c r="H29034" s="18"/>
      <c r="K29034" s="18" t="s">
        <v>316</v>
      </c>
    </row>
    <row r="29035">
      <c r="A29035" s="17"/>
      <c r="H29035" s="18"/>
      <c r="K29035" s="18" t="s">
        <v>316</v>
      </c>
    </row>
    <row r="29036">
      <c r="A29036" s="17"/>
      <c r="H29036" s="18"/>
      <c r="K29036" s="18" t="s">
        <v>316</v>
      </c>
    </row>
    <row r="29037">
      <c r="A29037" s="17"/>
      <c r="H29037" s="18"/>
      <c r="K29037" s="18" t="s">
        <v>316</v>
      </c>
    </row>
    <row r="29038">
      <c r="A29038" s="17"/>
      <c r="H29038" s="18"/>
      <c r="K29038" s="18" t="s">
        <v>316</v>
      </c>
    </row>
    <row r="29039">
      <c r="A29039" s="17"/>
      <c r="H29039" s="18"/>
      <c r="K29039" s="18" t="s">
        <v>316</v>
      </c>
    </row>
    <row r="29040">
      <c r="A29040" s="17"/>
      <c r="H29040" s="18"/>
      <c r="K29040" s="18" t="s">
        <v>316</v>
      </c>
    </row>
    <row r="29041">
      <c r="A29041" s="17"/>
      <c r="H29041" s="18"/>
      <c r="K29041" s="18" t="s">
        <v>316</v>
      </c>
    </row>
    <row r="29042">
      <c r="A29042" s="17"/>
      <c r="H29042" s="18"/>
      <c r="K29042" s="18" t="s">
        <v>316</v>
      </c>
    </row>
    <row r="29043">
      <c r="A29043" s="17"/>
      <c r="H29043" s="18"/>
      <c r="K29043" s="18" t="s">
        <v>316</v>
      </c>
    </row>
    <row r="29044">
      <c r="A29044" s="17"/>
      <c r="H29044" s="18"/>
      <c r="K29044" s="18" t="s">
        <v>316</v>
      </c>
    </row>
    <row r="29045">
      <c r="A29045" s="17"/>
      <c r="H29045" s="18"/>
      <c r="K29045" s="18" t="s">
        <v>316</v>
      </c>
    </row>
    <row r="29046">
      <c r="A29046" s="17"/>
      <c r="H29046" s="18"/>
      <c r="K29046" s="18" t="s">
        <v>316</v>
      </c>
    </row>
    <row r="29047">
      <c r="A29047" s="17"/>
      <c r="H29047" s="18"/>
      <c r="K29047" s="18" t="s">
        <v>316</v>
      </c>
    </row>
    <row r="29048">
      <c r="A29048" s="17"/>
      <c r="H29048" s="18"/>
      <c r="K29048" s="18" t="s">
        <v>316</v>
      </c>
    </row>
    <row r="29049">
      <c r="A29049" s="17"/>
      <c r="H29049" s="18"/>
      <c r="K29049" s="18" t="s">
        <v>316</v>
      </c>
    </row>
    <row r="29050">
      <c r="A29050" s="17"/>
      <c r="H29050" s="18"/>
      <c r="K29050" s="18" t="s">
        <v>316</v>
      </c>
    </row>
    <row r="29051">
      <c r="A29051" s="17"/>
      <c r="H29051" s="18"/>
      <c r="K29051" s="18" t="s">
        <v>316</v>
      </c>
    </row>
    <row r="29052">
      <c r="A29052" s="17"/>
      <c r="H29052" s="18"/>
      <c r="K29052" s="18" t="s">
        <v>316</v>
      </c>
    </row>
    <row r="29053">
      <c r="A29053" s="17"/>
      <c r="H29053" s="18"/>
      <c r="K29053" s="18" t="s">
        <v>316</v>
      </c>
    </row>
    <row r="29054">
      <c r="A29054" s="17"/>
      <c r="H29054" s="18"/>
      <c r="K29054" s="18" t="s">
        <v>316</v>
      </c>
    </row>
    <row r="29055">
      <c r="A29055" s="17"/>
      <c r="H29055" s="18"/>
      <c r="K29055" s="18" t="s">
        <v>316</v>
      </c>
    </row>
    <row r="29056">
      <c r="A29056" s="17"/>
      <c r="H29056" s="18"/>
      <c r="K29056" s="18" t="s">
        <v>316</v>
      </c>
    </row>
    <row r="29057">
      <c r="A29057" s="17"/>
      <c r="H29057" s="18"/>
      <c r="K29057" s="18" t="s">
        <v>316</v>
      </c>
    </row>
    <row r="29058">
      <c r="A29058" s="17"/>
      <c r="H29058" s="18"/>
      <c r="K29058" s="18" t="s">
        <v>316</v>
      </c>
    </row>
    <row r="29059">
      <c r="A29059" s="17"/>
      <c r="H29059" s="18"/>
      <c r="K29059" s="18" t="s">
        <v>316</v>
      </c>
    </row>
    <row r="29060">
      <c r="A29060" s="17"/>
      <c r="H29060" s="18"/>
      <c r="K29060" s="18" t="s">
        <v>316</v>
      </c>
    </row>
    <row r="29061">
      <c r="A29061" s="17"/>
      <c r="H29061" s="18"/>
      <c r="K29061" s="18" t="s">
        <v>316</v>
      </c>
    </row>
    <row r="29062">
      <c r="A29062" s="17"/>
      <c r="H29062" s="18"/>
      <c r="K29062" s="18" t="s">
        <v>316</v>
      </c>
    </row>
    <row r="29063">
      <c r="A29063" s="17"/>
      <c r="H29063" s="18"/>
      <c r="K29063" s="18" t="s">
        <v>316</v>
      </c>
    </row>
    <row r="29064">
      <c r="A29064" s="17"/>
      <c r="H29064" s="18"/>
      <c r="K29064" s="18" t="s">
        <v>316</v>
      </c>
    </row>
    <row r="29065">
      <c r="A29065" s="17"/>
      <c r="H29065" s="18"/>
      <c r="K29065" s="18" t="s">
        <v>316</v>
      </c>
    </row>
    <row r="29066">
      <c r="A29066" s="17"/>
      <c r="H29066" s="18"/>
      <c r="K29066" s="18" t="s">
        <v>316</v>
      </c>
    </row>
    <row r="29067">
      <c r="A29067" s="17"/>
      <c r="H29067" s="18"/>
      <c r="K29067" s="18" t="s">
        <v>316</v>
      </c>
    </row>
    <row r="29068">
      <c r="A29068" s="17"/>
      <c r="H29068" s="18"/>
      <c r="K29068" s="18" t="s">
        <v>316</v>
      </c>
    </row>
    <row r="29069">
      <c r="A29069" s="17"/>
      <c r="H29069" s="18"/>
      <c r="K29069" s="18" t="s">
        <v>316</v>
      </c>
    </row>
    <row r="29070">
      <c r="A29070" s="17"/>
      <c r="H29070" s="18"/>
      <c r="K29070" s="18" t="s">
        <v>316</v>
      </c>
    </row>
    <row r="29071">
      <c r="A29071" s="17"/>
      <c r="H29071" s="18"/>
      <c r="K29071" s="18" t="s">
        <v>316</v>
      </c>
    </row>
    <row r="29072">
      <c r="A29072" s="17"/>
      <c r="H29072" s="18"/>
      <c r="K29072" s="18" t="s">
        <v>316</v>
      </c>
    </row>
    <row r="29073">
      <c r="A29073" s="17"/>
      <c r="H29073" s="18"/>
      <c r="K29073" s="18" t="s">
        <v>316</v>
      </c>
    </row>
    <row r="29074">
      <c r="A29074" s="17"/>
      <c r="H29074" s="18"/>
      <c r="K29074" s="18" t="s">
        <v>316</v>
      </c>
    </row>
    <row r="29075">
      <c r="A29075" s="17"/>
      <c r="H29075" s="18"/>
      <c r="K29075" s="18" t="s">
        <v>316</v>
      </c>
    </row>
    <row r="29076">
      <c r="A29076" s="17"/>
      <c r="H29076" s="18"/>
      <c r="K29076" s="18" t="s">
        <v>316</v>
      </c>
    </row>
    <row r="29077">
      <c r="A29077" s="17"/>
      <c r="H29077" s="18"/>
      <c r="K29077" s="18" t="s">
        <v>316</v>
      </c>
    </row>
    <row r="29078">
      <c r="A29078" s="17"/>
      <c r="H29078" s="18"/>
      <c r="K29078" s="18" t="s">
        <v>316</v>
      </c>
    </row>
    <row r="29079">
      <c r="A29079" s="17"/>
      <c r="H29079" s="18"/>
      <c r="K29079" s="18" t="s">
        <v>316</v>
      </c>
    </row>
    <row r="29080">
      <c r="A29080" s="17"/>
      <c r="H29080" s="18"/>
      <c r="K29080" s="18" t="s">
        <v>316</v>
      </c>
    </row>
    <row r="29081">
      <c r="A29081" s="17"/>
      <c r="H29081" s="18"/>
      <c r="K29081" s="18" t="s">
        <v>316</v>
      </c>
    </row>
    <row r="29082">
      <c r="A29082" s="17"/>
      <c r="H29082" s="18"/>
      <c r="K29082" s="18" t="s">
        <v>316</v>
      </c>
    </row>
    <row r="29083">
      <c r="A29083" s="17"/>
      <c r="H29083" s="18"/>
      <c r="K29083" s="18" t="s">
        <v>316</v>
      </c>
    </row>
    <row r="29084">
      <c r="A29084" s="17"/>
      <c r="H29084" s="18"/>
      <c r="K29084" s="18" t="s">
        <v>316</v>
      </c>
    </row>
    <row r="29085">
      <c r="A29085" s="17"/>
      <c r="H29085" s="18"/>
      <c r="K29085" s="18" t="s">
        <v>316</v>
      </c>
    </row>
    <row r="29086">
      <c r="A29086" s="17"/>
      <c r="H29086" s="18"/>
      <c r="K29086" s="18" t="s">
        <v>316</v>
      </c>
    </row>
    <row r="29087">
      <c r="A29087" s="17"/>
      <c r="H29087" s="18"/>
      <c r="K29087" s="18" t="s">
        <v>316</v>
      </c>
    </row>
    <row r="29088">
      <c r="A29088" s="17"/>
      <c r="H29088" s="18"/>
      <c r="K29088" s="18" t="s">
        <v>316</v>
      </c>
    </row>
    <row r="29089">
      <c r="A29089" s="17"/>
      <c r="H29089" s="18"/>
      <c r="K29089" s="18" t="s">
        <v>316</v>
      </c>
    </row>
    <row r="29090">
      <c r="A29090" s="17"/>
      <c r="H29090" s="18"/>
      <c r="K29090" s="18" t="s">
        <v>316</v>
      </c>
    </row>
    <row r="29091">
      <c r="A29091" s="17"/>
      <c r="H29091" s="18"/>
      <c r="K29091" s="18" t="s">
        <v>316</v>
      </c>
    </row>
    <row r="29092">
      <c r="A29092" s="17"/>
      <c r="H29092" s="18"/>
      <c r="K29092" s="18" t="s">
        <v>316</v>
      </c>
    </row>
    <row r="29093">
      <c r="A29093" s="17"/>
      <c r="H29093" s="18"/>
      <c r="K29093" s="18" t="s">
        <v>316</v>
      </c>
    </row>
    <row r="29094">
      <c r="A29094" s="17"/>
      <c r="H29094" s="18"/>
      <c r="K29094" s="18" t="s">
        <v>316</v>
      </c>
    </row>
    <row r="29095">
      <c r="A29095" s="17"/>
      <c r="H29095" s="18"/>
      <c r="K29095" s="18" t="s">
        <v>316</v>
      </c>
    </row>
    <row r="29096">
      <c r="A29096" s="17"/>
      <c r="H29096" s="18"/>
      <c r="K29096" s="18" t="s">
        <v>316</v>
      </c>
    </row>
    <row r="29097">
      <c r="A29097" s="17"/>
      <c r="H29097" s="18"/>
      <c r="K29097" s="18" t="s">
        <v>316</v>
      </c>
    </row>
    <row r="29098">
      <c r="A29098" s="17"/>
      <c r="H29098" s="18"/>
      <c r="K29098" s="18" t="s">
        <v>316</v>
      </c>
    </row>
    <row r="29099">
      <c r="A29099" s="17"/>
      <c r="H29099" s="18"/>
      <c r="K29099" s="18" t="s">
        <v>316</v>
      </c>
    </row>
    <row r="29100">
      <c r="A29100" s="17"/>
      <c r="H29100" s="18"/>
      <c r="K29100" s="18" t="s">
        <v>316</v>
      </c>
    </row>
    <row r="29101">
      <c r="A29101" s="17"/>
      <c r="H29101" s="18"/>
      <c r="K29101" s="18" t="s">
        <v>316</v>
      </c>
    </row>
    <row r="29102">
      <c r="A29102" s="17"/>
      <c r="H29102" s="18"/>
      <c r="K29102" s="18" t="s">
        <v>316</v>
      </c>
    </row>
    <row r="29103">
      <c r="A29103" s="17"/>
      <c r="H29103" s="18"/>
      <c r="K29103" s="18" t="s">
        <v>316</v>
      </c>
    </row>
    <row r="29104">
      <c r="A29104" s="17"/>
      <c r="H29104" s="18"/>
      <c r="K29104" s="18" t="s">
        <v>316</v>
      </c>
    </row>
    <row r="29105">
      <c r="A29105" s="17"/>
      <c r="H29105" s="18"/>
      <c r="K29105" s="18" t="s">
        <v>316</v>
      </c>
    </row>
    <row r="29106">
      <c r="A29106" s="17"/>
      <c r="H29106" s="18"/>
      <c r="K29106" s="18" t="s">
        <v>316</v>
      </c>
    </row>
    <row r="29107">
      <c r="A29107" s="17"/>
      <c r="H29107" s="18"/>
      <c r="K29107" s="18" t="s">
        <v>316</v>
      </c>
    </row>
    <row r="29108">
      <c r="A29108" s="17"/>
      <c r="H29108" s="18"/>
      <c r="K29108" s="18" t="s">
        <v>316</v>
      </c>
    </row>
    <row r="29109">
      <c r="A29109" s="17"/>
      <c r="H29109" s="18"/>
      <c r="K29109" s="18" t="s">
        <v>316</v>
      </c>
    </row>
    <row r="29110">
      <c r="A29110" s="17"/>
      <c r="H29110" s="18"/>
      <c r="K29110" s="18" t="s">
        <v>316</v>
      </c>
    </row>
    <row r="29111">
      <c r="A29111" s="17"/>
      <c r="H29111" s="18"/>
      <c r="K29111" s="18" t="s">
        <v>316</v>
      </c>
    </row>
    <row r="29112">
      <c r="A29112" s="17"/>
      <c r="H29112" s="18"/>
      <c r="K29112" s="18" t="s">
        <v>316</v>
      </c>
    </row>
    <row r="29113">
      <c r="A29113" s="17"/>
      <c r="H29113" s="18"/>
      <c r="K29113" s="18" t="s">
        <v>316</v>
      </c>
    </row>
    <row r="29114">
      <c r="A29114" s="17"/>
      <c r="H29114" s="18"/>
      <c r="K29114" s="18" t="s">
        <v>316</v>
      </c>
    </row>
    <row r="29115">
      <c r="A29115" s="17"/>
      <c r="H29115" s="18"/>
      <c r="K29115" s="18" t="s">
        <v>316</v>
      </c>
    </row>
    <row r="29116">
      <c r="A29116" s="17"/>
      <c r="H29116" s="18"/>
      <c r="K29116" s="18" t="s">
        <v>316</v>
      </c>
    </row>
    <row r="29117">
      <c r="A29117" s="17"/>
      <c r="H29117" s="18"/>
      <c r="K29117" s="18" t="s">
        <v>316</v>
      </c>
    </row>
    <row r="29118">
      <c r="A29118" s="17"/>
      <c r="H29118" s="18"/>
      <c r="K29118" s="18" t="s">
        <v>316</v>
      </c>
    </row>
    <row r="29119">
      <c r="A29119" s="17"/>
      <c r="H29119" s="18"/>
      <c r="K29119" s="18" t="s">
        <v>316</v>
      </c>
    </row>
    <row r="29120">
      <c r="A29120" s="17"/>
      <c r="H29120" s="18"/>
      <c r="K29120" s="18" t="s">
        <v>316</v>
      </c>
    </row>
    <row r="29121">
      <c r="A29121" s="17"/>
      <c r="H29121" s="18"/>
      <c r="K29121" s="18" t="s">
        <v>316</v>
      </c>
    </row>
    <row r="29122">
      <c r="A29122" s="17"/>
      <c r="H29122" s="18"/>
      <c r="K29122" s="18" t="s">
        <v>316</v>
      </c>
    </row>
    <row r="29123">
      <c r="A29123" s="17"/>
      <c r="H29123" s="18"/>
      <c r="K29123" s="18" t="s">
        <v>316</v>
      </c>
    </row>
    <row r="29124">
      <c r="A29124" s="17"/>
      <c r="H29124" s="18"/>
      <c r="K29124" s="18" t="s">
        <v>316</v>
      </c>
    </row>
    <row r="29125">
      <c r="A29125" s="17"/>
      <c r="H29125" s="18"/>
      <c r="K29125" s="18" t="s">
        <v>316</v>
      </c>
    </row>
    <row r="29126">
      <c r="A29126" s="17"/>
      <c r="H29126" s="18"/>
      <c r="K29126" s="18" t="s">
        <v>316</v>
      </c>
    </row>
    <row r="29127">
      <c r="A29127" s="17"/>
      <c r="H29127" s="18"/>
      <c r="K29127" s="18" t="s">
        <v>316</v>
      </c>
    </row>
    <row r="29128">
      <c r="A29128" s="17"/>
      <c r="H29128" s="18"/>
      <c r="K29128" s="18" t="s">
        <v>316</v>
      </c>
    </row>
    <row r="29129">
      <c r="A29129" s="17"/>
      <c r="H29129" s="18"/>
      <c r="K29129" s="18" t="s">
        <v>316</v>
      </c>
    </row>
    <row r="29130">
      <c r="A29130" s="17"/>
      <c r="H29130" s="18"/>
      <c r="K29130" s="18" t="s">
        <v>316</v>
      </c>
    </row>
    <row r="29131">
      <c r="A29131" s="17"/>
      <c r="H29131" s="18"/>
      <c r="K29131" s="18" t="s">
        <v>316</v>
      </c>
    </row>
    <row r="29132">
      <c r="A29132" s="17"/>
      <c r="H29132" s="18"/>
      <c r="K29132" s="18" t="s">
        <v>316</v>
      </c>
    </row>
    <row r="29133">
      <c r="A29133" s="17"/>
      <c r="H29133" s="18"/>
      <c r="K29133" s="18" t="s">
        <v>316</v>
      </c>
    </row>
    <row r="29134">
      <c r="A29134" s="17"/>
      <c r="H29134" s="18"/>
      <c r="K29134" s="18" t="s">
        <v>316</v>
      </c>
    </row>
    <row r="29135">
      <c r="A29135" s="17"/>
      <c r="H29135" s="18"/>
      <c r="K29135" s="18" t="s">
        <v>316</v>
      </c>
    </row>
    <row r="29136">
      <c r="A29136" s="17"/>
      <c r="H29136" s="18"/>
      <c r="K29136" s="18" t="s">
        <v>316</v>
      </c>
    </row>
    <row r="29137">
      <c r="A29137" s="17"/>
      <c r="H29137" s="18"/>
      <c r="K29137" s="18" t="s">
        <v>316</v>
      </c>
    </row>
    <row r="29138">
      <c r="A29138" s="17"/>
      <c r="H29138" s="18"/>
      <c r="K29138" s="18" t="s">
        <v>316</v>
      </c>
    </row>
    <row r="29139">
      <c r="A29139" s="17"/>
      <c r="H29139" s="18"/>
      <c r="K29139" s="18" t="s">
        <v>316</v>
      </c>
    </row>
    <row r="29140">
      <c r="A29140" s="17"/>
      <c r="H29140" s="18"/>
      <c r="K29140" s="18" t="s">
        <v>316</v>
      </c>
    </row>
    <row r="29141">
      <c r="A29141" s="17"/>
      <c r="H29141" s="18"/>
      <c r="K29141" s="18" t="s">
        <v>316</v>
      </c>
    </row>
    <row r="29142">
      <c r="A29142" s="17"/>
      <c r="H29142" s="18"/>
      <c r="K29142" s="18" t="s">
        <v>316</v>
      </c>
    </row>
    <row r="29143">
      <c r="A29143" s="17"/>
      <c r="H29143" s="18"/>
      <c r="K29143" s="18" t="s">
        <v>316</v>
      </c>
    </row>
    <row r="29144">
      <c r="A29144" s="17"/>
      <c r="H29144" s="18"/>
      <c r="K29144" s="18" t="s">
        <v>316</v>
      </c>
    </row>
    <row r="29145">
      <c r="A29145" s="17"/>
      <c r="H29145" s="18"/>
      <c r="K29145" s="18" t="s">
        <v>316</v>
      </c>
    </row>
    <row r="29146">
      <c r="A29146" s="17"/>
      <c r="H29146" s="18"/>
      <c r="K29146" s="18" t="s">
        <v>316</v>
      </c>
    </row>
    <row r="29147">
      <c r="A29147" s="17"/>
      <c r="H29147" s="18"/>
      <c r="K29147" s="18" t="s">
        <v>316</v>
      </c>
    </row>
    <row r="29148">
      <c r="A29148" s="17"/>
      <c r="H29148" s="18"/>
      <c r="K29148" s="18" t="s">
        <v>316</v>
      </c>
    </row>
    <row r="29149">
      <c r="A29149" s="17"/>
      <c r="H29149" s="18"/>
      <c r="K29149" s="18" t="s">
        <v>316</v>
      </c>
    </row>
    <row r="29150">
      <c r="A29150" s="17"/>
      <c r="H29150" s="18"/>
      <c r="K29150" s="18" t="s">
        <v>316</v>
      </c>
    </row>
    <row r="29151">
      <c r="A29151" s="17"/>
      <c r="H29151" s="18"/>
      <c r="K29151" s="18" t="s">
        <v>316</v>
      </c>
    </row>
    <row r="29152">
      <c r="A29152" s="17"/>
      <c r="H29152" s="18"/>
      <c r="K29152" s="18" t="s">
        <v>316</v>
      </c>
    </row>
    <row r="29153">
      <c r="A29153" s="17"/>
      <c r="H29153" s="18"/>
      <c r="K29153" s="18" t="s">
        <v>316</v>
      </c>
    </row>
    <row r="29154">
      <c r="A29154" s="17"/>
      <c r="H29154" s="18"/>
      <c r="K29154" s="18" t="s">
        <v>316</v>
      </c>
    </row>
    <row r="29155">
      <c r="A29155" s="17"/>
      <c r="H29155" s="18"/>
      <c r="K29155" s="18" t="s">
        <v>316</v>
      </c>
    </row>
    <row r="29156">
      <c r="A29156" s="17"/>
      <c r="H29156" s="18"/>
      <c r="K29156" s="18" t="s">
        <v>316</v>
      </c>
    </row>
    <row r="29157">
      <c r="A29157" s="17"/>
      <c r="H29157" s="18"/>
      <c r="K29157" s="18" t="s">
        <v>316</v>
      </c>
    </row>
    <row r="29158">
      <c r="A29158" s="17"/>
      <c r="H29158" s="18"/>
      <c r="K29158" s="18" t="s">
        <v>316</v>
      </c>
    </row>
    <row r="29159">
      <c r="A29159" s="17"/>
      <c r="H29159" s="18"/>
      <c r="K29159" s="18" t="s">
        <v>316</v>
      </c>
    </row>
    <row r="29160">
      <c r="A29160" s="17"/>
      <c r="H29160" s="18"/>
      <c r="K29160" s="18" t="s">
        <v>316</v>
      </c>
    </row>
    <row r="29161">
      <c r="A29161" s="17"/>
      <c r="H29161" s="18"/>
      <c r="K29161" s="18" t="s">
        <v>316</v>
      </c>
    </row>
    <row r="29162">
      <c r="A29162" s="17"/>
      <c r="H29162" s="18"/>
      <c r="K29162" s="18" t="s">
        <v>316</v>
      </c>
    </row>
    <row r="29163">
      <c r="A29163" s="17"/>
      <c r="H29163" s="18"/>
      <c r="K29163" s="18" t="s">
        <v>316</v>
      </c>
    </row>
    <row r="29164">
      <c r="A29164" s="17"/>
      <c r="H29164" s="18"/>
      <c r="K29164" s="18" t="s">
        <v>316</v>
      </c>
    </row>
    <row r="29165">
      <c r="A29165" s="17"/>
      <c r="H29165" s="18"/>
      <c r="K29165" s="18" t="s">
        <v>316</v>
      </c>
    </row>
    <row r="29166">
      <c r="A29166" s="17"/>
      <c r="H29166" s="18"/>
      <c r="K29166" s="18" t="s">
        <v>316</v>
      </c>
    </row>
    <row r="29167">
      <c r="A29167" s="17"/>
      <c r="H29167" s="18"/>
      <c r="K29167" s="18" t="s">
        <v>316</v>
      </c>
    </row>
    <row r="29168">
      <c r="A29168" s="17"/>
      <c r="H29168" s="18"/>
      <c r="K29168" s="18" t="s">
        <v>316</v>
      </c>
    </row>
    <row r="29169">
      <c r="A29169" s="17"/>
      <c r="H29169" s="18"/>
      <c r="K29169" s="18" t="s">
        <v>316</v>
      </c>
    </row>
    <row r="29170">
      <c r="A29170" s="17"/>
      <c r="H29170" s="18"/>
      <c r="K29170" s="18" t="s">
        <v>316</v>
      </c>
    </row>
    <row r="29171">
      <c r="A29171" s="17"/>
      <c r="H29171" s="18"/>
      <c r="K29171" s="18" t="s">
        <v>316</v>
      </c>
    </row>
    <row r="29172">
      <c r="A29172" s="17"/>
      <c r="H29172" s="18"/>
      <c r="K29172" s="18" t="s">
        <v>316</v>
      </c>
    </row>
    <row r="29173">
      <c r="A29173" s="17"/>
      <c r="H29173" s="18"/>
      <c r="K29173" s="18" t="s">
        <v>316</v>
      </c>
    </row>
    <row r="29174">
      <c r="A29174" s="17"/>
      <c r="H29174" s="18"/>
      <c r="K29174" s="18" t="s">
        <v>316</v>
      </c>
    </row>
    <row r="29175">
      <c r="A29175" s="17"/>
      <c r="H29175" s="18"/>
      <c r="K29175" s="18" t="s">
        <v>316</v>
      </c>
    </row>
    <row r="29176">
      <c r="A29176" s="17"/>
      <c r="H29176" s="18"/>
      <c r="K29176" s="18" t="s">
        <v>316</v>
      </c>
    </row>
    <row r="29177">
      <c r="A29177" s="17"/>
      <c r="H29177" s="18"/>
      <c r="K29177" s="18" t="s">
        <v>316</v>
      </c>
    </row>
    <row r="29178">
      <c r="A29178" s="17"/>
      <c r="H29178" s="18"/>
      <c r="K29178" s="18" t="s">
        <v>316</v>
      </c>
    </row>
    <row r="29179">
      <c r="A29179" s="17"/>
      <c r="H29179" s="18"/>
      <c r="K29179" s="18" t="s">
        <v>316</v>
      </c>
    </row>
    <row r="29180">
      <c r="A29180" s="17"/>
      <c r="H29180" s="18"/>
      <c r="K29180" s="18" t="s">
        <v>316</v>
      </c>
    </row>
    <row r="29181">
      <c r="A29181" s="17"/>
      <c r="H29181" s="18"/>
      <c r="K29181" s="18" t="s">
        <v>316</v>
      </c>
    </row>
    <row r="29182">
      <c r="A29182" s="17"/>
      <c r="H29182" s="18"/>
      <c r="K29182" s="18" t="s">
        <v>316</v>
      </c>
    </row>
    <row r="29183">
      <c r="A29183" s="17"/>
      <c r="H29183" s="18"/>
      <c r="K29183" s="18" t="s">
        <v>316</v>
      </c>
    </row>
    <row r="29184">
      <c r="A29184" s="17"/>
      <c r="H29184" s="18"/>
      <c r="K29184" s="18" t="s">
        <v>316</v>
      </c>
    </row>
    <row r="29185">
      <c r="A29185" s="17"/>
      <c r="H29185" s="18"/>
      <c r="K29185" s="18" t="s">
        <v>316</v>
      </c>
    </row>
    <row r="29186">
      <c r="A29186" s="17"/>
      <c r="H29186" s="18"/>
      <c r="K29186" s="18" t="s">
        <v>316</v>
      </c>
    </row>
    <row r="29187">
      <c r="A29187" s="17"/>
      <c r="H29187" s="18"/>
      <c r="K29187" s="18" t="s">
        <v>316</v>
      </c>
    </row>
    <row r="29188">
      <c r="A29188" s="17"/>
      <c r="H29188" s="18"/>
      <c r="K29188" s="18" t="s">
        <v>316</v>
      </c>
    </row>
    <row r="29189">
      <c r="A29189" s="17"/>
      <c r="H29189" s="18"/>
      <c r="K29189" s="18" t="s">
        <v>316</v>
      </c>
    </row>
    <row r="29190">
      <c r="A29190" s="17"/>
      <c r="H29190" s="18"/>
      <c r="K29190" s="18" t="s">
        <v>316</v>
      </c>
    </row>
    <row r="29191">
      <c r="A29191" s="17"/>
      <c r="H29191" s="18"/>
      <c r="K29191" s="18" t="s">
        <v>316</v>
      </c>
    </row>
    <row r="29192">
      <c r="A29192" s="17"/>
      <c r="H29192" s="18"/>
      <c r="K29192" s="18" t="s">
        <v>316</v>
      </c>
    </row>
    <row r="29193">
      <c r="A29193" s="17"/>
      <c r="H29193" s="18"/>
      <c r="K29193" s="18" t="s">
        <v>316</v>
      </c>
    </row>
    <row r="29194">
      <c r="A29194" s="17"/>
      <c r="H29194" s="18"/>
      <c r="K29194" s="18" t="s">
        <v>316</v>
      </c>
    </row>
    <row r="29195">
      <c r="A29195" s="17"/>
      <c r="H29195" s="18"/>
      <c r="K29195" s="18" t="s">
        <v>316</v>
      </c>
    </row>
    <row r="29196">
      <c r="A29196" s="17"/>
      <c r="H29196" s="18"/>
      <c r="K29196" s="18" t="s">
        <v>316</v>
      </c>
    </row>
    <row r="29197">
      <c r="A29197" s="17"/>
      <c r="H29197" s="18"/>
      <c r="K29197" s="18" t="s">
        <v>316</v>
      </c>
    </row>
    <row r="29198">
      <c r="A29198" s="17"/>
      <c r="H29198" s="18"/>
      <c r="K29198" s="18" t="s">
        <v>316</v>
      </c>
    </row>
    <row r="29199">
      <c r="A29199" s="17"/>
      <c r="H29199" s="18"/>
      <c r="K29199" s="18" t="s">
        <v>316</v>
      </c>
    </row>
    <row r="29200">
      <c r="A29200" s="17"/>
      <c r="H29200" s="18"/>
      <c r="K29200" s="18" t="s">
        <v>316</v>
      </c>
    </row>
    <row r="29201">
      <c r="A29201" s="17"/>
      <c r="H29201" s="18"/>
      <c r="K29201" s="18" t="s">
        <v>316</v>
      </c>
    </row>
    <row r="29202">
      <c r="A29202" s="17"/>
      <c r="H29202" s="18"/>
      <c r="K29202" s="18" t="s">
        <v>316</v>
      </c>
    </row>
    <row r="29203">
      <c r="A29203" s="17"/>
      <c r="H29203" s="18"/>
      <c r="K29203" s="18" t="s">
        <v>316</v>
      </c>
    </row>
    <row r="29204">
      <c r="A29204" s="17"/>
      <c r="H29204" s="18"/>
      <c r="K29204" s="18" t="s">
        <v>316</v>
      </c>
    </row>
    <row r="29205">
      <c r="A29205" s="17"/>
      <c r="H29205" s="18"/>
      <c r="K29205" s="18" t="s">
        <v>316</v>
      </c>
    </row>
    <row r="29206">
      <c r="A29206" s="17"/>
      <c r="H29206" s="18"/>
      <c r="K29206" s="18" t="s">
        <v>316</v>
      </c>
    </row>
    <row r="29207">
      <c r="A29207" s="17"/>
      <c r="H29207" s="18"/>
      <c r="K29207" s="18" t="s">
        <v>316</v>
      </c>
    </row>
    <row r="29208">
      <c r="A29208" s="17"/>
      <c r="H29208" s="18"/>
      <c r="K29208" s="18" t="s">
        <v>316</v>
      </c>
    </row>
    <row r="29209">
      <c r="A29209" s="17"/>
      <c r="H29209" s="18"/>
      <c r="K29209" s="18" t="s">
        <v>316</v>
      </c>
    </row>
    <row r="29210">
      <c r="A29210" s="17"/>
      <c r="H29210" s="18"/>
      <c r="K29210" s="18" t="s">
        <v>316</v>
      </c>
    </row>
    <row r="29211">
      <c r="A29211" s="17"/>
      <c r="H29211" s="18"/>
      <c r="K29211" s="18" t="s">
        <v>316</v>
      </c>
    </row>
    <row r="29212">
      <c r="A29212" s="17"/>
      <c r="H29212" s="18"/>
      <c r="K29212" s="18" t="s">
        <v>316</v>
      </c>
    </row>
    <row r="29213">
      <c r="A29213" s="17"/>
      <c r="H29213" s="18"/>
      <c r="K29213" s="18" t="s">
        <v>316</v>
      </c>
    </row>
    <row r="29214">
      <c r="A29214" s="17"/>
      <c r="H29214" s="18"/>
      <c r="K29214" s="18" t="s">
        <v>316</v>
      </c>
    </row>
    <row r="29215">
      <c r="A29215" s="17"/>
      <c r="H29215" s="18"/>
      <c r="K29215" s="18" t="s">
        <v>316</v>
      </c>
    </row>
    <row r="29216">
      <c r="A29216" s="17"/>
      <c r="H29216" s="18"/>
      <c r="K29216" s="18" t="s">
        <v>316</v>
      </c>
    </row>
    <row r="29217">
      <c r="A29217" s="17"/>
      <c r="H29217" s="18"/>
      <c r="K29217" s="18" t="s">
        <v>316</v>
      </c>
    </row>
    <row r="29218">
      <c r="A29218" s="17"/>
      <c r="H29218" s="18"/>
      <c r="K29218" s="18" t="s">
        <v>316</v>
      </c>
    </row>
    <row r="29219">
      <c r="A29219" s="17"/>
      <c r="H29219" s="18"/>
      <c r="K29219" s="18" t="s">
        <v>316</v>
      </c>
    </row>
    <row r="29220">
      <c r="A29220" s="17"/>
      <c r="H29220" s="18"/>
      <c r="K29220" s="18" t="s">
        <v>316</v>
      </c>
    </row>
    <row r="29221">
      <c r="A29221" s="17"/>
      <c r="H29221" s="18"/>
      <c r="K29221" s="18" t="s">
        <v>316</v>
      </c>
    </row>
    <row r="29222">
      <c r="A29222" s="17"/>
      <c r="H29222" s="18"/>
      <c r="K29222" s="18" t="s">
        <v>316</v>
      </c>
    </row>
    <row r="29223">
      <c r="A29223" s="17"/>
      <c r="H29223" s="18"/>
      <c r="K29223" s="18" t="s">
        <v>316</v>
      </c>
    </row>
    <row r="29224">
      <c r="A29224" s="17"/>
      <c r="H29224" s="18"/>
      <c r="K29224" s="18" t="s">
        <v>316</v>
      </c>
    </row>
    <row r="29225">
      <c r="A29225" s="17"/>
      <c r="H29225" s="18"/>
      <c r="K29225" s="18" t="s">
        <v>316</v>
      </c>
    </row>
    <row r="29226">
      <c r="A29226" s="17"/>
      <c r="H29226" s="18"/>
      <c r="K29226" s="18" t="s">
        <v>316</v>
      </c>
    </row>
    <row r="29227">
      <c r="A29227" s="17"/>
      <c r="H29227" s="18"/>
      <c r="K29227" s="18" t="s">
        <v>316</v>
      </c>
    </row>
    <row r="29228">
      <c r="A29228" s="17"/>
      <c r="H29228" s="18"/>
      <c r="K29228" s="18" t="s">
        <v>316</v>
      </c>
    </row>
    <row r="29229">
      <c r="A29229" s="17"/>
      <c r="H29229" s="18"/>
      <c r="K29229" s="18" t="s">
        <v>316</v>
      </c>
    </row>
    <row r="29230">
      <c r="A29230" s="17"/>
      <c r="H29230" s="18"/>
      <c r="K29230" s="18" t="s">
        <v>316</v>
      </c>
    </row>
    <row r="29231">
      <c r="A29231" s="17"/>
      <c r="H29231" s="18"/>
      <c r="K29231" s="18" t="s">
        <v>316</v>
      </c>
    </row>
    <row r="29232">
      <c r="A29232" s="17"/>
      <c r="H29232" s="18"/>
      <c r="K29232" s="18" t="s">
        <v>316</v>
      </c>
    </row>
    <row r="29233">
      <c r="A29233" s="17"/>
      <c r="H29233" s="18"/>
      <c r="K29233" s="18" t="s">
        <v>316</v>
      </c>
    </row>
    <row r="29234">
      <c r="A29234" s="17"/>
      <c r="H29234" s="18"/>
      <c r="K29234" s="18" t="s">
        <v>316</v>
      </c>
    </row>
    <row r="29235">
      <c r="A29235" s="17"/>
      <c r="H29235" s="18"/>
      <c r="K29235" s="18" t="s">
        <v>316</v>
      </c>
    </row>
    <row r="29236">
      <c r="A29236" s="17"/>
      <c r="H29236" s="18"/>
      <c r="K29236" s="18" t="s">
        <v>316</v>
      </c>
    </row>
    <row r="29237">
      <c r="A29237" s="17"/>
      <c r="H29237" s="18"/>
      <c r="K29237" s="18" t="s">
        <v>316</v>
      </c>
    </row>
    <row r="29238">
      <c r="A29238" s="17"/>
      <c r="H29238" s="18"/>
      <c r="K29238" s="18" t="s">
        <v>316</v>
      </c>
    </row>
    <row r="29239">
      <c r="A29239" s="17"/>
      <c r="H29239" s="18"/>
      <c r="K29239" s="18" t="s">
        <v>316</v>
      </c>
    </row>
    <row r="29240">
      <c r="A29240" s="17"/>
      <c r="H29240" s="18"/>
      <c r="K29240" s="18" t="s">
        <v>316</v>
      </c>
    </row>
    <row r="29241">
      <c r="A29241" s="17"/>
      <c r="H29241" s="18"/>
      <c r="K29241" s="18" t="s">
        <v>316</v>
      </c>
    </row>
    <row r="29242">
      <c r="A29242" s="17"/>
      <c r="H29242" s="18"/>
      <c r="K29242" s="18" t="s">
        <v>316</v>
      </c>
    </row>
    <row r="29243">
      <c r="A29243" s="17"/>
      <c r="H29243" s="18"/>
      <c r="K29243" s="18" t="s">
        <v>316</v>
      </c>
    </row>
    <row r="29244">
      <c r="A29244" s="17"/>
      <c r="H29244" s="18"/>
      <c r="K29244" s="18" t="s">
        <v>316</v>
      </c>
    </row>
    <row r="29245">
      <c r="A29245" s="17"/>
      <c r="H29245" s="18"/>
      <c r="K29245" s="18" t="s">
        <v>316</v>
      </c>
    </row>
    <row r="29246">
      <c r="A29246" s="17"/>
      <c r="H29246" s="18"/>
      <c r="K29246" s="18" t="s">
        <v>316</v>
      </c>
    </row>
    <row r="29247">
      <c r="A29247" s="17"/>
      <c r="H29247" s="18"/>
      <c r="K29247" s="18" t="s">
        <v>316</v>
      </c>
    </row>
    <row r="29248">
      <c r="A29248" s="17"/>
      <c r="H29248" s="18"/>
      <c r="K29248" s="18" t="s">
        <v>316</v>
      </c>
    </row>
    <row r="29249">
      <c r="A29249" s="17"/>
      <c r="H29249" s="18"/>
      <c r="K29249" s="18" t="s">
        <v>316</v>
      </c>
    </row>
    <row r="29250">
      <c r="A29250" s="17"/>
      <c r="H29250" s="18"/>
      <c r="K29250" s="18" t="s">
        <v>316</v>
      </c>
    </row>
    <row r="29251">
      <c r="A29251" s="17"/>
      <c r="H29251" s="18"/>
      <c r="K29251" s="18" t="s">
        <v>316</v>
      </c>
    </row>
    <row r="29252">
      <c r="A29252" s="17"/>
      <c r="H29252" s="18"/>
      <c r="K29252" s="18" t="s">
        <v>316</v>
      </c>
    </row>
    <row r="29253">
      <c r="A29253" s="17"/>
      <c r="H29253" s="18"/>
      <c r="K29253" s="18" t="s">
        <v>316</v>
      </c>
    </row>
    <row r="29254">
      <c r="A29254" s="17"/>
      <c r="H29254" s="18"/>
      <c r="K29254" s="18" t="s">
        <v>316</v>
      </c>
    </row>
    <row r="29255">
      <c r="A29255" s="17"/>
      <c r="H29255" s="18"/>
      <c r="K29255" s="18" t="s">
        <v>316</v>
      </c>
    </row>
    <row r="29256">
      <c r="A29256" s="17"/>
      <c r="H29256" s="18"/>
      <c r="K29256" s="18" t="s">
        <v>316</v>
      </c>
    </row>
    <row r="29257">
      <c r="A29257" s="17"/>
      <c r="H29257" s="18"/>
      <c r="K29257" s="18" t="s">
        <v>316</v>
      </c>
    </row>
    <row r="29258">
      <c r="A29258" s="17"/>
      <c r="H29258" s="18"/>
      <c r="K29258" s="18" t="s">
        <v>316</v>
      </c>
    </row>
    <row r="29259">
      <c r="A29259" s="17"/>
      <c r="H29259" s="18"/>
      <c r="K29259" s="18" t="s">
        <v>316</v>
      </c>
    </row>
    <row r="29260">
      <c r="A29260" s="17"/>
      <c r="H29260" s="18"/>
      <c r="K29260" s="18" t="s">
        <v>316</v>
      </c>
    </row>
    <row r="29261">
      <c r="A29261" s="17"/>
      <c r="H29261" s="18"/>
      <c r="K29261" s="18" t="s">
        <v>316</v>
      </c>
    </row>
    <row r="29262">
      <c r="A29262" s="17"/>
      <c r="H29262" s="18"/>
      <c r="K29262" s="18" t="s">
        <v>316</v>
      </c>
    </row>
    <row r="29263">
      <c r="A29263" s="17"/>
      <c r="H29263" s="18"/>
      <c r="K29263" s="18" t="s">
        <v>316</v>
      </c>
    </row>
    <row r="29264">
      <c r="A29264" s="17"/>
      <c r="H29264" s="18"/>
      <c r="K29264" s="18" t="s">
        <v>316</v>
      </c>
    </row>
    <row r="29265">
      <c r="A29265" s="17"/>
      <c r="H29265" s="18"/>
      <c r="K29265" s="18" t="s">
        <v>316</v>
      </c>
    </row>
    <row r="29266">
      <c r="A29266" s="17"/>
      <c r="H29266" s="18"/>
      <c r="K29266" s="18" t="s">
        <v>316</v>
      </c>
    </row>
    <row r="29267">
      <c r="A29267" s="17"/>
      <c r="H29267" s="18"/>
      <c r="K29267" s="18" t="s">
        <v>316</v>
      </c>
    </row>
    <row r="29268">
      <c r="A29268" s="17"/>
      <c r="H29268" s="18"/>
      <c r="K29268" s="18" t="s">
        <v>316</v>
      </c>
    </row>
    <row r="29269">
      <c r="A29269" s="17"/>
      <c r="H29269" s="18"/>
      <c r="K29269" s="18" t="s">
        <v>316</v>
      </c>
    </row>
    <row r="29270">
      <c r="A29270" s="17"/>
      <c r="H29270" s="18"/>
      <c r="K29270" s="18" t="s">
        <v>316</v>
      </c>
    </row>
    <row r="29271">
      <c r="A29271" s="17"/>
      <c r="H29271" s="18"/>
      <c r="K29271" s="18" t="s">
        <v>316</v>
      </c>
    </row>
    <row r="29272">
      <c r="A29272" s="17"/>
      <c r="H29272" s="18"/>
      <c r="K29272" s="18" t="s">
        <v>316</v>
      </c>
    </row>
    <row r="29273">
      <c r="A29273" s="17"/>
      <c r="H29273" s="18"/>
      <c r="K29273" s="18" t="s">
        <v>316</v>
      </c>
    </row>
    <row r="29274">
      <c r="A29274" s="17"/>
      <c r="H29274" s="18"/>
      <c r="K29274" s="18" t="s">
        <v>316</v>
      </c>
    </row>
    <row r="29275">
      <c r="A29275" s="17"/>
      <c r="H29275" s="18"/>
      <c r="K29275" s="18" t="s">
        <v>316</v>
      </c>
    </row>
    <row r="29276">
      <c r="A29276" s="17"/>
      <c r="H29276" s="18"/>
      <c r="K29276" s="18" t="s">
        <v>316</v>
      </c>
    </row>
    <row r="29277">
      <c r="A29277" s="17"/>
      <c r="H29277" s="18"/>
      <c r="K29277" s="18" t="s">
        <v>316</v>
      </c>
    </row>
    <row r="29278">
      <c r="A29278" s="17"/>
      <c r="H29278" s="18"/>
      <c r="K29278" s="18" t="s">
        <v>316</v>
      </c>
    </row>
    <row r="29279">
      <c r="A29279" s="17"/>
      <c r="H29279" s="18"/>
      <c r="K29279" s="18" t="s">
        <v>316</v>
      </c>
    </row>
    <row r="29280">
      <c r="A29280" s="17"/>
      <c r="H29280" s="18"/>
      <c r="K29280" s="18" t="s">
        <v>316</v>
      </c>
    </row>
    <row r="29281">
      <c r="A29281" s="17"/>
      <c r="H29281" s="18"/>
      <c r="K29281" s="18" t="s">
        <v>316</v>
      </c>
    </row>
    <row r="29282">
      <c r="A29282" s="17"/>
      <c r="H29282" s="18"/>
      <c r="K29282" s="18" t="s">
        <v>316</v>
      </c>
    </row>
    <row r="29283">
      <c r="A29283" s="17"/>
      <c r="H29283" s="18"/>
      <c r="K29283" s="18" t="s">
        <v>316</v>
      </c>
    </row>
    <row r="29284">
      <c r="A29284" s="17"/>
      <c r="H29284" s="18"/>
      <c r="K29284" s="18" t="s">
        <v>316</v>
      </c>
    </row>
    <row r="29285">
      <c r="A29285" s="17"/>
      <c r="H29285" s="18"/>
      <c r="K29285" s="18" t="s">
        <v>316</v>
      </c>
    </row>
    <row r="29286">
      <c r="A29286" s="17"/>
      <c r="H29286" s="18"/>
      <c r="K29286" s="18" t="s">
        <v>316</v>
      </c>
    </row>
    <row r="29287">
      <c r="A29287" s="17"/>
      <c r="H29287" s="18"/>
      <c r="K29287" s="18" t="s">
        <v>316</v>
      </c>
    </row>
    <row r="29288">
      <c r="A29288" s="17"/>
      <c r="H29288" s="18"/>
      <c r="K29288" s="18" t="s">
        <v>316</v>
      </c>
    </row>
    <row r="29289">
      <c r="A29289" s="17"/>
      <c r="H29289" s="18"/>
      <c r="K29289" s="18" t="s">
        <v>316</v>
      </c>
    </row>
    <row r="29290">
      <c r="A29290" s="17"/>
      <c r="H29290" s="18"/>
      <c r="K29290" s="18" t="s">
        <v>316</v>
      </c>
    </row>
    <row r="29291">
      <c r="A29291" s="17"/>
      <c r="H29291" s="18"/>
      <c r="K29291" s="18" t="s">
        <v>316</v>
      </c>
    </row>
    <row r="29292">
      <c r="A29292" s="17"/>
      <c r="H29292" s="18"/>
      <c r="K29292" s="18" t="s">
        <v>316</v>
      </c>
    </row>
    <row r="29293">
      <c r="A29293" s="17"/>
      <c r="H29293" s="18"/>
      <c r="K29293" s="18" t="s">
        <v>316</v>
      </c>
    </row>
    <row r="29294">
      <c r="A29294" s="17"/>
      <c r="H29294" s="18"/>
      <c r="K29294" s="18" t="s">
        <v>316</v>
      </c>
    </row>
    <row r="29295">
      <c r="A29295" s="17"/>
      <c r="H29295" s="18"/>
      <c r="K29295" s="18" t="s">
        <v>316</v>
      </c>
    </row>
    <row r="29296">
      <c r="A29296" s="17"/>
      <c r="H29296" s="18"/>
      <c r="K29296" s="18" t="s">
        <v>316</v>
      </c>
    </row>
    <row r="29297">
      <c r="A29297" s="17"/>
      <c r="H29297" s="18"/>
      <c r="K29297" s="18" t="s">
        <v>316</v>
      </c>
    </row>
    <row r="29298">
      <c r="A29298" s="17"/>
      <c r="H29298" s="18"/>
      <c r="K29298" s="18" t="s">
        <v>316</v>
      </c>
    </row>
    <row r="29299">
      <c r="A29299" s="17"/>
      <c r="H29299" s="18"/>
      <c r="K29299" s="18" t="s">
        <v>316</v>
      </c>
    </row>
    <row r="29300">
      <c r="A29300" s="17"/>
      <c r="H29300" s="18"/>
      <c r="K29300" s="18" t="s">
        <v>316</v>
      </c>
    </row>
    <row r="29301">
      <c r="A29301" s="17"/>
      <c r="H29301" s="18"/>
      <c r="K29301" s="18" t="s">
        <v>316</v>
      </c>
    </row>
    <row r="29302">
      <c r="A29302" s="17"/>
      <c r="H29302" s="18"/>
      <c r="K29302" s="18" t="s">
        <v>316</v>
      </c>
    </row>
    <row r="29303">
      <c r="A29303" s="17"/>
      <c r="H29303" s="18"/>
      <c r="K29303" s="18" t="s">
        <v>316</v>
      </c>
    </row>
    <row r="29304">
      <c r="A29304" s="17"/>
      <c r="H29304" s="18"/>
      <c r="K29304" s="18" t="s">
        <v>316</v>
      </c>
    </row>
    <row r="29305">
      <c r="A29305" s="17"/>
      <c r="H29305" s="18"/>
      <c r="K29305" s="18" t="s">
        <v>316</v>
      </c>
    </row>
    <row r="29306">
      <c r="A29306" s="17"/>
      <c r="H29306" s="18"/>
      <c r="K29306" s="18" t="s">
        <v>316</v>
      </c>
    </row>
    <row r="29307">
      <c r="A29307" s="17"/>
      <c r="H29307" s="18"/>
      <c r="K29307" s="18" t="s">
        <v>316</v>
      </c>
    </row>
    <row r="29308">
      <c r="A29308" s="17"/>
      <c r="H29308" s="18"/>
      <c r="K29308" s="18" t="s">
        <v>316</v>
      </c>
    </row>
    <row r="29309">
      <c r="A29309" s="17"/>
      <c r="H29309" s="18"/>
      <c r="K29309" s="18" t="s">
        <v>316</v>
      </c>
    </row>
    <row r="29310">
      <c r="A29310" s="17"/>
      <c r="H29310" s="18"/>
      <c r="K29310" s="18" t="s">
        <v>316</v>
      </c>
    </row>
    <row r="29311">
      <c r="A29311" s="17"/>
      <c r="H29311" s="18"/>
      <c r="K29311" s="18" t="s">
        <v>316</v>
      </c>
    </row>
    <row r="29312">
      <c r="A29312" s="17"/>
      <c r="H29312" s="18"/>
      <c r="K29312" s="18" t="s">
        <v>316</v>
      </c>
    </row>
    <row r="29313">
      <c r="A29313" s="17"/>
      <c r="H29313" s="18"/>
      <c r="K29313" s="18" t="s">
        <v>316</v>
      </c>
    </row>
    <row r="29314">
      <c r="A29314" s="17"/>
      <c r="H29314" s="18"/>
      <c r="K29314" s="18" t="s">
        <v>316</v>
      </c>
    </row>
    <row r="29315">
      <c r="A29315" s="17"/>
      <c r="H29315" s="18"/>
      <c r="K29315" s="18" t="s">
        <v>316</v>
      </c>
    </row>
    <row r="29316">
      <c r="A29316" s="17"/>
      <c r="H29316" s="18"/>
      <c r="K29316" s="18" t="s">
        <v>316</v>
      </c>
    </row>
    <row r="29317">
      <c r="A29317" s="17"/>
      <c r="H29317" s="18"/>
      <c r="K29317" s="18" t="s">
        <v>316</v>
      </c>
    </row>
    <row r="29318">
      <c r="A29318" s="17"/>
      <c r="H29318" s="18"/>
      <c r="K29318" s="18" t="s">
        <v>316</v>
      </c>
    </row>
    <row r="29319">
      <c r="A29319" s="17"/>
      <c r="H29319" s="18"/>
      <c r="K29319" s="18" t="s">
        <v>316</v>
      </c>
    </row>
    <row r="29320">
      <c r="A29320" s="17"/>
      <c r="H29320" s="18"/>
      <c r="K29320" s="18" t="s">
        <v>316</v>
      </c>
    </row>
    <row r="29321">
      <c r="A29321" s="17"/>
      <c r="H29321" s="18"/>
      <c r="K29321" s="18" t="s">
        <v>316</v>
      </c>
    </row>
    <row r="29322">
      <c r="A29322" s="17"/>
      <c r="H29322" s="18"/>
      <c r="K29322" s="18" t="s">
        <v>316</v>
      </c>
    </row>
    <row r="29323">
      <c r="A29323" s="17"/>
      <c r="H29323" s="18"/>
      <c r="K29323" s="18" t="s">
        <v>316</v>
      </c>
    </row>
    <row r="29324">
      <c r="A29324" s="17"/>
      <c r="H29324" s="18"/>
      <c r="K29324" s="18" t="s">
        <v>316</v>
      </c>
    </row>
    <row r="29325">
      <c r="A29325" s="17"/>
      <c r="H29325" s="18"/>
      <c r="K29325" s="18" t="s">
        <v>316</v>
      </c>
    </row>
    <row r="29326">
      <c r="A29326" s="17"/>
      <c r="H29326" s="18"/>
      <c r="K29326" s="18" t="s">
        <v>316</v>
      </c>
    </row>
    <row r="29327">
      <c r="A29327" s="17"/>
      <c r="H29327" s="18"/>
      <c r="K29327" s="18" t="s">
        <v>316</v>
      </c>
    </row>
    <row r="29328">
      <c r="A29328" s="17"/>
      <c r="H29328" s="18"/>
      <c r="K29328" s="18" t="s">
        <v>316</v>
      </c>
    </row>
    <row r="29329">
      <c r="A29329" s="17"/>
      <c r="H29329" s="18"/>
      <c r="K29329" s="18" t="s">
        <v>316</v>
      </c>
    </row>
    <row r="29330">
      <c r="A29330" s="17"/>
      <c r="H29330" s="18"/>
      <c r="K29330" s="18" t="s">
        <v>316</v>
      </c>
    </row>
    <row r="29331">
      <c r="A29331" s="17"/>
      <c r="H29331" s="18"/>
      <c r="K29331" s="18" t="s">
        <v>316</v>
      </c>
    </row>
    <row r="29332">
      <c r="A29332" s="17"/>
      <c r="H29332" s="18"/>
      <c r="K29332" s="18" t="s">
        <v>316</v>
      </c>
    </row>
    <row r="29333">
      <c r="A29333" s="17"/>
      <c r="H29333" s="18"/>
      <c r="K29333" s="18" t="s">
        <v>316</v>
      </c>
    </row>
    <row r="29334">
      <c r="A29334" s="17"/>
      <c r="H29334" s="18"/>
      <c r="K29334" s="18" t="s">
        <v>316</v>
      </c>
    </row>
    <row r="29335">
      <c r="A29335" s="17"/>
      <c r="H29335" s="18"/>
      <c r="K29335" s="18" t="s">
        <v>316</v>
      </c>
    </row>
    <row r="29336">
      <c r="A29336" s="17"/>
      <c r="H29336" s="18"/>
      <c r="K29336" s="18" t="s">
        <v>316</v>
      </c>
    </row>
    <row r="29337">
      <c r="A29337" s="17"/>
      <c r="H29337" s="18"/>
      <c r="K29337" s="18" t="s">
        <v>316</v>
      </c>
    </row>
    <row r="29338">
      <c r="A29338" s="17"/>
      <c r="H29338" s="18"/>
      <c r="K29338" s="18" t="s">
        <v>316</v>
      </c>
    </row>
    <row r="29339">
      <c r="A29339" s="17"/>
      <c r="H29339" s="18"/>
      <c r="K29339" s="18" t="s">
        <v>316</v>
      </c>
    </row>
    <row r="29340">
      <c r="A29340" s="17"/>
      <c r="H29340" s="18"/>
      <c r="K29340" s="18" t="s">
        <v>316</v>
      </c>
    </row>
    <row r="29341">
      <c r="A29341" s="17"/>
      <c r="H29341" s="18"/>
      <c r="K29341" s="18" t="s">
        <v>316</v>
      </c>
    </row>
    <row r="29342">
      <c r="A29342" s="17"/>
      <c r="H29342" s="18"/>
      <c r="K29342" s="18" t="s">
        <v>316</v>
      </c>
    </row>
    <row r="29343">
      <c r="A29343" s="17"/>
      <c r="H29343" s="18"/>
      <c r="K29343" s="18" t="s">
        <v>316</v>
      </c>
    </row>
    <row r="29344">
      <c r="A29344" s="17"/>
      <c r="H29344" s="18"/>
      <c r="K29344" s="18" t="s">
        <v>316</v>
      </c>
    </row>
    <row r="29345">
      <c r="A29345" s="17"/>
      <c r="H29345" s="18"/>
      <c r="K29345" s="18" t="s">
        <v>316</v>
      </c>
    </row>
    <row r="29346">
      <c r="A29346" s="17"/>
      <c r="H29346" s="18"/>
      <c r="K29346" s="18" t="s">
        <v>316</v>
      </c>
    </row>
    <row r="29347">
      <c r="A29347" s="17"/>
      <c r="H29347" s="18"/>
      <c r="K29347" s="18" t="s">
        <v>316</v>
      </c>
    </row>
    <row r="29348">
      <c r="A29348" s="17"/>
      <c r="H29348" s="18"/>
      <c r="K29348" s="18" t="s">
        <v>316</v>
      </c>
    </row>
    <row r="29349">
      <c r="A29349" s="17"/>
      <c r="H29349" s="18"/>
      <c r="K29349" s="18" t="s">
        <v>316</v>
      </c>
    </row>
    <row r="29350">
      <c r="A29350" s="17"/>
      <c r="H29350" s="18"/>
      <c r="K29350" s="18" t="s">
        <v>316</v>
      </c>
    </row>
    <row r="29351">
      <c r="A29351" s="17"/>
      <c r="H29351" s="18"/>
      <c r="K29351" s="18" t="s">
        <v>316</v>
      </c>
    </row>
    <row r="29352">
      <c r="A29352" s="17"/>
      <c r="H29352" s="18"/>
      <c r="K29352" s="18" t="s">
        <v>316</v>
      </c>
    </row>
    <row r="29353">
      <c r="A29353" s="17"/>
      <c r="H29353" s="18"/>
      <c r="K29353" s="18" t="s">
        <v>316</v>
      </c>
    </row>
    <row r="29354">
      <c r="A29354" s="17"/>
      <c r="H29354" s="18"/>
      <c r="K29354" s="18" t="s">
        <v>316</v>
      </c>
    </row>
    <row r="29355">
      <c r="A29355" s="17"/>
      <c r="H29355" s="18"/>
      <c r="K29355" s="18" t="s">
        <v>316</v>
      </c>
    </row>
    <row r="29356">
      <c r="A29356" s="17"/>
      <c r="H29356" s="18"/>
      <c r="K29356" s="18" t="s">
        <v>316</v>
      </c>
    </row>
    <row r="29357">
      <c r="A29357" s="17"/>
      <c r="H29357" s="18"/>
      <c r="K29357" s="18" t="s">
        <v>316</v>
      </c>
    </row>
    <row r="29358">
      <c r="A29358" s="17"/>
      <c r="H29358" s="18"/>
      <c r="K29358" s="18" t="s">
        <v>316</v>
      </c>
    </row>
    <row r="29359">
      <c r="A29359" s="17"/>
      <c r="H29359" s="18"/>
      <c r="K29359" s="18" t="s">
        <v>316</v>
      </c>
    </row>
    <row r="29360">
      <c r="A29360" s="17"/>
      <c r="H29360" s="18"/>
      <c r="K29360" s="18" t="s">
        <v>316</v>
      </c>
    </row>
    <row r="29361">
      <c r="A29361" s="17"/>
      <c r="H29361" s="18"/>
      <c r="K29361" s="18" t="s">
        <v>316</v>
      </c>
    </row>
    <row r="29362">
      <c r="A29362" s="17"/>
      <c r="H29362" s="18"/>
      <c r="K29362" s="18" t="s">
        <v>316</v>
      </c>
    </row>
    <row r="29363">
      <c r="A29363" s="17"/>
      <c r="H29363" s="18"/>
      <c r="K29363" s="18" t="s">
        <v>316</v>
      </c>
    </row>
    <row r="29364">
      <c r="A29364" s="17"/>
      <c r="H29364" s="18"/>
      <c r="K29364" s="18" t="s">
        <v>316</v>
      </c>
    </row>
    <row r="29365">
      <c r="A29365" s="17"/>
      <c r="H29365" s="18"/>
      <c r="K29365" s="18" t="s">
        <v>316</v>
      </c>
    </row>
    <row r="29366">
      <c r="A29366" s="17"/>
      <c r="H29366" s="18"/>
      <c r="K29366" s="18" t="s">
        <v>316</v>
      </c>
    </row>
    <row r="29367">
      <c r="A29367" s="17"/>
      <c r="H29367" s="18"/>
      <c r="K29367" s="18" t="s">
        <v>316</v>
      </c>
    </row>
    <row r="29368">
      <c r="A29368" s="17"/>
      <c r="H29368" s="18"/>
      <c r="K29368" s="18" t="s">
        <v>316</v>
      </c>
    </row>
    <row r="29369">
      <c r="A29369" s="17"/>
      <c r="H29369" s="18"/>
      <c r="K29369" s="18" t="s">
        <v>316</v>
      </c>
    </row>
    <row r="29370">
      <c r="A29370" s="17"/>
      <c r="H29370" s="18"/>
      <c r="K29370" s="18" t="s">
        <v>316</v>
      </c>
    </row>
    <row r="29371">
      <c r="A29371" s="17"/>
      <c r="H29371" s="18"/>
      <c r="K29371" s="18" t="s">
        <v>316</v>
      </c>
    </row>
    <row r="29372">
      <c r="A29372" s="17"/>
      <c r="H29372" s="18"/>
      <c r="K29372" s="18" t="s">
        <v>316</v>
      </c>
    </row>
    <row r="29373">
      <c r="A29373" s="17"/>
      <c r="H29373" s="18"/>
      <c r="K29373" s="18" t="s">
        <v>316</v>
      </c>
    </row>
    <row r="29374">
      <c r="A29374" s="17"/>
      <c r="H29374" s="18"/>
      <c r="K29374" s="18" t="s">
        <v>316</v>
      </c>
    </row>
    <row r="29375">
      <c r="A29375" s="17"/>
      <c r="H29375" s="18"/>
      <c r="K29375" s="18" t="s">
        <v>316</v>
      </c>
    </row>
    <row r="29376">
      <c r="A29376" s="17"/>
      <c r="H29376" s="18"/>
      <c r="K29376" s="18" t="s">
        <v>316</v>
      </c>
    </row>
    <row r="29377">
      <c r="A29377" s="17"/>
      <c r="H29377" s="18"/>
      <c r="K29377" s="18" t="s">
        <v>316</v>
      </c>
    </row>
    <row r="29378">
      <c r="A29378" s="17"/>
      <c r="H29378" s="18"/>
      <c r="K29378" s="18" t="s">
        <v>316</v>
      </c>
    </row>
    <row r="29379">
      <c r="A29379" s="17"/>
      <c r="H29379" s="18"/>
      <c r="K29379" s="18" t="s">
        <v>316</v>
      </c>
    </row>
    <row r="29380">
      <c r="A29380" s="17"/>
      <c r="H29380" s="18"/>
      <c r="K29380" s="18" t="s">
        <v>316</v>
      </c>
    </row>
    <row r="29381">
      <c r="A29381" s="17"/>
      <c r="H29381" s="18"/>
      <c r="K29381" s="18" t="s">
        <v>316</v>
      </c>
    </row>
    <row r="29382">
      <c r="A29382" s="17"/>
      <c r="H29382" s="18"/>
      <c r="K29382" s="18" t="s">
        <v>316</v>
      </c>
    </row>
    <row r="29383">
      <c r="A29383" s="17"/>
      <c r="H29383" s="18"/>
      <c r="K29383" s="18" t="s">
        <v>316</v>
      </c>
    </row>
    <row r="29384">
      <c r="A29384" s="17"/>
      <c r="H29384" s="18"/>
      <c r="K29384" s="18" t="s">
        <v>316</v>
      </c>
    </row>
    <row r="29385">
      <c r="A29385" s="17"/>
      <c r="H29385" s="18"/>
      <c r="K29385" s="18" t="s">
        <v>316</v>
      </c>
    </row>
    <row r="29386">
      <c r="A29386" s="17"/>
      <c r="H29386" s="18"/>
      <c r="K29386" s="18" t="s">
        <v>316</v>
      </c>
    </row>
    <row r="29387">
      <c r="A29387" s="17"/>
      <c r="H29387" s="18"/>
      <c r="K29387" s="18" t="s">
        <v>316</v>
      </c>
    </row>
    <row r="29388">
      <c r="A29388" s="17"/>
      <c r="H29388" s="18"/>
      <c r="K29388" s="18" t="s">
        <v>316</v>
      </c>
    </row>
    <row r="29389">
      <c r="A29389" s="17"/>
      <c r="H29389" s="18"/>
      <c r="K29389" s="18" t="s">
        <v>316</v>
      </c>
    </row>
    <row r="29390">
      <c r="A29390" s="17"/>
      <c r="H29390" s="18"/>
      <c r="K29390" s="18" t="s">
        <v>316</v>
      </c>
    </row>
    <row r="29391">
      <c r="A29391" s="17"/>
      <c r="H29391" s="18"/>
      <c r="K29391" s="18" t="s">
        <v>316</v>
      </c>
    </row>
    <row r="29392">
      <c r="A29392" s="17"/>
      <c r="H29392" s="18"/>
      <c r="K29392" s="18" t="s">
        <v>316</v>
      </c>
    </row>
    <row r="29393">
      <c r="A29393" s="17"/>
      <c r="H29393" s="18"/>
      <c r="K29393" s="18" t="s">
        <v>316</v>
      </c>
    </row>
    <row r="29394">
      <c r="A29394" s="17"/>
      <c r="H29394" s="18"/>
      <c r="K29394" s="18" t="s">
        <v>316</v>
      </c>
    </row>
    <row r="29395">
      <c r="A29395" s="17"/>
      <c r="H29395" s="18"/>
      <c r="K29395" s="18" t="s">
        <v>316</v>
      </c>
    </row>
    <row r="29396">
      <c r="A29396" s="17"/>
      <c r="H29396" s="18"/>
      <c r="K29396" s="18" t="s">
        <v>316</v>
      </c>
    </row>
    <row r="29397">
      <c r="A29397" s="17"/>
      <c r="H29397" s="18"/>
      <c r="K29397" s="18" t="s">
        <v>316</v>
      </c>
    </row>
    <row r="29398">
      <c r="A29398" s="17"/>
      <c r="H29398" s="18"/>
      <c r="K29398" s="18" t="s">
        <v>316</v>
      </c>
    </row>
    <row r="29399">
      <c r="A29399" s="17"/>
      <c r="H29399" s="18"/>
      <c r="K29399" s="18" t="s">
        <v>316</v>
      </c>
    </row>
    <row r="29400">
      <c r="A29400" s="17"/>
      <c r="H29400" s="18"/>
      <c r="K29400" s="18" t="s">
        <v>316</v>
      </c>
    </row>
    <row r="29401">
      <c r="A29401" s="17"/>
      <c r="H29401" s="18"/>
      <c r="K29401" s="18" t="s">
        <v>316</v>
      </c>
    </row>
    <row r="29402">
      <c r="A29402" s="17"/>
      <c r="H29402" s="18"/>
      <c r="K29402" s="18" t="s">
        <v>316</v>
      </c>
    </row>
    <row r="29403">
      <c r="A29403" s="17"/>
      <c r="H29403" s="18"/>
      <c r="K29403" s="18" t="s">
        <v>316</v>
      </c>
    </row>
    <row r="29404">
      <c r="A29404" s="17"/>
      <c r="H29404" s="18"/>
      <c r="K29404" s="18" t="s">
        <v>316</v>
      </c>
    </row>
    <row r="29405">
      <c r="A29405" s="17"/>
      <c r="H29405" s="18"/>
      <c r="K29405" s="18" t="s">
        <v>316</v>
      </c>
    </row>
    <row r="29406">
      <c r="A29406" s="17"/>
      <c r="H29406" s="18"/>
      <c r="K29406" s="18" t="s">
        <v>316</v>
      </c>
    </row>
    <row r="29407">
      <c r="A29407" s="17"/>
      <c r="H29407" s="18"/>
      <c r="K29407" s="18" t="s">
        <v>316</v>
      </c>
    </row>
    <row r="29408">
      <c r="A29408" s="17"/>
      <c r="H29408" s="18"/>
      <c r="K29408" s="18" t="s">
        <v>316</v>
      </c>
    </row>
    <row r="29409">
      <c r="A29409" s="17"/>
      <c r="H29409" s="18"/>
      <c r="K29409" s="18" t="s">
        <v>316</v>
      </c>
    </row>
    <row r="29410">
      <c r="A29410" s="17"/>
      <c r="H29410" s="18"/>
      <c r="K29410" s="18" t="s">
        <v>316</v>
      </c>
    </row>
    <row r="29411">
      <c r="A29411" s="17"/>
      <c r="H29411" s="18"/>
      <c r="K29411" s="18" t="s">
        <v>316</v>
      </c>
    </row>
    <row r="29412">
      <c r="A29412" s="17"/>
      <c r="H29412" s="18"/>
      <c r="K29412" s="18" t="s">
        <v>316</v>
      </c>
    </row>
    <row r="29413">
      <c r="A29413" s="17"/>
      <c r="H29413" s="18"/>
      <c r="K29413" s="18" t="s">
        <v>316</v>
      </c>
    </row>
    <row r="29414">
      <c r="A29414" s="17"/>
      <c r="H29414" s="18"/>
      <c r="K29414" s="18" t="s">
        <v>316</v>
      </c>
    </row>
    <row r="29415">
      <c r="A29415" s="17"/>
      <c r="H29415" s="18"/>
      <c r="K29415" s="18" t="s">
        <v>316</v>
      </c>
    </row>
    <row r="29416">
      <c r="A29416" s="17"/>
      <c r="H29416" s="18"/>
      <c r="K29416" s="18" t="s">
        <v>316</v>
      </c>
    </row>
    <row r="29417">
      <c r="A29417" s="17"/>
      <c r="H29417" s="18"/>
      <c r="K29417" s="18" t="s">
        <v>316</v>
      </c>
    </row>
    <row r="29418">
      <c r="A29418" s="17"/>
      <c r="H29418" s="18"/>
      <c r="K29418" s="18" t="s">
        <v>316</v>
      </c>
    </row>
    <row r="29419">
      <c r="A29419" s="17"/>
      <c r="H29419" s="18"/>
      <c r="K29419" s="18" t="s">
        <v>316</v>
      </c>
    </row>
    <row r="29420">
      <c r="A29420" s="17"/>
      <c r="H29420" s="18"/>
      <c r="K29420" s="18" t="s">
        <v>316</v>
      </c>
    </row>
    <row r="29421">
      <c r="A29421" s="17"/>
      <c r="H29421" s="18"/>
      <c r="K29421" s="18" t="s">
        <v>316</v>
      </c>
    </row>
    <row r="29422">
      <c r="A29422" s="17"/>
      <c r="H29422" s="18"/>
      <c r="K29422" s="18" t="s">
        <v>316</v>
      </c>
    </row>
    <row r="29423">
      <c r="A29423" s="17"/>
      <c r="H29423" s="18"/>
      <c r="K29423" s="18" t="s">
        <v>316</v>
      </c>
    </row>
    <row r="29424">
      <c r="A29424" s="17"/>
      <c r="H29424" s="18"/>
      <c r="K29424" s="18" t="s">
        <v>316</v>
      </c>
    </row>
    <row r="29425">
      <c r="A29425" s="17"/>
      <c r="H29425" s="18"/>
      <c r="K29425" s="18" t="s">
        <v>316</v>
      </c>
    </row>
    <row r="29426">
      <c r="A29426" s="17"/>
      <c r="H29426" s="18"/>
      <c r="K29426" s="18" t="s">
        <v>316</v>
      </c>
    </row>
    <row r="29427">
      <c r="A29427" s="17"/>
      <c r="H29427" s="18"/>
      <c r="K29427" s="18" t="s">
        <v>316</v>
      </c>
    </row>
    <row r="29428">
      <c r="A29428" s="17"/>
      <c r="H29428" s="18"/>
      <c r="K29428" s="18" t="s">
        <v>316</v>
      </c>
    </row>
    <row r="29429">
      <c r="A29429" s="17"/>
      <c r="H29429" s="18"/>
      <c r="K29429" s="18" t="s">
        <v>316</v>
      </c>
    </row>
    <row r="29430">
      <c r="A29430" s="17"/>
      <c r="H29430" s="18"/>
      <c r="K29430" s="18" t="s">
        <v>316</v>
      </c>
    </row>
    <row r="29431">
      <c r="A29431" s="17"/>
      <c r="H29431" s="18"/>
      <c r="K29431" s="18" t="s">
        <v>316</v>
      </c>
    </row>
    <row r="29432">
      <c r="A29432" s="17"/>
      <c r="H29432" s="18"/>
      <c r="K29432" s="18" t="s">
        <v>316</v>
      </c>
    </row>
    <row r="29433">
      <c r="A29433" s="17"/>
      <c r="H29433" s="18"/>
      <c r="K29433" s="18" t="s">
        <v>316</v>
      </c>
    </row>
    <row r="29434">
      <c r="A29434" s="17"/>
      <c r="H29434" s="18"/>
      <c r="K29434" s="18" t="s">
        <v>316</v>
      </c>
    </row>
    <row r="29435">
      <c r="A29435" s="17"/>
      <c r="H29435" s="18"/>
      <c r="K29435" s="18" t="s">
        <v>316</v>
      </c>
    </row>
    <row r="29436">
      <c r="A29436" s="17"/>
      <c r="H29436" s="18"/>
      <c r="K29436" s="18" t="s">
        <v>316</v>
      </c>
    </row>
    <row r="29437">
      <c r="A29437" s="17"/>
      <c r="H29437" s="18"/>
      <c r="K29437" s="18" t="s">
        <v>316</v>
      </c>
    </row>
    <row r="29438">
      <c r="A29438" s="17"/>
      <c r="H29438" s="18"/>
      <c r="K29438" s="18" t="s">
        <v>316</v>
      </c>
    </row>
    <row r="29439">
      <c r="A29439" s="17"/>
      <c r="H29439" s="18"/>
      <c r="K29439" s="18" t="s">
        <v>316</v>
      </c>
    </row>
    <row r="29440">
      <c r="A29440" s="17"/>
      <c r="H29440" s="18"/>
      <c r="K29440" s="18" t="s">
        <v>316</v>
      </c>
    </row>
    <row r="29441">
      <c r="A29441" s="17"/>
      <c r="H29441" s="18"/>
      <c r="K29441" s="18" t="s">
        <v>316</v>
      </c>
    </row>
    <row r="29442">
      <c r="A29442" s="17"/>
      <c r="H29442" s="18"/>
      <c r="K29442" s="18" t="s">
        <v>316</v>
      </c>
    </row>
    <row r="29443">
      <c r="A29443" s="17"/>
      <c r="H29443" s="18"/>
      <c r="K29443" s="18" t="s">
        <v>316</v>
      </c>
    </row>
    <row r="29444">
      <c r="A29444" s="17"/>
      <c r="H29444" s="18"/>
      <c r="K29444" s="18" t="s">
        <v>316</v>
      </c>
    </row>
    <row r="29445">
      <c r="A29445" s="17"/>
      <c r="H29445" s="18"/>
      <c r="K29445" s="18" t="s">
        <v>316</v>
      </c>
    </row>
    <row r="29446">
      <c r="A29446" s="17"/>
      <c r="H29446" s="18"/>
      <c r="K29446" s="18" t="s">
        <v>316</v>
      </c>
    </row>
    <row r="29447">
      <c r="A29447" s="17"/>
      <c r="H29447" s="18"/>
      <c r="K29447" s="18" t="s">
        <v>316</v>
      </c>
    </row>
    <row r="29448">
      <c r="A29448" s="17"/>
      <c r="H29448" s="18"/>
      <c r="K29448" s="18" t="s">
        <v>316</v>
      </c>
    </row>
    <row r="29449">
      <c r="A29449" s="17"/>
      <c r="H29449" s="18"/>
      <c r="K29449" s="18" t="s">
        <v>316</v>
      </c>
    </row>
    <row r="29450">
      <c r="A29450" s="17"/>
      <c r="H29450" s="18"/>
      <c r="K29450" s="18" t="s">
        <v>316</v>
      </c>
    </row>
    <row r="29451">
      <c r="A29451" s="17"/>
      <c r="H29451" s="18"/>
      <c r="K29451" s="18" t="s">
        <v>316</v>
      </c>
    </row>
    <row r="29452">
      <c r="A29452" s="17"/>
      <c r="H29452" s="18"/>
      <c r="K29452" s="18" t="s">
        <v>316</v>
      </c>
    </row>
    <row r="29453">
      <c r="A29453" s="17"/>
      <c r="H29453" s="18"/>
      <c r="K29453" s="18" t="s">
        <v>316</v>
      </c>
    </row>
    <row r="29454">
      <c r="A29454" s="17"/>
      <c r="H29454" s="18"/>
      <c r="K29454" s="18" t="s">
        <v>316</v>
      </c>
    </row>
    <row r="29455">
      <c r="A29455" s="17"/>
      <c r="H29455" s="18"/>
      <c r="K29455" s="18" t="s">
        <v>316</v>
      </c>
    </row>
    <row r="29456">
      <c r="A29456" s="17"/>
      <c r="H29456" s="18"/>
      <c r="K29456" s="18" t="s">
        <v>316</v>
      </c>
    </row>
    <row r="29457">
      <c r="A29457" s="17"/>
      <c r="H29457" s="18"/>
      <c r="K29457" s="18" t="s">
        <v>316</v>
      </c>
    </row>
    <row r="29458">
      <c r="A29458" s="17"/>
      <c r="H29458" s="18"/>
      <c r="K29458" s="18" t="s">
        <v>316</v>
      </c>
    </row>
    <row r="29459">
      <c r="A29459" s="17"/>
      <c r="H29459" s="18"/>
      <c r="K29459" s="18" t="s">
        <v>316</v>
      </c>
    </row>
    <row r="29460">
      <c r="A29460" s="17"/>
      <c r="H29460" s="18"/>
      <c r="K29460" s="18" t="s">
        <v>316</v>
      </c>
    </row>
    <row r="29461">
      <c r="A29461" s="17"/>
      <c r="H29461" s="18"/>
      <c r="K29461" s="18" t="s">
        <v>316</v>
      </c>
    </row>
    <row r="29462">
      <c r="A29462" s="17"/>
      <c r="H29462" s="18"/>
      <c r="K29462" s="18" t="s">
        <v>316</v>
      </c>
    </row>
    <row r="29463">
      <c r="A29463" s="17"/>
      <c r="H29463" s="18"/>
      <c r="K29463" s="18" t="s">
        <v>316</v>
      </c>
    </row>
    <row r="29464">
      <c r="A29464" s="17"/>
      <c r="H29464" s="18"/>
      <c r="K29464" s="18" t="s">
        <v>316</v>
      </c>
    </row>
    <row r="29465">
      <c r="A29465" s="17"/>
      <c r="H29465" s="18"/>
      <c r="K29465" s="18" t="s">
        <v>316</v>
      </c>
    </row>
    <row r="29466">
      <c r="A29466" s="17"/>
      <c r="H29466" s="18"/>
      <c r="K29466" s="18" t="s">
        <v>316</v>
      </c>
    </row>
    <row r="29467">
      <c r="A29467" s="17"/>
      <c r="H29467" s="18"/>
      <c r="K29467" s="18" t="s">
        <v>316</v>
      </c>
    </row>
    <row r="29468">
      <c r="A29468" s="17"/>
      <c r="H29468" s="18"/>
      <c r="K29468" s="18" t="s">
        <v>316</v>
      </c>
    </row>
    <row r="29469">
      <c r="A29469" s="17"/>
      <c r="H29469" s="18"/>
      <c r="K29469" s="18" t="s">
        <v>316</v>
      </c>
    </row>
    <row r="29470">
      <c r="A29470" s="17"/>
      <c r="H29470" s="18"/>
      <c r="K29470" s="18" t="s">
        <v>316</v>
      </c>
    </row>
    <row r="29471">
      <c r="A29471" s="17"/>
      <c r="H29471" s="18"/>
      <c r="K29471" s="18" t="s">
        <v>316</v>
      </c>
    </row>
    <row r="29472">
      <c r="A29472" s="17"/>
      <c r="H29472" s="18"/>
      <c r="K29472" s="18" t="s">
        <v>316</v>
      </c>
    </row>
    <row r="29473">
      <c r="A29473" s="17"/>
      <c r="H29473" s="18"/>
      <c r="K29473" s="18" t="s">
        <v>316</v>
      </c>
    </row>
    <row r="29474">
      <c r="A29474" s="17"/>
      <c r="H29474" s="18"/>
      <c r="K29474" s="18" t="s">
        <v>316</v>
      </c>
    </row>
    <row r="29475">
      <c r="A29475" s="17"/>
      <c r="H29475" s="18"/>
      <c r="K29475" s="18" t="s">
        <v>316</v>
      </c>
    </row>
    <row r="29476">
      <c r="A29476" s="17"/>
      <c r="H29476" s="18"/>
      <c r="K29476" s="18" t="s">
        <v>316</v>
      </c>
    </row>
    <row r="29477">
      <c r="A29477" s="17"/>
      <c r="H29477" s="18"/>
      <c r="K29477" s="18" t="s">
        <v>316</v>
      </c>
    </row>
    <row r="29478">
      <c r="A29478" s="17"/>
      <c r="H29478" s="18"/>
      <c r="K29478" s="18" t="s">
        <v>316</v>
      </c>
    </row>
    <row r="29479">
      <c r="A29479" s="17"/>
      <c r="H29479" s="18"/>
      <c r="K29479" s="18" t="s">
        <v>316</v>
      </c>
    </row>
    <row r="29480">
      <c r="A29480" s="17"/>
      <c r="H29480" s="18"/>
      <c r="K29480" s="18" t="s">
        <v>316</v>
      </c>
    </row>
    <row r="29481">
      <c r="A29481" s="17"/>
      <c r="H29481" s="18"/>
      <c r="K29481" s="18" t="s">
        <v>316</v>
      </c>
    </row>
    <row r="29482">
      <c r="A29482" s="17"/>
      <c r="H29482" s="18"/>
      <c r="K29482" s="18" t="s">
        <v>316</v>
      </c>
    </row>
    <row r="29483">
      <c r="A29483" s="17"/>
      <c r="H29483" s="18"/>
      <c r="K29483" s="18" t="s">
        <v>316</v>
      </c>
    </row>
    <row r="29484">
      <c r="A29484" s="17"/>
      <c r="H29484" s="18"/>
      <c r="K29484" s="18" t="s">
        <v>316</v>
      </c>
    </row>
    <row r="29485">
      <c r="A29485" s="17"/>
      <c r="H29485" s="18"/>
      <c r="K29485" s="18" t="s">
        <v>316</v>
      </c>
    </row>
    <row r="29486">
      <c r="A29486" s="17"/>
      <c r="H29486" s="18"/>
      <c r="K29486" s="18" t="s">
        <v>316</v>
      </c>
    </row>
    <row r="29487">
      <c r="A29487" s="17"/>
      <c r="H29487" s="18"/>
      <c r="K29487" s="18" t="s">
        <v>316</v>
      </c>
    </row>
    <row r="29488">
      <c r="A29488" s="17"/>
      <c r="H29488" s="18"/>
      <c r="K29488" s="18" t="s">
        <v>316</v>
      </c>
    </row>
    <row r="29489">
      <c r="A29489" s="17"/>
      <c r="H29489" s="18"/>
      <c r="K29489" s="18" t="s">
        <v>316</v>
      </c>
    </row>
    <row r="29490">
      <c r="A29490" s="17"/>
      <c r="H29490" s="18"/>
      <c r="K29490" s="18" t="s">
        <v>316</v>
      </c>
    </row>
    <row r="29491">
      <c r="A29491" s="17"/>
      <c r="H29491" s="18"/>
      <c r="K29491" s="18" t="s">
        <v>316</v>
      </c>
    </row>
    <row r="29492">
      <c r="A29492" s="17"/>
      <c r="H29492" s="18"/>
      <c r="K29492" s="18" t="s">
        <v>316</v>
      </c>
    </row>
    <row r="29493">
      <c r="A29493" s="17"/>
      <c r="H29493" s="18"/>
      <c r="K29493" s="18" t="s">
        <v>316</v>
      </c>
    </row>
    <row r="29494">
      <c r="A29494" s="17"/>
      <c r="H29494" s="18"/>
      <c r="K29494" s="18" t="s">
        <v>316</v>
      </c>
    </row>
    <row r="29495">
      <c r="A29495" s="17"/>
      <c r="H29495" s="18"/>
      <c r="K29495" s="18" t="s">
        <v>316</v>
      </c>
    </row>
    <row r="29496">
      <c r="A29496" s="17"/>
      <c r="H29496" s="18"/>
      <c r="K29496" s="18" t="s">
        <v>316</v>
      </c>
    </row>
    <row r="29497">
      <c r="A29497" s="17"/>
      <c r="H29497" s="18"/>
      <c r="K29497" s="18" t="s">
        <v>316</v>
      </c>
    </row>
    <row r="29498">
      <c r="A29498" s="17"/>
      <c r="H29498" s="18"/>
      <c r="K29498" s="18" t="s">
        <v>316</v>
      </c>
    </row>
    <row r="29499">
      <c r="A29499" s="17"/>
      <c r="H29499" s="18"/>
      <c r="K29499" s="18" t="s">
        <v>316</v>
      </c>
    </row>
    <row r="29500">
      <c r="A29500" s="17"/>
      <c r="H29500" s="18"/>
      <c r="K29500" s="18" t="s">
        <v>316</v>
      </c>
    </row>
    <row r="29501">
      <c r="A29501" s="17"/>
      <c r="H29501" s="18"/>
      <c r="K29501" s="18" t="s">
        <v>316</v>
      </c>
    </row>
    <row r="29502">
      <c r="A29502" s="17"/>
      <c r="H29502" s="18"/>
      <c r="K29502" s="18" t="s">
        <v>316</v>
      </c>
    </row>
    <row r="29503">
      <c r="A29503" s="17"/>
      <c r="H29503" s="18"/>
      <c r="K29503" s="18" t="s">
        <v>316</v>
      </c>
    </row>
    <row r="29504">
      <c r="A29504" s="17"/>
      <c r="H29504" s="18"/>
      <c r="K29504" s="18" t="s">
        <v>316</v>
      </c>
    </row>
    <row r="29505">
      <c r="A29505" s="17"/>
      <c r="H29505" s="18"/>
      <c r="K29505" s="18" t="s">
        <v>316</v>
      </c>
    </row>
    <row r="29506">
      <c r="A29506" s="17"/>
      <c r="H29506" s="18"/>
      <c r="K29506" s="18" t="s">
        <v>316</v>
      </c>
    </row>
    <row r="29507">
      <c r="A29507" s="17"/>
      <c r="H29507" s="18"/>
      <c r="K29507" s="18" t="s">
        <v>316</v>
      </c>
    </row>
    <row r="29508">
      <c r="A29508" s="17"/>
      <c r="H29508" s="18"/>
      <c r="K29508" s="18" t="s">
        <v>316</v>
      </c>
    </row>
    <row r="29509">
      <c r="A29509" s="17"/>
      <c r="H29509" s="18"/>
      <c r="K29509" s="18" t="s">
        <v>316</v>
      </c>
    </row>
    <row r="29510">
      <c r="A29510" s="17"/>
      <c r="H29510" s="18"/>
      <c r="K29510" s="18" t="s">
        <v>316</v>
      </c>
    </row>
    <row r="29511">
      <c r="A29511" s="17"/>
      <c r="H29511" s="18"/>
      <c r="K29511" s="18" t="s">
        <v>316</v>
      </c>
    </row>
    <row r="29512">
      <c r="A29512" s="17"/>
      <c r="H29512" s="18"/>
      <c r="K29512" s="18" t="s">
        <v>316</v>
      </c>
    </row>
    <row r="29513">
      <c r="A29513" s="17"/>
      <c r="H29513" s="18"/>
      <c r="K29513" s="18" t="s">
        <v>316</v>
      </c>
    </row>
    <row r="29514">
      <c r="A29514" s="17"/>
      <c r="H29514" s="18"/>
      <c r="K29514" s="18" t="s">
        <v>316</v>
      </c>
    </row>
    <row r="29515">
      <c r="A29515" s="17"/>
      <c r="H29515" s="18"/>
      <c r="K29515" s="18" t="s">
        <v>316</v>
      </c>
    </row>
    <row r="29516">
      <c r="A29516" s="17"/>
      <c r="H29516" s="18"/>
      <c r="K29516" s="18" t="s">
        <v>316</v>
      </c>
    </row>
    <row r="29517">
      <c r="A29517" s="17"/>
      <c r="H29517" s="18"/>
      <c r="K29517" s="18" t="s">
        <v>316</v>
      </c>
    </row>
    <row r="29518">
      <c r="A29518" s="17"/>
      <c r="H29518" s="18"/>
      <c r="K29518" s="18" t="s">
        <v>316</v>
      </c>
    </row>
    <row r="29519">
      <c r="A29519" s="17"/>
      <c r="H29519" s="18"/>
      <c r="K29519" s="18" t="s">
        <v>316</v>
      </c>
    </row>
    <row r="29520">
      <c r="A29520" s="17"/>
      <c r="H29520" s="18"/>
      <c r="K29520" s="18" t="s">
        <v>316</v>
      </c>
    </row>
    <row r="29521">
      <c r="A29521" s="17"/>
      <c r="H29521" s="18"/>
      <c r="K29521" s="18" t="s">
        <v>316</v>
      </c>
    </row>
    <row r="29522">
      <c r="A29522" s="17"/>
      <c r="H29522" s="18"/>
      <c r="K29522" s="18" t="s">
        <v>316</v>
      </c>
    </row>
    <row r="29523">
      <c r="A29523" s="17"/>
      <c r="H29523" s="18"/>
      <c r="K29523" s="18" t="s">
        <v>316</v>
      </c>
    </row>
    <row r="29524">
      <c r="A29524" s="17"/>
      <c r="H29524" s="18"/>
      <c r="K29524" s="18" t="s">
        <v>316</v>
      </c>
    </row>
    <row r="29525">
      <c r="A29525" s="17"/>
      <c r="H29525" s="18"/>
      <c r="K29525" s="18" t="s">
        <v>316</v>
      </c>
    </row>
    <row r="29526">
      <c r="A29526" s="17"/>
      <c r="H29526" s="18"/>
      <c r="K29526" s="18" t="s">
        <v>316</v>
      </c>
    </row>
    <row r="29527">
      <c r="A29527" s="17"/>
      <c r="H29527" s="18"/>
      <c r="K29527" s="18" t="s">
        <v>316</v>
      </c>
    </row>
    <row r="29528">
      <c r="A29528" s="17"/>
      <c r="H29528" s="18"/>
      <c r="K29528" s="18" t="s">
        <v>316</v>
      </c>
    </row>
    <row r="29529">
      <c r="A29529" s="17"/>
      <c r="H29529" s="18"/>
      <c r="K29529" s="18" t="s">
        <v>316</v>
      </c>
    </row>
    <row r="29530">
      <c r="A29530" s="17"/>
      <c r="H29530" s="18"/>
      <c r="K29530" s="18" t="s">
        <v>316</v>
      </c>
    </row>
    <row r="29531">
      <c r="A29531" s="17"/>
      <c r="H29531" s="18"/>
      <c r="K29531" s="18" t="s">
        <v>316</v>
      </c>
    </row>
    <row r="29532">
      <c r="A29532" s="17"/>
      <c r="H29532" s="18"/>
      <c r="K29532" s="18" t="s">
        <v>316</v>
      </c>
    </row>
    <row r="29533">
      <c r="A29533" s="17"/>
      <c r="H29533" s="18"/>
      <c r="K29533" s="18" t="s">
        <v>316</v>
      </c>
    </row>
    <row r="29534">
      <c r="A29534" s="17"/>
      <c r="H29534" s="18"/>
      <c r="K29534" s="18" t="s">
        <v>316</v>
      </c>
    </row>
    <row r="29535">
      <c r="A29535" s="17"/>
      <c r="H29535" s="18"/>
      <c r="K29535" s="18" t="s">
        <v>316</v>
      </c>
    </row>
    <row r="29536">
      <c r="A29536" s="17"/>
      <c r="H29536" s="18"/>
      <c r="K29536" s="18" t="s">
        <v>316</v>
      </c>
    </row>
    <row r="29537">
      <c r="A29537" s="17"/>
      <c r="H29537" s="18"/>
      <c r="K29537" s="18" t="s">
        <v>316</v>
      </c>
    </row>
    <row r="29538">
      <c r="A29538" s="17"/>
      <c r="H29538" s="18"/>
      <c r="K29538" s="18" t="s">
        <v>316</v>
      </c>
    </row>
    <row r="29539">
      <c r="A29539" s="17"/>
      <c r="H29539" s="18"/>
      <c r="K29539" s="18" t="s">
        <v>316</v>
      </c>
    </row>
    <row r="29540">
      <c r="A29540" s="17"/>
      <c r="H29540" s="18"/>
      <c r="K29540" s="18" t="s">
        <v>316</v>
      </c>
    </row>
    <row r="29541">
      <c r="A29541" s="17"/>
      <c r="H29541" s="18"/>
      <c r="K29541" s="18" t="s">
        <v>316</v>
      </c>
    </row>
    <row r="29542">
      <c r="A29542" s="17"/>
      <c r="H29542" s="18"/>
      <c r="K29542" s="18" t="s">
        <v>316</v>
      </c>
    </row>
    <row r="29543">
      <c r="A29543" s="17"/>
      <c r="H29543" s="18"/>
      <c r="K29543" s="18" t="s">
        <v>316</v>
      </c>
    </row>
    <row r="29544">
      <c r="A29544" s="17"/>
      <c r="H29544" s="18"/>
      <c r="K29544" s="18" t="s">
        <v>316</v>
      </c>
    </row>
    <row r="29545">
      <c r="A29545" s="17"/>
      <c r="H29545" s="18"/>
      <c r="K29545" s="18" t="s">
        <v>316</v>
      </c>
    </row>
    <row r="29546">
      <c r="A29546" s="17"/>
      <c r="H29546" s="18"/>
      <c r="K29546" s="18" t="s">
        <v>316</v>
      </c>
    </row>
    <row r="29547">
      <c r="A29547" s="17"/>
      <c r="H29547" s="18"/>
      <c r="K29547" s="18" t="s">
        <v>316</v>
      </c>
    </row>
    <row r="29548">
      <c r="A29548" s="17"/>
      <c r="H29548" s="18"/>
      <c r="K29548" s="18" t="s">
        <v>316</v>
      </c>
    </row>
    <row r="29549">
      <c r="A29549" s="17"/>
      <c r="H29549" s="18"/>
      <c r="K29549" s="18" t="s">
        <v>316</v>
      </c>
    </row>
    <row r="29550">
      <c r="A29550" s="17"/>
      <c r="H29550" s="18"/>
      <c r="K29550" s="18" t="s">
        <v>316</v>
      </c>
    </row>
    <row r="29551">
      <c r="A29551" s="17"/>
      <c r="H29551" s="18"/>
      <c r="K29551" s="18" t="s">
        <v>316</v>
      </c>
    </row>
    <row r="29552">
      <c r="A29552" s="17"/>
      <c r="H29552" s="18"/>
      <c r="K29552" s="18" t="s">
        <v>316</v>
      </c>
    </row>
    <row r="29553">
      <c r="A29553" s="17"/>
      <c r="H29553" s="18"/>
      <c r="K29553" s="18" t="s">
        <v>316</v>
      </c>
    </row>
    <row r="29554">
      <c r="A29554" s="17"/>
      <c r="H29554" s="18"/>
      <c r="K29554" s="18" t="s">
        <v>316</v>
      </c>
    </row>
    <row r="29555">
      <c r="A29555" s="17"/>
      <c r="H29555" s="18"/>
      <c r="K29555" s="18" t="s">
        <v>316</v>
      </c>
    </row>
    <row r="29556">
      <c r="A29556" s="17"/>
      <c r="H29556" s="18"/>
      <c r="K29556" s="18" t="s">
        <v>316</v>
      </c>
    </row>
    <row r="29557">
      <c r="A29557" s="17"/>
      <c r="H29557" s="18"/>
      <c r="K29557" s="18" t="s">
        <v>316</v>
      </c>
    </row>
    <row r="29558">
      <c r="A29558" s="17"/>
      <c r="H29558" s="18"/>
      <c r="K29558" s="18" t="s">
        <v>316</v>
      </c>
    </row>
    <row r="29559">
      <c r="A29559" s="17"/>
      <c r="H29559" s="18"/>
      <c r="K29559" s="18" t="s">
        <v>316</v>
      </c>
    </row>
    <row r="29560">
      <c r="A29560" s="17"/>
      <c r="H29560" s="18"/>
      <c r="K29560" s="18" t="s">
        <v>316</v>
      </c>
    </row>
    <row r="29561">
      <c r="A29561" s="17"/>
      <c r="H29561" s="18"/>
      <c r="K29561" s="18" t="s">
        <v>316</v>
      </c>
    </row>
    <row r="29562">
      <c r="A29562" s="17"/>
      <c r="H29562" s="18"/>
      <c r="K29562" s="18" t="s">
        <v>316</v>
      </c>
    </row>
    <row r="29563">
      <c r="A29563" s="17"/>
      <c r="H29563" s="18"/>
      <c r="K29563" s="18" t="s">
        <v>316</v>
      </c>
    </row>
    <row r="29564">
      <c r="A29564" s="17"/>
      <c r="H29564" s="18"/>
      <c r="K29564" s="18" t="s">
        <v>316</v>
      </c>
    </row>
    <row r="29565">
      <c r="A29565" s="17"/>
      <c r="H29565" s="18"/>
      <c r="K29565" s="18" t="s">
        <v>316</v>
      </c>
    </row>
    <row r="29566">
      <c r="A29566" s="17"/>
      <c r="H29566" s="18"/>
      <c r="K29566" s="18" t="s">
        <v>316</v>
      </c>
    </row>
    <row r="29567">
      <c r="A29567" s="17"/>
      <c r="H29567" s="18"/>
      <c r="K29567" s="18" t="s">
        <v>316</v>
      </c>
    </row>
    <row r="29568">
      <c r="A29568" s="17"/>
      <c r="H29568" s="18"/>
      <c r="K29568" s="18" t="s">
        <v>316</v>
      </c>
    </row>
    <row r="29569">
      <c r="A29569" s="17"/>
      <c r="H29569" s="18"/>
      <c r="K29569" s="18" t="s">
        <v>316</v>
      </c>
    </row>
    <row r="29570">
      <c r="A29570" s="17"/>
      <c r="H29570" s="18"/>
      <c r="K29570" s="18" t="s">
        <v>316</v>
      </c>
    </row>
    <row r="29571">
      <c r="A29571" s="17"/>
      <c r="H29571" s="18"/>
      <c r="K29571" s="18" t="s">
        <v>316</v>
      </c>
    </row>
    <row r="29572">
      <c r="A29572" s="17"/>
      <c r="H29572" s="18"/>
      <c r="K29572" s="18" t="s">
        <v>316</v>
      </c>
    </row>
    <row r="29573">
      <c r="A29573" s="17"/>
      <c r="H29573" s="18"/>
      <c r="K29573" s="18" t="s">
        <v>316</v>
      </c>
    </row>
    <row r="29574">
      <c r="A29574" s="17"/>
      <c r="H29574" s="18"/>
      <c r="K29574" s="18" t="s">
        <v>316</v>
      </c>
    </row>
    <row r="29575">
      <c r="A29575" s="17"/>
      <c r="H29575" s="18"/>
      <c r="K29575" s="18" t="s">
        <v>316</v>
      </c>
    </row>
    <row r="29576">
      <c r="A29576" s="17"/>
      <c r="H29576" s="18"/>
      <c r="K29576" s="18" t="s">
        <v>316</v>
      </c>
    </row>
    <row r="29577">
      <c r="A29577" s="17"/>
      <c r="H29577" s="18"/>
      <c r="K29577" s="18" t="s">
        <v>316</v>
      </c>
    </row>
    <row r="29578">
      <c r="A29578" s="17"/>
      <c r="H29578" s="18"/>
      <c r="K29578" s="18" t="s">
        <v>316</v>
      </c>
    </row>
    <row r="29579">
      <c r="A29579" s="17"/>
      <c r="H29579" s="18"/>
      <c r="K29579" s="18" t="s">
        <v>316</v>
      </c>
    </row>
    <row r="29580">
      <c r="A29580" s="17"/>
      <c r="H29580" s="18"/>
      <c r="K29580" s="18" t="s">
        <v>316</v>
      </c>
    </row>
    <row r="29581">
      <c r="A29581" s="17"/>
      <c r="H29581" s="18"/>
      <c r="K29581" s="18" t="s">
        <v>316</v>
      </c>
    </row>
    <row r="29582">
      <c r="A29582" s="17"/>
      <c r="H29582" s="18"/>
      <c r="K29582" s="18" t="s">
        <v>316</v>
      </c>
    </row>
    <row r="29583">
      <c r="A29583" s="17"/>
      <c r="H29583" s="18"/>
      <c r="K29583" s="18" t="s">
        <v>316</v>
      </c>
    </row>
    <row r="29584">
      <c r="A29584" s="17"/>
      <c r="H29584" s="18"/>
      <c r="K29584" s="18" t="s">
        <v>316</v>
      </c>
    </row>
    <row r="29585">
      <c r="A29585" s="17"/>
      <c r="H29585" s="18"/>
      <c r="K29585" s="18" t="s">
        <v>316</v>
      </c>
    </row>
    <row r="29586">
      <c r="A29586" s="17"/>
      <c r="H29586" s="18"/>
      <c r="K29586" s="18" t="s">
        <v>316</v>
      </c>
    </row>
    <row r="29587">
      <c r="A29587" s="17"/>
      <c r="H29587" s="18"/>
      <c r="K29587" s="18" t="s">
        <v>316</v>
      </c>
    </row>
    <row r="29588">
      <c r="A29588" s="17"/>
      <c r="H29588" s="18"/>
      <c r="K29588" s="18" t="s">
        <v>316</v>
      </c>
    </row>
    <row r="29589">
      <c r="A29589" s="17"/>
      <c r="H29589" s="18"/>
      <c r="K29589" s="18" t="s">
        <v>316</v>
      </c>
    </row>
    <row r="29590">
      <c r="A29590" s="17"/>
      <c r="H29590" s="18"/>
      <c r="K29590" s="18" t="s">
        <v>316</v>
      </c>
    </row>
    <row r="29591">
      <c r="A29591" s="17"/>
      <c r="H29591" s="18"/>
      <c r="K29591" s="18" t="s">
        <v>316</v>
      </c>
    </row>
    <row r="29592">
      <c r="A29592" s="17"/>
      <c r="H29592" s="18"/>
      <c r="K29592" s="18" t="s">
        <v>316</v>
      </c>
    </row>
    <row r="29593">
      <c r="A29593" s="17"/>
      <c r="H29593" s="18"/>
      <c r="K29593" s="18" t="s">
        <v>316</v>
      </c>
    </row>
    <row r="29594">
      <c r="A29594" s="17"/>
      <c r="H29594" s="18"/>
      <c r="K29594" s="18" t="s">
        <v>316</v>
      </c>
    </row>
    <row r="29595">
      <c r="A29595" s="17"/>
      <c r="H29595" s="18"/>
      <c r="K29595" s="18" t="s">
        <v>316</v>
      </c>
    </row>
    <row r="29596">
      <c r="A29596" s="17"/>
      <c r="H29596" s="18"/>
      <c r="K29596" s="18" t="s">
        <v>316</v>
      </c>
    </row>
    <row r="29597">
      <c r="A29597" s="17"/>
      <c r="H29597" s="18"/>
      <c r="K29597" s="18" t="s">
        <v>316</v>
      </c>
    </row>
    <row r="29598">
      <c r="A29598" s="17"/>
      <c r="H29598" s="18"/>
      <c r="K29598" s="18" t="s">
        <v>316</v>
      </c>
    </row>
    <row r="29599">
      <c r="A29599" s="17"/>
      <c r="H29599" s="18"/>
      <c r="K29599" s="18" t="s">
        <v>316</v>
      </c>
    </row>
    <row r="29600">
      <c r="A29600" s="17"/>
      <c r="H29600" s="18"/>
      <c r="K29600" s="18" t="s">
        <v>316</v>
      </c>
    </row>
    <row r="29601">
      <c r="A29601" s="17"/>
      <c r="H29601" s="18"/>
      <c r="K29601" s="18" t="s">
        <v>316</v>
      </c>
    </row>
    <row r="29602">
      <c r="A29602" s="17"/>
      <c r="H29602" s="18"/>
      <c r="K29602" s="18" t="s">
        <v>316</v>
      </c>
    </row>
    <row r="29603">
      <c r="A29603" s="17"/>
      <c r="H29603" s="18"/>
      <c r="K29603" s="18" t="s">
        <v>316</v>
      </c>
    </row>
    <row r="29604">
      <c r="A29604" s="17"/>
      <c r="H29604" s="18"/>
      <c r="K29604" s="18" t="s">
        <v>316</v>
      </c>
    </row>
    <row r="29605">
      <c r="A29605" s="17"/>
      <c r="H29605" s="18"/>
      <c r="K29605" s="18" t="s">
        <v>316</v>
      </c>
    </row>
    <row r="29606">
      <c r="A29606" s="17"/>
      <c r="H29606" s="18"/>
      <c r="K29606" s="18" t="s">
        <v>316</v>
      </c>
    </row>
    <row r="29607">
      <c r="A29607" s="17"/>
      <c r="H29607" s="18"/>
      <c r="K29607" s="18" t="s">
        <v>316</v>
      </c>
    </row>
    <row r="29608">
      <c r="A29608" s="17"/>
      <c r="H29608" s="18"/>
      <c r="K29608" s="18" t="s">
        <v>316</v>
      </c>
    </row>
    <row r="29609">
      <c r="A29609" s="17"/>
      <c r="H29609" s="18"/>
      <c r="K29609" s="18" t="s">
        <v>316</v>
      </c>
    </row>
    <row r="29610">
      <c r="A29610" s="17"/>
      <c r="H29610" s="18"/>
      <c r="K29610" s="18" t="s">
        <v>316</v>
      </c>
    </row>
    <row r="29611">
      <c r="A29611" s="17"/>
      <c r="H29611" s="18"/>
      <c r="K29611" s="18" t="s">
        <v>316</v>
      </c>
    </row>
    <row r="29612">
      <c r="A29612" s="17"/>
      <c r="H29612" s="18"/>
      <c r="K29612" s="18" t="s">
        <v>316</v>
      </c>
    </row>
    <row r="29613">
      <c r="A29613" s="17"/>
      <c r="H29613" s="18"/>
      <c r="K29613" s="18" t="s">
        <v>316</v>
      </c>
    </row>
    <row r="29614">
      <c r="A29614" s="17"/>
      <c r="H29614" s="18"/>
      <c r="K29614" s="18" t="s">
        <v>316</v>
      </c>
    </row>
    <row r="29615">
      <c r="A29615" s="17"/>
      <c r="H29615" s="18"/>
      <c r="K29615" s="18" t="s">
        <v>316</v>
      </c>
    </row>
    <row r="29616">
      <c r="A29616" s="17"/>
      <c r="H29616" s="18"/>
      <c r="K29616" s="18" t="s">
        <v>316</v>
      </c>
    </row>
    <row r="29617">
      <c r="A29617" s="17"/>
      <c r="H29617" s="18"/>
      <c r="K29617" s="18" t="s">
        <v>316</v>
      </c>
    </row>
    <row r="29618">
      <c r="A29618" s="17"/>
      <c r="H29618" s="18"/>
      <c r="K29618" s="18" t="s">
        <v>316</v>
      </c>
    </row>
    <row r="29619">
      <c r="A29619" s="17"/>
      <c r="H29619" s="18"/>
      <c r="K29619" s="18" t="s">
        <v>316</v>
      </c>
    </row>
    <row r="29620">
      <c r="A29620" s="17"/>
      <c r="H29620" s="18"/>
      <c r="K29620" s="18" t="s">
        <v>316</v>
      </c>
    </row>
    <row r="29621">
      <c r="A29621" s="17"/>
      <c r="H29621" s="18"/>
      <c r="K29621" s="18" t="s">
        <v>316</v>
      </c>
    </row>
    <row r="29622">
      <c r="A29622" s="17"/>
      <c r="H29622" s="18"/>
      <c r="K29622" s="18" t="s">
        <v>316</v>
      </c>
    </row>
    <row r="29623">
      <c r="A29623" s="17"/>
      <c r="H29623" s="18"/>
      <c r="K29623" s="18" t="s">
        <v>316</v>
      </c>
    </row>
    <row r="29624">
      <c r="A29624" s="17"/>
      <c r="H29624" s="18"/>
      <c r="K29624" s="18" t="s">
        <v>316</v>
      </c>
    </row>
    <row r="29625">
      <c r="A29625" s="17"/>
      <c r="H29625" s="18"/>
      <c r="K29625" s="18" t="s">
        <v>316</v>
      </c>
    </row>
    <row r="29626">
      <c r="A29626" s="17"/>
      <c r="H29626" s="18"/>
      <c r="K29626" s="18" t="s">
        <v>316</v>
      </c>
    </row>
    <row r="29627">
      <c r="A29627" s="17"/>
      <c r="H29627" s="18"/>
      <c r="K29627" s="18" t="s">
        <v>316</v>
      </c>
    </row>
    <row r="29628">
      <c r="A29628" s="17"/>
      <c r="H29628" s="18"/>
      <c r="K29628" s="18" t="s">
        <v>316</v>
      </c>
    </row>
    <row r="29629">
      <c r="A29629" s="17"/>
      <c r="H29629" s="18"/>
      <c r="K29629" s="18" t="s">
        <v>316</v>
      </c>
    </row>
    <row r="29630">
      <c r="A29630" s="17"/>
      <c r="H29630" s="18"/>
      <c r="K29630" s="18" t="s">
        <v>316</v>
      </c>
    </row>
    <row r="29631">
      <c r="A29631" s="17"/>
      <c r="H29631" s="18"/>
      <c r="K29631" s="18" t="s">
        <v>316</v>
      </c>
    </row>
    <row r="29632">
      <c r="A29632" s="17"/>
      <c r="H29632" s="18"/>
      <c r="K29632" s="18" t="s">
        <v>316</v>
      </c>
    </row>
    <row r="29633">
      <c r="A29633" s="17"/>
      <c r="H29633" s="18"/>
      <c r="K29633" s="18" t="s">
        <v>316</v>
      </c>
    </row>
    <row r="29634">
      <c r="A29634" s="17"/>
      <c r="H29634" s="18"/>
      <c r="K29634" s="18" t="s">
        <v>316</v>
      </c>
    </row>
    <row r="29635">
      <c r="A29635" s="17"/>
      <c r="H29635" s="18"/>
      <c r="K29635" s="18" t="s">
        <v>316</v>
      </c>
    </row>
    <row r="29636">
      <c r="A29636" s="17"/>
      <c r="H29636" s="18"/>
      <c r="K29636" s="18" t="s">
        <v>316</v>
      </c>
    </row>
    <row r="29637">
      <c r="A29637" s="17"/>
      <c r="H29637" s="18"/>
      <c r="K29637" s="18" t="s">
        <v>316</v>
      </c>
    </row>
    <row r="29638">
      <c r="A29638" s="17"/>
      <c r="H29638" s="18"/>
      <c r="K29638" s="18" t="s">
        <v>316</v>
      </c>
    </row>
    <row r="29639">
      <c r="A29639" s="17"/>
      <c r="H29639" s="18"/>
      <c r="K29639" s="18" t="s">
        <v>316</v>
      </c>
    </row>
    <row r="29640">
      <c r="A29640" s="17"/>
      <c r="H29640" s="18"/>
      <c r="K29640" s="18" t="s">
        <v>316</v>
      </c>
    </row>
    <row r="29641">
      <c r="A29641" s="17"/>
      <c r="H29641" s="18"/>
      <c r="K29641" s="18" t="s">
        <v>316</v>
      </c>
    </row>
    <row r="29642">
      <c r="A29642" s="17"/>
      <c r="H29642" s="18"/>
      <c r="K29642" s="18" t="s">
        <v>316</v>
      </c>
    </row>
    <row r="29643">
      <c r="A29643" s="17"/>
      <c r="H29643" s="18"/>
      <c r="K29643" s="18" t="s">
        <v>316</v>
      </c>
    </row>
    <row r="29644">
      <c r="A29644" s="17"/>
      <c r="H29644" s="18"/>
      <c r="K29644" s="18" t="s">
        <v>316</v>
      </c>
    </row>
    <row r="29645">
      <c r="A29645" s="17"/>
      <c r="H29645" s="18"/>
      <c r="K29645" s="18" t="s">
        <v>316</v>
      </c>
    </row>
    <row r="29646">
      <c r="A29646" s="17"/>
      <c r="H29646" s="18"/>
      <c r="K29646" s="18" t="s">
        <v>316</v>
      </c>
    </row>
    <row r="29647">
      <c r="A29647" s="17"/>
      <c r="H29647" s="18"/>
      <c r="K29647" s="18" t="s">
        <v>316</v>
      </c>
    </row>
    <row r="29648">
      <c r="A29648" s="17"/>
      <c r="H29648" s="18"/>
      <c r="K29648" s="18" t="s">
        <v>316</v>
      </c>
    </row>
    <row r="29649">
      <c r="A29649" s="17"/>
      <c r="H29649" s="18"/>
      <c r="K29649" s="18" t="s">
        <v>316</v>
      </c>
    </row>
    <row r="29650">
      <c r="A29650" s="17"/>
      <c r="H29650" s="18"/>
      <c r="K29650" s="18" t="s">
        <v>316</v>
      </c>
    </row>
    <row r="29651">
      <c r="A29651" s="17"/>
      <c r="H29651" s="18"/>
      <c r="K29651" s="18" t="s">
        <v>316</v>
      </c>
    </row>
    <row r="29652">
      <c r="A29652" s="17"/>
      <c r="H29652" s="18"/>
      <c r="K29652" s="18" t="s">
        <v>316</v>
      </c>
    </row>
    <row r="29653">
      <c r="A29653" s="17"/>
      <c r="H29653" s="18"/>
      <c r="K29653" s="18" t="s">
        <v>316</v>
      </c>
    </row>
    <row r="29654">
      <c r="A29654" s="17"/>
      <c r="H29654" s="18"/>
      <c r="K29654" s="18" t="s">
        <v>316</v>
      </c>
    </row>
    <row r="29655">
      <c r="A29655" s="17"/>
      <c r="H29655" s="18"/>
      <c r="K29655" s="18" t="s">
        <v>316</v>
      </c>
    </row>
    <row r="29656">
      <c r="A29656" s="17"/>
      <c r="H29656" s="18"/>
      <c r="K29656" s="18" t="s">
        <v>316</v>
      </c>
    </row>
    <row r="29657">
      <c r="A29657" s="17"/>
      <c r="H29657" s="18"/>
      <c r="K29657" s="18" t="s">
        <v>316</v>
      </c>
    </row>
    <row r="29658">
      <c r="A29658" s="17"/>
      <c r="H29658" s="18"/>
      <c r="K29658" s="18" t="s">
        <v>316</v>
      </c>
    </row>
    <row r="29659">
      <c r="A29659" s="17"/>
      <c r="H29659" s="18"/>
      <c r="K29659" s="18" t="s">
        <v>316</v>
      </c>
    </row>
    <row r="29660">
      <c r="A29660" s="17"/>
      <c r="H29660" s="18"/>
      <c r="K29660" s="18" t="s">
        <v>316</v>
      </c>
    </row>
    <row r="29661">
      <c r="A29661" s="17"/>
      <c r="H29661" s="18"/>
      <c r="K29661" s="18" t="s">
        <v>316</v>
      </c>
    </row>
    <row r="29662">
      <c r="A29662" s="17"/>
      <c r="H29662" s="18"/>
      <c r="K29662" s="18" t="s">
        <v>316</v>
      </c>
    </row>
    <row r="29663">
      <c r="A29663" s="17"/>
      <c r="H29663" s="18"/>
      <c r="K29663" s="18" t="s">
        <v>316</v>
      </c>
    </row>
    <row r="29664">
      <c r="A29664" s="17"/>
      <c r="H29664" s="18"/>
      <c r="K29664" s="18" t="s">
        <v>316</v>
      </c>
    </row>
    <row r="29665">
      <c r="A29665" s="17"/>
      <c r="H29665" s="18"/>
      <c r="K29665" s="18" t="s">
        <v>316</v>
      </c>
    </row>
    <row r="29666">
      <c r="A29666" s="17"/>
      <c r="H29666" s="18"/>
      <c r="K29666" s="18" t="s">
        <v>316</v>
      </c>
    </row>
    <row r="29667">
      <c r="A29667" s="17"/>
      <c r="H29667" s="18"/>
      <c r="K29667" s="18" t="s">
        <v>316</v>
      </c>
    </row>
    <row r="29668">
      <c r="A29668" s="17"/>
      <c r="H29668" s="18"/>
      <c r="K29668" s="18" t="s">
        <v>316</v>
      </c>
    </row>
    <row r="29669">
      <c r="A29669" s="17"/>
      <c r="H29669" s="18"/>
      <c r="K29669" s="18" t="s">
        <v>316</v>
      </c>
    </row>
    <row r="29670">
      <c r="A29670" s="17"/>
      <c r="H29670" s="18"/>
      <c r="K29670" s="18" t="s">
        <v>316</v>
      </c>
    </row>
    <row r="29671">
      <c r="A29671" s="17"/>
      <c r="H29671" s="18"/>
      <c r="K29671" s="18" t="s">
        <v>316</v>
      </c>
    </row>
    <row r="29672">
      <c r="A29672" s="17"/>
      <c r="H29672" s="18"/>
      <c r="K29672" s="18" t="s">
        <v>316</v>
      </c>
    </row>
    <row r="29673">
      <c r="A29673" s="17"/>
      <c r="H29673" s="18"/>
      <c r="K29673" s="18" t="s">
        <v>316</v>
      </c>
    </row>
    <row r="29674">
      <c r="A29674" s="17"/>
      <c r="H29674" s="18"/>
      <c r="K29674" s="18" t="s">
        <v>316</v>
      </c>
    </row>
    <row r="29675">
      <c r="A29675" s="17"/>
      <c r="H29675" s="18"/>
      <c r="K29675" s="18" t="s">
        <v>316</v>
      </c>
    </row>
    <row r="29676">
      <c r="A29676" s="17"/>
      <c r="H29676" s="18"/>
      <c r="K29676" s="18" t="s">
        <v>316</v>
      </c>
    </row>
    <row r="29677">
      <c r="A29677" s="17"/>
      <c r="H29677" s="18"/>
      <c r="K29677" s="18" t="s">
        <v>316</v>
      </c>
    </row>
    <row r="29678">
      <c r="A29678" s="17"/>
      <c r="H29678" s="18"/>
      <c r="K29678" s="18" t="s">
        <v>316</v>
      </c>
    </row>
    <row r="29679">
      <c r="A29679" s="17"/>
      <c r="H29679" s="18"/>
      <c r="K29679" s="18" t="s">
        <v>316</v>
      </c>
    </row>
    <row r="29680">
      <c r="A29680" s="17"/>
      <c r="H29680" s="18"/>
      <c r="K29680" s="18" t="s">
        <v>316</v>
      </c>
    </row>
    <row r="29681">
      <c r="A29681" s="17"/>
      <c r="H29681" s="18"/>
      <c r="K29681" s="18" t="s">
        <v>316</v>
      </c>
    </row>
    <row r="29682">
      <c r="A29682" s="17"/>
      <c r="H29682" s="18"/>
      <c r="K29682" s="18" t="s">
        <v>316</v>
      </c>
    </row>
    <row r="29683">
      <c r="A29683" s="17"/>
      <c r="H29683" s="18"/>
      <c r="K29683" s="18" t="s">
        <v>316</v>
      </c>
    </row>
    <row r="29684">
      <c r="A29684" s="17"/>
      <c r="H29684" s="18"/>
      <c r="K29684" s="18" t="s">
        <v>316</v>
      </c>
    </row>
    <row r="29685">
      <c r="A29685" s="17"/>
      <c r="H29685" s="18"/>
      <c r="K29685" s="18" t="s">
        <v>316</v>
      </c>
    </row>
    <row r="29686">
      <c r="A29686" s="17"/>
      <c r="H29686" s="18"/>
      <c r="K29686" s="18" t="s">
        <v>316</v>
      </c>
    </row>
    <row r="29687">
      <c r="A29687" s="17"/>
      <c r="H29687" s="18"/>
      <c r="K29687" s="18" t="s">
        <v>316</v>
      </c>
    </row>
    <row r="29688">
      <c r="A29688" s="17"/>
      <c r="H29688" s="18"/>
      <c r="K29688" s="18" t="s">
        <v>316</v>
      </c>
    </row>
    <row r="29689">
      <c r="A29689" s="17"/>
      <c r="H29689" s="18"/>
      <c r="K29689" s="18" t="s">
        <v>316</v>
      </c>
    </row>
    <row r="29690">
      <c r="A29690" s="17"/>
      <c r="H29690" s="18"/>
      <c r="K29690" s="18" t="s">
        <v>316</v>
      </c>
    </row>
    <row r="29691">
      <c r="A29691" s="17"/>
      <c r="H29691" s="18"/>
      <c r="K29691" s="18" t="s">
        <v>316</v>
      </c>
    </row>
    <row r="29692">
      <c r="A29692" s="17"/>
      <c r="H29692" s="18"/>
      <c r="K29692" s="18" t="s">
        <v>316</v>
      </c>
    </row>
    <row r="29693">
      <c r="A29693" s="17"/>
      <c r="H29693" s="18"/>
      <c r="K29693" s="18" t="s">
        <v>316</v>
      </c>
    </row>
    <row r="29694">
      <c r="A29694" s="17"/>
      <c r="H29694" s="18"/>
      <c r="K29694" s="18" t="s">
        <v>316</v>
      </c>
    </row>
    <row r="29695">
      <c r="A29695" s="17"/>
      <c r="H29695" s="18"/>
      <c r="K29695" s="18" t="s">
        <v>316</v>
      </c>
    </row>
    <row r="29696">
      <c r="A29696" s="17"/>
      <c r="H29696" s="18"/>
      <c r="K29696" s="18" t="s">
        <v>316</v>
      </c>
    </row>
    <row r="29697">
      <c r="A29697" s="17"/>
      <c r="H29697" s="18"/>
      <c r="K29697" s="18" t="s">
        <v>316</v>
      </c>
    </row>
    <row r="29698">
      <c r="A29698" s="17"/>
      <c r="H29698" s="18"/>
      <c r="K29698" s="18" t="s">
        <v>316</v>
      </c>
    </row>
    <row r="29699">
      <c r="A29699" s="17"/>
      <c r="H29699" s="18"/>
      <c r="K29699" s="18" t="s">
        <v>316</v>
      </c>
    </row>
    <row r="29700">
      <c r="A29700" s="17"/>
      <c r="H29700" s="18"/>
      <c r="K29700" s="18" t="s">
        <v>316</v>
      </c>
    </row>
    <row r="29701">
      <c r="A29701" s="17"/>
      <c r="H29701" s="18"/>
      <c r="K29701" s="18" t="s">
        <v>316</v>
      </c>
    </row>
    <row r="29702">
      <c r="A29702" s="17"/>
      <c r="H29702" s="18"/>
      <c r="K29702" s="18" t="s">
        <v>316</v>
      </c>
    </row>
    <row r="29703">
      <c r="A29703" s="17"/>
      <c r="H29703" s="18"/>
      <c r="K29703" s="18" t="s">
        <v>316</v>
      </c>
    </row>
    <row r="29704">
      <c r="A29704" s="17"/>
      <c r="H29704" s="18"/>
      <c r="K29704" s="18" t="s">
        <v>316</v>
      </c>
    </row>
    <row r="29705">
      <c r="A29705" s="17"/>
      <c r="H29705" s="18"/>
      <c r="K29705" s="18" t="s">
        <v>316</v>
      </c>
    </row>
    <row r="29706">
      <c r="A29706" s="17"/>
      <c r="H29706" s="18"/>
      <c r="K29706" s="18" t="s">
        <v>316</v>
      </c>
    </row>
    <row r="29707">
      <c r="A29707" s="17"/>
      <c r="H29707" s="18"/>
      <c r="K29707" s="18" t="s">
        <v>316</v>
      </c>
    </row>
    <row r="29708">
      <c r="A29708" s="17"/>
      <c r="H29708" s="18"/>
      <c r="K29708" s="18" t="s">
        <v>316</v>
      </c>
    </row>
    <row r="29709">
      <c r="A29709" s="17"/>
      <c r="H29709" s="18"/>
      <c r="K29709" s="18" t="s">
        <v>316</v>
      </c>
    </row>
    <row r="29710">
      <c r="A29710" s="17"/>
      <c r="H29710" s="18"/>
      <c r="K29710" s="18" t="s">
        <v>316</v>
      </c>
    </row>
    <row r="29711">
      <c r="A29711" s="17"/>
      <c r="H29711" s="18"/>
      <c r="K29711" s="18" t="s">
        <v>316</v>
      </c>
    </row>
    <row r="29712">
      <c r="A29712" s="17"/>
      <c r="H29712" s="18"/>
      <c r="K29712" s="18" t="s">
        <v>316</v>
      </c>
    </row>
    <row r="29713">
      <c r="A29713" s="17"/>
      <c r="H29713" s="18"/>
      <c r="K29713" s="18" t="s">
        <v>316</v>
      </c>
    </row>
    <row r="29714">
      <c r="A29714" s="17"/>
      <c r="H29714" s="18"/>
      <c r="K29714" s="18" t="s">
        <v>316</v>
      </c>
    </row>
    <row r="29715">
      <c r="A29715" s="17"/>
      <c r="H29715" s="18"/>
      <c r="K29715" s="18" t="s">
        <v>316</v>
      </c>
    </row>
    <row r="29716">
      <c r="A29716" s="17"/>
      <c r="H29716" s="18"/>
      <c r="K29716" s="18" t="s">
        <v>316</v>
      </c>
    </row>
    <row r="29717">
      <c r="A29717" s="17"/>
      <c r="H29717" s="18"/>
      <c r="K29717" s="18" t="s">
        <v>316</v>
      </c>
    </row>
    <row r="29718">
      <c r="A29718" s="17"/>
      <c r="H29718" s="18"/>
      <c r="K29718" s="18" t="s">
        <v>316</v>
      </c>
    </row>
    <row r="29719">
      <c r="A29719" s="17"/>
      <c r="H29719" s="18"/>
      <c r="K29719" s="18" t="s">
        <v>316</v>
      </c>
    </row>
    <row r="29720">
      <c r="A29720" s="17"/>
      <c r="H29720" s="18"/>
      <c r="K29720" s="18" t="s">
        <v>316</v>
      </c>
    </row>
    <row r="29721">
      <c r="A29721" s="17"/>
      <c r="H29721" s="18"/>
      <c r="K29721" s="18" t="s">
        <v>316</v>
      </c>
    </row>
    <row r="29722">
      <c r="A29722" s="17"/>
      <c r="H29722" s="18"/>
      <c r="K29722" s="18" t="s">
        <v>316</v>
      </c>
    </row>
    <row r="29723">
      <c r="A29723" s="17"/>
      <c r="H29723" s="18"/>
      <c r="K29723" s="18" t="s">
        <v>316</v>
      </c>
    </row>
    <row r="29724">
      <c r="A29724" s="17"/>
      <c r="H29724" s="18"/>
      <c r="K29724" s="18" t="s">
        <v>316</v>
      </c>
    </row>
    <row r="29725">
      <c r="A29725" s="17"/>
      <c r="H29725" s="18"/>
      <c r="K29725" s="18" t="s">
        <v>316</v>
      </c>
    </row>
    <row r="29726">
      <c r="A29726" s="17"/>
      <c r="H29726" s="18"/>
      <c r="K29726" s="18" t="s">
        <v>316</v>
      </c>
    </row>
    <row r="29727">
      <c r="A29727" s="17"/>
      <c r="H29727" s="18"/>
      <c r="K29727" s="18" t="s">
        <v>316</v>
      </c>
    </row>
    <row r="29728">
      <c r="A29728" s="17"/>
      <c r="H29728" s="18"/>
      <c r="K29728" s="18" t="s">
        <v>316</v>
      </c>
    </row>
    <row r="29729">
      <c r="A29729" s="17"/>
      <c r="H29729" s="18"/>
      <c r="K29729" s="18" t="s">
        <v>316</v>
      </c>
    </row>
    <row r="29730">
      <c r="A29730" s="17"/>
      <c r="H29730" s="18"/>
      <c r="K29730" s="18" t="s">
        <v>316</v>
      </c>
    </row>
    <row r="29731">
      <c r="A29731" s="17"/>
      <c r="H29731" s="18"/>
      <c r="K29731" s="18" t="s">
        <v>316</v>
      </c>
    </row>
    <row r="29732">
      <c r="A29732" s="17"/>
      <c r="H29732" s="18"/>
      <c r="K29732" s="18" t="s">
        <v>316</v>
      </c>
    </row>
    <row r="29733">
      <c r="A29733" s="17"/>
      <c r="H29733" s="18"/>
      <c r="K29733" s="18" t="s">
        <v>316</v>
      </c>
    </row>
    <row r="29734">
      <c r="A29734" s="17"/>
      <c r="H29734" s="18"/>
      <c r="K29734" s="18" t="s">
        <v>316</v>
      </c>
    </row>
    <row r="29735">
      <c r="A29735" s="17"/>
      <c r="H29735" s="18"/>
      <c r="K29735" s="18" t="s">
        <v>316</v>
      </c>
    </row>
    <row r="29736">
      <c r="A29736" s="17"/>
      <c r="H29736" s="18"/>
      <c r="K29736" s="18" t="s">
        <v>316</v>
      </c>
    </row>
    <row r="29737">
      <c r="A29737" s="17"/>
      <c r="H29737" s="18"/>
      <c r="K29737" s="18" t="s">
        <v>316</v>
      </c>
    </row>
    <row r="29738">
      <c r="A29738" s="17"/>
      <c r="H29738" s="18"/>
      <c r="K29738" s="18" t="s">
        <v>316</v>
      </c>
    </row>
    <row r="29739">
      <c r="A29739" s="17"/>
      <c r="H29739" s="18"/>
      <c r="K29739" s="18" t="s">
        <v>316</v>
      </c>
    </row>
    <row r="29740">
      <c r="A29740" s="17"/>
      <c r="H29740" s="18"/>
      <c r="K29740" s="18" t="s">
        <v>316</v>
      </c>
    </row>
    <row r="29741">
      <c r="A29741" s="17"/>
      <c r="H29741" s="18"/>
      <c r="K29741" s="18" t="s">
        <v>316</v>
      </c>
    </row>
    <row r="29742">
      <c r="A29742" s="17"/>
      <c r="H29742" s="18"/>
      <c r="K29742" s="18" t="s">
        <v>316</v>
      </c>
    </row>
    <row r="29743">
      <c r="A29743" s="17"/>
      <c r="H29743" s="18"/>
      <c r="K29743" s="18" t="s">
        <v>316</v>
      </c>
    </row>
    <row r="29744">
      <c r="A29744" s="17"/>
      <c r="H29744" s="18"/>
      <c r="K29744" s="18" t="s">
        <v>316</v>
      </c>
    </row>
    <row r="29745">
      <c r="A29745" s="17"/>
      <c r="H29745" s="18"/>
      <c r="K29745" s="18" t="s">
        <v>316</v>
      </c>
    </row>
    <row r="29746">
      <c r="A29746" s="17"/>
      <c r="H29746" s="18"/>
      <c r="K29746" s="18" t="s">
        <v>316</v>
      </c>
    </row>
    <row r="29747">
      <c r="A29747" s="17"/>
      <c r="H29747" s="18"/>
      <c r="K29747" s="18" t="s">
        <v>316</v>
      </c>
    </row>
    <row r="29748">
      <c r="A29748" s="17"/>
      <c r="H29748" s="18"/>
      <c r="K29748" s="18" t="s">
        <v>316</v>
      </c>
    </row>
    <row r="29749">
      <c r="A29749" s="17"/>
      <c r="H29749" s="18"/>
      <c r="K29749" s="18" t="s">
        <v>316</v>
      </c>
    </row>
    <row r="29750">
      <c r="A29750" s="17"/>
      <c r="H29750" s="18"/>
      <c r="K29750" s="18" t="s">
        <v>316</v>
      </c>
    </row>
    <row r="29751">
      <c r="A29751" s="17"/>
      <c r="H29751" s="18"/>
      <c r="K29751" s="18" t="s">
        <v>316</v>
      </c>
    </row>
    <row r="29752">
      <c r="A29752" s="17"/>
      <c r="H29752" s="18"/>
      <c r="K29752" s="18" t="s">
        <v>316</v>
      </c>
    </row>
    <row r="29753">
      <c r="A29753" s="17"/>
      <c r="H29753" s="18"/>
      <c r="K29753" s="18" t="s">
        <v>316</v>
      </c>
    </row>
    <row r="29754">
      <c r="A29754" s="17"/>
      <c r="H29754" s="18"/>
      <c r="K29754" s="18" t="s">
        <v>316</v>
      </c>
    </row>
    <row r="29755">
      <c r="A29755" s="17"/>
      <c r="H29755" s="18"/>
      <c r="K29755" s="18" t="s">
        <v>316</v>
      </c>
    </row>
    <row r="29756">
      <c r="A29756" s="17"/>
      <c r="H29756" s="18"/>
      <c r="K29756" s="18" t="s">
        <v>316</v>
      </c>
    </row>
    <row r="29757">
      <c r="A29757" s="17"/>
      <c r="H29757" s="18"/>
      <c r="K29757" s="18" t="s">
        <v>316</v>
      </c>
    </row>
    <row r="29758">
      <c r="A29758" s="17"/>
      <c r="H29758" s="18"/>
      <c r="K29758" s="18" t="s">
        <v>316</v>
      </c>
    </row>
    <row r="29759">
      <c r="A29759" s="17"/>
      <c r="H29759" s="18"/>
      <c r="K29759" s="18" t="s">
        <v>316</v>
      </c>
    </row>
    <row r="29760">
      <c r="A29760" s="17"/>
      <c r="H29760" s="18"/>
      <c r="K29760" s="18" t="s">
        <v>316</v>
      </c>
    </row>
    <row r="29761">
      <c r="A29761" s="17"/>
      <c r="H29761" s="18"/>
      <c r="K29761" s="18" t="s">
        <v>316</v>
      </c>
    </row>
    <row r="29762">
      <c r="A29762" s="17"/>
      <c r="H29762" s="18"/>
      <c r="K29762" s="18" t="s">
        <v>316</v>
      </c>
    </row>
    <row r="29763">
      <c r="A29763" s="17"/>
      <c r="H29763" s="18"/>
      <c r="K29763" s="18" t="s">
        <v>316</v>
      </c>
    </row>
    <row r="29764">
      <c r="A29764" s="17"/>
      <c r="H29764" s="18"/>
      <c r="K29764" s="18" t="s">
        <v>316</v>
      </c>
    </row>
    <row r="29765">
      <c r="A29765" s="17"/>
      <c r="H29765" s="18"/>
      <c r="K29765" s="18" t="s">
        <v>316</v>
      </c>
    </row>
    <row r="29766">
      <c r="A29766" s="17"/>
      <c r="H29766" s="18"/>
      <c r="K29766" s="18" t="s">
        <v>316</v>
      </c>
    </row>
    <row r="29767">
      <c r="A29767" s="17"/>
      <c r="H29767" s="18"/>
      <c r="K29767" s="18" t="s">
        <v>316</v>
      </c>
    </row>
    <row r="29768">
      <c r="A29768" s="17"/>
      <c r="H29768" s="18"/>
      <c r="K29768" s="18" t="s">
        <v>316</v>
      </c>
    </row>
    <row r="29769">
      <c r="A29769" s="17"/>
      <c r="H29769" s="18"/>
      <c r="K29769" s="18" t="s">
        <v>316</v>
      </c>
    </row>
    <row r="29770">
      <c r="A29770" s="17"/>
      <c r="H29770" s="18"/>
      <c r="K29770" s="18" t="s">
        <v>316</v>
      </c>
    </row>
    <row r="29771">
      <c r="A29771" s="17"/>
      <c r="H29771" s="18"/>
      <c r="K29771" s="18" t="s">
        <v>316</v>
      </c>
    </row>
    <row r="29772">
      <c r="A29772" s="17"/>
      <c r="H29772" s="18"/>
      <c r="K29772" s="18" t="s">
        <v>316</v>
      </c>
    </row>
    <row r="29773">
      <c r="A29773" s="17"/>
      <c r="H29773" s="18"/>
      <c r="K29773" s="18" t="s">
        <v>316</v>
      </c>
    </row>
    <row r="29774">
      <c r="A29774" s="17"/>
      <c r="H29774" s="18"/>
      <c r="K29774" s="18" t="s">
        <v>316</v>
      </c>
    </row>
    <row r="29775">
      <c r="A29775" s="17"/>
      <c r="H29775" s="18"/>
      <c r="K29775" s="18" t="s">
        <v>316</v>
      </c>
    </row>
    <row r="29776">
      <c r="A29776" s="17"/>
      <c r="H29776" s="18"/>
      <c r="K29776" s="18" t="s">
        <v>316</v>
      </c>
    </row>
    <row r="29777">
      <c r="A29777" s="17"/>
      <c r="H29777" s="18"/>
      <c r="K29777" s="18" t="s">
        <v>316</v>
      </c>
    </row>
    <row r="29778">
      <c r="A29778" s="17"/>
      <c r="H29778" s="18"/>
      <c r="K29778" s="18" t="s">
        <v>316</v>
      </c>
    </row>
    <row r="29779">
      <c r="A29779" s="17"/>
      <c r="H29779" s="18"/>
      <c r="K29779" s="18" t="s">
        <v>316</v>
      </c>
    </row>
    <row r="29780">
      <c r="A29780" s="17"/>
      <c r="H29780" s="18"/>
      <c r="K29780" s="18" t="s">
        <v>316</v>
      </c>
    </row>
    <row r="29781">
      <c r="A29781" s="17"/>
      <c r="H29781" s="18"/>
      <c r="K29781" s="18" t="s">
        <v>316</v>
      </c>
    </row>
    <row r="29782">
      <c r="A29782" s="17"/>
      <c r="H29782" s="18"/>
      <c r="K29782" s="18" t="s">
        <v>316</v>
      </c>
    </row>
    <row r="29783">
      <c r="A29783" s="17"/>
      <c r="H29783" s="18"/>
      <c r="K29783" s="18" t="s">
        <v>316</v>
      </c>
    </row>
    <row r="29784">
      <c r="A29784" s="17"/>
      <c r="H29784" s="18"/>
      <c r="K29784" s="18" t="s">
        <v>316</v>
      </c>
    </row>
    <row r="29785">
      <c r="A29785" s="17"/>
      <c r="H29785" s="18"/>
      <c r="K29785" s="18" t="s">
        <v>316</v>
      </c>
    </row>
    <row r="29786">
      <c r="A29786" s="17"/>
      <c r="H29786" s="18"/>
      <c r="K29786" s="18" t="s">
        <v>316</v>
      </c>
    </row>
    <row r="29787">
      <c r="A29787" s="17"/>
      <c r="H29787" s="18"/>
      <c r="K29787" s="18" t="s">
        <v>316</v>
      </c>
    </row>
    <row r="29788">
      <c r="A29788" s="17"/>
      <c r="H29788" s="18"/>
      <c r="K29788" s="18" t="s">
        <v>316</v>
      </c>
    </row>
    <row r="29789">
      <c r="A29789" s="17"/>
      <c r="H29789" s="18"/>
      <c r="K29789" s="18" t="s">
        <v>316</v>
      </c>
    </row>
    <row r="29790">
      <c r="A29790" s="17"/>
      <c r="H29790" s="18"/>
      <c r="K29790" s="18" t="s">
        <v>316</v>
      </c>
    </row>
    <row r="29791">
      <c r="A29791" s="17"/>
      <c r="H29791" s="18"/>
      <c r="K29791" s="18" t="s">
        <v>316</v>
      </c>
    </row>
    <row r="29792">
      <c r="A29792" s="17"/>
      <c r="H29792" s="18"/>
      <c r="K29792" s="18" t="s">
        <v>316</v>
      </c>
    </row>
    <row r="29793">
      <c r="A29793" s="17"/>
      <c r="H29793" s="18"/>
      <c r="K29793" s="18" t="s">
        <v>316</v>
      </c>
    </row>
    <row r="29794">
      <c r="A29794" s="17"/>
      <c r="H29794" s="18"/>
      <c r="K29794" s="18" t="s">
        <v>316</v>
      </c>
    </row>
    <row r="29795">
      <c r="A29795" s="17"/>
      <c r="H29795" s="18"/>
      <c r="K29795" s="18" t="s">
        <v>316</v>
      </c>
    </row>
    <row r="29796">
      <c r="A29796" s="17"/>
      <c r="H29796" s="18"/>
      <c r="K29796" s="18" t="s">
        <v>316</v>
      </c>
    </row>
    <row r="29797">
      <c r="A29797" s="17"/>
      <c r="H29797" s="18"/>
      <c r="K29797" s="18" t="s">
        <v>316</v>
      </c>
    </row>
    <row r="29798">
      <c r="A29798" s="17"/>
      <c r="H29798" s="18"/>
      <c r="K29798" s="18" t="s">
        <v>316</v>
      </c>
    </row>
    <row r="29799">
      <c r="A29799" s="17"/>
      <c r="H29799" s="18"/>
      <c r="K29799" s="18" t="s">
        <v>316</v>
      </c>
    </row>
    <row r="29800">
      <c r="A29800" s="17"/>
      <c r="H29800" s="18"/>
      <c r="K29800" s="18" t="s">
        <v>316</v>
      </c>
    </row>
    <row r="29801">
      <c r="A29801" s="17"/>
      <c r="H29801" s="18"/>
      <c r="K29801" s="18" t="s">
        <v>316</v>
      </c>
    </row>
    <row r="29802">
      <c r="A29802" s="17"/>
      <c r="H29802" s="18"/>
      <c r="K29802" s="18" t="s">
        <v>316</v>
      </c>
    </row>
    <row r="29803">
      <c r="A29803" s="17"/>
      <c r="H29803" s="18"/>
      <c r="K29803" s="18" t="s">
        <v>316</v>
      </c>
    </row>
    <row r="29804">
      <c r="A29804" s="17"/>
      <c r="H29804" s="18"/>
      <c r="K29804" s="18" t="s">
        <v>316</v>
      </c>
    </row>
    <row r="29805">
      <c r="A29805" s="17"/>
      <c r="H29805" s="18"/>
      <c r="K29805" s="18" t="s">
        <v>316</v>
      </c>
    </row>
    <row r="29806">
      <c r="A29806" s="17"/>
      <c r="H29806" s="18"/>
      <c r="K29806" s="18" t="s">
        <v>316</v>
      </c>
    </row>
    <row r="29807">
      <c r="A29807" s="17"/>
      <c r="H29807" s="18"/>
      <c r="K29807" s="18" t="s">
        <v>316</v>
      </c>
    </row>
    <row r="29808">
      <c r="A29808" s="17"/>
      <c r="H29808" s="18"/>
      <c r="K29808" s="18" t="s">
        <v>316</v>
      </c>
    </row>
    <row r="29809">
      <c r="A29809" s="17"/>
      <c r="H29809" s="18"/>
      <c r="K29809" s="18" t="s">
        <v>316</v>
      </c>
    </row>
    <row r="29810">
      <c r="A29810" s="17"/>
      <c r="H29810" s="18"/>
      <c r="K29810" s="18" t="s">
        <v>316</v>
      </c>
    </row>
    <row r="29811">
      <c r="A29811" s="17"/>
      <c r="H29811" s="18"/>
      <c r="K29811" s="18" t="s">
        <v>316</v>
      </c>
    </row>
    <row r="29812">
      <c r="A29812" s="17"/>
      <c r="H29812" s="18"/>
      <c r="K29812" s="18" t="s">
        <v>316</v>
      </c>
    </row>
    <row r="29813">
      <c r="A29813" s="17"/>
      <c r="H29813" s="18"/>
      <c r="K29813" s="18" t="s">
        <v>316</v>
      </c>
    </row>
    <row r="29814">
      <c r="A29814" s="17"/>
      <c r="H29814" s="18"/>
      <c r="K29814" s="18" t="s">
        <v>316</v>
      </c>
    </row>
    <row r="29815">
      <c r="A29815" s="17"/>
      <c r="H29815" s="18"/>
      <c r="K29815" s="18" t="s">
        <v>316</v>
      </c>
    </row>
    <row r="29816">
      <c r="A29816" s="17"/>
      <c r="H29816" s="18"/>
      <c r="K29816" s="18" t="s">
        <v>316</v>
      </c>
    </row>
    <row r="29817">
      <c r="A29817" s="17"/>
      <c r="H29817" s="18"/>
      <c r="K29817" s="18" t="s">
        <v>316</v>
      </c>
    </row>
    <row r="29818">
      <c r="A29818" s="17"/>
      <c r="H29818" s="18"/>
      <c r="K29818" s="18" t="s">
        <v>316</v>
      </c>
    </row>
    <row r="29819">
      <c r="A29819" s="17"/>
      <c r="H29819" s="18"/>
      <c r="K29819" s="18" t="s">
        <v>316</v>
      </c>
    </row>
    <row r="29820">
      <c r="A29820" s="17"/>
      <c r="H29820" s="18"/>
      <c r="K29820" s="18" t="s">
        <v>316</v>
      </c>
    </row>
    <row r="29821">
      <c r="A29821" s="17"/>
      <c r="H29821" s="18"/>
      <c r="K29821" s="18" t="s">
        <v>316</v>
      </c>
    </row>
    <row r="29822">
      <c r="A29822" s="17"/>
      <c r="H29822" s="18"/>
      <c r="K29822" s="18" t="s">
        <v>316</v>
      </c>
    </row>
    <row r="29823">
      <c r="A29823" s="17"/>
      <c r="H29823" s="18"/>
      <c r="K29823" s="18" t="s">
        <v>316</v>
      </c>
    </row>
    <row r="29824">
      <c r="A29824" s="17"/>
      <c r="H29824" s="18"/>
      <c r="K29824" s="18" t="s">
        <v>316</v>
      </c>
    </row>
    <row r="29825">
      <c r="A29825" s="17"/>
      <c r="H29825" s="18"/>
      <c r="K29825" s="18" t="s">
        <v>316</v>
      </c>
    </row>
    <row r="29826">
      <c r="A29826" s="17"/>
      <c r="H29826" s="18"/>
      <c r="K29826" s="18" t="s">
        <v>316</v>
      </c>
    </row>
    <row r="29827">
      <c r="A29827" s="17"/>
      <c r="H29827" s="18"/>
      <c r="K29827" s="18" t="s">
        <v>316</v>
      </c>
    </row>
    <row r="29828">
      <c r="A29828" s="17"/>
      <c r="H29828" s="18"/>
      <c r="K29828" s="18" t="s">
        <v>316</v>
      </c>
    </row>
    <row r="29829">
      <c r="A29829" s="17"/>
      <c r="H29829" s="18"/>
      <c r="K29829" s="18" t="s">
        <v>316</v>
      </c>
    </row>
    <row r="29830">
      <c r="A29830" s="17"/>
      <c r="H29830" s="18"/>
      <c r="K29830" s="18" t="s">
        <v>316</v>
      </c>
    </row>
    <row r="29831">
      <c r="A29831" s="17"/>
      <c r="H29831" s="18"/>
      <c r="K29831" s="18" t="s">
        <v>316</v>
      </c>
    </row>
    <row r="29832">
      <c r="A29832" s="17"/>
      <c r="H29832" s="18"/>
      <c r="K29832" s="18" t="s">
        <v>316</v>
      </c>
    </row>
    <row r="29833">
      <c r="A29833" s="17"/>
      <c r="H29833" s="18"/>
      <c r="K29833" s="18" t="s">
        <v>316</v>
      </c>
    </row>
    <row r="29834">
      <c r="A29834" s="17"/>
      <c r="H29834" s="18"/>
      <c r="K29834" s="18" t="s">
        <v>316</v>
      </c>
    </row>
    <row r="29835">
      <c r="A29835" s="17"/>
      <c r="H29835" s="18"/>
      <c r="K29835" s="18" t="s">
        <v>316</v>
      </c>
    </row>
    <row r="29836">
      <c r="A29836" s="17"/>
      <c r="H29836" s="18"/>
      <c r="K29836" s="18" t="s">
        <v>316</v>
      </c>
    </row>
    <row r="29837">
      <c r="A29837" s="17"/>
      <c r="H29837" s="18"/>
      <c r="K29837" s="18" t="s">
        <v>316</v>
      </c>
    </row>
    <row r="29838">
      <c r="A29838" s="17"/>
      <c r="H29838" s="18"/>
      <c r="K29838" s="18" t="s">
        <v>316</v>
      </c>
    </row>
    <row r="29839">
      <c r="A29839" s="17"/>
      <c r="H29839" s="18"/>
      <c r="K29839" s="18" t="s">
        <v>316</v>
      </c>
    </row>
    <row r="29840">
      <c r="A29840" s="17"/>
      <c r="H29840" s="18"/>
      <c r="K29840" s="18" t="s">
        <v>316</v>
      </c>
    </row>
    <row r="29841">
      <c r="A29841" s="17"/>
      <c r="H29841" s="18"/>
      <c r="K29841" s="18" t="s">
        <v>316</v>
      </c>
    </row>
    <row r="29842">
      <c r="A29842" s="17"/>
      <c r="H29842" s="18"/>
      <c r="K29842" s="18" t="s">
        <v>316</v>
      </c>
    </row>
    <row r="29843">
      <c r="A29843" s="17"/>
      <c r="H29843" s="18"/>
      <c r="K29843" s="18" t="s">
        <v>316</v>
      </c>
    </row>
    <row r="29844">
      <c r="A29844" s="17"/>
      <c r="H29844" s="18"/>
      <c r="K29844" s="18" t="s">
        <v>316</v>
      </c>
    </row>
    <row r="29845">
      <c r="A29845" s="17"/>
      <c r="H29845" s="18"/>
      <c r="K29845" s="18" t="s">
        <v>316</v>
      </c>
    </row>
    <row r="29846">
      <c r="A29846" s="17"/>
      <c r="H29846" s="18"/>
      <c r="K29846" s="18" t="s">
        <v>316</v>
      </c>
    </row>
    <row r="29847">
      <c r="A29847" s="17"/>
      <c r="H29847" s="18"/>
      <c r="K29847" s="18" t="s">
        <v>316</v>
      </c>
    </row>
    <row r="29848">
      <c r="A29848" s="17"/>
      <c r="H29848" s="18"/>
      <c r="K29848" s="18" t="s">
        <v>316</v>
      </c>
    </row>
    <row r="29849">
      <c r="A29849" s="17"/>
      <c r="H29849" s="18"/>
      <c r="K29849" s="18" t="s">
        <v>316</v>
      </c>
    </row>
    <row r="29850">
      <c r="A29850" s="17"/>
      <c r="H29850" s="18"/>
      <c r="K29850" s="18" t="s">
        <v>316</v>
      </c>
    </row>
    <row r="29851">
      <c r="A29851" s="17"/>
      <c r="H29851" s="18"/>
      <c r="K29851" s="18" t="s">
        <v>316</v>
      </c>
    </row>
    <row r="29852">
      <c r="A29852" s="17"/>
      <c r="H29852" s="18"/>
      <c r="K29852" s="18" t="s">
        <v>316</v>
      </c>
    </row>
    <row r="29853">
      <c r="A29853" s="17"/>
      <c r="H29853" s="18"/>
      <c r="K29853" s="18" t="s">
        <v>316</v>
      </c>
    </row>
    <row r="29854">
      <c r="A29854" s="17"/>
      <c r="H29854" s="18"/>
      <c r="K29854" s="18" t="s">
        <v>316</v>
      </c>
    </row>
    <row r="29855">
      <c r="A29855" s="17"/>
      <c r="H29855" s="18"/>
      <c r="K29855" s="18" t="s">
        <v>316</v>
      </c>
    </row>
    <row r="29856">
      <c r="A29856" s="17"/>
      <c r="H29856" s="18"/>
      <c r="K29856" s="18" t="s">
        <v>316</v>
      </c>
    </row>
    <row r="29857">
      <c r="A29857" s="17"/>
      <c r="H29857" s="18"/>
      <c r="K29857" s="18" t="s">
        <v>316</v>
      </c>
    </row>
    <row r="29858">
      <c r="A29858" s="17"/>
      <c r="H29858" s="18"/>
      <c r="K29858" s="18" t="s">
        <v>316</v>
      </c>
    </row>
    <row r="29859">
      <c r="A29859" s="17"/>
      <c r="H29859" s="18"/>
      <c r="K29859" s="18" t="s">
        <v>316</v>
      </c>
    </row>
    <row r="29860">
      <c r="A29860" s="17"/>
      <c r="H29860" s="18"/>
      <c r="K29860" s="18" t="s">
        <v>316</v>
      </c>
    </row>
    <row r="29861">
      <c r="A29861" s="17"/>
      <c r="H29861" s="18"/>
      <c r="K29861" s="18" t="s">
        <v>316</v>
      </c>
    </row>
    <row r="29862">
      <c r="A29862" s="17"/>
      <c r="H29862" s="18"/>
      <c r="K29862" s="18" t="s">
        <v>316</v>
      </c>
    </row>
    <row r="29863">
      <c r="A29863" s="17"/>
      <c r="H29863" s="18"/>
      <c r="K29863" s="18" t="s">
        <v>316</v>
      </c>
    </row>
    <row r="29864">
      <c r="A29864" s="17"/>
      <c r="H29864" s="18"/>
      <c r="K29864" s="18" t="s">
        <v>316</v>
      </c>
    </row>
    <row r="29865">
      <c r="A29865" s="17"/>
      <c r="H29865" s="18"/>
      <c r="K29865" s="18" t="s">
        <v>316</v>
      </c>
    </row>
    <row r="29866">
      <c r="A29866" s="17"/>
      <c r="H29866" s="18"/>
      <c r="K29866" s="18" t="s">
        <v>316</v>
      </c>
    </row>
    <row r="29867">
      <c r="A29867" s="17"/>
      <c r="H29867" s="18"/>
      <c r="K29867" s="18" t="s">
        <v>316</v>
      </c>
    </row>
    <row r="29868">
      <c r="A29868" s="17"/>
      <c r="H29868" s="18"/>
      <c r="K29868" s="18" t="s">
        <v>316</v>
      </c>
    </row>
    <row r="29869">
      <c r="A29869" s="17"/>
      <c r="H29869" s="18"/>
      <c r="K29869" s="18" t="s">
        <v>316</v>
      </c>
    </row>
    <row r="29870">
      <c r="A29870" s="17"/>
      <c r="H29870" s="18"/>
      <c r="K29870" s="18" t="s">
        <v>316</v>
      </c>
    </row>
    <row r="29871">
      <c r="A29871" s="17"/>
      <c r="H29871" s="18"/>
      <c r="K29871" s="18" t="s">
        <v>316</v>
      </c>
    </row>
    <row r="29872">
      <c r="A29872" s="17"/>
      <c r="H29872" s="18"/>
      <c r="K29872" s="18" t="s">
        <v>316</v>
      </c>
    </row>
    <row r="29873">
      <c r="A29873" s="17"/>
      <c r="H29873" s="18"/>
      <c r="K29873" s="18" t="s">
        <v>316</v>
      </c>
    </row>
    <row r="29874">
      <c r="A29874" s="17"/>
      <c r="H29874" s="18"/>
      <c r="K29874" s="18" t="s">
        <v>316</v>
      </c>
    </row>
    <row r="29875">
      <c r="A29875" s="17"/>
      <c r="H29875" s="18"/>
      <c r="K29875" s="18" t="s">
        <v>316</v>
      </c>
    </row>
    <row r="29876">
      <c r="A29876" s="17"/>
      <c r="H29876" s="18"/>
      <c r="K29876" s="18" t="s">
        <v>316</v>
      </c>
    </row>
    <row r="29877">
      <c r="A29877" s="17"/>
      <c r="H29877" s="18"/>
      <c r="K29877" s="18" t="s">
        <v>316</v>
      </c>
    </row>
    <row r="29878">
      <c r="A29878" s="17"/>
      <c r="H29878" s="18"/>
      <c r="K29878" s="18" t="s">
        <v>316</v>
      </c>
    </row>
    <row r="29879">
      <c r="A29879" s="17"/>
      <c r="H29879" s="18"/>
      <c r="K29879" s="18" t="s">
        <v>316</v>
      </c>
    </row>
    <row r="29880">
      <c r="A29880" s="17"/>
      <c r="H29880" s="18"/>
      <c r="K29880" s="18" t="s">
        <v>316</v>
      </c>
    </row>
    <row r="29881">
      <c r="A29881" s="17"/>
      <c r="H29881" s="18"/>
      <c r="K29881" s="18" t="s">
        <v>316</v>
      </c>
    </row>
    <row r="29882">
      <c r="A29882" s="17"/>
      <c r="H29882" s="18"/>
      <c r="K29882" s="18" t="s">
        <v>316</v>
      </c>
    </row>
    <row r="29883">
      <c r="A29883" s="17"/>
      <c r="H29883" s="18"/>
      <c r="K29883" s="18" t="s">
        <v>316</v>
      </c>
    </row>
    <row r="29884">
      <c r="A29884" s="17"/>
      <c r="H29884" s="18"/>
      <c r="K29884" s="18" t="s">
        <v>316</v>
      </c>
    </row>
    <row r="29885">
      <c r="A29885" s="17"/>
      <c r="H29885" s="18"/>
      <c r="K29885" s="18" t="s">
        <v>316</v>
      </c>
    </row>
    <row r="29886">
      <c r="A29886" s="17"/>
      <c r="H29886" s="18"/>
      <c r="K29886" s="18" t="s">
        <v>316</v>
      </c>
    </row>
    <row r="29887">
      <c r="A29887" s="17"/>
      <c r="H29887" s="18"/>
      <c r="K29887" s="18" t="s">
        <v>316</v>
      </c>
    </row>
    <row r="29888">
      <c r="A29888" s="17"/>
      <c r="H29888" s="18"/>
      <c r="K29888" s="18" t="s">
        <v>316</v>
      </c>
    </row>
    <row r="29889">
      <c r="A29889" s="17"/>
      <c r="H29889" s="18"/>
      <c r="K29889" s="18" t="s">
        <v>316</v>
      </c>
    </row>
    <row r="29890">
      <c r="A29890" s="17"/>
      <c r="H29890" s="18"/>
      <c r="K29890" s="18" t="s">
        <v>316</v>
      </c>
    </row>
    <row r="29891">
      <c r="A29891" s="17"/>
      <c r="H29891" s="18"/>
      <c r="K29891" s="18" t="s">
        <v>316</v>
      </c>
    </row>
    <row r="29892">
      <c r="A29892" s="17"/>
      <c r="H29892" s="18"/>
      <c r="K29892" s="18" t="s">
        <v>316</v>
      </c>
    </row>
    <row r="29893">
      <c r="A29893" s="17"/>
      <c r="H29893" s="18"/>
      <c r="K29893" s="18" t="s">
        <v>316</v>
      </c>
    </row>
    <row r="29894">
      <c r="A29894" s="17"/>
      <c r="H29894" s="18"/>
      <c r="K29894" s="18" t="s">
        <v>316</v>
      </c>
    </row>
    <row r="29895">
      <c r="A29895" s="17"/>
      <c r="H29895" s="18"/>
      <c r="K29895" s="18" t="s">
        <v>316</v>
      </c>
    </row>
    <row r="29896">
      <c r="A29896" s="17"/>
      <c r="H29896" s="18"/>
      <c r="K29896" s="18" t="s">
        <v>316</v>
      </c>
    </row>
    <row r="29897">
      <c r="A29897" s="17"/>
      <c r="H29897" s="18"/>
      <c r="K29897" s="18" t="s">
        <v>316</v>
      </c>
    </row>
    <row r="29898">
      <c r="A29898" s="17"/>
      <c r="H29898" s="18"/>
      <c r="K29898" s="18" t="s">
        <v>316</v>
      </c>
    </row>
    <row r="29899">
      <c r="A29899" s="17"/>
      <c r="H29899" s="18"/>
      <c r="K29899" s="18" t="s">
        <v>316</v>
      </c>
    </row>
    <row r="29900">
      <c r="A29900" s="17"/>
      <c r="H29900" s="18"/>
      <c r="K29900" s="18" t="s">
        <v>316</v>
      </c>
    </row>
    <row r="29901">
      <c r="A29901" s="17"/>
      <c r="H29901" s="18"/>
      <c r="K29901" s="18" t="s">
        <v>316</v>
      </c>
    </row>
    <row r="29902">
      <c r="A29902" s="17"/>
      <c r="H29902" s="18"/>
      <c r="K29902" s="18" t="s">
        <v>316</v>
      </c>
    </row>
    <row r="29903">
      <c r="A29903" s="17"/>
      <c r="H29903" s="18"/>
      <c r="K29903" s="18" t="s">
        <v>316</v>
      </c>
    </row>
    <row r="29904">
      <c r="A29904" s="17"/>
      <c r="H29904" s="18"/>
      <c r="K29904" s="18" t="s">
        <v>316</v>
      </c>
    </row>
    <row r="29905">
      <c r="A29905" s="17"/>
      <c r="H29905" s="18"/>
      <c r="K29905" s="18" t="s">
        <v>316</v>
      </c>
    </row>
    <row r="29906">
      <c r="A29906" s="17"/>
      <c r="H29906" s="18"/>
      <c r="K29906" s="18" t="s">
        <v>316</v>
      </c>
    </row>
    <row r="29907">
      <c r="A29907" s="17"/>
      <c r="H29907" s="18"/>
      <c r="K29907" s="18" t="s">
        <v>316</v>
      </c>
    </row>
    <row r="29908">
      <c r="A29908" s="17"/>
      <c r="H29908" s="18"/>
      <c r="K29908" s="18" t="s">
        <v>316</v>
      </c>
    </row>
    <row r="29909">
      <c r="A29909" s="17"/>
      <c r="H29909" s="18"/>
      <c r="K29909" s="18" t="s">
        <v>316</v>
      </c>
    </row>
    <row r="29910">
      <c r="A29910" s="17"/>
      <c r="H29910" s="18"/>
      <c r="K29910" s="18" t="s">
        <v>316</v>
      </c>
    </row>
    <row r="29911">
      <c r="A29911" s="17"/>
      <c r="H29911" s="18"/>
      <c r="K29911" s="18" t="s">
        <v>316</v>
      </c>
    </row>
    <row r="29912">
      <c r="A29912" s="17"/>
      <c r="H29912" s="18"/>
      <c r="K29912" s="18" t="s">
        <v>316</v>
      </c>
    </row>
    <row r="29913">
      <c r="A29913" s="17"/>
      <c r="H29913" s="18"/>
      <c r="K29913" s="18" t="s">
        <v>316</v>
      </c>
    </row>
    <row r="29914">
      <c r="A29914" s="17"/>
      <c r="H29914" s="18"/>
      <c r="K29914" s="18" t="s">
        <v>316</v>
      </c>
    </row>
    <row r="29915">
      <c r="A29915" s="17"/>
      <c r="H29915" s="18"/>
      <c r="K29915" s="18" t="s">
        <v>316</v>
      </c>
    </row>
    <row r="29916">
      <c r="A29916" s="17"/>
      <c r="H29916" s="18"/>
      <c r="K29916" s="18" t="s">
        <v>316</v>
      </c>
    </row>
    <row r="29917">
      <c r="A29917" s="17"/>
      <c r="H29917" s="18"/>
      <c r="K29917" s="18" t="s">
        <v>316</v>
      </c>
    </row>
    <row r="29918">
      <c r="A29918" s="17"/>
      <c r="H29918" s="18"/>
      <c r="K29918" s="18" t="s">
        <v>316</v>
      </c>
    </row>
    <row r="29919">
      <c r="A29919" s="17"/>
      <c r="H29919" s="18"/>
      <c r="K29919" s="18" t="s">
        <v>316</v>
      </c>
    </row>
    <row r="29920">
      <c r="A29920" s="17"/>
      <c r="H29920" s="18"/>
      <c r="K29920" s="18" t="s">
        <v>316</v>
      </c>
    </row>
    <row r="29921">
      <c r="A29921" s="17"/>
      <c r="H29921" s="18"/>
      <c r="K29921" s="18" t="s">
        <v>316</v>
      </c>
    </row>
    <row r="29922">
      <c r="A29922" s="17"/>
      <c r="H29922" s="18"/>
      <c r="K29922" s="18" t="s">
        <v>316</v>
      </c>
    </row>
    <row r="29923">
      <c r="A29923" s="17"/>
      <c r="H29923" s="18"/>
      <c r="K29923" s="18" t="s">
        <v>316</v>
      </c>
    </row>
    <row r="29924">
      <c r="A29924" s="17"/>
      <c r="H29924" s="18"/>
      <c r="K29924" s="18" t="s">
        <v>316</v>
      </c>
    </row>
    <row r="29925">
      <c r="A29925" s="17"/>
      <c r="H29925" s="18"/>
      <c r="K29925" s="18" t="s">
        <v>316</v>
      </c>
    </row>
    <row r="29926">
      <c r="A29926" s="17"/>
      <c r="H29926" s="18"/>
      <c r="K29926" s="18" t="s">
        <v>316</v>
      </c>
    </row>
    <row r="29927">
      <c r="A29927" s="17"/>
      <c r="H29927" s="18"/>
      <c r="K29927" s="18" t="s">
        <v>316</v>
      </c>
    </row>
    <row r="29928">
      <c r="A29928" s="17"/>
      <c r="H29928" s="18"/>
      <c r="K29928" s="18" t="s">
        <v>316</v>
      </c>
    </row>
    <row r="29929">
      <c r="A29929" s="17"/>
      <c r="H29929" s="18"/>
      <c r="K29929" s="18" t="s">
        <v>316</v>
      </c>
    </row>
    <row r="29930">
      <c r="A29930" s="17"/>
      <c r="H29930" s="18"/>
      <c r="K29930" s="18" t="s">
        <v>316</v>
      </c>
    </row>
    <row r="29931">
      <c r="A29931" s="17"/>
      <c r="H29931" s="18"/>
      <c r="K29931" s="18" t="s">
        <v>316</v>
      </c>
    </row>
    <row r="29932">
      <c r="A29932" s="17"/>
      <c r="H29932" s="18"/>
      <c r="K29932" s="18" t="s">
        <v>316</v>
      </c>
    </row>
    <row r="29933">
      <c r="A29933" s="17"/>
      <c r="H29933" s="18"/>
      <c r="K29933" s="18" t="s">
        <v>316</v>
      </c>
    </row>
    <row r="29934">
      <c r="A29934" s="17"/>
      <c r="H29934" s="18"/>
      <c r="K29934" s="18" t="s">
        <v>316</v>
      </c>
    </row>
    <row r="29935">
      <c r="A29935" s="17"/>
      <c r="H29935" s="18"/>
      <c r="K29935" s="18" t="s">
        <v>316</v>
      </c>
    </row>
    <row r="29936">
      <c r="A29936" s="17"/>
      <c r="H29936" s="18"/>
      <c r="K29936" s="18" t="s">
        <v>316</v>
      </c>
    </row>
    <row r="29937">
      <c r="A29937" s="17"/>
      <c r="H29937" s="18"/>
      <c r="K29937" s="18" t="s">
        <v>316</v>
      </c>
    </row>
    <row r="29938">
      <c r="A29938" s="17"/>
      <c r="H29938" s="18"/>
      <c r="K29938" s="18" t="s">
        <v>316</v>
      </c>
    </row>
    <row r="29939">
      <c r="A29939" s="17"/>
      <c r="H29939" s="18"/>
      <c r="K29939" s="18" t="s">
        <v>316</v>
      </c>
    </row>
    <row r="29940">
      <c r="A29940" s="17"/>
      <c r="H29940" s="18"/>
      <c r="K29940" s="18" t="s">
        <v>316</v>
      </c>
    </row>
    <row r="29941">
      <c r="A29941" s="17"/>
      <c r="H29941" s="18"/>
      <c r="K29941" s="18" t="s">
        <v>316</v>
      </c>
    </row>
    <row r="29942">
      <c r="A29942" s="17"/>
      <c r="H29942" s="18"/>
      <c r="K29942" s="18" t="s">
        <v>316</v>
      </c>
    </row>
    <row r="29943">
      <c r="A29943" s="17"/>
      <c r="H29943" s="18"/>
      <c r="K29943" s="18" t="s">
        <v>316</v>
      </c>
    </row>
    <row r="29944">
      <c r="A29944" s="17"/>
      <c r="H29944" s="18"/>
      <c r="K29944" s="18" t="s">
        <v>316</v>
      </c>
    </row>
    <row r="29945">
      <c r="A29945" s="17"/>
      <c r="H29945" s="18"/>
      <c r="K29945" s="18" t="s">
        <v>316</v>
      </c>
    </row>
    <row r="29946">
      <c r="A29946" s="17"/>
      <c r="H29946" s="18"/>
      <c r="K29946" s="18" t="s">
        <v>316</v>
      </c>
    </row>
    <row r="29947">
      <c r="A29947" s="17"/>
      <c r="H29947" s="18"/>
      <c r="K29947" s="18" t="s">
        <v>316</v>
      </c>
    </row>
    <row r="29948">
      <c r="A29948" s="17"/>
      <c r="H29948" s="18"/>
      <c r="K29948" s="18" t="s">
        <v>316</v>
      </c>
    </row>
    <row r="29949">
      <c r="A29949" s="17"/>
      <c r="H29949" s="18"/>
      <c r="K29949" s="18" t="s">
        <v>316</v>
      </c>
    </row>
    <row r="29950">
      <c r="A29950" s="17"/>
      <c r="H29950" s="18"/>
      <c r="K29950" s="18" t="s">
        <v>316</v>
      </c>
    </row>
    <row r="29951">
      <c r="A29951" s="17"/>
      <c r="H29951" s="18"/>
      <c r="K29951" s="18" t="s">
        <v>316</v>
      </c>
    </row>
    <row r="29952">
      <c r="A29952" s="17"/>
      <c r="H29952" s="18"/>
      <c r="K29952" s="18" t="s">
        <v>316</v>
      </c>
    </row>
    <row r="29953">
      <c r="A29953" s="17"/>
      <c r="H29953" s="18"/>
      <c r="K29953" s="18" t="s">
        <v>316</v>
      </c>
    </row>
    <row r="29954">
      <c r="A29954" s="17"/>
      <c r="H29954" s="18"/>
      <c r="K29954" s="18" t="s">
        <v>316</v>
      </c>
    </row>
    <row r="29955">
      <c r="A29955" s="17"/>
      <c r="H29955" s="18"/>
      <c r="K29955" s="18" t="s">
        <v>316</v>
      </c>
    </row>
    <row r="29956">
      <c r="A29956" s="17"/>
      <c r="H29956" s="18"/>
      <c r="K29956" s="18" t="s">
        <v>316</v>
      </c>
    </row>
    <row r="29957">
      <c r="A29957" s="17"/>
      <c r="H29957" s="18"/>
      <c r="K29957" s="18" t="s">
        <v>316</v>
      </c>
    </row>
    <row r="29958">
      <c r="A29958" s="17"/>
      <c r="H29958" s="18"/>
      <c r="K29958" s="18" t="s">
        <v>316</v>
      </c>
    </row>
    <row r="29959">
      <c r="A29959" s="17"/>
      <c r="H29959" s="18"/>
      <c r="K29959" s="18" t="s">
        <v>316</v>
      </c>
    </row>
    <row r="29960">
      <c r="A29960" s="17"/>
      <c r="H29960" s="18"/>
      <c r="K29960" s="18" t="s">
        <v>316</v>
      </c>
    </row>
    <row r="29961">
      <c r="A29961" s="17"/>
      <c r="H29961" s="18"/>
      <c r="K29961" s="18" t="s">
        <v>316</v>
      </c>
    </row>
    <row r="29962">
      <c r="A29962" s="17"/>
      <c r="H29962" s="18"/>
      <c r="K29962" s="18" t="s">
        <v>316</v>
      </c>
    </row>
    <row r="29963">
      <c r="A29963" s="17"/>
      <c r="H29963" s="18"/>
      <c r="K29963" s="18" t="s">
        <v>316</v>
      </c>
    </row>
    <row r="29964">
      <c r="A29964" s="17"/>
      <c r="H29964" s="18"/>
      <c r="K29964" s="18" t="s">
        <v>316</v>
      </c>
    </row>
    <row r="29965">
      <c r="A29965" s="17"/>
      <c r="H29965" s="18"/>
      <c r="K29965" s="18" t="s">
        <v>316</v>
      </c>
    </row>
    <row r="29966">
      <c r="A29966" s="17"/>
      <c r="H29966" s="18"/>
      <c r="K29966" s="18" t="s">
        <v>316</v>
      </c>
    </row>
    <row r="29967">
      <c r="A29967" s="17"/>
      <c r="H29967" s="18"/>
      <c r="K29967" s="18" t="s">
        <v>316</v>
      </c>
    </row>
    <row r="29968">
      <c r="A29968" s="17"/>
      <c r="H29968" s="18"/>
      <c r="K29968" s="18" t="s">
        <v>316</v>
      </c>
    </row>
    <row r="29969">
      <c r="A29969" s="17"/>
      <c r="H29969" s="18"/>
      <c r="K29969" s="18" t="s">
        <v>316</v>
      </c>
    </row>
    <row r="29970">
      <c r="A29970" s="17"/>
      <c r="H29970" s="18"/>
      <c r="K29970" s="18" t="s">
        <v>316</v>
      </c>
    </row>
    <row r="29971">
      <c r="A29971" s="17"/>
      <c r="H29971" s="18"/>
      <c r="K29971" s="18" t="s">
        <v>316</v>
      </c>
    </row>
    <row r="29972">
      <c r="A29972" s="17"/>
      <c r="H29972" s="18"/>
      <c r="K29972" s="18" t="s">
        <v>316</v>
      </c>
    </row>
    <row r="29973">
      <c r="A29973" s="17"/>
      <c r="H29973" s="18"/>
      <c r="K29973" s="18" t="s">
        <v>316</v>
      </c>
    </row>
    <row r="29974">
      <c r="A29974" s="17"/>
      <c r="H29974" s="18"/>
      <c r="K29974" s="18" t="s">
        <v>316</v>
      </c>
    </row>
    <row r="29975">
      <c r="A29975" s="17"/>
      <c r="H29975" s="18"/>
      <c r="K29975" s="18" t="s">
        <v>316</v>
      </c>
    </row>
    <row r="29976">
      <c r="A29976" s="17"/>
      <c r="H29976" s="18"/>
      <c r="K29976" s="18" t="s">
        <v>316</v>
      </c>
    </row>
    <row r="29977">
      <c r="A29977" s="17"/>
      <c r="H29977" s="18"/>
      <c r="K29977" s="18" t="s">
        <v>316</v>
      </c>
    </row>
    <row r="29978">
      <c r="A29978" s="17"/>
      <c r="H29978" s="18"/>
      <c r="K29978" s="18" t="s">
        <v>316</v>
      </c>
    </row>
    <row r="29979">
      <c r="A29979" s="17"/>
      <c r="H29979" s="18"/>
      <c r="K29979" s="18" t="s">
        <v>316</v>
      </c>
    </row>
    <row r="29980">
      <c r="A29980" s="17"/>
      <c r="H29980" s="18"/>
      <c r="K29980" s="18" t="s">
        <v>316</v>
      </c>
    </row>
    <row r="29981">
      <c r="A29981" s="17"/>
      <c r="H29981" s="18"/>
      <c r="K29981" s="18" t="s">
        <v>316</v>
      </c>
    </row>
    <row r="29982">
      <c r="A29982" s="17"/>
      <c r="H29982" s="18"/>
      <c r="K29982" s="18" t="s">
        <v>316</v>
      </c>
    </row>
    <row r="29983">
      <c r="A29983" s="17"/>
      <c r="H29983" s="18"/>
      <c r="K29983" s="18" t="s">
        <v>316</v>
      </c>
    </row>
    <row r="29984">
      <c r="A29984" s="17"/>
      <c r="H29984" s="18"/>
      <c r="K29984" s="18" t="s">
        <v>316</v>
      </c>
    </row>
    <row r="29985">
      <c r="A29985" s="17"/>
      <c r="H29985" s="18"/>
      <c r="K29985" s="18" t="s">
        <v>316</v>
      </c>
    </row>
    <row r="29986">
      <c r="A29986" s="17"/>
      <c r="H29986" s="18"/>
      <c r="K29986" s="18" t="s">
        <v>316</v>
      </c>
    </row>
    <row r="29987">
      <c r="A29987" s="17"/>
      <c r="H29987" s="18"/>
      <c r="K29987" s="18" t="s">
        <v>316</v>
      </c>
    </row>
    <row r="29988">
      <c r="A29988" s="17"/>
      <c r="H29988" s="18"/>
      <c r="K29988" s="18" t="s">
        <v>316</v>
      </c>
    </row>
    <row r="29989">
      <c r="A29989" s="17"/>
      <c r="H29989" s="18"/>
      <c r="K29989" s="18" t="s">
        <v>316</v>
      </c>
    </row>
    <row r="29990">
      <c r="A29990" s="17"/>
      <c r="H29990" s="18"/>
      <c r="K29990" s="18" t="s">
        <v>316</v>
      </c>
    </row>
    <row r="29991">
      <c r="A29991" s="17"/>
      <c r="H29991" s="18"/>
      <c r="K29991" s="18" t="s">
        <v>316</v>
      </c>
    </row>
    <row r="29992">
      <c r="A29992" s="17"/>
      <c r="H29992" s="18"/>
      <c r="K29992" s="18" t="s">
        <v>316</v>
      </c>
    </row>
    <row r="29993">
      <c r="A29993" s="17"/>
      <c r="H29993" s="18"/>
      <c r="K29993" s="18" t="s">
        <v>316</v>
      </c>
    </row>
    <row r="29994">
      <c r="A29994" s="17"/>
      <c r="H29994" s="18"/>
      <c r="K29994" s="18" t="s">
        <v>316</v>
      </c>
    </row>
    <row r="29995">
      <c r="A29995" s="17"/>
      <c r="H29995" s="18"/>
      <c r="K29995" s="18" t="s">
        <v>316</v>
      </c>
    </row>
    <row r="29996">
      <c r="A29996" s="17"/>
      <c r="H29996" s="18"/>
      <c r="K29996" s="18" t="s">
        <v>316</v>
      </c>
    </row>
    <row r="29997">
      <c r="A29997" s="17"/>
      <c r="H29997" s="18"/>
      <c r="K29997" s="18" t="s">
        <v>316</v>
      </c>
    </row>
    <row r="29998">
      <c r="A29998" s="17"/>
      <c r="H29998" s="18"/>
      <c r="K29998" s="18" t="s">
        <v>316</v>
      </c>
    </row>
    <row r="29999">
      <c r="A29999" s="17"/>
      <c r="H29999" s="18"/>
      <c r="K29999" s="18" t="s">
        <v>316</v>
      </c>
    </row>
    <row r="30000">
      <c r="A30000" s="17"/>
      <c r="H30000" s="18"/>
      <c r="K30000" s="18" t="s">
        <v>316</v>
      </c>
    </row>
    <row r="30001">
      <c r="A30001" s="17"/>
      <c r="H30001" s="18"/>
      <c r="K30001" s="18" t="s">
        <v>316</v>
      </c>
    </row>
    <row r="30002">
      <c r="A30002" s="17"/>
      <c r="H30002" s="18"/>
      <c r="K30002" s="18" t="s">
        <v>316</v>
      </c>
    </row>
    <row r="30003">
      <c r="A30003" s="17"/>
      <c r="H30003" s="18"/>
      <c r="K30003" s="18" t="s">
        <v>316</v>
      </c>
    </row>
    <row r="30004">
      <c r="A30004" s="17"/>
      <c r="H30004" s="18"/>
      <c r="K30004" s="18" t="s">
        <v>316</v>
      </c>
    </row>
    <row r="30005">
      <c r="A30005" s="17"/>
      <c r="H30005" s="18"/>
      <c r="K30005" s="18" t="s">
        <v>316</v>
      </c>
    </row>
    <row r="30006">
      <c r="A30006" s="17"/>
      <c r="H30006" s="18"/>
      <c r="K30006" s="18" t="s">
        <v>316</v>
      </c>
    </row>
    <row r="30007">
      <c r="A30007" s="17"/>
      <c r="H30007" s="18"/>
      <c r="K30007" s="18" t="s">
        <v>316</v>
      </c>
    </row>
    <row r="30008">
      <c r="A30008" s="17"/>
      <c r="H30008" s="18"/>
      <c r="K30008" s="18" t="s">
        <v>316</v>
      </c>
    </row>
    <row r="30009">
      <c r="A30009" s="17"/>
      <c r="H30009" s="18"/>
      <c r="K30009" s="18" t="s">
        <v>316</v>
      </c>
    </row>
    <row r="30010">
      <c r="A30010" s="17"/>
      <c r="H30010" s="18"/>
      <c r="K30010" s="18" t="s">
        <v>316</v>
      </c>
    </row>
    <row r="30011">
      <c r="A30011" s="17"/>
      <c r="H30011" s="18"/>
      <c r="K30011" s="18" t="s">
        <v>316</v>
      </c>
    </row>
    <row r="30012">
      <c r="A30012" s="17"/>
      <c r="H30012" s="18"/>
      <c r="K30012" s="18" t="s">
        <v>316</v>
      </c>
    </row>
    <row r="30013">
      <c r="A30013" s="17"/>
      <c r="H30013" s="18"/>
      <c r="K30013" s="18" t="s">
        <v>316</v>
      </c>
    </row>
    <row r="30014">
      <c r="A30014" s="17"/>
      <c r="H30014" s="18"/>
      <c r="K30014" s="18" t="s">
        <v>316</v>
      </c>
    </row>
    <row r="30015">
      <c r="A30015" s="17"/>
      <c r="H30015" s="18"/>
      <c r="K30015" s="18" t="s">
        <v>316</v>
      </c>
    </row>
    <row r="30016">
      <c r="A30016" s="17"/>
      <c r="H30016" s="18"/>
      <c r="K30016" s="18" t="s">
        <v>316</v>
      </c>
    </row>
    <row r="30017">
      <c r="A30017" s="17"/>
      <c r="H30017" s="18"/>
      <c r="K30017" s="18" t="s">
        <v>316</v>
      </c>
    </row>
    <row r="30018">
      <c r="A30018" s="17"/>
      <c r="H30018" s="18"/>
      <c r="K30018" s="18" t="s">
        <v>316</v>
      </c>
    </row>
    <row r="30019">
      <c r="A30019" s="17"/>
      <c r="H30019" s="18"/>
      <c r="K30019" s="18" t="s">
        <v>316</v>
      </c>
    </row>
    <row r="30020">
      <c r="A30020" s="17"/>
      <c r="H30020" s="18"/>
      <c r="K30020" s="18" t="s">
        <v>316</v>
      </c>
    </row>
    <row r="30021">
      <c r="A30021" s="17"/>
      <c r="H30021" s="18"/>
      <c r="K30021" s="18" t="s">
        <v>316</v>
      </c>
    </row>
    <row r="30022">
      <c r="A30022" s="17"/>
      <c r="H30022" s="18"/>
      <c r="K30022" s="18" t="s">
        <v>316</v>
      </c>
    </row>
    <row r="30023">
      <c r="A30023" s="17"/>
      <c r="H30023" s="18"/>
      <c r="K30023" s="18" t="s">
        <v>316</v>
      </c>
    </row>
    <row r="30024">
      <c r="A30024" s="17"/>
      <c r="H30024" s="18"/>
      <c r="K30024" s="18" t="s">
        <v>316</v>
      </c>
    </row>
    <row r="30025">
      <c r="A30025" s="17"/>
      <c r="H30025" s="18"/>
      <c r="K30025" s="18" t="s">
        <v>316</v>
      </c>
    </row>
    <row r="30026">
      <c r="A30026" s="17"/>
      <c r="H30026" s="18"/>
      <c r="K30026" s="18" t="s">
        <v>316</v>
      </c>
    </row>
    <row r="30027">
      <c r="A30027" s="17"/>
      <c r="H30027" s="18"/>
      <c r="K30027" s="18" t="s">
        <v>316</v>
      </c>
    </row>
    <row r="30028">
      <c r="A30028" s="17"/>
      <c r="H30028" s="18"/>
      <c r="K30028" s="18" t="s">
        <v>316</v>
      </c>
    </row>
    <row r="30029">
      <c r="A30029" s="17"/>
      <c r="H30029" s="18"/>
      <c r="K30029" s="18" t="s">
        <v>316</v>
      </c>
    </row>
    <row r="30030">
      <c r="A30030" s="17"/>
      <c r="H30030" s="18"/>
      <c r="K30030" s="18" t="s">
        <v>316</v>
      </c>
    </row>
    <row r="30031">
      <c r="A30031" s="17"/>
      <c r="H30031" s="18"/>
      <c r="K30031" s="18" t="s">
        <v>316</v>
      </c>
    </row>
    <row r="30032">
      <c r="A30032" s="17"/>
      <c r="H30032" s="18"/>
      <c r="K30032" s="18" t="s">
        <v>316</v>
      </c>
    </row>
    <row r="30033">
      <c r="A30033" s="17"/>
      <c r="H30033" s="18"/>
      <c r="K30033" s="18" t="s">
        <v>316</v>
      </c>
    </row>
    <row r="30034">
      <c r="A30034" s="17"/>
      <c r="H30034" s="18"/>
      <c r="K30034" s="18" t="s">
        <v>316</v>
      </c>
    </row>
    <row r="30035">
      <c r="A30035" s="17"/>
      <c r="H30035" s="18"/>
      <c r="K30035" s="18" t="s">
        <v>316</v>
      </c>
    </row>
    <row r="30036">
      <c r="A30036" s="17"/>
      <c r="H30036" s="18"/>
      <c r="K30036" s="18" t="s">
        <v>316</v>
      </c>
    </row>
    <row r="30037">
      <c r="A30037" s="17"/>
      <c r="H30037" s="18"/>
      <c r="K30037" s="18" t="s">
        <v>316</v>
      </c>
    </row>
    <row r="30038">
      <c r="A30038" s="17"/>
      <c r="H30038" s="18"/>
      <c r="K30038" s="18" t="s">
        <v>316</v>
      </c>
    </row>
    <row r="30039">
      <c r="A30039" s="17"/>
      <c r="H30039" s="18"/>
      <c r="K30039" s="18" t="s">
        <v>316</v>
      </c>
    </row>
    <row r="30040">
      <c r="A30040" s="17"/>
      <c r="H30040" s="18"/>
      <c r="K30040" s="18" t="s">
        <v>316</v>
      </c>
    </row>
    <row r="30041">
      <c r="A30041" s="17"/>
      <c r="H30041" s="18"/>
      <c r="K30041" s="18" t="s">
        <v>316</v>
      </c>
    </row>
    <row r="30042">
      <c r="A30042" s="17"/>
      <c r="H30042" s="18"/>
      <c r="K30042" s="18" t="s">
        <v>316</v>
      </c>
    </row>
    <row r="30043">
      <c r="A30043" s="17"/>
      <c r="H30043" s="18"/>
      <c r="K30043" s="18" t="s">
        <v>316</v>
      </c>
    </row>
    <row r="30044">
      <c r="A30044" s="17"/>
      <c r="H30044" s="18"/>
      <c r="K30044" s="18" t="s">
        <v>316</v>
      </c>
    </row>
    <row r="30045">
      <c r="A30045" s="17"/>
      <c r="H30045" s="18"/>
      <c r="K30045" s="18" t="s">
        <v>316</v>
      </c>
    </row>
    <row r="30046">
      <c r="A30046" s="17"/>
      <c r="H30046" s="18"/>
      <c r="K30046" s="18" t="s">
        <v>316</v>
      </c>
    </row>
    <row r="30047">
      <c r="A30047" s="17"/>
      <c r="H30047" s="18"/>
      <c r="K30047" s="18" t="s">
        <v>316</v>
      </c>
    </row>
    <row r="30048">
      <c r="A30048" s="17"/>
      <c r="H30048" s="18"/>
      <c r="K30048" s="18" t="s">
        <v>316</v>
      </c>
    </row>
    <row r="30049">
      <c r="A30049" s="17"/>
      <c r="H30049" s="18"/>
      <c r="K30049" s="18" t="s">
        <v>316</v>
      </c>
    </row>
    <row r="30050">
      <c r="A30050" s="17"/>
      <c r="H30050" s="18"/>
      <c r="K30050" s="18" t="s">
        <v>316</v>
      </c>
    </row>
    <row r="30051">
      <c r="A30051" s="17"/>
      <c r="H30051" s="18"/>
      <c r="K30051" s="18" t="s">
        <v>316</v>
      </c>
    </row>
    <row r="30052">
      <c r="A30052" s="17"/>
      <c r="H30052" s="18"/>
      <c r="K30052" s="18" t="s">
        <v>316</v>
      </c>
    </row>
    <row r="30053">
      <c r="A30053" s="17"/>
      <c r="H30053" s="18"/>
      <c r="K30053" s="18" t="s">
        <v>316</v>
      </c>
    </row>
    <row r="30054">
      <c r="A30054" s="17"/>
      <c r="H30054" s="18"/>
      <c r="K30054" s="18" t="s">
        <v>316</v>
      </c>
    </row>
    <row r="30055">
      <c r="A30055" s="17"/>
      <c r="H30055" s="18"/>
      <c r="K30055" s="18" t="s">
        <v>316</v>
      </c>
    </row>
    <row r="30056">
      <c r="A30056" s="17"/>
      <c r="H30056" s="18"/>
      <c r="K30056" s="18" t="s">
        <v>316</v>
      </c>
    </row>
    <row r="30057">
      <c r="A30057" s="17"/>
      <c r="H30057" s="18"/>
      <c r="K30057" s="18" t="s">
        <v>316</v>
      </c>
    </row>
    <row r="30058">
      <c r="A30058" s="17"/>
      <c r="H30058" s="18"/>
      <c r="K30058" s="18" t="s">
        <v>316</v>
      </c>
    </row>
    <row r="30059">
      <c r="A30059" s="17"/>
      <c r="H30059" s="18"/>
      <c r="K30059" s="18" t="s">
        <v>316</v>
      </c>
    </row>
    <row r="30060">
      <c r="A30060" s="17"/>
      <c r="H30060" s="18"/>
      <c r="K30060" s="18" t="s">
        <v>316</v>
      </c>
    </row>
    <row r="30061">
      <c r="A30061" s="17"/>
      <c r="H30061" s="18"/>
      <c r="K30061" s="18" t="s">
        <v>316</v>
      </c>
    </row>
    <row r="30062">
      <c r="A30062" s="17"/>
      <c r="H30062" s="18"/>
      <c r="K30062" s="18" t="s">
        <v>316</v>
      </c>
    </row>
    <row r="30063">
      <c r="A30063" s="17"/>
      <c r="H30063" s="18"/>
      <c r="K30063" s="18" t="s">
        <v>316</v>
      </c>
    </row>
    <row r="30064">
      <c r="A30064" s="17"/>
      <c r="H30064" s="18"/>
      <c r="K30064" s="18" t="s">
        <v>316</v>
      </c>
    </row>
    <row r="30065">
      <c r="A30065" s="17"/>
      <c r="H30065" s="18"/>
      <c r="K30065" s="18" t="s">
        <v>316</v>
      </c>
    </row>
    <row r="30066">
      <c r="A30066" s="17"/>
      <c r="H30066" s="18"/>
      <c r="K30066" s="18" t="s">
        <v>316</v>
      </c>
    </row>
    <row r="30067">
      <c r="A30067" s="17"/>
      <c r="H30067" s="18"/>
      <c r="K30067" s="18" t="s">
        <v>316</v>
      </c>
    </row>
    <row r="30068">
      <c r="A30068" s="17"/>
      <c r="H30068" s="18"/>
      <c r="K30068" s="18" t="s">
        <v>316</v>
      </c>
    </row>
    <row r="30069">
      <c r="A30069" s="17"/>
      <c r="H30069" s="18"/>
      <c r="K30069" s="18" t="s">
        <v>316</v>
      </c>
    </row>
    <row r="30070">
      <c r="A30070" s="17"/>
      <c r="H30070" s="18"/>
      <c r="K30070" s="18" t="s">
        <v>316</v>
      </c>
    </row>
    <row r="30071">
      <c r="A30071" s="17"/>
      <c r="H30071" s="18"/>
      <c r="K30071" s="18" t="s">
        <v>316</v>
      </c>
    </row>
    <row r="30072">
      <c r="A30072" s="17"/>
      <c r="H30072" s="18"/>
      <c r="K30072" s="18" t="s">
        <v>316</v>
      </c>
    </row>
    <row r="30073">
      <c r="A30073" s="17"/>
      <c r="H30073" s="18"/>
      <c r="K30073" s="18" t="s">
        <v>316</v>
      </c>
    </row>
    <row r="30074">
      <c r="A30074" s="17"/>
      <c r="H30074" s="18"/>
      <c r="K30074" s="18" t="s">
        <v>316</v>
      </c>
    </row>
    <row r="30075">
      <c r="A30075" s="17"/>
      <c r="H30075" s="18"/>
      <c r="K30075" s="18" t="s">
        <v>316</v>
      </c>
    </row>
    <row r="30076">
      <c r="A30076" s="17"/>
      <c r="H30076" s="18"/>
      <c r="K30076" s="18" t="s">
        <v>316</v>
      </c>
    </row>
    <row r="30077">
      <c r="A30077" s="17"/>
      <c r="H30077" s="18"/>
      <c r="K30077" s="18" t="s">
        <v>316</v>
      </c>
    </row>
    <row r="30078">
      <c r="A30078" s="17"/>
      <c r="H30078" s="18"/>
      <c r="K30078" s="18" t="s">
        <v>316</v>
      </c>
    </row>
    <row r="30079">
      <c r="A30079" s="17"/>
      <c r="H30079" s="18"/>
      <c r="K30079" s="18" t="s">
        <v>316</v>
      </c>
    </row>
    <row r="30080">
      <c r="A30080" s="17"/>
      <c r="H30080" s="18"/>
      <c r="K30080" s="18" t="s">
        <v>316</v>
      </c>
    </row>
    <row r="30081">
      <c r="A30081" s="17"/>
      <c r="H30081" s="18"/>
      <c r="K30081" s="18" t="s">
        <v>316</v>
      </c>
    </row>
    <row r="30082">
      <c r="A30082" s="17"/>
      <c r="H30082" s="18"/>
      <c r="K30082" s="18" t="s">
        <v>316</v>
      </c>
    </row>
    <row r="30083">
      <c r="A30083" s="17"/>
      <c r="H30083" s="18"/>
      <c r="K30083" s="18" t="s">
        <v>316</v>
      </c>
    </row>
    <row r="30084">
      <c r="A30084" s="17"/>
      <c r="H30084" s="18"/>
      <c r="K30084" s="18" t="s">
        <v>316</v>
      </c>
    </row>
    <row r="30085">
      <c r="A30085" s="17"/>
      <c r="H30085" s="18"/>
      <c r="K30085" s="18" t="s">
        <v>316</v>
      </c>
    </row>
    <row r="30086">
      <c r="A30086" s="17"/>
      <c r="H30086" s="18"/>
      <c r="K30086" s="18" t="s">
        <v>316</v>
      </c>
    </row>
    <row r="30087">
      <c r="A30087" s="17"/>
      <c r="H30087" s="18"/>
      <c r="K30087" s="18" t="s">
        <v>316</v>
      </c>
    </row>
    <row r="30088">
      <c r="A30088" s="17"/>
      <c r="H30088" s="18"/>
      <c r="K30088" s="18" t="s">
        <v>316</v>
      </c>
    </row>
    <row r="30089">
      <c r="A30089" s="17"/>
      <c r="H30089" s="18"/>
      <c r="K30089" s="18" t="s">
        <v>316</v>
      </c>
    </row>
    <row r="30090">
      <c r="A30090" s="17"/>
      <c r="H30090" s="18"/>
      <c r="K30090" s="18" t="s">
        <v>316</v>
      </c>
    </row>
    <row r="30091">
      <c r="A30091" s="17"/>
      <c r="H30091" s="18"/>
      <c r="K30091" s="18" t="s">
        <v>316</v>
      </c>
    </row>
    <row r="30092">
      <c r="A30092" s="17"/>
      <c r="H30092" s="18"/>
      <c r="K30092" s="18" t="s">
        <v>316</v>
      </c>
    </row>
    <row r="30093">
      <c r="A30093" s="17"/>
      <c r="H30093" s="18"/>
      <c r="K30093" s="18" t="s">
        <v>316</v>
      </c>
    </row>
    <row r="30094">
      <c r="A30094" s="17"/>
      <c r="H30094" s="18"/>
      <c r="K30094" s="18" t="s">
        <v>316</v>
      </c>
    </row>
    <row r="30095">
      <c r="A30095" s="17"/>
      <c r="H30095" s="18"/>
      <c r="K30095" s="18" t="s">
        <v>316</v>
      </c>
    </row>
    <row r="30096">
      <c r="A30096" s="17"/>
      <c r="H30096" s="18"/>
      <c r="K30096" s="18" t="s">
        <v>316</v>
      </c>
    </row>
    <row r="30097">
      <c r="A30097" s="17"/>
      <c r="H30097" s="18"/>
      <c r="K30097" s="18" t="s">
        <v>316</v>
      </c>
    </row>
    <row r="30098">
      <c r="A30098" s="17"/>
      <c r="H30098" s="18"/>
      <c r="K30098" s="18" t="s">
        <v>316</v>
      </c>
    </row>
    <row r="30099">
      <c r="A30099" s="17"/>
      <c r="H30099" s="18"/>
      <c r="K30099" s="18" t="s">
        <v>316</v>
      </c>
    </row>
    <row r="30100">
      <c r="A30100" s="17"/>
      <c r="H30100" s="18"/>
      <c r="K30100" s="18" t="s">
        <v>316</v>
      </c>
    </row>
    <row r="30101">
      <c r="A30101" s="17"/>
      <c r="H30101" s="18"/>
      <c r="K30101" s="18" t="s">
        <v>316</v>
      </c>
    </row>
    <row r="30102">
      <c r="A30102" s="17"/>
      <c r="H30102" s="18"/>
      <c r="K30102" s="18" t="s">
        <v>316</v>
      </c>
    </row>
    <row r="30103">
      <c r="A30103" s="17"/>
      <c r="H30103" s="18"/>
      <c r="K30103" s="18" t="s">
        <v>316</v>
      </c>
    </row>
    <row r="30104">
      <c r="A30104" s="17"/>
      <c r="H30104" s="18"/>
      <c r="K30104" s="18" t="s">
        <v>316</v>
      </c>
    </row>
    <row r="30105">
      <c r="A30105" s="17"/>
      <c r="H30105" s="18"/>
      <c r="K30105" s="18" t="s">
        <v>316</v>
      </c>
    </row>
    <row r="30106">
      <c r="A30106" s="17"/>
      <c r="H30106" s="18"/>
      <c r="K30106" s="18" t="s">
        <v>316</v>
      </c>
    </row>
    <row r="30107">
      <c r="A30107" s="17"/>
      <c r="H30107" s="18"/>
      <c r="K30107" s="18" t="s">
        <v>316</v>
      </c>
    </row>
    <row r="30108">
      <c r="A30108" s="17"/>
      <c r="H30108" s="18"/>
      <c r="K30108" s="18" t="s">
        <v>316</v>
      </c>
    </row>
    <row r="30109">
      <c r="A30109" s="17"/>
      <c r="H30109" s="18"/>
      <c r="K30109" s="18" t="s">
        <v>316</v>
      </c>
    </row>
    <row r="30110">
      <c r="A30110" s="17"/>
      <c r="H30110" s="18"/>
      <c r="K30110" s="18" t="s">
        <v>316</v>
      </c>
    </row>
    <row r="30111">
      <c r="A30111" s="17"/>
      <c r="H30111" s="18"/>
      <c r="K30111" s="18" t="s">
        <v>316</v>
      </c>
    </row>
    <row r="30112">
      <c r="A30112" s="17"/>
      <c r="H30112" s="18"/>
      <c r="K30112" s="18" t="s">
        <v>316</v>
      </c>
    </row>
    <row r="30113">
      <c r="A30113" s="17"/>
      <c r="H30113" s="18"/>
      <c r="K30113" s="18" t="s">
        <v>316</v>
      </c>
    </row>
    <row r="30114">
      <c r="A30114" s="17"/>
      <c r="H30114" s="18"/>
      <c r="K30114" s="18" t="s">
        <v>316</v>
      </c>
    </row>
    <row r="30115">
      <c r="A30115" s="17"/>
      <c r="H30115" s="18"/>
      <c r="K30115" s="18" t="s">
        <v>316</v>
      </c>
    </row>
    <row r="30116">
      <c r="A30116" s="17"/>
      <c r="H30116" s="18"/>
      <c r="K30116" s="18" t="s">
        <v>316</v>
      </c>
    </row>
    <row r="30117">
      <c r="A30117" s="17"/>
      <c r="H30117" s="18"/>
      <c r="K30117" s="18" t="s">
        <v>316</v>
      </c>
    </row>
    <row r="30118">
      <c r="A30118" s="17"/>
      <c r="H30118" s="18"/>
      <c r="K30118" s="18" t="s">
        <v>316</v>
      </c>
    </row>
    <row r="30119">
      <c r="A30119" s="17"/>
      <c r="H30119" s="18"/>
      <c r="K30119" s="18" t="s">
        <v>316</v>
      </c>
    </row>
    <row r="30120">
      <c r="A30120" s="17"/>
      <c r="H30120" s="18"/>
      <c r="K30120" s="18" t="s">
        <v>316</v>
      </c>
    </row>
    <row r="30121">
      <c r="A30121" s="17"/>
      <c r="H30121" s="18"/>
      <c r="K30121" s="18" t="s">
        <v>316</v>
      </c>
    </row>
    <row r="30122">
      <c r="A30122" s="17"/>
      <c r="H30122" s="18"/>
      <c r="K30122" s="18" t="s">
        <v>316</v>
      </c>
    </row>
    <row r="30123">
      <c r="A30123" s="17"/>
      <c r="H30123" s="18"/>
      <c r="K30123" s="18" t="s">
        <v>316</v>
      </c>
    </row>
    <row r="30124">
      <c r="A30124" s="17"/>
      <c r="H30124" s="18"/>
      <c r="K30124" s="18" t="s">
        <v>316</v>
      </c>
    </row>
    <row r="30125">
      <c r="A30125" s="17"/>
      <c r="H30125" s="18"/>
      <c r="K30125" s="18" t="s">
        <v>316</v>
      </c>
    </row>
    <row r="30126">
      <c r="A30126" s="17"/>
      <c r="H30126" s="18"/>
      <c r="K30126" s="18" t="s">
        <v>316</v>
      </c>
    </row>
    <row r="30127">
      <c r="A30127" s="17"/>
      <c r="H30127" s="18"/>
      <c r="K30127" s="18" t="s">
        <v>316</v>
      </c>
    </row>
    <row r="30128">
      <c r="A30128" s="17"/>
      <c r="H30128" s="18"/>
      <c r="K30128" s="18" t="s">
        <v>316</v>
      </c>
    </row>
    <row r="30129">
      <c r="A30129" s="17"/>
      <c r="H30129" s="18"/>
      <c r="K30129" s="18" t="s">
        <v>316</v>
      </c>
    </row>
    <row r="30130">
      <c r="A30130" s="17"/>
      <c r="H30130" s="18"/>
      <c r="K30130" s="18" t="s">
        <v>316</v>
      </c>
    </row>
    <row r="30131">
      <c r="A30131" s="17"/>
      <c r="H30131" s="18"/>
      <c r="K30131" s="18" t="s">
        <v>316</v>
      </c>
    </row>
    <row r="30132">
      <c r="A30132" s="17"/>
      <c r="H30132" s="18"/>
      <c r="K30132" s="18" t="s">
        <v>316</v>
      </c>
    </row>
    <row r="30133">
      <c r="A30133" s="17"/>
      <c r="H30133" s="18"/>
      <c r="K30133" s="18" t="s">
        <v>316</v>
      </c>
    </row>
    <row r="30134">
      <c r="A30134" s="17"/>
      <c r="H30134" s="18"/>
      <c r="K30134" s="18" t="s">
        <v>316</v>
      </c>
    </row>
    <row r="30135">
      <c r="A30135" s="17"/>
      <c r="H30135" s="18"/>
      <c r="K30135" s="18" t="s">
        <v>316</v>
      </c>
    </row>
    <row r="30136">
      <c r="A30136" s="17"/>
      <c r="H30136" s="18"/>
      <c r="K30136" s="18" t="s">
        <v>316</v>
      </c>
    </row>
    <row r="30137">
      <c r="A30137" s="17"/>
      <c r="H30137" s="18"/>
      <c r="K30137" s="18" t="s">
        <v>316</v>
      </c>
    </row>
    <row r="30138">
      <c r="A30138" s="17"/>
      <c r="H30138" s="18"/>
      <c r="K30138" s="18" t="s">
        <v>316</v>
      </c>
    </row>
    <row r="30139">
      <c r="A30139" s="17"/>
      <c r="H30139" s="18"/>
      <c r="K30139" s="18" t="s">
        <v>316</v>
      </c>
    </row>
    <row r="30140">
      <c r="A30140" s="17"/>
      <c r="H30140" s="18"/>
      <c r="K30140" s="18" t="s">
        <v>316</v>
      </c>
    </row>
    <row r="30141">
      <c r="A30141" s="17"/>
      <c r="H30141" s="18"/>
      <c r="K30141" s="18" t="s">
        <v>316</v>
      </c>
    </row>
    <row r="30142">
      <c r="A30142" s="17"/>
      <c r="H30142" s="18"/>
      <c r="K30142" s="18" t="s">
        <v>316</v>
      </c>
    </row>
    <row r="30143">
      <c r="A30143" s="17"/>
      <c r="H30143" s="18"/>
      <c r="K30143" s="18" t="s">
        <v>316</v>
      </c>
    </row>
    <row r="30144">
      <c r="A30144" s="17"/>
      <c r="H30144" s="18"/>
      <c r="K30144" s="18" t="s">
        <v>316</v>
      </c>
    </row>
    <row r="30145">
      <c r="A30145" s="17"/>
      <c r="H30145" s="18"/>
      <c r="K30145" s="18" t="s">
        <v>316</v>
      </c>
    </row>
    <row r="30146">
      <c r="A30146" s="17"/>
      <c r="H30146" s="18"/>
      <c r="K30146" s="18" t="s">
        <v>316</v>
      </c>
    </row>
    <row r="30147">
      <c r="A30147" s="17"/>
      <c r="H30147" s="18"/>
      <c r="K30147" s="18" t="s">
        <v>316</v>
      </c>
    </row>
    <row r="30148">
      <c r="A30148" s="17"/>
      <c r="H30148" s="18"/>
      <c r="K30148" s="18" t="s">
        <v>316</v>
      </c>
    </row>
    <row r="30149">
      <c r="A30149" s="17"/>
      <c r="H30149" s="18"/>
      <c r="K30149" s="18" t="s">
        <v>316</v>
      </c>
    </row>
    <row r="30150">
      <c r="A30150" s="17"/>
      <c r="H30150" s="18"/>
      <c r="K30150" s="18" t="s">
        <v>316</v>
      </c>
    </row>
    <row r="30151">
      <c r="A30151" s="17"/>
      <c r="H30151" s="18"/>
      <c r="K30151" s="18" t="s">
        <v>316</v>
      </c>
    </row>
    <row r="30152">
      <c r="A30152" s="17"/>
      <c r="H30152" s="18"/>
      <c r="K30152" s="18" t="s">
        <v>316</v>
      </c>
    </row>
    <row r="30153">
      <c r="A30153" s="17"/>
      <c r="H30153" s="18"/>
      <c r="K30153" s="18" t="s">
        <v>316</v>
      </c>
    </row>
    <row r="30154">
      <c r="A30154" s="17"/>
      <c r="H30154" s="18"/>
      <c r="K30154" s="18" t="s">
        <v>316</v>
      </c>
    </row>
    <row r="30155">
      <c r="A30155" s="17"/>
      <c r="H30155" s="18"/>
      <c r="K30155" s="18" t="s">
        <v>316</v>
      </c>
    </row>
    <row r="30156">
      <c r="A30156" s="17"/>
      <c r="H30156" s="18"/>
      <c r="K30156" s="18" t="s">
        <v>316</v>
      </c>
    </row>
    <row r="30157">
      <c r="A30157" s="17"/>
      <c r="H30157" s="18"/>
      <c r="K30157" s="18" t="s">
        <v>316</v>
      </c>
    </row>
    <row r="30158">
      <c r="A30158" s="17"/>
      <c r="H30158" s="18"/>
      <c r="K30158" s="18" t="s">
        <v>316</v>
      </c>
    </row>
    <row r="30159">
      <c r="A30159" s="17"/>
      <c r="H30159" s="18"/>
      <c r="K30159" s="18" t="s">
        <v>316</v>
      </c>
    </row>
    <row r="30160">
      <c r="A30160" s="17"/>
      <c r="H30160" s="18"/>
      <c r="K30160" s="18" t="s">
        <v>316</v>
      </c>
    </row>
    <row r="30161">
      <c r="A30161" s="17"/>
      <c r="H30161" s="18"/>
      <c r="K30161" s="18" t="s">
        <v>316</v>
      </c>
    </row>
    <row r="30162">
      <c r="A30162" s="17"/>
      <c r="H30162" s="18"/>
      <c r="K30162" s="18" t="s">
        <v>316</v>
      </c>
    </row>
    <row r="30163">
      <c r="A30163" s="17"/>
      <c r="H30163" s="18"/>
      <c r="K30163" s="18" t="s">
        <v>316</v>
      </c>
    </row>
    <row r="30164">
      <c r="A30164" s="17"/>
      <c r="H30164" s="18"/>
      <c r="K30164" s="18" t="s">
        <v>316</v>
      </c>
    </row>
    <row r="30165">
      <c r="A30165" s="17"/>
      <c r="H30165" s="18"/>
      <c r="K30165" s="18" t="s">
        <v>316</v>
      </c>
    </row>
    <row r="30166">
      <c r="A30166" s="17"/>
      <c r="H30166" s="18"/>
      <c r="K30166" s="18" t="s">
        <v>316</v>
      </c>
    </row>
    <row r="30167">
      <c r="A30167" s="17"/>
      <c r="H30167" s="18"/>
      <c r="K30167" s="18" t="s">
        <v>316</v>
      </c>
    </row>
    <row r="30168">
      <c r="A30168" s="17"/>
      <c r="H30168" s="18"/>
      <c r="K30168" s="18" t="s">
        <v>316</v>
      </c>
    </row>
    <row r="30169">
      <c r="A30169" s="17"/>
      <c r="H30169" s="18"/>
      <c r="K30169" s="18" t="s">
        <v>316</v>
      </c>
    </row>
    <row r="30170">
      <c r="A30170" s="17"/>
      <c r="H30170" s="18"/>
      <c r="K30170" s="18" t="s">
        <v>316</v>
      </c>
    </row>
    <row r="30171">
      <c r="A30171" s="17"/>
      <c r="H30171" s="18"/>
      <c r="K30171" s="18" t="s">
        <v>316</v>
      </c>
    </row>
    <row r="30172">
      <c r="A30172" s="17"/>
      <c r="H30172" s="18"/>
      <c r="K30172" s="18" t="s">
        <v>316</v>
      </c>
    </row>
    <row r="30173">
      <c r="A30173" s="17"/>
      <c r="H30173" s="18"/>
      <c r="K30173" s="18" t="s">
        <v>316</v>
      </c>
    </row>
    <row r="30174">
      <c r="A30174" s="17"/>
      <c r="H30174" s="18"/>
      <c r="K30174" s="18" t="s">
        <v>316</v>
      </c>
    </row>
    <row r="30175">
      <c r="A30175" s="17"/>
      <c r="H30175" s="18"/>
      <c r="K30175" s="18" t="s">
        <v>316</v>
      </c>
    </row>
    <row r="30176">
      <c r="A30176" s="17"/>
      <c r="H30176" s="18"/>
      <c r="K30176" s="18" t="s">
        <v>316</v>
      </c>
    </row>
    <row r="30177">
      <c r="A30177" s="17"/>
      <c r="H30177" s="18"/>
      <c r="K30177" s="18" t="s">
        <v>316</v>
      </c>
    </row>
    <row r="30178">
      <c r="A30178" s="17"/>
      <c r="H30178" s="18"/>
      <c r="K30178" s="18" t="s">
        <v>316</v>
      </c>
    </row>
    <row r="30179">
      <c r="A30179" s="17"/>
      <c r="H30179" s="18"/>
      <c r="K30179" s="18" t="s">
        <v>316</v>
      </c>
    </row>
    <row r="30180">
      <c r="A30180" s="17"/>
      <c r="H30180" s="18"/>
      <c r="K30180" s="18" t="s">
        <v>316</v>
      </c>
    </row>
    <row r="30181">
      <c r="A30181" s="17"/>
      <c r="H30181" s="18"/>
      <c r="K30181" s="18" t="s">
        <v>316</v>
      </c>
    </row>
    <row r="30182">
      <c r="A30182" s="17"/>
      <c r="H30182" s="18"/>
      <c r="K30182" s="18" t="s">
        <v>316</v>
      </c>
    </row>
    <row r="30183">
      <c r="A30183" s="17"/>
      <c r="H30183" s="18"/>
      <c r="K30183" s="18" t="s">
        <v>316</v>
      </c>
    </row>
    <row r="30184">
      <c r="A30184" s="17"/>
      <c r="H30184" s="18"/>
      <c r="K30184" s="18" t="s">
        <v>316</v>
      </c>
    </row>
    <row r="30185">
      <c r="A30185" s="17"/>
      <c r="H30185" s="18"/>
      <c r="K30185" s="18" t="s">
        <v>316</v>
      </c>
    </row>
    <row r="30186">
      <c r="A30186" s="17"/>
      <c r="H30186" s="18"/>
      <c r="K30186" s="18" t="s">
        <v>316</v>
      </c>
    </row>
    <row r="30187">
      <c r="A30187" s="17"/>
      <c r="H30187" s="18"/>
      <c r="K30187" s="18" t="s">
        <v>316</v>
      </c>
    </row>
    <row r="30188">
      <c r="A30188" s="17"/>
      <c r="H30188" s="18"/>
      <c r="K30188" s="18" t="s">
        <v>316</v>
      </c>
    </row>
    <row r="30189">
      <c r="A30189" s="17"/>
      <c r="H30189" s="18"/>
      <c r="K30189" s="18" t="s">
        <v>316</v>
      </c>
    </row>
    <row r="30190">
      <c r="A30190" s="17"/>
      <c r="H30190" s="18"/>
      <c r="K30190" s="18" t="s">
        <v>316</v>
      </c>
    </row>
    <row r="30191">
      <c r="A30191" s="17"/>
      <c r="H30191" s="18"/>
      <c r="K30191" s="18" t="s">
        <v>316</v>
      </c>
    </row>
    <row r="30192">
      <c r="A30192" s="17"/>
      <c r="H30192" s="18"/>
      <c r="K30192" s="18" t="s">
        <v>316</v>
      </c>
    </row>
    <row r="30193">
      <c r="A30193" s="17"/>
      <c r="H30193" s="18"/>
      <c r="K30193" s="18" t="s">
        <v>316</v>
      </c>
    </row>
    <row r="30194">
      <c r="A30194" s="17"/>
      <c r="H30194" s="18"/>
      <c r="K30194" s="18" t="s">
        <v>316</v>
      </c>
    </row>
    <row r="30195">
      <c r="A30195" s="17"/>
      <c r="H30195" s="18"/>
      <c r="K30195" s="18" t="s">
        <v>316</v>
      </c>
    </row>
    <row r="30196">
      <c r="A30196" s="17"/>
      <c r="H30196" s="18"/>
      <c r="K30196" s="18" t="s">
        <v>316</v>
      </c>
    </row>
    <row r="30197">
      <c r="A30197" s="17"/>
      <c r="H30197" s="18"/>
      <c r="K30197" s="18" t="s">
        <v>316</v>
      </c>
    </row>
    <row r="30198">
      <c r="A30198" s="17"/>
      <c r="H30198" s="18"/>
      <c r="K30198" s="18" t="s">
        <v>316</v>
      </c>
    </row>
    <row r="30199">
      <c r="A30199" s="17"/>
      <c r="H30199" s="18"/>
      <c r="K30199" s="18" t="s">
        <v>316</v>
      </c>
    </row>
    <row r="30200">
      <c r="A30200" s="17"/>
      <c r="H30200" s="18"/>
      <c r="K30200" s="18" t="s">
        <v>316</v>
      </c>
    </row>
    <row r="30201">
      <c r="A30201" s="17"/>
      <c r="H30201" s="18"/>
      <c r="K30201" s="18" t="s">
        <v>316</v>
      </c>
    </row>
    <row r="30202">
      <c r="A30202" s="17"/>
      <c r="H30202" s="18"/>
      <c r="K30202" s="18" t="s">
        <v>316</v>
      </c>
    </row>
    <row r="30203">
      <c r="A30203" s="17"/>
      <c r="H30203" s="18"/>
      <c r="K30203" s="18" t="s">
        <v>316</v>
      </c>
    </row>
    <row r="30204">
      <c r="A30204" s="17"/>
      <c r="H30204" s="18"/>
      <c r="K30204" s="18" t="s">
        <v>316</v>
      </c>
    </row>
    <row r="30205">
      <c r="A30205" s="17"/>
      <c r="H30205" s="18"/>
      <c r="K30205" s="18" t="s">
        <v>316</v>
      </c>
    </row>
    <row r="30206">
      <c r="A30206" s="17"/>
      <c r="H30206" s="18"/>
      <c r="K30206" s="18" t="s">
        <v>316</v>
      </c>
    </row>
    <row r="30207">
      <c r="A30207" s="17"/>
      <c r="H30207" s="18"/>
      <c r="K30207" s="18" t="s">
        <v>316</v>
      </c>
    </row>
    <row r="30208">
      <c r="A30208" s="17"/>
      <c r="H30208" s="18"/>
      <c r="K30208" s="18" t="s">
        <v>316</v>
      </c>
    </row>
    <row r="30209">
      <c r="A30209" s="17"/>
      <c r="H30209" s="18"/>
      <c r="K30209" s="18" t="s">
        <v>316</v>
      </c>
    </row>
    <row r="30210">
      <c r="A30210" s="17"/>
      <c r="H30210" s="18"/>
      <c r="K30210" s="18" t="s">
        <v>316</v>
      </c>
    </row>
    <row r="30211">
      <c r="A30211" s="17"/>
      <c r="H30211" s="18"/>
      <c r="K30211" s="18" t="s">
        <v>316</v>
      </c>
    </row>
    <row r="30212">
      <c r="A30212" s="17"/>
      <c r="H30212" s="18"/>
      <c r="K30212" s="18" t="s">
        <v>316</v>
      </c>
    </row>
    <row r="30213">
      <c r="A30213" s="17"/>
      <c r="H30213" s="18"/>
      <c r="K30213" s="18" t="s">
        <v>316</v>
      </c>
    </row>
    <row r="30214">
      <c r="A30214" s="17"/>
      <c r="H30214" s="18"/>
      <c r="K30214" s="18" t="s">
        <v>316</v>
      </c>
    </row>
    <row r="30215">
      <c r="A30215" s="17"/>
      <c r="H30215" s="18"/>
      <c r="K30215" s="18" t="s">
        <v>316</v>
      </c>
    </row>
    <row r="30216">
      <c r="A30216" s="17"/>
      <c r="H30216" s="18"/>
      <c r="K30216" s="18" t="s">
        <v>316</v>
      </c>
    </row>
    <row r="30217">
      <c r="A30217" s="17"/>
      <c r="H30217" s="18"/>
      <c r="K30217" s="18" t="s">
        <v>316</v>
      </c>
    </row>
    <row r="30218">
      <c r="A30218" s="17"/>
      <c r="H30218" s="18"/>
      <c r="K30218" s="18" t="s">
        <v>316</v>
      </c>
    </row>
    <row r="30219">
      <c r="A30219" s="17"/>
      <c r="H30219" s="18"/>
      <c r="K30219" s="18" t="s">
        <v>316</v>
      </c>
    </row>
    <row r="30220">
      <c r="A30220" s="17"/>
      <c r="H30220" s="18"/>
      <c r="K30220" s="18" t="s">
        <v>316</v>
      </c>
    </row>
    <row r="30221">
      <c r="A30221" s="17"/>
      <c r="H30221" s="18"/>
      <c r="K30221" s="18" t="s">
        <v>316</v>
      </c>
    </row>
    <row r="30222">
      <c r="A30222" s="17"/>
      <c r="H30222" s="18"/>
      <c r="K30222" s="18" t="s">
        <v>316</v>
      </c>
    </row>
    <row r="30223">
      <c r="A30223" s="17"/>
      <c r="H30223" s="18"/>
      <c r="K30223" s="18" t="s">
        <v>316</v>
      </c>
    </row>
    <row r="30224">
      <c r="A30224" s="17"/>
      <c r="H30224" s="18"/>
      <c r="K30224" s="18" t="s">
        <v>316</v>
      </c>
    </row>
    <row r="30225">
      <c r="A30225" s="17"/>
      <c r="H30225" s="18"/>
      <c r="K30225" s="18" t="s">
        <v>316</v>
      </c>
    </row>
    <row r="30226">
      <c r="A30226" s="17"/>
      <c r="H30226" s="18"/>
      <c r="K30226" s="18" t="s">
        <v>316</v>
      </c>
    </row>
    <row r="30227">
      <c r="A30227" s="17"/>
      <c r="H30227" s="18"/>
      <c r="K30227" s="18" t="s">
        <v>316</v>
      </c>
    </row>
    <row r="30228">
      <c r="A30228" s="17"/>
      <c r="H30228" s="18"/>
      <c r="K30228" s="18" t="s">
        <v>316</v>
      </c>
    </row>
    <row r="30229">
      <c r="A30229" s="17"/>
      <c r="H30229" s="18"/>
      <c r="K30229" s="18" t="s">
        <v>316</v>
      </c>
    </row>
    <row r="30230">
      <c r="A30230" s="17"/>
      <c r="H30230" s="18"/>
      <c r="K30230" s="18" t="s">
        <v>316</v>
      </c>
    </row>
    <row r="30231">
      <c r="A30231" s="17"/>
      <c r="H30231" s="18"/>
      <c r="K30231" s="18" t="s">
        <v>316</v>
      </c>
    </row>
    <row r="30232">
      <c r="A30232" s="17"/>
      <c r="H30232" s="18"/>
      <c r="K30232" s="18" t="s">
        <v>316</v>
      </c>
    </row>
    <row r="30233">
      <c r="A30233" s="17"/>
      <c r="H30233" s="18"/>
      <c r="K30233" s="18" t="s">
        <v>316</v>
      </c>
    </row>
    <row r="30234">
      <c r="A30234" s="17"/>
      <c r="H30234" s="18"/>
      <c r="K30234" s="18" t="s">
        <v>316</v>
      </c>
    </row>
    <row r="30235">
      <c r="A30235" s="17"/>
      <c r="H30235" s="18"/>
      <c r="K30235" s="18" t="s">
        <v>316</v>
      </c>
    </row>
    <row r="30236">
      <c r="A30236" s="17"/>
      <c r="H30236" s="18"/>
      <c r="K30236" s="18" t="s">
        <v>316</v>
      </c>
    </row>
    <row r="30237">
      <c r="A30237" s="17"/>
      <c r="H30237" s="18"/>
      <c r="K30237" s="18" t="s">
        <v>316</v>
      </c>
    </row>
    <row r="30238">
      <c r="A30238" s="17"/>
      <c r="H30238" s="18"/>
      <c r="K30238" s="18" t="s">
        <v>316</v>
      </c>
    </row>
    <row r="30239">
      <c r="A30239" s="17"/>
      <c r="H30239" s="18"/>
      <c r="K30239" s="18" t="s">
        <v>316</v>
      </c>
    </row>
    <row r="30240">
      <c r="A30240" s="17"/>
      <c r="H30240" s="18"/>
      <c r="K30240" s="18" t="s">
        <v>316</v>
      </c>
    </row>
    <row r="30241">
      <c r="A30241" s="17"/>
      <c r="H30241" s="18"/>
      <c r="K30241" s="18" t="s">
        <v>316</v>
      </c>
    </row>
    <row r="30242">
      <c r="A30242" s="17"/>
      <c r="H30242" s="18"/>
      <c r="K30242" s="18" t="s">
        <v>316</v>
      </c>
    </row>
    <row r="30243">
      <c r="A30243" s="17"/>
      <c r="H30243" s="18"/>
      <c r="K30243" s="18" t="s">
        <v>316</v>
      </c>
    </row>
    <row r="30244">
      <c r="A30244" s="17"/>
      <c r="H30244" s="18"/>
      <c r="K30244" s="18" t="s">
        <v>316</v>
      </c>
    </row>
    <row r="30245">
      <c r="A30245" s="17"/>
      <c r="H30245" s="18"/>
      <c r="K30245" s="18" t="s">
        <v>316</v>
      </c>
    </row>
    <row r="30246">
      <c r="A30246" s="17"/>
      <c r="H30246" s="18"/>
      <c r="K30246" s="18" t="s">
        <v>316</v>
      </c>
    </row>
    <row r="30247">
      <c r="A30247" s="17"/>
      <c r="H30247" s="18"/>
      <c r="K30247" s="18" t="s">
        <v>316</v>
      </c>
    </row>
    <row r="30248">
      <c r="A30248" s="17"/>
      <c r="H30248" s="18"/>
      <c r="K30248" s="18" t="s">
        <v>316</v>
      </c>
    </row>
    <row r="30249">
      <c r="A30249" s="17"/>
      <c r="H30249" s="18"/>
      <c r="K30249" s="18" t="s">
        <v>316</v>
      </c>
    </row>
    <row r="30250">
      <c r="A30250" s="17"/>
      <c r="H30250" s="18"/>
      <c r="K30250" s="18" t="s">
        <v>316</v>
      </c>
    </row>
    <row r="30251">
      <c r="A30251" s="17"/>
      <c r="H30251" s="18"/>
      <c r="K30251" s="18" t="s">
        <v>316</v>
      </c>
    </row>
    <row r="30252">
      <c r="A30252" s="17"/>
      <c r="H30252" s="18"/>
      <c r="K30252" s="18" t="s">
        <v>316</v>
      </c>
    </row>
    <row r="30253">
      <c r="A30253" s="17"/>
      <c r="H30253" s="18"/>
      <c r="K30253" s="18" t="s">
        <v>316</v>
      </c>
    </row>
    <row r="30254">
      <c r="A30254" s="17"/>
      <c r="H30254" s="18"/>
      <c r="K30254" s="18" t="s">
        <v>316</v>
      </c>
    </row>
    <row r="30255">
      <c r="A30255" s="17"/>
      <c r="H30255" s="18"/>
      <c r="K30255" s="18" t="s">
        <v>316</v>
      </c>
    </row>
    <row r="30256">
      <c r="A30256" s="17"/>
      <c r="H30256" s="18"/>
      <c r="K30256" s="18" t="s">
        <v>316</v>
      </c>
    </row>
    <row r="30257">
      <c r="A30257" s="17"/>
      <c r="H30257" s="18"/>
      <c r="K30257" s="18" t="s">
        <v>316</v>
      </c>
    </row>
    <row r="30258">
      <c r="A30258" s="17"/>
      <c r="H30258" s="18"/>
      <c r="K30258" s="18" t="s">
        <v>316</v>
      </c>
    </row>
    <row r="30259">
      <c r="A30259" s="17"/>
      <c r="H30259" s="18"/>
      <c r="K30259" s="18" t="s">
        <v>316</v>
      </c>
    </row>
    <row r="30260">
      <c r="A30260" s="17"/>
      <c r="H30260" s="18"/>
      <c r="K30260" s="18" t="s">
        <v>316</v>
      </c>
    </row>
    <row r="30261">
      <c r="A30261" s="17"/>
      <c r="H30261" s="18"/>
      <c r="K30261" s="18" t="s">
        <v>316</v>
      </c>
    </row>
    <row r="30262">
      <c r="A30262" s="17"/>
      <c r="H30262" s="18"/>
      <c r="K30262" s="18" t="s">
        <v>316</v>
      </c>
    </row>
    <row r="30263">
      <c r="A30263" s="17"/>
      <c r="H30263" s="18"/>
      <c r="K30263" s="18" t="s">
        <v>316</v>
      </c>
    </row>
    <row r="30264">
      <c r="A30264" s="17"/>
      <c r="H30264" s="18"/>
      <c r="K30264" s="18" t="s">
        <v>316</v>
      </c>
    </row>
    <row r="30265">
      <c r="A30265" s="17"/>
      <c r="H30265" s="18"/>
      <c r="K30265" s="18" t="s">
        <v>316</v>
      </c>
    </row>
    <row r="30266">
      <c r="A30266" s="17"/>
      <c r="H30266" s="18"/>
      <c r="K30266" s="18" t="s">
        <v>316</v>
      </c>
    </row>
    <row r="30267">
      <c r="A30267" s="17"/>
      <c r="H30267" s="18"/>
      <c r="K30267" s="18" t="s">
        <v>316</v>
      </c>
    </row>
    <row r="30268">
      <c r="A30268" s="17"/>
      <c r="H30268" s="18"/>
      <c r="K30268" s="18" t="s">
        <v>316</v>
      </c>
    </row>
    <row r="30269">
      <c r="A30269" s="17"/>
      <c r="H30269" s="18"/>
      <c r="K30269" s="18" t="s">
        <v>316</v>
      </c>
    </row>
    <row r="30270">
      <c r="A30270" s="17"/>
      <c r="H30270" s="18"/>
      <c r="K30270" s="18" t="s">
        <v>316</v>
      </c>
    </row>
    <row r="30271">
      <c r="A30271" s="17"/>
      <c r="H30271" s="18"/>
      <c r="K30271" s="18" t="s">
        <v>316</v>
      </c>
    </row>
    <row r="30272">
      <c r="A30272" s="17"/>
      <c r="H30272" s="18"/>
      <c r="K30272" s="18" t="s">
        <v>316</v>
      </c>
    </row>
    <row r="30273">
      <c r="A30273" s="17"/>
      <c r="H30273" s="18"/>
      <c r="K30273" s="18" t="s">
        <v>316</v>
      </c>
    </row>
    <row r="30274">
      <c r="A30274" s="17"/>
      <c r="H30274" s="18"/>
      <c r="K30274" s="18" t="s">
        <v>316</v>
      </c>
    </row>
    <row r="30275">
      <c r="A30275" s="17"/>
      <c r="H30275" s="18"/>
      <c r="K30275" s="18" t="s">
        <v>316</v>
      </c>
    </row>
    <row r="30276">
      <c r="A30276" s="17"/>
      <c r="H30276" s="18"/>
      <c r="K30276" s="18" t="s">
        <v>316</v>
      </c>
    </row>
    <row r="30277">
      <c r="A30277" s="17"/>
      <c r="H30277" s="18"/>
      <c r="K30277" s="18" t="s">
        <v>316</v>
      </c>
    </row>
    <row r="30278">
      <c r="A30278" s="17"/>
      <c r="H30278" s="18"/>
      <c r="K30278" s="18" t="s">
        <v>316</v>
      </c>
    </row>
    <row r="30279">
      <c r="A30279" s="17"/>
      <c r="H30279" s="18"/>
      <c r="K30279" s="18" t="s">
        <v>316</v>
      </c>
    </row>
    <row r="30280">
      <c r="A30280" s="17"/>
      <c r="H30280" s="18"/>
      <c r="K30280" s="18" t="s">
        <v>316</v>
      </c>
    </row>
    <row r="30281">
      <c r="A30281" s="17"/>
      <c r="H30281" s="18"/>
      <c r="K30281" s="18" t="s">
        <v>316</v>
      </c>
    </row>
    <row r="30282">
      <c r="A30282" s="17"/>
      <c r="H30282" s="18"/>
      <c r="K30282" s="18" t="s">
        <v>316</v>
      </c>
    </row>
    <row r="30283">
      <c r="A30283" s="17"/>
      <c r="H30283" s="18"/>
      <c r="K30283" s="18" t="s">
        <v>316</v>
      </c>
    </row>
    <row r="30284">
      <c r="A30284" s="17"/>
      <c r="H30284" s="18"/>
      <c r="K30284" s="18" t="s">
        <v>316</v>
      </c>
    </row>
    <row r="30285">
      <c r="A30285" s="17"/>
      <c r="H30285" s="18"/>
      <c r="K30285" s="18" t="s">
        <v>316</v>
      </c>
    </row>
    <row r="30286">
      <c r="A30286" s="17"/>
      <c r="H30286" s="18"/>
      <c r="K30286" s="18" t="s">
        <v>316</v>
      </c>
    </row>
    <row r="30287">
      <c r="A30287" s="17"/>
      <c r="H30287" s="18"/>
      <c r="K30287" s="18" t="s">
        <v>316</v>
      </c>
    </row>
    <row r="30288">
      <c r="A30288" s="17"/>
      <c r="H30288" s="18"/>
      <c r="K30288" s="18" t="s">
        <v>316</v>
      </c>
    </row>
    <row r="30289">
      <c r="A30289" s="17"/>
      <c r="H30289" s="18"/>
      <c r="K30289" s="18" t="s">
        <v>316</v>
      </c>
    </row>
    <row r="30290">
      <c r="A30290" s="17"/>
      <c r="H30290" s="18"/>
      <c r="K30290" s="18" t="s">
        <v>316</v>
      </c>
    </row>
    <row r="30291">
      <c r="A30291" s="17"/>
      <c r="H30291" s="18"/>
      <c r="K30291" s="18" t="s">
        <v>316</v>
      </c>
    </row>
    <row r="30292">
      <c r="A30292" s="17"/>
      <c r="H30292" s="18"/>
      <c r="K30292" s="18" t="s">
        <v>316</v>
      </c>
    </row>
    <row r="30293">
      <c r="A30293" s="17"/>
      <c r="H30293" s="18"/>
      <c r="K30293" s="18" t="s">
        <v>316</v>
      </c>
    </row>
    <row r="30294">
      <c r="A30294" s="17"/>
      <c r="H30294" s="18"/>
      <c r="K30294" s="18" t="s">
        <v>316</v>
      </c>
    </row>
    <row r="30295">
      <c r="A30295" s="17"/>
      <c r="H30295" s="18"/>
      <c r="K30295" s="18" t="s">
        <v>316</v>
      </c>
    </row>
    <row r="30296">
      <c r="A30296" s="17"/>
      <c r="H30296" s="18"/>
      <c r="K30296" s="18" t="s">
        <v>316</v>
      </c>
    </row>
    <row r="30297">
      <c r="A30297" s="17"/>
      <c r="H30297" s="18"/>
      <c r="K30297" s="18" t="s">
        <v>316</v>
      </c>
    </row>
    <row r="30298">
      <c r="A30298" s="17"/>
      <c r="H30298" s="18"/>
      <c r="K30298" s="18" t="s">
        <v>316</v>
      </c>
    </row>
    <row r="30299">
      <c r="A30299" s="17"/>
      <c r="H30299" s="18"/>
      <c r="K30299" s="18" t="s">
        <v>316</v>
      </c>
    </row>
    <row r="30300">
      <c r="A30300" s="17"/>
      <c r="H30300" s="18"/>
      <c r="K30300" s="18" t="s">
        <v>316</v>
      </c>
    </row>
    <row r="30301">
      <c r="A30301" s="17"/>
      <c r="H30301" s="18"/>
      <c r="K30301" s="18" t="s">
        <v>316</v>
      </c>
    </row>
    <row r="30302">
      <c r="A30302" s="17"/>
      <c r="H30302" s="18"/>
      <c r="K30302" s="18" t="s">
        <v>316</v>
      </c>
    </row>
    <row r="30303">
      <c r="A30303" s="17"/>
      <c r="H30303" s="18"/>
      <c r="K30303" s="18" t="s">
        <v>316</v>
      </c>
    </row>
    <row r="30304">
      <c r="A30304" s="17"/>
      <c r="H30304" s="18"/>
      <c r="K30304" s="18" t="s">
        <v>316</v>
      </c>
    </row>
    <row r="30305">
      <c r="A30305" s="17"/>
      <c r="H30305" s="18"/>
      <c r="K30305" s="18" t="s">
        <v>316</v>
      </c>
    </row>
    <row r="30306">
      <c r="A30306" s="17"/>
      <c r="H30306" s="18"/>
      <c r="K30306" s="18" t="s">
        <v>316</v>
      </c>
    </row>
    <row r="30307">
      <c r="A30307" s="17"/>
      <c r="H30307" s="18"/>
      <c r="K30307" s="18" t="s">
        <v>316</v>
      </c>
    </row>
    <row r="30308">
      <c r="A30308" s="17"/>
      <c r="H30308" s="18"/>
      <c r="K30308" s="18" t="s">
        <v>316</v>
      </c>
    </row>
    <row r="30309">
      <c r="A30309" s="17"/>
      <c r="H30309" s="18"/>
      <c r="K30309" s="18" t="s">
        <v>316</v>
      </c>
    </row>
    <row r="30310">
      <c r="A30310" s="17"/>
      <c r="H30310" s="18"/>
      <c r="K30310" s="18" t="s">
        <v>316</v>
      </c>
    </row>
    <row r="30311">
      <c r="A30311" s="17"/>
      <c r="H30311" s="18"/>
      <c r="K30311" s="18" t="s">
        <v>316</v>
      </c>
    </row>
    <row r="30312">
      <c r="A30312" s="17"/>
      <c r="H30312" s="18"/>
      <c r="K30312" s="18" t="s">
        <v>316</v>
      </c>
    </row>
    <row r="30313">
      <c r="A30313" s="17"/>
      <c r="H30313" s="18"/>
      <c r="K30313" s="18" t="s">
        <v>316</v>
      </c>
    </row>
    <row r="30314">
      <c r="A30314" s="17"/>
      <c r="H30314" s="18"/>
      <c r="K30314" s="18" t="s">
        <v>316</v>
      </c>
    </row>
    <row r="30315">
      <c r="A30315" s="17"/>
      <c r="H30315" s="18"/>
      <c r="K30315" s="18" t="s">
        <v>316</v>
      </c>
    </row>
    <row r="30316">
      <c r="A30316" s="17"/>
      <c r="H30316" s="18"/>
      <c r="K30316" s="18" t="s">
        <v>316</v>
      </c>
    </row>
    <row r="30317">
      <c r="A30317" s="17"/>
      <c r="H30317" s="18"/>
      <c r="K30317" s="18" t="s">
        <v>316</v>
      </c>
    </row>
    <row r="30318">
      <c r="A30318" s="17"/>
      <c r="H30318" s="18"/>
      <c r="K30318" s="18" t="s">
        <v>316</v>
      </c>
    </row>
    <row r="30319">
      <c r="A30319" s="17"/>
      <c r="H30319" s="18"/>
      <c r="K30319" s="18" t="s">
        <v>316</v>
      </c>
    </row>
    <row r="30320">
      <c r="A30320" s="17"/>
      <c r="H30320" s="18"/>
      <c r="K30320" s="18" t="s">
        <v>316</v>
      </c>
    </row>
    <row r="30321">
      <c r="A30321" s="17"/>
      <c r="H30321" s="18"/>
      <c r="K30321" s="18" t="s">
        <v>316</v>
      </c>
    </row>
    <row r="30322">
      <c r="A30322" s="17"/>
      <c r="H30322" s="18"/>
      <c r="K30322" s="18" t="s">
        <v>316</v>
      </c>
    </row>
    <row r="30323">
      <c r="A30323" s="17"/>
      <c r="H30323" s="18"/>
      <c r="K30323" s="18" t="s">
        <v>316</v>
      </c>
    </row>
    <row r="30324">
      <c r="A30324" s="17"/>
      <c r="H30324" s="18"/>
      <c r="K30324" s="18" t="s">
        <v>316</v>
      </c>
    </row>
    <row r="30325">
      <c r="A30325" s="17"/>
      <c r="H30325" s="18"/>
      <c r="K30325" s="18" t="s">
        <v>316</v>
      </c>
    </row>
    <row r="30326">
      <c r="A30326" s="17"/>
      <c r="H30326" s="18"/>
      <c r="K30326" s="18" t="s">
        <v>316</v>
      </c>
    </row>
    <row r="30327">
      <c r="A30327" s="17"/>
      <c r="H30327" s="18"/>
      <c r="K30327" s="18" t="s">
        <v>316</v>
      </c>
    </row>
    <row r="30328">
      <c r="A30328" s="17"/>
      <c r="H30328" s="18"/>
      <c r="K30328" s="18" t="s">
        <v>316</v>
      </c>
    </row>
    <row r="30329">
      <c r="A30329" s="17"/>
      <c r="H30329" s="18"/>
      <c r="K30329" s="18" t="s">
        <v>316</v>
      </c>
    </row>
    <row r="30330">
      <c r="A30330" s="17"/>
      <c r="H30330" s="18"/>
      <c r="K30330" s="18" t="s">
        <v>316</v>
      </c>
    </row>
    <row r="30331">
      <c r="A30331" s="17"/>
      <c r="H30331" s="18"/>
      <c r="K30331" s="18" t="s">
        <v>316</v>
      </c>
    </row>
    <row r="30332">
      <c r="A30332" s="17"/>
      <c r="H30332" s="18"/>
      <c r="K30332" s="18" t="s">
        <v>316</v>
      </c>
    </row>
    <row r="30333">
      <c r="A30333" s="17"/>
      <c r="H30333" s="18"/>
      <c r="K30333" s="18" t="s">
        <v>316</v>
      </c>
    </row>
    <row r="30334">
      <c r="A30334" s="17"/>
      <c r="H30334" s="18"/>
      <c r="K30334" s="18" t="s">
        <v>316</v>
      </c>
    </row>
    <row r="30335">
      <c r="A30335" s="17"/>
      <c r="H30335" s="18"/>
      <c r="K30335" s="18" t="s">
        <v>316</v>
      </c>
    </row>
    <row r="30336">
      <c r="A30336" s="17"/>
      <c r="H30336" s="18"/>
      <c r="K30336" s="18" t="s">
        <v>316</v>
      </c>
    </row>
    <row r="30337">
      <c r="A30337" s="17"/>
      <c r="H30337" s="18"/>
      <c r="K30337" s="18" t="s">
        <v>316</v>
      </c>
    </row>
    <row r="30338">
      <c r="A30338" s="17"/>
      <c r="H30338" s="18"/>
      <c r="K30338" s="18" t="s">
        <v>316</v>
      </c>
    </row>
    <row r="30339">
      <c r="A30339" s="17"/>
      <c r="H30339" s="18"/>
      <c r="K30339" s="18" t="s">
        <v>316</v>
      </c>
    </row>
    <row r="30340">
      <c r="A30340" s="17"/>
      <c r="H30340" s="18"/>
      <c r="K30340" s="18" t="s">
        <v>316</v>
      </c>
    </row>
    <row r="30341">
      <c r="A30341" s="17"/>
      <c r="H30341" s="18"/>
      <c r="K30341" s="18" t="s">
        <v>316</v>
      </c>
    </row>
    <row r="30342">
      <c r="A30342" s="17"/>
      <c r="H30342" s="18"/>
      <c r="K30342" s="18" t="s">
        <v>316</v>
      </c>
    </row>
    <row r="30343">
      <c r="A30343" s="17"/>
      <c r="H30343" s="18"/>
      <c r="K30343" s="18" t="s">
        <v>316</v>
      </c>
    </row>
    <row r="30344">
      <c r="A30344" s="17"/>
      <c r="H30344" s="18"/>
      <c r="K30344" s="18" t="s">
        <v>316</v>
      </c>
    </row>
    <row r="30345">
      <c r="A30345" s="17"/>
      <c r="H30345" s="18"/>
      <c r="K30345" s="18" t="s">
        <v>316</v>
      </c>
    </row>
    <row r="30346">
      <c r="A30346" s="17"/>
      <c r="H30346" s="18"/>
      <c r="K30346" s="18" t="s">
        <v>316</v>
      </c>
    </row>
    <row r="30347">
      <c r="A30347" s="17"/>
      <c r="H30347" s="18"/>
      <c r="K30347" s="18" t="s">
        <v>316</v>
      </c>
    </row>
    <row r="30348">
      <c r="A30348" s="17"/>
      <c r="H30348" s="18"/>
      <c r="K30348" s="18" t="s">
        <v>316</v>
      </c>
    </row>
    <row r="30349">
      <c r="A30349" s="17"/>
      <c r="H30349" s="18"/>
      <c r="K30349" s="18" t="s">
        <v>316</v>
      </c>
    </row>
    <row r="30350">
      <c r="A30350" s="17"/>
      <c r="H30350" s="18"/>
      <c r="K30350" s="18" t="s">
        <v>316</v>
      </c>
    </row>
    <row r="30351">
      <c r="A30351" s="17"/>
      <c r="H30351" s="18"/>
      <c r="K30351" s="18" t="s">
        <v>316</v>
      </c>
    </row>
    <row r="30352">
      <c r="A30352" s="17"/>
      <c r="H30352" s="18"/>
      <c r="K30352" s="18" t="s">
        <v>316</v>
      </c>
    </row>
    <row r="30353">
      <c r="A30353" s="17"/>
      <c r="H30353" s="18"/>
      <c r="K30353" s="18" t="s">
        <v>316</v>
      </c>
    </row>
    <row r="30354">
      <c r="A30354" s="17"/>
      <c r="H30354" s="18"/>
      <c r="K30354" s="18" t="s">
        <v>316</v>
      </c>
    </row>
    <row r="30355">
      <c r="A30355" s="17"/>
      <c r="H30355" s="18"/>
      <c r="K30355" s="18" t="s">
        <v>316</v>
      </c>
    </row>
    <row r="30356">
      <c r="A30356" s="17"/>
      <c r="H30356" s="18"/>
      <c r="K30356" s="18" t="s">
        <v>316</v>
      </c>
    </row>
    <row r="30357">
      <c r="A30357" s="17"/>
      <c r="H30357" s="18"/>
      <c r="K30357" s="18" t="s">
        <v>316</v>
      </c>
    </row>
    <row r="30358">
      <c r="A30358" s="17"/>
      <c r="H30358" s="18"/>
      <c r="K30358" s="18" t="s">
        <v>316</v>
      </c>
    </row>
    <row r="30359">
      <c r="A30359" s="17"/>
      <c r="H30359" s="18"/>
      <c r="K30359" s="18" t="s">
        <v>316</v>
      </c>
    </row>
    <row r="30360">
      <c r="A30360" s="17"/>
      <c r="H30360" s="18"/>
      <c r="K30360" s="18" t="s">
        <v>316</v>
      </c>
    </row>
    <row r="30361">
      <c r="A30361" s="17"/>
      <c r="H30361" s="18"/>
      <c r="K30361" s="18" t="s">
        <v>316</v>
      </c>
    </row>
    <row r="30362">
      <c r="A30362" s="17"/>
      <c r="H30362" s="18"/>
      <c r="K30362" s="18" t="s">
        <v>316</v>
      </c>
    </row>
    <row r="30363">
      <c r="A30363" s="17"/>
      <c r="H30363" s="18"/>
      <c r="K30363" s="18" t="s">
        <v>316</v>
      </c>
    </row>
    <row r="30364">
      <c r="A30364" s="17"/>
      <c r="H30364" s="18"/>
      <c r="K30364" s="18" t="s">
        <v>316</v>
      </c>
    </row>
    <row r="30365">
      <c r="A30365" s="17"/>
      <c r="H30365" s="18"/>
      <c r="K30365" s="18" t="s">
        <v>316</v>
      </c>
    </row>
    <row r="30366">
      <c r="A30366" s="17"/>
      <c r="H30366" s="18"/>
      <c r="K30366" s="18" t="s">
        <v>316</v>
      </c>
    </row>
    <row r="30367">
      <c r="A30367" s="17"/>
      <c r="H30367" s="18"/>
      <c r="K30367" s="18" t="s">
        <v>316</v>
      </c>
    </row>
    <row r="30368">
      <c r="A30368" s="17"/>
      <c r="H30368" s="18"/>
      <c r="K30368" s="18" t="s">
        <v>316</v>
      </c>
    </row>
    <row r="30369">
      <c r="A30369" s="17"/>
      <c r="H30369" s="18"/>
      <c r="K30369" s="18" t="s">
        <v>316</v>
      </c>
    </row>
    <row r="30370">
      <c r="A30370" s="17"/>
      <c r="H30370" s="18"/>
      <c r="K30370" s="18" t="s">
        <v>316</v>
      </c>
    </row>
    <row r="30371">
      <c r="A30371" s="17"/>
      <c r="H30371" s="18"/>
      <c r="K30371" s="18" t="s">
        <v>316</v>
      </c>
    </row>
    <row r="30372">
      <c r="A30372" s="17"/>
      <c r="H30372" s="18"/>
      <c r="K30372" s="18" t="s">
        <v>316</v>
      </c>
    </row>
    <row r="30373">
      <c r="A30373" s="17"/>
      <c r="H30373" s="18"/>
      <c r="K30373" s="18" t="s">
        <v>316</v>
      </c>
    </row>
    <row r="30374">
      <c r="A30374" s="17"/>
      <c r="H30374" s="18"/>
      <c r="K30374" s="18" t="s">
        <v>316</v>
      </c>
    </row>
    <row r="30375">
      <c r="A30375" s="17"/>
      <c r="H30375" s="18"/>
      <c r="K30375" s="18" t="s">
        <v>316</v>
      </c>
    </row>
    <row r="30376">
      <c r="A30376" s="17"/>
      <c r="H30376" s="18"/>
      <c r="K30376" s="18" t="s">
        <v>316</v>
      </c>
    </row>
    <row r="30377">
      <c r="A30377" s="17"/>
      <c r="H30377" s="18"/>
      <c r="K30377" s="18" t="s">
        <v>316</v>
      </c>
    </row>
    <row r="30378">
      <c r="A30378" s="17"/>
      <c r="H30378" s="18"/>
      <c r="K30378" s="18" t="s">
        <v>316</v>
      </c>
    </row>
    <row r="30379">
      <c r="A30379" s="17"/>
      <c r="H30379" s="18"/>
      <c r="K30379" s="18" t="s">
        <v>316</v>
      </c>
    </row>
    <row r="30380">
      <c r="A30380" s="17"/>
      <c r="H30380" s="18"/>
      <c r="K30380" s="18" t="s">
        <v>316</v>
      </c>
    </row>
    <row r="30381">
      <c r="A30381" s="17"/>
      <c r="H30381" s="18"/>
      <c r="K30381" s="18" t="s">
        <v>316</v>
      </c>
    </row>
    <row r="30382">
      <c r="A30382" s="17"/>
      <c r="H30382" s="18"/>
      <c r="K30382" s="18" t="s">
        <v>316</v>
      </c>
    </row>
    <row r="30383">
      <c r="A30383" s="17"/>
      <c r="H30383" s="18"/>
      <c r="K30383" s="18" t="s">
        <v>316</v>
      </c>
    </row>
    <row r="30384">
      <c r="A30384" s="17"/>
      <c r="H30384" s="18"/>
      <c r="K30384" s="18" t="s">
        <v>316</v>
      </c>
    </row>
    <row r="30385">
      <c r="A30385" s="17"/>
      <c r="H30385" s="18"/>
      <c r="K30385" s="18" t="s">
        <v>316</v>
      </c>
    </row>
    <row r="30386">
      <c r="A30386" s="17"/>
      <c r="H30386" s="18"/>
      <c r="K30386" s="18" t="s">
        <v>316</v>
      </c>
    </row>
    <row r="30387">
      <c r="A30387" s="17"/>
      <c r="H30387" s="18"/>
      <c r="K30387" s="18" t="s">
        <v>316</v>
      </c>
    </row>
    <row r="30388">
      <c r="A30388" s="17"/>
      <c r="H30388" s="18"/>
      <c r="K30388" s="18" t="s">
        <v>316</v>
      </c>
    </row>
    <row r="30389">
      <c r="A30389" s="17"/>
      <c r="H30389" s="18"/>
      <c r="K30389" s="18" t="s">
        <v>316</v>
      </c>
    </row>
    <row r="30390">
      <c r="A30390" s="17"/>
      <c r="H30390" s="18"/>
      <c r="K30390" s="18" t="s">
        <v>316</v>
      </c>
    </row>
    <row r="30391">
      <c r="A30391" s="17"/>
      <c r="H30391" s="18"/>
      <c r="K30391" s="18" t="s">
        <v>316</v>
      </c>
    </row>
    <row r="30392">
      <c r="A30392" s="17"/>
      <c r="H30392" s="18"/>
      <c r="K30392" s="18" t="s">
        <v>316</v>
      </c>
    </row>
    <row r="30393">
      <c r="A30393" s="17"/>
      <c r="H30393" s="18"/>
      <c r="K30393" s="18" t="s">
        <v>316</v>
      </c>
    </row>
    <row r="30394">
      <c r="A30394" s="17"/>
      <c r="H30394" s="18"/>
      <c r="K30394" s="18" t="s">
        <v>316</v>
      </c>
    </row>
    <row r="30395">
      <c r="A30395" s="17"/>
      <c r="H30395" s="18"/>
      <c r="K30395" s="18" t="s">
        <v>316</v>
      </c>
    </row>
    <row r="30396">
      <c r="A30396" s="17"/>
      <c r="H30396" s="18"/>
      <c r="K30396" s="18" t="s">
        <v>316</v>
      </c>
    </row>
    <row r="30397">
      <c r="A30397" s="17"/>
      <c r="H30397" s="18"/>
      <c r="K30397" s="18" t="s">
        <v>316</v>
      </c>
    </row>
    <row r="30398">
      <c r="A30398" s="17"/>
      <c r="H30398" s="18"/>
      <c r="K30398" s="18" t="s">
        <v>316</v>
      </c>
    </row>
    <row r="30399">
      <c r="A30399" s="17"/>
      <c r="H30399" s="18"/>
      <c r="K30399" s="18" t="s">
        <v>316</v>
      </c>
    </row>
    <row r="30400">
      <c r="A30400" s="17"/>
      <c r="H30400" s="18"/>
      <c r="K30400" s="18" t="s">
        <v>316</v>
      </c>
    </row>
    <row r="30401">
      <c r="A30401" s="17"/>
      <c r="H30401" s="18"/>
      <c r="K30401" s="18" t="s">
        <v>316</v>
      </c>
    </row>
    <row r="30402">
      <c r="A30402" s="17"/>
      <c r="H30402" s="18"/>
      <c r="K30402" s="18" t="s">
        <v>316</v>
      </c>
    </row>
    <row r="30403">
      <c r="A30403" s="17"/>
      <c r="H30403" s="18"/>
      <c r="K30403" s="18" t="s">
        <v>316</v>
      </c>
    </row>
    <row r="30404">
      <c r="A30404" s="17"/>
      <c r="H30404" s="18"/>
      <c r="K30404" s="18" t="s">
        <v>316</v>
      </c>
    </row>
    <row r="30405">
      <c r="A30405" s="17"/>
      <c r="H30405" s="18"/>
      <c r="K30405" s="18" t="s">
        <v>316</v>
      </c>
    </row>
    <row r="30406">
      <c r="A30406" s="17"/>
      <c r="H30406" s="18"/>
      <c r="K30406" s="18" t="s">
        <v>316</v>
      </c>
    </row>
    <row r="30407">
      <c r="A30407" s="17"/>
      <c r="H30407" s="18"/>
      <c r="K30407" s="18" t="s">
        <v>316</v>
      </c>
    </row>
    <row r="30408">
      <c r="A30408" s="17"/>
      <c r="H30408" s="18"/>
      <c r="K30408" s="18" t="s">
        <v>316</v>
      </c>
    </row>
    <row r="30409">
      <c r="A30409" s="17"/>
      <c r="H30409" s="18"/>
      <c r="K30409" s="18" t="s">
        <v>316</v>
      </c>
    </row>
    <row r="30410">
      <c r="A30410" s="17"/>
      <c r="H30410" s="18"/>
      <c r="K30410" s="18" t="s">
        <v>316</v>
      </c>
    </row>
    <row r="30411">
      <c r="A30411" s="17"/>
      <c r="H30411" s="18"/>
      <c r="K30411" s="18" t="s">
        <v>316</v>
      </c>
    </row>
    <row r="30412">
      <c r="A30412" s="17"/>
      <c r="H30412" s="18"/>
      <c r="K30412" s="18" t="s">
        <v>316</v>
      </c>
    </row>
    <row r="30413">
      <c r="A30413" s="17"/>
      <c r="H30413" s="18"/>
      <c r="K30413" s="18" t="s">
        <v>316</v>
      </c>
    </row>
    <row r="30414">
      <c r="A30414" s="17"/>
      <c r="H30414" s="18"/>
      <c r="K30414" s="18" t="s">
        <v>316</v>
      </c>
    </row>
    <row r="30415">
      <c r="A30415" s="17"/>
      <c r="H30415" s="18"/>
      <c r="K30415" s="18" t="s">
        <v>316</v>
      </c>
    </row>
    <row r="30416">
      <c r="A30416" s="17"/>
      <c r="H30416" s="18"/>
      <c r="K30416" s="18" t="s">
        <v>316</v>
      </c>
    </row>
    <row r="30417">
      <c r="A30417" s="17"/>
      <c r="H30417" s="18"/>
      <c r="K30417" s="18" t="s">
        <v>316</v>
      </c>
    </row>
    <row r="30418">
      <c r="A30418" s="17"/>
      <c r="H30418" s="18"/>
      <c r="K30418" s="18" t="s">
        <v>316</v>
      </c>
    </row>
    <row r="30419">
      <c r="A30419" s="17"/>
      <c r="H30419" s="18"/>
      <c r="K30419" s="18" t="s">
        <v>316</v>
      </c>
    </row>
    <row r="30420">
      <c r="A30420" s="17"/>
      <c r="H30420" s="18"/>
      <c r="K30420" s="18" t="s">
        <v>316</v>
      </c>
    </row>
    <row r="30421">
      <c r="A30421" s="17"/>
      <c r="H30421" s="18"/>
      <c r="K30421" s="18" t="s">
        <v>316</v>
      </c>
    </row>
    <row r="30422">
      <c r="A30422" s="17"/>
      <c r="H30422" s="18"/>
      <c r="K30422" s="18" t="s">
        <v>316</v>
      </c>
    </row>
    <row r="30423">
      <c r="A30423" s="17"/>
      <c r="H30423" s="18"/>
      <c r="K30423" s="18" t="s">
        <v>316</v>
      </c>
    </row>
    <row r="30424">
      <c r="A30424" s="17"/>
      <c r="H30424" s="18"/>
      <c r="K30424" s="18" t="s">
        <v>316</v>
      </c>
    </row>
    <row r="30425">
      <c r="A30425" s="17"/>
      <c r="H30425" s="18"/>
      <c r="K30425" s="18" t="s">
        <v>316</v>
      </c>
    </row>
    <row r="30426">
      <c r="A30426" s="17"/>
      <c r="H30426" s="18"/>
      <c r="K30426" s="18" t="s">
        <v>316</v>
      </c>
    </row>
    <row r="30427">
      <c r="A30427" s="17"/>
      <c r="H30427" s="18"/>
      <c r="K30427" s="18" t="s">
        <v>316</v>
      </c>
    </row>
    <row r="30428">
      <c r="A30428" s="17"/>
      <c r="H30428" s="18"/>
      <c r="K30428" s="18" t="s">
        <v>316</v>
      </c>
    </row>
    <row r="30429">
      <c r="A30429" s="17"/>
      <c r="H30429" s="18"/>
      <c r="K30429" s="18" t="s">
        <v>316</v>
      </c>
    </row>
    <row r="30430">
      <c r="A30430" s="17"/>
      <c r="H30430" s="18"/>
      <c r="K30430" s="18" t="s">
        <v>316</v>
      </c>
    </row>
    <row r="30431">
      <c r="A30431" s="17"/>
      <c r="H30431" s="18"/>
      <c r="K30431" s="18" t="s">
        <v>316</v>
      </c>
    </row>
    <row r="30432">
      <c r="A30432" s="17"/>
      <c r="H30432" s="18"/>
      <c r="K30432" s="18" t="s">
        <v>316</v>
      </c>
    </row>
    <row r="30433">
      <c r="A30433" s="17"/>
      <c r="H30433" s="18"/>
      <c r="K30433" s="18" t="s">
        <v>316</v>
      </c>
    </row>
    <row r="30434">
      <c r="A30434" s="17"/>
      <c r="H30434" s="18"/>
      <c r="K30434" s="18" t="s">
        <v>316</v>
      </c>
    </row>
    <row r="30435">
      <c r="A30435" s="17"/>
      <c r="H30435" s="18"/>
      <c r="K30435" s="18" t="s">
        <v>316</v>
      </c>
    </row>
    <row r="30436">
      <c r="A30436" s="17"/>
      <c r="H30436" s="18"/>
      <c r="K30436" s="18" t="s">
        <v>316</v>
      </c>
    </row>
    <row r="30437">
      <c r="A30437" s="17"/>
      <c r="H30437" s="18"/>
      <c r="K30437" s="18" t="s">
        <v>316</v>
      </c>
    </row>
    <row r="30438">
      <c r="A30438" s="17"/>
      <c r="H30438" s="18"/>
      <c r="K30438" s="18" t="s">
        <v>316</v>
      </c>
    </row>
    <row r="30439">
      <c r="A30439" s="17"/>
      <c r="H30439" s="18"/>
      <c r="K30439" s="18" t="s">
        <v>316</v>
      </c>
    </row>
    <row r="30440">
      <c r="A30440" s="17"/>
      <c r="H30440" s="18"/>
      <c r="K30440" s="18" t="s">
        <v>316</v>
      </c>
    </row>
    <row r="30441">
      <c r="A30441" s="17"/>
      <c r="H30441" s="18"/>
      <c r="K30441" s="18" t="s">
        <v>316</v>
      </c>
    </row>
    <row r="30442">
      <c r="A30442" s="17"/>
      <c r="H30442" s="18"/>
      <c r="K30442" s="18" t="s">
        <v>316</v>
      </c>
    </row>
    <row r="30443">
      <c r="A30443" s="17"/>
      <c r="H30443" s="18"/>
      <c r="K30443" s="18" t="s">
        <v>316</v>
      </c>
    </row>
    <row r="30444">
      <c r="A30444" s="17"/>
      <c r="H30444" s="18"/>
      <c r="K30444" s="18" t="s">
        <v>316</v>
      </c>
    </row>
    <row r="30445">
      <c r="A30445" s="17"/>
      <c r="H30445" s="18"/>
      <c r="K30445" s="18" t="s">
        <v>316</v>
      </c>
    </row>
    <row r="30446">
      <c r="A30446" s="17"/>
      <c r="H30446" s="18"/>
      <c r="K30446" s="18" t="s">
        <v>316</v>
      </c>
    </row>
    <row r="30447">
      <c r="A30447" s="17"/>
      <c r="H30447" s="18"/>
      <c r="K30447" s="18" t="s">
        <v>316</v>
      </c>
    </row>
    <row r="30448">
      <c r="A30448" s="17"/>
      <c r="H30448" s="18"/>
      <c r="K30448" s="18" t="s">
        <v>316</v>
      </c>
    </row>
    <row r="30449">
      <c r="A30449" s="17"/>
      <c r="H30449" s="18"/>
      <c r="K30449" s="18" t="s">
        <v>316</v>
      </c>
    </row>
    <row r="30450">
      <c r="A30450" s="17"/>
      <c r="H30450" s="18"/>
      <c r="K30450" s="18" t="s">
        <v>316</v>
      </c>
    </row>
    <row r="30451">
      <c r="A30451" s="17"/>
      <c r="H30451" s="18"/>
      <c r="K30451" s="18" t="s">
        <v>316</v>
      </c>
    </row>
    <row r="30452">
      <c r="A30452" s="17"/>
      <c r="H30452" s="18"/>
      <c r="K30452" s="18" t="s">
        <v>316</v>
      </c>
    </row>
    <row r="30453">
      <c r="A30453" s="17"/>
      <c r="H30453" s="18"/>
      <c r="K30453" s="18" t="s">
        <v>316</v>
      </c>
    </row>
    <row r="30454">
      <c r="A30454" s="17"/>
      <c r="H30454" s="18"/>
      <c r="K30454" s="18" t="s">
        <v>316</v>
      </c>
    </row>
    <row r="30455">
      <c r="A30455" s="17"/>
      <c r="H30455" s="18"/>
      <c r="K30455" s="18" t="s">
        <v>316</v>
      </c>
    </row>
    <row r="30456">
      <c r="A30456" s="17"/>
      <c r="H30456" s="18"/>
      <c r="K30456" s="18" t="s">
        <v>316</v>
      </c>
    </row>
    <row r="30457">
      <c r="A30457" s="17"/>
      <c r="H30457" s="18"/>
      <c r="K30457" s="18" t="s">
        <v>316</v>
      </c>
    </row>
    <row r="30458">
      <c r="A30458" s="17"/>
      <c r="H30458" s="18"/>
      <c r="K30458" s="18" t="s">
        <v>316</v>
      </c>
    </row>
    <row r="30459">
      <c r="A30459" s="17"/>
      <c r="H30459" s="18"/>
      <c r="K30459" s="18" t="s">
        <v>316</v>
      </c>
    </row>
    <row r="30460">
      <c r="A30460" s="17"/>
      <c r="H30460" s="18"/>
      <c r="K30460" s="18" t="s">
        <v>316</v>
      </c>
    </row>
    <row r="30461">
      <c r="A30461" s="17"/>
      <c r="H30461" s="18"/>
      <c r="K30461" s="18" t="s">
        <v>316</v>
      </c>
    </row>
    <row r="30462">
      <c r="A30462" s="17"/>
      <c r="H30462" s="18"/>
      <c r="K30462" s="18" t="s">
        <v>316</v>
      </c>
    </row>
    <row r="30463">
      <c r="A30463" s="17"/>
      <c r="H30463" s="18"/>
      <c r="K30463" s="18" t="s">
        <v>316</v>
      </c>
    </row>
    <row r="30464">
      <c r="A30464" s="17"/>
      <c r="H30464" s="18"/>
      <c r="K30464" s="18" t="s">
        <v>316</v>
      </c>
    </row>
    <row r="30465">
      <c r="A30465" s="17"/>
      <c r="H30465" s="18"/>
      <c r="K30465" s="18" t="s">
        <v>316</v>
      </c>
    </row>
    <row r="30466">
      <c r="A30466" s="17"/>
      <c r="H30466" s="18"/>
      <c r="K30466" s="18" t="s">
        <v>316</v>
      </c>
    </row>
    <row r="30467">
      <c r="A30467" s="17"/>
      <c r="H30467" s="18"/>
      <c r="K30467" s="18" t="s">
        <v>316</v>
      </c>
    </row>
    <row r="30468">
      <c r="A30468" s="17"/>
      <c r="H30468" s="18"/>
      <c r="K30468" s="18" t="s">
        <v>316</v>
      </c>
    </row>
    <row r="30469">
      <c r="A30469" s="17"/>
      <c r="H30469" s="18"/>
      <c r="K30469" s="18" t="s">
        <v>316</v>
      </c>
    </row>
    <row r="30470">
      <c r="A30470" s="17"/>
      <c r="H30470" s="18"/>
      <c r="K30470" s="18" t="s">
        <v>316</v>
      </c>
    </row>
    <row r="30471">
      <c r="A30471" s="17"/>
      <c r="H30471" s="18"/>
      <c r="K30471" s="18" t="s">
        <v>316</v>
      </c>
    </row>
    <row r="30472">
      <c r="A30472" s="17"/>
      <c r="H30472" s="18"/>
      <c r="K30472" s="18" t="s">
        <v>316</v>
      </c>
    </row>
    <row r="30473">
      <c r="A30473" s="17"/>
      <c r="H30473" s="18"/>
      <c r="K30473" s="18" t="s">
        <v>316</v>
      </c>
    </row>
    <row r="30474">
      <c r="A30474" s="17"/>
      <c r="H30474" s="18"/>
      <c r="K30474" s="18" t="s">
        <v>316</v>
      </c>
    </row>
    <row r="30475">
      <c r="A30475" s="17"/>
      <c r="H30475" s="18"/>
      <c r="K30475" s="18" t="s">
        <v>316</v>
      </c>
    </row>
    <row r="30476">
      <c r="A30476" s="17"/>
      <c r="H30476" s="18"/>
      <c r="K30476" s="18" t="s">
        <v>316</v>
      </c>
    </row>
    <row r="30477">
      <c r="A30477" s="17"/>
      <c r="H30477" s="18"/>
      <c r="K30477" s="18" t="s">
        <v>316</v>
      </c>
    </row>
    <row r="30478">
      <c r="A30478" s="17"/>
      <c r="H30478" s="18"/>
      <c r="K30478" s="18" t="s">
        <v>316</v>
      </c>
    </row>
    <row r="30479">
      <c r="A30479" s="17"/>
      <c r="H30479" s="18"/>
      <c r="K30479" s="18" t="s">
        <v>316</v>
      </c>
    </row>
    <row r="30480">
      <c r="A30480" s="17"/>
      <c r="H30480" s="18"/>
      <c r="K30480" s="18" t="s">
        <v>316</v>
      </c>
    </row>
    <row r="30481">
      <c r="A30481" s="17"/>
      <c r="H30481" s="18"/>
      <c r="K30481" s="18" t="s">
        <v>316</v>
      </c>
    </row>
    <row r="30482">
      <c r="A30482" s="17"/>
      <c r="H30482" s="18"/>
      <c r="K30482" s="18" t="s">
        <v>316</v>
      </c>
    </row>
    <row r="30483">
      <c r="A30483" s="17"/>
      <c r="H30483" s="18"/>
      <c r="K30483" s="18" t="s">
        <v>316</v>
      </c>
    </row>
    <row r="30484">
      <c r="A30484" s="17"/>
      <c r="H30484" s="18"/>
      <c r="K30484" s="18" t="s">
        <v>316</v>
      </c>
    </row>
    <row r="30485">
      <c r="A30485" s="17"/>
      <c r="H30485" s="18"/>
      <c r="K30485" s="18" t="s">
        <v>316</v>
      </c>
    </row>
    <row r="30486">
      <c r="A30486" s="17"/>
      <c r="H30486" s="18"/>
      <c r="K30486" s="18" t="s">
        <v>316</v>
      </c>
    </row>
    <row r="30487">
      <c r="A30487" s="17"/>
      <c r="H30487" s="18"/>
      <c r="K30487" s="18" t="s">
        <v>316</v>
      </c>
    </row>
    <row r="30488">
      <c r="A30488" s="17"/>
      <c r="H30488" s="18"/>
      <c r="K30488" s="18" t="s">
        <v>316</v>
      </c>
    </row>
    <row r="30489">
      <c r="A30489" s="17"/>
      <c r="H30489" s="18"/>
      <c r="K30489" s="18" t="s">
        <v>316</v>
      </c>
    </row>
    <row r="30490">
      <c r="A30490" s="17"/>
      <c r="H30490" s="18"/>
      <c r="K30490" s="18" t="s">
        <v>316</v>
      </c>
    </row>
    <row r="30491">
      <c r="A30491" s="17"/>
      <c r="H30491" s="18"/>
      <c r="K30491" s="18" t="s">
        <v>316</v>
      </c>
    </row>
    <row r="30492">
      <c r="A30492" s="17"/>
      <c r="H30492" s="18"/>
      <c r="K30492" s="18" t="s">
        <v>316</v>
      </c>
    </row>
    <row r="30493">
      <c r="A30493" s="17"/>
      <c r="H30493" s="18"/>
      <c r="K30493" s="18" t="s">
        <v>316</v>
      </c>
    </row>
    <row r="30494">
      <c r="A30494" s="17"/>
      <c r="H30494" s="18"/>
      <c r="K30494" s="18" t="s">
        <v>316</v>
      </c>
    </row>
    <row r="30495">
      <c r="A30495" s="17"/>
      <c r="H30495" s="18"/>
      <c r="K30495" s="18" t="s">
        <v>316</v>
      </c>
    </row>
    <row r="30496">
      <c r="A30496" s="17"/>
      <c r="H30496" s="18"/>
      <c r="K30496" s="18" t="s">
        <v>316</v>
      </c>
    </row>
    <row r="30497">
      <c r="A30497" s="17"/>
      <c r="H30497" s="18"/>
      <c r="K30497" s="18" t="s">
        <v>316</v>
      </c>
    </row>
    <row r="30498">
      <c r="A30498" s="17"/>
      <c r="H30498" s="18"/>
      <c r="K30498" s="18" t="s">
        <v>316</v>
      </c>
    </row>
    <row r="30499">
      <c r="A30499" s="17"/>
      <c r="H30499" s="18"/>
      <c r="K30499" s="18" t="s">
        <v>316</v>
      </c>
    </row>
    <row r="30500">
      <c r="A30500" s="17"/>
      <c r="H30500" s="18"/>
      <c r="K30500" s="18" t="s">
        <v>316</v>
      </c>
    </row>
    <row r="30501">
      <c r="A30501" s="17"/>
      <c r="H30501" s="18"/>
      <c r="K30501" s="18" t="s">
        <v>316</v>
      </c>
    </row>
    <row r="30502">
      <c r="A30502" s="17"/>
      <c r="H30502" s="18"/>
      <c r="K30502" s="18" t="s">
        <v>316</v>
      </c>
    </row>
    <row r="30503">
      <c r="A30503" s="17"/>
      <c r="H30503" s="18"/>
      <c r="K30503" s="18" t="s">
        <v>316</v>
      </c>
    </row>
    <row r="30504">
      <c r="A30504" s="17"/>
      <c r="H30504" s="18"/>
      <c r="K30504" s="18" t="s">
        <v>316</v>
      </c>
    </row>
    <row r="30505">
      <c r="A30505" s="17"/>
      <c r="H30505" s="18"/>
      <c r="K30505" s="18" t="s">
        <v>316</v>
      </c>
    </row>
    <row r="30506">
      <c r="A30506" s="17"/>
      <c r="H30506" s="18"/>
      <c r="K30506" s="18" t="s">
        <v>316</v>
      </c>
    </row>
    <row r="30507">
      <c r="A30507" s="17"/>
      <c r="H30507" s="18"/>
      <c r="K30507" s="18" t="s">
        <v>316</v>
      </c>
    </row>
    <row r="30508">
      <c r="A30508" s="17"/>
      <c r="H30508" s="18"/>
      <c r="K30508" s="18" t="s">
        <v>316</v>
      </c>
    </row>
    <row r="30509">
      <c r="A30509" s="17"/>
      <c r="H30509" s="18"/>
      <c r="K30509" s="18" t="s">
        <v>316</v>
      </c>
    </row>
    <row r="30510">
      <c r="A30510" s="17"/>
      <c r="H30510" s="18"/>
      <c r="K30510" s="18" t="s">
        <v>316</v>
      </c>
    </row>
    <row r="30511">
      <c r="A30511" s="17"/>
      <c r="H30511" s="18"/>
      <c r="K30511" s="18" t="s">
        <v>316</v>
      </c>
    </row>
    <row r="30512">
      <c r="A30512" s="17"/>
      <c r="H30512" s="18"/>
      <c r="K30512" s="18" t="s">
        <v>316</v>
      </c>
    </row>
    <row r="30513">
      <c r="A30513" s="17"/>
      <c r="H30513" s="18"/>
      <c r="K30513" s="18" t="s">
        <v>316</v>
      </c>
    </row>
    <row r="30514">
      <c r="A30514" s="17"/>
      <c r="H30514" s="18"/>
      <c r="K30514" s="18" t="s">
        <v>316</v>
      </c>
    </row>
    <row r="30515">
      <c r="A30515" s="17"/>
      <c r="H30515" s="18"/>
      <c r="K30515" s="18" t="s">
        <v>316</v>
      </c>
    </row>
    <row r="30516">
      <c r="A30516" s="17"/>
      <c r="H30516" s="18"/>
      <c r="K30516" s="18" t="s">
        <v>316</v>
      </c>
    </row>
    <row r="30517">
      <c r="A30517" s="17"/>
      <c r="H30517" s="18"/>
      <c r="K30517" s="18" t="s">
        <v>316</v>
      </c>
    </row>
    <row r="30518">
      <c r="A30518" s="17"/>
      <c r="H30518" s="18"/>
      <c r="K30518" s="18" t="s">
        <v>316</v>
      </c>
    </row>
    <row r="30519">
      <c r="A30519" s="17"/>
      <c r="H30519" s="18"/>
      <c r="K30519" s="18" t="s">
        <v>316</v>
      </c>
    </row>
    <row r="30520">
      <c r="A30520" s="17"/>
      <c r="H30520" s="18"/>
      <c r="K30520" s="18" t="s">
        <v>316</v>
      </c>
    </row>
    <row r="30521">
      <c r="A30521" s="17"/>
      <c r="H30521" s="18"/>
      <c r="K30521" s="18" t="s">
        <v>316</v>
      </c>
    </row>
    <row r="30522">
      <c r="A30522" s="17"/>
      <c r="H30522" s="18"/>
      <c r="K30522" s="18" t="s">
        <v>316</v>
      </c>
    </row>
    <row r="30523">
      <c r="A30523" s="17"/>
      <c r="H30523" s="18"/>
      <c r="K30523" s="18" t="s">
        <v>316</v>
      </c>
    </row>
    <row r="30524">
      <c r="A30524" s="17"/>
      <c r="H30524" s="18"/>
      <c r="K30524" s="18" t="s">
        <v>316</v>
      </c>
    </row>
    <row r="30525">
      <c r="A30525" s="17"/>
      <c r="H30525" s="18"/>
      <c r="K30525" s="18" t="s">
        <v>316</v>
      </c>
    </row>
    <row r="30526">
      <c r="A30526" s="17"/>
      <c r="H30526" s="18"/>
      <c r="K30526" s="18" t="s">
        <v>316</v>
      </c>
    </row>
    <row r="30527">
      <c r="A30527" s="17"/>
      <c r="H30527" s="18"/>
      <c r="K30527" s="18" t="s">
        <v>316</v>
      </c>
    </row>
    <row r="30528">
      <c r="A30528" s="17"/>
      <c r="H30528" s="18"/>
      <c r="K30528" s="18" t="s">
        <v>316</v>
      </c>
    </row>
    <row r="30529">
      <c r="A30529" s="17"/>
      <c r="H30529" s="18"/>
      <c r="K30529" s="18" t="s">
        <v>316</v>
      </c>
    </row>
    <row r="30530">
      <c r="A30530" s="17"/>
      <c r="H30530" s="18"/>
      <c r="K30530" s="18" t="s">
        <v>316</v>
      </c>
    </row>
    <row r="30531">
      <c r="A30531" s="17"/>
      <c r="H30531" s="18"/>
      <c r="K30531" s="18" t="s">
        <v>316</v>
      </c>
    </row>
    <row r="30532">
      <c r="A30532" s="17"/>
      <c r="H30532" s="18"/>
      <c r="K30532" s="18" t="s">
        <v>316</v>
      </c>
    </row>
    <row r="30533">
      <c r="A30533" s="17"/>
      <c r="H30533" s="18"/>
      <c r="K30533" s="18" t="s">
        <v>316</v>
      </c>
    </row>
    <row r="30534">
      <c r="A30534" s="17"/>
      <c r="H30534" s="18"/>
      <c r="K30534" s="18" t="s">
        <v>316</v>
      </c>
    </row>
    <row r="30535">
      <c r="A30535" s="17"/>
      <c r="H30535" s="18"/>
      <c r="K30535" s="18" t="s">
        <v>316</v>
      </c>
    </row>
    <row r="30536">
      <c r="A30536" s="17"/>
      <c r="H30536" s="18"/>
      <c r="K30536" s="18" t="s">
        <v>316</v>
      </c>
    </row>
    <row r="30537">
      <c r="A30537" s="17"/>
      <c r="H30537" s="18"/>
      <c r="K30537" s="18" t="s">
        <v>316</v>
      </c>
    </row>
    <row r="30538">
      <c r="A30538" s="17"/>
      <c r="H30538" s="18"/>
      <c r="K30538" s="18" t="s">
        <v>316</v>
      </c>
    </row>
    <row r="30539">
      <c r="A30539" s="17"/>
      <c r="H30539" s="18"/>
      <c r="K30539" s="18" t="s">
        <v>316</v>
      </c>
    </row>
    <row r="30540">
      <c r="A30540" s="17"/>
      <c r="H30540" s="18"/>
      <c r="K30540" s="18" t="s">
        <v>316</v>
      </c>
    </row>
    <row r="30541">
      <c r="A30541" s="17"/>
      <c r="H30541" s="18"/>
      <c r="K30541" s="18" t="s">
        <v>316</v>
      </c>
    </row>
    <row r="30542">
      <c r="A30542" s="17"/>
      <c r="H30542" s="18"/>
      <c r="K30542" s="18" t="s">
        <v>316</v>
      </c>
    </row>
    <row r="30543">
      <c r="A30543" s="17"/>
      <c r="H30543" s="18"/>
      <c r="K30543" s="18" t="s">
        <v>316</v>
      </c>
    </row>
    <row r="30544">
      <c r="A30544" s="17"/>
      <c r="H30544" s="18"/>
      <c r="K30544" s="18" t="s">
        <v>316</v>
      </c>
    </row>
    <row r="30545">
      <c r="A30545" s="17"/>
      <c r="H30545" s="18"/>
      <c r="K30545" s="18" t="s">
        <v>316</v>
      </c>
    </row>
    <row r="30546">
      <c r="A30546" s="17"/>
      <c r="H30546" s="18"/>
      <c r="K30546" s="18" t="s">
        <v>316</v>
      </c>
    </row>
    <row r="30547">
      <c r="A30547" s="17"/>
      <c r="H30547" s="18"/>
      <c r="K30547" s="18" t="s">
        <v>316</v>
      </c>
    </row>
    <row r="30548">
      <c r="A30548" s="17"/>
      <c r="H30548" s="18"/>
      <c r="K30548" s="18" t="s">
        <v>316</v>
      </c>
    </row>
    <row r="30549">
      <c r="A30549" s="17"/>
      <c r="H30549" s="18"/>
      <c r="K30549" s="18" t="s">
        <v>316</v>
      </c>
    </row>
    <row r="30550">
      <c r="A30550" s="17"/>
      <c r="H30550" s="18"/>
      <c r="K30550" s="18" t="s">
        <v>316</v>
      </c>
    </row>
    <row r="30551">
      <c r="A30551" s="17"/>
      <c r="H30551" s="18"/>
      <c r="K30551" s="18" t="s">
        <v>316</v>
      </c>
    </row>
    <row r="30552">
      <c r="A30552" s="17"/>
      <c r="H30552" s="18"/>
      <c r="K30552" s="18" t="s">
        <v>316</v>
      </c>
    </row>
    <row r="30553">
      <c r="A30553" s="17"/>
      <c r="H30553" s="18"/>
      <c r="K30553" s="18" t="s">
        <v>316</v>
      </c>
    </row>
    <row r="30554">
      <c r="A30554" s="17"/>
      <c r="H30554" s="18"/>
      <c r="K30554" s="18" t="s">
        <v>316</v>
      </c>
    </row>
    <row r="30555">
      <c r="A30555" s="17"/>
      <c r="H30555" s="18"/>
      <c r="K30555" s="18" t="s">
        <v>316</v>
      </c>
    </row>
    <row r="30556">
      <c r="A30556" s="17"/>
      <c r="H30556" s="18"/>
      <c r="K30556" s="18" t="s">
        <v>316</v>
      </c>
    </row>
    <row r="30557">
      <c r="A30557" s="17"/>
      <c r="H30557" s="18"/>
      <c r="K30557" s="18" t="s">
        <v>316</v>
      </c>
    </row>
    <row r="30558">
      <c r="A30558" s="17"/>
      <c r="H30558" s="18"/>
      <c r="K30558" s="18" t="s">
        <v>316</v>
      </c>
    </row>
    <row r="30559">
      <c r="A30559" s="17"/>
      <c r="H30559" s="18"/>
      <c r="K30559" s="18" t="s">
        <v>316</v>
      </c>
    </row>
    <row r="30560">
      <c r="A30560" s="17"/>
      <c r="H30560" s="18"/>
      <c r="K30560" s="18" t="s">
        <v>316</v>
      </c>
    </row>
    <row r="30561">
      <c r="A30561" s="17"/>
      <c r="H30561" s="18"/>
      <c r="K30561" s="18" t="s">
        <v>316</v>
      </c>
    </row>
    <row r="30562">
      <c r="A30562" s="17"/>
      <c r="H30562" s="18"/>
      <c r="K30562" s="18" t="s">
        <v>316</v>
      </c>
    </row>
    <row r="30563">
      <c r="A30563" s="17"/>
      <c r="H30563" s="18"/>
      <c r="K30563" s="18" t="s">
        <v>316</v>
      </c>
    </row>
    <row r="30564">
      <c r="A30564" s="17"/>
      <c r="H30564" s="18"/>
      <c r="K30564" s="18" t="s">
        <v>316</v>
      </c>
    </row>
    <row r="30565">
      <c r="A30565" s="17"/>
      <c r="H30565" s="18"/>
      <c r="K30565" s="18" t="s">
        <v>316</v>
      </c>
    </row>
    <row r="30566">
      <c r="A30566" s="17"/>
      <c r="H30566" s="18"/>
      <c r="K30566" s="18" t="s">
        <v>316</v>
      </c>
    </row>
    <row r="30567">
      <c r="A30567" s="17"/>
      <c r="H30567" s="18"/>
      <c r="K30567" s="18" t="s">
        <v>316</v>
      </c>
    </row>
    <row r="30568">
      <c r="A30568" s="17"/>
      <c r="H30568" s="18"/>
      <c r="K30568" s="18" t="s">
        <v>316</v>
      </c>
    </row>
    <row r="30569">
      <c r="A30569" s="17"/>
      <c r="H30569" s="18"/>
      <c r="K30569" s="18" t="s">
        <v>316</v>
      </c>
    </row>
    <row r="30570">
      <c r="A30570" s="17"/>
      <c r="H30570" s="18"/>
      <c r="K30570" s="18" t="s">
        <v>316</v>
      </c>
    </row>
    <row r="30571">
      <c r="A30571" s="17"/>
      <c r="H30571" s="18"/>
      <c r="K30571" s="18" t="s">
        <v>316</v>
      </c>
    </row>
    <row r="30572">
      <c r="A30572" s="17"/>
      <c r="H30572" s="18"/>
      <c r="K30572" s="18" t="s">
        <v>316</v>
      </c>
    </row>
    <row r="30573">
      <c r="A30573" s="17"/>
      <c r="H30573" s="18"/>
      <c r="K30573" s="18" t="s">
        <v>316</v>
      </c>
    </row>
    <row r="30574">
      <c r="A30574" s="17"/>
      <c r="H30574" s="18"/>
      <c r="K30574" s="18" t="s">
        <v>316</v>
      </c>
    </row>
    <row r="30575">
      <c r="A30575" s="17"/>
      <c r="H30575" s="18"/>
      <c r="K30575" s="18" t="s">
        <v>316</v>
      </c>
    </row>
    <row r="30576">
      <c r="A30576" s="17"/>
      <c r="H30576" s="18"/>
      <c r="K30576" s="18" t="s">
        <v>316</v>
      </c>
    </row>
    <row r="30577">
      <c r="A30577" s="17"/>
      <c r="H30577" s="18"/>
      <c r="K30577" s="18" t="s">
        <v>316</v>
      </c>
    </row>
    <row r="30578">
      <c r="A30578" s="17"/>
      <c r="H30578" s="18"/>
      <c r="K30578" s="18" t="s">
        <v>316</v>
      </c>
    </row>
    <row r="30579">
      <c r="A30579" s="17"/>
      <c r="H30579" s="18"/>
      <c r="K30579" s="18" t="s">
        <v>316</v>
      </c>
    </row>
    <row r="30580">
      <c r="A30580" s="17"/>
      <c r="H30580" s="18"/>
      <c r="K30580" s="18" t="s">
        <v>316</v>
      </c>
    </row>
    <row r="30581">
      <c r="A30581" s="17"/>
      <c r="H30581" s="18"/>
      <c r="K30581" s="18" t="s">
        <v>316</v>
      </c>
    </row>
    <row r="30582">
      <c r="A30582" s="17"/>
      <c r="H30582" s="18"/>
      <c r="K30582" s="18" t="s">
        <v>316</v>
      </c>
    </row>
    <row r="30583">
      <c r="A30583" s="17"/>
      <c r="H30583" s="18"/>
      <c r="K30583" s="18" t="s">
        <v>316</v>
      </c>
    </row>
    <row r="30584">
      <c r="A30584" s="17"/>
      <c r="H30584" s="18"/>
      <c r="K30584" s="18" t="s">
        <v>316</v>
      </c>
    </row>
    <row r="30585">
      <c r="A30585" s="17"/>
      <c r="H30585" s="18"/>
      <c r="K30585" s="18" t="s">
        <v>316</v>
      </c>
    </row>
    <row r="30586">
      <c r="A30586" s="17"/>
      <c r="H30586" s="18"/>
      <c r="K30586" s="18" t="s">
        <v>316</v>
      </c>
    </row>
    <row r="30587">
      <c r="A30587" s="17"/>
      <c r="H30587" s="18"/>
      <c r="K30587" s="18" t="s">
        <v>316</v>
      </c>
    </row>
    <row r="30588">
      <c r="A30588" s="17"/>
      <c r="H30588" s="18"/>
      <c r="K30588" s="18" t="s">
        <v>316</v>
      </c>
    </row>
    <row r="30589">
      <c r="A30589" s="17"/>
      <c r="H30589" s="18"/>
      <c r="K30589" s="18" t="s">
        <v>316</v>
      </c>
    </row>
    <row r="30590">
      <c r="A30590" s="17"/>
      <c r="H30590" s="18"/>
      <c r="K30590" s="18" t="s">
        <v>316</v>
      </c>
    </row>
    <row r="30591">
      <c r="A30591" s="17"/>
      <c r="H30591" s="18"/>
      <c r="K30591" s="18" t="s">
        <v>316</v>
      </c>
    </row>
    <row r="30592">
      <c r="A30592" s="17"/>
      <c r="H30592" s="18"/>
      <c r="K30592" s="18" t="s">
        <v>316</v>
      </c>
    </row>
    <row r="30593">
      <c r="A30593" s="17"/>
      <c r="H30593" s="18"/>
      <c r="K30593" s="18" t="s">
        <v>316</v>
      </c>
    </row>
    <row r="30594">
      <c r="A30594" s="17"/>
      <c r="H30594" s="18"/>
      <c r="K30594" s="18" t="s">
        <v>316</v>
      </c>
    </row>
    <row r="30595">
      <c r="A30595" s="17"/>
      <c r="H30595" s="18"/>
      <c r="K30595" s="18" t="s">
        <v>316</v>
      </c>
    </row>
    <row r="30596">
      <c r="A30596" s="17"/>
      <c r="H30596" s="18"/>
      <c r="K30596" s="18" t="s">
        <v>316</v>
      </c>
    </row>
    <row r="30597">
      <c r="A30597" s="17"/>
      <c r="H30597" s="18"/>
      <c r="K30597" s="18" t="s">
        <v>316</v>
      </c>
    </row>
    <row r="30598">
      <c r="A30598" s="17"/>
      <c r="H30598" s="18"/>
      <c r="K30598" s="18" t="s">
        <v>316</v>
      </c>
    </row>
    <row r="30599">
      <c r="A30599" s="17"/>
      <c r="H30599" s="18"/>
      <c r="K30599" s="18" t="s">
        <v>316</v>
      </c>
    </row>
    <row r="30600">
      <c r="A30600" s="17"/>
      <c r="H30600" s="18"/>
      <c r="K30600" s="18" t="s">
        <v>316</v>
      </c>
    </row>
    <row r="30601">
      <c r="A30601" s="17"/>
      <c r="H30601" s="18"/>
      <c r="K30601" s="18" t="s">
        <v>316</v>
      </c>
    </row>
    <row r="30602">
      <c r="A30602" s="17"/>
      <c r="H30602" s="18"/>
      <c r="K30602" s="18" t="s">
        <v>316</v>
      </c>
    </row>
    <row r="30603">
      <c r="A30603" s="17"/>
      <c r="H30603" s="18"/>
      <c r="K30603" s="18" t="s">
        <v>316</v>
      </c>
    </row>
    <row r="30604">
      <c r="A30604" s="17"/>
      <c r="H30604" s="18"/>
      <c r="K30604" s="18" t="s">
        <v>316</v>
      </c>
    </row>
    <row r="30605">
      <c r="A30605" s="17"/>
      <c r="H30605" s="18"/>
      <c r="K30605" s="18" t="s">
        <v>316</v>
      </c>
    </row>
    <row r="30606">
      <c r="A30606" s="17"/>
      <c r="H30606" s="18"/>
      <c r="K30606" s="18" t="s">
        <v>316</v>
      </c>
    </row>
    <row r="30607">
      <c r="A30607" s="17"/>
      <c r="H30607" s="18"/>
      <c r="K30607" s="18" t="s">
        <v>316</v>
      </c>
    </row>
    <row r="30608">
      <c r="A30608" s="17"/>
      <c r="H30608" s="18"/>
      <c r="K30608" s="18" t="s">
        <v>316</v>
      </c>
    </row>
    <row r="30609">
      <c r="A30609" s="17"/>
      <c r="H30609" s="18"/>
      <c r="K30609" s="18" t="s">
        <v>316</v>
      </c>
    </row>
    <row r="30610">
      <c r="A30610" s="17"/>
      <c r="H30610" s="18"/>
      <c r="K30610" s="18" t="s">
        <v>316</v>
      </c>
    </row>
    <row r="30611">
      <c r="A30611" s="17"/>
      <c r="H30611" s="18"/>
      <c r="K30611" s="18" t="s">
        <v>316</v>
      </c>
    </row>
    <row r="30612">
      <c r="A30612" s="17"/>
      <c r="H30612" s="18"/>
      <c r="K30612" s="18" t="s">
        <v>316</v>
      </c>
    </row>
    <row r="30613">
      <c r="A30613" s="17"/>
      <c r="H30613" s="18"/>
      <c r="K30613" s="18" t="s">
        <v>316</v>
      </c>
    </row>
    <row r="30614">
      <c r="A30614" s="17"/>
      <c r="H30614" s="18"/>
      <c r="K30614" s="18" t="s">
        <v>316</v>
      </c>
    </row>
    <row r="30615">
      <c r="A30615" s="17"/>
      <c r="H30615" s="18"/>
      <c r="K30615" s="18" t="s">
        <v>316</v>
      </c>
    </row>
    <row r="30616">
      <c r="A30616" s="17"/>
      <c r="H30616" s="18"/>
      <c r="K30616" s="18" t="s">
        <v>316</v>
      </c>
    </row>
    <row r="30617">
      <c r="A30617" s="17"/>
      <c r="H30617" s="18"/>
      <c r="K30617" s="18" t="s">
        <v>316</v>
      </c>
    </row>
    <row r="30618">
      <c r="A30618" s="17"/>
      <c r="H30618" s="18"/>
      <c r="K30618" s="18" t="s">
        <v>316</v>
      </c>
    </row>
    <row r="30619">
      <c r="A30619" s="17"/>
      <c r="H30619" s="18"/>
      <c r="K30619" s="18" t="s">
        <v>316</v>
      </c>
    </row>
    <row r="30620">
      <c r="A30620" s="17"/>
      <c r="H30620" s="18"/>
      <c r="K30620" s="18" t="s">
        <v>316</v>
      </c>
    </row>
    <row r="30621">
      <c r="A30621" s="17"/>
      <c r="H30621" s="18"/>
      <c r="K30621" s="18" t="s">
        <v>316</v>
      </c>
    </row>
    <row r="30622">
      <c r="A30622" s="17"/>
      <c r="H30622" s="18"/>
      <c r="K30622" s="18" t="s">
        <v>316</v>
      </c>
    </row>
    <row r="30623">
      <c r="A30623" s="17"/>
      <c r="H30623" s="18"/>
      <c r="K30623" s="18" t="s">
        <v>316</v>
      </c>
    </row>
    <row r="30624">
      <c r="A30624" s="17"/>
      <c r="H30624" s="18"/>
      <c r="K30624" s="18" t="s">
        <v>316</v>
      </c>
    </row>
    <row r="30625">
      <c r="A30625" s="17"/>
      <c r="H30625" s="18"/>
      <c r="K30625" s="18" t="s">
        <v>316</v>
      </c>
    </row>
    <row r="30626">
      <c r="A30626" s="17"/>
      <c r="H30626" s="18"/>
      <c r="K30626" s="18" t="s">
        <v>316</v>
      </c>
    </row>
    <row r="30627">
      <c r="A30627" s="17"/>
      <c r="H30627" s="18"/>
      <c r="K30627" s="18" t="s">
        <v>316</v>
      </c>
    </row>
    <row r="30628">
      <c r="A30628" s="17"/>
      <c r="H30628" s="18"/>
      <c r="K30628" s="18" t="s">
        <v>316</v>
      </c>
    </row>
    <row r="30629">
      <c r="A30629" s="17"/>
      <c r="H30629" s="18"/>
      <c r="K30629" s="18" t="s">
        <v>316</v>
      </c>
    </row>
    <row r="30630">
      <c r="A30630" s="17"/>
      <c r="H30630" s="18"/>
      <c r="K30630" s="18" t="s">
        <v>316</v>
      </c>
    </row>
    <row r="30631">
      <c r="A30631" s="17"/>
      <c r="H30631" s="18"/>
      <c r="K30631" s="18" t="s">
        <v>316</v>
      </c>
    </row>
    <row r="30632">
      <c r="A30632" s="17"/>
      <c r="H30632" s="18"/>
      <c r="K30632" s="18" t="s">
        <v>316</v>
      </c>
    </row>
    <row r="30633">
      <c r="A30633" s="17"/>
      <c r="H30633" s="18"/>
      <c r="K30633" s="18" t="s">
        <v>316</v>
      </c>
    </row>
    <row r="30634">
      <c r="A30634" s="17"/>
      <c r="H30634" s="18"/>
      <c r="K30634" s="18" t="s">
        <v>316</v>
      </c>
    </row>
    <row r="30635">
      <c r="A30635" s="17"/>
      <c r="H30635" s="18"/>
      <c r="K30635" s="18" t="s">
        <v>316</v>
      </c>
    </row>
    <row r="30636">
      <c r="A30636" s="17"/>
      <c r="H30636" s="18"/>
      <c r="K30636" s="18" t="s">
        <v>316</v>
      </c>
    </row>
    <row r="30637">
      <c r="A30637" s="17"/>
      <c r="H30637" s="18"/>
      <c r="K30637" s="18" t="s">
        <v>316</v>
      </c>
    </row>
    <row r="30638">
      <c r="A30638" s="17"/>
      <c r="H30638" s="18"/>
      <c r="K30638" s="18" t="s">
        <v>316</v>
      </c>
    </row>
    <row r="30639">
      <c r="A30639" s="17"/>
      <c r="H30639" s="18"/>
      <c r="K30639" s="18" t="s">
        <v>316</v>
      </c>
    </row>
    <row r="30640">
      <c r="A30640" s="17"/>
      <c r="H30640" s="18"/>
      <c r="K30640" s="18" t="s">
        <v>316</v>
      </c>
    </row>
    <row r="30641">
      <c r="A30641" s="17"/>
      <c r="H30641" s="18"/>
      <c r="K30641" s="18" t="s">
        <v>316</v>
      </c>
    </row>
    <row r="30642">
      <c r="A30642" s="17"/>
      <c r="H30642" s="18"/>
      <c r="K30642" s="18" t="s">
        <v>316</v>
      </c>
    </row>
    <row r="30643">
      <c r="A30643" s="17"/>
      <c r="H30643" s="18"/>
      <c r="K30643" s="18" t="s">
        <v>316</v>
      </c>
    </row>
    <row r="30644">
      <c r="A30644" s="17"/>
      <c r="H30644" s="18"/>
      <c r="K30644" s="18" t="s">
        <v>316</v>
      </c>
    </row>
    <row r="30645">
      <c r="A30645" s="17"/>
      <c r="H30645" s="18"/>
      <c r="K30645" s="18" t="s">
        <v>316</v>
      </c>
    </row>
    <row r="30646">
      <c r="A30646" s="17"/>
      <c r="H30646" s="18"/>
      <c r="K30646" s="18" t="s">
        <v>316</v>
      </c>
    </row>
    <row r="30647">
      <c r="A30647" s="17"/>
      <c r="H30647" s="18"/>
      <c r="K30647" s="18" t="s">
        <v>316</v>
      </c>
    </row>
    <row r="30648">
      <c r="A30648" s="17"/>
      <c r="H30648" s="18"/>
      <c r="K30648" s="18" t="s">
        <v>316</v>
      </c>
    </row>
    <row r="30649">
      <c r="A30649" s="17"/>
      <c r="H30649" s="18"/>
      <c r="K30649" s="18" t="s">
        <v>316</v>
      </c>
    </row>
    <row r="30650">
      <c r="A30650" s="17"/>
      <c r="H30650" s="18"/>
      <c r="K30650" s="18" t="s">
        <v>316</v>
      </c>
    </row>
    <row r="30651">
      <c r="A30651" s="17"/>
      <c r="H30651" s="18"/>
      <c r="K30651" s="18" t="s">
        <v>316</v>
      </c>
    </row>
    <row r="30652">
      <c r="A30652" s="17"/>
      <c r="H30652" s="18"/>
      <c r="K30652" s="18" t="s">
        <v>316</v>
      </c>
    </row>
    <row r="30653">
      <c r="A30653" s="17"/>
      <c r="H30653" s="18"/>
      <c r="K30653" s="18" t="s">
        <v>316</v>
      </c>
    </row>
    <row r="30654">
      <c r="A30654" s="17"/>
      <c r="H30654" s="18"/>
      <c r="K30654" s="18" t="s">
        <v>316</v>
      </c>
    </row>
    <row r="30655">
      <c r="A30655" s="17"/>
      <c r="H30655" s="18"/>
      <c r="K30655" s="18" t="s">
        <v>316</v>
      </c>
    </row>
    <row r="30656">
      <c r="A30656" s="17"/>
      <c r="H30656" s="18"/>
      <c r="K30656" s="18" t="s">
        <v>316</v>
      </c>
    </row>
    <row r="30657">
      <c r="A30657" s="17"/>
      <c r="H30657" s="18"/>
      <c r="K30657" s="18" t="s">
        <v>316</v>
      </c>
    </row>
    <row r="30658">
      <c r="A30658" s="17"/>
      <c r="H30658" s="18"/>
      <c r="K30658" s="18" t="s">
        <v>316</v>
      </c>
    </row>
    <row r="30659">
      <c r="A30659" s="17"/>
      <c r="H30659" s="18"/>
      <c r="K30659" s="18" t="s">
        <v>316</v>
      </c>
    </row>
    <row r="30660">
      <c r="A30660" s="17"/>
      <c r="H30660" s="18"/>
      <c r="K30660" s="18" t="s">
        <v>316</v>
      </c>
    </row>
    <row r="30661">
      <c r="A30661" s="17"/>
      <c r="H30661" s="18"/>
      <c r="K30661" s="18" t="s">
        <v>316</v>
      </c>
    </row>
    <row r="30662">
      <c r="A30662" s="17"/>
      <c r="H30662" s="18"/>
      <c r="K30662" s="18" t="s">
        <v>316</v>
      </c>
    </row>
    <row r="30663">
      <c r="A30663" s="17"/>
      <c r="H30663" s="18"/>
      <c r="K30663" s="18" t="s">
        <v>316</v>
      </c>
    </row>
    <row r="30664">
      <c r="A30664" s="17"/>
      <c r="H30664" s="18"/>
      <c r="K30664" s="18" t="s">
        <v>316</v>
      </c>
    </row>
    <row r="30665">
      <c r="A30665" s="17"/>
      <c r="H30665" s="18"/>
      <c r="K30665" s="18" t="s">
        <v>316</v>
      </c>
    </row>
    <row r="30666">
      <c r="A30666" s="17"/>
      <c r="H30666" s="18"/>
      <c r="K30666" s="18" t="s">
        <v>316</v>
      </c>
    </row>
    <row r="30667">
      <c r="A30667" s="17"/>
      <c r="H30667" s="18"/>
      <c r="K30667" s="18" t="s">
        <v>316</v>
      </c>
    </row>
    <row r="30668">
      <c r="A30668" s="17"/>
      <c r="H30668" s="18"/>
      <c r="K30668" s="18" t="s">
        <v>316</v>
      </c>
    </row>
    <row r="30669">
      <c r="A30669" s="17"/>
      <c r="H30669" s="18"/>
      <c r="K30669" s="18" t="s">
        <v>316</v>
      </c>
    </row>
    <row r="30670">
      <c r="A30670" s="17"/>
      <c r="H30670" s="18"/>
      <c r="K30670" s="18" t="s">
        <v>316</v>
      </c>
    </row>
    <row r="30671">
      <c r="A30671" s="17"/>
      <c r="H30671" s="18"/>
      <c r="K30671" s="18" t="s">
        <v>316</v>
      </c>
    </row>
    <row r="30672">
      <c r="A30672" s="17"/>
      <c r="H30672" s="18"/>
      <c r="K30672" s="18" t="s">
        <v>316</v>
      </c>
    </row>
    <row r="30673">
      <c r="A30673" s="17"/>
      <c r="H30673" s="18"/>
      <c r="K30673" s="18" t="s">
        <v>316</v>
      </c>
    </row>
    <row r="30674">
      <c r="A30674" s="17"/>
      <c r="H30674" s="18"/>
      <c r="K30674" s="18" t="s">
        <v>316</v>
      </c>
    </row>
    <row r="30675">
      <c r="A30675" s="17"/>
      <c r="H30675" s="18"/>
      <c r="K30675" s="18" t="s">
        <v>316</v>
      </c>
    </row>
    <row r="30676">
      <c r="A30676" s="17"/>
      <c r="H30676" s="18"/>
      <c r="K30676" s="18" t="s">
        <v>316</v>
      </c>
    </row>
    <row r="30677">
      <c r="A30677" s="17"/>
      <c r="H30677" s="18"/>
      <c r="K30677" s="18" t="s">
        <v>316</v>
      </c>
    </row>
    <row r="30678">
      <c r="A30678" s="17"/>
      <c r="H30678" s="18"/>
      <c r="K30678" s="18" t="s">
        <v>316</v>
      </c>
    </row>
    <row r="30679">
      <c r="A30679" s="17"/>
      <c r="H30679" s="18"/>
      <c r="K30679" s="18" t="s">
        <v>316</v>
      </c>
    </row>
    <row r="30680">
      <c r="A30680" s="17"/>
      <c r="H30680" s="18"/>
      <c r="K30680" s="18" t="s">
        <v>316</v>
      </c>
    </row>
    <row r="30681">
      <c r="A30681" s="17"/>
      <c r="H30681" s="18"/>
      <c r="K30681" s="18" t="s">
        <v>316</v>
      </c>
    </row>
    <row r="30682">
      <c r="A30682" s="17"/>
      <c r="H30682" s="18"/>
      <c r="K30682" s="18" t="s">
        <v>316</v>
      </c>
    </row>
    <row r="30683">
      <c r="A30683" s="17"/>
      <c r="H30683" s="18"/>
      <c r="K30683" s="18" t="s">
        <v>316</v>
      </c>
    </row>
    <row r="30684">
      <c r="A30684" s="17"/>
      <c r="H30684" s="18"/>
      <c r="K30684" s="18" t="s">
        <v>316</v>
      </c>
    </row>
    <row r="30685">
      <c r="A30685" s="17"/>
      <c r="H30685" s="18"/>
      <c r="K30685" s="18" t="s">
        <v>316</v>
      </c>
    </row>
    <row r="30686">
      <c r="A30686" s="17"/>
      <c r="H30686" s="18"/>
      <c r="K30686" s="18" t="s">
        <v>316</v>
      </c>
    </row>
    <row r="30687">
      <c r="A30687" s="17"/>
      <c r="H30687" s="18"/>
      <c r="K30687" s="18" t="s">
        <v>316</v>
      </c>
    </row>
    <row r="30688">
      <c r="A30688" s="17"/>
      <c r="H30688" s="18"/>
      <c r="K30688" s="18" t="s">
        <v>316</v>
      </c>
    </row>
    <row r="30689">
      <c r="A30689" s="17"/>
      <c r="H30689" s="18"/>
      <c r="K30689" s="18" t="s">
        <v>316</v>
      </c>
    </row>
    <row r="30690">
      <c r="A30690" s="17"/>
      <c r="H30690" s="18"/>
      <c r="K30690" s="18" t="s">
        <v>316</v>
      </c>
    </row>
    <row r="30691">
      <c r="A30691" s="17"/>
      <c r="H30691" s="18"/>
      <c r="K30691" s="18" t="s">
        <v>316</v>
      </c>
    </row>
    <row r="30692">
      <c r="A30692" s="17"/>
      <c r="H30692" s="18"/>
      <c r="K30692" s="18" t="s">
        <v>316</v>
      </c>
    </row>
    <row r="30693">
      <c r="A30693" s="17"/>
      <c r="H30693" s="18"/>
      <c r="K30693" s="18" t="s">
        <v>316</v>
      </c>
    </row>
    <row r="30694">
      <c r="A30694" s="17"/>
      <c r="H30694" s="18"/>
      <c r="K30694" s="18" t="s">
        <v>316</v>
      </c>
    </row>
    <row r="30695">
      <c r="A30695" s="17"/>
      <c r="H30695" s="18"/>
      <c r="K30695" s="18" t="s">
        <v>316</v>
      </c>
    </row>
    <row r="30696">
      <c r="A30696" s="17"/>
      <c r="H30696" s="18"/>
      <c r="K30696" s="18" t="s">
        <v>316</v>
      </c>
    </row>
    <row r="30697">
      <c r="A30697" s="17"/>
      <c r="H30697" s="18"/>
      <c r="K30697" s="18" t="s">
        <v>316</v>
      </c>
    </row>
    <row r="30698">
      <c r="A30698" s="17"/>
      <c r="H30698" s="18"/>
      <c r="K30698" s="18" t="s">
        <v>316</v>
      </c>
    </row>
    <row r="30699">
      <c r="A30699" s="17"/>
      <c r="H30699" s="18"/>
      <c r="K30699" s="18" t="s">
        <v>316</v>
      </c>
    </row>
    <row r="30700">
      <c r="A30700" s="17"/>
      <c r="H30700" s="18"/>
      <c r="K30700" s="18" t="s">
        <v>316</v>
      </c>
    </row>
    <row r="30701">
      <c r="A30701" s="17"/>
      <c r="H30701" s="18"/>
      <c r="K30701" s="18" t="s">
        <v>316</v>
      </c>
    </row>
    <row r="30702">
      <c r="A30702" s="17"/>
      <c r="H30702" s="18"/>
      <c r="K30702" s="18" t="s">
        <v>316</v>
      </c>
    </row>
    <row r="30703">
      <c r="A30703" s="17"/>
      <c r="H30703" s="18"/>
      <c r="K30703" s="18" t="s">
        <v>316</v>
      </c>
    </row>
    <row r="30704">
      <c r="A30704" s="17"/>
      <c r="H30704" s="18"/>
      <c r="K30704" s="18" t="s">
        <v>316</v>
      </c>
    </row>
    <row r="30705">
      <c r="A30705" s="17"/>
      <c r="H30705" s="18"/>
      <c r="K30705" s="18" t="s">
        <v>316</v>
      </c>
    </row>
    <row r="30706">
      <c r="A30706" s="17"/>
      <c r="H30706" s="18"/>
      <c r="K30706" s="18" t="s">
        <v>316</v>
      </c>
    </row>
    <row r="30707">
      <c r="A30707" s="17"/>
      <c r="H30707" s="18"/>
      <c r="K30707" s="18" t="s">
        <v>316</v>
      </c>
    </row>
    <row r="30708">
      <c r="A30708" s="17"/>
      <c r="H30708" s="18"/>
      <c r="K30708" s="18" t="s">
        <v>316</v>
      </c>
    </row>
    <row r="30709">
      <c r="A30709" s="17"/>
      <c r="H30709" s="18"/>
      <c r="K30709" s="18" t="s">
        <v>316</v>
      </c>
    </row>
    <row r="30710">
      <c r="A30710" s="17"/>
      <c r="H30710" s="18"/>
      <c r="K30710" s="18" t="s">
        <v>316</v>
      </c>
    </row>
    <row r="30711">
      <c r="A30711" s="17"/>
      <c r="H30711" s="18"/>
      <c r="K30711" s="18" t="s">
        <v>316</v>
      </c>
    </row>
    <row r="30712">
      <c r="A30712" s="17"/>
      <c r="H30712" s="18"/>
      <c r="K30712" s="18" t="s">
        <v>316</v>
      </c>
    </row>
    <row r="30713">
      <c r="A30713" s="17"/>
      <c r="H30713" s="18"/>
      <c r="K30713" s="18" t="s">
        <v>316</v>
      </c>
    </row>
    <row r="30714">
      <c r="A30714" s="17"/>
      <c r="H30714" s="18"/>
      <c r="K30714" s="18" t="s">
        <v>316</v>
      </c>
    </row>
    <row r="30715">
      <c r="A30715" s="17"/>
      <c r="H30715" s="18"/>
      <c r="K30715" s="18" t="s">
        <v>316</v>
      </c>
    </row>
    <row r="30716">
      <c r="A30716" s="17"/>
      <c r="H30716" s="18"/>
      <c r="K30716" s="18" t="s">
        <v>316</v>
      </c>
    </row>
    <row r="30717">
      <c r="A30717" s="17"/>
      <c r="H30717" s="18"/>
      <c r="K30717" s="18" t="s">
        <v>316</v>
      </c>
    </row>
    <row r="30718">
      <c r="A30718" s="17"/>
      <c r="H30718" s="18"/>
      <c r="K30718" s="18" t="s">
        <v>316</v>
      </c>
    </row>
    <row r="30719">
      <c r="A30719" s="17"/>
      <c r="H30719" s="18"/>
      <c r="K30719" s="18" t="s">
        <v>316</v>
      </c>
    </row>
    <row r="30720">
      <c r="A30720" s="17"/>
      <c r="H30720" s="18"/>
      <c r="K30720" s="18" t="s">
        <v>316</v>
      </c>
    </row>
    <row r="30721">
      <c r="A30721" s="17"/>
      <c r="H30721" s="18"/>
      <c r="K30721" s="18" t="s">
        <v>316</v>
      </c>
    </row>
    <row r="30722">
      <c r="A30722" s="17"/>
      <c r="H30722" s="18"/>
      <c r="K30722" s="18" t="s">
        <v>316</v>
      </c>
    </row>
    <row r="30723">
      <c r="A30723" s="17"/>
      <c r="H30723" s="18"/>
      <c r="K30723" s="18" t="s">
        <v>316</v>
      </c>
    </row>
    <row r="30724">
      <c r="A30724" s="17"/>
      <c r="H30724" s="18"/>
      <c r="K30724" s="18" t="s">
        <v>316</v>
      </c>
    </row>
    <row r="30725">
      <c r="A30725" s="17"/>
      <c r="H30725" s="18"/>
      <c r="K30725" s="18" t="s">
        <v>316</v>
      </c>
    </row>
    <row r="30726">
      <c r="A30726" s="17"/>
      <c r="H30726" s="18"/>
      <c r="K30726" s="18" t="s">
        <v>316</v>
      </c>
    </row>
    <row r="30727">
      <c r="A30727" s="17"/>
      <c r="H30727" s="18"/>
      <c r="K30727" s="18" t="s">
        <v>316</v>
      </c>
    </row>
    <row r="30728">
      <c r="A30728" s="17"/>
      <c r="H30728" s="18"/>
      <c r="K30728" s="18" t="s">
        <v>316</v>
      </c>
    </row>
    <row r="30729">
      <c r="A30729" s="17"/>
      <c r="H30729" s="18"/>
      <c r="K30729" s="18" t="s">
        <v>316</v>
      </c>
    </row>
    <row r="30730">
      <c r="A30730" s="17"/>
      <c r="H30730" s="18"/>
      <c r="K30730" s="18" t="s">
        <v>316</v>
      </c>
    </row>
    <row r="30731">
      <c r="A30731" s="17"/>
      <c r="H30731" s="18"/>
      <c r="K30731" s="18" t="s">
        <v>316</v>
      </c>
    </row>
    <row r="30732">
      <c r="A30732" s="17"/>
      <c r="H30732" s="18"/>
      <c r="K30732" s="18" t="s">
        <v>316</v>
      </c>
    </row>
    <row r="30733">
      <c r="A30733" s="17"/>
      <c r="H30733" s="18"/>
      <c r="K30733" s="18" t="s">
        <v>316</v>
      </c>
    </row>
    <row r="30734">
      <c r="A30734" s="17"/>
      <c r="H30734" s="18"/>
      <c r="K30734" s="18" t="s">
        <v>316</v>
      </c>
    </row>
    <row r="30735">
      <c r="A30735" s="17"/>
      <c r="H30735" s="18"/>
      <c r="K30735" s="18" t="s">
        <v>316</v>
      </c>
    </row>
    <row r="30736">
      <c r="A30736" s="17"/>
      <c r="H30736" s="18"/>
      <c r="K30736" s="18" t="s">
        <v>316</v>
      </c>
    </row>
    <row r="30737">
      <c r="A30737" s="17"/>
      <c r="H30737" s="18"/>
      <c r="K30737" s="18" t="s">
        <v>316</v>
      </c>
    </row>
    <row r="30738">
      <c r="A30738" s="17"/>
      <c r="H30738" s="18"/>
      <c r="K30738" s="18" t="s">
        <v>316</v>
      </c>
    </row>
    <row r="30739">
      <c r="A30739" s="17"/>
      <c r="H30739" s="18"/>
      <c r="K30739" s="18" t="s">
        <v>316</v>
      </c>
    </row>
    <row r="30740">
      <c r="A30740" s="17"/>
      <c r="H30740" s="18"/>
      <c r="K30740" s="18" t="s">
        <v>316</v>
      </c>
    </row>
    <row r="30741">
      <c r="A30741" s="17"/>
      <c r="H30741" s="18"/>
      <c r="K30741" s="18" t="s">
        <v>316</v>
      </c>
    </row>
    <row r="30742">
      <c r="A30742" s="17"/>
      <c r="H30742" s="18"/>
      <c r="K30742" s="18" t="s">
        <v>316</v>
      </c>
    </row>
    <row r="30743">
      <c r="A30743" s="17"/>
      <c r="H30743" s="18"/>
      <c r="K30743" s="18" t="s">
        <v>316</v>
      </c>
    </row>
    <row r="30744">
      <c r="A30744" s="17"/>
      <c r="H30744" s="18"/>
      <c r="K30744" s="18" t="s">
        <v>316</v>
      </c>
    </row>
    <row r="30745">
      <c r="A30745" s="17"/>
      <c r="H30745" s="18"/>
      <c r="K30745" s="18" t="s">
        <v>316</v>
      </c>
    </row>
    <row r="30746">
      <c r="A30746" s="17"/>
      <c r="H30746" s="18"/>
      <c r="K30746" s="18" t="s">
        <v>316</v>
      </c>
    </row>
    <row r="30747">
      <c r="A30747" s="17"/>
      <c r="H30747" s="18"/>
      <c r="K30747" s="18" t="s">
        <v>316</v>
      </c>
    </row>
    <row r="30748">
      <c r="A30748" s="17"/>
      <c r="H30748" s="18"/>
      <c r="K30748" s="18" t="s">
        <v>316</v>
      </c>
    </row>
    <row r="30749">
      <c r="A30749" s="17"/>
      <c r="H30749" s="18"/>
      <c r="K30749" s="18" t="s">
        <v>316</v>
      </c>
    </row>
    <row r="30750">
      <c r="A30750" s="17"/>
      <c r="H30750" s="18"/>
      <c r="K30750" s="18" t="s">
        <v>316</v>
      </c>
    </row>
    <row r="30751">
      <c r="A30751" s="17"/>
      <c r="H30751" s="18"/>
      <c r="K30751" s="18" t="s">
        <v>316</v>
      </c>
    </row>
    <row r="30752">
      <c r="A30752" s="17"/>
      <c r="H30752" s="18"/>
      <c r="K30752" s="18" t="s">
        <v>316</v>
      </c>
    </row>
    <row r="30753">
      <c r="A30753" s="17"/>
      <c r="H30753" s="18"/>
      <c r="K30753" s="18" t="s">
        <v>316</v>
      </c>
    </row>
    <row r="30754">
      <c r="A30754" s="17"/>
      <c r="H30754" s="18"/>
      <c r="K30754" s="18" t="s">
        <v>316</v>
      </c>
    </row>
    <row r="30755">
      <c r="A30755" s="17"/>
      <c r="H30755" s="18"/>
      <c r="K30755" s="18" t="s">
        <v>316</v>
      </c>
    </row>
    <row r="30756">
      <c r="A30756" s="17"/>
      <c r="H30756" s="18"/>
      <c r="K30756" s="18" t="s">
        <v>316</v>
      </c>
    </row>
    <row r="30757">
      <c r="A30757" s="17"/>
      <c r="H30757" s="18"/>
      <c r="K30757" s="18" t="s">
        <v>316</v>
      </c>
    </row>
    <row r="30758">
      <c r="A30758" s="17"/>
      <c r="H30758" s="18"/>
      <c r="K30758" s="18" t="s">
        <v>316</v>
      </c>
    </row>
    <row r="30759">
      <c r="A30759" s="17"/>
      <c r="H30759" s="18"/>
      <c r="K30759" s="18" t="s">
        <v>316</v>
      </c>
    </row>
    <row r="30760">
      <c r="A30760" s="17"/>
      <c r="H30760" s="18"/>
      <c r="K30760" s="18" t="s">
        <v>316</v>
      </c>
    </row>
    <row r="30761">
      <c r="A30761" s="17"/>
      <c r="H30761" s="18"/>
      <c r="K30761" s="18" t="s">
        <v>316</v>
      </c>
    </row>
    <row r="30762">
      <c r="A30762" s="17"/>
      <c r="H30762" s="18"/>
      <c r="K30762" s="18" t="s">
        <v>316</v>
      </c>
    </row>
    <row r="30763">
      <c r="A30763" s="17"/>
      <c r="H30763" s="18"/>
      <c r="K30763" s="18" t="s">
        <v>316</v>
      </c>
    </row>
    <row r="30764">
      <c r="A30764" s="17"/>
      <c r="H30764" s="18"/>
      <c r="K30764" s="18" t="s">
        <v>316</v>
      </c>
    </row>
    <row r="30765">
      <c r="A30765" s="17"/>
      <c r="H30765" s="18"/>
      <c r="K30765" s="18" t="s">
        <v>316</v>
      </c>
    </row>
    <row r="30766">
      <c r="A30766" s="17"/>
      <c r="H30766" s="18"/>
      <c r="K30766" s="18" t="s">
        <v>316</v>
      </c>
    </row>
    <row r="30767">
      <c r="A30767" s="17"/>
      <c r="H30767" s="18"/>
      <c r="K30767" s="18" t="s">
        <v>316</v>
      </c>
    </row>
    <row r="30768">
      <c r="A30768" s="17"/>
      <c r="H30768" s="18"/>
      <c r="K30768" s="18" t="s">
        <v>316</v>
      </c>
    </row>
    <row r="30769">
      <c r="A30769" s="17"/>
      <c r="H30769" s="18"/>
      <c r="K30769" s="18" t="s">
        <v>316</v>
      </c>
    </row>
    <row r="30770">
      <c r="A30770" s="17"/>
      <c r="H30770" s="18"/>
      <c r="K30770" s="18" t="s">
        <v>316</v>
      </c>
    </row>
    <row r="30771">
      <c r="A30771" s="17"/>
      <c r="H30771" s="18"/>
      <c r="K30771" s="18" t="s">
        <v>316</v>
      </c>
    </row>
    <row r="30772">
      <c r="A30772" s="17"/>
      <c r="H30772" s="18"/>
      <c r="K30772" s="18" t="s">
        <v>316</v>
      </c>
    </row>
    <row r="30773">
      <c r="A30773" s="17"/>
      <c r="H30773" s="18"/>
      <c r="K30773" s="18" t="s">
        <v>316</v>
      </c>
    </row>
    <row r="30774">
      <c r="A30774" s="17"/>
      <c r="H30774" s="18"/>
      <c r="K30774" s="18" t="s">
        <v>316</v>
      </c>
    </row>
    <row r="30775">
      <c r="A30775" s="17"/>
      <c r="H30775" s="18"/>
      <c r="K30775" s="18" t="s">
        <v>316</v>
      </c>
    </row>
    <row r="30776">
      <c r="A30776" s="17"/>
      <c r="H30776" s="18"/>
      <c r="K30776" s="18" t="s">
        <v>316</v>
      </c>
    </row>
    <row r="30777">
      <c r="A30777" s="17"/>
      <c r="H30777" s="18"/>
      <c r="K30777" s="18" t="s">
        <v>316</v>
      </c>
    </row>
    <row r="30778">
      <c r="A30778" s="17"/>
      <c r="H30778" s="18"/>
      <c r="K30778" s="18" t="s">
        <v>316</v>
      </c>
    </row>
    <row r="30779">
      <c r="A30779" s="17"/>
      <c r="H30779" s="18"/>
      <c r="K30779" s="18" t="s">
        <v>316</v>
      </c>
    </row>
    <row r="30780">
      <c r="A30780" s="17"/>
      <c r="H30780" s="18"/>
      <c r="K30780" s="18" t="s">
        <v>316</v>
      </c>
    </row>
    <row r="30781">
      <c r="A30781" s="17"/>
      <c r="H30781" s="18"/>
      <c r="K30781" s="18" t="s">
        <v>316</v>
      </c>
    </row>
    <row r="30782">
      <c r="A30782" s="17"/>
      <c r="H30782" s="18"/>
      <c r="K30782" s="18" t="s">
        <v>316</v>
      </c>
    </row>
    <row r="30783">
      <c r="A30783" s="17"/>
      <c r="H30783" s="18"/>
      <c r="K30783" s="18" t="s">
        <v>316</v>
      </c>
    </row>
    <row r="30784">
      <c r="A30784" s="17"/>
      <c r="H30784" s="18"/>
      <c r="K30784" s="18" t="s">
        <v>316</v>
      </c>
    </row>
    <row r="30785">
      <c r="A30785" s="17"/>
      <c r="H30785" s="18"/>
      <c r="K30785" s="18" t="s">
        <v>316</v>
      </c>
    </row>
    <row r="30786">
      <c r="A30786" s="17"/>
      <c r="H30786" s="18"/>
      <c r="K30786" s="18" t="s">
        <v>316</v>
      </c>
    </row>
    <row r="30787">
      <c r="A30787" s="17"/>
      <c r="H30787" s="18"/>
      <c r="K30787" s="18" t="s">
        <v>316</v>
      </c>
    </row>
    <row r="30788">
      <c r="A30788" s="17"/>
      <c r="H30788" s="18"/>
      <c r="K30788" s="18" t="s">
        <v>316</v>
      </c>
    </row>
    <row r="30789">
      <c r="A30789" s="17"/>
      <c r="H30789" s="18"/>
      <c r="K30789" s="18" t="s">
        <v>316</v>
      </c>
    </row>
    <row r="30790">
      <c r="A30790" s="17"/>
      <c r="H30790" s="18"/>
      <c r="K30790" s="18" t="s">
        <v>316</v>
      </c>
    </row>
    <row r="30791">
      <c r="A30791" s="17"/>
      <c r="H30791" s="18"/>
      <c r="K30791" s="18" t="s">
        <v>316</v>
      </c>
    </row>
    <row r="30792">
      <c r="A30792" s="17"/>
      <c r="H30792" s="18"/>
      <c r="K30792" s="18" t="s">
        <v>316</v>
      </c>
    </row>
    <row r="30793">
      <c r="A30793" s="17"/>
      <c r="H30793" s="18"/>
      <c r="K30793" s="18" t="s">
        <v>316</v>
      </c>
    </row>
    <row r="30794">
      <c r="A30794" s="17"/>
      <c r="H30794" s="18"/>
      <c r="K30794" s="18" t="s">
        <v>316</v>
      </c>
    </row>
    <row r="30795">
      <c r="A30795" s="17"/>
      <c r="H30795" s="18"/>
      <c r="K30795" s="18" t="s">
        <v>316</v>
      </c>
    </row>
    <row r="30796">
      <c r="A30796" s="17"/>
      <c r="H30796" s="18"/>
      <c r="K30796" s="18" t="s">
        <v>316</v>
      </c>
    </row>
    <row r="30797">
      <c r="A30797" s="17"/>
      <c r="H30797" s="18"/>
      <c r="K30797" s="18" t="s">
        <v>316</v>
      </c>
    </row>
    <row r="30798">
      <c r="A30798" s="17"/>
      <c r="H30798" s="18"/>
      <c r="K30798" s="18" t="s">
        <v>316</v>
      </c>
    </row>
    <row r="30799">
      <c r="A30799" s="17"/>
      <c r="H30799" s="18"/>
      <c r="K30799" s="18" t="s">
        <v>316</v>
      </c>
    </row>
    <row r="30800">
      <c r="A30800" s="17"/>
      <c r="H30800" s="18"/>
      <c r="K30800" s="18" t="s">
        <v>316</v>
      </c>
    </row>
    <row r="30801">
      <c r="A30801" s="17"/>
      <c r="H30801" s="18"/>
      <c r="K30801" s="18" t="s">
        <v>316</v>
      </c>
    </row>
    <row r="30802">
      <c r="A30802" s="17"/>
      <c r="H30802" s="18"/>
      <c r="K30802" s="18" t="s">
        <v>316</v>
      </c>
    </row>
    <row r="30803">
      <c r="A30803" s="17"/>
      <c r="H30803" s="18"/>
      <c r="K30803" s="18" t="s">
        <v>316</v>
      </c>
    </row>
    <row r="30804">
      <c r="A30804" s="17"/>
      <c r="H30804" s="18"/>
      <c r="K30804" s="18" t="s">
        <v>316</v>
      </c>
    </row>
    <row r="30805">
      <c r="A30805" s="17"/>
      <c r="H30805" s="18"/>
      <c r="K30805" s="18" t="s">
        <v>316</v>
      </c>
    </row>
    <row r="30806">
      <c r="A30806" s="17"/>
      <c r="H30806" s="18"/>
      <c r="K30806" s="18" t="s">
        <v>316</v>
      </c>
    </row>
    <row r="30807">
      <c r="A30807" s="17"/>
      <c r="H30807" s="18"/>
      <c r="K30807" s="18" t="s">
        <v>316</v>
      </c>
    </row>
    <row r="30808">
      <c r="A30808" s="17"/>
      <c r="H30808" s="18"/>
      <c r="K30808" s="18" t="s">
        <v>316</v>
      </c>
    </row>
    <row r="30809">
      <c r="A30809" s="17"/>
      <c r="H30809" s="18"/>
      <c r="K30809" s="18" t="s">
        <v>316</v>
      </c>
    </row>
    <row r="30810">
      <c r="A30810" s="17"/>
      <c r="H30810" s="18"/>
      <c r="K30810" s="18" t="s">
        <v>316</v>
      </c>
    </row>
    <row r="30811">
      <c r="A30811" s="17"/>
      <c r="H30811" s="18"/>
      <c r="K30811" s="18" t="s">
        <v>316</v>
      </c>
    </row>
    <row r="30812">
      <c r="A30812" s="17"/>
      <c r="H30812" s="18"/>
      <c r="K30812" s="18" t="s">
        <v>316</v>
      </c>
    </row>
    <row r="30813">
      <c r="A30813" s="17"/>
      <c r="H30813" s="18"/>
      <c r="K30813" s="18" t="s">
        <v>316</v>
      </c>
    </row>
    <row r="30814">
      <c r="A30814" s="17"/>
      <c r="H30814" s="18"/>
      <c r="K30814" s="18" t="s">
        <v>316</v>
      </c>
    </row>
    <row r="30815">
      <c r="A30815" s="17"/>
      <c r="H30815" s="18"/>
      <c r="K30815" s="18" t="s">
        <v>316</v>
      </c>
    </row>
    <row r="30816">
      <c r="A30816" s="17"/>
      <c r="H30816" s="18"/>
      <c r="K30816" s="18" t="s">
        <v>316</v>
      </c>
    </row>
    <row r="30817">
      <c r="A30817" s="17"/>
      <c r="H30817" s="18"/>
      <c r="K30817" s="18" t="s">
        <v>316</v>
      </c>
    </row>
    <row r="30818">
      <c r="A30818" s="17"/>
      <c r="H30818" s="18"/>
      <c r="K30818" s="18" t="s">
        <v>316</v>
      </c>
    </row>
    <row r="30819">
      <c r="A30819" s="17"/>
      <c r="H30819" s="18"/>
      <c r="K30819" s="18" t="s">
        <v>316</v>
      </c>
    </row>
    <row r="30820">
      <c r="A30820" s="17"/>
      <c r="H30820" s="18"/>
      <c r="K30820" s="18" t="s">
        <v>316</v>
      </c>
    </row>
    <row r="30821">
      <c r="A30821" s="17"/>
      <c r="H30821" s="18"/>
      <c r="K30821" s="18" t="s">
        <v>316</v>
      </c>
    </row>
    <row r="30822">
      <c r="A30822" s="17"/>
      <c r="H30822" s="18"/>
      <c r="K30822" s="18" t="s">
        <v>316</v>
      </c>
    </row>
    <row r="30823">
      <c r="A30823" s="17"/>
      <c r="H30823" s="18"/>
      <c r="K30823" s="18" t="s">
        <v>316</v>
      </c>
    </row>
    <row r="30824">
      <c r="A30824" s="17"/>
      <c r="H30824" s="18"/>
      <c r="K30824" s="18" t="s">
        <v>316</v>
      </c>
    </row>
    <row r="30825">
      <c r="A30825" s="17"/>
      <c r="H30825" s="18"/>
      <c r="K30825" s="18" t="s">
        <v>316</v>
      </c>
    </row>
    <row r="30826">
      <c r="A30826" s="17"/>
      <c r="H30826" s="18"/>
      <c r="K30826" s="18" t="s">
        <v>316</v>
      </c>
    </row>
    <row r="30827">
      <c r="A30827" s="17"/>
      <c r="H30827" s="18"/>
      <c r="K30827" s="18" t="s">
        <v>316</v>
      </c>
    </row>
    <row r="30828">
      <c r="A30828" s="17"/>
      <c r="H30828" s="18"/>
      <c r="K30828" s="18" t="s">
        <v>316</v>
      </c>
    </row>
    <row r="30829">
      <c r="A30829" s="17"/>
      <c r="H30829" s="18"/>
      <c r="K30829" s="18" t="s">
        <v>316</v>
      </c>
    </row>
    <row r="30830">
      <c r="A30830" s="17"/>
      <c r="H30830" s="18"/>
      <c r="K30830" s="18" t="s">
        <v>316</v>
      </c>
    </row>
    <row r="30831">
      <c r="A30831" s="17"/>
      <c r="H30831" s="18"/>
      <c r="K30831" s="18" t="s">
        <v>316</v>
      </c>
    </row>
    <row r="30832">
      <c r="A30832" s="17"/>
      <c r="H30832" s="18"/>
      <c r="K30832" s="18" t="s">
        <v>316</v>
      </c>
    </row>
    <row r="30833">
      <c r="A30833" s="17"/>
      <c r="H30833" s="18"/>
      <c r="K30833" s="18" t="s">
        <v>316</v>
      </c>
    </row>
    <row r="30834">
      <c r="A30834" s="17"/>
      <c r="H30834" s="18"/>
      <c r="K30834" s="18" t="s">
        <v>316</v>
      </c>
    </row>
    <row r="30835">
      <c r="A30835" s="17"/>
      <c r="H30835" s="18"/>
      <c r="K30835" s="18" t="s">
        <v>316</v>
      </c>
    </row>
    <row r="30836">
      <c r="A30836" s="17"/>
      <c r="H30836" s="18"/>
      <c r="K30836" s="18" t="s">
        <v>316</v>
      </c>
    </row>
    <row r="30837">
      <c r="A30837" s="17"/>
      <c r="H30837" s="18"/>
      <c r="K30837" s="18" t="s">
        <v>316</v>
      </c>
    </row>
    <row r="30838">
      <c r="A30838" s="17"/>
      <c r="H30838" s="18"/>
      <c r="K30838" s="18" t="s">
        <v>316</v>
      </c>
    </row>
    <row r="30839">
      <c r="A30839" s="17"/>
      <c r="H30839" s="18"/>
      <c r="K30839" s="18" t="s">
        <v>316</v>
      </c>
    </row>
    <row r="30840">
      <c r="A30840" s="17"/>
      <c r="H30840" s="18"/>
      <c r="K30840" s="18" t="s">
        <v>316</v>
      </c>
    </row>
    <row r="30841">
      <c r="A30841" s="17"/>
      <c r="H30841" s="18"/>
      <c r="K30841" s="18" t="s">
        <v>316</v>
      </c>
    </row>
    <row r="30842">
      <c r="A30842" s="17"/>
      <c r="H30842" s="18"/>
      <c r="K30842" s="18" t="s">
        <v>316</v>
      </c>
    </row>
    <row r="30843">
      <c r="A30843" s="17"/>
      <c r="H30843" s="18"/>
      <c r="K30843" s="18" t="s">
        <v>316</v>
      </c>
    </row>
    <row r="30844">
      <c r="A30844" s="17"/>
      <c r="H30844" s="18"/>
      <c r="K30844" s="18" t="s">
        <v>316</v>
      </c>
    </row>
    <row r="30845">
      <c r="A30845" s="17"/>
      <c r="H30845" s="18"/>
      <c r="K30845" s="18" t="s">
        <v>316</v>
      </c>
    </row>
    <row r="30846">
      <c r="A30846" s="17"/>
      <c r="H30846" s="18"/>
      <c r="K30846" s="18" t="s">
        <v>316</v>
      </c>
    </row>
    <row r="30847">
      <c r="A30847" s="17"/>
      <c r="H30847" s="18"/>
      <c r="K30847" s="18" t="s">
        <v>316</v>
      </c>
    </row>
    <row r="30848">
      <c r="A30848" s="17"/>
      <c r="H30848" s="18"/>
      <c r="K30848" s="18" t="s">
        <v>316</v>
      </c>
    </row>
    <row r="30849">
      <c r="A30849" s="17"/>
      <c r="H30849" s="18"/>
      <c r="K30849" s="18" t="s">
        <v>316</v>
      </c>
    </row>
    <row r="30850">
      <c r="A30850" s="17"/>
      <c r="H30850" s="18"/>
      <c r="K30850" s="18" t="s">
        <v>316</v>
      </c>
    </row>
    <row r="30851">
      <c r="A30851" s="17"/>
      <c r="H30851" s="18"/>
      <c r="K30851" s="18" t="s">
        <v>316</v>
      </c>
    </row>
    <row r="30852">
      <c r="A30852" s="17"/>
      <c r="H30852" s="18"/>
      <c r="K30852" s="18" t="s">
        <v>316</v>
      </c>
    </row>
    <row r="30853">
      <c r="A30853" s="17"/>
      <c r="H30853" s="18"/>
      <c r="K30853" s="18" t="s">
        <v>316</v>
      </c>
    </row>
    <row r="30854">
      <c r="A30854" s="17"/>
      <c r="H30854" s="18"/>
      <c r="K30854" s="18" t="s">
        <v>316</v>
      </c>
    </row>
    <row r="30855">
      <c r="A30855" s="17"/>
      <c r="H30855" s="18"/>
      <c r="K30855" s="18" t="s">
        <v>316</v>
      </c>
    </row>
    <row r="30856">
      <c r="A30856" s="17"/>
      <c r="H30856" s="18"/>
      <c r="K30856" s="18" t="s">
        <v>316</v>
      </c>
    </row>
    <row r="30857">
      <c r="A30857" s="17"/>
      <c r="H30857" s="18"/>
      <c r="K30857" s="18" t="s">
        <v>316</v>
      </c>
    </row>
    <row r="30858">
      <c r="A30858" s="17"/>
      <c r="H30858" s="18"/>
      <c r="K30858" s="18" t="s">
        <v>316</v>
      </c>
    </row>
    <row r="30859">
      <c r="A30859" s="17"/>
      <c r="H30859" s="18"/>
      <c r="K30859" s="18" t="s">
        <v>316</v>
      </c>
    </row>
    <row r="30860">
      <c r="A30860" s="17"/>
      <c r="H30860" s="18"/>
      <c r="K30860" s="18" t="s">
        <v>316</v>
      </c>
    </row>
    <row r="30861">
      <c r="A30861" s="17"/>
      <c r="H30861" s="18"/>
      <c r="K30861" s="18" t="s">
        <v>316</v>
      </c>
    </row>
    <row r="30862">
      <c r="A30862" s="17"/>
      <c r="H30862" s="18"/>
      <c r="K30862" s="18" t="s">
        <v>316</v>
      </c>
    </row>
    <row r="30863">
      <c r="A30863" s="17"/>
      <c r="H30863" s="18"/>
      <c r="K30863" s="18" t="s">
        <v>316</v>
      </c>
    </row>
    <row r="30864">
      <c r="A30864" s="17"/>
      <c r="H30864" s="18"/>
      <c r="K30864" s="18" t="s">
        <v>316</v>
      </c>
    </row>
    <row r="30865">
      <c r="A30865" s="17"/>
      <c r="H30865" s="18"/>
      <c r="K30865" s="18" t="s">
        <v>316</v>
      </c>
    </row>
    <row r="30866">
      <c r="A30866" s="17"/>
      <c r="H30866" s="18"/>
      <c r="K30866" s="18" t="s">
        <v>316</v>
      </c>
    </row>
    <row r="30867">
      <c r="A30867" s="17"/>
      <c r="H30867" s="18"/>
      <c r="K30867" s="18" t="s">
        <v>316</v>
      </c>
    </row>
    <row r="30868">
      <c r="A30868" s="17"/>
      <c r="H30868" s="18"/>
      <c r="K30868" s="18" t="s">
        <v>316</v>
      </c>
    </row>
    <row r="30869">
      <c r="A30869" s="17"/>
      <c r="H30869" s="18"/>
      <c r="K30869" s="18" t="s">
        <v>316</v>
      </c>
    </row>
    <row r="30870">
      <c r="A30870" s="17"/>
      <c r="H30870" s="18"/>
      <c r="K30870" s="18" t="s">
        <v>316</v>
      </c>
    </row>
    <row r="30871">
      <c r="A30871" s="17"/>
      <c r="H30871" s="18"/>
      <c r="K30871" s="18" t="s">
        <v>316</v>
      </c>
    </row>
    <row r="30872">
      <c r="A30872" s="17"/>
      <c r="H30872" s="18"/>
      <c r="K30872" s="18" t="s">
        <v>316</v>
      </c>
    </row>
    <row r="30873">
      <c r="A30873" s="17"/>
      <c r="H30873" s="18"/>
      <c r="K30873" s="18" t="s">
        <v>316</v>
      </c>
    </row>
    <row r="30874">
      <c r="A30874" s="17"/>
      <c r="H30874" s="18"/>
      <c r="K30874" s="18" t="s">
        <v>316</v>
      </c>
    </row>
    <row r="30875">
      <c r="A30875" s="17"/>
      <c r="H30875" s="18"/>
      <c r="K30875" s="18" t="s">
        <v>316</v>
      </c>
    </row>
    <row r="30876">
      <c r="A30876" s="17"/>
      <c r="H30876" s="18"/>
      <c r="K30876" s="18" t="s">
        <v>316</v>
      </c>
    </row>
    <row r="30877">
      <c r="A30877" s="17"/>
      <c r="H30877" s="18"/>
      <c r="K30877" s="18" t="s">
        <v>316</v>
      </c>
    </row>
    <row r="30878">
      <c r="A30878" s="17"/>
      <c r="H30878" s="18"/>
      <c r="K30878" s="18" t="s">
        <v>316</v>
      </c>
    </row>
    <row r="30879">
      <c r="A30879" s="17"/>
      <c r="H30879" s="18"/>
      <c r="K30879" s="18" t="s">
        <v>316</v>
      </c>
    </row>
    <row r="30880">
      <c r="A30880" s="17"/>
      <c r="H30880" s="18"/>
      <c r="K30880" s="18" t="s">
        <v>316</v>
      </c>
    </row>
    <row r="30881">
      <c r="A30881" s="17"/>
      <c r="H30881" s="18"/>
      <c r="K30881" s="18" t="s">
        <v>316</v>
      </c>
    </row>
    <row r="30882">
      <c r="A30882" s="17"/>
      <c r="H30882" s="18"/>
      <c r="K30882" s="18" t="s">
        <v>316</v>
      </c>
    </row>
    <row r="30883">
      <c r="A30883" s="17"/>
      <c r="H30883" s="18"/>
      <c r="K30883" s="18" t="s">
        <v>316</v>
      </c>
    </row>
    <row r="30884">
      <c r="A30884" s="17"/>
      <c r="H30884" s="18"/>
      <c r="K30884" s="18" t="s">
        <v>316</v>
      </c>
    </row>
    <row r="30885">
      <c r="A30885" s="17"/>
      <c r="H30885" s="18"/>
      <c r="K30885" s="18" t="s">
        <v>316</v>
      </c>
    </row>
    <row r="30886">
      <c r="A30886" s="17"/>
      <c r="H30886" s="18"/>
      <c r="K30886" s="18" t="s">
        <v>316</v>
      </c>
    </row>
    <row r="30887">
      <c r="A30887" s="17"/>
      <c r="H30887" s="18"/>
      <c r="K30887" s="18" t="s">
        <v>316</v>
      </c>
    </row>
    <row r="30888">
      <c r="A30888" s="17"/>
      <c r="H30888" s="18"/>
      <c r="K30888" s="18" t="s">
        <v>316</v>
      </c>
    </row>
    <row r="30889">
      <c r="A30889" s="17"/>
      <c r="H30889" s="18"/>
      <c r="K30889" s="18" t="s">
        <v>316</v>
      </c>
    </row>
    <row r="30890">
      <c r="A30890" s="17"/>
      <c r="H30890" s="18"/>
      <c r="K30890" s="18" t="s">
        <v>316</v>
      </c>
    </row>
    <row r="30891">
      <c r="A30891" s="17"/>
      <c r="H30891" s="18"/>
      <c r="K30891" s="18" t="s">
        <v>316</v>
      </c>
    </row>
    <row r="30892">
      <c r="A30892" s="17"/>
      <c r="H30892" s="18"/>
      <c r="K30892" s="18" t="s">
        <v>316</v>
      </c>
    </row>
    <row r="30893">
      <c r="A30893" s="17"/>
      <c r="H30893" s="18"/>
      <c r="K30893" s="18" t="s">
        <v>316</v>
      </c>
    </row>
    <row r="30894">
      <c r="A30894" s="17"/>
      <c r="H30894" s="18"/>
      <c r="K30894" s="18" t="s">
        <v>316</v>
      </c>
    </row>
    <row r="30895">
      <c r="A30895" s="17"/>
      <c r="H30895" s="18"/>
      <c r="K30895" s="18" t="s">
        <v>316</v>
      </c>
    </row>
    <row r="30896">
      <c r="A30896" s="17"/>
      <c r="H30896" s="18"/>
      <c r="K30896" s="18" t="s">
        <v>316</v>
      </c>
    </row>
    <row r="30897">
      <c r="A30897" s="17"/>
      <c r="H30897" s="18"/>
      <c r="K30897" s="18" t="s">
        <v>316</v>
      </c>
    </row>
    <row r="30898">
      <c r="A30898" s="17"/>
      <c r="H30898" s="18"/>
      <c r="K30898" s="18" t="s">
        <v>316</v>
      </c>
    </row>
    <row r="30899">
      <c r="A30899" s="17"/>
      <c r="H30899" s="18"/>
      <c r="K30899" s="18" t="s">
        <v>316</v>
      </c>
    </row>
    <row r="30900">
      <c r="A30900" s="17"/>
      <c r="H30900" s="18"/>
      <c r="K30900" s="18" t="s">
        <v>316</v>
      </c>
    </row>
    <row r="30901">
      <c r="A30901" s="17"/>
      <c r="H30901" s="18"/>
      <c r="K30901" s="18" t="s">
        <v>316</v>
      </c>
    </row>
    <row r="30902">
      <c r="A30902" s="17"/>
      <c r="H30902" s="18"/>
      <c r="K30902" s="18" t="s">
        <v>316</v>
      </c>
    </row>
    <row r="30903">
      <c r="A30903" s="17"/>
      <c r="H30903" s="18"/>
      <c r="K30903" s="18" t="s">
        <v>316</v>
      </c>
    </row>
    <row r="30904">
      <c r="A30904" s="17"/>
      <c r="H30904" s="18"/>
      <c r="K30904" s="18" t="s">
        <v>316</v>
      </c>
    </row>
    <row r="30905">
      <c r="A30905" s="17"/>
      <c r="H30905" s="18"/>
      <c r="K30905" s="18" t="s">
        <v>316</v>
      </c>
    </row>
    <row r="30906">
      <c r="A30906" s="17"/>
      <c r="H30906" s="18"/>
      <c r="K30906" s="18" t="s">
        <v>316</v>
      </c>
    </row>
    <row r="30907">
      <c r="A30907" s="17"/>
      <c r="H30907" s="18"/>
      <c r="K30907" s="18" t="s">
        <v>316</v>
      </c>
    </row>
    <row r="30908">
      <c r="A30908" s="17"/>
      <c r="H30908" s="18"/>
      <c r="K30908" s="18" t="s">
        <v>316</v>
      </c>
    </row>
    <row r="30909">
      <c r="A30909" s="17"/>
      <c r="H30909" s="18"/>
      <c r="K30909" s="18" t="s">
        <v>316</v>
      </c>
    </row>
    <row r="30910">
      <c r="A30910" s="17"/>
      <c r="H30910" s="18"/>
      <c r="K30910" s="18" t="s">
        <v>316</v>
      </c>
    </row>
    <row r="30911">
      <c r="A30911" s="17"/>
      <c r="H30911" s="18"/>
      <c r="K30911" s="18" t="s">
        <v>316</v>
      </c>
    </row>
    <row r="30912">
      <c r="A30912" s="17"/>
      <c r="H30912" s="18"/>
      <c r="K30912" s="18" t="s">
        <v>316</v>
      </c>
    </row>
    <row r="30913">
      <c r="A30913" s="17"/>
      <c r="H30913" s="18"/>
      <c r="K30913" s="18" t="s">
        <v>316</v>
      </c>
    </row>
    <row r="30914">
      <c r="A30914" s="17"/>
      <c r="H30914" s="18"/>
      <c r="K30914" s="18" t="s">
        <v>316</v>
      </c>
    </row>
    <row r="30915">
      <c r="A30915" s="17"/>
      <c r="H30915" s="18"/>
      <c r="K30915" s="18" t="s">
        <v>316</v>
      </c>
    </row>
    <row r="30916">
      <c r="A30916" s="17"/>
      <c r="H30916" s="18"/>
      <c r="K30916" s="18" t="s">
        <v>316</v>
      </c>
    </row>
    <row r="30917">
      <c r="A30917" s="17"/>
      <c r="H30917" s="18"/>
      <c r="K30917" s="18" t="s">
        <v>316</v>
      </c>
    </row>
    <row r="30918">
      <c r="A30918" s="17"/>
      <c r="H30918" s="18"/>
      <c r="K30918" s="18" t="s">
        <v>316</v>
      </c>
    </row>
    <row r="30919">
      <c r="A30919" s="17"/>
      <c r="H30919" s="18"/>
      <c r="K30919" s="18" t="s">
        <v>316</v>
      </c>
    </row>
    <row r="30920">
      <c r="A30920" s="17"/>
      <c r="H30920" s="18"/>
      <c r="K30920" s="18" t="s">
        <v>316</v>
      </c>
    </row>
    <row r="30921">
      <c r="A30921" s="17"/>
      <c r="H30921" s="18"/>
      <c r="K30921" s="18" t="s">
        <v>316</v>
      </c>
    </row>
    <row r="30922">
      <c r="A30922" s="17"/>
      <c r="H30922" s="18"/>
      <c r="K30922" s="18" t="s">
        <v>316</v>
      </c>
    </row>
    <row r="30923">
      <c r="A30923" s="17"/>
      <c r="H30923" s="18"/>
      <c r="K30923" s="18" t="s">
        <v>316</v>
      </c>
    </row>
    <row r="30924">
      <c r="A30924" s="17"/>
      <c r="H30924" s="18"/>
      <c r="K30924" s="18" t="s">
        <v>316</v>
      </c>
    </row>
    <row r="30925">
      <c r="A30925" s="17"/>
      <c r="H30925" s="18"/>
      <c r="K30925" s="18" t="s">
        <v>316</v>
      </c>
    </row>
    <row r="30926">
      <c r="A30926" s="17"/>
      <c r="H30926" s="18"/>
      <c r="K30926" s="18" t="s">
        <v>316</v>
      </c>
    </row>
    <row r="30927">
      <c r="A30927" s="17"/>
      <c r="H30927" s="18"/>
      <c r="K30927" s="18" t="s">
        <v>316</v>
      </c>
    </row>
    <row r="30928">
      <c r="A30928" s="17"/>
      <c r="H30928" s="18"/>
      <c r="K30928" s="18" t="s">
        <v>316</v>
      </c>
    </row>
    <row r="30929">
      <c r="A30929" s="17"/>
      <c r="H30929" s="18"/>
      <c r="K30929" s="18" t="s">
        <v>316</v>
      </c>
    </row>
    <row r="30930">
      <c r="A30930" s="17"/>
      <c r="H30930" s="18"/>
      <c r="K30930" s="18" t="s">
        <v>316</v>
      </c>
    </row>
    <row r="30931">
      <c r="A30931" s="17"/>
      <c r="H30931" s="18"/>
      <c r="K30931" s="18" t="s">
        <v>316</v>
      </c>
    </row>
    <row r="30932">
      <c r="A30932" s="17"/>
      <c r="H30932" s="18"/>
      <c r="K30932" s="18" t="s">
        <v>316</v>
      </c>
    </row>
    <row r="30933">
      <c r="A30933" s="17"/>
      <c r="H30933" s="18"/>
      <c r="K30933" s="18" t="s">
        <v>316</v>
      </c>
    </row>
    <row r="30934">
      <c r="A30934" s="17"/>
      <c r="H30934" s="18"/>
      <c r="K30934" s="18" t="s">
        <v>316</v>
      </c>
    </row>
    <row r="30935">
      <c r="A30935" s="17"/>
      <c r="H30935" s="18"/>
      <c r="K30935" s="18" t="s">
        <v>316</v>
      </c>
    </row>
    <row r="30936">
      <c r="A30936" s="17"/>
      <c r="H30936" s="18"/>
      <c r="K30936" s="18" t="s">
        <v>316</v>
      </c>
    </row>
    <row r="30937">
      <c r="A30937" s="17"/>
      <c r="H30937" s="18"/>
      <c r="K30937" s="18" t="s">
        <v>316</v>
      </c>
    </row>
    <row r="30938">
      <c r="A30938" s="17"/>
      <c r="H30938" s="18"/>
      <c r="K30938" s="18" t="s">
        <v>316</v>
      </c>
    </row>
    <row r="30939">
      <c r="A30939" s="17"/>
      <c r="H30939" s="18"/>
      <c r="K30939" s="18" t="s">
        <v>316</v>
      </c>
    </row>
    <row r="30940">
      <c r="A30940" s="17"/>
      <c r="H30940" s="18"/>
      <c r="K30940" s="18" t="s">
        <v>316</v>
      </c>
    </row>
    <row r="30941">
      <c r="A30941" s="17"/>
      <c r="H30941" s="18"/>
      <c r="K30941" s="18" t="s">
        <v>316</v>
      </c>
    </row>
    <row r="30942">
      <c r="A30942" s="17"/>
      <c r="H30942" s="18"/>
      <c r="K30942" s="18" t="s">
        <v>316</v>
      </c>
    </row>
    <row r="30943">
      <c r="A30943" s="17"/>
      <c r="H30943" s="18"/>
      <c r="K30943" s="18" t="s">
        <v>316</v>
      </c>
    </row>
    <row r="30944">
      <c r="A30944" s="17"/>
      <c r="H30944" s="18"/>
      <c r="K30944" s="18" t="s">
        <v>316</v>
      </c>
    </row>
    <row r="30945">
      <c r="A30945" s="17"/>
      <c r="H30945" s="18"/>
      <c r="K30945" s="18" t="s">
        <v>316</v>
      </c>
    </row>
    <row r="30946">
      <c r="A30946" s="17"/>
      <c r="H30946" s="18"/>
      <c r="K30946" s="18" t="s">
        <v>316</v>
      </c>
    </row>
    <row r="30947">
      <c r="A30947" s="17"/>
      <c r="H30947" s="18"/>
      <c r="K30947" s="18" t="s">
        <v>316</v>
      </c>
    </row>
    <row r="30948">
      <c r="A30948" s="17"/>
      <c r="H30948" s="18"/>
      <c r="K30948" s="18" t="s">
        <v>316</v>
      </c>
    </row>
    <row r="30949">
      <c r="A30949" s="17"/>
      <c r="H30949" s="18"/>
      <c r="K30949" s="18" t="s">
        <v>316</v>
      </c>
    </row>
    <row r="30950">
      <c r="A30950" s="17"/>
      <c r="H30950" s="18"/>
      <c r="K30950" s="18" t="s">
        <v>316</v>
      </c>
    </row>
    <row r="30951">
      <c r="A30951" s="17"/>
      <c r="H30951" s="18"/>
      <c r="K30951" s="18" t="s">
        <v>316</v>
      </c>
    </row>
    <row r="30952">
      <c r="A30952" s="17"/>
      <c r="H30952" s="18"/>
      <c r="K30952" s="18" t="s">
        <v>316</v>
      </c>
    </row>
    <row r="30953">
      <c r="A30953" s="17"/>
      <c r="H30953" s="18"/>
      <c r="K30953" s="18" t="s">
        <v>316</v>
      </c>
    </row>
    <row r="30954">
      <c r="A30954" s="17"/>
      <c r="H30954" s="18"/>
      <c r="K30954" s="18" t="s">
        <v>316</v>
      </c>
    </row>
    <row r="30955">
      <c r="A30955" s="17"/>
      <c r="H30955" s="18"/>
      <c r="K30955" s="18" t="s">
        <v>316</v>
      </c>
    </row>
    <row r="30956">
      <c r="A30956" s="17"/>
      <c r="H30956" s="18"/>
      <c r="K30956" s="18" t="s">
        <v>316</v>
      </c>
    </row>
    <row r="30957">
      <c r="A30957" s="17"/>
      <c r="H30957" s="18"/>
      <c r="K30957" s="18" t="s">
        <v>316</v>
      </c>
    </row>
    <row r="30958">
      <c r="A30958" s="17"/>
      <c r="H30958" s="18"/>
      <c r="K30958" s="18" t="s">
        <v>316</v>
      </c>
    </row>
    <row r="30959">
      <c r="A30959" s="17"/>
      <c r="H30959" s="18"/>
      <c r="K30959" s="18" t="s">
        <v>316</v>
      </c>
    </row>
    <row r="30960">
      <c r="A30960" s="17"/>
      <c r="H30960" s="18"/>
      <c r="K30960" s="18" t="s">
        <v>316</v>
      </c>
    </row>
    <row r="30961">
      <c r="A30961" s="17"/>
      <c r="H30961" s="18"/>
      <c r="K30961" s="18" t="s">
        <v>316</v>
      </c>
    </row>
    <row r="30962">
      <c r="A30962" s="17"/>
      <c r="H30962" s="18"/>
      <c r="K30962" s="18" t="s">
        <v>316</v>
      </c>
    </row>
    <row r="30963">
      <c r="A30963" s="17"/>
      <c r="H30963" s="18"/>
      <c r="K30963" s="18" t="s">
        <v>316</v>
      </c>
    </row>
    <row r="30964">
      <c r="A30964" s="17"/>
      <c r="H30964" s="18"/>
      <c r="K30964" s="18" t="s">
        <v>316</v>
      </c>
    </row>
    <row r="30965">
      <c r="A30965" s="17"/>
      <c r="H30965" s="18"/>
      <c r="K30965" s="18" t="s">
        <v>316</v>
      </c>
    </row>
    <row r="30966">
      <c r="A30966" s="17"/>
      <c r="H30966" s="18"/>
      <c r="K30966" s="18" t="s">
        <v>316</v>
      </c>
    </row>
    <row r="30967">
      <c r="A30967" s="17"/>
      <c r="H30967" s="18"/>
      <c r="K30967" s="18" t="s">
        <v>316</v>
      </c>
    </row>
    <row r="30968">
      <c r="A30968" s="17"/>
      <c r="H30968" s="18"/>
      <c r="K30968" s="18" t="s">
        <v>316</v>
      </c>
    </row>
    <row r="30969">
      <c r="A30969" s="17"/>
      <c r="H30969" s="18"/>
      <c r="K30969" s="18" t="s">
        <v>316</v>
      </c>
    </row>
    <row r="30970">
      <c r="A30970" s="17"/>
      <c r="H30970" s="18"/>
      <c r="K30970" s="18" t="s">
        <v>316</v>
      </c>
    </row>
    <row r="30971">
      <c r="A30971" s="17"/>
      <c r="H30971" s="18"/>
      <c r="K30971" s="18" t="s">
        <v>316</v>
      </c>
    </row>
    <row r="30972">
      <c r="A30972" s="17"/>
      <c r="H30972" s="18"/>
      <c r="K30972" s="18" t="s">
        <v>316</v>
      </c>
    </row>
    <row r="30973">
      <c r="A30973" s="17"/>
      <c r="H30973" s="18"/>
      <c r="K30973" s="18" t="s">
        <v>316</v>
      </c>
    </row>
    <row r="30974">
      <c r="A30974" s="17"/>
      <c r="H30974" s="18"/>
      <c r="K30974" s="18" t="s">
        <v>316</v>
      </c>
    </row>
    <row r="30975">
      <c r="A30975" s="17"/>
      <c r="H30975" s="18"/>
      <c r="K30975" s="18" t="s">
        <v>316</v>
      </c>
    </row>
    <row r="30976">
      <c r="A30976" s="17"/>
      <c r="H30976" s="18"/>
      <c r="K30976" s="18" t="s">
        <v>316</v>
      </c>
    </row>
    <row r="30977">
      <c r="A30977" s="17"/>
      <c r="H30977" s="18"/>
      <c r="K30977" s="18" t="s">
        <v>316</v>
      </c>
    </row>
    <row r="30978">
      <c r="A30978" s="17"/>
      <c r="H30978" s="18"/>
      <c r="K30978" s="18" t="s">
        <v>316</v>
      </c>
    </row>
    <row r="30979">
      <c r="A30979" s="17"/>
      <c r="H30979" s="18"/>
      <c r="K30979" s="18" t="s">
        <v>316</v>
      </c>
    </row>
    <row r="30980">
      <c r="A30980" s="17"/>
      <c r="H30980" s="18"/>
      <c r="K30980" s="18" t="s">
        <v>316</v>
      </c>
    </row>
    <row r="30981">
      <c r="A30981" s="17"/>
      <c r="H30981" s="18"/>
      <c r="K30981" s="18" t="s">
        <v>316</v>
      </c>
    </row>
    <row r="30982">
      <c r="A30982" s="17"/>
      <c r="H30982" s="18"/>
      <c r="K30982" s="18" t="s">
        <v>316</v>
      </c>
    </row>
    <row r="30983">
      <c r="A30983" s="17"/>
      <c r="H30983" s="18"/>
      <c r="K30983" s="18" t="s">
        <v>316</v>
      </c>
    </row>
    <row r="30984">
      <c r="A30984" s="17"/>
      <c r="H30984" s="18"/>
      <c r="K30984" s="18" t="s">
        <v>316</v>
      </c>
    </row>
    <row r="30985">
      <c r="A30985" s="17"/>
      <c r="H30985" s="18"/>
      <c r="K30985" s="18" t="s">
        <v>316</v>
      </c>
    </row>
    <row r="30986">
      <c r="A30986" s="17"/>
      <c r="H30986" s="18"/>
      <c r="K30986" s="18" t="s">
        <v>316</v>
      </c>
    </row>
    <row r="30987">
      <c r="A30987" s="17"/>
      <c r="H30987" s="18"/>
      <c r="K30987" s="18" t="s">
        <v>316</v>
      </c>
    </row>
    <row r="30988">
      <c r="A30988" s="17"/>
      <c r="H30988" s="18"/>
      <c r="K30988" s="18" t="s">
        <v>316</v>
      </c>
    </row>
    <row r="30989">
      <c r="A30989" s="17"/>
      <c r="H30989" s="18"/>
      <c r="K30989" s="18" t="s">
        <v>316</v>
      </c>
    </row>
    <row r="30990">
      <c r="A30990" s="17"/>
      <c r="H30990" s="18"/>
      <c r="K30990" s="18" t="s">
        <v>316</v>
      </c>
    </row>
    <row r="30991">
      <c r="A30991" s="17"/>
      <c r="H30991" s="18"/>
      <c r="K30991" s="18" t="s">
        <v>316</v>
      </c>
    </row>
    <row r="30992">
      <c r="A30992" s="17"/>
      <c r="H30992" s="18"/>
      <c r="K30992" s="18" t="s">
        <v>316</v>
      </c>
    </row>
    <row r="30993">
      <c r="A30993" s="17"/>
      <c r="H30993" s="18"/>
      <c r="K30993" s="18" t="s">
        <v>316</v>
      </c>
    </row>
    <row r="30994">
      <c r="A30994" s="17"/>
      <c r="H30994" s="18"/>
      <c r="K30994" s="18" t="s">
        <v>316</v>
      </c>
    </row>
    <row r="30995">
      <c r="A30995" s="17"/>
      <c r="H30995" s="18"/>
      <c r="K30995" s="18" t="s">
        <v>316</v>
      </c>
    </row>
    <row r="30996">
      <c r="A30996" s="17"/>
      <c r="H30996" s="18"/>
      <c r="K30996" s="18" t="s">
        <v>316</v>
      </c>
    </row>
    <row r="30997">
      <c r="A30997" s="17"/>
      <c r="H30997" s="18"/>
      <c r="K30997" s="18" t="s">
        <v>316</v>
      </c>
    </row>
    <row r="30998">
      <c r="A30998" s="17"/>
      <c r="H30998" s="18"/>
      <c r="K30998" s="18" t="s">
        <v>316</v>
      </c>
    </row>
    <row r="30999">
      <c r="A30999" s="17"/>
      <c r="H30999" s="18"/>
      <c r="K30999" s="18" t="s">
        <v>316</v>
      </c>
    </row>
    <row r="31000">
      <c r="A31000" s="17"/>
      <c r="H31000" s="18"/>
      <c r="K31000" s="18" t="s">
        <v>316</v>
      </c>
    </row>
    <row r="31001">
      <c r="A31001" s="17"/>
      <c r="H31001" s="18"/>
      <c r="K31001" s="18" t="s">
        <v>316</v>
      </c>
    </row>
    <row r="31002">
      <c r="A31002" s="17"/>
      <c r="H31002" s="18"/>
      <c r="K31002" s="18" t="s">
        <v>316</v>
      </c>
    </row>
    <row r="31003">
      <c r="A31003" s="17"/>
      <c r="H31003" s="18"/>
      <c r="K31003" s="18" t="s">
        <v>316</v>
      </c>
    </row>
    <row r="31004">
      <c r="A31004" s="17"/>
      <c r="H31004" s="18"/>
      <c r="K31004" s="18" t="s">
        <v>316</v>
      </c>
    </row>
    <row r="31005">
      <c r="A31005" s="17"/>
      <c r="H31005" s="18"/>
      <c r="K31005" s="18" t="s">
        <v>316</v>
      </c>
    </row>
    <row r="31006">
      <c r="A31006" s="17"/>
      <c r="H31006" s="18"/>
      <c r="K31006" s="18" t="s">
        <v>316</v>
      </c>
    </row>
    <row r="31007">
      <c r="A31007" s="17"/>
      <c r="H31007" s="18"/>
      <c r="K31007" s="18" t="s">
        <v>316</v>
      </c>
    </row>
    <row r="31008">
      <c r="A31008" s="17"/>
      <c r="H31008" s="18"/>
      <c r="K31008" s="18" t="s">
        <v>316</v>
      </c>
    </row>
    <row r="31009">
      <c r="A31009" s="17"/>
      <c r="H31009" s="18"/>
      <c r="K31009" s="18" t="s">
        <v>316</v>
      </c>
    </row>
    <row r="31010">
      <c r="A31010" s="17"/>
      <c r="H31010" s="18"/>
      <c r="K31010" s="18" t="s">
        <v>316</v>
      </c>
    </row>
    <row r="31011">
      <c r="A31011" s="17"/>
      <c r="H31011" s="18"/>
      <c r="K31011" s="18" t="s">
        <v>316</v>
      </c>
    </row>
    <row r="31012">
      <c r="A31012" s="17"/>
      <c r="H31012" s="18"/>
      <c r="K31012" s="18" t="s">
        <v>316</v>
      </c>
    </row>
    <row r="31013">
      <c r="A31013" s="17"/>
      <c r="H31013" s="18"/>
      <c r="K31013" s="18" t="s">
        <v>316</v>
      </c>
    </row>
    <row r="31014">
      <c r="A31014" s="17"/>
      <c r="H31014" s="18"/>
      <c r="K31014" s="18" t="s">
        <v>316</v>
      </c>
    </row>
    <row r="31015">
      <c r="A31015" s="17"/>
      <c r="H31015" s="18"/>
      <c r="K31015" s="18" t="s">
        <v>316</v>
      </c>
    </row>
    <row r="31016">
      <c r="A31016" s="17"/>
      <c r="H31016" s="18"/>
      <c r="K31016" s="18" t="s">
        <v>316</v>
      </c>
    </row>
    <row r="31017">
      <c r="A31017" s="17"/>
      <c r="H31017" s="18"/>
      <c r="K31017" s="18" t="s">
        <v>316</v>
      </c>
    </row>
    <row r="31018">
      <c r="A31018" s="17"/>
      <c r="H31018" s="18"/>
      <c r="K31018" s="18" t="s">
        <v>316</v>
      </c>
    </row>
    <row r="31019">
      <c r="A31019" s="17"/>
      <c r="H31019" s="18"/>
      <c r="K31019" s="18" t="s">
        <v>316</v>
      </c>
    </row>
    <row r="31020">
      <c r="A31020" s="17"/>
      <c r="H31020" s="18"/>
      <c r="K31020" s="18" t="s">
        <v>316</v>
      </c>
    </row>
    <row r="31021">
      <c r="A31021" s="17"/>
      <c r="H31021" s="18"/>
      <c r="K31021" s="18" t="s">
        <v>316</v>
      </c>
    </row>
    <row r="31022">
      <c r="A31022" s="17"/>
      <c r="H31022" s="18"/>
      <c r="K31022" s="18" t="s">
        <v>316</v>
      </c>
    </row>
    <row r="31023">
      <c r="A31023" s="17"/>
      <c r="H31023" s="18"/>
      <c r="K31023" s="18" t="s">
        <v>316</v>
      </c>
    </row>
    <row r="31024">
      <c r="A31024" s="17"/>
      <c r="H31024" s="18"/>
      <c r="K31024" s="18" t="s">
        <v>316</v>
      </c>
    </row>
    <row r="31025">
      <c r="A31025" s="17"/>
      <c r="H31025" s="18"/>
      <c r="K31025" s="18" t="s">
        <v>316</v>
      </c>
    </row>
    <row r="31026">
      <c r="A31026" s="17"/>
      <c r="H31026" s="18"/>
      <c r="K31026" s="18" t="s">
        <v>316</v>
      </c>
    </row>
    <row r="31027">
      <c r="A31027" s="17"/>
      <c r="H31027" s="18"/>
      <c r="K31027" s="18" t="s">
        <v>316</v>
      </c>
    </row>
    <row r="31028">
      <c r="A31028" s="17"/>
      <c r="H31028" s="18"/>
      <c r="K31028" s="18" t="s">
        <v>316</v>
      </c>
    </row>
    <row r="31029">
      <c r="A31029" s="17"/>
      <c r="H31029" s="18"/>
      <c r="K31029" s="18" t="s">
        <v>316</v>
      </c>
    </row>
    <row r="31030">
      <c r="A31030" s="17"/>
      <c r="H31030" s="18"/>
      <c r="K31030" s="18" t="s">
        <v>316</v>
      </c>
    </row>
    <row r="31031">
      <c r="A31031" s="17"/>
      <c r="H31031" s="18"/>
      <c r="K31031" s="18" t="s">
        <v>316</v>
      </c>
    </row>
    <row r="31032">
      <c r="A31032" s="17"/>
      <c r="H31032" s="18"/>
      <c r="K31032" s="18" t="s">
        <v>316</v>
      </c>
    </row>
    <row r="31033">
      <c r="A31033" s="17"/>
      <c r="H31033" s="18"/>
      <c r="K31033" s="18" t="s">
        <v>316</v>
      </c>
    </row>
    <row r="31034">
      <c r="A31034" s="17"/>
      <c r="H31034" s="18"/>
      <c r="K31034" s="18" t="s">
        <v>316</v>
      </c>
    </row>
    <row r="31035">
      <c r="A31035" s="17"/>
      <c r="H31035" s="18"/>
      <c r="K31035" s="18" t="s">
        <v>316</v>
      </c>
    </row>
    <row r="31036">
      <c r="A31036" s="17"/>
      <c r="H31036" s="18"/>
      <c r="K31036" s="18" t="s">
        <v>316</v>
      </c>
    </row>
    <row r="31037">
      <c r="A31037" s="17"/>
      <c r="H31037" s="18"/>
      <c r="K31037" s="18" t="s">
        <v>316</v>
      </c>
    </row>
    <row r="31038">
      <c r="A31038" s="17"/>
      <c r="H31038" s="18"/>
      <c r="K31038" s="18" t="s">
        <v>316</v>
      </c>
    </row>
    <row r="31039">
      <c r="A31039" s="17"/>
      <c r="H31039" s="18"/>
      <c r="K31039" s="18" t="s">
        <v>316</v>
      </c>
    </row>
    <row r="31040">
      <c r="A31040" s="17"/>
      <c r="H31040" s="18"/>
      <c r="K31040" s="18" t="s">
        <v>316</v>
      </c>
    </row>
    <row r="31041">
      <c r="A31041" s="17"/>
      <c r="H31041" s="18"/>
      <c r="K31041" s="18" t="s">
        <v>316</v>
      </c>
    </row>
    <row r="31042">
      <c r="A31042" s="17"/>
      <c r="H31042" s="18"/>
      <c r="K31042" s="18" t="s">
        <v>316</v>
      </c>
    </row>
    <row r="31043">
      <c r="A31043" s="17"/>
      <c r="H31043" s="18"/>
      <c r="K31043" s="18" t="s">
        <v>316</v>
      </c>
    </row>
    <row r="31044">
      <c r="A31044" s="17"/>
      <c r="H31044" s="18"/>
      <c r="K31044" s="18" t="s">
        <v>316</v>
      </c>
    </row>
    <row r="31045">
      <c r="A31045" s="17"/>
      <c r="H31045" s="18"/>
      <c r="K31045" s="18" t="s">
        <v>316</v>
      </c>
    </row>
    <row r="31046">
      <c r="A31046" s="17"/>
      <c r="H31046" s="18"/>
      <c r="K31046" s="18" t="s">
        <v>316</v>
      </c>
    </row>
    <row r="31047">
      <c r="A31047" s="17"/>
      <c r="H31047" s="18"/>
      <c r="K31047" s="18" t="s">
        <v>316</v>
      </c>
    </row>
    <row r="31048">
      <c r="A31048" s="17"/>
      <c r="H31048" s="18"/>
      <c r="K31048" s="18" t="s">
        <v>316</v>
      </c>
    </row>
    <row r="31049">
      <c r="A31049" s="17"/>
      <c r="H31049" s="18"/>
      <c r="K31049" s="18" t="s">
        <v>316</v>
      </c>
    </row>
    <row r="31050">
      <c r="A31050" s="17"/>
      <c r="H31050" s="18"/>
      <c r="K31050" s="18" t="s">
        <v>316</v>
      </c>
    </row>
    <row r="31051">
      <c r="A31051" s="17"/>
      <c r="H31051" s="18"/>
      <c r="K31051" s="18" t="s">
        <v>316</v>
      </c>
    </row>
    <row r="31052">
      <c r="A31052" s="17"/>
      <c r="H31052" s="18"/>
      <c r="K31052" s="18" t="s">
        <v>316</v>
      </c>
    </row>
    <row r="31053">
      <c r="A31053" s="17"/>
      <c r="H31053" s="18"/>
      <c r="K31053" s="18" t="s">
        <v>316</v>
      </c>
    </row>
    <row r="31054">
      <c r="A31054" s="17"/>
      <c r="H31054" s="18"/>
      <c r="K31054" s="18" t="s">
        <v>316</v>
      </c>
    </row>
    <row r="31055">
      <c r="A31055" s="17"/>
      <c r="H31055" s="18"/>
      <c r="K31055" s="18" t="s">
        <v>316</v>
      </c>
    </row>
    <row r="31056">
      <c r="A31056" s="17"/>
      <c r="H31056" s="18"/>
      <c r="K31056" s="18" t="s">
        <v>316</v>
      </c>
    </row>
    <row r="31057">
      <c r="A31057" s="17"/>
      <c r="H31057" s="18"/>
      <c r="K31057" s="18" t="s">
        <v>316</v>
      </c>
    </row>
    <row r="31058">
      <c r="A31058" s="17"/>
      <c r="H31058" s="18"/>
      <c r="K31058" s="18" t="s">
        <v>316</v>
      </c>
    </row>
    <row r="31059">
      <c r="A31059" s="17"/>
      <c r="H31059" s="18"/>
      <c r="K31059" s="18" t="s">
        <v>316</v>
      </c>
    </row>
    <row r="31060">
      <c r="A31060" s="17"/>
      <c r="H31060" s="18"/>
      <c r="K31060" s="18" t="s">
        <v>316</v>
      </c>
    </row>
    <row r="31061">
      <c r="A31061" s="17"/>
      <c r="H31061" s="18"/>
      <c r="K31061" s="18" t="s">
        <v>316</v>
      </c>
    </row>
    <row r="31062">
      <c r="A31062" s="17"/>
      <c r="H31062" s="18"/>
      <c r="K31062" s="18" t="s">
        <v>316</v>
      </c>
    </row>
    <row r="31063">
      <c r="A31063" s="17"/>
      <c r="H31063" s="18"/>
      <c r="K31063" s="18" t="s">
        <v>316</v>
      </c>
    </row>
    <row r="31064">
      <c r="A31064" s="17"/>
      <c r="H31064" s="18"/>
      <c r="K31064" s="18" t="s">
        <v>316</v>
      </c>
    </row>
    <row r="31065">
      <c r="A31065" s="17"/>
      <c r="H31065" s="18"/>
      <c r="K31065" s="18" t="s">
        <v>316</v>
      </c>
    </row>
    <row r="31066">
      <c r="A31066" s="17"/>
      <c r="H31066" s="18"/>
      <c r="K31066" s="18" t="s">
        <v>316</v>
      </c>
    </row>
    <row r="31067">
      <c r="A31067" s="17"/>
      <c r="H31067" s="18"/>
      <c r="K31067" s="18" t="s">
        <v>316</v>
      </c>
    </row>
    <row r="31068">
      <c r="A31068" s="17"/>
      <c r="H31068" s="18"/>
      <c r="K31068" s="18" t="s">
        <v>316</v>
      </c>
    </row>
    <row r="31069">
      <c r="A31069" s="17"/>
      <c r="H31069" s="18"/>
      <c r="K31069" s="18" t="s">
        <v>316</v>
      </c>
    </row>
    <row r="31070">
      <c r="A31070" s="17"/>
      <c r="H31070" s="18"/>
      <c r="K31070" s="18" t="s">
        <v>316</v>
      </c>
    </row>
    <row r="31071">
      <c r="A31071" s="17"/>
      <c r="H31071" s="18"/>
      <c r="K31071" s="18" t="s">
        <v>316</v>
      </c>
    </row>
    <row r="31072">
      <c r="A31072" s="17"/>
      <c r="H31072" s="18"/>
      <c r="K31072" s="18" t="s">
        <v>316</v>
      </c>
    </row>
    <row r="31073">
      <c r="A31073" s="17"/>
      <c r="H31073" s="18"/>
      <c r="K31073" s="18" t="s">
        <v>316</v>
      </c>
    </row>
    <row r="31074">
      <c r="A31074" s="17"/>
      <c r="H31074" s="18"/>
      <c r="K31074" s="18" t="s">
        <v>316</v>
      </c>
    </row>
    <row r="31075">
      <c r="A31075" s="17"/>
      <c r="H31075" s="18"/>
      <c r="K31075" s="18" t="s">
        <v>316</v>
      </c>
    </row>
    <row r="31076">
      <c r="A31076" s="17"/>
      <c r="H31076" s="18"/>
      <c r="K31076" s="18" t="s">
        <v>316</v>
      </c>
    </row>
    <row r="31077">
      <c r="A31077" s="17"/>
      <c r="H31077" s="18"/>
      <c r="K31077" s="18" t="s">
        <v>316</v>
      </c>
    </row>
    <row r="31078">
      <c r="A31078" s="17"/>
      <c r="H31078" s="18"/>
      <c r="K31078" s="18" t="s">
        <v>316</v>
      </c>
    </row>
    <row r="31079">
      <c r="A31079" s="17"/>
      <c r="H31079" s="18"/>
      <c r="K31079" s="18" t="s">
        <v>316</v>
      </c>
    </row>
    <row r="31080">
      <c r="A31080" s="17"/>
      <c r="H31080" s="18"/>
      <c r="K31080" s="18" t="s">
        <v>316</v>
      </c>
    </row>
    <row r="31081">
      <c r="A31081" s="17"/>
      <c r="H31081" s="18"/>
      <c r="K31081" s="18" t="s">
        <v>316</v>
      </c>
    </row>
    <row r="31082">
      <c r="A31082" s="17"/>
      <c r="H31082" s="18"/>
      <c r="K31082" s="18" t="s">
        <v>316</v>
      </c>
    </row>
    <row r="31083">
      <c r="A31083" s="17"/>
      <c r="H31083" s="18"/>
      <c r="K31083" s="18" t="s">
        <v>316</v>
      </c>
    </row>
    <row r="31084">
      <c r="A31084" s="17"/>
      <c r="H31084" s="18"/>
      <c r="K31084" s="18" t="s">
        <v>316</v>
      </c>
    </row>
    <row r="31085">
      <c r="A31085" s="17"/>
      <c r="H31085" s="18"/>
      <c r="K31085" s="18" t="s">
        <v>316</v>
      </c>
    </row>
    <row r="31086">
      <c r="A31086" s="17"/>
      <c r="H31086" s="18"/>
      <c r="K31086" s="18" t="s">
        <v>316</v>
      </c>
    </row>
    <row r="31087">
      <c r="A31087" s="17"/>
      <c r="H31087" s="18"/>
      <c r="K31087" s="18" t="s">
        <v>316</v>
      </c>
    </row>
    <row r="31088">
      <c r="A31088" s="17"/>
      <c r="H31088" s="18"/>
      <c r="K31088" s="18" t="s">
        <v>316</v>
      </c>
    </row>
    <row r="31089">
      <c r="A31089" s="17"/>
      <c r="H31089" s="18"/>
      <c r="K31089" s="18" t="s">
        <v>316</v>
      </c>
    </row>
    <row r="31090">
      <c r="A31090" s="17"/>
      <c r="H31090" s="18"/>
      <c r="K31090" s="18" t="s">
        <v>316</v>
      </c>
    </row>
    <row r="31091">
      <c r="A31091" s="17"/>
      <c r="H31091" s="18"/>
      <c r="K31091" s="18" t="s">
        <v>316</v>
      </c>
    </row>
    <row r="31092">
      <c r="A31092" s="17"/>
      <c r="H31092" s="18"/>
      <c r="K31092" s="18" t="s">
        <v>316</v>
      </c>
    </row>
    <row r="31093">
      <c r="A31093" s="17"/>
      <c r="H31093" s="18"/>
      <c r="K31093" s="18" t="s">
        <v>316</v>
      </c>
    </row>
    <row r="31094">
      <c r="A31094" s="17"/>
      <c r="H31094" s="18"/>
      <c r="K31094" s="18" t="s">
        <v>316</v>
      </c>
    </row>
    <row r="31095">
      <c r="A31095" s="17"/>
      <c r="H31095" s="18"/>
      <c r="K31095" s="18" t="s">
        <v>316</v>
      </c>
    </row>
    <row r="31096">
      <c r="A31096" s="17"/>
      <c r="H31096" s="18"/>
      <c r="K31096" s="18" t="s">
        <v>316</v>
      </c>
    </row>
    <row r="31097">
      <c r="A31097" s="17"/>
      <c r="H31097" s="18"/>
      <c r="K31097" s="18" t="s">
        <v>316</v>
      </c>
    </row>
    <row r="31098">
      <c r="A31098" s="17"/>
      <c r="H31098" s="18"/>
      <c r="K31098" s="18" t="s">
        <v>316</v>
      </c>
    </row>
    <row r="31099">
      <c r="A31099" s="17"/>
      <c r="H31099" s="18"/>
      <c r="K31099" s="18" t="s">
        <v>316</v>
      </c>
    </row>
    <row r="31100">
      <c r="A31100" s="17"/>
      <c r="H31100" s="18"/>
      <c r="K31100" s="18" t="s">
        <v>316</v>
      </c>
    </row>
    <row r="31101">
      <c r="A31101" s="17"/>
      <c r="H31101" s="18"/>
      <c r="K31101" s="18" t="s">
        <v>316</v>
      </c>
    </row>
    <row r="31102">
      <c r="A31102" s="17"/>
      <c r="H31102" s="18"/>
      <c r="K31102" s="18" t="s">
        <v>316</v>
      </c>
    </row>
    <row r="31103">
      <c r="A31103" s="17"/>
      <c r="H31103" s="18"/>
      <c r="K31103" s="18" t="s">
        <v>316</v>
      </c>
    </row>
    <row r="31104">
      <c r="A31104" s="17"/>
      <c r="H31104" s="18"/>
      <c r="K31104" s="18" t="s">
        <v>316</v>
      </c>
    </row>
    <row r="31105">
      <c r="A31105" s="17"/>
      <c r="H31105" s="18"/>
      <c r="K31105" s="18" t="s">
        <v>316</v>
      </c>
    </row>
    <row r="31106">
      <c r="A31106" s="17"/>
      <c r="H31106" s="18"/>
      <c r="K31106" s="18" t="s">
        <v>316</v>
      </c>
    </row>
    <row r="31107">
      <c r="A31107" s="17"/>
      <c r="H31107" s="18"/>
      <c r="K31107" s="18" t="s">
        <v>316</v>
      </c>
    </row>
    <row r="31108">
      <c r="A31108" s="17"/>
      <c r="H31108" s="18"/>
      <c r="K31108" s="18" t="s">
        <v>316</v>
      </c>
    </row>
    <row r="31109">
      <c r="A31109" s="17"/>
      <c r="H31109" s="18"/>
      <c r="K31109" s="18" t="s">
        <v>316</v>
      </c>
    </row>
    <row r="31110">
      <c r="A31110" s="17"/>
      <c r="H31110" s="18"/>
      <c r="K31110" s="18" t="s">
        <v>316</v>
      </c>
    </row>
    <row r="31111">
      <c r="A31111" s="17"/>
      <c r="H31111" s="18"/>
      <c r="K31111" s="18" t="s">
        <v>316</v>
      </c>
    </row>
    <row r="31112">
      <c r="A31112" s="17"/>
      <c r="H31112" s="18"/>
      <c r="K31112" s="18" t="s">
        <v>316</v>
      </c>
    </row>
    <row r="31113">
      <c r="A31113" s="17"/>
      <c r="H31113" s="18"/>
      <c r="K31113" s="18" t="s">
        <v>316</v>
      </c>
    </row>
    <row r="31114">
      <c r="A31114" s="17"/>
      <c r="H31114" s="18"/>
      <c r="K31114" s="18" t="s">
        <v>316</v>
      </c>
    </row>
    <row r="31115">
      <c r="A31115" s="17"/>
      <c r="H31115" s="18"/>
      <c r="K31115" s="18" t="s">
        <v>316</v>
      </c>
    </row>
    <row r="31116">
      <c r="A31116" s="17"/>
      <c r="H31116" s="18"/>
      <c r="K31116" s="18" t="s">
        <v>316</v>
      </c>
    </row>
    <row r="31117">
      <c r="A31117" s="17"/>
      <c r="H31117" s="18"/>
      <c r="K31117" s="18" t="s">
        <v>316</v>
      </c>
    </row>
    <row r="31118">
      <c r="A31118" s="17"/>
      <c r="H31118" s="18"/>
      <c r="K31118" s="18" t="s">
        <v>316</v>
      </c>
    </row>
    <row r="31119">
      <c r="A31119" s="17"/>
      <c r="H31119" s="18"/>
      <c r="K31119" s="18" t="s">
        <v>316</v>
      </c>
    </row>
    <row r="31120">
      <c r="A31120" s="17"/>
      <c r="H31120" s="18"/>
      <c r="K31120" s="18" t="s">
        <v>316</v>
      </c>
    </row>
    <row r="31121">
      <c r="A31121" s="17"/>
      <c r="H31121" s="18"/>
      <c r="K31121" s="18" t="s">
        <v>316</v>
      </c>
    </row>
    <row r="31122">
      <c r="A31122" s="17"/>
      <c r="H31122" s="18"/>
      <c r="K31122" s="18" t="s">
        <v>316</v>
      </c>
    </row>
    <row r="31123">
      <c r="A31123" s="17"/>
      <c r="H31123" s="18"/>
      <c r="K31123" s="18" t="s">
        <v>316</v>
      </c>
    </row>
    <row r="31124">
      <c r="A31124" s="17"/>
      <c r="H31124" s="18"/>
      <c r="K31124" s="18" t="s">
        <v>316</v>
      </c>
    </row>
    <row r="31125">
      <c r="A31125" s="17"/>
      <c r="H31125" s="18"/>
      <c r="K31125" s="18" t="s">
        <v>316</v>
      </c>
    </row>
    <row r="31126">
      <c r="A31126" s="17"/>
      <c r="H31126" s="18"/>
      <c r="K31126" s="18" t="s">
        <v>316</v>
      </c>
    </row>
    <row r="31127">
      <c r="A31127" s="17"/>
      <c r="H31127" s="18"/>
      <c r="K31127" s="18" t="s">
        <v>316</v>
      </c>
    </row>
    <row r="31128">
      <c r="A31128" s="17"/>
      <c r="H31128" s="18"/>
      <c r="K31128" s="18" t="s">
        <v>316</v>
      </c>
    </row>
    <row r="31129">
      <c r="A31129" s="17"/>
      <c r="H31129" s="18"/>
      <c r="K31129" s="18" t="s">
        <v>316</v>
      </c>
    </row>
    <row r="31130">
      <c r="A31130" s="17"/>
      <c r="H31130" s="18"/>
      <c r="K31130" s="18" t="s">
        <v>316</v>
      </c>
    </row>
    <row r="31131">
      <c r="A31131" s="17"/>
      <c r="H31131" s="18"/>
      <c r="K31131" s="18" t="s">
        <v>316</v>
      </c>
    </row>
    <row r="31132">
      <c r="A31132" s="17"/>
      <c r="H31132" s="18"/>
      <c r="K31132" s="18" t="s">
        <v>316</v>
      </c>
    </row>
    <row r="31133">
      <c r="A31133" s="17"/>
      <c r="H31133" s="18"/>
      <c r="K31133" s="18" t="s">
        <v>316</v>
      </c>
    </row>
    <row r="31134">
      <c r="A31134" s="17"/>
      <c r="H31134" s="18"/>
      <c r="K31134" s="18" t="s">
        <v>316</v>
      </c>
    </row>
    <row r="31135">
      <c r="A31135" s="17"/>
      <c r="H31135" s="18"/>
      <c r="K31135" s="18" t="s">
        <v>316</v>
      </c>
    </row>
    <row r="31136">
      <c r="A31136" s="17"/>
      <c r="H31136" s="18"/>
      <c r="K31136" s="18" t="s">
        <v>316</v>
      </c>
    </row>
    <row r="31137">
      <c r="A31137" s="17"/>
      <c r="H31137" s="18"/>
      <c r="K31137" s="18" t="s">
        <v>316</v>
      </c>
    </row>
    <row r="31138">
      <c r="A31138" s="17"/>
      <c r="H31138" s="18"/>
      <c r="K31138" s="18" t="s">
        <v>316</v>
      </c>
    </row>
    <row r="31139">
      <c r="A31139" s="17"/>
      <c r="H31139" s="18"/>
      <c r="K31139" s="18" t="s">
        <v>316</v>
      </c>
    </row>
    <row r="31140">
      <c r="A31140" s="17"/>
      <c r="H31140" s="18"/>
      <c r="K31140" s="18" t="s">
        <v>316</v>
      </c>
    </row>
    <row r="31141">
      <c r="A31141" s="17"/>
      <c r="H31141" s="18"/>
      <c r="K31141" s="18" t="s">
        <v>316</v>
      </c>
    </row>
    <row r="31142">
      <c r="A31142" s="17"/>
      <c r="H31142" s="18"/>
      <c r="K31142" s="18" t="s">
        <v>316</v>
      </c>
    </row>
    <row r="31143">
      <c r="A31143" s="17"/>
      <c r="H31143" s="18"/>
      <c r="K31143" s="18" t="s">
        <v>316</v>
      </c>
    </row>
    <row r="31144">
      <c r="A31144" s="17"/>
      <c r="H31144" s="18"/>
      <c r="K31144" s="18" t="s">
        <v>316</v>
      </c>
    </row>
    <row r="31145">
      <c r="A31145" s="17"/>
      <c r="H31145" s="18"/>
      <c r="K31145" s="18" t="s">
        <v>316</v>
      </c>
    </row>
    <row r="31146">
      <c r="A31146" s="17"/>
      <c r="H31146" s="18"/>
      <c r="K31146" s="18" t="s">
        <v>316</v>
      </c>
    </row>
    <row r="31147">
      <c r="A31147" s="17"/>
      <c r="H31147" s="18"/>
      <c r="K31147" s="18" t="s">
        <v>316</v>
      </c>
    </row>
    <row r="31148">
      <c r="A31148" s="17"/>
      <c r="H31148" s="18"/>
      <c r="K31148" s="18" t="s">
        <v>316</v>
      </c>
    </row>
    <row r="31149">
      <c r="A31149" s="17"/>
      <c r="H31149" s="18"/>
      <c r="K31149" s="18" t="s">
        <v>316</v>
      </c>
    </row>
    <row r="31150">
      <c r="A31150" s="17"/>
      <c r="H31150" s="18"/>
      <c r="K31150" s="18" t="s">
        <v>316</v>
      </c>
    </row>
    <row r="31151">
      <c r="A31151" s="17"/>
      <c r="H31151" s="18"/>
      <c r="K31151" s="18" t="s">
        <v>316</v>
      </c>
    </row>
    <row r="31152">
      <c r="A31152" s="17"/>
      <c r="H31152" s="18"/>
      <c r="K31152" s="18" t="s">
        <v>316</v>
      </c>
    </row>
    <row r="31153">
      <c r="A31153" s="17"/>
      <c r="H31153" s="18"/>
      <c r="K31153" s="18" t="s">
        <v>316</v>
      </c>
    </row>
    <row r="31154">
      <c r="A31154" s="17"/>
      <c r="H31154" s="18"/>
      <c r="K31154" s="18" t="s">
        <v>316</v>
      </c>
    </row>
    <row r="31155">
      <c r="A31155" s="17"/>
      <c r="H31155" s="18"/>
      <c r="K31155" s="18" t="s">
        <v>316</v>
      </c>
    </row>
    <row r="31156">
      <c r="A31156" s="17"/>
      <c r="H31156" s="18"/>
      <c r="K31156" s="18" t="s">
        <v>316</v>
      </c>
    </row>
    <row r="31157">
      <c r="A31157" s="17"/>
      <c r="H31157" s="18"/>
      <c r="K31157" s="18" t="s">
        <v>316</v>
      </c>
    </row>
    <row r="31158">
      <c r="A31158" s="17"/>
      <c r="H31158" s="18"/>
      <c r="K31158" s="18" t="s">
        <v>316</v>
      </c>
    </row>
    <row r="31159">
      <c r="A31159" s="17"/>
      <c r="H31159" s="18"/>
      <c r="K31159" s="18" t="s">
        <v>316</v>
      </c>
    </row>
    <row r="31160">
      <c r="A31160" s="17"/>
      <c r="H31160" s="18"/>
      <c r="K31160" s="18" t="s">
        <v>316</v>
      </c>
    </row>
    <row r="31161">
      <c r="A31161" s="17"/>
      <c r="H31161" s="18"/>
      <c r="K31161" s="18" t="s">
        <v>316</v>
      </c>
    </row>
    <row r="31162">
      <c r="A31162" s="17"/>
      <c r="H31162" s="18"/>
      <c r="K31162" s="18" t="s">
        <v>316</v>
      </c>
    </row>
    <row r="31163">
      <c r="A31163" s="17"/>
      <c r="H31163" s="18"/>
      <c r="K31163" s="18" t="s">
        <v>316</v>
      </c>
    </row>
    <row r="31164">
      <c r="A31164" s="17"/>
      <c r="H31164" s="18"/>
      <c r="K31164" s="18" t="s">
        <v>316</v>
      </c>
    </row>
    <row r="31165">
      <c r="A31165" s="17"/>
      <c r="H31165" s="18"/>
      <c r="K31165" s="18" t="s">
        <v>316</v>
      </c>
    </row>
    <row r="31166">
      <c r="A31166" s="17"/>
      <c r="H31166" s="18"/>
      <c r="K31166" s="18" t="s">
        <v>316</v>
      </c>
    </row>
    <row r="31167">
      <c r="A31167" s="17"/>
      <c r="H31167" s="18"/>
      <c r="K31167" s="18" t="s">
        <v>316</v>
      </c>
    </row>
    <row r="31168">
      <c r="A31168" s="17"/>
      <c r="H31168" s="18"/>
      <c r="K31168" s="18" t="s">
        <v>316</v>
      </c>
    </row>
    <row r="31169">
      <c r="A31169" s="17"/>
      <c r="H31169" s="18"/>
      <c r="K31169" s="18" t="s">
        <v>316</v>
      </c>
    </row>
    <row r="31170">
      <c r="A31170" s="17"/>
      <c r="H31170" s="18"/>
      <c r="K31170" s="18" t="s">
        <v>316</v>
      </c>
    </row>
    <row r="31171">
      <c r="A31171" s="17"/>
      <c r="H31171" s="18"/>
      <c r="K31171" s="18" t="s">
        <v>316</v>
      </c>
    </row>
    <row r="31172">
      <c r="A31172" s="17"/>
      <c r="H31172" s="18"/>
      <c r="K31172" s="18" t="s">
        <v>316</v>
      </c>
    </row>
    <row r="31173">
      <c r="A31173" s="17"/>
      <c r="H31173" s="18"/>
      <c r="K31173" s="18" t="s">
        <v>316</v>
      </c>
    </row>
    <row r="31174">
      <c r="A31174" s="17"/>
      <c r="H31174" s="18"/>
      <c r="K31174" s="18" t="s">
        <v>316</v>
      </c>
    </row>
    <row r="31175">
      <c r="A31175" s="17"/>
      <c r="H31175" s="18"/>
      <c r="K31175" s="18" t="s">
        <v>316</v>
      </c>
    </row>
    <row r="31176">
      <c r="A31176" s="17"/>
      <c r="H31176" s="18"/>
      <c r="K31176" s="18" t="s">
        <v>316</v>
      </c>
    </row>
    <row r="31177">
      <c r="A31177" s="17"/>
      <c r="H31177" s="18"/>
      <c r="K31177" s="18" t="s">
        <v>316</v>
      </c>
    </row>
    <row r="31178">
      <c r="A31178" s="17"/>
      <c r="H31178" s="18"/>
      <c r="K31178" s="18" t="s">
        <v>316</v>
      </c>
    </row>
    <row r="31179">
      <c r="A31179" s="17"/>
      <c r="H31179" s="18"/>
      <c r="K31179" s="18" t="s">
        <v>316</v>
      </c>
    </row>
    <row r="31180">
      <c r="A31180" s="17"/>
      <c r="H31180" s="18"/>
      <c r="K31180" s="18" t="s">
        <v>316</v>
      </c>
    </row>
    <row r="31181">
      <c r="A31181" s="17"/>
      <c r="H31181" s="18"/>
      <c r="K31181" s="18" t="s">
        <v>316</v>
      </c>
    </row>
    <row r="31182">
      <c r="A31182" s="17"/>
      <c r="H31182" s="18"/>
      <c r="K31182" s="18" t="s">
        <v>316</v>
      </c>
    </row>
    <row r="31183">
      <c r="A31183" s="17"/>
      <c r="H31183" s="18"/>
      <c r="K31183" s="18" t="s">
        <v>316</v>
      </c>
    </row>
    <row r="31184">
      <c r="A31184" s="17"/>
      <c r="H31184" s="18"/>
      <c r="K31184" s="18" t="s">
        <v>316</v>
      </c>
    </row>
    <row r="31185">
      <c r="A31185" s="17"/>
      <c r="H31185" s="18"/>
      <c r="K31185" s="18" t="s">
        <v>316</v>
      </c>
    </row>
    <row r="31186">
      <c r="A31186" s="17"/>
      <c r="H31186" s="18"/>
      <c r="K31186" s="18" t="s">
        <v>316</v>
      </c>
    </row>
    <row r="31187">
      <c r="A31187" s="17"/>
      <c r="H31187" s="18"/>
      <c r="K31187" s="18" t="s">
        <v>316</v>
      </c>
    </row>
    <row r="31188">
      <c r="A31188" s="17"/>
      <c r="H31188" s="18"/>
      <c r="K31188" s="18" t="s">
        <v>316</v>
      </c>
    </row>
    <row r="31189">
      <c r="A31189" s="17"/>
      <c r="H31189" s="18"/>
      <c r="K31189" s="18" t="s">
        <v>316</v>
      </c>
    </row>
    <row r="31190">
      <c r="A31190" s="17"/>
      <c r="H31190" s="18"/>
      <c r="K31190" s="18" t="s">
        <v>316</v>
      </c>
    </row>
    <row r="31191">
      <c r="A31191" s="17"/>
      <c r="H31191" s="18"/>
      <c r="K31191" s="18" t="s">
        <v>316</v>
      </c>
    </row>
    <row r="31192">
      <c r="A31192" s="17"/>
      <c r="H31192" s="18"/>
      <c r="K31192" s="18" t="s">
        <v>316</v>
      </c>
    </row>
    <row r="31193">
      <c r="A31193" s="17"/>
      <c r="H31193" s="18"/>
      <c r="K31193" s="18" t="s">
        <v>316</v>
      </c>
    </row>
    <row r="31194">
      <c r="A31194" s="17"/>
      <c r="H31194" s="18"/>
      <c r="K31194" s="18" t="s">
        <v>316</v>
      </c>
    </row>
    <row r="31195">
      <c r="A31195" s="17"/>
      <c r="H31195" s="18"/>
      <c r="K31195" s="18" t="s">
        <v>316</v>
      </c>
    </row>
    <row r="31196">
      <c r="A31196" s="17"/>
      <c r="H31196" s="18"/>
      <c r="K31196" s="18" t="s">
        <v>316</v>
      </c>
    </row>
    <row r="31197">
      <c r="A31197" s="17"/>
      <c r="H31197" s="18"/>
      <c r="K31197" s="18" t="s">
        <v>316</v>
      </c>
    </row>
    <row r="31198">
      <c r="A31198" s="17"/>
      <c r="H31198" s="18"/>
      <c r="K31198" s="18" t="s">
        <v>316</v>
      </c>
    </row>
    <row r="31199">
      <c r="A31199" s="17"/>
      <c r="H31199" s="18"/>
      <c r="K31199" s="18" t="s">
        <v>316</v>
      </c>
    </row>
    <row r="31200">
      <c r="A31200" s="17"/>
      <c r="H31200" s="18"/>
      <c r="K31200" s="18" t="s">
        <v>316</v>
      </c>
    </row>
    <row r="31201">
      <c r="A31201" s="17"/>
      <c r="H31201" s="18"/>
      <c r="K31201" s="18" t="s">
        <v>316</v>
      </c>
    </row>
    <row r="31202">
      <c r="A31202" s="17"/>
      <c r="H31202" s="18"/>
      <c r="K31202" s="18" t="s">
        <v>316</v>
      </c>
    </row>
    <row r="31203">
      <c r="A31203" s="17"/>
      <c r="H31203" s="18"/>
      <c r="K31203" s="18" t="s">
        <v>316</v>
      </c>
    </row>
    <row r="31204">
      <c r="A31204" s="17"/>
      <c r="H31204" s="18"/>
      <c r="K31204" s="18" t="s">
        <v>316</v>
      </c>
    </row>
    <row r="31205">
      <c r="A31205" s="17"/>
      <c r="H31205" s="18"/>
      <c r="K31205" s="18" t="s">
        <v>316</v>
      </c>
    </row>
    <row r="31206">
      <c r="A31206" s="17"/>
      <c r="H31206" s="18"/>
      <c r="K31206" s="18" t="s">
        <v>316</v>
      </c>
    </row>
    <row r="31207">
      <c r="A31207" s="17"/>
      <c r="H31207" s="18"/>
      <c r="K31207" s="18" t="s">
        <v>316</v>
      </c>
    </row>
    <row r="31208">
      <c r="A31208" s="17"/>
      <c r="H31208" s="18"/>
      <c r="K31208" s="18" t="s">
        <v>316</v>
      </c>
    </row>
    <row r="31209">
      <c r="A31209" s="17"/>
      <c r="H31209" s="18"/>
      <c r="K31209" s="18" t="s">
        <v>316</v>
      </c>
    </row>
    <row r="31210">
      <c r="A31210" s="17"/>
      <c r="H31210" s="18"/>
      <c r="K31210" s="18" t="s">
        <v>316</v>
      </c>
    </row>
    <row r="31211">
      <c r="A31211" s="17"/>
      <c r="H31211" s="18"/>
      <c r="K31211" s="18" t="s">
        <v>316</v>
      </c>
    </row>
    <row r="31212">
      <c r="A31212" s="17"/>
      <c r="H31212" s="18"/>
      <c r="K31212" s="18" t="s">
        <v>316</v>
      </c>
    </row>
    <row r="31213">
      <c r="A31213" s="17"/>
      <c r="H31213" s="18"/>
      <c r="K31213" s="18" t="s">
        <v>316</v>
      </c>
    </row>
    <row r="31214">
      <c r="A31214" s="17"/>
      <c r="H31214" s="18"/>
      <c r="K31214" s="18" t="s">
        <v>316</v>
      </c>
    </row>
    <row r="31215">
      <c r="A31215" s="17"/>
      <c r="H31215" s="18"/>
      <c r="K31215" s="18" t="s">
        <v>316</v>
      </c>
    </row>
    <row r="31216">
      <c r="A31216" s="17"/>
      <c r="H31216" s="18"/>
      <c r="K31216" s="18" t="s">
        <v>316</v>
      </c>
    </row>
    <row r="31217">
      <c r="A31217" s="17"/>
      <c r="H31217" s="18"/>
      <c r="K31217" s="18" t="s">
        <v>316</v>
      </c>
    </row>
    <row r="31218">
      <c r="A31218" s="17"/>
      <c r="H31218" s="18"/>
      <c r="K31218" s="18" t="s">
        <v>316</v>
      </c>
    </row>
    <row r="31219">
      <c r="A31219" s="17"/>
      <c r="H31219" s="18"/>
      <c r="K31219" s="18" t="s">
        <v>316</v>
      </c>
    </row>
    <row r="31220">
      <c r="A31220" s="17"/>
      <c r="H31220" s="18"/>
      <c r="K31220" s="18" t="s">
        <v>316</v>
      </c>
    </row>
    <row r="31221">
      <c r="A31221" s="17"/>
      <c r="H31221" s="18"/>
      <c r="K31221" s="18" t="s">
        <v>316</v>
      </c>
    </row>
    <row r="31222">
      <c r="A31222" s="17"/>
      <c r="H31222" s="18"/>
      <c r="K31222" s="18" t="s">
        <v>316</v>
      </c>
    </row>
    <row r="31223">
      <c r="A31223" s="17"/>
      <c r="H31223" s="18"/>
      <c r="K31223" s="18" t="s">
        <v>316</v>
      </c>
    </row>
    <row r="31224">
      <c r="A31224" s="17"/>
      <c r="H31224" s="18"/>
      <c r="K31224" s="18" t="s">
        <v>316</v>
      </c>
    </row>
    <row r="31225">
      <c r="A31225" s="17"/>
      <c r="H31225" s="18"/>
      <c r="K31225" s="18" t="s">
        <v>316</v>
      </c>
    </row>
    <row r="31226">
      <c r="A31226" s="17"/>
      <c r="H31226" s="18"/>
      <c r="K31226" s="18" t="s">
        <v>316</v>
      </c>
    </row>
    <row r="31227">
      <c r="A31227" s="17"/>
      <c r="H31227" s="18"/>
      <c r="K31227" s="18" t="s">
        <v>316</v>
      </c>
    </row>
    <row r="31228">
      <c r="A31228" s="17"/>
      <c r="H31228" s="18"/>
      <c r="K31228" s="18" t="s">
        <v>316</v>
      </c>
    </row>
    <row r="31229">
      <c r="A31229" s="17"/>
      <c r="H31229" s="18"/>
      <c r="K31229" s="18" t="s">
        <v>316</v>
      </c>
    </row>
    <row r="31230">
      <c r="A31230" s="17"/>
      <c r="H31230" s="18"/>
      <c r="K31230" s="18" t="s">
        <v>316</v>
      </c>
    </row>
    <row r="31231">
      <c r="A31231" s="17"/>
      <c r="H31231" s="18"/>
      <c r="K31231" s="18" t="s">
        <v>316</v>
      </c>
    </row>
    <row r="31232">
      <c r="A31232" s="17"/>
      <c r="H31232" s="18"/>
      <c r="K31232" s="18" t="s">
        <v>316</v>
      </c>
    </row>
    <row r="31233">
      <c r="A31233" s="17"/>
      <c r="H31233" s="18"/>
      <c r="K31233" s="18" t="s">
        <v>316</v>
      </c>
    </row>
    <row r="31234">
      <c r="A31234" s="17"/>
      <c r="H31234" s="18"/>
      <c r="K31234" s="18" t="s">
        <v>316</v>
      </c>
    </row>
    <row r="31235">
      <c r="A31235" s="17"/>
      <c r="H31235" s="18"/>
      <c r="K31235" s="18" t="s">
        <v>316</v>
      </c>
    </row>
    <row r="31236">
      <c r="A31236" s="17"/>
      <c r="H31236" s="18"/>
      <c r="K31236" s="18" t="s">
        <v>316</v>
      </c>
    </row>
    <row r="31237">
      <c r="A31237" s="17"/>
      <c r="H31237" s="18"/>
      <c r="K31237" s="18" t="s">
        <v>316</v>
      </c>
    </row>
    <row r="31238">
      <c r="A31238" s="17"/>
      <c r="H31238" s="18"/>
      <c r="K31238" s="18" t="s">
        <v>316</v>
      </c>
    </row>
    <row r="31239">
      <c r="A31239" s="17"/>
      <c r="H31239" s="18"/>
      <c r="K31239" s="18" t="s">
        <v>316</v>
      </c>
    </row>
    <row r="31240">
      <c r="A31240" s="17"/>
      <c r="H31240" s="18"/>
      <c r="K31240" s="18" t="s">
        <v>316</v>
      </c>
    </row>
    <row r="31241">
      <c r="A31241" s="17"/>
      <c r="H31241" s="18"/>
      <c r="K31241" s="18" t="s">
        <v>316</v>
      </c>
    </row>
    <row r="31242">
      <c r="A31242" s="17"/>
      <c r="H31242" s="18"/>
      <c r="K31242" s="18" t="s">
        <v>316</v>
      </c>
    </row>
    <row r="31243">
      <c r="A31243" s="17"/>
      <c r="H31243" s="18"/>
      <c r="K31243" s="18" t="s">
        <v>316</v>
      </c>
    </row>
    <row r="31244">
      <c r="A31244" s="17"/>
      <c r="H31244" s="18"/>
      <c r="K31244" s="18" t="s">
        <v>316</v>
      </c>
    </row>
    <row r="31245">
      <c r="A31245" s="17"/>
      <c r="H31245" s="18"/>
      <c r="K31245" s="18" t="s">
        <v>316</v>
      </c>
    </row>
    <row r="31246">
      <c r="A31246" s="17"/>
      <c r="H31246" s="18"/>
      <c r="K31246" s="18" t="s">
        <v>316</v>
      </c>
    </row>
    <row r="31247">
      <c r="A31247" s="17"/>
      <c r="H31247" s="18"/>
      <c r="K31247" s="18" t="s">
        <v>316</v>
      </c>
    </row>
    <row r="31248">
      <c r="A31248" s="17"/>
      <c r="H31248" s="18"/>
      <c r="K31248" s="18" t="s">
        <v>316</v>
      </c>
    </row>
    <row r="31249">
      <c r="A31249" s="17"/>
      <c r="H31249" s="18"/>
      <c r="K31249" s="18" t="s">
        <v>316</v>
      </c>
    </row>
    <row r="31250">
      <c r="A31250" s="17"/>
      <c r="H31250" s="18"/>
      <c r="K31250" s="18" t="s">
        <v>316</v>
      </c>
    </row>
    <row r="31251">
      <c r="A31251" s="17"/>
      <c r="H31251" s="18"/>
      <c r="K31251" s="18" t="s">
        <v>316</v>
      </c>
    </row>
    <row r="31252">
      <c r="A31252" s="17"/>
      <c r="H31252" s="18"/>
      <c r="K31252" s="18" t="s">
        <v>316</v>
      </c>
    </row>
    <row r="31253">
      <c r="A31253" s="17"/>
      <c r="H31253" s="18"/>
      <c r="K31253" s="18" t="s">
        <v>316</v>
      </c>
    </row>
    <row r="31254">
      <c r="A31254" s="17"/>
      <c r="H31254" s="18"/>
      <c r="K31254" s="18" t="s">
        <v>316</v>
      </c>
    </row>
    <row r="31255">
      <c r="A31255" s="17"/>
      <c r="H31255" s="18"/>
      <c r="K31255" s="18" t="s">
        <v>316</v>
      </c>
    </row>
    <row r="31256">
      <c r="A31256" s="17"/>
      <c r="H31256" s="18"/>
      <c r="K31256" s="18" t="s">
        <v>316</v>
      </c>
    </row>
    <row r="31257">
      <c r="A31257" s="17"/>
      <c r="H31257" s="18"/>
      <c r="K31257" s="18" t="s">
        <v>316</v>
      </c>
    </row>
    <row r="31258">
      <c r="A31258" s="17"/>
      <c r="H31258" s="18"/>
      <c r="K31258" s="18" t="s">
        <v>316</v>
      </c>
    </row>
    <row r="31259">
      <c r="A31259" s="17"/>
      <c r="H31259" s="18"/>
      <c r="K31259" s="18" t="s">
        <v>316</v>
      </c>
    </row>
    <row r="31260">
      <c r="A31260" s="17"/>
      <c r="H31260" s="18"/>
      <c r="K31260" s="18" t="s">
        <v>316</v>
      </c>
    </row>
    <row r="31261">
      <c r="A31261" s="17"/>
      <c r="H31261" s="18"/>
      <c r="K31261" s="18" t="s">
        <v>316</v>
      </c>
    </row>
    <row r="31262">
      <c r="A31262" s="17"/>
      <c r="H31262" s="18"/>
      <c r="K31262" s="18" t="s">
        <v>316</v>
      </c>
    </row>
    <row r="31263">
      <c r="A31263" s="17"/>
      <c r="H31263" s="18"/>
      <c r="K31263" s="18" t="s">
        <v>316</v>
      </c>
    </row>
    <row r="31264">
      <c r="A31264" s="17"/>
      <c r="H31264" s="18"/>
      <c r="K31264" s="18" t="s">
        <v>316</v>
      </c>
    </row>
    <row r="31265">
      <c r="A31265" s="17"/>
      <c r="H31265" s="18"/>
      <c r="K31265" s="18" t="s">
        <v>316</v>
      </c>
    </row>
    <row r="31266">
      <c r="A31266" s="17"/>
      <c r="H31266" s="18"/>
      <c r="K31266" s="18" t="s">
        <v>316</v>
      </c>
    </row>
    <row r="31267">
      <c r="A31267" s="17"/>
      <c r="H31267" s="18"/>
      <c r="K31267" s="18" t="s">
        <v>316</v>
      </c>
    </row>
    <row r="31268">
      <c r="A31268" s="17"/>
      <c r="H31268" s="18"/>
      <c r="K31268" s="18" t="s">
        <v>316</v>
      </c>
    </row>
    <row r="31269">
      <c r="A31269" s="17"/>
      <c r="H31269" s="18"/>
      <c r="K31269" s="18" t="s">
        <v>316</v>
      </c>
    </row>
    <row r="31270">
      <c r="A31270" s="17"/>
      <c r="H31270" s="18"/>
      <c r="K31270" s="18" t="s">
        <v>316</v>
      </c>
    </row>
    <row r="31271">
      <c r="A31271" s="17"/>
      <c r="H31271" s="18"/>
      <c r="K31271" s="18" t="s">
        <v>316</v>
      </c>
    </row>
    <row r="31272">
      <c r="A31272" s="17"/>
      <c r="H31272" s="18"/>
      <c r="K31272" s="18" t="s">
        <v>316</v>
      </c>
    </row>
    <row r="31273">
      <c r="A31273" s="17"/>
      <c r="H31273" s="18"/>
      <c r="K31273" s="18" t="s">
        <v>316</v>
      </c>
    </row>
    <row r="31274">
      <c r="A31274" s="17"/>
      <c r="H31274" s="18"/>
      <c r="K31274" s="18" t="s">
        <v>316</v>
      </c>
    </row>
    <row r="31275">
      <c r="A31275" s="17"/>
      <c r="H31275" s="18"/>
      <c r="K31275" s="18" t="s">
        <v>316</v>
      </c>
    </row>
    <row r="31276">
      <c r="A31276" s="17"/>
      <c r="H31276" s="18"/>
      <c r="K31276" s="18" t="s">
        <v>316</v>
      </c>
    </row>
    <row r="31277">
      <c r="A31277" s="17"/>
      <c r="H31277" s="18"/>
      <c r="K31277" s="18" t="s">
        <v>316</v>
      </c>
    </row>
    <row r="31278">
      <c r="A31278" s="17"/>
      <c r="H31278" s="18"/>
      <c r="K31278" s="18" t="s">
        <v>316</v>
      </c>
    </row>
    <row r="31279">
      <c r="A31279" s="17"/>
      <c r="H31279" s="18"/>
      <c r="K31279" s="18" t="s">
        <v>316</v>
      </c>
    </row>
    <row r="31280">
      <c r="A31280" s="17"/>
      <c r="H31280" s="18"/>
      <c r="K31280" s="18" t="s">
        <v>316</v>
      </c>
    </row>
    <row r="31281">
      <c r="A31281" s="17"/>
      <c r="H31281" s="18"/>
      <c r="K31281" s="18" t="s">
        <v>316</v>
      </c>
    </row>
    <row r="31282">
      <c r="A31282" s="17"/>
      <c r="H31282" s="18"/>
      <c r="K31282" s="18" t="s">
        <v>316</v>
      </c>
    </row>
    <row r="31283">
      <c r="A31283" s="17"/>
      <c r="H31283" s="18"/>
      <c r="K31283" s="18" t="s">
        <v>316</v>
      </c>
    </row>
    <row r="31284">
      <c r="A31284" s="17"/>
      <c r="H31284" s="18"/>
      <c r="K31284" s="18" t="s">
        <v>316</v>
      </c>
    </row>
    <row r="31285">
      <c r="A31285" s="17"/>
      <c r="H31285" s="18"/>
      <c r="K31285" s="18" t="s">
        <v>316</v>
      </c>
    </row>
    <row r="31286">
      <c r="A31286" s="17"/>
      <c r="H31286" s="18"/>
      <c r="K31286" s="18" t="s">
        <v>316</v>
      </c>
    </row>
    <row r="31287">
      <c r="A31287" s="17"/>
      <c r="H31287" s="18"/>
      <c r="K31287" s="18" t="s">
        <v>316</v>
      </c>
    </row>
    <row r="31288">
      <c r="A31288" s="17"/>
      <c r="H31288" s="18"/>
      <c r="K31288" s="18" t="s">
        <v>316</v>
      </c>
    </row>
    <row r="31289">
      <c r="A31289" s="17"/>
      <c r="H31289" s="18"/>
      <c r="K31289" s="18" t="s">
        <v>316</v>
      </c>
    </row>
    <row r="31290">
      <c r="A31290" s="17"/>
      <c r="H31290" s="18"/>
      <c r="K31290" s="18" t="s">
        <v>316</v>
      </c>
    </row>
    <row r="31291">
      <c r="A31291" s="17"/>
      <c r="H31291" s="18"/>
      <c r="K31291" s="18" t="s">
        <v>316</v>
      </c>
    </row>
    <row r="31292">
      <c r="A31292" s="17"/>
      <c r="H31292" s="18"/>
      <c r="K31292" s="18" t="s">
        <v>316</v>
      </c>
    </row>
    <row r="31293">
      <c r="A31293" s="17"/>
      <c r="H31293" s="18"/>
      <c r="K31293" s="18" t="s">
        <v>316</v>
      </c>
    </row>
    <row r="31294">
      <c r="A31294" s="17"/>
      <c r="H31294" s="18"/>
      <c r="K31294" s="18" t="s">
        <v>316</v>
      </c>
    </row>
    <row r="31295">
      <c r="A31295" s="17"/>
      <c r="H31295" s="18"/>
      <c r="K31295" s="18" t="s">
        <v>316</v>
      </c>
    </row>
    <row r="31296">
      <c r="A31296" s="17"/>
      <c r="H31296" s="18"/>
      <c r="K31296" s="18" t="s">
        <v>316</v>
      </c>
    </row>
    <row r="31297">
      <c r="A31297" s="17"/>
      <c r="H31297" s="18"/>
      <c r="K31297" s="18" t="s">
        <v>316</v>
      </c>
    </row>
    <row r="31298">
      <c r="A31298" s="17"/>
      <c r="H31298" s="18"/>
      <c r="K31298" s="18" t="s">
        <v>316</v>
      </c>
    </row>
    <row r="31299">
      <c r="A31299" s="17"/>
      <c r="H31299" s="18"/>
      <c r="K31299" s="18" t="s">
        <v>316</v>
      </c>
    </row>
    <row r="31300">
      <c r="A31300" s="17"/>
      <c r="H31300" s="18"/>
      <c r="K31300" s="18" t="s">
        <v>316</v>
      </c>
    </row>
    <row r="31301">
      <c r="A31301" s="17"/>
      <c r="H31301" s="18"/>
      <c r="K31301" s="18" t="s">
        <v>316</v>
      </c>
    </row>
    <row r="31302">
      <c r="A31302" s="17"/>
      <c r="H31302" s="18"/>
      <c r="K31302" s="18" t="s">
        <v>316</v>
      </c>
    </row>
    <row r="31303">
      <c r="A31303" s="17"/>
      <c r="H31303" s="18"/>
      <c r="K31303" s="18" t="s">
        <v>316</v>
      </c>
    </row>
    <row r="31304">
      <c r="A31304" s="17"/>
      <c r="H31304" s="18"/>
      <c r="K31304" s="18" t="s">
        <v>316</v>
      </c>
    </row>
    <row r="31305">
      <c r="A31305" s="17"/>
      <c r="H31305" s="18"/>
      <c r="K31305" s="18" t="s">
        <v>316</v>
      </c>
    </row>
    <row r="31306">
      <c r="A31306" s="17"/>
      <c r="H31306" s="18"/>
      <c r="K31306" s="18" t="s">
        <v>316</v>
      </c>
    </row>
    <row r="31307">
      <c r="A31307" s="17"/>
      <c r="H31307" s="18"/>
      <c r="K31307" s="18" t="s">
        <v>316</v>
      </c>
    </row>
    <row r="31308">
      <c r="A31308" s="17"/>
      <c r="H31308" s="18"/>
      <c r="K31308" s="18" t="s">
        <v>316</v>
      </c>
    </row>
    <row r="31309">
      <c r="A31309" s="17"/>
      <c r="H31309" s="18"/>
      <c r="K31309" s="18" t="s">
        <v>316</v>
      </c>
    </row>
    <row r="31310">
      <c r="A31310" s="17"/>
      <c r="H31310" s="18"/>
      <c r="K31310" s="18" t="s">
        <v>316</v>
      </c>
    </row>
    <row r="31311">
      <c r="A31311" s="17"/>
      <c r="H31311" s="18"/>
      <c r="K31311" s="18" t="s">
        <v>316</v>
      </c>
    </row>
    <row r="31312">
      <c r="A31312" s="17"/>
      <c r="H31312" s="18"/>
      <c r="K31312" s="18" t="s">
        <v>316</v>
      </c>
    </row>
    <row r="31313">
      <c r="A31313" s="17"/>
      <c r="H31313" s="18"/>
      <c r="K31313" s="18" t="s">
        <v>316</v>
      </c>
    </row>
    <row r="31314">
      <c r="A31314" s="17"/>
      <c r="H31314" s="18"/>
      <c r="K31314" s="18" t="s">
        <v>316</v>
      </c>
    </row>
    <row r="31315">
      <c r="A31315" s="17"/>
      <c r="H31315" s="18"/>
      <c r="K31315" s="18" t="s">
        <v>316</v>
      </c>
    </row>
    <row r="31316">
      <c r="A31316" s="17"/>
      <c r="H31316" s="18"/>
      <c r="K31316" s="18" t="s">
        <v>316</v>
      </c>
    </row>
    <row r="31317">
      <c r="A31317" s="17"/>
      <c r="H31317" s="18"/>
      <c r="K31317" s="18" t="s">
        <v>316</v>
      </c>
    </row>
    <row r="31318">
      <c r="A31318" s="17"/>
      <c r="H31318" s="18"/>
      <c r="K31318" s="18" t="s">
        <v>316</v>
      </c>
    </row>
    <row r="31319">
      <c r="A31319" s="17"/>
      <c r="H31319" s="18"/>
      <c r="K31319" s="18" t="s">
        <v>316</v>
      </c>
    </row>
    <row r="31320">
      <c r="A31320" s="17"/>
      <c r="H31320" s="18"/>
      <c r="K31320" s="18" t="s">
        <v>316</v>
      </c>
    </row>
    <row r="31321">
      <c r="A31321" s="17"/>
      <c r="H31321" s="18"/>
      <c r="K31321" s="18" t="s">
        <v>316</v>
      </c>
    </row>
    <row r="31322">
      <c r="A31322" s="17"/>
      <c r="H31322" s="18"/>
      <c r="K31322" s="18" t="s">
        <v>316</v>
      </c>
    </row>
    <row r="31323">
      <c r="A31323" s="17"/>
      <c r="H31323" s="18"/>
      <c r="K31323" s="18" t="s">
        <v>316</v>
      </c>
    </row>
    <row r="31324">
      <c r="A31324" s="17"/>
      <c r="H31324" s="18"/>
      <c r="K31324" s="18" t="s">
        <v>316</v>
      </c>
    </row>
    <row r="31325">
      <c r="A31325" s="17"/>
      <c r="H31325" s="18"/>
      <c r="K31325" s="18" t="s">
        <v>316</v>
      </c>
    </row>
    <row r="31326">
      <c r="A31326" s="17"/>
      <c r="H31326" s="18"/>
      <c r="K31326" s="18" t="s">
        <v>316</v>
      </c>
    </row>
    <row r="31327">
      <c r="A31327" s="17"/>
      <c r="H31327" s="18"/>
      <c r="K31327" s="18" t="s">
        <v>316</v>
      </c>
    </row>
    <row r="31328">
      <c r="A31328" s="17"/>
      <c r="H31328" s="18"/>
      <c r="K31328" s="18" t="s">
        <v>316</v>
      </c>
    </row>
    <row r="31329">
      <c r="A31329" s="17"/>
      <c r="H31329" s="18"/>
      <c r="K31329" s="18" t="s">
        <v>316</v>
      </c>
    </row>
    <row r="31330">
      <c r="A31330" s="17"/>
      <c r="H31330" s="18"/>
      <c r="K31330" s="18" t="s">
        <v>316</v>
      </c>
    </row>
    <row r="31331">
      <c r="A31331" s="17"/>
      <c r="H31331" s="18"/>
      <c r="K31331" s="18" t="s">
        <v>316</v>
      </c>
    </row>
    <row r="31332">
      <c r="A31332" s="17"/>
      <c r="H31332" s="18"/>
      <c r="K31332" s="18" t="s">
        <v>316</v>
      </c>
    </row>
    <row r="31333">
      <c r="A31333" s="17"/>
      <c r="H31333" s="18"/>
      <c r="K31333" s="18" t="s">
        <v>316</v>
      </c>
    </row>
    <row r="31334">
      <c r="A31334" s="17"/>
      <c r="H31334" s="18"/>
      <c r="K31334" s="18" t="s">
        <v>316</v>
      </c>
    </row>
    <row r="31335">
      <c r="A31335" s="17"/>
      <c r="H31335" s="18"/>
      <c r="K31335" s="18" t="s">
        <v>316</v>
      </c>
    </row>
    <row r="31336">
      <c r="A31336" s="17"/>
      <c r="H31336" s="18"/>
      <c r="K31336" s="18" t="s">
        <v>316</v>
      </c>
    </row>
    <row r="31337">
      <c r="A31337" s="17"/>
      <c r="H31337" s="18"/>
      <c r="K31337" s="18" t="s">
        <v>316</v>
      </c>
    </row>
    <row r="31338">
      <c r="A31338" s="17"/>
      <c r="H31338" s="18"/>
      <c r="K31338" s="18" t="s">
        <v>316</v>
      </c>
    </row>
    <row r="31339">
      <c r="A31339" s="17"/>
      <c r="H31339" s="18"/>
      <c r="K31339" s="18" t="s">
        <v>316</v>
      </c>
    </row>
    <row r="31340">
      <c r="A31340" s="17"/>
      <c r="H31340" s="18"/>
      <c r="K31340" s="18" t="s">
        <v>316</v>
      </c>
    </row>
    <row r="31341">
      <c r="A31341" s="17"/>
      <c r="H31341" s="18"/>
      <c r="K31341" s="18" t="s">
        <v>316</v>
      </c>
    </row>
    <row r="31342">
      <c r="A31342" s="17"/>
      <c r="H31342" s="18"/>
      <c r="K31342" s="18" t="s">
        <v>316</v>
      </c>
    </row>
    <row r="31343">
      <c r="A31343" s="17"/>
      <c r="H31343" s="18"/>
      <c r="K31343" s="18" t="s">
        <v>316</v>
      </c>
    </row>
    <row r="31344">
      <c r="A31344" s="17"/>
      <c r="H31344" s="18"/>
      <c r="K31344" s="18" t="s">
        <v>316</v>
      </c>
    </row>
    <row r="31345">
      <c r="A31345" s="17"/>
      <c r="H31345" s="18"/>
      <c r="K31345" s="18" t="s">
        <v>316</v>
      </c>
    </row>
    <row r="31346">
      <c r="A31346" s="17"/>
      <c r="H31346" s="18"/>
      <c r="K31346" s="18" t="s">
        <v>316</v>
      </c>
    </row>
    <row r="31347">
      <c r="A31347" s="17"/>
      <c r="H31347" s="18"/>
      <c r="K31347" s="18" t="s">
        <v>316</v>
      </c>
    </row>
    <row r="31348">
      <c r="A31348" s="17"/>
      <c r="H31348" s="18"/>
      <c r="K31348" s="18" t="s">
        <v>316</v>
      </c>
    </row>
    <row r="31349">
      <c r="A31349" s="17"/>
      <c r="H31349" s="18"/>
      <c r="K31349" s="18" t="s">
        <v>316</v>
      </c>
    </row>
    <row r="31350">
      <c r="A31350" s="17"/>
      <c r="H31350" s="18"/>
      <c r="K31350" s="18" t="s">
        <v>316</v>
      </c>
    </row>
    <row r="31351">
      <c r="A31351" s="17"/>
      <c r="H31351" s="18"/>
      <c r="K31351" s="18" t="s">
        <v>316</v>
      </c>
    </row>
    <row r="31352">
      <c r="A31352" s="17"/>
      <c r="H31352" s="18"/>
      <c r="K31352" s="18" t="s">
        <v>316</v>
      </c>
    </row>
    <row r="31353">
      <c r="A31353" s="17"/>
      <c r="H31353" s="18"/>
      <c r="K31353" s="18" t="s">
        <v>316</v>
      </c>
    </row>
    <row r="31354">
      <c r="A31354" s="17"/>
      <c r="H31354" s="18"/>
      <c r="K31354" s="18" t="s">
        <v>316</v>
      </c>
    </row>
    <row r="31355">
      <c r="A31355" s="17"/>
      <c r="H31355" s="18"/>
      <c r="K31355" s="18" t="s">
        <v>316</v>
      </c>
    </row>
    <row r="31356">
      <c r="A31356" s="17"/>
      <c r="H31356" s="18"/>
      <c r="K31356" s="18" t="s">
        <v>316</v>
      </c>
    </row>
    <row r="31357">
      <c r="A31357" s="17"/>
      <c r="H31357" s="18"/>
      <c r="K31357" s="18" t="s">
        <v>316</v>
      </c>
    </row>
    <row r="31358">
      <c r="A31358" s="17"/>
      <c r="H31358" s="18"/>
      <c r="K31358" s="18" t="s">
        <v>316</v>
      </c>
    </row>
    <row r="31359">
      <c r="A31359" s="17"/>
      <c r="H31359" s="18"/>
      <c r="K31359" s="18" t="s">
        <v>316</v>
      </c>
    </row>
    <row r="31360">
      <c r="A31360" s="17"/>
      <c r="H31360" s="18"/>
      <c r="K31360" s="18" t="s">
        <v>316</v>
      </c>
    </row>
    <row r="31361">
      <c r="A31361" s="17"/>
      <c r="H31361" s="18"/>
      <c r="K31361" s="18" t="s">
        <v>316</v>
      </c>
    </row>
    <row r="31362">
      <c r="A31362" s="17"/>
      <c r="H31362" s="18"/>
      <c r="K31362" s="18" t="s">
        <v>316</v>
      </c>
    </row>
    <row r="31363">
      <c r="A31363" s="17"/>
      <c r="H31363" s="18"/>
      <c r="K31363" s="18" t="s">
        <v>316</v>
      </c>
    </row>
    <row r="31364">
      <c r="A31364" s="17"/>
      <c r="H31364" s="18"/>
      <c r="K31364" s="18" t="s">
        <v>316</v>
      </c>
    </row>
    <row r="31365">
      <c r="A31365" s="17"/>
      <c r="H31365" s="18"/>
      <c r="K31365" s="18" t="s">
        <v>316</v>
      </c>
    </row>
    <row r="31366">
      <c r="A31366" s="17"/>
      <c r="H31366" s="18"/>
      <c r="K31366" s="18" t="s">
        <v>316</v>
      </c>
    </row>
    <row r="31367">
      <c r="A31367" s="17"/>
      <c r="H31367" s="18"/>
      <c r="K31367" s="18" t="s">
        <v>316</v>
      </c>
    </row>
    <row r="31368">
      <c r="A31368" s="17"/>
      <c r="H31368" s="18"/>
      <c r="K31368" s="18" t="s">
        <v>316</v>
      </c>
    </row>
    <row r="31369">
      <c r="A31369" s="17"/>
      <c r="H31369" s="18"/>
      <c r="K31369" s="18" t="s">
        <v>316</v>
      </c>
    </row>
    <row r="31370">
      <c r="A31370" s="17"/>
      <c r="H31370" s="18"/>
      <c r="K31370" s="18" t="s">
        <v>316</v>
      </c>
    </row>
    <row r="31371">
      <c r="A31371" s="17"/>
      <c r="H31371" s="18"/>
      <c r="K31371" s="18" t="s">
        <v>316</v>
      </c>
    </row>
    <row r="31372">
      <c r="A31372" s="17"/>
      <c r="H31372" s="18"/>
      <c r="K31372" s="18" t="s">
        <v>316</v>
      </c>
    </row>
    <row r="31373">
      <c r="A31373" s="17"/>
      <c r="H31373" s="18"/>
      <c r="K31373" s="18" t="s">
        <v>316</v>
      </c>
    </row>
    <row r="31374">
      <c r="A31374" s="17"/>
      <c r="H31374" s="18"/>
      <c r="K31374" s="18" t="s">
        <v>316</v>
      </c>
    </row>
    <row r="31375">
      <c r="A31375" s="17"/>
      <c r="H31375" s="18"/>
      <c r="K31375" s="18" t="s">
        <v>316</v>
      </c>
    </row>
    <row r="31376">
      <c r="A31376" s="17"/>
      <c r="H31376" s="18"/>
      <c r="K31376" s="18" t="s">
        <v>316</v>
      </c>
    </row>
    <row r="31377">
      <c r="A31377" s="17"/>
      <c r="H31377" s="18"/>
      <c r="K31377" s="18" t="s">
        <v>316</v>
      </c>
    </row>
    <row r="31378">
      <c r="A31378" s="17"/>
      <c r="H31378" s="18"/>
      <c r="K31378" s="18" t="s">
        <v>316</v>
      </c>
    </row>
    <row r="31379">
      <c r="A31379" s="17"/>
      <c r="H31379" s="18"/>
      <c r="K31379" s="18" t="s">
        <v>316</v>
      </c>
    </row>
    <row r="31380">
      <c r="A31380" s="17"/>
      <c r="H31380" s="18"/>
      <c r="K31380" s="18" t="s">
        <v>316</v>
      </c>
    </row>
    <row r="31381">
      <c r="A31381" s="17"/>
      <c r="H31381" s="18"/>
      <c r="K31381" s="18" t="s">
        <v>316</v>
      </c>
    </row>
    <row r="31382">
      <c r="A31382" s="17"/>
      <c r="H31382" s="18"/>
      <c r="K31382" s="18" t="s">
        <v>316</v>
      </c>
    </row>
    <row r="31383">
      <c r="A31383" s="17"/>
      <c r="H31383" s="18"/>
      <c r="K31383" s="18" t="s">
        <v>316</v>
      </c>
    </row>
    <row r="31384">
      <c r="A31384" s="17"/>
      <c r="H31384" s="18"/>
      <c r="K31384" s="18" t="s">
        <v>316</v>
      </c>
    </row>
    <row r="31385">
      <c r="A31385" s="17"/>
      <c r="H31385" s="18"/>
      <c r="K31385" s="18" t="s">
        <v>316</v>
      </c>
    </row>
    <row r="31386">
      <c r="A31386" s="17"/>
      <c r="H31386" s="18"/>
      <c r="K31386" s="18" t="s">
        <v>316</v>
      </c>
    </row>
    <row r="31387">
      <c r="A31387" s="17"/>
      <c r="H31387" s="18"/>
      <c r="K31387" s="18" t="s">
        <v>316</v>
      </c>
    </row>
    <row r="31388">
      <c r="A31388" s="17"/>
      <c r="H31388" s="18"/>
      <c r="K31388" s="18" t="s">
        <v>316</v>
      </c>
    </row>
    <row r="31389">
      <c r="A31389" s="17"/>
      <c r="H31389" s="18"/>
      <c r="K31389" s="18" t="s">
        <v>316</v>
      </c>
    </row>
    <row r="31390">
      <c r="A31390" s="17"/>
      <c r="H31390" s="18"/>
      <c r="K31390" s="18" t="s">
        <v>316</v>
      </c>
    </row>
    <row r="31391">
      <c r="A31391" s="17"/>
      <c r="H31391" s="18"/>
      <c r="K31391" s="18" t="s">
        <v>316</v>
      </c>
    </row>
    <row r="31392">
      <c r="A31392" s="17"/>
      <c r="H31392" s="18"/>
      <c r="K31392" s="18" t="s">
        <v>316</v>
      </c>
    </row>
    <row r="31393">
      <c r="A31393" s="17"/>
      <c r="H31393" s="18"/>
      <c r="K31393" s="18" t="s">
        <v>316</v>
      </c>
    </row>
    <row r="31394">
      <c r="A31394" s="17"/>
      <c r="H31394" s="18"/>
      <c r="K31394" s="18" t="s">
        <v>316</v>
      </c>
    </row>
    <row r="31395">
      <c r="A31395" s="17"/>
      <c r="H31395" s="18"/>
      <c r="K31395" s="18" t="s">
        <v>316</v>
      </c>
    </row>
    <row r="31396">
      <c r="A31396" s="17"/>
      <c r="H31396" s="18"/>
      <c r="K31396" s="18" t="s">
        <v>316</v>
      </c>
    </row>
    <row r="31397">
      <c r="A31397" s="17"/>
      <c r="H31397" s="18"/>
      <c r="K31397" s="18" t="s">
        <v>316</v>
      </c>
    </row>
    <row r="31398">
      <c r="A31398" s="17"/>
      <c r="H31398" s="18"/>
      <c r="K31398" s="18" t="s">
        <v>316</v>
      </c>
    </row>
    <row r="31399">
      <c r="A31399" s="17"/>
      <c r="H31399" s="18"/>
      <c r="K31399" s="18" t="s">
        <v>316</v>
      </c>
    </row>
    <row r="31400">
      <c r="A31400" s="17"/>
      <c r="H31400" s="18"/>
      <c r="K31400" s="18" t="s">
        <v>316</v>
      </c>
    </row>
    <row r="31401">
      <c r="A31401" s="17"/>
      <c r="H31401" s="18"/>
      <c r="K31401" s="18" t="s">
        <v>316</v>
      </c>
    </row>
    <row r="31402">
      <c r="A31402" s="17"/>
      <c r="H31402" s="18"/>
      <c r="K31402" s="18" t="s">
        <v>316</v>
      </c>
    </row>
    <row r="31403">
      <c r="A31403" s="17"/>
      <c r="H31403" s="18"/>
      <c r="K31403" s="18" t="s">
        <v>316</v>
      </c>
    </row>
    <row r="31404">
      <c r="A31404" s="17"/>
      <c r="H31404" s="18"/>
      <c r="K31404" s="18" t="s">
        <v>316</v>
      </c>
    </row>
    <row r="31405">
      <c r="A31405" s="17"/>
      <c r="H31405" s="18"/>
      <c r="K31405" s="18" t="s">
        <v>316</v>
      </c>
    </row>
    <row r="31406">
      <c r="A31406" s="17"/>
      <c r="H31406" s="18"/>
      <c r="K31406" s="18" t="s">
        <v>316</v>
      </c>
    </row>
    <row r="31407">
      <c r="A31407" s="17"/>
      <c r="H31407" s="18"/>
      <c r="K31407" s="18" t="s">
        <v>316</v>
      </c>
    </row>
    <row r="31408">
      <c r="A31408" s="17"/>
      <c r="H31408" s="18"/>
      <c r="K31408" s="18" t="s">
        <v>316</v>
      </c>
    </row>
    <row r="31409">
      <c r="A31409" s="17"/>
      <c r="H31409" s="18"/>
      <c r="K31409" s="18" t="s">
        <v>316</v>
      </c>
    </row>
    <row r="31410">
      <c r="A31410" s="17"/>
      <c r="H31410" s="18"/>
      <c r="K31410" s="18" t="s">
        <v>316</v>
      </c>
    </row>
    <row r="31411">
      <c r="A31411" s="17"/>
      <c r="H31411" s="18"/>
      <c r="K31411" s="18" t="s">
        <v>316</v>
      </c>
    </row>
    <row r="31412">
      <c r="A31412" s="17"/>
      <c r="H31412" s="18"/>
      <c r="K31412" s="18" t="s">
        <v>316</v>
      </c>
    </row>
    <row r="31413">
      <c r="A31413" s="17"/>
      <c r="H31413" s="18"/>
      <c r="K31413" s="18" t="s">
        <v>316</v>
      </c>
    </row>
    <row r="31414">
      <c r="A31414" s="17"/>
      <c r="H31414" s="18"/>
      <c r="K31414" s="18" t="s">
        <v>316</v>
      </c>
    </row>
    <row r="31415">
      <c r="A31415" s="17"/>
      <c r="H31415" s="18"/>
      <c r="K31415" s="18" t="s">
        <v>316</v>
      </c>
    </row>
    <row r="31416">
      <c r="A31416" s="17"/>
      <c r="H31416" s="18"/>
      <c r="K31416" s="18" t="s">
        <v>316</v>
      </c>
    </row>
    <row r="31417">
      <c r="A31417" s="17"/>
      <c r="H31417" s="18"/>
      <c r="K31417" s="18" t="s">
        <v>316</v>
      </c>
    </row>
    <row r="31418">
      <c r="A31418" s="17"/>
      <c r="H31418" s="18"/>
      <c r="K31418" s="18" t="s">
        <v>316</v>
      </c>
    </row>
    <row r="31419">
      <c r="A31419" s="17"/>
      <c r="H31419" s="18"/>
      <c r="K31419" s="18" t="s">
        <v>316</v>
      </c>
    </row>
    <row r="31420">
      <c r="A31420" s="17"/>
      <c r="H31420" s="18"/>
      <c r="K31420" s="18" t="s">
        <v>316</v>
      </c>
    </row>
    <row r="31421">
      <c r="A31421" s="17"/>
      <c r="H31421" s="18"/>
      <c r="K31421" s="18" t="s">
        <v>316</v>
      </c>
    </row>
    <row r="31422">
      <c r="A31422" s="17"/>
      <c r="H31422" s="18"/>
      <c r="K31422" s="18" t="s">
        <v>316</v>
      </c>
    </row>
    <row r="31423">
      <c r="A31423" s="17"/>
      <c r="H31423" s="18"/>
      <c r="K31423" s="18" t="s">
        <v>316</v>
      </c>
    </row>
    <row r="31424">
      <c r="A31424" s="17"/>
      <c r="H31424" s="18"/>
      <c r="K31424" s="18" t="s">
        <v>316</v>
      </c>
    </row>
    <row r="31425">
      <c r="A31425" s="17"/>
      <c r="H31425" s="18"/>
      <c r="K31425" s="18" t="s">
        <v>316</v>
      </c>
    </row>
    <row r="31426">
      <c r="A31426" s="17"/>
      <c r="H31426" s="18"/>
      <c r="K31426" s="18" t="s">
        <v>316</v>
      </c>
    </row>
    <row r="31427">
      <c r="A31427" s="17"/>
      <c r="H31427" s="18"/>
      <c r="K31427" s="18" t="s">
        <v>316</v>
      </c>
    </row>
    <row r="31428">
      <c r="A31428" s="17"/>
      <c r="H31428" s="18"/>
      <c r="K31428" s="18" t="s">
        <v>316</v>
      </c>
    </row>
    <row r="31429">
      <c r="A31429" s="17"/>
      <c r="H31429" s="18"/>
      <c r="K31429" s="18" t="s">
        <v>316</v>
      </c>
    </row>
    <row r="31430">
      <c r="A31430" s="17"/>
      <c r="H31430" s="18"/>
      <c r="K31430" s="18" t="s">
        <v>316</v>
      </c>
    </row>
    <row r="31431">
      <c r="A31431" s="17"/>
      <c r="H31431" s="18"/>
      <c r="K31431" s="18" t="s">
        <v>316</v>
      </c>
    </row>
    <row r="31432">
      <c r="A31432" s="17"/>
      <c r="H31432" s="18"/>
      <c r="K31432" s="18" t="s">
        <v>316</v>
      </c>
    </row>
    <row r="31433">
      <c r="A31433" s="17"/>
      <c r="H31433" s="18"/>
      <c r="K31433" s="18" t="s">
        <v>316</v>
      </c>
    </row>
    <row r="31434">
      <c r="A31434" s="17"/>
      <c r="H31434" s="18"/>
      <c r="K31434" s="18" t="s">
        <v>316</v>
      </c>
    </row>
    <row r="31435">
      <c r="A31435" s="17"/>
      <c r="H31435" s="18"/>
      <c r="K31435" s="18" t="s">
        <v>316</v>
      </c>
    </row>
    <row r="31436">
      <c r="A31436" s="17"/>
      <c r="H31436" s="18"/>
      <c r="K31436" s="18" t="s">
        <v>316</v>
      </c>
    </row>
    <row r="31437">
      <c r="A31437" s="17"/>
      <c r="H31437" s="18"/>
      <c r="K31437" s="18" t="s">
        <v>316</v>
      </c>
    </row>
    <row r="31438">
      <c r="A31438" s="17"/>
      <c r="H31438" s="18"/>
      <c r="K31438" s="18" t="s">
        <v>316</v>
      </c>
    </row>
    <row r="31439">
      <c r="A31439" s="17"/>
      <c r="H31439" s="18"/>
      <c r="K31439" s="18" t="s">
        <v>316</v>
      </c>
    </row>
    <row r="31440">
      <c r="A31440" s="17"/>
      <c r="H31440" s="18"/>
      <c r="K31440" s="18" t="s">
        <v>316</v>
      </c>
    </row>
    <row r="31441">
      <c r="A31441" s="17"/>
      <c r="H31441" s="18"/>
      <c r="K31441" s="18" t="s">
        <v>316</v>
      </c>
    </row>
    <row r="31442">
      <c r="A31442" s="17"/>
      <c r="H31442" s="18"/>
      <c r="K31442" s="18" t="s">
        <v>316</v>
      </c>
    </row>
    <row r="31443">
      <c r="A31443" s="17"/>
      <c r="H31443" s="18"/>
      <c r="K31443" s="18" t="s">
        <v>316</v>
      </c>
    </row>
    <row r="31444">
      <c r="A31444" s="17"/>
      <c r="H31444" s="18"/>
      <c r="K31444" s="18" t="s">
        <v>316</v>
      </c>
    </row>
    <row r="31445">
      <c r="A31445" s="17"/>
      <c r="H31445" s="18"/>
      <c r="K31445" s="18" t="s">
        <v>316</v>
      </c>
    </row>
    <row r="31446">
      <c r="A31446" s="17"/>
      <c r="H31446" s="18"/>
      <c r="K31446" s="18" t="s">
        <v>316</v>
      </c>
    </row>
    <row r="31447">
      <c r="A31447" s="17"/>
      <c r="H31447" s="18"/>
      <c r="K31447" s="18" t="s">
        <v>316</v>
      </c>
    </row>
    <row r="31448">
      <c r="A31448" s="17"/>
      <c r="H31448" s="18"/>
      <c r="K31448" s="18" t="s">
        <v>316</v>
      </c>
    </row>
    <row r="31449">
      <c r="A31449" s="17"/>
      <c r="H31449" s="18"/>
      <c r="K31449" s="18" t="s">
        <v>316</v>
      </c>
    </row>
    <row r="31450">
      <c r="A31450" s="17"/>
      <c r="H31450" s="18"/>
      <c r="K31450" s="18" t="s">
        <v>316</v>
      </c>
    </row>
    <row r="31451">
      <c r="A31451" s="17"/>
      <c r="H31451" s="18"/>
      <c r="K31451" s="18" t="s">
        <v>316</v>
      </c>
    </row>
    <row r="31452">
      <c r="A31452" s="17"/>
      <c r="H31452" s="18"/>
      <c r="K31452" s="18" t="s">
        <v>316</v>
      </c>
    </row>
    <row r="31453">
      <c r="A31453" s="17"/>
      <c r="H31453" s="18"/>
      <c r="K31453" s="18" t="s">
        <v>316</v>
      </c>
    </row>
    <row r="31454">
      <c r="A31454" s="17"/>
      <c r="H31454" s="18"/>
      <c r="K31454" s="18" t="s">
        <v>316</v>
      </c>
    </row>
    <row r="31455">
      <c r="A31455" s="17"/>
      <c r="H31455" s="18"/>
      <c r="K31455" s="18" t="s">
        <v>316</v>
      </c>
    </row>
    <row r="31456">
      <c r="A31456" s="17"/>
      <c r="H31456" s="18"/>
      <c r="K31456" s="18" t="s">
        <v>316</v>
      </c>
    </row>
    <row r="31457">
      <c r="A31457" s="17"/>
      <c r="H31457" s="18"/>
      <c r="K31457" s="18" t="s">
        <v>316</v>
      </c>
    </row>
    <row r="31458">
      <c r="A31458" s="17"/>
      <c r="H31458" s="18"/>
      <c r="K31458" s="18" t="s">
        <v>316</v>
      </c>
    </row>
    <row r="31459">
      <c r="A31459" s="17"/>
      <c r="H31459" s="18"/>
      <c r="K31459" s="18" t="s">
        <v>316</v>
      </c>
    </row>
    <row r="31460">
      <c r="A31460" s="17"/>
      <c r="H31460" s="18"/>
      <c r="K31460" s="18" t="s">
        <v>316</v>
      </c>
    </row>
    <row r="31461">
      <c r="A31461" s="17"/>
      <c r="H31461" s="18"/>
      <c r="K31461" s="18" t="s">
        <v>316</v>
      </c>
    </row>
    <row r="31462">
      <c r="A31462" s="17"/>
      <c r="H31462" s="18"/>
      <c r="K31462" s="18" t="s">
        <v>316</v>
      </c>
    </row>
    <row r="31463">
      <c r="A31463" s="17"/>
      <c r="H31463" s="18"/>
      <c r="K31463" s="18" t="s">
        <v>316</v>
      </c>
    </row>
    <row r="31464">
      <c r="A31464" s="17"/>
      <c r="H31464" s="18"/>
      <c r="K31464" s="18" t="s">
        <v>316</v>
      </c>
    </row>
    <row r="31465">
      <c r="A31465" s="17"/>
      <c r="H31465" s="18"/>
      <c r="K31465" s="18" t="s">
        <v>316</v>
      </c>
    </row>
    <row r="31466">
      <c r="A31466" s="17"/>
      <c r="H31466" s="18"/>
      <c r="K31466" s="18" t="s">
        <v>316</v>
      </c>
    </row>
    <row r="31467">
      <c r="A31467" s="17"/>
      <c r="H31467" s="18"/>
      <c r="K31467" s="18" t="s">
        <v>316</v>
      </c>
    </row>
    <row r="31468">
      <c r="A31468" s="17"/>
      <c r="H31468" s="18"/>
      <c r="K31468" s="18" t="s">
        <v>316</v>
      </c>
    </row>
    <row r="31469">
      <c r="A31469" s="17"/>
      <c r="H31469" s="18"/>
      <c r="K31469" s="18" t="s">
        <v>316</v>
      </c>
    </row>
    <row r="31470">
      <c r="A31470" s="17"/>
      <c r="H31470" s="18"/>
      <c r="K31470" s="18" t="s">
        <v>316</v>
      </c>
    </row>
    <row r="31471">
      <c r="A31471" s="17"/>
      <c r="H31471" s="18"/>
      <c r="K31471" s="18" t="s">
        <v>316</v>
      </c>
    </row>
    <row r="31472">
      <c r="A31472" s="17"/>
      <c r="H31472" s="18"/>
      <c r="K31472" s="18" t="s">
        <v>316</v>
      </c>
    </row>
    <row r="31473">
      <c r="A31473" s="17"/>
      <c r="H31473" s="18"/>
      <c r="K31473" s="18" t="s">
        <v>316</v>
      </c>
    </row>
    <row r="31474">
      <c r="A31474" s="17"/>
      <c r="H31474" s="18"/>
      <c r="K31474" s="18" t="s">
        <v>316</v>
      </c>
    </row>
    <row r="31475">
      <c r="A31475" s="17"/>
      <c r="H31475" s="18"/>
      <c r="K31475" s="18" t="s">
        <v>316</v>
      </c>
    </row>
    <row r="31476">
      <c r="A31476" s="17"/>
      <c r="H31476" s="18"/>
      <c r="K31476" s="18" t="s">
        <v>316</v>
      </c>
    </row>
    <row r="31477">
      <c r="A31477" s="17"/>
      <c r="H31477" s="18"/>
      <c r="K31477" s="18" t="s">
        <v>316</v>
      </c>
    </row>
    <row r="31478">
      <c r="A31478" s="17"/>
      <c r="H31478" s="18"/>
      <c r="K31478" s="18" t="s">
        <v>316</v>
      </c>
    </row>
    <row r="31479">
      <c r="A31479" s="17"/>
      <c r="H31479" s="18"/>
      <c r="K31479" s="18" t="s">
        <v>316</v>
      </c>
    </row>
    <row r="31480">
      <c r="A31480" s="17"/>
      <c r="H31480" s="18"/>
      <c r="K31480" s="18" t="s">
        <v>316</v>
      </c>
    </row>
    <row r="31481">
      <c r="A31481" s="17"/>
      <c r="H31481" s="18"/>
      <c r="K31481" s="18" t="s">
        <v>316</v>
      </c>
    </row>
    <row r="31482">
      <c r="A31482" s="17"/>
      <c r="H31482" s="18"/>
      <c r="K31482" s="18" t="s">
        <v>316</v>
      </c>
    </row>
    <row r="31483">
      <c r="A31483" s="17"/>
      <c r="H31483" s="18"/>
      <c r="K31483" s="18" t="s">
        <v>316</v>
      </c>
    </row>
    <row r="31484">
      <c r="A31484" s="17"/>
      <c r="H31484" s="18"/>
      <c r="K31484" s="18" t="s">
        <v>316</v>
      </c>
    </row>
    <row r="31485">
      <c r="A31485" s="17"/>
      <c r="H31485" s="18"/>
      <c r="K31485" s="18" t="s">
        <v>316</v>
      </c>
    </row>
    <row r="31486">
      <c r="A31486" s="17"/>
      <c r="H31486" s="18"/>
      <c r="K31486" s="18" t="s">
        <v>316</v>
      </c>
    </row>
    <row r="31487">
      <c r="A31487" s="17"/>
      <c r="H31487" s="18"/>
      <c r="K31487" s="18" t="s">
        <v>316</v>
      </c>
    </row>
    <row r="31488">
      <c r="A31488" s="17"/>
      <c r="H31488" s="18"/>
      <c r="K31488" s="18" t="s">
        <v>316</v>
      </c>
    </row>
    <row r="31489">
      <c r="A31489" s="17"/>
      <c r="H31489" s="18"/>
      <c r="K31489" s="18" t="s">
        <v>316</v>
      </c>
    </row>
    <row r="31490">
      <c r="A31490" s="17"/>
      <c r="H31490" s="18"/>
      <c r="K31490" s="18" t="s">
        <v>316</v>
      </c>
    </row>
    <row r="31491">
      <c r="A31491" s="17"/>
      <c r="H31491" s="18"/>
      <c r="K31491" s="18" t="s">
        <v>316</v>
      </c>
    </row>
    <row r="31492">
      <c r="A31492" s="17"/>
      <c r="H31492" s="18"/>
      <c r="K31492" s="18" t="s">
        <v>316</v>
      </c>
    </row>
    <row r="31493">
      <c r="A31493" s="17"/>
      <c r="H31493" s="18"/>
      <c r="K31493" s="18" t="s">
        <v>316</v>
      </c>
    </row>
    <row r="31494">
      <c r="A31494" s="17"/>
      <c r="H31494" s="18"/>
      <c r="K31494" s="18" t="s">
        <v>316</v>
      </c>
    </row>
    <row r="31495">
      <c r="A31495" s="17"/>
      <c r="H31495" s="18"/>
      <c r="K31495" s="18" t="s">
        <v>316</v>
      </c>
    </row>
    <row r="31496">
      <c r="A31496" s="17"/>
      <c r="H31496" s="18"/>
      <c r="K31496" s="18" t="s">
        <v>316</v>
      </c>
    </row>
    <row r="31497">
      <c r="A31497" s="17"/>
      <c r="H31497" s="18"/>
      <c r="K31497" s="18" t="s">
        <v>316</v>
      </c>
    </row>
    <row r="31498">
      <c r="A31498" s="17"/>
      <c r="H31498" s="18"/>
      <c r="K31498" s="18" t="s">
        <v>316</v>
      </c>
    </row>
    <row r="31499">
      <c r="A31499" s="17"/>
      <c r="H31499" s="18"/>
      <c r="K31499" s="18" t="s">
        <v>316</v>
      </c>
    </row>
    <row r="31500">
      <c r="A31500" s="17"/>
      <c r="H31500" s="18"/>
      <c r="K31500" s="18" t="s">
        <v>316</v>
      </c>
    </row>
    <row r="31501">
      <c r="A31501" s="17"/>
      <c r="H31501" s="18"/>
      <c r="K31501" s="18" t="s">
        <v>316</v>
      </c>
    </row>
    <row r="31502">
      <c r="A31502" s="17"/>
      <c r="H31502" s="18"/>
      <c r="K31502" s="18" t="s">
        <v>316</v>
      </c>
    </row>
    <row r="31503">
      <c r="A31503" s="17"/>
      <c r="H31503" s="18"/>
      <c r="K31503" s="18" t="s">
        <v>316</v>
      </c>
    </row>
    <row r="31504">
      <c r="A31504" s="17"/>
      <c r="H31504" s="18"/>
      <c r="K31504" s="18" t="s">
        <v>316</v>
      </c>
    </row>
    <row r="31505">
      <c r="A31505" s="17"/>
      <c r="H31505" s="18"/>
      <c r="K31505" s="18" t="s">
        <v>316</v>
      </c>
    </row>
    <row r="31506">
      <c r="A31506" s="17"/>
      <c r="H31506" s="18"/>
      <c r="K31506" s="18" t="s">
        <v>316</v>
      </c>
    </row>
    <row r="31507">
      <c r="A31507" s="17"/>
      <c r="H31507" s="18"/>
      <c r="K31507" s="18" t="s">
        <v>316</v>
      </c>
    </row>
    <row r="31508">
      <c r="A31508" s="17"/>
      <c r="H31508" s="18"/>
      <c r="K31508" s="18" t="s">
        <v>316</v>
      </c>
    </row>
    <row r="31509">
      <c r="A31509" s="17"/>
      <c r="H31509" s="18"/>
      <c r="K31509" s="18" t="s">
        <v>316</v>
      </c>
    </row>
    <row r="31510">
      <c r="A31510" s="17"/>
      <c r="H31510" s="18"/>
      <c r="K31510" s="18" t="s">
        <v>316</v>
      </c>
    </row>
    <row r="31511">
      <c r="A31511" s="17"/>
      <c r="H31511" s="18"/>
      <c r="K31511" s="18" t="s">
        <v>316</v>
      </c>
    </row>
    <row r="31512">
      <c r="A31512" s="17"/>
      <c r="H31512" s="18"/>
      <c r="K31512" s="18" t="s">
        <v>316</v>
      </c>
    </row>
    <row r="31513">
      <c r="A31513" s="17"/>
      <c r="H31513" s="18"/>
      <c r="K31513" s="18" t="s">
        <v>316</v>
      </c>
    </row>
    <row r="31514">
      <c r="A31514" s="17"/>
      <c r="H31514" s="18"/>
      <c r="K31514" s="18" t="s">
        <v>316</v>
      </c>
    </row>
    <row r="31515">
      <c r="A31515" s="17"/>
      <c r="H31515" s="18"/>
      <c r="K31515" s="18" t="s">
        <v>316</v>
      </c>
    </row>
    <row r="31516">
      <c r="A31516" s="17"/>
      <c r="H31516" s="18"/>
      <c r="K31516" s="18" t="s">
        <v>316</v>
      </c>
    </row>
    <row r="31517">
      <c r="A31517" s="17"/>
      <c r="H31517" s="18"/>
      <c r="K31517" s="18" t="s">
        <v>316</v>
      </c>
    </row>
    <row r="31518">
      <c r="A31518" s="17"/>
      <c r="H31518" s="18"/>
      <c r="K31518" s="18" t="s">
        <v>316</v>
      </c>
    </row>
    <row r="31519">
      <c r="A31519" s="17"/>
      <c r="H31519" s="18"/>
      <c r="K31519" s="18" t="s">
        <v>316</v>
      </c>
    </row>
    <row r="31520">
      <c r="A31520" s="17"/>
      <c r="H31520" s="18"/>
      <c r="K31520" s="18" t="s">
        <v>316</v>
      </c>
    </row>
    <row r="31521">
      <c r="A31521" s="17"/>
      <c r="H31521" s="18"/>
      <c r="K31521" s="18" t="s">
        <v>316</v>
      </c>
    </row>
    <row r="31522">
      <c r="A31522" s="17"/>
      <c r="H31522" s="18"/>
      <c r="K31522" s="18" t="s">
        <v>316</v>
      </c>
    </row>
    <row r="31523">
      <c r="A31523" s="17"/>
      <c r="H31523" s="18"/>
      <c r="K31523" s="18" t="s">
        <v>316</v>
      </c>
    </row>
    <row r="31524">
      <c r="A31524" s="17"/>
      <c r="H31524" s="18"/>
      <c r="K31524" s="18" t="s">
        <v>316</v>
      </c>
    </row>
    <row r="31525">
      <c r="A31525" s="17"/>
      <c r="H31525" s="18"/>
      <c r="K31525" s="18" t="s">
        <v>316</v>
      </c>
    </row>
    <row r="31526">
      <c r="A31526" s="17"/>
      <c r="H31526" s="18"/>
      <c r="K31526" s="18" t="s">
        <v>316</v>
      </c>
    </row>
    <row r="31527">
      <c r="A31527" s="17"/>
      <c r="H31527" s="18"/>
      <c r="K31527" s="18" t="s">
        <v>316</v>
      </c>
    </row>
    <row r="31528">
      <c r="A31528" s="17"/>
      <c r="H31528" s="18"/>
      <c r="K31528" s="18" t="s">
        <v>316</v>
      </c>
    </row>
    <row r="31529">
      <c r="A31529" s="17"/>
      <c r="H31529" s="18"/>
      <c r="K31529" s="18" t="s">
        <v>316</v>
      </c>
    </row>
    <row r="31530">
      <c r="A31530" s="17"/>
      <c r="H31530" s="18"/>
      <c r="K31530" s="18" t="s">
        <v>316</v>
      </c>
    </row>
    <row r="31531">
      <c r="A31531" s="17"/>
      <c r="H31531" s="18"/>
      <c r="K31531" s="18" t="s">
        <v>316</v>
      </c>
    </row>
    <row r="31532">
      <c r="A31532" s="17"/>
      <c r="H31532" s="18"/>
      <c r="K31532" s="18" t="s">
        <v>316</v>
      </c>
    </row>
    <row r="31533">
      <c r="A31533" s="17"/>
      <c r="H31533" s="18"/>
      <c r="K31533" s="18" t="s">
        <v>316</v>
      </c>
    </row>
    <row r="31534">
      <c r="A31534" s="17"/>
      <c r="H31534" s="18"/>
      <c r="K31534" s="18" t="s">
        <v>316</v>
      </c>
    </row>
    <row r="31535">
      <c r="A31535" s="17"/>
      <c r="H31535" s="18"/>
      <c r="K31535" s="18" t="s">
        <v>316</v>
      </c>
    </row>
    <row r="31536">
      <c r="A31536" s="17"/>
      <c r="H31536" s="18"/>
      <c r="K31536" s="18" t="s">
        <v>316</v>
      </c>
    </row>
    <row r="31537">
      <c r="A31537" s="17"/>
      <c r="H31537" s="18"/>
      <c r="K31537" s="18" t="s">
        <v>316</v>
      </c>
    </row>
    <row r="31538">
      <c r="A31538" s="17"/>
      <c r="H31538" s="18"/>
      <c r="K31538" s="18" t="s">
        <v>316</v>
      </c>
    </row>
    <row r="31539">
      <c r="A31539" s="17"/>
      <c r="H31539" s="18"/>
      <c r="K31539" s="18" t="s">
        <v>316</v>
      </c>
    </row>
    <row r="31540">
      <c r="A31540" s="17"/>
      <c r="H31540" s="18"/>
      <c r="K31540" s="18" t="s">
        <v>316</v>
      </c>
    </row>
    <row r="31541">
      <c r="A31541" s="17"/>
      <c r="H31541" s="18"/>
      <c r="K31541" s="18" t="s">
        <v>316</v>
      </c>
    </row>
    <row r="31542">
      <c r="A31542" s="17"/>
      <c r="H31542" s="18"/>
      <c r="K31542" s="18" t="s">
        <v>316</v>
      </c>
    </row>
    <row r="31543">
      <c r="A31543" s="17"/>
      <c r="H31543" s="18"/>
      <c r="K31543" s="18" t="s">
        <v>316</v>
      </c>
    </row>
    <row r="31544">
      <c r="A31544" s="17"/>
      <c r="H31544" s="18"/>
      <c r="K31544" s="18" t="s">
        <v>316</v>
      </c>
    </row>
    <row r="31545">
      <c r="A31545" s="17"/>
      <c r="H31545" s="18"/>
      <c r="K31545" s="18" t="s">
        <v>316</v>
      </c>
    </row>
    <row r="31546">
      <c r="A31546" s="17"/>
      <c r="H31546" s="18"/>
      <c r="K31546" s="18" t="s">
        <v>316</v>
      </c>
    </row>
    <row r="31547">
      <c r="A31547" s="17"/>
      <c r="H31547" s="18"/>
      <c r="K31547" s="18" t="s">
        <v>316</v>
      </c>
    </row>
    <row r="31548">
      <c r="A31548" s="17"/>
      <c r="H31548" s="18"/>
      <c r="K31548" s="18" t="s">
        <v>316</v>
      </c>
    </row>
    <row r="31549">
      <c r="A31549" s="17"/>
      <c r="H31549" s="18"/>
      <c r="K31549" s="18" t="s">
        <v>316</v>
      </c>
    </row>
    <row r="31550">
      <c r="A31550" s="17"/>
      <c r="H31550" s="18"/>
      <c r="K31550" s="18" t="s">
        <v>316</v>
      </c>
    </row>
    <row r="31551">
      <c r="A31551" s="17"/>
      <c r="H31551" s="18"/>
      <c r="K31551" s="18" t="s">
        <v>316</v>
      </c>
    </row>
    <row r="31552">
      <c r="A31552" s="17"/>
      <c r="H31552" s="18"/>
      <c r="K31552" s="18" t="s">
        <v>316</v>
      </c>
    </row>
    <row r="31553">
      <c r="A31553" s="17"/>
      <c r="H31553" s="18"/>
      <c r="K31553" s="18" t="s">
        <v>316</v>
      </c>
    </row>
    <row r="31554">
      <c r="A31554" s="17"/>
      <c r="H31554" s="18"/>
      <c r="K31554" s="18" t="s">
        <v>316</v>
      </c>
    </row>
    <row r="31555">
      <c r="A31555" s="17"/>
      <c r="H31555" s="18"/>
      <c r="K31555" s="18" t="s">
        <v>316</v>
      </c>
    </row>
    <row r="31556">
      <c r="A31556" s="17"/>
      <c r="H31556" s="18"/>
      <c r="K31556" s="18" t="s">
        <v>316</v>
      </c>
    </row>
    <row r="31557">
      <c r="A31557" s="17"/>
      <c r="H31557" s="18"/>
      <c r="K31557" s="18" t="s">
        <v>316</v>
      </c>
    </row>
    <row r="31558">
      <c r="A31558" s="17"/>
      <c r="H31558" s="18"/>
      <c r="K31558" s="18" t="s">
        <v>316</v>
      </c>
    </row>
    <row r="31559">
      <c r="A31559" s="17"/>
      <c r="H31559" s="18"/>
      <c r="K31559" s="18" t="s">
        <v>316</v>
      </c>
    </row>
    <row r="31560">
      <c r="A31560" s="17"/>
      <c r="H31560" s="18"/>
      <c r="K31560" s="18" t="s">
        <v>316</v>
      </c>
    </row>
    <row r="31561">
      <c r="A31561" s="17"/>
      <c r="H31561" s="18"/>
      <c r="K31561" s="18" t="s">
        <v>316</v>
      </c>
    </row>
    <row r="31562">
      <c r="A31562" s="17"/>
      <c r="H31562" s="18"/>
      <c r="K31562" s="18" t="s">
        <v>316</v>
      </c>
    </row>
    <row r="31563">
      <c r="A31563" s="17"/>
      <c r="H31563" s="18"/>
      <c r="K31563" s="18" t="s">
        <v>316</v>
      </c>
    </row>
    <row r="31564">
      <c r="A31564" s="17"/>
      <c r="H31564" s="18"/>
      <c r="K31564" s="18" t="s">
        <v>316</v>
      </c>
    </row>
    <row r="31565">
      <c r="A31565" s="17"/>
      <c r="H31565" s="18"/>
      <c r="K31565" s="18" t="s">
        <v>316</v>
      </c>
    </row>
    <row r="31566">
      <c r="A31566" s="17"/>
      <c r="H31566" s="18"/>
      <c r="K31566" s="18" t="s">
        <v>316</v>
      </c>
    </row>
    <row r="31567">
      <c r="A31567" s="17"/>
      <c r="H31567" s="18"/>
      <c r="K31567" s="18" t="s">
        <v>316</v>
      </c>
    </row>
    <row r="31568">
      <c r="A31568" s="17"/>
      <c r="H31568" s="18"/>
      <c r="K31568" s="18" t="s">
        <v>316</v>
      </c>
    </row>
    <row r="31569">
      <c r="A31569" s="17"/>
      <c r="H31569" s="18"/>
      <c r="K31569" s="18" t="s">
        <v>316</v>
      </c>
    </row>
    <row r="31570">
      <c r="A31570" s="17"/>
      <c r="H31570" s="18"/>
      <c r="K31570" s="18" t="s">
        <v>316</v>
      </c>
    </row>
    <row r="31571">
      <c r="A31571" s="17"/>
      <c r="H31571" s="18"/>
      <c r="K31571" s="18" t="s">
        <v>316</v>
      </c>
    </row>
    <row r="31572">
      <c r="A31572" s="17"/>
      <c r="H31572" s="18"/>
      <c r="K31572" s="18" t="s">
        <v>316</v>
      </c>
    </row>
    <row r="31573">
      <c r="A31573" s="17"/>
      <c r="H31573" s="18"/>
      <c r="K31573" s="18" t="s">
        <v>316</v>
      </c>
    </row>
    <row r="31574">
      <c r="A31574" s="17"/>
      <c r="H31574" s="18"/>
      <c r="K31574" s="18" t="s">
        <v>316</v>
      </c>
    </row>
    <row r="31575">
      <c r="A31575" s="17"/>
      <c r="H31575" s="18"/>
      <c r="K31575" s="18" t="s">
        <v>316</v>
      </c>
    </row>
    <row r="31576">
      <c r="A31576" s="17"/>
      <c r="H31576" s="18"/>
      <c r="K31576" s="18" t="s">
        <v>316</v>
      </c>
    </row>
    <row r="31577">
      <c r="A31577" s="17"/>
      <c r="H31577" s="18"/>
      <c r="K31577" s="18" t="s">
        <v>316</v>
      </c>
    </row>
    <row r="31578">
      <c r="A31578" s="17"/>
      <c r="H31578" s="18"/>
      <c r="K31578" s="18" t="s">
        <v>316</v>
      </c>
    </row>
    <row r="31579">
      <c r="A31579" s="17"/>
      <c r="H31579" s="18"/>
      <c r="K31579" s="18" t="s">
        <v>316</v>
      </c>
    </row>
    <row r="31580">
      <c r="A31580" s="17"/>
      <c r="H31580" s="18"/>
      <c r="K31580" s="18" t="s">
        <v>316</v>
      </c>
    </row>
    <row r="31581">
      <c r="A31581" s="17"/>
      <c r="H31581" s="18"/>
      <c r="K31581" s="18" t="s">
        <v>316</v>
      </c>
    </row>
    <row r="31582">
      <c r="A31582" s="17"/>
      <c r="H31582" s="18"/>
      <c r="K31582" s="18" t="s">
        <v>316</v>
      </c>
    </row>
    <row r="31583">
      <c r="A31583" s="17"/>
      <c r="H31583" s="18"/>
      <c r="K31583" s="18" t="s">
        <v>316</v>
      </c>
    </row>
    <row r="31584">
      <c r="A31584" s="17"/>
      <c r="H31584" s="18"/>
      <c r="K31584" s="18" t="s">
        <v>316</v>
      </c>
    </row>
    <row r="31585">
      <c r="A31585" s="17"/>
      <c r="H31585" s="18"/>
      <c r="K31585" s="18" t="s">
        <v>316</v>
      </c>
    </row>
    <row r="31586">
      <c r="A31586" s="17"/>
      <c r="H31586" s="18"/>
      <c r="K31586" s="18" t="s">
        <v>316</v>
      </c>
    </row>
    <row r="31587">
      <c r="A31587" s="17"/>
      <c r="H31587" s="18"/>
      <c r="K31587" s="18" t="s">
        <v>316</v>
      </c>
    </row>
    <row r="31588">
      <c r="A31588" s="17"/>
      <c r="H31588" s="18"/>
      <c r="K31588" s="18" t="s">
        <v>316</v>
      </c>
    </row>
    <row r="31589">
      <c r="A31589" s="17"/>
      <c r="H31589" s="18"/>
      <c r="K31589" s="18" t="s">
        <v>316</v>
      </c>
    </row>
    <row r="31590">
      <c r="A31590" s="17"/>
      <c r="H31590" s="18"/>
      <c r="K31590" s="18" t="s">
        <v>316</v>
      </c>
    </row>
    <row r="31591">
      <c r="A31591" s="17"/>
      <c r="H31591" s="18"/>
      <c r="K31591" s="18" t="s">
        <v>316</v>
      </c>
    </row>
    <row r="31592">
      <c r="A31592" s="17"/>
      <c r="H31592" s="18"/>
      <c r="K31592" s="18" t="s">
        <v>316</v>
      </c>
    </row>
    <row r="31593">
      <c r="A31593" s="17"/>
      <c r="H31593" s="18"/>
      <c r="K31593" s="18" t="s">
        <v>316</v>
      </c>
    </row>
    <row r="31594">
      <c r="A31594" s="17"/>
      <c r="H31594" s="18"/>
      <c r="K31594" s="18" t="s">
        <v>316</v>
      </c>
    </row>
    <row r="31595">
      <c r="A31595" s="17"/>
      <c r="H31595" s="18"/>
      <c r="K31595" s="18" t="s">
        <v>316</v>
      </c>
    </row>
    <row r="31596">
      <c r="A31596" s="17"/>
      <c r="H31596" s="18"/>
      <c r="K31596" s="18" t="s">
        <v>316</v>
      </c>
    </row>
    <row r="31597">
      <c r="A31597" s="17"/>
      <c r="H31597" s="18"/>
      <c r="K31597" s="18" t="s">
        <v>316</v>
      </c>
    </row>
    <row r="31598">
      <c r="A31598" s="17"/>
      <c r="H31598" s="18"/>
      <c r="K31598" s="18" t="s">
        <v>316</v>
      </c>
    </row>
    <row r="31599">
      <c r="A31599" s="17"/>
      <c r="H31599" s="18"/>
      <c r="K31599" s="18" t="s">
        <v>316</v>
      </c>
    </row>
    <row r="31600">
      <c r="A31600" s="17"/>
      <c r="H31600" s="18"/>
      <c r="K31600" s="18" t="s">
        <v>316</v>
      </c>
    </row>
    <row r="31601">
      <c r="A31601" s="17"/>
      <c r="H31601" s="18"/>
      <c r="K31601" s="18" t="s">
        <v>316</v>
      </c>
    </row>
    <row r="31602">
      <c r="A31602" s="17"/>
      <c r="H31602" s="18"/>
      <c r="K31602" s="18" t="s">
        <v>316</v>
      </c>
    </row>
    <row r="31603">
      <c r="A31603" s="17"/>
      <c r="H31603" s="18"/>
      <c r="K31603" s="18" t="s">
        <v>316</v>
      </c>
    </row>
    <row r="31604">
      <c r="A31604" s="17"/>
      <c r="H31604" s="18"/>
      <c r="K31604" s="18" t="s">
        <v>316</v>
      </c>
    </row>
    <row r="31605">
      <c r="A31605" s="17"/>
      <c r="H31605" s="18"/>
      <c r="K31605" s="18" t="s">
        <v>316</v>
      </c>
    </row>
    <row r="31606">
      <c r="A31606" s="17"/>
      <c r="H31606" s="18"/>
      <c r="K31606" s="18" t="s">
        <v>316</v>
      </c>
    </row>
    <row r="31607">
      <c r="A31607" s="17"/>
      <c r="H31607" s="18"/>
      <c r="K31607" s="18" t="s">
        <v>316</v>
      </c>
    </row>
    <row r="31608">
      <c r="A31608" s="17"/>
      <c r="H31608" s="18"/>
      <c r="K31608" s="18" t="s">
        <v>316</v>
      </c>
    </row>
    <row r="31609">
      <c r="A31609" s="17"/>
      <c r="H31609" s="18"/>
      <c r="K31609" s="18" t="s">
        <v>316</v>
      </c>
    </row>
    <row r="31610">
      <c r="A31610" s="17"/>
      <c r="H31610" s="18"/>
      <c r="K31610" s="18" t="s">
        <v>316</v>
      </c>
    </row>
    <row r="31611">
      <c r="A31611" s="17"/>
      <c r="H31611" s="18"/>
      <c r="K31611" s="18" t="s">
        <v>316</v>
      </c>
    </row>
    <row r="31612">
      <c r="A31612" s="17"/>
      <c r="H31612" s="18"/>
      <c r="K31612" s="18" t="s">
        <v>316</v>
      </c>
    </row>
    <row r="31613">
      <c r="A31613" s="17"/>
      <c r="H31613" s="18"/>
      <c r="K31613" s="18" t="s">
        <v>316</v>
      </c>
    </row>
    <row r="31614">
      <c r="A31614" s="17"/>
      <c r="H31614" s="18"/>
      <c r="K31614" s="18" t="s">
        <v>316</v>
      </c>
    </row>
    <row r="31615">
      <c r="A31615" s="17"/>
      <c r="H31615" s="18"/>
      <c r="K31615" s="18" t="s">
        <v>316</v>
      </c>
    </row>
    <row r="31616">
      <c r="A31616" s="17"/>
      <c r="H31616" s="18"/>
      <c r="K31616" s="18" t="s">
        <v>316</v>
      </c>
    </row>
    <row r="31617">
      <c r="A31617" s="17"/>
      <c r="H31617" s="18"/>
      <c r="K31617" s="18" t="s">
        <v>316</v>
      </c>
    </row>
    <row r="31618">
      <c r="A31618" s="17"/>
      <c r="H31618" s="18"/>
      <c r="K31618" s="18" t="s">
        <v>316</v>
      </c>
    </row>
    <row r="31619">
      <c r="A31619" s="17"/>
      <c r="H31619" s="18"/>
      <c r="K31619" s="18" t="s">
        <v>316</v>
      </c>
    </row>
    <row r="31620">
      <c r="A31620" s="17"/>
      <c r="H31620" s="18"/>
      <c r="K31620" s="18" t="s">
        <v>316</v>
      </c>
    </row>
    <row r="31621">
      <c r="A31621" s="17"/>
      <c r="H31621" s="18"/>
      <c r="K31621" s="18" t="s">
        <v>316</v>
      </c>
    </row>
    <row r="31622">
      <c r="A31622" s="17"/>
      <c r="H31622" s="18"/>
      <c r="K31622" s="18" t="s">
        <v>316</v>
      </c>
    </row>
    <row r="31623">
      <c r="A31623" s="17"/>
      <c r="H31623" s="18"/>
      <c r="K31623" s="18" t="s">
        <v>316</v>
      </c>
    </row>
    <row r="31624">
      <c r="A31624" s="17"/>
      <c r="H31624" s="18"/>
      <c r="K31624" s="18" t="s">
        <v>316</v>
      </c>
    </row>
    <row r="31625">
      <c r="A31625" s="17"/>
      <c r="H31625" s="18"/>
      <c r="K31625" s="18" t="s">
        <v>316</v>
      </c>
    </row>
    <row r="31626">
      <c r="A31626" s="17"/>
      <c r="H31626" s="18"/>
      <c r="K31626" s="18" t="s">
        <v>316</v>
      </c>
    </row>
    <row r="31627">
      <c r="A31627" s="17"/>
      <c r="H31627" s="18"/>
      <c r="K31627" s="18" t="s">
        <v>316</v>
      </c>
    </row>
    <row r="31628">
      <c r="A31628" s="17"/>
      <c r="H31628" s="18"/>
      <c r="K31628" s="18" t="s">
        <v>316</v>
      </c>
    </row>
    <row r="31629">
      <c r="A31629" s="17"/>
      <c r="H31629" s="18"/>
      <c r="K31629" s="18" t="s">
        <v>316</v>
      </c>
    </row>
    <row r="31630">
      <c r="A31630" s="17"/>
      <c r="H31630" s="18"/>
      <c r="K31630" s="18" t="s">
        <v>316</v>
      </c>
    </row>
    <row r="31631">
      <c r="A31631" s="17"/>
      <c r="H31631" s="18"/>
      <c r="K31631" s="18" t="s">
        <v>316</v>
      </c>
    </row>
    <row r="31632">
      <c r="A31632" s="17"/>
      <c r="H31632" s="18"/>
      <c r="K31632" s="18" t="s">
        <v>316</v>
      </c>
    </row>
    <row r="31633">
      <c r="A31633" s="17"/>
      <c r="H31633" s="18"/>
      <c r="K31633" s="18" t="s">
        <v>316</v>
      </c>
    </row>
    <row r="31634">
      <c r="A31634" s="17"/>
      <c r="H31634" s="18"/>
      <c r="K31634" s="18" t="s">
        <v>316</v>
      </c>
    </row>
    <row r="31635">
      <c r="A31635" s="17"/>
      <c r="H31635" s="18"/>
      <c r="K31635" s="18" t="s">
        <v>316</v>
      </c>
    </row>
    <row r="31636">
      <c r="A31636" s="17"/>
      <c r="H31636" s="18"/>
      <c r="K31636" s="18" t="s">
        <v>316</v>
      </c>
    </row>
    <row r="31637">
      <c r="A31637" s="17"/>
      <c r="H31637" s="18"/>
      <c r="K31637" s="18" t="s">
        <v>316</v>
      </c>
    </row>
    <row r="31638">
      <c r="A31638" s="17"/>
      <c r="H31638" s="18"/>
      <c r="K31638" s="18" t="s">
        <v>316</v>
      </c>
    </row>
    <row r="31639">
      <c r="A31639" s="17"/>
      <c r="H31639" s="18"/>
      <c r="K31639" s="18" t="s">
        <v>316</v>
      </c>
    </row>
    <row r="31640">
      <c r="A31640" s="17"/>
      <c r="H31640" s="18"/>
      <c r="K31640" s="18" t="s">
        <v>316</v>
      </c>
    </row>
    <row r="31641">
      <c r="A31641" s="17"/>
      <c r="H31641" s="18"/>
      <c r="K31641" s="18" t="s">
        <v>316</v>
      </c>
    </row>
    <row r="31642">
      <c r="A31642" s="17"/>
      <c r="H31642" s="18"/>
      <c r="K31642" s="18" t="s">
        <v>316</v>
      </c>
    </row>
    <row r="31643">
      <c r="A31643" s="17"/>
      <c r="H31643" s="18"/>
      <c r="K31643" s="18" t="s">
        <v>316</v>
      </c>
    </row>
    <row r="31644">
      <c r="A31644" s="17"/>
      <c r="H31644" s="18"/>
      <c r="K31644" s="18" t="s">
        <v>316</v>
      </c>
    </row>
    <row r="31645">
      <c r="A31645" s="17"/>
      <c r="H31645" s="18"/>
      <c r="K31645" s="18" t="s">
        <v>316</v>
      </c>
    </row>
    <row r="31646">
      <c r="A31646" s="17"/>
      <c r="H31646" s="18"/>
      <c r="K31646" s="18" t="s">
        <v>316</v>
      </c>
    </row>
    <row r="31647">
      <c r="A31647" s="17"/>
      <c r="H31647" s="18"/>
      <c r="K31647" s="18" t="s">
        <v>316</v>
      </c>
    </row>
    <row r="31648">
      <c r="A31648" s="17"/>
      <c r="H31648" s="18"/>
      <c r="K31648" s="18" t="s">
        <v>316</v>
      </c>
    </row>
    <row r="31649">
      <c r="A31649" s="17"/>
      <c r="H31649" s="18"/>
      <c r="K31649" s="18" t="s">
        <v>316</v>
      </c>
    </row>
    <row r="31650">
      <c r="A31650" s="17"/>
      <c r="H31650" s="18"/>
      <c r="K31650" s="18" t="s">
        <v>316</v>
      </c>
    </row>
    <row r="31651">
      <c r="A31651" s="17"/>
      <c r="H31651" s="18"/>
      <c r="K31651" s="18" t="s">
        <v>316</v>
      </c>
    </row>
    <row r="31652">
      <c r="A31652" s="17"/>
      <c r="H31652" s="18"/>
      <c r="K31652" s="18" t="s">
        <v>316</v>
      </c>
    </row>
    <row r="31653">
      <c r="A31653" s="17"/>
      <c r="H31653" s="18"/>
      <c r="K31653" s="18" t="s">
        <v>316</v>
      </c>
    </row>
    <row r="31654">
      <c r="A31654" s="17"/>
      <c r="H31654" s="18"/>
      <c r="K31654" s="18" t="s">
        <v>316</v>
      </c>
    </row>
    <row r="31655">
      <c r="A31655" s="17"/>
      <c r="H31655" s="18"/>
      <c r="K31655" s="18" t="s">
        <v>316</v>
      </c>
    </row>
    <row r="31656">
      <c r="A31656" s="17"/>
      <c r="H31656" s="18"/>
      <c r="K31656" s="18" t="s">
        <v>316</v>
      </c>
    </row>
    <row r="31657">
      <c r="A31657" s="17"/>
      <c r="H31657" s="18"/>
      <c r="K31657" s="18" t="s">
        <v>316</v>
      </c>
    </row>
    <row r="31658">
      <c r="A31658" s="17"/>
      <c r="H31658" s="18"/>
      <c r="K31658" s="18" t="s">
        <v>316</v>
      </c>
    </row>
    <row r="31659">
      <c r="A31659" s="17"/>
      <c r="H31659" s="18"/>
      <c r="K31659" s="18" t="s">
        <v>316</v>
      </c>
    </row>
    <row r="31660">
      <c r="A31660" s="17"/>
      <c r="H31660" s="18"/>
      <c r="K31660" s="18" t="s">
        <v>316</v>
      </c>
    </row>
    <row r="31661">
      <c r="A31661" s="17"/>
      <c r="H31661" s="18"/>
      <c r="K31661" s="18" t="s">
        <v>316</v>
      </c>
    </row>
    <row r="31662">
      <c r="A31662" s="17"/>
      <c r="H31662" s="18"/>
      <c r="K31662" s="18" t="s">
        <v>316</v>
      </c>
    </row>
    <row r="31663">
      <c r="A31663" s="17"/>
      <c r="H31663" s="18"/>
      <c r="K31663" s="18" t="s">
        <v>316</v>
      </c>
    </row>
    <row r="31664">
      <c r="A31664" s="17"/>
      <c r="H31664" s="18"/>
      <c r="K31664" s="18" t="s">
        <v>316</v>
      </c>
    </row>
    <row r="31665">
      <c r="A31665" s="17"/>
      <c r="H31665" s="18"/>
      <c r="K31665" s="18" t="s">
        <v>316</v>
      </c>
    </row>
    <row r="31666">
      <c r="A31666" s="17"/>
      <c r="H31666" s="18"/>
      <c r="K31666" s="18" t="s">
        <v>316</v>
      </c>
    </row>
    <row r="31667">
      <c r="A31667" s="17"/>
      <c r="H31667" s="18"/>
      <c r="K31667" s="18" t="s">
        <v>316</v>
      </c>
    </row>
    <row r="31668">
      <c r="A31668" s="17"/>
      <c r="H31668" s="18"/>
      <c r="K31668" s="18" t="s">
        <v>316</v>
      </c>
    </row>
    <row r="31669">
      <c r="A31669" s="17"/>
      <c r="H31669" s="18"/>
      <c r="K31669" s="18" t="s">
        <v>316</v>
      </c>
    </row>
    <row r="31670">
      <c r="A31670" s="17"/>
      <c r="H31670" s="18"/>
      <c r="K31670" s="18" t="s">
        <v>316</v>
      </c>
    </row>
    <row r="31671">
      <c r="A31671" s="17"/>
      <c r="H31671" s="18"/>
      <c r="K31671" s="18" t="s">
        <v>316</v>
      </c>
    </row>
    <row r="31672">
      <c r="A31672" s="17"/>
      <c r="H31672" s="18"/>
      <c r="K31672" s="18" t="s">
        <v>316</v>
      </c>
    </row>
    <row r="31673">
      <c r="A31673" s="17"/>
      <c r="H31673" s="18"/>
      <c r="K31673" s="18" t="s">
        <v>316</v>
      </c>
    </row>
    <row r="31674">
      <c r="A31674" s="17"/>
      <c r="H31674" s="18"/>
      <c r="K31674" s="18" t="s">
        <v>316</v>
      </c>
    </row>
    <row r="31675">
      <c r="A31675" s="17"/>
      <c r="H31675" s="18"/>
      <c r="K31675" s="18" t="s">
        <v>316</v>
      </c>
    </row>
    <row r="31676">
      <c r="A31676" s="17"/>
      <c r="H31676" s="18"/>
      <c r="K31676" s="18" t="s">
        <v>316</v>
      </c>
    </row>
    <row r="31677">
      <c r="A31677" s="17"/>
      <c r="H31677" s="18"/>
      <c r="K31677" s="18" t="s">
        <v>316</v>
      </c>
    </row>
    <row r="31678">
      <c r="A31678" s="17"/>
      <c r="H31678" s="18"/>
      <c r="K31678" s="18" t="s">
        <v>316</v>
      </c>
    </row>
    <row r="31679">
      <c r="A31679" s="17"/>
      <c r="H31679" s="18"/>
      <c r="K31679" s="18" t="s">
        <v>316</v>
      </c>
    </row>
    <row r="31680">
      <c r="A31680" s="17"/>
      <c r="H31680" s="18"/>
      <c r="K31680" s="18" t="s">
        <v>316</v>
      </c>
    </row>
    <row r="31681">
      <c r="A31681" s="17"/>
      <c r="H31681" s="18"/>
      <c r="K31681" s="18" t="s">
        <v>316</v>
      </c>
    </row>
    <row r="31682">
      <c r="A31682" s="17"/>
      <c r="H31682" s="18"/>
      <c r="K31682" s="18" t="s">
        <v>316</v>
      </c>
    </row>
    <row r="31683">
      <c r="A31683" s="17"/>
      <c r="H31683" s="18"/>
      <c r="K31683" s="18" t="s">
        <v>316</v>
      </c>
    </row>
    <row r="31684">
      <c r="A31684" s="17"/>
      <c r="H31684" s="18"/>
      <c r="K31684" s="18" t="s">
        <v>316</v>
      </c>
    </row>
    <row r="31685">
      <c r="A31685" s="17"/>
      <c r="H31685" s="18"/>
      <c r="K31685" s="18" t="s">
        <v>316</v>
      </c>
    </row>
    <row r="31686">
      <c r="A31686" s="17"/>
      <c r="H31686" s="18"/>
      <c r="K31686" s="18" t="s">
        <v>316</v>
      </c>
    </row>
    <row r="31687">
      <c r="A31687" s="17"/>
      <c r="H31687" s="18"/>
      <c r="K31687" s="18" t="s">
        <v>316</v>
      </c>
    </row>
    <row r="31688">
      <c r="A31688" s="17"/>
      <c r="H31688" s="18"/>
      <c r="K31688" s="18" t="s">
        <v>316</v>
      </c>
    </row>
    <row r="31689">
      <c r="A31689" s="17"/>
      <c r="H31689" s="18"/>
      <c r="K31689" s="18" t="s">
        <v>316</v>
      </c>
    </row>
    <row r="31690">
      <c r="A31690" s="17"/>
      <c r="H31690" s="18"/>
      <c r="K31690" s="18" t="s">
        <v>316</v>
      </c>
    </row>
    <row r="31691">
      <c r="A31691" s="17"/>
      <c r="H31691" s="18"/>
      <c r="K31691" s="18" t="s">
        <v>316</v>
      </c>
    </row>
    <row r="31692">
      <c r="A31692" s="17"/>
      <c r="H31692" s="18"/>
      <c r="K31692" s="18" t="s">
        <v>316</v>
      </c>
    </row>
    <row r="31693">
      <c r="A31693" s="17"/>
      <c r="H31693" s="18"/>
      <c r="K31693" s="18" t="s">
        <v>316</v>
      </c>
    </row>
    <row r="31694">
      <c r="A31694" s="17"/>
      <c r="H31694" s="18"/>
      <c r="K31694" s="18" t="s">
        <v>316</v>
      </c>
    </row>
    <row r="31695">
      <c r="A31695" s="17"/>
      <c r="H31695" s="18"/>
      <c r="K31695" s="18" t="s">
        <v>316</v>
      </c>
    </row>
    <row r="31696">
      <c r="A31696" s="17"/>
      <c r="H31696" s="18"/>
      <c r="K31696" s="18" t="s">
        <v>316</v>
      </c>
    </row>
    <row r="31697">
      <c r="A31697" s="17"/>
      <c r="H31697" s="18"/>
      <c r="K31697" s="18" t="s">
        <v>316</v>
      </c>
    </row>
    <row r="31698">
      <c r="A31698" s="17"/>
      <c r="H31698" s="18"/>
      <c r="K31698" s="18" t="s">
        <v>316</v>
      </c>
    </row>
    <row r="31699">
      <c r="A31699" s="17"/>
      <c r="H31699" s="18"/>
      <c r="K31699" s="18" t="s">
        <v>316</v>
      </c>
    </row>
    <row r="31700">
      <c r="A31700" s="17"/>
      <c r="H31700" s="18"/>
      <c r="K31700" s="18" t="s">
        <v>316</v>
      </c>
    </row>
    <row r="31701">
      <c r="A31701" s="17"/>
      <c r="H31701" s="18"/>
      <c r="K31701" s="18" t="s">
        <v>316</v>
      </c>
    </row>
    <row r="31702">
      <c r="A31702" s="17"/>
      <c r="H31702" s="18"/>
      <c r="K31702" s="18" t="s">
        <v>316</v>
      </c>
    </row>
    <row r="31703">
      <c r="A31703" s="17"/>
      <c r="H31703" s="18"/>
      <c r="K31703" s="18" t="s">
        <v>316</v>
      </c>
    </row>
    <row r="31704">
      <c r="A31704" s="17"/>
      <c r="H31704" s="18"/>
      <c r="K31704" s="18" t="s">
        <v>316</v>
      </c>
    </row>
    <row r="31705">
      <c r="A31705" s="17"/>
      <c r="H31705" s="18"/>
      <c r="K31705" s="18" t="s">
        <v>316</v>
      </c>
    </row>
    <row r="31706">
      <c r="A31706" s="17"/>
      <c r="H31706" s="18"/>
      <c r="K31706" s="18" t="s">
        <v>316</v>
      </c>
    </row>
    <row r="31707">
      <c r="A31707" s="17"/>
      <c r="H31707" s="18"/>
      <c r="K31707" s="18" t="s">
        <v>316</v>
      </c>
    </row>
    <row r="31708">
      <c r="A31708" s="17"/>
      <c r="H31708" s="18"/>
      <c r="K31708" s="18" t="s">
        <v>316</v>
      </c>
    </row>
    <row r="31709">
      <c r="A31709" s="17"/>
      <c r="H31709" s="18"/>
      <c r="K31709" s="18" t="s">
        <v>316</v>
      </c>
    </row>
    <row r="31710">
      <c r="A31710" s="17"/>
      <c r="H31710" s="18"/>
      <c r="K31710" s="18" t="s">
        <v>316</v>
      </c>
    </row>
    <row r="31711">
      <c r="A31711" s="17"/>
      <c r="H31711" s="18"/>
      <c r="K31711" s="18" t="s">
        <v>316</v>
      </c>
    </row>
    <row r="31712">
      <c r="A31712" s="17"/>
      <c r="H31712" s="18"/>
      <c r="K31712" s="18" t="s">
        <v>316</v>
      </c>
    </row>
    <row r="31713">
      <c r="A31713" s="17"/>
      <c r="H31713" s="18"/>
      <c r="K31713" s="18" t="s">
        <v>316</v>
      </c>
    </row>
    <row r="31714">
      <c r="A31714" s="17"/>
      <c r="H31714" s="18"/>
      <c r="K31714" s="18" t="s">
        <v>316</v>
      </c>
    </row>
    <row r="31715">
      <c r="A31715" s="17"/>
      <c r="H31715" s="18"/>
      <c r="K31715" s="18" t="s">
        <v>316</v>
      </c>
    </row>
    <row r="31716">
      <c r="A31716" s="17"/>
      <c r="H31716" s="18"/>
      <c r="K31716" s="18" t="s">
        <v>316</v>
      </c>
    </row>
    <row r="31717">
      <c r="A31717" s="17"/>
      <c r="H31717" s="18"/>
      <c r="K31717" s="18" t="s">
        <v>316</v>
      </c>
    </row>
    <row r="31718">
      <c r="A31718" s="17"/>
      <c r="H31718" s="18"/>
      <c r="K31718" s="18" t="s">
        <v>316</v>
      </c>
    </row>
    <row r="31719">
      <c r="A31719" s="17"/>
      <c r="H31719" s="18"/>
      <c r="K31719" s="18" t="s">
        <v>316</v>
      </c>
    </row>
    <row r="31720">
      <c r="A31720" s="17"/>
      <c r="H31720" s="18"/>
      <c r="K31720" s="18" t="s">
        <v>316</v>
      </c>
    </row>
    <row r="31721">
      <c r="A31721" s="17"/>
      <c r="H31721" s="18"/>
      <c r="K31721" s="18" t="s">
        <v>316</v>
      </c>
    </row>
    <row r="31722">
      <c r="A31722" s="17"/>
      <c r="H31722" s="18"/>
      <c r="K31722" s="18" t="s">
        <v>316</v>
      </c>
    </row>
    <row r="31723">
      <c r="A31723" s="17"/>
      <c r="H31723" s="18"/>
      <c r="K31723" s="18" t="s">
        <v>316</v>
      </c>
    </row>
    <row r="31724">
      <c r="A31724" s="17"/>
      <c r="H31724" s="18"/>
      <c r="K31724" s="18" t="s">
        <v>316</v>
      </c>
    </row>
    <row r="31725">
      <c r="A31725" s="17"/>
      <c r="H31725" s="18"/>
      <c r="K31725" s="18" t="s">
        <v>316</v>
      </c>
    </row>
    <row r="31726">
      <c r="A31726" s="17"/>
      <c r="H31726" s="18"/>
      <c r="K31726" s="18" t="s">
        <v>316</v>
      </c>
    </row>
    <row r="31727">
      <c r="A31727" s="17"/>
      <c r="H31727" s="18"/>
      <c r="K31727" s="18" t="s">
        <v>316</v>
      </c>
    </row>
    <row r="31728">
      <c r="A31728" s="17"/>
      <c r="H31728" s="18"/>
      <c r="K31728" s="18" t="s">
        <v>316</v>
      </c>
    </row>
    <row r="31729">
      <c r="A31729" s="17"/>
      <c r="H31729" s="18"/>
      <c r="K31729" s="18" t="s">
        <v>316</v>
      </c>
    </row>
    <row r="31730">
      <c r="A31730" s="17"/>
      <c r="H31730" s="18"/>
      <c r="K31730" s="18" t="s">
        <v>316</v>
      </c>
    </row>
    <row r="31731">
      <c r="A31731" s="17"/>
      <c r="H31731" s="18"/>
      <c r="K31731" s="18" t="s">
        <v>316</v>
      </c>
    </row>
    <row r="31732">
      <c r="A31732" s="17"/>
      <c r="H31732" s="18"/>
      <c r="K31732" s="18" t="s">
        <v>316</v>
      </c>
    </row>
    <row r="31733">
      <c r="A31733" s="17"/>
      <c r="H31733" s="18"/>
      <c r="K31733" s="18" t="s">
        <v>316</v>
      </c>
    </row>
    <row r="31734">
      <c r="A31734" s="17"/>
      <c r="H31734" s="18"/>
      <c r="K31734" s="18" t="s">
        <v>316</v>
      </c>
    </row>
    <row r="31735">
      <c r="A31735" s="17"/>
      <c r="H31735" s="18"/>
      <c r="K31735" s="18" t="s">
        <v>316</v>
      </c>
    </row>
    <row r="31736">
      <c r="A31736" s="17"/>
      <c r="H31736" s="18"/>
      <c r="K31736" s="18" t="s">
        <v>316</v>
      </c>
    </row>
    <row r="31737">
      <c r="A31737" s="17"/>
      <c r="H31737" s="18"/>
      <c r="K31737" s="18" t="s">
        <v>316</v>
      </c>
    </row>
    <row r="31738">
      <c r="A31738" s="17"/>
      <c r="H31738" s="18"/>
      <c r="K31738" s="18" t="s">
        <v>316</v>
      </c>
    </row>
    <row r="31739">
      <c r="A31739" s="17"/>
      <c r="H31739" s="18"/>
      <c r="K31739" s="18" t="s">
        <v>316</v>
      </c>
    </row>
    <row r="31740">
      <c r="A31740" s="17"/>
      <c r="H31740" s="18"/>
      <c r="K31740" s="18" t="s">
        <v>316</v>
      </c>
    </row>
    <row r="31741">
      <c r="A31741" s="17"/>
      <c r="H31741" s="18"/>
      <c r="K31741" s="18" t="s">
        <v>316</v>
      </c>
    </row>
    <row r="31742">
      <c r="A31742" s="17"/>
      <c r="H31742" s="18"/>
      <c r="K31742" s="18" t="s">
        <v>316</v>
      </c>
    </row>
    <row r="31743">
      <c r="A31743" s="17"/>
      <c r="H31743" s="18"/>
      <c r="K31743" s="18" t="s">
        <v>316</v>
      </c>
    </row>
    <row r="31744">
      <c r="A31744" s="17"/>
      <c r="H31744" s="18"/>
      <c r="K31744" s="18" t="s">
        <v>316</v>
      </c>
    </row>
    <row r="31745">
      <c r="A31745" s="17"/>
      <c r="H31745" s="18"/>
      <c r="K31745" s="18" t="s">
        <v>316</v>
      </c>
    </row>
    <row r="31746">
      <c r="A31746" s="17"/>
      <c r="H31746" s="18"/>
      <c r="K31746" s="18" t="s">
        <v>316</v>
      </c>
    </row>
    <row r="31747">
      <c r="A31747" s="17"/>
      <c r="H31747" s="18"/>
      <c r="K31747" s="18" t="s">
        <v>316</v>
      </c>
    </row>
    <row r="31748">
      <c r="A31748" s="17"/>
      <c r="H31748" s="18"/>
      <c r="K31748" s="18" t="s">
        <v>316</v>
      </c>
    </row>
    <row r="31749">
      <c r="A31749" s="17"/>
      <c r="H31749" s="18"/>
      <c r="K31749" s="18" t="s">
        <v>316</v>
      </c>
    </row>
    <row r="31750">
      <c r="A31750" s="17"/>
      <c r="H31750" s="18"/>
      <c r="K31750" s="18" t="s">
        <v>316</v>
      </c>
    </row>
    <row r="31751">
      <c r="A31751" s="17"/>
      <c r="H31751" s="18"/>
      <c r="K31751" s="18" t="s">
        <v>316</v>
      </c>
    </row>
    <row r="31752">
      <c r="A31752" s="17"/>
      <c r="H31752" s="18"/>
      <c r="K31752" s="18" t="s">
        <v>316</v>
      </c>
    </row>
    <row r="31753">
      <c r="A31753" s="17"/>
      <c r="H31753" s="18"/>
      <c r="K31753" s="18" t="s">
        <v>316</v>
      </c>
    </row>
    <row r="31754">
      <c r="A31754" s="17"/>
      <c r="H31754" s="18"/>
      <c r="K31754" s="18" t="s">
        <v>316</v>
      </c>
    </row>
    <row r="31755">
      <c r="A31755" s="17"/>
      <c r="H31755" s="18"/>
      <c r="K31755" s="18" t="s">
        <v>316</v>
      </c>
    </row>
    <row r="31756">
      <c r="A31756" s="17"/>
      <c r="H31756" s="18"/>
      <c r="K31756" s="18" t="s">
        <v>316</v>
      </c>
    </row>
    <row r="31757">
      <c r="A31757" s="17"/>
      <c r="H31757" s="18"/>
      <c r="K31757" s="18" t="s">
        <v>316</v>
      </c>
    </row>
    <row r="31758">
      <c r="A31758" s="17"/>
      <c r="H31758" s="18"/>
      <c r="K31758" s="18" t="s">
        <v>316</v>
      </c>
    </row>
    <row r="31759">
      <c r="A31759" s="17"/>
      <c r="H31759" s="18"/>
      <c r="K31759" s="18" t="s">
        <v>316</v>
      </c>
    </row>
    <row r="31760">
      <c r="A31760" s="17"/>
      <c r="H31760" s="18"/>
      <c r="K31760" s="18" t="s">
        <v>316</v>
      </c>
    </row>
    <row r="31761">
      <c r="A31761" s="17"/>
      <c r="H31761" s="18"/>
      <c r="K31761" s="18" t="s">
        <v>316</v>
      </c>
    </row>
    <row r="31762">
      <c r="A31762" s="17"/>
      <c r="H31762" s="18"/>
      <c r="K31762" s="18" t="s">
        <v>316</v>
      </c>
    </row>
    <row r="31763">
      <c r="A31763" s="17"/>
      <c r="H31763" s="18"/>
      <c r="K31763" s="18" t="s">
        <v>316</v>
      </c>
    </row>
    <row r="31764">
      <c r="A31764" s="17"/>
      <c r="H31764" s="18"/>
      <c r="K31764" s="18" t="s">
        <v>316</v>
      </c>
    </row>
    <row r="31765">
      <c r="A31765" s="17"/>
      <c r="H31765" s="18"/>
      <c r="K31765" s="18" t="s">
        <v>316</v>
      </c>
    </row>
    <row r="31766">
      <c r="A31766" s="17"/>
      <c r="H31766" s="18"/>
      <c r="K31766" s="18" t="s">
        <v>316</v>
      </c>
    </row>
    <row r="31767">
      <c r="A31767" s="17"/>
      <c r="H31767" s="18"/>
      <c r="K31767" s="18" t="s">
        <v>316</v>
      </c>
    </row>
    <row r="31768">
      <c r="A31768" s="17"/>
      <c r="H31768" s="18"/>
      <c r="K31768" s="18" t="s">
        <v>316</v>
      </c>
    </row>
    <row r="31769">
      <c r="A31769" s="17"/>
      <c r="H31769" s="18"/>
      <c r="K31769" s="18" t="s">
        <v>316</v>
      </c>
    </row>
    <row r="31770">
      <c r="A31770" s="17"/>
      <c r="H31770" s="18"/>
      <c r="K31770" s="18" t="s">
        <v>316</v>
      </c>
    </row>
    <row r="31771">
      <c r="A31771" s="17"/>
      <c r="H31771" s="18"/>
      <c r="K31771" s="18" t="s">
        <v>316</v>
      </c>
    </row>
    <row r="31772">
      <c r="A31772" s="17"/>
      <c r="H31772" s="18"/>
      <c r="K31772" s="18" t="s">
        <v>316</v>
      </c>
    </row>
    <row r="31773">
      <c r="A31773" s="17"/>
      <c r="H31773" s="18"/>
      <c r="K31773" s="18" t="s">
        <v>316</v>
      </c>
    </row>
    <row r="31774">
      <c r="A31774" s="17"/>
      <c r="H31774" s="18"/>
      <c r="K31774" s="18" t="s">
        <v>316</v>
      </c>
    </row>
    <row r="31775">
      <c r="A31775" s="17"/>
      <c r="H31775" s="18"/>
      <c r="K31775" s="18" t="s">
        <v>316</v>
      </c>
    </row>
    <row r="31776">
      <c r="A31776" s="17"/>
      <c r="H31776" s="18"/>
      <c r="K31776" s="18" t="s">
        <v>316</v>
      </c>
    </row>
    <row r="31777">
      <c r="A31777" s="17"/>
      <c r="H31777" s="18"/>
      <c r="K31777" s="18" t="s">
        <v>316</v>
      </c>
    </row>
    <row r="31778">
      <c r="A31778" s="17"/>
      <c r="H31778" s="18"/>
      <c r="K31778" s="18" t="s">
        <v>316</v>
      </c>
    </row>
    <row r="31779">
      <c r="A31779" s="17"/>
      <c r="H31779" s="18"/>
      <c r="K31779" s="18" t="s">
        <v>316</v>
      </c>
    </row>
    <row r="31780">
      <c r="A31780" s="17"/>
      <c r="H31780" s="18"/>
      <c r="K31780" s="18" t="s">
        <v>316</v>
      </c>
    </row>
    <row r="31781">
      <c r="A31781" s="17"/>
      <c r="H31781" s="18"/>
      <c r="K31781" s="18" t="s">
        <v>316</v>
      </c>
    </row>
    <row r="31782">
      <c r="A31782" s="17"/>
      <c r="H31782" s="18"/>
      <c r="K31782" s="18" t="s">
        <v>316</v>
      </c>
    </row>
    <row r="31783">
      <c r="A31783" s="17"/>
      <c r="H31783" s="18"/>
      <c r="K31783" s="18" t="s">
        <v>316</v>
      </c>
    </row>
    <row r="31784">
      <c r="A31784" s="17"/>
      <c r="H31784" s="18"/>
      <c r="K31784" s="18" t="s">
        <v>316</v>
      </c>
    </row>
    <row r="31785">
      <c r="A31785" s="17"/>
      <c r="H31785" s="18"/>
      <c r="K31785" s="18" t="s">
        <v>316</v>
      </c>
    </row>
    <row r="31786">
      <c r="A31786" s="17"/>
      <c r="H31786" s="18"/>
      <c r="K31786" s="18" t="s">
        <v>316</v>
      </c>
    </row>
    <row r="31787">
      <c r="A31787" s="17"/>
      <c r="H31787" s="18"/>
      <c r="K31787" s="18" t="s">
        <v>316</v>
      </c>
    </row>
    <row r="31788">
      <c r="A31788" s="17"/>
      <c r="H31788" s="18"/>
      <c r="K31788" s="18" t="s">
        <v>316</v>
      </c>
    </row>
    <row r="31789">
      <c r="A31789" s="17"/>
      <c r="H31789" s="18"/>
      <c r="K31789" s="18" t="s">
        <v>316</v>
      </c>
    </row>
    <row r="31790">
      <c r="A31790" s="17"/>
      <c r="H31790" s="18"/>
      <c r="K31790" s="18" t="s">
        <v>316</v>
      </c>
    </row>
    <row r="31791">
      <c r="A31791" s="17"/>
      <c r="H31791" s="18"/>
      <c r="K31791" s="18" t="s">
        <v>316</v>
      </c>
    </row>
    <row r="31792">
      <c r="A31792" s="17"/>
      <c r="H31792" s="18"/>
      <c r="K31792" s="18" t="s">
        <v>316</v>
      </c>
    </row>
    <row r="31793">
      <c r="A31793" s="17"/>
      <c r="H31793" s="18"/>
      <c r="K31793" s="18" t="s">
        <v>316</v>
      </c>
    </row>
    <row r="31794">
      <c r="A31794" s="17"/>
      <c r="H31794" s="18"/>
      <c r="K31794" s="18" t="s">
        <v>316</v>
      </c>
    </row>
    <row r="31795">
      <c r="A31795" s="17"/>
      <c r="H31795" s="18"/>
      <c r="K31795" s="18" t="s">
        <v>316</v>
      </c>
    </row>
    <row r="31796">
      <c r="A31796" s="17"/>
      <c r="H31796" s="18"/>
      <c r="K31796" s="18" t="s">
        <v>316</v>
      </c>
    </row>
    <row r="31797">
      <c r="A31797" s="17"/>
      <c r="H31797" s="18"/>
      <c r="K31797" s="18" t="s">
        <v>316</v>
      </c>
    </row>
    <row r="31798">
      <c r="A31798" s="17"/>
      <c r="H31798" s="18"/>
      <c r="K31798" s="18" t="s">
        <v>316</v>
      </c>
    </row>
    <row r="31799">
      <c r="A31799" s="17"/>
      <c r="H31799" s="18"/>
      <c r="K31799" s="18" t="s">
        <v>316</v>
      </c>
    </row>
    <row r="31800">
      <c r="A31800" s="17"/>
      <c r="H31800" s="18"/>
      <c r="K31800" s="18" t="s">
        <v>316</v>
      </c>
    </row>
    <row r="31801">
      <c r="A31801" s="17"/>
      <c r="H31801" s="18"/>
      <c r="K31801" s="18" t="s">
        <v>316</v>
      </c>
    </row>
    <row r="31802">
      <c r="A31802" s="17"/>
      <c r="H31802" s="18"/>
      <c r="K31802" s="18" t="s">
        <v>316</v>
      </c>
    </row>
    <row r="31803">
      <c r="A31803" s="17"/>
      <c r="H31803" s="18"/>
      <c r="K31803" s="18" t="s">
        <v>316</v>
      </c>
    </row>
    <row r="31804">
      <c r="A31804" s="17"/>
      <c r="H31804" s="18"/>
      <c r="K31804" s="18" t="s">
        <v>316</v>
      </c>
    </row>
    <row r="31805">
      <c r="A31805" s="17"/>
      <c r="H31805" s="18"/>
      <c r="K31805" s="18" t="s">
        <v>316</v>
      </c>
    </row>
    <row r="31806">
      <c r="A31806" s="17"/>
      <c r="H31806" s="18"/>
      <c r="K31806" s="18" t="s">
        <v>316</v>
      </c>
    </row>
    <row r="31807">
      <c r="A31807" s="17"/>
      <c r="H31807" s="18"/>
      <c r="K31807" s="18" t="s">
        <v>316</v>
      </c>
    </row>
    <row r="31808">
      <c r="A31808" s="17"/>
      <c r="H31808" s="18"/>
      <c r="K31808" s="18" t="s">
        <v>316</v>
      </c>
    </row>
    <row r="31809">
      <c r="A31809" s="17"/>
      <c r="H31809" s="18"/>
      <c r="K31809" s="18" t="s">
        <v>316</v>
      </c>
    </row>
    <row r="31810">
      <c r="A31810" s="17"/>
      <c r="H31810" s="18"/>
      <c r="K31810" s="18" t="s">
        <v>316</v>
      </c>
    </row>
    <row r="31811">
      <c r="A31811" s="17"/>
      <c r="H31811" s="18"/>
      <c r="K31811" s="18" t="s">
        <v>316</v>
      </c>
    </row>
    <row r="31812">
      <c r="A31812" s="17"/>
      <c r="H31812" s="18"/>
      <c r="K31812" s="18" t="s">
        <v>316</v>
      </c>
    </row>
    <row r="31813">
      <c r="A31813" s="17"/>
      <c r="H31813" s="18"/>
      <c r="K31813" s="18" t="s">
        <v>316</v>
      </c>
    </row>
    <row r="31814">
      <c r="A31814" s="17"/>
      <c r="H31814" s="18"/>
      <c r="K31814" s="18" t="s">
        <v>316</v>
      </c>
    </row>
    <row r="31815">
      <c r="A31815" s="17"/>
      <c r="H31815" s="18"/>
      <c r="K31815" s="18" t="s">
        <v>316</v>
      </c>
    </row>
    <row r="31816">
      <c r="A31816" s="17"/>
      <c r="H31816" s="18"/>
      <c r="K31816" s="18" t="s">
        <v>316</v>
      </c>
    </row>
    <row r="31817">
      <c r="A31817" s="17"/>
      <c r="H31817" s="18"/>
      <c r="K31817" s="18" t="s">
        <v>316</v>
      </c>
    </row>
    <row r="31818">
      <c r="A31818" s="17"/>
      <c r="H31818" s="18"/>
      <c r="K31818" s="18" t="s">
        <v>316</v>
      </c>
    </row>
    <row r="31819">
      <c r="A31819" s="17"/>
      <c r="H31819" s="18"/>
      <c r="K31819" s="18" t="s">
        <v>316</v>
      </c>
    </row>
    <row r="31820">
      <c r="A31820" s="17"/>
      <c r="H31820" s="18"/>
      <c r="K31820" s="18" t="s">
        <v>316</v>
      </c>
    </row>
    <row r="31821">
      <c r="A31821" s="17"/>
      <c r="H31821" s="18"/>
      <c r="K31821" s="18" t="s">
        <v>316</v>
      </c>
    </row>
    <row r="31822">
      <c r="A31822" s="17"/>
      <c r="H31822" s="18"/>
      <c r="K31822" s="18" t="s">
        <v>316</v>
      </c>
    </row>
    <row r="31823">
      <c r="A31823" s="17"/>
      <c r="H31823" s="18"/>
      <c r="K31823" s="18" t="s">
        <v>316</v>
      </c>
    </row>
    <row r="31824">
      <c r="A31824" s="17"/>
      <c r="H31824" s="18"/>
      <c r="K31824" s="18" t="s">
        <v>316</v>
      </c>
    </row>
    <row r="31825">
      <c r="A31825" s="17"/>
      <c r="H31825" s="18"/>
      <c r="K31825" s="18" t="s">
        <v>316</v>
      </c>
    </row>
    <row r="31826">
      <c r="A31826" s="17"/>
      <c r="H31826" s="18"/>
      <c r="K31826" s="18" t="s">
        <v>316</v>
      </c>
    </row>
    <row r="31827">
      <c r="A31827" s="17"/>
      <c r="H31827" s="18"/>
      <c r="K31827" s="18" t="s">
        <v>316</v>
      </c>
    </row>
    <row r="31828">
      <c r="A31828" s="17"/>
      <c r="H31828" s="18"/>
      <c r="K31828" s="18" t="s">
        <v>316</v>
      </c>
    </row>
    <row r="31829">
      <c r="A31829" s="17"/>
      <c r="H31829" s="18"/>
      <c r="K31829" s="18" t="s">
        <v>316</v>
      </c>
    </row>
    <row r="31830">
      <c r="A31830" s="17"/>
      <c r="H31830" s="18"/>
      <c r="K31830" s="18" t="s">
        <v>316</v>
      </c>
    </row>
    <row r="31831">
      <c r="A31831" s="17"/>
      <c r="H31831" s="18"/>
      <c r="K31831" s="18" t="s">
        <v>316</v>
      </c>
    </row>
    <row r="31832">
      <c r="A31832" s="17"/>
      <c r="H31832" s="18"/>
      <c r="K31832" s="18" t="s">
        <v>316</v>
      </c>
    </row>
    <row r="31833">
      <c r="A31833" s="17"/>
      <c r="H31833" s="18"/>
      <c r="K31833" s="18" t="s">
        <v>316</v>
      </c>
    </row>
    <row r="31834">
      <c r="A31834" s="17"/>
      <c r="H31834" s="18"/>
      <c r="K31834" s="18" t="s">
        <v>316</v>
      </c>
    </row>
    <row r="31835">
      <c r="A31835" s="17"/>
      <c r="H31835" s="18"/>
      <c r="K31835" s="18" t="s">
        <v>316</v>
      </c>
    </row>
    <row r="31836">
      <c r="A31836" s="17"/>
      <c r="H31836" s="18"/>
      <c r="K31836" s="18" t="s">
        <v>316</v>
      </c>
    </row>
    <row r="31837">
      <c r="A31837" s="17"/>
      <c r="H31837" s="18"/>
      <c r="K31837" s="18" t="s">
        <v>316</v>
      </c>
    </row>
    <row r="31838">
      <c r="A31838" s="17"/>
      <c r="H31838" s="18"/>
      <c r="K31838" s="18" t="s">
        <v>316</v>
      </c>
    </row>
    <row r="31839">
      <c r="A31839" s="17"/>
      <c r="H31839" s="18"/>
      <c r="K31839" s="18" t="s">
        <v>316</v>
      </c>
    </row>
    <row r="31840">
      <c r="A31840" s="17"/>
      <c r="H31840" s="18"/>
      <c r="K31840" s="18" t="s">
        <v>316</v>
      </c>
    </row>
    <row r="31841">
      <c r="A31841" s="17"/>
      <c r="H31841" s="18"/>
      <c r="K31841" s="18" t="s">
        <v>316</v>
      </c>
    </row>
    <row r="31842">
      <c r="A31842" s="17"/>
      <c r="H31842" s="18"/>
      <c r="K31842" s="18" t="s">
        <v>316</v>
      </c>
    </row>
    <row r="31843">
      <c r="A31843" s="17"/>
      <c r="H31843" s="18"/>
      <c r="K31843" s="18" t="s">
        <v>316</v>
      </c>
    </row>
    <row r="31844">
      <c r="A31844" s="17"/>
      <c r="H31844" s="18"/>
      <c r="K31844" s="18" t="s">
        <v>316</v>
      </c>
    </row>
    <row r="31845">
      <c r="A31845" s="17"/>
      <c r="H31845" s="18"/>
      <c r="K31845" s="18" t="s">
        <v>316</v>
      </c>
    </row>
    <row r="31846">
      <c r="A31846" s="17"/>
      <c r="H31846" s="18"/>
      <c r="K31846" s="18" t="s">
        <v>316</v>
      </c>
    </row>
    <row r="31847">
      <c r="A31847" s="17"/>
      <c r="H31847" s="18"/>
      <c r="K31847" s="18" t="s">
        <v>316</v>
      </c>
    </row>
    <row r="31848">
      <c r="A31848" s="17"/>
      <c r="H31848" s="18"/>
      <c r="K31848" s="18" t="s">
        <v>316</v>
      </c>
    </row>
    <row r="31849">
      <c r="A31849" s="17"/>
      <c r="H31849" s="18"/>
      <c r="K31849" s="18" t="s">
        <v>316</v>
      </c>
    </row>
    <row r="31850">
      <c r="A31850" s="17"/>
      <c r="H31850" s="18"/>
      <c r="K31850" s="18" t="s">
        <v>316</v>
      </c>
    </row>
    <row r="31851">
      <c r="A31851" s="17"/>
      <c r="H31851" s="18"/>
      <c r="K31851" s="18" t="s">
        <v>316</v>
      </c>
    </row>
    <row r="31852">
      <c r="A31852" s="17"/>
      <c r="H31852" s="18"/>
      <c r="K31852" s="18" t="s">
        <v>316</v>
      </c>
    </row>
    <row r="31853">
      <c r="A31853" s="17"/>
      <c r="H31853" s="18"/>
      <c r="K31853" s="18" t="s">
        <v>316</v>
      </c>
    </row>
    <row r="31854">
      <c r="A31854" s="17"/>
      <c r="H31854" s="18"/>
      <c r="K31854" s="18" t="s">
        <v>316</v>
      </c>
    </row>
    <row r="31855">
      <c r="A31855" s="17"/>
      <c r="H31855" s="18"/>
      <c r="K31855" s="18" t="s">
        <v>316</v>
      </c>
    </row>
    <row r="31856">
      <c r="A31856" s="17"/>
      <c r="H31856" s="18"/>
      <c r="K31856" s="18" t="s">
        <v>316</v>
      </c>
    </row>
    <row r="31857">
      <c r="A31857" s="17"/>
      <c r="H31857" s="18"/>
      <c r="K31857" s="18" t="s">
        <v>316</v>
      </c>
    </row>
    <row r="31858">
      <c r="A31858" s="17"/>
      <c r="H31858" s="18"/>
      <c r="K31858" s="18" t="s">
        <v>316</v>
      </c>
    </row>
    <row r="31859">
      <c r="A31859" s="17"/>
      <c r="H31859" s="18"/>
      <c r="K31859" s="18" t="s">
        <v>316</v>
      </c>
    </row>
    <row r="31860">
      <c r="A31860" s="17"/>
      <c r="H31860" s="18"/>
      <c r="K31860" s="18" t="s">
        <v>316</v>
      </c>
    </row>
    <row r="31861">
      <c r="A31861" s="17"/>
      <c r="H31861" s="18"/>
      <c r="K31861" s="18" t="s">
        <v>316</v>
      </c>
    </row>
    <row r="31862">
      <c r="A31862" s="17"/>
      <c r="H31862" s="18"/>
      <c r="K31862" s="18" t="s">
        <v>316</v>
      </c>
    </row>
    <row r="31863">
      <c r="A31863" s="17"/>
      <c r="H31863" s="18"/>
      <c r="K31863" s="18" t="s">
        <v>316</v>
      </c>
    </row>
    <row r="31864">
      <c r="A31864" s="17"/>
      <c r="H31864" s="18"/>
      <c r="K31864" s="18" t="s">
        <v>316</v>
      </c>
    </row>
    <row r="31865">
      <c r="A31865" s="17"/>
      <c r="H31865" s="18"/>
      <c r="K31865" s="18" t="s">
        <v>316</v>
      </c>
    </row>
    <row r="31866">
      <c r="A31866" s="17"/>
      <c r="H31866" s="18"/>
      <c r="K31866" s="18" t="s">
        <v>316</v>
      </c>
    </row>
    <row r="31867">
      <c r="A31867" s="17"/>
      <c r="H31867" s="18"/>
      <c r="K31867" s="18" t="s">
        <v>316</v>
      </c>
    </row>
    <row r="31868">
      <c r="A31868" s="17"/>
      <c r="H31868" s="18"/>
      <c r="K31868" s="18" t="s">
        <v>316</v>
      </c>
    </row>
    <row r="31869">
      <c r="A31869" s="17"/>
      <c r="H31869" s="18"/>
      <c r="K31869" s="18" t="s">
        <v>316</v>
      </c>
    </row>
    <row r="31870">
      <c r="A31870" s="17"/>
      <c r="H31870" s="18"/>
      <c r="K31870" s="18" t="s">
        <v>316</v>
      </c>
    </row>
    <row r="31871">
      <c r="A31871" s="17"/>
      <c r="H31871" s="18"/>
      <c r="K31871" s="18" t="s">
        <v>316</v>
      </c>
    </row>
    <row r="31872">
      <c r="A31872" s="17"/>
      <c r="H31872" s="18"/>
      <c r="K31872" s="18" t="s">
        <v>316</v>
      </c>
    </row>
    <row r="31873">
      <c r="A31873" s="17"/>
      <c r="H31873" s="18"/>
      <c r="K31873" s="18" t="s">
        <v>316</v>
      </c>
    </row>
    <row r="31874">
      <c r="A31874" s="17"/>
      <c r="H31874" s="18"/>
      <c r="K31874" s="18" t="s">
        <v>316</v>
      </c>
    </row>
    <row r="31875">
      <c r="A31875" s="17"/>
      <c r="H31875" s="18"/>
      <c r="K31875" s="18" t="s">
        <v>316</v>
      </c>
    </row>
    <row r="31876">
      <c r="A31876" s="17"/>
      <c r="H31876" s="18"/>
      <c r="K31876" s="18" t="s">
        <v>316</v>
      </c>
    </row>
    <row r="31877">
      <c r="A31877" s="17"/>
      <c r="H31877" s="18"/>
      <c r="K31877" s="18" t="s">
        <v>316</v>
      </c>
    </row>
    <row r="31878">
      <c r="A31878" s="17"/>
      <c r="H31878" s="18"/>
      <c r="K31878" s="18" t="s">
        <v>316</v>
      </c>
    </row>
    <row r="31879">
      <c r="A31879" s="17"/>
      <c r="H31879" s="18"/>
      <c r="K31879" s="18" t="s">
        <v>316</v>
      </c>
    </row>
    <row r="31880">
      <c r="A31880" s="17"/>
      <c r="H31880" s="18"/>
      <c r="K31880" s="18" t="s">
        <v>316</v>
      </c>
    </row>
    <row r="31881">
      <c r="A31881" s="17"/>
      <c r="H31881" s="18"/>
      <c r="K31881" s="18" t="s">
        <v>316</v>
      </c>
    </row>
    <row r="31882">
      <c r="A31882" s="17"/>
      <c r="H31882" s="18"/>
      <c r="K31882" s="18" t="s">
        <v>316</v>
      </c>
    </row>
    <row r="31883">
      <c r="A31883" s="17"/>
      <c r="H31883" s="18"/>
      <c r="K31883" s="18" t="s">
        <v>316</v>
      </c>
    </row>
    <row r="31884">
      <c r="A31884" s="17"/>
      <c r="H31884" s="18"/>
      <c r="K31884" s="18" t="s">
        <v>316</v>
      </c>
    </row>
    <row r="31885">
      <c r="A31885" s="17"/>
      <c r="H31885" s="18"/>
      <c r="K31885" s="18" t="s">
        <v>316</v>
      </c>
    </row>
    <row r="31886">
      <c r="A31886" s="17"/>
      <c r="H31886" s="18"/>
      <c r="K31886" s="18" t="s">
        <v>316</v>
      </c>
    </row>
    <row r="31887">
      <c r="A31887" s="17"/>
      <c r="H31887" s="18"/>
      <c r="K31887" s="18" t="s">
        <v>316</v>
      </c>
    </row>
    <row r="31888">
      <c r="A31888" s="17"/>
      <c r="H31888" s="18"/>
      <c r="K31888" s="18" t="s">
        <v>316</v>
      </c>
    </row>
    <row r="31889">
      <c r="A31889" s="17"/>
      <c r="H31889" s="18"/>
      <c r="K31889" s="18" t="s">
        <v>316</v>
      </c>
    </row>
    <row r="31890">
      <c r="A31890" s="17"/>
      <c r="H31890" s="18"/>
      <c r="K31890" s="18" t="s">
        <v>316</v>
      </c>
    </row>
    <row r="31891">
      <c r="A31891" s="17"/>
      <c r="H31891" s="18"/>
      <c r="K31891" s="18" t="s">
        <v>316</v>
      </c>
    </row>
    <row r="31892">
      <c r="A31892" s="17"/>
      <c r="H31892" s="18"/>
      <c r="K31892" s="18" t="s">
        <v>316</v>
      </c>
    </row>
    <row r="31893">
      <c r="A31893" s="17"/>
      <c r="H31893" s="18"/>
      <c r="K31893" s="18" t="s">
        <v>316</v>
      </c>
    </row>
    <row r="31894">
      <c r="A31894" s="17"/>
      <c r="H31894" s="18"/>
      <c r="K31894" s="18" t="s">
        <v>316</v>
      </c>
    </row>
    <row r="31895">
      <c r="A31895" s="17"/>
      <c r="H31895" s="18"/>
      <c r="K31895" s="18" t="s">
        <v>316</v>
      </c>
    </row>
    <row r="31896">
      <c r="A31896" s="17"/>
      <c r="H31896" s="18"/>
      <c r="K31896" s="18" t="s">
        <v>316</v>
      </c>
    </row>
    <row r="31897">
      <c r="A31897" s="17"/>
      <c r="H31897" s="18"/>
      <c r="K31897" s="18" t="s">
        <v>316</v>
      </c>
    </row>
    <row r="31898">
      <c r="A31898" s="17"/>
      <c r="H31898" s="18"/>
      <c r="K31898" s="18" t="s">
        <v>316</v>
      </c>
    </row>
    <row r="31899">
      <c r="A31899" s="17"/>
      <c r="H31899" s="18"/>
      <c r="K31899" s="18" t="s">
        <v>316</v>
      </c>
    </row>
    <row r="31900">
      <c r="A31900" s="17"/>
      <c r="H31900" s="18"/>
      <c r="K31900" s="18" t="s">
        <v>316</v>
      </c>
    </row>
    <row r="31901">
      <c r="A31901" s="17"/>
      <c r="H31901" s="18"/>
      <c r="K31901" s="18" t="s">
        <v>316</v>
      </c>
    </row>
    <row r="31902">
      <c r="A31902" s="17"/>
      <c r="H31902" s="18"/>
      <c r="K31902" s="18" t="s">
        <v>316</v>
      </c>
    </row>
    <row r="31903">
      <c r="A31903" s="17"/>
      <c r="H31903" s="18"/>
      <c r="K31903" s="18" t="s">
        <v>316</v>
      </c>
    </row>
    <row r="31904">
      <c r="A31904" s="17"/>
      <c r="H31904" s="18"/>
      <c r="K31904" s="18" t="s">
        <v>316</v>
      </c>
    </row>
    <row r="31905">
      <c r="A31905" s="17"/>
      <c r="H31905" s="18"/>
      <c r="K31905" s="18" t="s">
        <v>316</v>
      </c>
    </row>
    <row r="31906">
      <c r="A31906" s="17"/>
      <c r="H31906" s="18"/>
      <c r="K31906" s="18" t="s">
        <v>316</v>
      </c>
    </row>
    <row r="31907">
      <c r="A31907" s="17"/>
      <c r="H31907" s="18"/>
      <c r="K31907" s="18" t="s">
        <v>316</v>
      </c>
    </row>
    <row r="31908">
      <c r="A31908" s="17"/>
      <c r="H31908" s="18"/>
      <c r="K31908" s="18" t="s">
        <v>316</v>
      </c>
    </row>
    <row r="31909">
      <c r="A31909" s="17"/>
      <c r="H31909" s="18"/>
      <c r="K31909" s="18" t="s">
        <v>316</v>
      </c>
    </row>
    <row r="31910">
      <c r="A31910" s="17"/>
      <c r="H31910" s="18"/>
      <c r="K31910" s="18" t="s">
        <v>316</v>
      </c>
    </row>
    <row r="31911">
      <c r="A31911" s="17"/>
      <c r="H31911" s="18"/>
      <c r="K31911" s="18" t="s">
        <v>316</v>
      </c>
    </row>
    <row r="31912">
      <c r="A31912" s="17"/>
      <c r="H31912" s="18"/>
      <c r="K31912" s="18" t="s">
        <v>316</v>
      </c>
    </row>
    <row r="31913">
      <c r="A31913" s="17"/>
      <c r="H31913" s="18"/>
      <c r="K31913" s="18" t="s">
        <v>316</v>
      </c>
    </row>
    <row r="31914">
      <c r="A31914" s="17"/>
      <c r="H31914" s="18"/>
      <c r="K31914" s="18" t="s">
        <v>316</v>
      </c>
    </row>
    <row r="31915">
      <c r="A31915" s="17"/>
      <c r="H31915" s="18"/>
      <c r="K31915" s="18" t="s">
        <v>316</v>
      </c>
    </row>
    <row r="31916">
      <c r="A31916" s="17"/>
      <c r="H31916" s="18"/>
      <c r="K31916" s="18" t="s">
        <v>316</v>
      </c>
    </row>
    <row r="31917">
      <c r="A31917" s="17"/>
      <c r="H31917" s="18"/>
      <c r="K31917" s="18" t="s">
        <v>316</v>
      </c>
    </row>
    <row r="31918">
      <c r="A31918" s="17"/>
      <c r="H31918" s="18"/>
      <c r="K31918" s="18" t="s">
        <v>316</v>
      </c>
    </row>
    <row r="31919">
      <c r="A31919" s="17"/>
      <c r="H31919" s="18"/>
      <c r="K31919" s="18" t="s">
        <v>316</v>
      </c>
    </row>
    <row r="31920">
      <c r="A31920" s="17"/>
      <c r="H31920" s="18"/>
      <c r="K31920" s="18" t="s">
        <v>316</v>
      </c>
    </row>
    <row r="31921">
      <c r="A31921" s="17"/>
      <c r="H31921" s="18"/>
      <c r="K31921" s="18" t="s">
        <v>316</v>
      </c>
    </row>
    <row r="31922">
      <c r="A31922" s="17"/>
      <c r="H31922" s="18"/>
      <c r="K31922" s="18" t="s">
        <v>316</v>
      </c>
    </row>
    <row r="31923">
      <c r="A31923" s="17"/>
      <c r="H31923" s="18"/>
      <c r="K31923" s="18" t="s">
        <v>316</v>
      </c>
    </row>
    <row r="31924">
      <c r="A31924" s="17"/>
      <c r="H31924" s="18"/>
      <c r="K31924" s="18" t="s">
        <v>316</v>
      </c>
    </row>
    <row r="31925">
      <c r="A31925" s="17"/>
      <c r="H31925" s="18"/>
      <c r="K31925" s="18" t="s">
        <v>316</v>
      </c>
    </row>
    <row r="31926">
      <c r="A31926" s="17"/>
      <c r="H31926" s="18"/>
      <c r="K31926" s="18" t="s">
        <v>316</v>
      </c>
    </row>
    <row r="31927">
      <c r="A31927" s="17"/>
      <c r="H31927" s="18"/>
      <c r="K31927" s="18" t="s">
        <v>316</v>
      </c>
    </row>
    <row r="31928">
      <c r="A31928" s="17"/>
      <c r="H31928" s="18"/>
      <c r="K31928" s="18" t="s">
        <v>316</v>
      </c>
    </row>
    <row r="31929">
      <c r="A31929" s="17"/>
      <c r="H31929" s="18"/>
      <c r="K31929" s="18" t="s">
        <v>316</v>
      </c>
    </row>
    <row r="31930">
      <c r="A31930" s="17"/>
      <c r="H31930" s="18"/>
      <c r="K31930" s="18" t="s">
        <v>316</v>
      </c>
    </row>
    <row r="31931">
      <c r="A31931" s="17"/>
      <c r="H31931" s="18"/>
      <c r="K31931" s="18" t="s">
        <v>316</v>
      </c>
    </row>
    <row r="31932">
      <c r="A31932" s="17"/>
      <c r="H31932" s="18"/>
      <c r="K31932" s="18" t="s">
        <v>316</v>
      </c>
    </row>
    <row r="31933">
      <c r="A31933" s="17"/>
      <c r="H31933" s="18"/>
      <c r="K31933" s="18" t="s">
        <v>316</v>
      </c>
    </row>
    <row r="31934">
      <c r="A31934" s="17"/>
      <c r="H31934" s="18"/>
      <c r="K31934" s="18" t="s">
        <v>316</v>
      </c>
    </row>
    <row r="31935">
      <c r="A31935" s="17"/>
      <c r="H31935" s="18"/>
      <c r="K31935" s="18" t="s">
        <v>316</v>
      </c>
    </row>
    <row r="31936">
      <c r="A31936" s="17"/>
      <c r="H31936" s="18"/>
      <c r="K31936" s="18" t="s">
        <v>316</v>
      </c>
    </row>
    <row r="31937">
      <c r="A31937" s="17"/>
      <c r="H31937" s="18"/>
      <c r="K31937" s="18" t="s">
        <v>316</v>
      </c>
    </row>
    <row r="31938">
      <c r="A31938" s="17"/>
      <c r="H31938" s="18"/>
      <c r="K31938" s="18" t="s">
        <v>316</v>
      </c>
    </row>
    <row r="31939">
      <c r="A31939" s="17"/>
      <c r="H31939" s="18"/>
      <c r="K31939" s="18" t="s">
        <v>316</v>
      </c>
    </row>
    <row r="31940">
      <c r="A31940" s="17"/>
      <c r="H31940" s="18"/>
      <c r="K31940" s="18" t="s">
        <v>316</v>
      </c>
    </row>
    <row r="31941">
      <c r="A31941" s="17"/>
      <c r="H31941" s="18"/>
      <c r="K31941" s="18" t="s">
        <v>316</v>
      </c>
    </row>
    <row r="31942">
      <c r="A31942" s="17"/>
      <c r="H31942" s="18"/>
      <c r="K31942" s="18" t="s">
        <v>316</v>
      </c>
    </row>
    <row r="31943">
      <c r="A31943" s="17"/>
      <c r="H31943" s="18"/>
      <c r="K31943" s="18" t="s">
        <v>316</v>
      </c>
    </row>
    <row r="31944">
      <c r="A31944" s="17"/>
      <c r="H31944" s="18"/>
      <c r="K31944" s="18" t="s">
        <v>316</v>
      </c>
    </row>
    <row r="31945">
      <c r="A31945" s="17"/>
      <c r="H31945" s="18"/>
      <c r="K31945" s="18" t="s">
        <v>316</v>
      </c>
    </row>
    <row r="31946">
      <c r="A31946" s="17"/>
      <c r="H31946" s="18"/>
      <c r="K31946" s="18" t="s">
        <v>316</v>
      </c>
    </row>
    <row r="31947">
      <c r="A31947" s="17"/>
      <c r="H31947" s="18"/>
      <c r="K31947" s="18" t="s">
        <v>316</v>
      </c>
    </row>
    <row r="31948">
      <c r="A31948" s="17"/>
      <c r="H31948" s="18"/>
      <c r="K31948" s="18" t="s">
        <v>316</v>
      </c>
    </row>
    <row r="31949">
      <c r="A31949" s="17"/>
      <c r="H31949" s="18"/>
      <c r="K31949" s="18" t="s">
        <v>316</v>
      </c>
    </row>
    <row r="31950">
      <c r="A31950" s="17"/>
      <c r="H31950" s="18"/>
      <c r="K31950" s="18" t="s">
        <v>316</v>
      </c>
    </row>
    <row r="31951">
      <c r="A31951" s="17"/>
      <c r="H31951" s="18"/>
      <c r="K31951" s="18" t="s">
        <v>316</v>
      </c>
    </row>
    <row r="31952">
      <c r="A31952" s="17"/>
      <c r="H31952" s="18"/>
      <c r="K31952" s="18" t="s">
        <v>316</v>
      </c>
    </row>
    <row r="31953">
      <c r="A31953" s="17"/>
      <c r="H31953" s="18"/>
      <c r="K31953" s="18" t="s">
        <v>316</v>
      </c>
    </row>
    <row r="31954">
      <c r="A31954" s="17"/>
      <c r="H31954" s="18"/>
      <c r="K31954" s="18" t="s">
        <v>316</v>
      </c>
    </row>
    <row r="31955">
      <c r="A31955" s="17"/>
      <c r="H31955" s="18"/>
      <c r="K31955" s="18" t="s">
        <v>316</v>
      </c>
    </row>
    <row r="31956">
      <c r="A31956" s="17"/>
      <c r="H31956" s="18"/>
      <c r="K31956" s="18" t="s">
        <v>316</v>
      </c>
    </row>
    <row r="31957">
      <c r="A31957" s="17"/>
      <c r="H31957" s="18"/>
      <c r="K31957" s="18" t="s">
        <v>316</v>
      </c>
    </row>
    <row r="31958">
      <c r="A31958" s="17"/>
      <c r="H31958" s="18"/>
      <c r="K31958" s="18" t="s">
        <v>316</v>
      </c>
    </row>
    <row r="31959">
      <c r="A31959" s="17"/>
      <c r="H31959" s="18"/>
      <c r="K31959" s="18" t="s">
        <v>316</v>
      </c>
    </row>
    <row r="31960">
      <c r="A31960" s="17"/>
      <c r="H31960" s="18"/>
      <c r="K31960" s="18" t="s">
        <v>316</v>
      </c>
    </row>
    <row r="31961">
      <c r="A31961" s="17"/>
      <c r="H31961" s="18"/>
      <c r="K31961" s="18" t="s">
        <v>316</v>
      </c>
    </row>
    <row r="31962">
      <c r="A31962" s="17"/>
      <c r="H31962" s="18"/>
      <c r="K31962" s="18" t="s">
        <v>316</v>
      </c>
    </row>
    <row r="31963">
      <c r="A31963" s="17"/>
      <c r="H31963" s="18"/>
      <c r="K31963" s="18" t="s">
        <v>316</v>
      </c>
    </row>
    <row r="31964">
      <c r="A31964" s="17"/>
      <c r="H31964" s="18"/>
      <c r="K31964" s="18" t="s">
        <v>316</v>
      </c>
    </row>
    <row r="31965">
      <c r="A31965" s="17"/>
      <c r="H31965" s="18"/>
      <c r="K31965" s="18" t="s">
        <v>316</v>
      </c>
    </row>
    <row r="31966">
      <c r="A31966" s="17"/>
      <c r="H31966" s="18"/>
      <c r="K31966" s="18" t="s">
        <v>316</v>
      </c>
    </row>
    <row r="31967">
      <c r="A31967" s="17"/>
      <c r="H31967" s="18"/>
      <c r="K31967" s="18" t="s">
        <v>316</v>
      </c>
    </row>
    <row r="31968">
      <c r="A31968" s="17"/>
      <c r="H31968" s="18"/>
      <c r="K31968" s="18" t="s">
        <v>316</v>
      </c>
    </row>
    <row r="31969">
      <c r="A31969" s="17"/>
      <c r="H31969" s="18"/>
      <c r="K31969" s="18" t="s">
        <v>316</v>
      </c>
    </row>
    <row r="31970">
      <c r="A31970" s="17"/>
      <c r="H31970" s="18"/>
      <c r="K31970" s="18" t="s">
        <v>316</v>
      </c>
    </row>
    <row r="31971">
      <c r="A31971" s="17"/>
      <c r="H31971" s="18"/>
      <c r="K31971" s="18" t="s">
        <v>316</v>
      </c>
    </row>
    <row r="31972">
      <c r="A31972" s="17"/>
      <c r="H31972" s="18"/>
      <c r="K31972" s="18" t="s">
        <v>316</v>
      </c>
    </row>
    <row r="31973">
      <c r="A31973" s="17"/>
      <c r="H31973" s="18"/>
      <c r="K31973" s="18" t="s">
        <v>316</v>
      </c>
    </row>
    <row r="31974">
      <c r="A31974" s="17"/>
      <c r="H31974" s="18"/>
      <c r="K31974" s="18" t="s">
        <v>316</v>
      </c>
    </row>
    <row r="31975">
      <c r="A31975" s="17"/>
      <c r="H31975" s="18"/>
      <c r="K31975" s="18" t="s">
        <v>316</v>
      </c>
    </row>
    <row r="31976">
      <c r="A31976" s="17"/>
      <c r="H31976" s="18"/>
      <c r="K31976" s="18" t="s">
        <v>316</v>
      </c>
    </row>
    <row r="31977">
      <c r="A31977" s="17"/>
      <c r="H31977" s="18"/>
      <c r="K31977" s="18" t="s">
        <v>316</v>
      </c>
    </row>
    <row r="31978">
      <c r="A31978" s="17"/>
      <c r="H31978" s="18"/>
      <c r="K31978" s="18" t="s">
        <v>316</v>
      </c>
    </row>
    <row r="31979">
      <c r="A31979" s="17"/>
      <c r="H31979" s="18"/>
      <c r="K31979" s="18" t="s">
        <v>316</v>
      </c>
    </row>
    <row r="31980">
      <c r="A31980" s="17"/>
      <c r="H31980" s="18"/>
      <c r="K31980" s="18" t="s">
        <v>316</v>
      </c>
    </row>
    <row r="31981">
      <c r="A31981" s="17"/>
      <c r="H31981" s="18"/>
      <c r="K31981" s="18" t="s">
        <v>316</v>
      </c>
    </row>
    <row r="31982">
      <c r="A31982" s="17"/>
      <c r="H31982" s="18"/>
      <c r="K31982" s="18" t="s">
        <v>316</v>
      </c>
    </row>
    <row r="31983">
      <c r="A31983" s="17"/>
      <c r="H31983" s="18"/>
      <c r="K31983" s="18" t="s">
        <v>316</v>
      </c>
    </row>
    <row r="31984">
      <c r="A31984" s="17"/>
      <c r="H31984" s="18"/>
      <c r="K31984" s="18" t="s">
        <v>316</v>
      </c>
    </row>
    <row r="31985">
      <c r="A31985" s="17"/>
      <c r="H31985" s="18"/>
      <c r="K31985" s="18" t="s">
        <v>316</v>
      </c>
    </row>
    <row r="31986">
      <c r="A31986" s="17"/>
      <c r="H31986" s="18"/>
      <c r="K31986" s="18" t="s">
        <v>316</v>
      </c>
    </row>
    <row r="31987">
      <c r="A31987" s="17"/>
      <c r="H31987" s="18"/>
      <c r="K31987" s="18" t="s">
        <v>316</v>
      </c>
    </row>
    <row r="31988">
      <c r="A31988" s="17"/>
      <c r="H31988" s="18"/>
      <c r="K31988" s="18" t="s">
        <v>316</v>
      </c>
    </row>
    <row r="31989">
      <c r="A31989" s="17"/>
      <c r="H31989" s="18"/>
      <c r="K31989" s="18" t="s">
        <v>316</v>
      </c>
    </row>
    <row r="31990">
      <c r="A31990" s="17"/>
      <c r="H31990" s="18"/>
      <c r="K31990" s="18" t="s">
        <v>316</v>
      </c>
    </row>
    <row r="31991">
      <c r="A31991" s="17"/>
      <c r="H31991" s="18"/>
      <c r="K31991" s="18" t="s">
        <v>316</v>
      </c>
    </row>
    <row r="31992">
      <c r="A31992" s="17"/>
      <c r="H31992" s="18"/>
      <c r="K31992" s="18" t="s">
        <v>316</v>
      </c>
    </row>
    <row r="31993">
      <c r="A31993" s="17"/>
      <c r="H31993" s="18"/>
      <c r="K31993" s="18" t="s">
        <v>316</v>
      </c>
    </row>
    <row r="31994">
      <c r="A31994" s="17"/>
      <c r="H31994" s="18"/>
      <c r="K31994" s="18" t="s">
        <v>316</v>
      </c>
    </row>
    <row r="31995">
      <c r="A31995" s="17"/>
      <c r="H31995" s="18"/>
      <c r="K31995" s="18" t="s">
        <v>316</v>
      </c>
    </row>
    <row r="31996">
      <c r="A31996" s="17"/>
      <c r="H31996" s="18"/>
      <c r="K31996" s="18" t="s">
        <v>316</v>
      </c>
    </row>
    <row r="31997">
      <c r="A31997" s="17"/>
      <c r="H31997" s="18"/>
      <c r="K31997" s="18" t="s">
        <v>316</v>
      </c>
    </row>
    <row r="31998">
      <c r="A31998" s="17"/>
      <c r="H31998" s="18"/>
      <c r="K31998" s="18" t="s">
        <v>316</v>
      </c>
    </row>
    <row r="31999">
      <c r="A31999" s="17"/>
      <c r="H31999" s="18"/>
      <c r="K31999" s="18" t="s">
        <v>316</v>
      </c>
    </row>
    <row r="32000">
      <c r="A32000" s="17"/>
      <c r="H32000" s="18"/>
      <c r="K32000" s="18" t="s">
        <v>316</v>
      </c>
    </row>
    <row r="32001">
      <c r="A32001" s="17"/>
      <c r="H32001" s="18"/>
      <c r="K32001" s="18" t="s">
        <v>316</v>
      </c>
    </row>
    <row r="32002">
      <c r="A32002" s="17"/>
      <c r="H32002" s="18"/>
      <c r="K32002" s="18" t="s">
        <v>316</v>
      </c>
    </row>
    <row r="32003">
      <c r="A32003" s="17"/>
      <c r="H32003" s="18"/>
      <c r="K32003" s="18" t="s">
        <v>316</v>
      </c>
    </row>
    <row r="32004">
      <c r="A32004" s="17"/>
      <c r="H32004" s="18"/>
      <c r="K32004" s="18" t="s">
        <v>316</v>
      </c>
    </row>
    <row r="32005">
      <c r="A32005" s="17"/>
      <c r="H32005" s="18"/>
      <c r="K32005" s="18" t="s">
        <v>316</v>
      </c>
    </row>
    <row r="32006">
      <c r="A32006" s="17"/>
      <c r="H32006" s="18"/>
      <c r="K32006" s="18" t="s">
        <v>316</v>
      </c>
    </row>
    <row r="32007">
      <c r="A32007" s="17"/>
      <c r="H32007" s="18"/>
      <c r="K32007" s="18" t="s">
        <v>316</v>
      </c>
    </row>
    <row r="32008">
      <c r="A32008" s="17"/>
      <c r="H32008" s="18"/>
      <c r="K32008" s="18" t="s">
        <v>316</v>
      </c>
    </row>
    <row r="32009">
      <c r="A32009" s="17"/>
      <c r="H32009" s="18"/>
      <c r="K32009" s="18" t="s">
        <v>316</v>
      </c>
    </row>
    <row r="32010">
      <c r="A32010" s="17"/>
      <c r="H32010" s="18"/>
      <c r="K32010" s="18" t="s">
        <v>316</v>
      </c>
    </row>
    <row r="32011">
      <c r="A32011" s="17"/>
      <c r="H32011" s="18"/>
      <c r="K32011" s="18" t="s">
        <v>316</v>
      </c>
    </row>
    <row r="32012">
      <c r="A32012" s="17"/>
      <c r="H32012" s="18"/>
      <c r="K32012" s="18" t="s">
        <v>316</v>
      </c>
    </row>
    <row r="32013">
      <c r="A32013" s="17"/>
      <c r="H32013" s="18"/>
      <c r="K32013" s="18" t="s">
        <v>316</v>
      </c>
    </row>
    <row r="32014">
      <c r="A32014" s="17"/>
      <c r="H32014" s="18"/>
      <c r="K32014" s="18" t="s">
        <v>316</v>
      </c>
    </row>
    <row r="32015">
      <c r="A32015" s="17"/>
      <c r="H32015" s="18"/>
      <c r="K32015" s="18" t="s">
        <v>316</v>
      </c>
    </row>
    <row r="32016">
      <c r="A32016" s="17"/>
      <c r="H32016" s="18"/>
      <c r="K32016" s="18" t="s">
        <v>316</v>
      </c>
    </row>
    <row r="32017">
      <c r="A32017" s="17"/>
      <c r="H32017" s="18"/>
      <c r="K32017" s="18" t="s">
        <v>316</v>
      </c>
    </row>
    <row r="32018">
      <c r="A32018" s="17"/>
      <c r="H32018" s="18"/>
      <c r="K32018" s="18" t="s">
        <v>316</v>
      </c>
    </row>
    <row r="32019">
      <c r="A32019" s="17"/>
      <c r="H32019" s="18"/>
      <c r="K32019" s="18" t="s">
        <v>316</v>
      </c>
    </row>
    <row r="32020">
      <c r="A32020" s="17"/>
      <c r="H32020" s="18"/>
      <c r="K32020" s="18" t="s">
        <v>316</v>
      </c>
    </row>
    <row r="32021">
      <c r="A32021" s="17"/>
      <c r="H32021" s="18"/>
      <c r="K32021" s="18" t="s">
        <v>316</v>
      </c>
    </row>
    <row r="32022">
      <c r="A32022" s="17"/>
      <c r="H32022" s="18"/>
      <c r="K32022" s="18" t="s">
        <v>316</v>
      </c>
    </row>
    <row r="32023">
      <c r="A32023" s="17"/>
      <c r="H32023" s="18"/>
      <c r="K32023" s="18" t="s">
        <v>316</v>
      </c>
    </row>
    <row r="32024">
      <c r="A32024" s="17"/>
      <c r="H32024" s="18"/>
      <c r="K32024" s="18" t="s">
        <v>316</v>
      </c>
    </row>
    <row r="32025">
      <c r="A32025" s="17"/>
      <c r="H32025" s="18"/>
      <c r="K32025" s="18" t="s">
        <v>316</v>
      </c>
    </row>
    <row r="32026">
      <c r="A32026" s="17"/>
      <c r="H32026" s="18"/>
      <c r="K32026" s="18" t="s">
        <v>316</v>
      </c>
    </row>
    <row r="32027">
      <c r="A32027" s="17"/>
      <c r="H32027" s="18"/>
      <c r="K32027" s="18" t="s">
        <v>316</v>
      </c>
    </row>
    <row r="32028">
      <c r="A32028" s="17"/>
      <c r="H32028" s="18"/>
      <c r="K32028" s="18" t="s">
        <v>316</v>
      </c>
    </row>
    <row r="32029">
      <c r="A32029" s="17"/>
      <c r="H32029" s="18"/>
      <c r="K32029" s="18" t="s">
        <v>316</v>
      </c>
    </row>
    <row r="32030">
      <c r="A32030" s="17"/>
      <c r="H32030" s="18"/>
      <c r="K32030" s="18" t="s">
        <v>316</v>
      </c>
    </row>
    <row r="32031">
      <c r="A32031" s="17"/>
      <c r="H32031" s="18"/>
      <c r="K32031" s="18" t="s">
        <v>316</v>
      </c>
    </row>
    <row r="32032">
      <c r="A32032" s="17"/>
      <c r="H32032" s="18"/>
      <c r="K32032" s="18" t="s">
        <v>316</v>
      </c>
    </row>
    <row r="32033">
      <c r="A32033" s="17"/>
      <c r="H32033" s="18"/>
      <c r="K32033" s="18" t="s">
        <v>316</v>
      </c>
    </row>
    <row r="32034">
      <c r="A32034" s="17"/>
      <c r="H32034" s="18"/>
      <c r="K32034" s="18" t="s">
        <v>316</v>
      </c>
    </row>
    <row r="32035">
      <c r="A32035" s="17"/>
      <c r="H32035" s="18"/>
      <c r="K32035" s="18" t="s">
        <v>316</v>
      </c>
    </row>
    <row r="32036">
      <c r="A32036" s="17"/>
      <c r="H32036" s="18"/>
      <c r="K32036" s="18" t="s">
        <v>316</v>
      </c>
    </row>
    <row r="32037">
      <c r="A32037" s="17"/>
      <c r="H32037" s="18"/>
      <c r="K32037" s="18" t="s">
        <v>316</v>
      </c>
    </row>
    <row r="32038">
      <c r="A32038" s="17"/>
      <c r="H32038" s="18"/>
      <c r="K32038" s="18" t="s">
        <v>316</v>
      </c>
    </row>
    <row r="32039">
      <c r="A32039" s="17"/>
      <c r="H32039" s="18"/>
      <c r="K32039" s="18" t="s">
        <v>316</v>
      </c>
    </row>
    <row r="32040">
      <c r="A32040" s="17"/>
      <c r="H32040" s="18"/>
      <c r="K32040" s="18" t="s">
        <v>316</v>
      </c>
    </row>
    <row r="32041">
      <c r="A32041" s="17"/>
      <c r="H32041" s="18"/>
      <c r="K32041" s="18" t="s">
        <v>316</v>
      </c>
    </row>
    <row r="32042">
      <c r="A32042" s="17"/>
      <c r="H32042" s="18"/>
      <c r="K32042" s="18" t="s">
        <v>316</v>
      </c>
    </row>
    <row r="32043">
      <c r="A32043" s="17"/>
      <c r="H32043" s="18"/>
      <c r="K32043" s="18" t="s">
        <v>316</v>
      </c>
    </row>
    <row r="32044">
      <c r="A32044" s="17"/>
      <c r="H32044" s="18"/>
      <c r="K32044" s="18" t="s">
        <v>316</v>
      </c>
    </row>
    <row r="32045">
      <c r="A32045" s="17"/>
      <c r="H32045" s="18"/>
      <c r="K32045" s="18" t="s">
        <v>316</v>
      </c>
    </row>
    <row r="32046">
      <c r="A32046" s="17"/>
      <c r="H32046" s="18"/>
      <c r="K32046" s="18" t="s">
        <v>316</v>
      </c>
    </row>
    <row r="32047">
      <c r="A32047" s="17"/>
      <c r="H32047" s="18"/>
      <c r="K32047" s="18" t="s">
        <v>316</v>
      </c>
    </row>
    <row r="32048">
      <c r="A32048" s="17"/>
      <c r="H32048" s="18"/>
      <c r="K32048" s="18" t="s">
        <v>316</v>
      </c>
    </row>
    <row r="32049">
      <c r="A32049" s="17"/>
      <c r="H32049" s="18"/>
      <c r="K32049" s="18" t="s">
        <v>316</v>
      </c>
    </row>
    <row r="32050">
      <c r="A32050" s="17"/>
      <c r="H32050" s="18"/>
      <c r="K32050" s="18" t="s">
        <v>316</v>
      </c>
    </row>
    <row r="32051">
      <c r="A32051" s="17"/>
      <c r="H32051" s="18"/>
      <c r="K32051" s="18" t="s">
        <v>316</v>
      </c>
    </row>
    <row r="32052">
      <c r="A32052" s="17"/>
      <c r="H32052" s="18"/>
      <c r="K32052" s="18" t="s">
        <v>316</v>
      </c>
    </row>
    <row r="32053">
      <c r="A32053" s="17"/>
      <c r="H32053" s="18"/>
      <c r="K32053" s="18" t="s">
        <v>316</v>
      </c>
    </row>
    <row r="32054">
      <c r="A32054" s="17"/>
      <c r="H32054" s="18"/>
      <c r="K32054" s="18" t="s">
        <v>316</v>
      </c>
    </row>
    <row r="32055">
      <c r="A32055" s="17"/>
      <c r="H32055" s="18"/>
      <c r="K32055" s="18" t="s">
        <v>316</v>
      </c>
    </row>
    <row r="32056">
      <c r="A32056" s="17"/>
      <c r="H32056" s="18"/>
      <c r="K32056" s="18" t="s">
        <v>316</v>
      </c>
    </row>
    <row r="32057">
      <c r="A32057" s="17"/>
      <c r="H32057" s="18"/>
      <c r="K32057" s="18" t="s">
        <v>316</v>
      </c>
    </row>
    <row r="32058">
      <c r="A32058" s="17"/>
      <c r="H32058" s="18"/>
      <c r="K32058" s="18" t="s">
        <v>316</v>
      </c>
    </row>
    <row r="32059">
      <c r="A32059" s="17"/>
      <c r="H32059" s="18"/>
      <c r="K32059" s="18" t="s">
        <v>316</v>
      </c>
    </row>
    <row r="32060">
      <c r="A32060" s="17"/>
      <c r="H32060" s="18"/>
      <c r="K32060" s="18" t="s">
        <v>316</v>
      </c>
    </row>
    <row r="32061">
      <c r="A32061" s="17"/>
      <c r="H32061" s="18"/>
      <c r="K32061" s="18" t="s">
        <v>316</v>
      </c>
    </row>
    <row r="32062">
      <c r="A32062" s="17"/>
      <c r="H32062" s="18"/>
      <c r="K32062" s="18" t="s">
        <v>316</v>
      </c>
    </row>
    <row r="32063">
      <c r="A32063" s="17"/>
      <c r="H32063" s="18"/>
      <c r="K32063" s="18" t="s">
        <v>316</v>
      </c>
    </row>
    <row r="32064">
      <c r="A32064" s="17"/>
      <c r="H32064" s="18"/>
      <c r="K32064" s="18" t="s">
        <v>316</v>
      </c>
    </row>
    <row r="32065">
      <c r="A32065" s="17"/>
      <c r="H32065" s="18"/>
      <c r="K32065" s="18" t="s">
        <v>316</v>
      </c>
    </row>
    <row r="32066">
      <c r="A32066" s="17"/>
      <c r="H32066" s="18"/>
      <c r="K32066" s="18" t="s">
        <v>316</v>
      </c>
    </row>
    <row r="32067">
      <c r="A32067" s="17"/>
      <c r="H32067" s="18"/>
      <c r="K32067" s="18" t="s">
        <v>316</v>
      </c>
    </row>
    <row r="32068">
      <c r="A32068" s="17"/>
      <c r="H32068" s="18"/>
      <c r="K32068" s="18" t="s">
        <v>316</v>
      </c>
    </row>
    <row r="32069">
      <c r="A32069" s="17"/>
      <c r="H32069" s="18"/>
      <c r="K32069" s="18" t="s">
        <v>316</v>
      </c>
    </row>
    <row r="32070">
      <c r="A32070" s="17"/>
      <c r="H32070" s="18"/>
      <c r="K32070" s="18" t="s">
        <v>316</v>
      </c>
    </row>
    <row r="32071">
      <c r="A32071" s="17"/>
      <c r="H32071" s="18"/>
      <c r="K32071" s="18" t="s">
        <v>316</v>
      </c>
    </row>
    <row r="32072">
      <c r="A32072" s="17"/>
      <c r="H32072" s="18"/>
      <c r="K32072" s="18" t="s">
        <v>316</v>
      </c>
    </row>
    <row r="32073">
      <c r="A32073" s="17"/>
      <c r="H32073" s="18"/>
      <c r="K32073" s="18" t="s">
        <v>316</v>
      </c>
    </row>
    <row r="32074">
      <c r="A32074" s="17"/>
      <c r="H32074" s="18"/>
      <c r="K32074" s="18" t="s">
        <v>316</v>
      </c>
    </row>
    <row r="32075">
      <c r="A32075" s="17"/>
      <c r="H32075" s="18"/>
      <c r="K32075" s="18" t="s">
        <v>316</v>
      </c>
    </row>
    <row r="32076">
      <c r="A32076" s="17"/>
      <c r="H32076" s="18"/>
      <c r="K32076" s="18" t="s">
        <v>316</v>
      </c>
    </row>
    <row r="32077">
      <c r="A32077" s="17"/>
      <c r="H32077" s="18"/>
      <c r="K32077" s="18" t="s">
        <v>316</v>
      </c>
    </row>
    <row r="32078">
      <c r="A32078" s="17"/>
      <c r="H32078" s="18"/>
      <c r="K32078" s="18" t="s">
        <v>316</v>
      </c>
    </row>
    <row r="32079">
      <c r="A32079" s="17"/>
      <c r="H32079" s="18"/>
      <c r="K32079" s="18" t="s">
        <v>316</v>
      </c>
    </row>
    <row r="32080">
      <c r="A32080" s="17"/>
      <c r="H32080" s="18"/>
      <c r="K32080" s="18" t="s">
        <v>316</v>
      </c>
    </row>
    <row r="32081">
      <c r="A32081" s="17"/>
      <c r="H32081" s="18"/>
      <c r="K32081" s="18" t="s">
        <v>316</v>
      </c>
    </row>
    <row r="32082">
      <c r="A32082" s="17"/>
      <c r="H32082" s="18"/>
      <c r="K32082" s="18" t="s">
        <v>316</v>
      </c>
    </row>
    <row r="32083">
      <c r="A32083" s="17"/>
      <c r="H32083" s="18"/>
      <c r="K32083" s="18" t="s">
        <v>316</v>
      </c>
    </row>
    <row r="32084">
      <c r="A32084" s="17"/>
      <c r="H32084" s="18"/>
      <c r="K32084" s="18" t="s">
        <v>316</v>
      </c>
    </row>
    <row r="32085">
      <c r="A32085" s="17"/>
      <c r="H32085" s="18"/>
      <c r="K32085" s="18" t="s">
        <v>316</v>
      </c>
    </row>
    <row r="32086">
      <c r="A32086" s="17"/>
      <c r="H32086" s="18"/>
      <c r="K32086" s="18" t="s">
        <v>316</v>
      </c>
    </row>
    <row r="32087">
      <c r="A32087" s="17"/>
      <c r="H32087" s="18"/>
      <c r="K32087" s="18" t="s">
        <v>316</v>
      </c>
    </row>
    <row r="32088">
      <c r="A32088" s="17"/>
      <c r="H32088" s="18"/>
      <c r="K32088" s="18" t="s">
        <v>316</v>
      </c>
    </row>
    <row r="32089">
      <c r="A32089" s="17"/>
      <c r="H32089" s="18"/>
      <c r="K32089" s="18" t="s">
        <v>316</v>
      </c>
    </row>
    <row r="32090">
      <c r="A32090" s="17"/>
      <c r="H32090" s="18"/>
      <c r="K32090" s="18" t="s">
        <v>316</v>
      </c>
    </row>
    <row r="32091">
      <c r="A32091" s="17"/>
      <c r="H32091" s="18"/>
      <c r="K32091" s="18" t="s">
        <v>316</v>
      </c>
    </row>
    <row r="32092">
      <c r="A32092" s="17"/>
      <c r="H32092" s="18"/>
      <c r="K32092" s="18" t="s">
        <v>316</v>
      </c>
    </row>
    <row r="32093">
      <c r="A32093" s="17"/>
      <c r="H32093" s="18"/>
      <c r="K32093" s="18" t="s">
        <v>316</v>
      </c>
    </row>
    <row r="32094">
      <c r="A32094" s="17"/>
      <c r="H32094" s="18"/>
      <c r="K32094" s="18" t="s">
        <v>316</v>
      </c>
    </row>
    <row r="32095">
      <c r="A32095" s="17"/>
      <c r="H32095" s="18"/>
      <c r="K32095" s="18" t="s">
        <v>316</v>
      </c>
    </row>
    <row r="32096">
      <c r="A32096" s="17"/>
      <c r="H32096" s="18"/>
      <c r="K32096" s="18" t="s">
        <v>316</v>
      </c>
    </row>
    <row r="32097">
      <c r="A32097" s="17"/>
      <c r="H32097" s="18"/>
      <c r="K32097" s="18" t="s">
        <v>316</v>
      </c>
    </row>
    <row r="32098">
      <c r="A32098" s="17"/>
      <c r="H32098" s="18"/>
      <c r="K32098" s="18" t="s">
        <v>316</v>
      </c>
    </row>
    <row r="32099">
      <c r="A32099" s="17"/>
      <c r="H32099" s="18"/>
      <c r="K32099" s="18" t="s">
        <v>316</v>
      </c>
    </row>
    <row r="32100">
      <c r="A32100" s="17"/>
      <c r="H32100" s="18"/>
      <c r="K32100" s="18" t="s">
        <v>316</v>
      </c>
    </row>
    <row r="32101">
      <c r="A32101" s="17"/>
      <c r="H32101" s="18"/>
      <c r="K32101" s="18" t="s">
        <v>316</v>
      </c>
    </row>
    <row r="32102">
      <c r="A32102" s="17"/>
      <c r="H32102" s="18"/>
      <c r="K32102" s="18" t="s">
        <v>316</v>
      </c>
    </row>
    <row r="32103">
      <c r="A32103" s="17"/>
      <c r="H32103" s="18"/>
      <c r="K32103" s="18" t="s">
        <v>316</v>
      </c>
    </row>
    <row r="32104">
      <c r="A32104" s="17"/>
      <c r="H32104" s="18"/>
      <c r="K32104" s="18" t="s">
        <v>316</v>
      </c>
    </row>
    <row r="32105">
      <c r="A32105" s="17"/>
      <c r="H32105" s="18"/>
      <c r="K32105" s="18" t="s">
        <v>316</v>
      </c>
    </row>
    <row r="32106">
      <c r="A32106" s="17"/>
      <c r="H32106" s="18"/>
      <c r="K32106" s="18" t="s">
        <v>316</v>
      </c>
    </row>
    <row r="32107">
      <c r="A32107" s="17"/>
      <c r="H32107" s="18"/>
      <c r="K32107" s="18" t="s">
        <v>316</v>
      </c>
    </row>
    <row r="32108">
      <c r="A32108" s="17"/>
      <c r="H32108" s="18"/>
      <c r="K32108" s="18" t="s">
        <v>316</v>
      </c>
    </row>
    <row r="32109">
      <c r="A32109" s="17"/>
      <c r="H32109" s="18"/>
      <c r="K32109" s="18" t="s">
        <v>316</v>
      </c>
    </row>
    <row r="32110">
      <c r="A32110" s="17"/>
      <c r="H32110" s="18"/>
      <c r="K32110" s="18" t="s">
        <v>316</v>
      </c>
    </row>
    <row r="32111">
      <c r="A32111" s="17"/>
      <c r="H32111" s="18"/>
      <c r="K32111" s="18" t="s">
        <v>316</v>
      </c>
    </row>
    <row r="32112">
      <c r="A32112" s="17"/>
      <c r="H32112" s="18"/>
      <c r="K32112" s="18" t="s">
        <v>316</v>
      </c>
    </row>
    <row r="32113">
      <c r="A32113" s="17"/>
      <c r="H32113" s="18"/>
      <c r="K32113" s="18" t="s">
        <v>316</v>
      </c>
    </row>
    <row r="32114">
      <c r="A32114" s="17"/>
      <c r="H32114" s="18"/>
      <c r="K32114" s="18" t="s">
        <v>316</v>
      </c>
    </row>
    <row r="32115">
      <c r="A32115" s="17"/>
      <c r="H32115" s="18"/>
      <c r="K32115" s="18" t="s">
        <v>316</v>
      </c>
    </row>
    <row r="32116">
      <c r="A32116" s="17"/>
      <c r="H32116" s="18"/>
      <c r="K32116" s="18" t="s">
        <v>316</v>
      </c>
    </row>
    <row r="32117">
      <c r="A32117" s="17"/>
      <c r="H32117" s="18"/>
      <c r="K32117" s="18" t="s">
        <v>316</v>
      </c>
    </row>
    <row r="32118">
      <c r="A32118" s="17"/>
      <c r="H32118" s="18"/>
      <c r="K32118" s="18" t="s">
        <v>316</v>
      </c>
    </row>
    <row r="32119">
      <c r="A32119" s="17"/>
      <c r="H32119" s="18"/>
      <c r="K32119" s="18" t="s">
        <v>316</v>
      </c>
    </row>
    <row r="32120">
      <c r="A32120" s="17"/>
      <c r="H32120" s="18"/>
      <c r="K32120" s="18" t="s">
        <v>316</v>
      </c>
    </row>
    <row r="32121">
      <c r="A32121" s="17"/>
      <c r="H32121" s="18"/>
      <c r="K32121" s="18" t="s">
        <v>316</v>
      </c>
    </row>
    <row r="32122">
      <c r="A32122" s="17"/>
      <c r="H32122" s="18"/>
      <c r="K32122" s="18" t="s">
        <v>316</v>
      </c>
    </row>
    <row r="32123">
      <c r="A32123" s="17"/>
      <c r="H32123" s="18"/>
      <c r="K32123" s="18" t="s">
        <v>316</v>
      </c>
    </row>
    <row r="32124">
      <c r="A32124" s="17"/>
      <c r="H32124" s="18"/>
      <c r="K32124" s="18" t="s">
        <v>316</v>
      </c>
    </row>
    <row r="32125">
      <c r="A32125" s="17"/>
      <c r="H32125" s="18"/>
      <c r="K32125" s="18" t="s">
        <v>316</v>
      </c>
    </row>
    <row r="32126">
      <c r="A32126" s="17"/>
      <c r="H32126" s="18"/>
      <c r="K32126" s="18" t="s">
        <v>316</v>
      </c>
    </row>
    <row r="32127">
      <c r="A32127" s="17"/>
      <c r="H32127" s="18"/>
      <c r="K32127" s="18" t="s">
        <v>316</v>
      </c>
    </row>
    <row r="32128">
      <c r="A32128" s="17"/>
      <c r="H32128" s="18"/>
      <c r="K32128" s="18" t="s">
        <v>316</v>
      </c>
    </row>
    <row r="32129">
      <c r="A32129" s="17"/>
      <c r="H32129" s="18"/>
      <c r="K32129" s="18" t="s">
        <v>316</v>
      </c>
    </row>
    <row r="32130">
      <c r="A32130" s="17"/>
      <c r="H32130" s="18"/>
      <c r="K32130" s="18" t="s">
        <v>316</v>
      </c>
    </row>
    <row r="32131">
      <c r="A32131" s="17"/>
      <c r="H32131" s="18"/>
      <c r="K32131" s="18" t="s">
        <v>316</v>
      </c>
    </row>
    <row r="32132">
      <c r="A32132" s="17"/>
      <c r="H32132" s="18"/>
      <c r="K32132" s="18" t="s">
        <v>316</v>
      </c>
    </row>
    <row r="32133">
      <c r="A32133" s="17"/>
      <c r="H32133" s="18"/>
      <c r="K32133" s="18" t="s">
        <v>316</v>
      </c>
    </row>
    <row r="32134">
      <c r="A32134" s="17"/>
      <c r="H32134" s="18"/>
      <c r="K32134" s="18" t="s">
        <v>316</v>
      </c>
    </row>
    <row r="32135">
      <c r="A32135" s="17"/>
      <c r="H32135" s="18"/>
      <c r="K32135" s="18" t="s">
        <v>316</v>
      </c>
    </row>
    <row r="32136">
      <c r="A32136" s="17"/>
      <c r="H32136" s="18"/>
      <c r="K32136" s="18" t="s">
        <v>316</v>
      </c>
    </row>
    <row r="32137">
      <c r="A32137" s="17"/>
      <c r="H32137" s="18"/>
      <c r="K32137" s="18" t="s">
        <v>316</v>
      </c>
    </row>
    <row r="32138">
      <c r="A32138" s="17"/>
      <c r="H32138" s="18"/>
      <c r="K32138" s="18" t="s">
        <v>316</v>
      </c>
    </row>
    <row r="32139">
      <c r="A32139" s="17"/>
      <c r="H32139" s="18"/>
      <c r="K32139" s="18" t="s">
        <v>316</v>
      </c>
    </row>
    <row r="32140">
      <c r="A32140" s="17"/>
      <c r="H32140" s="18"/>
      <c r="K32140" s="18" t="s">
        <v>316</v>
      </c>
    </row>
    <row r="32141">
      <c r="A32141" s="17"/>
      <c r="H32141" s="18"/>
      <c r="K32141" s="18" t="s">
        <v>316</v>
      </c>
    </row>
    <row r="32142">
      <c r="A32142" s="17"/>
      <c r="H32142" s="18"/>
      <c r="K32142" s="18" t="s">
        <v>316</v>
      </c>
    </row>
    <row r="32143">
      <c r="A32143" s="17"/>
      <c r="H32143" s="18"/>
      <c r="K32143" s="18" t="s">
        <v>316</v>
      </c>
    </row>
    <row r="32144">
      <c r="A32144" s="17"/>
      <c r="H32144" s="18"/>
      <c r="K32144" s="18" t="s">
        <v>316</v>
      </c>
    </row>
    <row r="32145">
      <c r="A32145" s="17"/>
      <c r="H32145" s="18"/>
      <c r="K32145" s="18" t="s">
        <v>316</v>
      </c>
    </row>
    <row r="32146">
      <c r="A32146" s="17"/>
      <c r="H32146" s="18"/>
      <c r="K32146" s="18" t="s">
        <v>316</v>
      </c>
    </row>
    <row r="32147">
      <c r="A32147" s="17"/>
      <c r="H32147" s="18"/>
      <c r="K32147" s="18" t="s">
        <v>316</v>
      </c>
    </row>
    <row r="32148">
      <c r="A32148" s="17"/>
      <c r="H32148" s="18"/>
      <c r="K32148" s="18" t="s">
        <v>316</v>
      </c>
    </row>
    <row r="32149">
      <c r="A32149" s="17"/>
      <c r="H32149" s="18"/>
      <c r="K32149" s="18" t="s">
        <v>316</v>
      </c>
    </row>
    <row r="32150">
      <c r="A32150" s="17"/>
      <c r="H32150" s="18"/>
      <c r="K32150" s="18" t="s">
        <v>316</v>
      </c>
    </row>
    <row r="32151">
      <c r="A32151" s="17"/>
      <c r="H32151" s="18"/>
      <c r="K32151" s="18" t="s">
        <v>316</v>
      </c>
    </row>
    <row r="32152">
      <c r="A32152" s="17"/>
      <c r="H32152" s="18"/>
      <c r="K32152" s="18" t="s">
        <v>316</v>
      </c>
    </row>
    <row r="32153">
      <c r="A32153" s="17"/>
      <c r="H32153" s="18"/>
      <c r="K32153" s="18" t="s">
        <v>316</v>
      </c>
    </row>
    <row r="32154">
      <c r="A32154" s="17"/>
      <c r="H32154" s="18"/>
      <c r="K32154" s="18" t="s">
        <v>316</v>
      </c>
    </row>
    <row r="32155">
      <c r="A32155" s="17"/>
      <c r="H32155" s="18"/>
      <c r="K32155" s="18" t="s">
        <v>316</v>
      </c>
    </row>
    <row r="32156">
      <c r="A32156" s="17"/>
      <c r="H32156" s="18"/>
      <c r="K32156" s="18" t="s">
        <v>316</v>
      </c>
    </row>
    <row r="32157">
      <c r="A32157" s="17"/>
      <c r="H32157" s="18"/>
      <c r="K32157" s="18" t="s">
        <v>316</v>
      </c>
    </row>
    <row r="32158">
      <c r="A32158" s="17"/>
      <c r="H32158" s="18"/>
      <c r="K32158" s="18" t="s">
        <v>316</v>
      </c>
    </row>
    <row r="32159">
      <c r="A32159" s="17"/>
      <c r="H32159" s="18"/>
      <c r="K32159" s="18" t="s">
        <v>316</v>
      </c>
    </row>
    <row r="32160">
      <c r="A32160" s="17"/>
      <c r="H32160" s="18"/>
      <c r="K32160" s="18" t="s">
        <v>316</v>
      </c>
    </row>
    <row r="32161">
      <c r="A32161" s="17"/>
      <c r="H32161" s="18"/>
      <c r="K32161" s="18" t="s">
        <v>316</v>
      </c>
    </row>
    <row r="32162">
      <c r="A32162" s="17"/>
      <c r="H32162" s="18"/>
      <c r="K32162" s="18" t="s">
        <v>316</v>
      </c>
    </row>
    <row r="32163">
      <c r="A32163" s="17"/>
      <c r="H32163" s="18"/>
      <c r="K32163" s="18" t="s">
        <v>316</v>
      </c>
    </row>
    <row r="32164">
      <c r="A32164" s="17"/>
      <c r="H32164" s="18"/>
      <c r="K32164" s="18" t="s">
        <v>316</v>
      </c>
    </row>
    <row r="32165">
      <c r="A32165" s="17"/>
      <c r="H32165" s="18"/>
      <c r="K32165" s="18" t="s">
        <v>316</v>
      </c>
    </row>
    <row r="32166">
      <c r="A32166" s="17"/>
      <c r="H32166" s="18"/>
      <c r="K32166" s="18" t="s">
        <v>316</v>
      </c>
    </row>
    <row r="32167">
      <c r="A32167" s="17"/>
      <c r="H32167" s="18"/>
      <c r="K32167" s="18" t="s">
        <v>316</v>
      </c>
    </row>
    <row r="32168">
      <c r="A32168" s="17"/>
      <c r="H32168" s="18"/>
      <c r="K32168" s="18" t="s">
        <v>316</v>
      </c>
    </row>
    <row r="32169">
      <c r="A32169" s="17"/>
      <c r="H32169" s="18"/>
      <c r="K32169" s="18" t="s">
        <v>316</v>
      </c>
    </row>
    <row r="32170">
      <c r="A32170" s="17"/>
      <c r="H32170" s="18"/>
      <c r="K32170" s="18" t="s">
        <v>316</v>
      </c>
    </row>
    <row r="32171">
      <c r="A32171" s="17"/>
      <c r="H32171" s="18"/>
      <c r="K32171" s="18" t="s">
        <v>316</v>
      </c>
    </row>
    <row r="32172">
      <c r="A32172" s="17"/>
      <c r="H32172" s="18"/>
      <c r="K32172" s="18" t="s">
        <v>316</v>
      </c>
    </row>
    <row r="32173">
      <c r="A32173" s="17"/>
      <c r="H32173" s="18"/>
      <c r="K32173" s="18" t="s">
        <v>316</v>
      </c>
    </row>
    <row r="32174">
      <c r="A32174" s="17"/>
      <c r="H32174" s="18"/>
      <c r="K32174" s="18" t="s">
        <v>316</v>
      </c>
    </row>
    <row r="32175">
      <c r="A32175" s="17"/>
      <c r="H32175" s="18"/>
      <c r="K32175" s="18" t="s">
        <v>316</v>
      </c>
    </row>
    <row r="32176">
      <c r="A32176" s="17"/>
      <c r="H32176" s="18"/>
      <c r="K32176" s="18" t="s">
        <v>316</v>
      </c>
    </row>
    <row r="32177">
      <c r="A32177" s="17"/>
      <c r="H32177" s="18"/>
      <c r="K32177" s="18" t="s">
        <v>316</v>
      </c>
    </row>
    <row r="32178">
      <c r="A32178" s="17"/>
      <c r="H32178" s="18"/>
      <c r="K32178" s="18" t="s">
        <v>316</v>
      </c>
    </row>
    <row r="32179">
      <c r="A32179" s="17"/>
      <c r="H32179" s="18"/>
      <c r="K32179" s="18" t="s">
        <v>316</v>
      </c>
    </row>
    <row r="32180">
      <c r="A32180" s="17"/>
      <c r="H32180" s="18"/>
      <c r="K32180" s="18" t="s">
        <v>316</v>
      </c>
    </row>
    <row r="32181">
      <c r="A32181" s="17"/>
      <c r="H32181" s="18"/>
      <c r="K32181" s="18" t="s">
        <v>316</v>
      </c>
    </row>
    <row r="32182">
      <c r="A32182" s="17"/>
      <c r="H32182" s="18"/>
      <c r="K32182" s="18" t="s">
        <v>316</v>
      </c>
    </row>
    <row r="32183">
      <c r="A32183" s="17"/>
      <c r="H32183" s="18"/>
      <c r="K32183" s="18" t="s">
        <v>316</v>
      </c>
    </row>
    <row r="32184">
      <c r="A32184" s="17"/>
      <c r="H32184" s="18"/>
      <c r="K32184" s="18" t="s">
        <v>316</v>
      </c>
    </row>
    <row r="32185">
      <c r="A32185" s="17"/>
      <c r="H32185" s="18"/>
      <c r="K32185" s="18" t="s">
        <v>316</v>
      </c>
    </row>
    <row r="32186">
      <c r="A32186" s="17"/>
      <c r="H32186" s="18"/>
      <c r="K32186" s="18" t="s">
        <v>316</v>
      </c>
    </row>
    <row r="32187">
      <c r="A32187" s="17"/>
      <c r="H32187" s="18"/>
      <c r="K32187" s="18" t="s">
        <v>316</v>
      </c>
    </row>
    <row r="32188">
      <c r="A32188" s="17"/>
      <c r="H32188" s="18"/>
      <c r="K32188" s="18" t="s">
        <v>316</v>
      </c>
    </row>
    <row r="32189">
      <c r="A32189" s="17"/>
      <c r="H32189" s="18"/>
      <c r="K32189" s="18" t="s">
        <v>316</v>
      </c>
    </row>
    <row r="32190">
      <c r="A32190" s="17"/>
      <c r="H32190" s="18"/>
      <c r="K32190" s="18" t="s">
        <v>316</v>
      </c>
    </row>
    <row r="32191">
      <c r="A32191" s="17"/>
      <c r="H32191" s="18"/>
      <c r="K32191" s="18" t="s">
        <v>316</v>
      </c>
    </row>
    <row r="32192">
      <c r="A32192" s="17"/>
      <c r="H32192" s="18"/>
      <c r="K32192" s="18" t="s">
        <v>316</v>
      </c>
    </row>
    <row r="32193">
      <c r="A32193" s="17"/>
      <c r="H32193" s="18"/>
      <c r="K32193" s="18" t="s">
        <v>316</v>
      </c>
    </row>
    <row r="32194">
      <c r="A32194" s="17"/>
      <c r="H32194" s="18"/>
      <c r="K32194" s="18" t="s">
        <v>316</v>
      </c>
    </row>
    <row r="32195">
      <c r="A32195" s="17"/>
      <c r="H32195" s="18"/>
      <c r="K32195" s="18" t="s">
        <v>316</v>
      </c>
    </row>
    <row r="32196">
      <c r="A32196" s="17"/>
      <c r="H32196" s="18"/>
      <c r="K32196" s="18" t="s">
        <v>316</v>
      </c>
    </row>
    <row r="32197">
      <c r="A32197" s="17"/>
      <c r="H32197" s="18"/>
      <c r="K32197" s="18" t="s">
        <v>316</v>
      </c>
    </row>
    <row r="32198">
      <c r="A32198" s="17"/>
      <c r="H32198" s="18"/>
      <c r="K32198" s="18" t="s">
        <v>316</v>
      </c>
    </row>
    <row r="32199">
      <c r="A32199" s="17"/>
      <c r="H32199" s="18"/>
      <c r="K32199" s="18" t="s">
        <v>316</v>
      </c>
    </row>
    <row r="32200">
      <c r="A32200" s="17"/>
      <c r="H32200" s="18"/>
      <c r="K32200" s="18" t="s">
        <v>316</v>
      </c>
    </row>
    <row r="32201">
      <c r="A32201" s="17"/>
      <c r="H32201" s="18"/>
      <c r="K32201" s="18" t="s">
        <v>316</v>
      </c>
    </row>
    <row r="32202">
      <c r="A32202" s="17"/>
      <c r="H32202" s="18"/>
      <c r="K32202" s="18" t="s">
        <v>316</v>
      </c>
    </row>
    <row r="32203">
      <c r="A32203" s="17"/>
      <c r="H32203" s="18"/>
      <c r="K32203" s="18" t="s">
        <v>316</v>
      </c>
    </row>
    <row r="32204">
      <c r="A32204" s="17"/>
      <c r="H32204" s="18"/>
      <c r="K32204" s="18" t="s">
        <v>316</v>
      </c>
    </row>
    <row r="32205">
      <c r="A32205" s="17"/>
      <c r="H32205" s="18"/>
      <c r="K32205" s="18" t="s">
        <v>316</v>
      </c>
    </row>
    <row r="32206">
      <c r="A32206" s="17"/>
      <c r="H32206" s="18"/>
      <c r="K32206" s="18" t="s">
        <v>316</v>
      </c>
    </row>
    <row r="32207">
      <c r="A32207" s="17"/>
      <c r="H32207" s="18"/>
      <c r="K32207" s="18" t="s">
        <v>316</v>
      </c>
    </row>
    <row r="32208">
      <c r="A32208" s="17"/>
      <c r="H32208" s="18"/>
      <c r="K32208" s="18" t="s">
        <v>316</v>
      </c>
    </row>
    <row r="32209">
      <c r="A32209" s="17"/>
      <c r="H32209" s="18"/>
      <c r="K32209" s="18" t="s">
        <v>316</v>
      </c>
    </row>
    <row r="32210">
      <c r="A32210" s="17"/>
      <c r="H32210" s="18"/>
      <c r="K32210" s="18" t="s">
        <v>316</v>
      </c>
    </row>
    <row r="32211">
      <c r="A32211" s="17"/>
      <c r="H32211" s="18"/>
      <c r="K32211" s="18" t="s">
        <v>316</v>
      </c>
    </row>
    <row r="32212">
      <c r="A32212" s="17"/>
      <c r="H32212" s="18"/>
      <c r="K32212" s="18" t="s">
        <v>316</v>
      </c>
    </row>
    <row r="32213">
      <c r="A32213" s="17"/>
      <c r="H32213" s="18"/>
      <c r="K32213" s="18" t="s">
        <v>316</v>
      </c>
    </row>
    <row r="32214">
      <c r="A32214" s="17"/>
      <c r="H32214" s="18"/>
      <c r="K32214" s="18" t="s">
        <v>316</v>
      </c>
    </row>
    <row r="32215">
      <c r="A32215" s="17"/>
      <c r="H32215" s="18"/>
      <c r="K32215" s="18" t="s">
        <v>316</v>
      </c>
    </row>
    <row r="32216">
      <c r="A32216" s="17"/>
      <c r="H32216" s="18"/>
      <c r="K32216" s="18" t="s">
        <v>316</v>
      </c>
    </row>
    <row r="32217">
      <c r="A32217" s="17"/>
      <c r="H32217" s="18"/>
      <c r="K32217" s="18" t="s">
        <v>316</v>
      </c>
    </row>
    <row r="32218">
      <c r="A32218" s="17"/>
      <c r="H32218" s="18"/>
      <c r="K32218" s="18" t="s">
        <v>316</v>
      </c>
    </row>
    <row r="32219">
      <c r="A32219" s="17"/>
      <c r="H32219" s="18"/>
      <c r="K32219" s="18" t="s">
        <v>316</v>
      </c>
    </row>
    <row r="32220">
      <c r="A32220" s="17"/>
      <c r="H32220" s="18"/>
      <c r="K32220" s="18" t="s">
        <v>316</v>
      </c>
    </row>
    <row r="32221">
      <c r="A32221" s="17"/>
      <c r="H32221" s="18"/>
      <c r="K32221" s="18" t="s">
        <v>316</v>
      </c>
    </row>
    <row r="32222">
      <c r="A32222" s="17"/>
      <c r="H32222" s="18"/>
      <c r="K32222" s="18" t="s">
        <v>316</v>
      </c>
    </row>
    <row r="32223">
      <c r="A32223" s="17"/>
      <c r="H32223" s="18"/>
      <c r="K32223" s="18" t="s">
        <v>316</v>
      </c>
    </row>
    <row r="32224">
      <c r="A32224" s="17"/>
      <c r="H32224" s="18"/>
      <c r="K32224" s="18" t="s">
        <v>316</v>
      </c>
    </row>
    <row r="32225">
      <c r="A32225" s="17"/>
      <c r="H32225" s="18"/>
      <c r="K32225" s="18" t="s">
        <v>316</v>
      </c>
    </row>
    <row r="32226">
      <c r="A32226" s="17"/>
      <c r="H32226" s="18"/>
      <c r="K32226" s="18" t="s">
        <v>316</v>
      </c>
    </row>
    <row r="32227">
      <c r="A32227" s="17"/>
      <c r="H32227" s="18"/>
      <c r="K32227" s="18" t="s">
        <v>316</v>
      </c>
    </row>
    <row r="32228">
      <c r="A32228" s="17"/>
      <c r="H32228" s="18"/>
      <c r="K32228" s="18" t="s">
        <v>316</v>
      </c>
    </row>
    <row r="32229">
      <c r="A32229" s="17"/>
      <c r="H32229" s="18"/>
      <c r="K32229" s="18" t="s">
        <v>316</v>
      </c>
    </row>
    <row r="32230">
      <c r="A32230" s="17"/>
      <c r="H32230" s="18"/>
      <c r="K32230" s="18" t="s">
        <v>316</v>
      </c>
    </row>
    <row r="32231">
      <c r="A32231" s="17"/>
      <c r="H32231" s="18"/>
      <c r="K32231" s="18" t="s">
        <v>316</v>
      </c>
    </row>
    <row r="32232">
      <c r="A32232" s="17"/>
      <c r="H32232" s="18"/>
      <c r="K32232" s="18" t="s">
        <v>316</v>
      </c>
    </row>
    <row r="32233">
      <c r="A32233" s="17"/>
      <c r="H32233" s="18"/>
      <c r="K32233" s="18" t="s">
        <v>316</v>
      </c>
    </row>
    <row r="32234">
      <c r="A32234" s="17"/>
      <c r="H32234" s="18"/>
      <c r="K32234" s="18" t="s">
        <v>316</v>
      </c>
    </row>
    <row r="32235">
      <c r="A32235" s="17"/>
      <c r="H32235" s="18"/>
      <c r="K32235" s="18" t="s">
        <v>316</v>
      </c>
    </row>
    <row r="32236">
      <c r="A32236" s="17"/>
      <c r="H32236" s="18"/>
      <c r="K32236" s="18" t="s">
        <v>316</v>
      </c>
    </row>
    <row r="32237">
      <c r="A32237" s="17"/>
      <c r="H32237" s="18"/>
      <c r="K32237" s="18" t="s">
        <v>316</v>
      </c>
    </row>
    <row r="32238">
      <c r="A32238" s="17"/>
      <c r="H32238" s="18"/>
      <c r="K32238" s="18" t="s">
        <v>316</v>
      </c>
    </row>
    <row r="32239">
      <c r="A32239" s="17"/>
      <c r="H32239" s="18"/>
      <c r="K32239" s="18" t="s">
        <v>316</v>
      </c>
    </row>
    <row r="32240">
      <c r="A32240" s="17"/>
      <c r="H32240" s="18"/>
      <c r="K32240" s="18" t="s">
        <v>316</v>
      </c>
    </row>
    <row r="32241">
      <c r="A32241" s="17"/>
      <c r="H32241" s="18"/>
      <c r="K32241" s="18" t="s">
        <v>316</v>
      </c>
    </row>
    <row r="32242">
      <c r="A32242" s="17"/>
      <c r="H32242" s="18"/>
      <c r="K32242" s="18" t="s">
        <v>316</v>
      </c>
    </row>
    <row r="32243">
      <c r="A32243" s="17"/>
      <c r="H32243" s="18"/>
      <c r="K32243" s="18" t="s">
        <v>316</v>
      </c>
    </row>
    <row r="32244">
      <c r="A32244" s="17"/>
      <c r="H32244" s="18"/>
      <c r="K32244" s="18" t="s">
        <v>316</v>
      </c>
    </row>
    <row r="32245">
      <c r="A32245" s="17"/>
      <c r="H32245" s="18"/>
      <c r="K32245" s="18" t="s">
        <v>316</v>
      </c>
    </row>
    <row r="32246">
      <c r="A32246" s="17"/>
      <c r="H32246" s="18"/>
      <c r="K32246" s="18" t="s">
        <v>316</v>
      </c>
    </row>
    <row r="32247">
      <c r="A32247" s="17"/>
      <c r="H32247" s="18"/>
      <c r="K32247" s="18" t="s">
        <v>316</v>
      </c>
    </row>
    <row r="32248">
      <c r="A32248" s="17"/>
      <c r="H32248" s="18"/>
      <c r="K32248" s="18" t="s">
        <v>316</v>
      </c>
    </row>
    <row r="32249">
      <c r="A32249" s="17"/>
      <c r="H32249" s="18"/>
      <c r="K32249" s="18" t="s">
        <v>316</v>
      </c>
    </row>
    <row r="32250">
      <c r="A32250" s="17"/>
      <c r="H32250" s="18"/>
      <c r="K32250" s="18" t="s">
        <v>316</v>
      </c>
    </row>
    <row r="32251">
      <c r="A32251" s="17"/>
      <c r="H32251" s="18"/>
      <c r="K32251" s="18" t="s">
        <v>316</v>
      </c>
    </row>
    <row r="32252">
      <c r="A32252" s="17"/>
      <c r="H32252" s="18"/>
      <c r="K32252" s="18" t="s">
        <v>316</v>
      </c>
    </row>
    <row r="32253">
      <c r="A32253" s="17"/>
      <c r="H32253" s="18"/>
      <c r="K32253" s="18" t="s">
        <v>316</v>
      </c>
    </row>
    <row r="32254">
      <c r="A32254" s="17"/>
      <c r="H32254" s="18"/>
      <c r="K32254" s="18" t="s">
        <v>316</v>
      </c>
    </row>
    <row r="32255">
      <c r="A32255" s="17"/>
      <c r="H32255" s="18"/>
      <c r="K32255" s="18" t="s">
        <v>316</v>
      </c>
    </row>
    <row r="32256">
      <c r="A32256" s="17"/>
      <c r="H32256" s="18"/>
      <c r="K32256" s="18" t="s">
        <v>316</v>
      </c>
    </row>
    <row r="32257">
      <c r="A32257" s="17"/>
      <c r="H32257" s="18"/>
      <c r="K32257" s="18" t="s">
        <v>316</v>
      </c>
    </row>
    <row r="32258">
      <c r="A32258" s="17"/>
      <c r="H32258" s="18"/>
      <c r="K32258" s="18" t="s">
        <v>316</v>
      </c>
    </row>
    <row r="32259">
      <c r="A32259" s="17"/>
      <c r="H32259" s="18"/>
      <c r="K32259" s="18" t="s">
        <v>316</v>
      </c>
    </row>
    <row r="32260">
      <c r="A32260" s="17"/>
      <c r="H32260" s="18"/>
      <c r="K32260" s="18" t="s">
        <v>316</v>
      </c>
    </row>
    <row r="32261">
      <c r="A32261" s="17"/>
      <c r="H32261" s="18"/>
      <c r="K32261" s="18" t="s">
        <v>316</v>
      </c>
    </row>
    <row r="32262">
      <c r="A32262" s="17"/>
      <c r="H32262" s="18"/>
      <c r="K32262" s="18" t="s">
        <v>316</v>
      </c>
    </row>
    <row r="32263">
      <c r="A32263" s="17"/>
      <c r="H32263" s="18"/>
      <c r="K32263" s="18" t="s">
        <v>316</v>
      </c>
    </row>
    <row r="32264">
      <c r="A32264" s="17"/>
      <c r="H32264" s="18"/>
      <c r="K32264" s="18" t="s">
        <v>316</v>
      </c>
    </row>
    <row r="32265">
      <c r="A32265" s="17"/>
      <c r="H32265" s="18"/>
      <c r="K32265" s="18" t="s">
        <v>316</v>
      </c>
    </row>
    <row r="32266">
      <c r="A32266" s="17"/>
      <c r="H32266" s="18"/>
      <c r="K32266" s="18" t="s">
        <v>316</v>
      </c>
    </row>
    <row r="32267">
      <c r="A32267" s="17"/>
      <c r="H32267" s="18"/>
      <c r="K32267" s="18" t="s">
        <v>316</v>
      </c>
    </row>
    <row r="32268">
      <c r="A32268" s="17"/>
      <c r="H32268" s="18"/>
      <c r="K32268" s="18" t="s">
        <v>316</v>
      </c>
    </row>
    <row r="32269">
      <c r="A32269" s="17"/>
      <c r="H32269" s="18"/>
      <c r="K32269" s="18" t="s">
        <v>316</v>
      </c>
    </row>
    <row r="32270">
      <c r="A32270" s="17"/>
      <c r="H32270" s="18"/>
      <c r="K32270" s="18" t="s">
        <v>316</v>
      </c>
    </row>
    <row r="32271">
      <c r="A32271" s="17"/>
      <c r="H32271" s="18"/>
      <c r="K32271" s="18" t="s">
        <v>316</v>
      </c>
    </row>
    <row r="32272">
      <c r="A32272" s="17"/>
      <c r="H32272" s="18"/>
      <c r="K32272" s="18" t="s">
        <v>316</v>
      </c>
    </row>
    <row r="32273">
      <c r="A32273" s="17"/>
      <c r="H32273" s="18"/>
      <c r="K32273" s="18" t="s">
        <v>316</v>
      </c>
    </row>
    <row r="32274">
      <c r="A32274" s="17"/>
      <c r="H32274" s="18"/>
      <c r="K32274" s="18" t="s">
        <v>316</v>
      </c>
    </row>
    <row r="32275">
      <c r="A32275" s="17"/>
      <c r="H32275" s="18"/>
      <c r="K32275" s="18" t="s">
        <v>316</v>
      </c>
    </row>
    <row r="32276">
      <c r="A32276" s="17"/>
      <c r="H32276" s="18"/>
      <c r="K32276" s="18" t="s">
        <v>316</v>
      </c>
    </row>
    <row r="32277">
      <c r="A32277" s="17"/>
      <c r="H32277" s="18"/>
      <c r="K32277" s="18" t="s">
        <v>316</v>
      </c>
    </row>
    <row r="32278">
      <c r="A32278" s="17"/>
      <c r="H32278" s="18"/>
      <c r="K32278" s="18" t="s">
        <v>316</v>
      </c>
    </row>
    <row r="32279">
      <c r="A32279" s="17"/>
      <c r="H32279" s="18"/>
      <c r="K32279" s="18" t="s">
        <v>316</v>
      </c>
    </row>
    <row r="32280">
      <c r="A32280" s="17"/>
      <c r="H32280" s="18"/>
      <c r="K32280" s="18" t="s">
        <v>316</v>
      </c>
    </row>
    <row r="32281">
      <c r="A32281" s="17"/>
      <c r="H32281" s="18"/>
      <c r="K32281" s="18" t="s">
        <v>316</v>
      </c>
    </row>
    <row r="32282">
      <c r="A32282" s="17"/>
      <c r="H32282" s="18"/>
      <c r="K32282" s="18" t="s">
        <v>316</v>
      </c>
    </row>
    <row r="32283">
      <c r="A32283" s="17"/>
      <c r="H32283" s="18"/>
      <c r="K32283" s="18" t="s">
        <v>316</v>
      </c>
    </row>
    <row r="32284">
      <c r="A32284" s="17"/>
      <c r="H32284" s="18"/>
      <c r="K32284" s="18" t="s">
        <v>316</v>
      </c>
    </row>
    <row r="32285">
      <c r="A32285" s="17"/>
      <c r="H32285" s="18"/>
      <c r="K32285" s="18" t="s">
        <v>316</v>
      </c>
    </row>
    <row r="32286">
      <c r="A32286" s="17"/>
      <c r="H32286" s="18"/>
      <c r="K32286" s="18" t="s">
        <v>316</v>
      </c>
    </row>
    <row r="32287">
      <c r="A32287" s="17"/>
      <c r="H32287" s="18"/>
      <c r="K32287" s="18" t="s">
        <v>316</v>
      </c>
    </row>
    <row r="32288">
      <c r="A32288" s="17"/>
      <c r="H32288" s="18"/>
      <c r="K32288" s="18" t="s">
        <v>316</v>
      </c>
    </row>
    <row r="32289">
      <c r="A32289" s="17"/>
      <c r="H32289" s="18"/>
      <c r="K32289" s="18" t="s">
        <v>316</v>
      </c>
    </row>
    <row r="32290">
      <c r="A32290" s="17"/>
      <c r="H32290" s="18"/>
      <c r="K32290" s="18" t="s">
        <v>316</v>
      </c>
    </row>
    <row r="32291">
      <c r="A32291" s="17"/>
      <c r="H32291" s="18"/>
      <c r="K32291" s="18" t="s">
        <v>316</v>
      </c>
    </row>
    <row r="32292">
      <c r="A32292" s="17"/>
      <c r="H32292" s="18"/>
      <c r="K32292" s="18" t="s">
        <v>316</v>
      </c>
    </row>
    <row r="32293">
      <c r="A32293" s="17"/>
      <c r="H32293" s="18"/>
      <c r="K32293" s="18" t="s">
        <v>316</v>
      </c>
    </row>
    <row r="32294">
      <c r="A32294" s="17"/>
      <c r="H32294" s="18"/>
      <c r="K32294" s="18" t="s">
        <v>316</v>
      </c>
    </row>
    <row r="32295">
      <c r="A32295" s="17"/>
      <c r="H32295" s="18"/>
      <c r="K32295" s="18" t="s">
        <v>316</v>
      </c>
    </row>
    <row r="32296">
      <c r="A32296" s="17"/>
      <c r="H32296" s="18"/>
      <c r="K32296" s="18" t="s">
        <v>316</v>
      </c>
    </row>
    <row r="32297">
      <c r="A32297" s="17"/>
      <c r="H32297" s="18"/>
      <c r="K32297" s="18" t="s">
        <v>316</v>
      </c>
    </row>
    <row r="32298">
      <c r="A32298" s="17"/>
      <c r="H32298" s="18"/>
      <c r="K32298" s="18" t="s">
        <v>316</v>
      </c>
    </row>
    <row r="32299">
      <c r="A32299" s="17"/>
      <c r="H32299" s="18"/>
      <c r="K32299" s="18" t="s">
        <v>316</v>
      </c>
    </row>
    <row r="32300">
      <c r="A32300" s="17"/>
      <c r="H32300" s="18"/>
      <c r="K32300" s="18" t="s">
        <v>316</v>
      </c>
    </row>
    <row r="32301">
      <c r="A32301" s="17"/>
      <c r="H32301" s="18"/>
      <c r="K32301" s="18" t="s">
        <v>316</v>
      </c>
    </row>
    <row r="32302">
      <c r="A32302" s="17"/>
      <c r="H32302" s="18"/>
      <c r="K32302" s="18" t="s">
        <v>316</v>
      </c>
    </row>
    <row r="32303">
      <c r="A32303" s="17"/>
      <c r="H32303" s="18"/>
      <c r="K32303" s="18" t="s">
        <v>316</v>
      </c>
    </row>
    <row r="32304">
      <c r="A32304" s="17"/>
      <c r="H32304" s="18"/>
      <c r="K32304" s="18" t="s">
        <v>316</v>
      </c>
    </row>
    <row r="32305">
      <c r="A32305" s="17"/>
      <c r="H32305" s="18"/>
      <c r="K32305" s="18" t="s">
        <v>316</v>
      </c>
    </row>
    <row r="32306">
      <c r="A32306" s="17"/>
      <c r="H32306" s="18"/>
      <c r="K32306" s="18" t="s">
        <v>316</v>
      </c>
    </row>
    <row r="32307">
      <c r="A32307" s="17"/>
      <c r="H32307" s="18"/>
      <c r="K32307" s="18" t="s">
        <v>316</v>
      </c>
    </row>
    <row r="32308">
      <c r="A32308" s="17"/>
      <c r="H32308" s="18"/>
      <c r="K32308" s="18" t="s">
        <v>316</v>
      </c>
    </row>
    <row r="32309">
      <c r="A32309" s="17"/>
      <c r="H32309" s="18"/>
      <c r="K32309" s="18" t="s">
        <v>316</v>
      </c>
    </row>
    <row r="32310">
      <c r="A32310" s="17"/>
      <c r="H32310" s="18"/>
      <c r="K32310" s="18" t="s">
        <v>316</v>
      </c>
    </row>
    <row r="32311">
      <c r="A32311" s="17"/>
      <c r="H32311" s="18"/>
      <c r="K32311" s="18" t="s">
        <v>316</v>
      </c>
    </row>
    <row r="32312">
      <c r="A32312" s="17"/>
      <c r="H32312" s="18"/>
      <c r="K32312" s="18" t="s">
        <v>316</v>
      </c>
    </row>
    <row r="32313">
      <c r="A32313" s="17"/>
      <c r="H32313" s="18"/>
      <c r="K32313" s="18" t="s">
        <v>316</v>
      </c>
    </row>
    <row r="32314">
      <c r="A32314" s="17"/>
      <c r="H32314" s="18"/>
      <c r="K32314" s="18" t="s">
        <v>316</v>
      </c>
    </row>
    <row r="32315">
      <c r="A32315" s="17"/>
      <c r="H32315" s="18"/>
      <c r="K32315" s="18" t="s">
        <v>316</v>
      </c>
    </row>
    <row r="32316">
      <c r="A32316" s="17"/>
      <c r="H32316" s="18"/>
      <c r="K32316" s="18" t="s">
        <v>316</v>
      </c>
    </row>
    <row r="32317">
      <c r="A32317" s="17"/>
      <c r="H32317" s="18"/>
      <c r="K32317" s="18" t="s">
        <v>316</v>
      </c>
    </row>
    <row r="32318">
      <c r="A32318" s="17"/>
      <c r="H32318" s="18"/>
      <c r="K32318" s="18" t="s">
        <v>316</v>
      </c>
    </row>
    <row r="32319">
      <c r="A32319" s="17"/>
      <c r="H32319" s="18"/>
      <c r="K32319" s="18" t="s">
        <v>316</v>
      </c>
    </row>
    <row r="32320">
      <c r="A32320" s="17"/>
      <c r="H32320" s="18"/>
      <c r="K32320" s="18" t="s">
        <v>316</v>
      </c>
    </row>
    <row r="32321">
      <c r="A32321" s="17"/>
      <c r="H32321" s="18"/>
      <c r="K32321" s="18" t="s">
        <v>316</v>
      </c>
    </row>
    <row r="32322">
      <c r="A32322" s="17"/>
      <c r="H32322" s="18"/>
      <c r="K32322" s="18" t="s">
        <v>316</v>
      </c>
    </row>
    <row r="32323">
      <c r="A32323" s="17"/>
      <c r="H32323" s="18"/>
      <c r="K32323" s="18" t="s">
        <v>316</v>
      </c>
    </row>
    <row r="32324">
      <c r="A32324" s="17"/>
      <c r="H32324" s="18"/>
      <c r="K32324" s="18" t="s">
        <v>316</v>
      </c>
    </row>
    <row r="32325">
      <c r="A32325" s="17"/>
      <c r="H32325" s="18"/>
      <c r="K32325" s="18" t="s">
        <v>316</v>
      </c>
    </row>
    <row r="32326">
      <c r="A32326" s="17"/>
      <c r="H32326" s="18"/>
      <c r="K32326" s="18" t="s">
        <v>316</v>
      </c>
    </row>
    <row r="32327">
      <c r="A32327" s="17"/>
      <c r="H32327" s="18"/>
      <c r="K32327" s="18" t="s">
        <v>316</v>
      </c>
    </row>
    <row r="32328">
      <c r="A32328" s="17"/>
      <c r="H32328" s="18"/>
      <c r="K32328" s="18" t="s">
        <v>316</v>
      </c>
    </row>
    <row r="32329">
      <c r="A32329" s="17"/>
      <c r="H32329" s="18"/>
      <c r="K32329" s="18" t="s">
        <v>316</v>
      </c>
    </row>
    <row r="32330">
      <c r="A32330" s="17"/>
      <c r="H32330" s="18"/>
      <c r="K32330" s="18" t="s">
        <v>316</v>
      </c>
    </row>
    <row r="32331">
      <c r="A32331" s="17"/>
      <c r="H32331" s="18"/>
      <c r="K32331" s="18" t="s">
        <v>316</v>
      </c>
    </row>
    <row r="32332">
      <c r="A32332" s="17"/>
      <c r="H32332" s="18"/>
      <c r="K32332" s="18" t="s">
        <v>316</v>
      </c>
    </row>
    <row r="32333">
      <c r="A32333" s="17"/>
      <c r="H32333" s="18"/>
      <c r="K32333" s="18" t="s">
        <v>316</v>
      </c>
    </row>
    <row r="32334">
      <c r="A32334" s="17"/>
      <c r="H32334" s="18"/>
      <c r="K32334" s="18" t="s">
        <v>316</v>
      </c>
    </row>
    <row r="32335">
      <c r="A32335" s="17"/>
      <c r="H32335" s="18"/>
      <c r="K32335" s="18" t="s">
        <v>316</v>
      </c>
    </row>
    <row r="32336">
      <c r="A32336" s="17"/>
      <c r="H32336" s="18"/>
      <c r="K32336" s="18" t="s">
        <v>316</v>
      </c>
    </row>
    <row r="32337">
      <c r="A32337" s="17"/>
      <c r="H32337" s="18"/>
      <c r="K32337" s="18" t="s">
        <v>316</v>
      </c>
    </row>
    <row r="32338">
      <c r="A32338" s="17"/>
      <c r="H32338" s="18"/>
      <c r="K32338" s="18" t="s">
        <v>316</v>
      </c>
    </row>
    <row r="32339">
      <c r="A32339" s="17"/>
      <c r="H32339" s="18"/>
      <c r="K32339" s="18" t="s">
        <v>316</v>
      </c>
    </row>
    <row r="32340">
      <c r="A32340" s="17"/>
      <c r="H32340" s="18"/>
      <c r="K32340" s="18" t="s">
        <v>316</v>
      </c>
    </row>
    <row r="32341">
      <c r="A32341" s="17"/>
      <c r="H32341" s="18"/>
      <c r="K32341" s="18" t="s">
        <v>316</v>
      </c>
    </row>
    <row r="32342">
      <c r="A32342" s="17"/>
      <c r="H32342" s="18"/>
      <c r="K32342" s="18" t="s">
        <v>316</v>
      </c>
    </row>
    <row r="32343">
      <c r="A32343" s="17"/>
      <c r="H32343" s="18"/>
      <c r="K32343" s="18" t="s">
        <v>316</v>
      </c>
    </row>
    <row r="32344">
      <c r="A32344" s="17"/>
      <c r="H32344" s="18"/>
      <c r="K32344" s="18" t="s">
        <v>316</v>
      </c>
    </row>
    <row r="32345">
      <c r="A32345" s="17"/>
      <c r="H32345" s="18"/>
      <c r="K32345" s="18" t="s">
        <v>316</v>
      </c>
    </row>
    <row r="32346">
      <c r="A32346" s="17"/>
      <c r="H32346" s="18"/>
      <c r="K32346" s="18" t="s">
        <v>316</v>
      </c>
    </row>
    <row r="32347">
      <c r="A32347" s="17"/>
      <c r="H32347" s="18"/>
      <c r="K32347" s="18" t="s">
        <v>316</v>
      </c>
    </row>
    <row r="32348">
      <c r="A32348" s="17"/>
      <c r="H32348" s="18"/>
      <c r="K32348" s="18" t="s">
        <v>316</v>
      </c>
    </row>
    <row r="32349">
      <c r="A32349" s="17"/>
      <c r="H32349" s="18"/>
      <c r="K32349" s="18" t="s">
        <v>316</v>
      </c>
    </row>
    <row r="32350">
      <c r="A32350" s="17"/>
      <c r="H32350" s="18"/>
      <c r="K32350" s="18" t="s">
        <v>316</v>
      </c>
    </row>
    <row r="32351">
      <c r="A32351" s="17"/>
      <c r="H32351" s="18"/>
      <c r="K32351" s="18" t="s">
        <v>316</v>
      </c>
    </row>
    <row r="32352">
      <c r="A32352" s="17"/>
      <c r="H32352" s="18"/>
      <c r="K32352" s="18" t="s">
        <v>316</v>
      </c>
    </row>
    <row r="32353">
      <c r="A32353" s="17"/>
      <c r="H32353" s="18"/>
      <c r="K32353" s="18" t="s">
        <v>316</v>
      </c>
    </row>
    <row r="32354">
      <c r="A32354" s="17"/>
      <c r="H32354" s="18"/>
      <c r="K32354" s="18" t="s">
        <v>316</v>
      </c>
    </row>
    <row r="32355">
      <c r="A32355" s="17"/>
      <c r="H32355" s="18"/>
      <c r="K32355" s="18" t="s">
        <v>316</v>
      </c>
    </row>
    <row r="32356">
      <c r="A32356" s="17"/>
      <c r="H32356" s="18"/>
      <c r="K32356" s="18" t="s">
        <v>316</v>
      </c>
    </row>
    <row r="32357">
      <c r="A32357" s="17"/>
      <c r="H32357" s="18"/>
      <c r="K32357" s="18" t="s">
        <v>316</v>
      </c>
    </row>
    <row r="32358">
      <c r="A32358" s="17"/>
      <c r="H32358" s="18"/>
      <c r="K32358" s="18" t="s">
        <v>316</v>
      </c>
    </row>
    <row r="32359">
      <c r="A32359" s="17"/>
      <c r="H32359" s="18"/>
      <c r="K32359" s="18" t="s">
        <v>316</v>
      </c>
    </row>
    <row r="32360">
      <c r="A32360" s="17"/>
      <c r="H32360" s="18"/>
      <c r="K32360" s="18" t="s">
        <v>316</v>
      </c>
    </row>
    <row r="32361">
      <c r="A32361" s="17"/>
      <c r="H32361" s="18"/>
      <c r="K32361" s="18" t="s">
        <v>316</v>
      </c>
    </row>
    <row r="32362">
      <c r="A32362" s="17"/>
      <c r="H32362" s="18"/>
      <c r="K32362" s="18" t="s">
        <v>316</v>
      </c>
    </row>
    <row r="32363">
      <c r="A32363" s="17"/>
      <c r="H32363" s="18"/>
      <c r="K32363" s="18" t="s">
        <v>316</v>
      </c>
    </row>
    <row r="32364">
      <c r="A32364" s="17"/>
      <c r="H32364" s="18"/>
      <c r="K32364" s="18" t="s">
        <v>316</v>
      </c>
    </row>
    <row r="32365">
      <c r="A32365" s="17"/>
      <c r="H32365" s="18"/>
      <c r="K32365" s="18" t="s">
        <v>316</v>
      </c>
    </row>
    <row r="32366">
      <c r="A32366" s="17"/>
      <c r="H32366" s="18"/>
      <c r="K32366" s="18" t="s">
        <v>316</v>
      </c>
    </row>
    <row r="32367">
      <c r="A32367" s="17"/>
      <c r="H32367" s="18"/>
      <c r="K32367" s="18" t="s">
        <v>316</v>
      </c>
    </row>
    <row r="32368">
      <c r="A32368" s="17"/>
      <c r="H32368" s="18"/>
      <c r="K32368" s="18" t="s">
        <v>316</v>
      </c>
    </row>
    <row r="32369">
      <c r="A32369" s="17"/>
      <c r="H32369" s="18"/>
      <c r="K32369" s="18" t="s">
        <v>316</v>
      </c>
    </row>
    <row r="32370">
      <c r="A32370" s="17"/>
      <c r="H32370" s="18"/>
      <c r="K32370" s="18" t="s">
        <v>316</v>
      </c>
    </row>
    <row r="32371">
      <c r="A32371" s="17"/>
      <c r="H32371" s="18"/>
      <c r="K32371" s="18" t="s">
        <v>316</v>
      </c>
    </row>
    <row r="32372">
      <c r="A32372" s="17"/>
      <c r="H32372" s="18"/>
      <c r="K32372" s="18" t="s">
        <v>316</v>
      </c>
    </row>
    <row r="32373">
      <c r="A32373" s="17"/>
      <c r="H32373" s="18"/>
      <c r="K32373" s="18" t="s">
        <v>316</v>
      </c>
    </row>
    <row r="32374">
      <c r="A32374" s="17"/>
      <c r="H32374" s="18"/>
      <c r="K32374" s="18" t="s">
        <v>316</v>
      </c>
    </row>
    <row r="32375">
      <c r="A32375" s="17"/>
      <c r="H32375" s="18"/>
      <c r="K32375" s="18" t="s">
        <v>316</v>
      </c>
    </row>
    <row r="32376">
      <c r="A32376" s="17"/>
      <c r="H32376" s="18"/>
      <c r="K32376" s="18" t="s">
        <v>316</v>
      </c>
    </row>
    <row r="32377">
      <c r="A32377" s="17"/>
      <c r="H32377" s="18"/>
      <c r="K32377" s="18" t="s">
        <v>316</v>
      </c>
    </row>
    <row r="32378">
      <c r="A32378" s="17"/>
      <c r="H32378" s="18"/>
      <c r="K32378" s="18" t="s">
        <v>316</v>
      </c>
    </row>
    <row r="32379">
      <c r="A32379" s="17"/>
      <c r="H32379" s="18"/>
      <c r="K32379" s="18" t="s">
        <v>316</v>
      </c>
    </row>
    <row r="32380">
      <c r="A32380" s="17"/>
      <c r="H32380" s="18"/>
      <c r="K32380" s="18" t="s">
        <v>316</v>
      </c>
    </row>
    <row r="32381">
      <c r="A32381" s="17"/>
      <c r="H32381" s="18"/>
      <c r="K32381" s="18" t="s">
        <v>316</v>
      </c>
    </row>
    <row r="32382">
      <c r="A32382" s="17"/>
      <c r="H32382" s="18"/>
      <c r="K32382" s="18" t="s">
        <v>316</v>
      </c>
    </row>
    <row r="32383">
      <c r="A32383" s="17"/>
      <c r="H32383" s="18"/>
      <c r="K32383" s="18" t="s">
        <v>316</v>
      </c>
    </row>
    <row r="32384">
      <c r="A32384" s="17"/>
      <c r="H32384" s="18"/>
      <c r="K32384" s="18" t="s">
        <v>316</v>
      </c>
    </row>
    <row r="32385">
      <c r="A32385" s="17"/>
      <c r="H32385" s="18"/>
      <c r="K32385" s="18" t="s">
        <v>316</v>
      </c>
    </row>
    <row r="32386">
      <c r="A32386" s="17"/>
      <c r="H32386" s="18"/>
      <c r="K32386" s="18" t="s">
        <v>316</v>
      </c>
    </row>
    <row r="32387">
      <c r="A32387" s="17"/>
      <c r="H32387" s="18"/>
      <c r="K32387" s="18" t="s">
        <v>316</v>
      </c>
    </row>
    <row r="32388">
      <c r="A32388" s="17"/>
      <c r="H32388" s="18"/>
      <c r="K32388" s="18" t="s">
        <v>316</v>
      </c>
    </row>
    <row r="32389">
      <c r="A32389" s="17"/>
      <c r="H32389" s="18"/>
      <c r="K32389" s="18" t="s">
        <v>316</v>
      </c>
    </row>
    <row r="32390">
      <c r="A32390" s="17"/>
      <c r="H32390" s="18"/>
      <c r="K32390" s="18" t="s">
        <v>316</v>
      </c>
    </row>
    <row r="32391">
      <c r="A32391" s="17"/>
      <c r="H32391" s="18"/>
      <c r="K32391" s="18" t="s">
        <v>316</v>
      </c>
    </row>
    <row r="32392">
      <c r="A32392" s="17"/>
      <c r="H32392" s="18"/>
      <c r="K32392" s="18" t="s">
        <v>316</v>
      </c>
    </row>
    <row r="32393">
      <c r="A32393" s="17"/>
      <c r="H32393" s="18"/>
      <c r="K32393" s="18" t="s">
        <v>316</v>
      </c>
    </row>
    <row r="32394">
      <c r="A32394" s="17"/>
      <c r="H32394" s="18"/>
      <c r="K32394" s="18" t="s">
        <v>316</v>
      </c>
    </row>
    <row r="32395">
      <c r="A32395" s="17"/>
      <c r="H32395" s="18"/>
      <c r="K32395" s="18" t="s">
        <v>316</v>
      </c>
    </row>
    <row r="32396">
      <c r="A32396" s="17"/>
      <c r="H32396" s="18"/>
      <c r="K32396" s="18" t="s">
        <v>316</v>
      </c>
    </row>
    <row r="32397">
      <c r="A32397" s="17"/>
      <c r="H32397" s="18"/>
      <c r="K32397" s="18" t="s">
        <v>316</v>
      </c>
    </row>
    <row r="32398">
      <c r="A32398" s="17"/>
      <c r="H32398" s="18"/>
      <c r="K32398" s="18" t="s">
        <v>316</v>
      </c>
    </row>
    <row r="32399">
      <c r="A32399" s="17"/>
      <c r="H32399" s="18"/>
      <c r="K32399" s="18" t="s">
        <v>316</v>
      </c>
    </row>
    <row r="32400">
      <c r="A32400" s="17"/>
      <c r="H32400" s="18"/>
      <c r="K32400" s="18" t="s">
        <v>316</v>
      </c>
    </row>
    <row r="32401">
      <c r="A32401" s="17"/>
      <c r="H32401" s="18"/>
      <c r="K32401" s="18" t="s">
        <v>316</v>
      </c>
    </row>
    <row r="32402">
      <c r="A32402" s="17"/>
      <c r="H32402" s="18"/>
      <c r="K32402" s="18" t="s">
        <v>316</v>
      </c>
    </row>
    <row r="32403">
      <c r="A32403" s="17"/>
      <c r="H32403" s="18"/>
      <c r="K32403" s="18" t="s">
        <v>316</v>
      </c>
    </row>
    <row r="32404">
      <c r="A32404" s="17"/>
      <c r="H32404" s="18"/>
      <c r="K32404" s="18" t="s">
        <v>316</v>
      </c>
    </row>
    <row r="32405">
      <c r="A32405" s="17"/>
      <c r="H32405" s="18"/>
      <c r="K32405" s="18" t="s">
        <v>316</v>
      </c>
    </row>
    <row r="32406">
      <c r="A32406" s="17"/>
      <c r="H32406" s="18"/>
      <c r="K32406" s="18" t="s">
        <v>316</v>
      </c>
    </row>
    <row r="32407">
      <c r="A32407" s="17"/>
      <c r="H32407" s="18"/>
      <c r="K32407" s="18" t="s">
        <v>316</v>
      </c>
    </row>
    <row r="32408">
      <c r="A32408" s="17"/>
      <c r="H32408" s="18"/>
      <c r="K32408" s="18" t="s">
        <v>316</v>
      </c>
    </row>
    <row r="32409">
      <c r="A32409" s="17"/>
      <c r="H32409" s="18"/>
      <c r="K32409" s="18" t="s">
        <v>316</v>
      </c>
    </row>
    <row r="32410">
      <c r="A32410" s="17"/>
      <c r="H32410" s="18"/>
      <c r="K32410" s="18" t="s">
        <v>316</v>
      </c>
    </row>
    <row r="32411">
      <c r="A32411" s="17"/>
      <c r="H32411" s="18"/>
      <c r="K32411" s="18" t="s">
        <v>316</v>
      </c>
    </row>
    <row r="32412">
      <c r="A32412" s="17"/>
      <c r="H32412" s="18"/>
      <c r="K32412" s="18" t="s">
        <v>316</v>
      </c>
    </row>
    <row r="32413">
      <c r="A32413" s="17"/>
      <c r="H32413" s="18"/>
      <c r="K32413" s="18" t="s">
        <v>316</v>
      </c>
    </row>
    <row r="32414">
      <c r="A32414" s="17"/>
      <c r="H32414" s="18"/>
      <c r="K32414" s="18" t="s">
        <v>316</v>
      </c>
    </row>
    <row r="32415">
      <c r="A32415" s="17"/>
      <c r="H32415" s="18"/>
      <c r="K32415" s="18" t="s">
        <v>316</v>
      </c>
    </row>
    <row r="32416">
      <c r="A32416" s="17"/>
      <c r="H32416" s="18"/>
      <c r="K32416" s="18" t="s">
        <v>316</v>
      </c>
    </row>
    <row r="32417">
      <c r="A32417" s="17"/>
      <c r="H32417" s="18"/>
      <c r="K32417" s="18" t="s">
        <v>316</v>
      </c>
    </row>
    <row r="32418">
      <c r="A32418" s="17"/>
      <c r="H32418" s="18"/>
      <c r="K32418" s="18" t="s">
        <v>316</v>
      </c>
    </row>
    <row r="32419">
      <c r="A32419" s="17"/>
      <c r="H32419" s="18"/>
      <c r="K32419" s="18" t="s">
        <v>316</v>
      </c>
    </row>
    <row r="32420">
      <c r="A32420" s="17"/>
      <c r="H32420" s="18"/>
      <c r="K32420" s="18" t="s">
        <v>316</v>
      </c>
    </row>
    <row r="32421">
      <c r="A32421" s="17"/>
      <c r="H32421" s="18"/>
      <c r="K32421" s="18" t="s">
        <v>316</v>
      </c>
    </row>
    <row r="32422">
      <c r="A32422" s="17"/>
      <c r="H32422" s="18"/>
      <c r="K32422" s="18" t="s">
        <v>316</v>
      </c>
    </row>
    <row r="32423">
      <c r="A32423" s="17"/>
      <c r="H32423" s="18"/>
      <c r="K32423" s="18" t="s">
        <v>316</v>
      </c>
    </row>
    <row r="32424">
      <c r="A32424" s="17"/>
      <c r="H32424" s="18"/>
      <c r="K32424" s="18" t="s">
        <v>316</v>
      </c>
    </row>
    <row r="32425">
      <c r="A32425" s="17"/>
      <c r="H32425" s="18"/>
      <c r="K32425" s="18" t="s">
        <v>316</v>
      </c>
    </row>
    <row r="32426">
      <c r="A32426" s="17"/>
      <c r="H32426" s="18"/>
      <c r="K32426" s="18" t="s">
        <v>316</v>
      </c>
    </row>
    <row r="32427">
      <c r="A32427" s="17"/>
      <c r="H32427" s="18"/>
      <c r="K32427" s="18" t="s">
        <v>316</v>
      </c>
    </row>
    <row r="32428">
      <c r="A32428" s="17"/>
      <c r="H32428" s="18"/>
      <c r="K32428" s="18" t="s">
        <v>316</v>
      </c>
    </row>
    <row r="32429">
      <c r="A32429" s="17"/>
      <c r="H32429" s="18"/>
      <c r="K32429" s="18" t="s">
        <v>316</v>
      </c>
    </row>
    <row r="32430">
      <c r="A32430" s="17"/>
      <c r="H32430" s="18"/>
      <c r="K32430" s="18" t="s">
        <v>316</v>
      </c>
    </row>
    <row r="32431">
      <c r="A32431" s="17"/>
      <c r="H32431" s="18"/>
      <c r="K32431" s="18" t="s">
        <v>316</v>
      </c>
    </row>
    <row r="32432">
      <c r="A32432" s="17"/>
      <c r="H32432" s="18"/>
      <c r="K32432" s="18" t="s">
        <v>316</v>
      </c>
    </row>
    <row r="32433">
      <c r="A32433" s="17"/>
      <c r="H32433" s="18"/>
      <c r="K32433" s="18" t="s">
        <v>316</v>
      </c>
    </row>
    <row r="32434">
      <c r="A32434" s="17"/>
      <c r="H32434" s="18"/>
      <c r="K32434" s="18" t="s">
        <v>316</v>
      </c>
    </row>
    <row r="32435">
      <c r="A32435" s="17"/>
      <c r="H32435" s="18"/>
      <c r="K32435" s="18" t="s">
        <v>316</v>
      </c>
    </row>
    <row r="32436">
      <c r="A32436" s="17"/>
      <c r="H32436" s="18"/>
      <c r="K32436" s="18" t="s">
        <v>316</v>
      </c>
    </row>
    <row r="32437">
      <c r="A32437" s="17"/>
      <c r="H32437" s="18"/>
      <c r="K32437" s="18" t="s">
        <v>316</v>
      </c>
    </row>
    <row r="32438">
      <c r="A32438" s="17"/>
      <c r="H32438" s="18"/>
      <c r="K32438" s="18" t="s">
        <v>316</v>
      </c>
    </row>
    <row r="32439">
      <c r="A32439" s="17"/>
      <c r="H32439" s="18"/>
      <c r="K32439" s="18" t="s">
        <v>316</v>
      </c>
    </row>
    <row r="32440">
      <c r="A32440" s="17"/>
      <c r="H32440" s="18"/>
      <c r="K32440" s="18" t="s">
        <v>316</v>
      </c>
    </row>
    <row r="32441">
      <c r="A32441" s="17"/>
      <c r="H32441" s="18"/>
      <c r="K32441" s="18" t="s">
        <v>316</v>
      </c>
    </row>
    <row r="32442">
      <c r="A32442" s="17"/>
      <c r="H32442" s="18"/>
      <c r="K32442" s="18" t="s">
        <v>316</v>
      </c>
    </row>
    <row r="32443">
      <c r="A32443" s="17"/>
      <c r="H32443" s="18"/>
      <c r="K32443" s="18" t="s">
        <v>316</v>
      </c>
    </row>
    <row r="32444">
      <c r="A32444" s="17"/>
      <c r="H32444" s="18"/>
      <c r="K32444" s="18" t="s">
        <v>316</v>
      </c>
    </row>
    <row r="32445">
      <c r="A32445" s="17"/>
      <c r="H32445" s="18"/>
      <c r="K32445" s="18" t="s">
        <v>316</v>
      </c>
    </row>
    <row r="32446">
      <c r="A32446" s="17"/>
      <c r="H32446" s="18"/>
      <c r="K32446" s="18" t="s">
        <v>316</v>
      </c>
    </row>
    <row r="32447">
      <c r="A32447" s="17"/>
      <c r="H32447" s="18"/>
      <c r="K32447" s="18" t="s">
        <v>316</v>
      </c>
    </row>
    <row r="32448">
      <c r="A32448" s="17"/>
      <c r="H32448" s="18"/>
      <c r="K32448" s="18" t="s">
        <v>316</v>
      </c>
    </row>
    <row r="32449">
      <c r="A32449" s="17"/>
      <c r="H32449" s="18"/>
      <c r="K32449" s="18" t="s">
        <v>316</v>
      </c>
    </row>
    <row r="32450">
      <c r="A32450" s="17"/>
      <c r="H32450" s="18"/>
      <c r="K32450" s="18" t="s">
        <v>316</v>
      </c>
    </row>
    <row r="32451">
      <c r="A32451" s="17"/>
      <c r="H32451" s="18"/>
      <c r="K32451" s="18" t="s">
        <v>316</v>
      </c>
    </row>
    <row r="32452">
      <c r="A32452" s="17"/>
      <c r="H32452" s="18"/>
      <c r="K32452" s="18" t="s">
        <v>316</v>
      </c>
    </row>
    <row r="32453">
      <c r="A32453" s="17"/>
      <c r="H32453" s="18"/>
      <c r="K32453" s="18" t="s">
        <v>316</v>
      </c>
    </row>
    <row r="32454">
      <c r="A32454" s="17"/>
      <c r="H32454" s="18"/>
      <c r="K32454" s="18" t="s">
        <v>316</v>
      </c>
    </row>
    <row r="32455">
      <c r="A32455" s="17"/>
      <c r="H32455" s="18"/>
      <c r="K32455" s="18" t="s">
        <v>316</v>
      </c>
    </row>
    <row r="32456">
      <c r="A32456" s="17"/>
      <c r="H32456" s="18"/>
      <c r="K32456" s="18" t="s">
        <v>316</v>
      </c>
    </row>
    <row r="32457">
      <c r="A32457" s="17"/>
      <c r="H32457" s="18"/>
      <c r="K32457" s="18" t="s">
        <v>316</v>
      </c>
    </row>
    <row r="32458">
      <c r="A32458" s="17"/>
      <c r="H32458" s="18"/>
      <c r="K32458" s="18" t="s">
        <v>316</v>
      </c>
    </row>
    <row r="32459">
      <c r="A32459" s="17"/>
      <c r="H32459" s="18"/>
      <c r="K32459" s="18" t="s">
        <v>316</v>
      </c>
    </row>
    <row r="32460">
      <c r="A32460" s="17"/>
      <c r="H32460" s="18"/>
      <c r="K32460" s="18" t="s">
        <v>316</v>
      </c>
    </row>
    <row r="32461">
      <c r="A32461" s="17"/>
      <c r="H32461" s="18"/>
      <c r="K32461" s="18" t="s">
        <v>316</v>
      </c>
    </row>
    <row r="32462">
      <c r="A32462" s="17"/>
      <c r="H32462" s="18"/>
      <c r="K32462" s="18" t="s">
        <v>316</v>
      </c>
    </row>
    <row r="32463">
      <c r="A32463" s="17"/>
      <c r="H32463" s="18"/>
      <c r="K32463" s="18" t="s">
        <v>316</v>
      </c>
    </row>
    <row r="32464">
      <c r="A32464" s="17"/>
      <c r="H32464" s="18"/>
      <c r="K32464" s="18" t="s">
        <v>316</v>
      </c>
    </row>
    <row r="32465">
      <c r="A32465" s="17"/>
      <c r="H32465" s="18"/>
      <c r="K32465" s="18" t="s">
        <v>316</v>
      </c>
    </row>
    <row r="32466">
      <c r="A32466" s="17"/>
      <c r="H32466" s="18"/>
      <c r="K32466" s="18" t="s">
        <v>316</v>
      </c>
    </row>
    <row r="32467">
      <c r="A32467" s="17"/>
      <c r="H32467" s="18"/>
      <c r="K32467" s="18" t="s">
        <v>316</v>
      </c>
    </row>
    <row r="32468">
      <c r="A32468" s="17"/>
      <c r="H32468" s="18"/>
      <c r="K32468" s="18" t="s">
        <v>316</v>
      </c>
    </row>
    <row r="32469">
      <c r="A32469" s="17"/>
      <c r="H32469" s="18"/>
      <c r="K32469" s="18" t="s">
        <v>316</v>
      </c>
    </row>
    <row r="32470">
      <c r="A32470" s="17"/>
      <c r="H32470" s="18"/>
      <c r="K32470" s="18" t="s">
        <v>316</v>
      </c>
    </row>
    <row r="32471">
      <c r="A32471" s="17"/>
      <c r="H32471" s="18"/>
      <c r="K32471" s="18" t="s">
        <v>316</v>
      </c>
    </row>
    <row r="32472">
      <c r="A32472" s="17"/>
      <c r="H32472" s="18"/>
      <c r="K32472" s="18" t="s">
        <v>316</v>
      </c>
    </row>
    <row r="32473">
      <c r="A32473" s="17"/>
      <c r="H32473" s="18"/>
      <c r="K32473" s="18" t="s">
        <v>316</v>
      </c>
    </row>
    <row r="32474">
      <c r="A32474" s="17"/>
      <c r="H32474" s="18"/>
      <c r="K32474" s="18" t="s">
        <v>316</v>
      </c>
    </row>
    <row r="32475">
      <c r="A32475" s="17"/>
      <c r="H32475" s="18"/>
      <c r="K32475" s="18" t="s">
        <v>316</v>
      </c>
    </row>
    <row r="32476">
      <c r="A32476" s="17"/>
      <c r="H32476" s="18"/>
      <c r="K32476" s="18" t="s">
        <v>316</v>
      </c>
    </row>
    <row r="32477">
      <c r="A32477" s="17"/>
      <c r="H32477" s="18"/>
      <c r="K32477" s="18" t="s">
        <v>316</v>
      </c>
    </row>
    <row r="32478">
      <c r="A32478" s="17"/>
      <c r="H32478" s="18"/>
      <c r="K32478" s="18" t="s">
        <v>316</v>
      </c>
    </row>
    <row r="32479">
      <c r="A32479" s="17"/>
      <c r="H32479" s="18"/>
      <c r="K32479" s="18" t="s">
        <v>316</v>
      </c>
    </row>
    <row r="32480">
      <c r="A32480" s="17"/>
      <c r="H32480" s="18"/>
      <c r="K32480" s="18" t="s">
        <v>316</v>
      </c>
    </row>
    <row r="32481">
      <c r="A32481" s="17"/>
      <c r="H32481" s="18"/>
      <c r="K32481" s="18" t="s">
        <v>316</v>
      </c>
    </row>
    <row r="32482">
      <c r="A32482" s="17"/>
      <c r="H32482" s="18"/>
      <c r="K32482" s="18" t="s">
        <v>316</v>
      </c>
    </row>
    <row r="32483">
      <c r="A32483" s="17"/>
      <c r="H32483" s="18"/>
      <c r="K32483" s="18" t="s">
        <v>316</v>
      </c>
    </row>
    <row r="32484">
      <c r="A32484" s="17"/>
      <c r="H32484" s="18"/>
      <c r="K32484" s="18" t="s">
        <v>316</v>
      </c>
    </row>
    <row r="32485">
      <c r="A32485" s="17"/>
      <c r="H32485" s="18"/>
      <c r="K32485" s="18" t="s">
        <v>316</v>
      </c>
    </row>
    <row r="32486">
      <c r="A32486" s="17"/>
      <c r="H32486" s="18"/>
      <c r="K32486" s="18" t="s">
        <v>316</v>
      </c>
    </row>
    <row r="32487">
      <c r="A32487" s="17"/>
      <c r="H32487" s="18"/>
      <c r="K32487" s="18" t="s">
        <v>316</v>
      </c>
    </row>
    <row r="32488">
      <c r="A32488" s="17"/>
      <c r="H32488" s="18"/>
      <c r="K32488" s="18" t="s">
        <v>316</v>
      </c>
    </row>
    <row r="32489">
      <c r="A32489" s="17"/>
      <c r="H32489" s="18"/>
      <c r="K32489" s="18" t="s">
        <v>316</v>
      </c>
    </row>
    <row r="32490">
      <c r="A32490" s="17"/>
      <c r="H32490" s="18"/>
      <c r="K32490" s="18" t="s">
        <v>316</v>
      </c>
    </row>
    <row r="32491">
      <c r="A32491" s="17"/>
      <c r="H32491" s="18"/>
      <c r="K32491" s="18" t="s">
        <v>316</v>
      </c>
    </row>
    <row r="32492">
      <c r="A32492" s="17"/>
      <c r="H32492" s="18"/>
      <c r="K32492" s="18" t="s">
        <v>316</v>
      </c>
    </row>
    <row r="32493">
      <c r="A32493" s="17"/>
      <c r="H32493" s="18"/>
      <c r="K32493" s="18" t="s">
        <v>316</v>
      </c>
    </row>
    <row r="32494">
      <c r="A32494" s="17"/>
      <c r="H32494" s="18"/>
      <c r="K32494" s="18" t="s">
        <v>316</v>
      </c>
    </row>
    <row r="32495">
      <c r="A32495" s="17"/>
      <c r="H32495" s="18"/>
      <c r="K32495" s="18" t="s">
        <v>316</v>
      </c>
    </row>
    <row r="32496">
      <c r="A32496" s="17"/>
      <c r="H32496" s="18"/>
      <c r="K32496" s="18" t="s">
        <v>316</v>
      </c>
    </row>
    <row r="32497">
      <c r="A32497" s="17"/>
      <c r="H32497" s="18"/>
      <c r="K32497" s="18" t="s">
        <v>316</v>
      </c>
    </row>
    <row r="32498">
      <c r="A32498" s="17"/>
      <c r="H32498" s="18"/>
      <c r="K32498" s="18" t="s">
        <v>316</v>
      </c>
    </row>
    <row r="32499">
      <c r="A32499" s="17"/>
      <c r="H32499" s="18"/>
      <c r="K32499" s="18" t="s">
        <v>316</v>
      </c>
    </row>
    <row r="32500">
      <c r="A32500" s="17"/>
      <c r="H32500" s="18"/>
      <c r="K32500" s="18" t="s">
        <v>316</v>
      </c>
    </row>
    <row r="32501">
      <c r="A32501" s="17"/>
      <c r="H32501" s="18"/>
      <c r="K32501" s="18" t="s">
        <v>316</v>
      </c>
    </row>
    <row r="32502">
      <c r="A32502" s="17"/>
      <c r="H32502" s="18"/>
      <c r="K32502" s="18" t="s">
        <v>316</v>
      </c>
    </row>
    <row r="32503">
      <c r="A32503" s="17"/>
      <c r="H32503" s="18"/>
      <c r="K32503" s="18" t="s">
        <v>316</v>
      </c>
    </row>
    <row r="32504">
      <c r="A32504" s="17"/>
      <c r="H32504" s="18"/>
      <c r="K32504" s="18" t="s">
        <v>316</v>
      </c>
    </row>
    <row r="32505">
      <c r="A32505" s="17"/>
      <c r="H32505" s="18"/>
      <c r="K32505" s="18" t="s">
        <v>316</v>
      </c>
    </row>
    <row r="32506">
      <c r="A32506" s="17"/>
      <c r="H32506" s="18"/>
      <c r="K32506" s="18" t="s">
        <v>316</v>
      </c>
    </row>
    <row r="32507">
      <c r="A32507" s="17"/>
      <c r="H32507" s="18"/>
      <c r="K32507" s="18" t="s">
        <v>316</v>
      </c>
    </row>
    <row r="32508">
      <c r="A32508" s="17"/>
      <c r="H32508" s="18"/>
      <c r="K32508" s="18" t="s">
        <v>316</v>
      </c>
    </row>
    <row r="32509">
      <c r="A32509" s="17"/>
      <c r="H32509" s="18"/>
      <c r="K32509" s="18" t="s">
        <v>316</v>
      </c>
    </row>
    <row r="32510">
      <c r="A32510" s="17"/>
      <c r="H32510" s="18"/>
      <c r="K32510" s="18" t="s">
        <v>316</v>
      </c>
    </row>
    <row r="32511">
      <c r="A32511" s="17"/>
      <c r="H32511" s="18"/>
      <c r="K32511" s="18" t="s">
        <v>316</v>
      </c>
    </row>
    <row r="32512">
      <c r="A32512" s="17"/>
      <c r="H32512" s="18"/>
      <c r="K32512" s="18" t="s">
        <v>316</v>
      </c>
    </row>
    <row r="32513">
      <c r="A32513" s="17"/>
      <c r="H32513" s="18"/>
      <c r="K32513" s="18" t="s">
        <v>316</v>
      </c>
    </row>
    <row r="32514">
      <c r="A32514" s="17"/>
      <c r="H32514" s="18"/>
      <c r="K32514" s="18" t="s">
        <v>316</v>
      </c>
    </row>
    <row r="32515">
      <c r="A32515" s="17"/>
      <c r="H32515" s="18"/>
      <c r="K32515" s="18" t="s">
        <v>316</v>
      </c>
    </row>
    <row r="32516">
      <c r="A32516" s="17"/>
      <c r="H32516" s="18"/>
      <c r="K32516" s="18" t="s">
        <v>316</v>
      </c>
    </row>
    <row r="32517">
      <c r="A32517" s="17"/>
      <c r="H32517" s="18"/>
      <c r="K32517" s="18" t="s">
        <v>316</v>
      </c>
    </row>
    <row r="32518">
      <c r="A32518" s="17"/>
      <c r="H32518" s="18"/>
      <c r="K32518" s="18" t="s">
        <v>316</v>
      </c>
    </row>
    <row r="32519">
      <c r="A32519" s="17"/>
      <c r="H32519" s="18"/>
      <c r="K32519" s="18" t="s">
        <v>316</v>
      </c>
    </row>
    <row r="32520">
      <c r="A32520" s="17"/>
      <c r="H32520" s="18"/>
      <c r="K32520" s="18" t="s">
        <v>316</v>
      </c>
    </row>
    <row r="32521">
      <c r="A32521" s="17"/>
      <c r="H32521" s="18"/>
      <c r="K32521" s="18" t="s">
        <v>316</v>
      </c>
    </row>
    <row r="32522">
      <c r="A32522" s="17"/>
      <c r="H32522" s="18"/>
      <c r="K32522" s="18" t="s">
        <v>316</v>
      </c>
    </row>
    <row r="32523">
      <c r="A32523" s="17"/>
      <c r="H32523" s="18"/>
      <c r="K32523" s="18" t="s">
        <v>316</v>
      </c>
    </row>
    <row r="32524">
      <c r="A32524" s="17"/>
      <c r="H32524" s="18"/>
      <c r="K32524" s="18" t="s">
        <v>316</v>
      </c>
    </row>
    <row r="32525">
      <c r="A32525" s="17"/>
      <c r="H32525" s="18"/>
      <c r="K32525" s="18" t="s">
        <v>316</v>
      </c>
    </row>
    <row r="32526">
      <c r="A32526" s="17"/>
      <c r="H32526" s="18"/>
      <c r="K32526" s="18" t="s">
        <v>316</v>
      </c>
    </row>
    <row r="32527">
      <c r="A32527" s="17"/>
      <c r="H32527" s="18"/>
      <c r="K32527" s="18" t="s">
        <v>316</v>
      </c>
    </row>
    <row r="32528">
      <c r="A32528" s="17"/>
      <c r="H32528" s="18"/>
      <c r="K32528" s="18" t="s">
        <v>316</v>
      </c>
    </row>
    <row r="32529">
      <c r="A32529" s="17"/>
      <c r="H32529" s="18"/>
      <c r="K32529" s="18" t="s">
        <v>316</v>
      </c>
    </row>
    <row r="32530">
      <c r="A32530" s="17"/>
      <c r="H32530" s="18"/>
      <c r="K32530" s="18" t="s">
        <v>316</v>
      </c>
    </row>
    <row r="32531">
      <c r="A32531" s="17"/>
      <c r="H32531" s="18"/>
      <c r="K32531" s="18" t="s">
        <v>316</v>
      </c>
    </row>
    <row r="32532">
      <c r="A32532" s="17"/>
      <c r="H32532" s="18"/>
      <c r="K32532" s="18" t="s">
        <v>316</v>
      </c>
    </row>
    <row r="32533">
      <c r="A32533" s="17"/>
      <c r="H32533" s="18"/>
      <c r="K32533" s="18" t="s">
        <v>316</v>
      </c>
    </row>
    <row r="32534">
      <c r="A32534" s="17"/>
      <c r="H32534" s="18"/>
      <c r="K32534" s="18" t="s">
        <v>316</v>
      </c>
    </row>
    <row r="32535">
      <c r="A32535" s="17"/>
      <c r="H32535" s="18"/>
      <c r="K32535" s="18" t="s">
        <v>316</v>
      </c>
    </row>
    <row r="32536">
      <c r="A32536" s="17"/>
      <c r="H32536" s="18"/>
      <c r="K32536" s="18" t="s">
        <v>316</v>
      </c>
    </row>
    <row r="32537">
      <c r="A32537" s="17"/>
      <c r="H32537" s="18"/>
      <c r="K32537" s="18" t="s">
        <v>316</v>
      </c>
    </row>
    <row r="32538">
      <c r="A32538" s="17"/>
      <c r="H32538" s="18"/>
      <c r="K32538" s="18" t="s">
        <v>316</v>
      </c>
    </row>
    <row r="32539">
      <c r="A32539" s="17"/>
      <c r="H32539" s="18"/>
      <c r="K32539" s="18" t="s">
        <v>316</v>
      </c>
    </row>
    <row r="32540">
      <c r="A32540" s="17"/>
      <c r="H32540" s="18"/>
      <c r="K32540" s="18" t="s">
        <v>316</v>
      </c>
    </row>
    <row r="32541">
      <c r="A32541" s="17"/>
      <c r="H32541" s="18"/>
      <c r="K32541" s="18" t="s">
        <v>316</v>
      </c>
    </row>
    <row r="32542">
      <c r="A32542" s="17"/>
      <c r="H32542" s="18"/>
      <c r="K32542" s="18" t="s">
        <v>316</v>
      </c>
    </row>
    <row r="32543">
      <c r="A32543" s="17"/>
      <c r="H32543" s="18"/>
      <c r="K32543" s="18" t="s">
        <v>316</v>
      </c>
    </row>
    <row r="32544">
      <c r="A32544" s="17"/>
      <c r="H32544" s="18"/>
      <c r="K32544" s="18" t="s">
        <v>316</v>
      </c>
    </row>
    <row r="32545">
      <c r="A32545" s="17"/>
      <c r="H32545" s="18"/>
      <c r="K32545" s="18" t="s">
        <v>316</v>
      </c>
    </row>
    <row r="32546">
      <c r="A32546" s="17"/>
      <c r="H32546" s="18"/>
      <c r="K32546" s="18" t="s">
        <v>316</v>
      </c>
    </row>
    <row r="32547">
      <c r="A32547" s="17"/>
      <c r="H32547" s="18"/>
      <c r="K32547" s="18" t="s">
        <v>316</v>
      </c>
    </row>
    <row r="32548">
      <c r="A32548" s="17"/>
      <c r="H32548" s="18"/>
      <c r="K32548" s="18" t="s">
        <v>316</v>
      </c>
    </row>
    <row r="32549">
      <c r="A32549" s="17"/>
      <c r="H32549" s="18"/>
      <c r="K32549" s="18" t="s">
        <v>316</v>
      </c>
    </row>
    <row r="32550">
      <c r="A32550" s="17"/>
      <c r="H32550" s="18"/>
      <c r="K32550" s="18" t="s">
        <v>316</v>
      </c>
    </row>
    <row r="32551">
      <c r="A32551" s="17"/>
      <c r="H32551" s="18"/>
      <c r="K32551" s="18" t="s">
        <v>316</v>
      </c>
    </row>
    <row r="32552">
      <c r="A32552" s="17"/>
      <c r="H32552" s="18"/>
      <c r="K32552" s="18" t="s">
        <v>316</v>
      </c>
    </row>
    <row r="32553">
      <c r="A32553" s="17"/>
      <c r="H32553" s="18"/>
      <c r="K32553" s="18" t="s">
        <v>316</v>
      </c>
    </row>
    <row r="32554">
      <c r="A32554" s="17"/>
      <c r="H32554" s="18"/>
      <c r="K32554" s="18" t="s">
        <v>316</v>
      </c>
    </row>
    <row r="32555">
      <c r="A32555" s="17"/>
      <c r="H32555" s="18"/>
      <c r="K32555" s="18" t="s">
        <v>316</v>
      </c>
    </row>
    <row r="32556">
      <c r="A32556" s="17"/>
      <c r="H32556" s="18"/>
      <c r="K32556" s="18" t="s">
        <v>316</v>
      </c>
    </row>
    <row r="32557">
      <c r="A32557" s="17"/>
      <c r="H32557" s="18"/>
      <c r="K32557" s="18" t="s">
        <v>316</v>
      </c>
    </row>
    <row r="32558">
      <c r="A32558" s="17"/>
      <c r="H32558" s="18"/>
      <c r="K32558" s="18" t="s">
        <v>316</v>
      </c>
    </row>
    <row r="32559">
      <c r="A32559" s="17"/>
      <c r="H32559" s="18"/>
      <c r="K32559" s="18" t="s">
        <v>316</v>
      </c>
    </row>
    <row r="32560">
      <c r="A32560" s="17"/>
      <c r="H32560" s="18"/>
      <c r="K32560" s="18" t="s">
        <v>316</v>
      </c>
    </row>
    <row r="32561">
      <c r="A32561" s="17"/>
      <c r="H32561" s="18"/>
      <c r="K32561" s="18" t="s">
        <v>316</v>
      </c>
    </row>
    <row r="32562">
      <c r="A32562" s="17"/>
      <c r="H32562" s="18"/>
      <c r="K32562" s="18" t="s">
        <v>316</v>
      </c>
    </row>
    <row r="32563">
      <c r="A32563" s="17"/>
      <c r="H32563" s="18"/>
      <c r="K32563" s="18" t="s">
        <v>316</v>
      </c>
    </row>
    <row r="32564">
      <c r="A32564" s="17"/>
      <c r="H32564" s="18"/>
      <c r="K32564" s="18" t="s">
        <v>316</v>
      </c>
    </row>
    <row r="32565">
      <c r="A32565" s="17"/>
      <c r="H32565" s="18"/>
      <c r="K32565" s="18" t="s">
        <v>316</v>
      </c>
    </row>
    <row r="32566">
      <c r="A32566" s="17"/>
      <c r="H32566" s="18"/>
      <c r="K32566" s="18" t="s">
        <v>316</v>
      </c>
    </row>
    <row r="32567">
      <c r="A32567" s="17"/>
      <c r="H32567" s="18"/>
      <c r="K32567" s="18" t="s">
        <v>316</v>
      </c>
    </row>
    <row r="32568">
      <c r="A32568" s="17"/>
      <c r="H32568" s="18"/>
      <c r="K32568" s="18" t="s">
        <v>316</v>
      </c>
    </row>
    <row r="32569">
      <c r="A32569" s="17"/>
      <c r="H32569" s="18"/>
      <c r="K32569" s="18" t="s">
        <v>316</v>
      </c>
    </row>
    <row r="32570">
      <c r="A32570" s="17"/>
      <c r="H32570" s="18"/>
      <c r="K32570" s="18" t="s">
        <v>316</v>
      </c>
    </row>
    <row r="32571">
      <c r="A32571" s="17"/>
      <c r="H32571" s="18"/>
      <c r="K32571" s="18" t="s">
        <v>316</v>
      </c>
    </row>
    <row r="32572">
      <c r="A32572" s="17"/>
      <c r="H32572" s="18"/>
      <c r="K32572" s="18" t="s">
        <v>316</v>
      </c>
    </row>
    <row r="32573">
      <c r="A32573" s="17"/>
      <c r="H32573" s="18"/>
      <c r="K32573" s="18" t="s">
        <v>316</v>
      </c>
    </row>
    <row r="32574">
      <c r="A32574" s="17"/>
      <c r="H32574" s="18"/>
      <c r="K32574" s="18" t="s">
        <v>316</v>
      </c>
    </row>
    <row r="32575">
      <c r="A32575" s="17"/>
      <c r="H32575" s="18"/>
      <c r="K32575" s="18" t="s">
        <v>316</v>
      </c>
    </row>
    <row r="32576">
      <c r="A32576" s="17"/>
      <c r="H32576" s="18"/>
      <c r="K32576" s="18" t="s">
        <v>316</v>
      </c>
    </row>
    <row r="32577">
      <c r="A32577" s="17"/>
      <c r="H32577" s="18"/>
      <c r="K32577" s="18" t="s">
        <v>316</v>
      </c>
    </row>
    <row r="32578">
      <c r="A32578" s="17"/>
      <c r="H32578" s="18"/>
      <c r="K32578" s="18" t="s">
        <v>316</v>
      </c>
    </row>
    <row r="32579">
      <c r="A32579" s="17"/>
      <c r="H32579" s="18"/>
      <c r="K32579" s="18" t="s">
        <v>316</v>
      </c>
    </row>
    <row r="32580">
      <c r="A32580" s="17"/>
      <c r="H32580" s="18"/>
      <c r="K32580" s="18" t="s">
        <v>316</v>
      </c>
    </row>
    <row r="32581">
      <c r="A32581" s="17"/>
      <c r="H32581" s="18"/>
      <c r="K32581" s="18" t="s">
        <v>316</v>
      </c>
    </row>
    <row r="32582">
      <c r="A32582" s="17"/>
      <c r="H32582" s="18"/>
      <c r="K32582" s="18" t="s">
        <v>316</v>
      </c>
    </row>
    <row r="32583">
      <c r="A32583" s="17"/>
      <c r="H32583" s="18"/>
      <c r="K32583" s="18" t="s">
        <v>316</v>
      </c>
    </row>
    <row r="32584">
      <c r="A32584" s="17"/>
      <c r="H32584" s="18"/>
      <c r="K32584" s="18" t="s">
        <v>316</v>
      </c>
    </row>
    <row r="32585">
      <c r="A32585" s="17"/>
      <c r="H32585" s="18"/>
      <c r="K32585" s="18" t="s">
        <v>316</v>
      </c>
    </row>
    <row r="32586">
      <c r="A32586" s="17"/>
      <c r="H32586" s="18"/>
      <c r="K32586" s="18" t="s">
        <v>316</v>
      </c>
    </row>
    <row r="32587">
      <c r="A32587" s="17"/>
      <c r="H32587" s="18"/>
      <c r="K32587" s="18" t="s">
        <v>316</v>
      </c>
    </row>
    <row r="32588">
      <c r="A32588" s="17"/>
      <c r="H32588" s="18"/>
      <c r="K32588" s="18" t="s">
        <v>316</v>
      </c>
    </row>
    <row r="32589">
      <c r="A32589" s="17"/>
      <c r="H32589" s="18"/>
      <c r="K32589" s="18" t="s">
        <v>316</v>
      </c>
    </row>
    <row r="32590">
      <c r="A32590" s="17"/>
      <c r="H32590" s="18"/>
      <c r="K32590" s="18" t="s">
        <v>316</v>
      </c>
    </row>
    <row r="32591">
      <c r="A32591" s="17"/>
      <c r="H32591" s="18"/>
      <c r="K32591" s="18" t="s">
        <v>316</v>
      </c>
    </row>
    <row r="32592">
      <c r="A32592" s="17"/>
      <c r="H32592" s="18"/>
      <c r="K32592" s="18" t="s">
        <v>316</v>
      </c>
    </row>
    <row r="32593">
      <c r="A32593" s="17"/>
      <c r="H32593" s="18"/>
      <c r="K32593" s="18" t="s">
        <v>316</v>
      </c>
    </row>
    <row r="32594">
      <c r="A32594" s="17"/>
      <c r="H32594" s="18"/>
      <c r="K32594" s="18" t="s">
        <v>316</v>
      </c>
    </row>
    <row r="32595">
      <c r="A32595" s="17"/>
      <c r="H32595" s="18"/>
      <c r="K32595" s="18" t="s">
        <v>316</v>
      </c>
    </row>
    <row r="32596">
      <c r="A32596" s="17"/>
      <c r="H32596" s="18"/>
      <c r="K32596" s="18" t="s">
        <v>316</v>
      </c>
    </row>
    <row r="32597">
      <c r="A32597" s="17"/>
      <c r="H32597" s="18"/>
      <c r="K32597" s="18" t="s">
        <v>316</v>
      </c>
    </row>
    <row r="32598">
      <c r="A32598" s="17"/>
      <c r="H32598" s="18"/>
      <c r="K32598" s="18" t="s">
        <v>316</v>
      </c>
    </row>
    <row r="32599">
      <c r="A32599" s="17"/>
      <c r="H32599" s="18"/>
      <c r="K32599" s="18" t="s">
        <v>316</v>
      </c>
    </row>
    <row r="32600">
      <c r="A32600" s="17"/>
      <c r="H32600" s="18"/>
      <c r="K32600" s="18" t="s">
        <v>316</v>
      </c>
    </row>
    <row r="32601">
      <c r="A32601" s="17"/>
      <c r="H32601" s="18"/>
      <c r="K32601" s="18" t="s">
        <v>316</v>
      </c>
    </row>
    <row r="32602">
      <c r="A32602" s="17"/>
      <c r="H32602" s="18"/>
      <c r="K32602" s="18" t="s">
        <v>316</v>
      </c>
    </row>
    <row r="32603">
      <c r="A32603" s="17"/>
      <c r="H32603" s="18"/>
      <c r="K32603" s="18" t="s">
        <v>316</v>
      </c>
    </row>
    <row r="32604">
      <c r="A32604" s="17"/>
      <c r="H32604" s="18"/>
      <c r="K32604" s="18" t="s">
        <v>316</v>
      </c>
    </row>
    <row r="32605">
      <c r="A32605" s="17"/>
      <c r="H32605" s="18"/>
      <c r="K32605" s="18" t="s">
        <v>316</v>
      </c>
    </row>
    <row r="32606">
      <c r="A32606" s="17"/>
      <c r="H32606" s="18"/>
      <c r="K32606" s="18" t="s">
        <v>316</v>
      </c>
    </row>
    <row r="32607">
      <c r="A32607" s="17"/>
      <c r="H32607" s="18"/>
      <c r="K32607" s="18" t="s">
        <v>316</v>
      </c>
    </row>
    <row r="32608">
      <c r="A32608" s="17"/>
      <c r="H32608" s="18"/>
      <c r="K32608" s="18" t="s">
        <v>316</v>
      </c>
    </row>
    <row r="32609">
      <c r="A32609" s="17"/>
      <c r="H32609" s="18"/>
      <c r="K32609" s="18" t="s">
        <v>316</v>
      </c>
    </row>
    <row r="32610">
      <c r="A32610" s="17"/>
      <c r="H32610" s="18"/>
      <c r="K32610" s="18" t="s">
        <v>316</v>
      </c>
    </row>
    <row r="32611">
      <c r="A32611" s="17"/>
      <c r="H32611" s="18"/>
      <c r="K32611" s="18" t="s">
        <v>316</v>
      </c>
    </row>
    <row r="32612">
      <c r="A32612" s="17"/>
      <c r="H32612" s="18"/>
      <c r="K32612" s="18" t="s">
        <v>316</v>
      </c>
    </row>
    <row r="32613">
      <c r="A32613" s="17"/>
      <c r="H32613" s="18"/>
      <c r="K32613" s="18" t="s">
        <v>316</v>
      </c>
    </row>
    <row r="32614">
      <c r="A32614" s="17"/>
      <c r="H32614" s="18"/>
      <c r="K32614" s="18" t="s">
        <v>316</v>
      </c>
    </row>
    <row r="32615">
      <c r="A32615" s="17"/>
      <c r="H32615" s="18"/>
      <c r="K32615" s="18" t="s">
        <v>316</v>
      </c>
    </row>
    <row r="32616">
      <c r="A32616" s="17"/>
      <c r="H32616" s="18"/>
      <c r="K32616" s="18" t="s">
        <v>316</v>
      </c>
    </row>
    <row r="32617">
      <c r="A32617" s="17"/>
      <c r="H32617" s="18"/>
      <c r="K32617" s="18" t="s">
        <v>316</v>
      </c>
    </row>
    <row r="32618">
      <c r="A32618" s="17"/>
      <c r="H32618" s="18"/>
      <c r="K32618" s="18" t="s">
        <v>316</v>
      </c>
    </row>
    <row r="32619">
      <c r="A32619" s="17"/>
      <c r="H32619" s="18"/>
      <c r="K32619" s="18" t="s">
        <v>316</v>
      </c>
    </row>
    <row r="32620">
      <c r="A32620" s="17"/>
      <c r="H32620" s="18"/>
      <c r="K32620" s="18" t="s">
        <v>316</v>
      </c>
    </row>
    <row r="32621">
      <c r="A32621" s="17"/>
      <c r="H32621" s="18"/>
      <c r="K32621" s="18" t="s">
        <v>316</v>
      </c>
    </row>
    <row r="32622">
      <c r="A32622" s="17"/>
      <c r="H32622" s="18"/>
      <c r="K32622" s="18" t="s">
        <v>316</v>
      </c>
    </row>
    <row r="32623">
      <c r="A32623" s="17"/>
      <c r="H32623" s="18"/>
      <c r="K32623" s="18" t="s">
        <v>316</v>
      </c>
    </row>
    <row r="32624">
      <c r="A32624" s="17"/>
      <c r="H32624" s="18"/>
      <c r="K32624" s="18" t="s">
        <v>316</v>
      </c>
    </row>
    <row r="32625">
      <c r="A32625" s="17"/>
      <c r="H32625" s="18"/>
      <c r="K32625" s="18" t="s">
        <v>316</v>
      </c>
    </row>
    <row r="32626">
      <c r="A32626" s="17"/>
      <c r="H32626" s="18"/>
      <c r="K32626" s="18" t="s">
        <v>316</v>
      </c>
    </row>
    <row r="32627">
      <c r="A32627" s="17"/>
      <c r="H32627" s="18"/>
      <c r="K32627" s="18" t="s">
        <v>316</v>
      </c>
    </row>
    <row r="32628">
      <c r="A32628" s="17"/>
      <c r="H32628" s="18"/>
      <c r="K32628" s="18" t="s">
        <v>316</v>
      </c>
    </row>
    <row r="32629">
      <c r="A32629" s="17"/>
      <c r="H32629" s="18"/>
      <c r="K32629" s="18" t="s">
        <v>316</v>
      </c>
    </row>
    <row r="32630">
      <c r="A32630" s="17"/>
      <c r="H32630" s="18"/>
      <c r="K32630" s="18" t="s">
        <v>316</v>
      </c>
    </row>
    <row r="32631">
      <c r="A32631" s="17"/>
      <c r="H32631" s="18"/>
      <c r="K32631" s="18" t="s">
        <v>316</v>
      </c>
    </row>
    <row r="32632">
      <c r="A32632" s="17"/>
      <c r="H32632" s="18"/>
      <c r="K32632" s="18" t="s">
        <v>316</v>
      </c>
    </row>
    <row r="32633">
      <c r="A32633" s="17"/>
      <c r="H32633" s="18"/>
      <c r="K32633" s="18" t="s">
        <v>316</v>
      </c>
    </row>
    <row r="32634">
      <c r="A32634" s="17"/>
      <c r="H32634" s="18"/>
      <c r="K32634" s="18" t="s">
        <v>316</v>
      </c>
    </row>
    <row r="32635">
      <c r="A32635" s="17"/>
      <c r="H32635" s="18"/>
      <c r="K32635" s="18" t="s">
        <v>316</v>
      </c>
    </row>
    <row r="32636">
      <c r="A32636" s="17"/>
      <c r="H32636" s="18"/>
      <c r="K32636" s="18" t="s">
        <v>316</v>
      </c>
    </row>
    <row r="32637">
      <c r="A32637" s="17"/>
      <c r="H32637" s="18"/>
      <c r="K32637" s="18" t="s">
        <v>316</v>
      </c>
    </row>
    <row r="32638">
      <c r="A32638" s="17"/>
      <c r="H32638" s="18"/>
      <c r="K32638" s="18" t="s">
        <v>316</v>
      </c>
    </row>
    <row r="32639">
      <c r="A32639" s="17"/>
      <c r="H32639" s="18"/>
      <c r="K32639" s="18" t="s">
        <v>316</v>
      </c>
    </row>
    <row r="32640">
      <c r="A32640" s="17"/>
      <c r="H32640" s="18"/>
      <c r="K32640" s="18" t="s">
        <v>316</v>
      </c>
    </row>
    <row r="32641">
      <c r="A32641" s="17"/>
      <c r="H32641" s="18"/>
      <c r="K32641" s="18" t="s">
        <v>316</v>
      </c>
    </row>
    <row r="32642">
      <c r="A32642" s="17"/>
      <c r="H32642" s="18"/>
      <c r="K32642" s="18" t="s">
        <v>316</v>
      </c>
    </row>
    <row r="32643">
      <c r="A32643" s="17"/>
      <c r="H32643" s="18"/>
      <c r="K32643" s="18" t="s">
        <v>316</v>
      </c>
    </row>
    <row r="32644">
      <c r="A32644" s="17"/>
      <c r="H32644" s="18"/>
      <c r="K32644" s="18" t="s">
        <v>316</v>
      </c>
    </row>
    <row r="32645">
      <c r="A32645" s="17"/>
      <c r="H32645" s="18"/>
      <c r="K32645" s="18" t="s">
        <v>316</v>
      </c>
    </row>
    <row r="32646">
      <c r="A32646" s="17"/>
      <c r="H32646" s="18"/>
      <c r="K32646" s="18" t="s">
        <v>316</v>
      </c>
    </row>
    <row r="32647">
      <c r="A32647" s="17"/>
      <c r="H32647" s="18"/>
      <c r="K32647" s="18" t="s">
        <v>316</v>
      </c>
    </row>
    <row r="32648">
      <c r="A32648" s="17"/>
      <c r="H32648" s="18"/>
      <c r="K32648" s="18" t="s">
        <v>316</v>
      </c>
    </row>
    <row r="32649">
      <c r="A32649" s="17"/>
      <c r="H32649" s="18"/>
      <c r="K32649" s="18" t="s">
        <v>316</v>
      </c>
    </row>
    <row r="32650">
      <c r="A32650" s="17"/>
      <c r="H32650" s="18"/>
      <c r="K32650" s="18" t="s">
        <v>316</v>
      </c>
    </row>
    <row r="32651">
      <c r="A32651" s="17"/>
      <c r="H32651" s="18"/>
      <c r="K32651" s="18" t="s">
        <v>316</v>
      </c>
    </row>
    <row r="32652">
      <c r="A32652" s="17"/>
      <c r="H32652" s="18"/>
      <c r="K32652" s="18" t="s">
        <v>316</v>
      </c>
    </row>
    <row r="32653">
      <c r="A32653" s="17"/>
      <c r="H32653" s="18"/>
      <c r="K32653" s="18" t="s">
        <v>316</v>
      </c>
    </row>
    <row r="32654">
      <c r="A32654" s="17"/>
      <c r="H32654" s="18"/>
      <c r="K32654" s="18" t="s">
        <v>316</v>
      </c>
    </row>
    <row r="32655">
      <c r="A32655" s="17"/>
      <c r="H32655" s="18"/>
      <c r="K32655" s="18" t="s">
        <v>316</v>
      </c>
    </row>
    <row r="32656">
      <c r="A32656" s="17"/>
      <c r="H32656" s="18"/>
      <c r="K32656" s="18" t="s">
        <v>316</v>
      </c>
    </row>
    <row r="32657">
      <c r="A32657" s="17"/>
      <c r="H32657" s="18"/>
      <c r="K32657" s="18" t="s">
        <v>316</v>
      </c>
    </row>
    <row r="32658">
      <c r="A32658" s="17"/>
      <c r="H32658" s="18"/>
      <c r="K32658" s="18" t="s">
        <v>316</v>
      </c>
    </row>
    <row r="32659">
      <c r="A32659" s="17"/>
      <c r="H32659" s="18"/>
      <c r="K32659" s="18" t="s">
        <v>316</v>
      </c>
    </row>
    <row r="32660">
      <c r="A32660" s="17"/>
      <c r="H32660" s="18"/>
      <c r="K32660" s="18" t="s">
        <v>316</v>
      </c>
    </row>
    <row r="32661">
      <c r="A32661" s="17"/>
      <c r="H32661" s="18"/>
      <c r="K32661" s="18" t="s">
        <v>316</v>
      </c>
    </row>
    <row r="32662">
      <c r="A32662" s="17"/>
      <c r="H32662" s="18"/>
      <c r="K32662" s="18" t="s">
        <v>316</v>
      </c>
    </row>
    <row r="32663">
      <c r="A32663" s="17"/>
      <c r="H32663" s="18"/>
      <c r="K32663" s="18" t="s">
        <v>316</v>
      </c>
    </row>
    <row r="32664">
      <c r="A32664" s="17"/>
      <c r="H32664" s="18"/>
      <c r="K32664" s="18" t="s">
        <v>316</v>
      </c>
    </row>
    <row r="32665">
      <c r="A32665" s="17"/>
      <c r="H32665" s="18"/>
      <c r="K32665" s="18" t="s">
        <v>316</v>
      </c>
    </row>
    <row r="32666">
      <c r="A32666" s="17"/>
      <c r="H32666" s="18"/>
      <c r="K32666" s="18" t="s">
        <v>316</v>
      </c>
    </row>
    <row r="32667">
      <c r="A32667" s="17"/>
      <c r="H32667" s="18"/>
      <c r="K32667" s="18" t="s">
        <v>316</v>
      </c>
    </row>
    <row r="32668">
      <c r="A32668" s="17"/>
      <c r="H32668" s="18"/>
      <c r="K32668" s="18" t="s">
        <v>316</v>
      </c>
    </row>
    <row r="32669">
      <c r="A32669" s="17"/>
      <c r="H32669" s="18"/>
      <c r="K32669" s="18" t="s">
        <v>316</v>
      </c>
    </row>
    <row r="32670">
      <c r="A32670" s="17"/>
      <c r="H32670" s="18"/>
      <c r="K32670" s="18" t="s">
        <v>316</v>
      </c>
    </row>
    <row r="32671">
      <c r="A32671" s="17"/>
      <c r="H32671" s="18"/>
      <c r="K32671" s="18" t="s">
        <v>316</v>
      </c>
    </row>
    <row r="32672">
      <c r="A32672" s="17"/>
      <c r="H32672" s="18"/>
      <c r="K32672" s="18" t="s">
        <v>316</v>
      </c>
    </row>
    <row r="32673">
      <c r="A32673" s="17"/>
      <c r="H32673" s="18"/>
      <c r="K32673" s="18" t="s">
        <v>316</v>
      </c>
    </row>
    <row r="32674">
      <c r="A32674" s="17"/>
      <c r="H32674" s="18"/>
      <c r="K32674" s="18" t="s">
        <v>316</v>
      </c>
    </row>
    <row r="32675">
      <c r="A32675" s="17"/>
      <c r="H32675" s="18"/>
      <c r="K32675" s="18" t="s">
        <v>316</v>
      </c>
    </row>
    <row r="32676">
      <c r="A32676" s="17"/>
      <c r="H32676" s="18"/>
      <c r="K32676" s="18" t="s">
        <v>316</v>
      </c>
    </row>
    <row r="32677">
      <c r="A32677" s="17"/>
      <c r="H32677" s="18"/>
      <c r="K32677" s="18" t="s">
        <v>316</v>
      </c>
    </row>
    <row r="32678">
      <c r="A32678" s="17"/>
      <c r="H32678" s="18"/>
      <c r="K32678" s="18" t="s">
        <v>316</v>
      </c>
    </row>
    <row r="32679">
      <c r="A32679" s="17"/>
      <c r="H32679" s="18"/>
      <c r="K32679" s="18" t="s">
        <v>316</v>
      </c>
    </row>
    <row r="32680">
      <c r="A32680" s="17"/>
      <c r="H32680" s="18"/>
      <c r="K32680" s="18" t="s">
        <v>316</v>
      </c>
    </row>
    <row r="32681">
      <c r="A32681" s="17"/>
      <c r="H32681" s="18"/>
      <c r="K32681" s="18" t="s">
        <v>316</v>
      </c>
    </row>
    <row r="32682">
      <c r="A32682" s="17"/>
      <c r="H32682" s="18"/>
      <c r="K32682" s="18" t="s">
        <v>316</v>
      </c>
    </row>
    <row r="32683">
      <c r="A32683" s="17"/>
      <c r="H32683" s="18"/>
      <c r="K32683" s="18" t="s">
        <v>316</v>
      </c>
    </row>
    <row r="32684">
      <c r="A32684" s="17"/>
      <c r="H32684" s="18"/>
      <c r="K32684" s="18" t="s">
        <v>316</v>
      </c>
    </row>
    <row r="32685">
      <c r="A32685" s="17"/>
      <c r="H32685" s="18"/>
      <c r="K32685" s="18" t="s">
        <v>316</v>
      </c>
    </row>
    <row r="32686">
      <c r="A32686" s="17"/>
      <c r="H32686" s="18"/>
      <c r="K32686" s="18" t="s">
        <v>316</v>
      </c>
    </row>
    <row r="32687">
      <c r="A32687" s="17"/>
      <c r="H32687" s="18"/>
      <c r="K32687" s="18" t="s">
        <v>316</v>
      </c>
    </row>
    <row r="32688">
      <c r="A32688" s="17"/>
      <c r="H32688" s="18"/>
      <c r="K32688" s="18" t="s">
        <v>316</v>
      </c>
    </row>
    <row r="32689">
      <c r="A32689" s="17"/>
      <c r="H32689" s="18"/>
      <c r="K32689" s="18" t="s">
        <v>316</v>
      </c>
    </row>
    <row r="32690">
      <c r="A32690" s="17"/>
      <c r="H32690" s="18"/>
      <c r="K32690" s="18" t="s">
        <v>316</v>
      </c>
    </row>
    <row r="32691">
      <c r="A32691" s="17"/>
      <c r="H32691" s="18"/>
      <c r="K32691" s="18" t="s">
        <v>316</v>
      </c>
    </row>
    <row r="32692">
      <c r="A32692" s="17"/>
      <c r="H32692" s="18"/>
      <c r="K32692" s="18" t="s">
        <v>316</v>
      </c>
    </row>
    <row r="32693">
      <c r="A32693" s="17"/>
      <c r="H32693" s="18"/>
      <c r="K32693" s="18" t="s">
        <v>316</v>
      </c>
    </row>
    <row r="32694">
      <c r="A32694" s="17"/>
      <c r="H32694" s="18"/>
      <c r="K32694" s="18" t="s">
        <v>316</v>
      </c>
    </row>
    <row r="32695">
      <c r="A32695" s="17"/>
      <c r="H32695" s="18"/>
      <c r="K32695" s="18" t="s">
        <v>316</v>
      </c>
    </row>
    <row r="32696">
      <c r="A32696" s="17"/>
      <c r="H32696" s="18"/>
      <c r="K32696" s="18" t="s">
        <v>316</v>
      </c>
    </row>
    <row r="32697">
      <c r="A32697" s="17"/>
      <c r="H32697" s="18"/>
      <c r="K32697" s="18" t="s">
        <v>316</v>
      </c>
    </row>
    <row r="32698">
      <c r="A32698" s="17"/>
      <c r="H32698" s="18"/>
      <c r="K32698" s="18" t="s">
        <v>316</v>
      </c>
    </row>
    <row r="32699">
      <c r="A32699" s="17"/>
      <c r="H32699" s="18"/>
      <c r="K32699" s="18" t="s">
        <v>316</v>
      </c>
    </row>
    <row r="32700">
      <c r="A32700" s="17"/>
      <c r="H32700" s="18"/>
      <c r="K32700" s="18" t="s">
        <v>316</v>
      </c>
    </row>
    <row r="32701">
      <c r="A32701" s="17"/>
      <c r="H32701" s="18"/>
      <c r="K32701" s="18" t="s">
        <v>316</v>
      </c>
    </row>
    <row r="32702">
      <c r="A32702" s="17"/>
      <c r="H32702" s="18"/>
      <c r="K32702" s="18" t="s">
        <v>316</v>
      </c>
    </row>
    <row r="32703">
      <c r="A32703" s="17"/>
      <c r="H32703" s="18"/>
      <c r="K32703" s="18" t="s">
        <v>316</v>
      </c>
    </row>
    <row r="32704">
      <c r="A32704" s="17"/>
      <c r="H32704" s="18"/>
      <c r="K32704" s="18" t="s">
        <v>316</v>
      </c>
    </row>
    <row r="32705">
      <c r="A32705" s="17"/>
      <c r="H32705" s="18"/>
      <c r="K32705" s="18" t="s">
        <v>316</v>
      </c>
    </row>
    <row r="32706">
      <c r="A32706" s="17"/>
      <c r="H32706" s="18"/>
      <c r="K32706" s="18" t="s">
        <v>316</v>
      </c>
    </row>
    <row r="32707">
      <c r="A32707" s="17"/>
      <c r="H32707" s="18"/>
      <c r="K32707" s="18" t="s">
        <v>316</v>
      </c>
    </row>
    <row r="32708">
      <c r="A32708" s="17"/>
      <c r="H32708" s="18"/>
      <c r="K32708" s="18" t="s">
        <v>316</v>
      </c>
    </row>
    <row r="32709">
      <c r="A32709" s="17"/>
      <c r="H32709" s="18"/>
      <c r="K32709" s="18" t="s">
        <v>316</v>
      </c>
    </row>
    <row r="32710">
      <c r="A32710" s="17"/>
      <c r="H32710" s="18"/>
      <c r="K32710" s="18" t="s">
        <v>316</v>
      </c>
    </row>
    <row r="32711">
      <c r="A32711" s="17"/>
      <c r="H32711" s="18"/>
      <c r="K32711" s="18" t="s">
        <v>316</v>
      </c>
    </row>
    <row r="32712">
      <c r="A32712" s="17"/>
      <c r="H32712" s="18"/>
      <c r="K32712" s="18" t="s">
        <v>316</v>
      </c>
    </row>
    <row r="32713">
      <c r="A32713" s="17"/>
      <c r="H32713" s="18"/>
      <c r="K32713" s="18" t="s">
        <v>316</v>
      </c>
    </row>
    <row r="32714">
      <c r="A32714" s="17"/>
      <c r="H32714" s="18"/>
      <c r="K32714" s="18" t="s">
        <v>316</v>
      </c>
    </row>
    <row r="32715">
      <c r="A32715" s="17"/>
      <c r="H32715" s="18"/>
      <c r="K32715" s="18" t="s">
        <v>316</v>
      </c>
    </row>
    <row r="32716">
      <c r="A32716" s="17"/>
      <c r="H32716" s="18"/>
      <c r="K32716" s="18" t="s">
        <v>316</v>
      </c>
    </row>
    <row r="32717">
      <c r="A32717" s="17"/>
      <c r="H32717" s="18"/>
      <c r="K32717" s="18" t="s">
        <v>316</v>
      </c>
    </row>
    <row r="32718">
      <c r="A32718" s="17"/>
      <c r="H32718" s="18"/>
      <c r="K32718" s="18" t="s">
        <v>316</v>
      </c>
    </row>
    <row r="32719">
      <c r="A32719" s="17"/>
      <c r="H32719" s="18"/>
      <c r="K32719" s="18" t="s">
        <v>316</v>
      </c>
    </row>
    <row r="32720">
      <c r="A32720" s="17"/>
      <c r="H32720" s="18"/>
      <c r="K32720" s="18" t="s">
        <v>316</v>
      </c>
    </row>
    <row r="32721">
      <c r="A32721" s="17"/>
      <c r="H32721" s="18"/>
      <c r="K32721" s="18" t="s">
        <v>316</v>
      </c>
    </row>
    <row r="32722">
      <c r="A32722" s="17"/>
      <c r="H32722" s="18"/>
      <c r="K32722" s="18" t="s">
        <v>316</v>
      </c>
    </row>
    <row r="32723">
      <c r="A32723" s="17"/>
      <c r="H32723" s="18"/>
      <c r="K32723" s="18" t="s">
        <v>316</v>
      </c>
    </row>
    <row r="32724">
      <c r="A32724" s="17"/>
      <c r="H32724" s="18"/>
      <c r="K32724" s="18" t="s">
        <v>316</v>
      </c>
    </row>
    <row r="32725">
      <c r="A32725" s="17"/>
      <c r="H32725" s="18"/>
      <c r="K32725" s="18" t="s">
        <v>316</v>
      </c>
    </row>
    <row r="32726">
      <c r="A32726" s="17"/>
      <c r="H32726" s="18"/>
      <c r="K32726" s="18" t="s">
        <v>316</v>
      </c>
    </row>
    <row r="32727">
      <c r="A32727" s="17"/>
      <c r="H32727" s="18"/>
      <c r="K32727" s="18" t="s">
        <v>316</v>
      </c>
    </row>
    <row r="32728">
      <c r="A32728" s="17"/>
      <c r="H32728" s="18"/>
      <c r="K32728" s="18" t="s">
        <v>316</v>
      </c>
    </row>
    <row r="32729">
      <c r="A32729" s="17"/>
      <c r="H32729" s="18"/>
      <c r="K32729" s="18" t="s">
        <v>316</v>
      </c>
    </row>
    <row r="32730">
      <c r="A32730" s="17"/>
      <c r="H32730" s="18"/>
      <c r="K32730" s="18" t="s">
        <v>316</v>
      </c>
    </row>
    <row r="32731">
      <c r="A32731" s="17"/>
      <c r="H32731" s="18"/>
      <c r="K32731" s="18" t="s">
        <v>316</v>
      </c>
    </row>
    <row r="32732">
      <c r="A32732" s="17"/>
      <c r="H32732" s="18"/>
      <c r="K32732" s="18" t="s">
        <v>316</v>
      </c>
    </row>
    <row r="32733">
      <c r="A32733" s="17"/>
      <c r="H32733" s="18"/>
      <c r="K32733" s="18" t="s">
        <v>316</v>
      </c>
    </row>
    <row r="32734">
      <c r="A32734" s="17"/>
      <c r="H32734" s="18"/>
      <c r="K32734" s="18" t="s">
        <v>316</v>
      </c>
    </row>
    <row r="32735">
      <c r="A32735" s="17"/>
      <c r="H32735" s="18"/>
      <c r="K32735" s="18" t="s">
        <v>316</v>
      </c>
    </row>
    <row r="32736">
      <c r="A32736" s="17"/>
      <c r="H32736" s="18"/>
      <c r="K32736" s="18" t="s">
        <v>316</v>
      </c>
    </row>
    <row r="32737">
      <c r="A32737" s="17"/>
      <c r="H32737" s="18"/>
      <c r="K32737" s="18" t="s">
        <v>316</v>
      </c>
    </row>
    <row r="32738">
      <c r="A32738" s="17"/>
      <c r="H32738" s="18"/>
      <c r="K32738" s="18" t="s">
        <v>316</v>
      </c>
    </row>
    <row r="32739">
      <c r="A32739" s="17"/>
      <c r="H32739" s="18"/>
      <c r="K32739" s="18" t="s">
        <v>316</v>
      </c>
    </row>
    <row r="32740">
      <c r="A32740" s="17"/>
      <c r="H32740" s="18"/>
      <c r="K32740" s="18" t="s">
        <v>316</v>
      </c>
    </row>
    <row r="32741">
      <c r="A32741" s="17"/>
      <c r="H32741" s="18"/>
      <c r="K32741" s="18" t="s">
        <v>316</v>
      </c>
    </row>
    <row r="32742">
      <c r="A32742" s="17"/>
      <c r="H32742" s="18"/>
      <c r="K32742" s="18" t="s">
        <v>316</v>
      </c>
    </row>
    <row r="32743">
      <c r="A32743" s="17"/>
      <c r="H32743" s="18"/>
      <c r="K32743" s="18" t="s">
        <v>316</v>
      </c>
    </row>
    <row r="32744">
      <c r="A32744" s="17"/>
      <c r="H32744" s="18"/>
      <c r="K32744" s="18" t="s">
        <v>316</v>
      </c>
    </row>
    <row r="32745">
      <c r="A32745" s="17"/>
      <c r="H32745" s="18"/>
      <c r="K32745" s="18" t="s">
        <v>316</v>
      </c>
    </row>
    <row r="32746">
      <c r="A32746" s="17"/>
      <c r="H32746" s="18"/>
      <c r="K32746" s="18" t="s">
        <v>316</v>
      </c>
    </row>
    <row r="32747">
      <c r="A32747" s="17"/>
      <c r="H32747" s="18"/>
      <c r="K32747" s="18" t="s">
        <v>316</v>
      </c>
    </row>
    <row r="32748">
      <c r="A32748" s="17"/>
      <c r="H32748" s="18"/>
      <c r="K32748" s="18" t="s">
        <v>316</v>
      </c>
    </row>
    <row r="32749">
      <c r="A32749" s="17"/>
      <c r="H32749" s="18"/>
      <c r="K32749" s="18" t="s">
        <v>316</v>
      </c>
    </row>
    <row r="32750">
      <c r="A32750" s="17"/>
      <c r="H32750" s="18"/>
      <c r="K32750" s="18" t="s">
        <v>316</v>
      </c>
    </row>
    <row r="32751">
      <c r="A32751" s="17"/>
      <c r="H32751" s="18"/>
      <c r="K32751" s="18" t="s">
        <v>316</v>
      </c>
    </row>
    <row r="32752">
      <c r="A32752" s="17"/>
      <c r="H32752" s="18"/>
      <c r="K32752" s="18" t="s">
        <v>316</v>
      </c>
    </row>
    <row r="32753">
      <c r="A32753" s="17"/>
      <c r="H32753" s="18"/>
      <c r="K32753" s="18" t="s">
        <v>316</v>
      </c>
    </row>
    <row r="32754">
      <c r="A32754" s="17"/>
      <c r="H32754" s="18"/>
      <c r="K32754" s="18" t="s">
        <v>316</v>
      </c>
    </row>
    <row r="32755">
      <c r="A32755" s="17"/>
      <c r="H32755" s="18"/>
      <c r="K32755" s="18" t="s">
        <v>316</v>
      </c>
    </row>
    <row r="32756">
      <c r="A32756" s="17"/>
      <c r="H32756" s="18"/>
      <c r="K32756" s="18" t="s">
        <v>316</v>
      </c>
    </row>
    <row r="32757">
      <c r="A32757" s="17"/>
      <c r="H32757" s="18"/>
      <c r="K32757" s="18" t="s">
        <v>316</v>
      </c>
    </row>
    <row r="32758">
      <c r="A32758" s="17"/>
      <c r="H32758" s="18"/>
      <c r="K32758" s="18" t="s">
        <v>316</v>
      </c>
    </row>
    <row r="32759">
      <c r="A32759" s="17"/>
      <c r="H32759" s="18"/>
      <c r="K32759" s="18" t="s">
        <v>316</v>
      </c>
    </row>
    <row r="32760">
      <c r="A32760" s="17"/>
      <c r="H32760" s="18"/>
      <c r="K32760" s="18" t="s">
        <v>316</v>
      </c>
    </row>
    <row r="32761">
      <c r="A32761" s="17"/>
      <c r="H32761" s="18"/>
      <c r="K32761" s="18" t="s">
        <v>316</v>
      </c>
    </row>
    <row r="32762">
      <c r="A32762" s="17"/>
      <c r="H32762" s="18"/>
      <c r="K32762" s="18" t="s">
        <v>316</v>
      </c>
    </row>
    <row r="32763">
      <c r="A32763" s="17"/>
      <c r="H32763" s="18"/>
      <c r="K32763" s="18" t="s">
        <v>316</v>
      </c>
    </row>
    <row r="32764">
      <c r="A32764" s="17"/>
      <c r="H32764" s="18"/>
      <c r="K32764" s="18" t="s">
        <v>316</v>
      </c>
    </row>
    <row r="32765">
      <c r="A32765" s="17"/>
      <c r="H32765" s="18"/>
      <c r="K32765" s="18" t="s">
        <v>316</v>
      </c>
    </row>
    <row r="32766">
      <c r="A32766" s="17"/>
      <c r="H32766" s="18"/>
      <c r="K32766" s="18" t="s">
        <v>316</v>
      </c>
    </row>
    <row r="32767">
      <c r="A32767" s="17"/>
      <c r="H32767" s="18"/>
      <c r="K32767" s="18" t="s">
        <v>316</v>
      </c>
    </row>
    <row r="32768">
      <c r="A32768" s="17"/>
      <c r="H32768" s="18"/>
      <c r="K32768" s="18" t="s">
        <v>316</v>
      </c>
    </row>
    <row r="32769">
      <c r="A32769" s="17"/>
      <c r="H32769" s="18"/>
      <c r="K32769" s="18" t="s">
        <v>316</v>
      </c>
    </row>
    <row r="32770">
      <c r="A32770" s="17"/>
      <c r="H32770" s="18"/>
      <c r="K32770" s="18" t="s">
        <v>316</v>
      </c>
    </row>
    <row r="32771">
      <c r="A32771" s="17"/>
      <c r="H32771" s="18"/>
      <c r="K32771" s="18" t="s">
        <v>316</v>
      </c>
    </row>
    <row r="32772">
      <c r="A32772" s="17"/>
      <c r="H32772" s="18"/>
      <c r="K32772" s="18" t="s">
        <v>316</v>
      </c>
    </row>
    <row r="32773">
      <c r="A32773" s="17"/>
      <c r="H32773" s="18"/>
      <c r="K32773" s="18" t="s">
        <v>316</v>
      </c>
    </row>
    <row r="32774">
      <c r="A32774" s="17"/>
      <c r="H32774" s="18"/>
      <c r="K32774" s="18" t="s">
        <v>316</v>
      </c>
    </row>
    <row r="32775">
      <c r="A32775" s="17"/>
      <c r="H32775" s="18"/>
      <c r="K32775" s="18" t="s">
        <v>316</v>
      </c>
    </row>
    <row r="32776">
      <c r="A32776" s="17"/>
      <c r="H32776" s="18"/>
      <c r="K32776" s="18" t="s">
        <v>316</v>
      </c>
    </row>
    <row r="32777">
      <c r="A32777" s="17"/>
      <c r="H32777" s="18"/>
      <c r="K32777" s="18" t="s">
        <v>316</v>
      </c>
    </row>
    <row r="32778">
      <c r="A32778" s="17"/>
      <c r="H32778" s="18"/>
      <c r="K32778" s="18" t="s">
        <v>316</v>
      </c>
    </row>
    <row r="32779">
      <c r="A32779" s="17"/>
      <c r="H32779" s="18"/>
      <c r="K32779" s="18" t="s">
        <v>316</v>
      </c>
    </row>
    <row r="32780">
      <c r="A32780" s="17"/>
      <c r="H32780" s="18"/>
      <c r="K32780" s="18" t="s">
        <v>316</v>
      </c>
    </row>
    <row r="32781">
      <c r="A32781" s="17"/>
      <c r="H32781" s="18"/>
      <c r="K32781" s="18" t="s">
        <v>316</v>
      </c>
    </row>
    <row r="32782">
      <c r="A32782" s="17"/>
      <c r="H32782" s="18"/>
      <c r="K32782" s="18" t="s">
        <v>316</v>
      </c>
    </row>
    <row r="32783">
      <c r="A32783" s="17"/>
      <c r="H32783" s="18"/>
      <c r="K32783" s="18" t="s">
        <v>316</v>
      </c>
    </row>
    <row r="32784">
      <c r="A32784" s="17"/>
      <c r="H32784" s="18"/>
      <c r="K32784" s="18" t="s">
        <v>316</v>
      </c>
    </row>
    <row r="32785">
      <c r="A32785" s="17"/>
      <c r="H32785" s="18"/>
      <c r="K32785" s="18" t="s">
        <v>316</v>
      </c>
    </row>
    <row r="32786">
      <c r="A32786" s="17"/>
      <c r="H32786" s="18"/>
      <c r="K32786" s="18" t="s">
        <v>316</v>
      </c>
    </row>
    <row r="32787">
      <c r="A32787" s="17"/>
      <c r="H32787" s="18"/>
      <c r="K32787" s="18" t="s">
        <v>316</v>
      </c>
    </row>
    <row r="32788">
      <c r="A32788" s="17"/>
      <c r="H32788" s="18"/>
      <c r="K32788" s="18" t="s">
        <v>316</v>
      </c>
    </row>
    <row r="32789">
      <c r="A32789" s="17"/>
      <c r="H32789" s="18"/>
      <c r="K32789" s="18" t="s">
        <v>316</v>
      </c>
    </row>
    <row r="32790">
      <c r="A32790" s="17"/>
      <c r="H32790" s="18"/>
      <c r="K32790" s="18" t="s">
        <v>316</v>
      </c>
    </row>
    <row r="32791">
      <c r="A32791" s="17"/>
      <c r="H32791" s="18"/>
      <c r="K32791" s="18" t="s">
        <v>316</v>
      </c>
    </row>
    <row r="32792">
      <c r="A32792" s="17"/>
      <c r="H32792" s="18"/>
      <c r="K32792" s="18" t="s">
        <v>316</v>
      </c>
    </row>
    <row r="32793">
      <c r="A32793" s="17"/>
      <c r="H32793" s="18"/>
      <c r="K32793" s="18" t="s">
        <v>316</v>
      </c>
    </row>
    <row r="32794">
      <c r="A32794" s="17"/>
      <c r="H32794" s="18"/>
      <c r="K32794" s="18" t="s">
        <v>316</v>
      </c>
    </row>
    <row r="32795">
      <c r="A32795" s="17"/>
      <c r="H32795" s="18"/>
      <c r="K32795" s="18" t="s">
        <v>316</v>
      </c>
    </row>
    <row r="32796">
      <c r="A32796" s="17"/>
      <c r="H32796" s="18"/>
      <c r="K32796" s="18" t="s">
        <v>316</v>
      </c>
    </row>
    <row r="32797">
      <c r="A32797" s="17"/>
      <c r="H32797" s="18"/>
      <c r="K32797" s="18" t="s">
        <v>316</v>
      </c>
    </row>
    <row r="32798">
      <c r="A32798" s="17"/>
      <c r="H32798" s="18"/>
      <c r="K32798" s="18" t="s">
        <v>316</v>
      </c>
    </row>
    <row r="32799">
      <c r="A32799" s="17"/>
      <c r="H32799" s="18"/>
      <c r="K32799" s="18" t="s">
        <v>316</v>
      </c>
    </row>
    <row r="32800">
      <c r="A32800" s="17"/>
      <c r="H32800" s="18"/>
      <c r="K32800" s="18" t="s">
        <v>316</v>
      </c>
    </row>
    <row r="32801">
      <c r="A32801" s="17"/>
      <c r="H32801" s="18"/>
      <c r="K32801" s="18" t="s">
        <v>316</v>
      </c>
    </row>
    <row r="32802">
      <c r="A32802" s="17"/>
      <c r="H32802" s="18"/>
      <c r="K32802" s="18" t="s">
        <v>316</v>
      </c>
    </row>
    <row r="32803">
      <c r="A32803" s="17"/>
      <c r="H32803" s="18"/>
      <c r="K32803" s="18" t="s">
        <v>316</v>
      </c>
    </row>
    <row r="32804">
      <c r="A32804" s="17"/>
      <c r="H32804" s="18"/>
      <c r="K32804" s="18" t="s">
        <v>316</v>
      </c>
    </row>
    <row r="32805">
      <c r="A32805" s="17"/>
      <c r="H32805" s="18"/>
      <c r="K32805" s="18" t="s">
        <v>316</v>
      </c>
    </row>
    <row r="32806">
      <c r="A32806" s="17"/>
      <c r="H32806" s="18"/>
      <c r="K32806" s="18" t="s">
        <v>316</v>
      </c>
    </row>
    <row r="32807">
      <c r="A32807" s="17"/>
      <c r="H32807" s="18"/>
      <c r="K32807" s="18" t="s">
        <v>316</v>
      </c>
    </row>
    <row r="32808">
      <c r="A32808" s="17"/>
      <c r="H32808" s="18"/>
      <c r="K32808" s="18" t="s">
        <v>316</v>
      </c>
    </row>
    <row r="32809">
      <c r="A32809" s="17"/>
      <c r="H32809" s="18"/>
      <c r="K32809" s="18" t="s">
        <v>316</v>
      </c>
    </row>
    <row r="32810">
      <c r="A32810" s="17"/>
      <c r="H32810" s="18"/>
      <c r="K32810" s="18" t="s">
        <v>316</v>
      </c>
    </row>
    <row r="32811">
      <c r="A32811" s="17"/>
      <c r="H32811" s="18"/>
      <c r="K32811" s="18" t="s">
        <v>316</v>
      </c>
    </row>
    <row r="32812">
      <c r="A32812" s="17"/>
      <c r="H32812" s="18"/>
      <c r="K32812" s="18" t="s">
        <v>316</v>
      </c>
    </row>
    <row r="32813">
      <c r="A32813" s="17"/>
      <c r="H32813" s="18"/>
      <c r="K32813" s="18" t="s">
        <v>316</v>
      </c>
    </row>
    <row r="32814">
      <c r="A32814" s="17"/>
      <c r="H32814" s="18"/>
      <c r="K32814" s="18" t="s">
        <v>316</v>
      </c>
    </row>
    <row r="32815">
      <c r="A32815" s="17"/>
      <c r="H32815" s="18"/>
      <c r="K32815" s="18" t="s">
        <v>316</v>
      </c>
    </row>
    <row r="32816">
      <c r="A32816" s="17"/>
      <c r="H32816" s="18"/>
      <c r="K32816" s="18" t="s">
        <v>316</v>
      </c>
    </row>
    <row r="32817">
      <c r="A32817" s="17"/>
      <c r="H32817" s="18"/>
      <c r="K32817" s="18" t="s">
        <v>316</v>
      </c>
    </row>
    <row r="32818">
      <c r="A32818" s="17"/>
      <c r="H32818" s="18"/>
      <c r="K32818" s="18" t="s">
        <v>316</v>
      </c>
    </row>
    <row r="32819">
      <c r="A32819" s="17"/>
      <c r="H32819" s="18"/>
      <c r="K32819" s="18" t="s">
        <v>316</v>
      </c>
    </row>
    <row r="32820">
      <c r="A32820" s="17"/>
      <c r="H32820" s="18"/>
      <c r="K32820" s="18" t="s">
        <v>316</v>
      </c>
    </row>
    <row r="32821">
      <c r="A32821" s="17"/>
      <c r="H32821" s="18"/>
      <c r="K32821" s="18" t="s">
        <v>316</v>
      </c>
    </row>
    <row r="32822">
      <c r="A32822" s="17"/>
      <c r="H32822" s="18"/>
      <c r="K32822" s="18" t="s">
        <v>316</v>
      </c>
    </row>
    <row r="32823">
      <c r="A32823" s="17"/>
      <c r="H32823" s="18"/>
      <c r="K32823" s="18" t="s">
        <v>316</v>
      </c>
    </row>
    <row r="32824">
      <c r="A32824" s="17"/>
      <c r="H32824" s="18"/>
      <c r="K32824" s="18" t="s">
        <v>316</v>
      </c>
    </row>
    <row r="32825">
      <c r="A32825" s="17"/>
      <c r="H32825" s="18"/>
      <c r="K32825" s="18" t="s">
        <v>316</v>
      </c>
    </row>
    <row r="32826">
      <c r="A32826" s="17"/>
      <c r="H32826" s="18"/>
      <c r="K32826" s="18" t="s">
        <v>316</v>
      </c>
    </row>
    <row r="32827">
      <c r="A32827" s="17"/>
      <c r="H32827" s="18"/>
      <c r="K32827" s="18" t="s">
        <v>316</v>
      </c>
    </row>
    <row r="32828">
      <c r="A32828" s="17"/>
      <c r="H32828" s="18"/>
      <c r="K32828" s="18" t="s">
        <v>316</v>
      </c>
    </row>
    <row r="32829">
      <c r="A32829" s="17"/>
      <c r="H32829" s="18"/>
      <c r="K32829" s="18" t="s">
        <v>316</v>
      </c>
    </row>
    <row r="32830">
      <c r="A32830" s="17"/>
      <c r="H32830" s="18"/>
      <c r="K32830" s="18" t="s">
        <v>316</v>
      </c>
    </row>
    <row r="32831">
      <c r="A32831" s="17"/>
      <c r="H32831" s="18"/>
      <c r="K32831" s="18" t="s">
        <v>316</v>
      </c>
    </row>
    <row r="32832">
      <c r="A32832" s="17"/>
      <c r="H32832" s="18"/>
      <c r="K32832" s="18" t="s">
        <v>316</v>
      </c>
    </row>
    <row r="32833">
      <c r="A32833" s="17"/>
      <c r="H32833" s="18"/>
      <c r="K32833" s="18" t="s">
        <v>316</v>
      </c>
    </row>
    <row r="32834">
      <c r="A32834" s="17"/>
      <c r="H32834" s="18"/>
      <c r="K32834" s="18" t="s">
        <v>316</v>
      </c>
    </row>
    <row r="32835">
      <c r="A32835" s="17"/>
      <c r="H32835" s="18"/>
      <c r="K32835" s="18" t="s">
        <v>316</v>
      </c>
    </row>
    <row r="32836">
      <c r="A32836" s="17"/>
      <c r="H32836" s="18"/>
      <c r="K32836" s="18" t="s">
        <v>316</v>
      </c>
    </row>
    <row r="32837">
      <c r="A32837" s="17"/>
      <c r="H32837" s="18"/>
      <c r="K32837" s="18" t="s">
        <v>316</v>
      </c>
    </row>
    <row r="32838">
      <c r="A32838" s="17"/>
      <c r="H32838" s="18"/>
      <c r="K32838" s="18" t="s">
        <v>316</v>
      </c>
    </row>
    <row r="32839">
      <c r="A32839" s="17"/>
      <c r="H32839" s="18"/>
      <c r="K32839" s="18" t="s">
        <v>316</v>
      </c>
    </row>
    <row r="32840">
      <c r="A32840" s="17"/>
      <c r="H32840" s="18"/>
      <c r="K32840" s="18" t="s">
        <v>316</v>
      </c>
    </row>
    <row r="32841">
      <c r="A32841" s="17"/>
      <c r="H32841" s="18"/>
      <c r="K32841" s="18" t="s">
        <v>316</v>
      </c>
    </row>
    <row r="32842">
      <c r="A32842" s="17"/>
      <c r="H32842" s="18"/>
      <c r="K32842" s="18" t="s">
        <v>316</v>
      </c>
    </row>
    <row r="32843">
      <c r="A32843" s="17"/>
      <c r="H32843" s="18"/>
      <c r="K32843" s="18" t="s">
        <v>316</v>
      </c>
    </row>
    <row r="32844">
      <c r="A32844" s="17"/>
      <c r="H32844" s="18"/>
      <c r="K32844" s="18" t="s">
        <v>316</v>
      </c>
    </row>
    <row r="32845">
      <c r="A32845" s="17"/>
      <c r="H32845" s="18"/>
      <c r="K32845" s="18" t="s">
        <v>316</v>
      </c>
    </row>
    <row r="32846">
      <c r="A32846" s="17"/>
      <c r="H32846" s="18"/>
      <c r="K32846" s="18" t="s">
        <v>316</v>
      </c>
    </row>
    <row r="32847">
      <c r="A32847" s="17"/>
      <c r="H32847" s="18"/>
      <c r="K32847" s="18" t="s">
        <v>316</v>
      </c>
    </row>
    <row r="32848">
      <c r="A32848" s="17"/>
      <c r="H32848" s="18"/>
      <c r="K32848" s="18" t="s">
        <v>316</v>
      </c>
    </row>
    <row r="32849">
      <c r="A32849" s="17"/>
      <c r="H32849" s="18"/>
      <c r="K32849" s="18" t="s">
        <v>316</v>
      </c>
    </row>
    <row r="32850">
      <c r="A32850" s="17"/>
      <c r="H32850" s="18"/>
      <c r="K32850" s="18" t="s">
        <v>316</v>
      </c>
    </row>
    <row r="32851">
      <c r="A32851" s="17"/>
      <c r="H32851" s="18"/>
      <c r="K32851" s="18" t="s">
        <v>316</v>
      </c>
    </row>
    <row r="32852">
      <c r="A32852" s="17"/>
      <c r="H32852" s="18"/>
      <c r="K32852" s="18" t="s">
        <v>316</v>
      </c>
    </row>
    <row r="32853">
      <c r="A32853" s="17"/>
      <c r="H32853" s="18"/>
      <c r="K32853" s="18" t="s">
        <v>316</v>
      </c>
    </row>
    <row r="32854">
      <c r="A32854" s="17"/>
      <c r="H32854" s="18"/>
      <c r="K32854" s="18" t="s">
        <v>316</v>
      </c>
    </row>
    <row r="32855">
      <c r="A32855" s="17"/>
      <c r="H32855" s="18"/>
      <c r="K32855" s="18" t="s">
        <v>316</v>
      </c>
    </row>
    <row r="32856">
      <c r="A32856" s="17"/>
      <c r="H32856" s="18"/>
      <c r="K32856" s="18" t="s">
        <v>316</v>
      </c>
    </row>
    <row r="32857">
      <c r="A32857" s="17"/>
      <c r="H32857" s="18"/>
      <c r="K32857" s="18" t="s">
        <v>316</v>
      </c>
    </row>
    <row r="32858">
      <c r="A32858" s="17"/>
      <c r="H32858" s="18"/>
      <c r="K32858" s="18" t="s">
        <v>316</v>
      </c>
    </row>
    <row r="32859">
      <c r="A32859" s="17"/>
      <c r="H32859" s="18"/>
      <c r="K32859" s="18" t="s">
        <v>316</v>
      </c>
    </row>
    <row r="32860">
      <c r="A32860" s="17"/>
      <c r="H32860" s="18"/>
      <c r="K32860" s="18" t="s">
        <v>316</v>
      </c>
    </row>
    <row r="32861">
      <c r="A32861" s="17"/>
      <c r="H32861" s="18"/>
      <c r="K32861" s="18" t="s">
        <v>316</v>
      </c>
    </row>
    <row r="32862">
      <c r="A32862" s="17"/>
      <c r="H32862" s="18"/>
      <c r="K32862" s="18" t="s">
        <v>316</v>
      </c>
    </row>
    <row r="32863">
      <c r="A32863" s="17"/>
      <c r="H32863" s="18"/>
      <c r="K32863" s="18" t="s">
        <v>316</v>
      </c>
    </row>
    <row r="32864">
      <c r="A32864" s="17"/>
      <c r="H32864" s="18"/>
      <c r="K32864" s="18" t="s">
        <v>316</v>
      </c>
    </row>
    <row r="32865">
      <c r="A32865" s="17"/>
      <c r="H32865" s="18"/>
      <c r="K32865" s="18" t="s">
        <v>316</v>
      </c>
    </row>
    <row r="32866">
      <c r="A32866" s="17"/>
      <c r="H32866" s="18"/>
      <c r="K32866" s="18" t="s">
        <v>316</v>
      </c>
    </row>
    <row r="32867">
      <c r="A32867" s="17"/>
      <c r="H32867" s="18"/>
      <c r="K32867" s="18" t="s">
        <v>316</v>
      </c>
    </row>
    <row r="32868">
      <c r="A32868" s="17"/>
      <c r="H32868" s="18"/>
      <c r="K32868" s="18" t="s">
        <v>316</v>
      </c>
    </row>
    <row r="32869">
      <c r="A32869" s="17"/>
      <c r="H32869" s="18"/>
      <c r="K32869" s="18" t="s">
        <v>316</v>
      </c>
    </row>
    <row r="32870">
      <c r="A32870" s="17"/>
      <c r="H32870" s="18"/>
      <c r="K32870" s="18" t="s">
        <v>316</v>
      </c>
    </row>
    <row r="32871">
      <c r="A32871" s="17"/>
      <c r="H32871" s="18"/>
      <c r="K32871" s="18" t="s">
        <v>316</v>
      </c>
    </row>
    <row r="32872">
      <c r="A32872" s="17"/>
      <c r="H32872" s="18"/>
      <c r="K32872" s="18" t="s">
        <v>316</v>
      </c>
    </row>
    <row r="32873">
      <c r="A32873" s="17"/>
      <c r="H32873" s="18"/>
      <c r="K32873" s="18" t="s">
        <v>316</v>
      </c>
    </row>
    <row r="32874">
      <c r="A32874" s="17"/>
      <c r="H32874" s="18"/>
      <c r="K32874" s="18" t="s">
        <v>316</v>
      </c>
    </row>
    <row r="32875">
      <c r="A32875" s="17"/>
      <c r="H32875" s="18"/>
      <c r="K32875" s="18" t="s">
        <v>316</v>
      </c>
    </row>
    <row r="32876">
      <c r="A32876" s="17"/>
      <c r="H32876" s="18"/>
      <c r="K32876" s="18" t="s">
        <v>316</v>
      </c>
    </row>
    <row r="32877">
      <c r="A32877" s="17"/>
      <c r="H32877" s="18"/>
      <c r="K32877" s="18" t="s">
        <v>316</v>
      </c>
    </row>
    <row r="32878">
      <c r="A32878" s="17"/>
      <c r="H32878" s="18"/>
      <c r="K32878" s="18" t="s">
        <v>316</v>
      </c>
    </row>
    <row r="32879">
      <c r="A32879" s="17"/>
      <c r="H32879" s="18"/>
      <c r="K32879" s="18" t="s">
        <v>316</v>
      </c>
    </row>
    <row r="32880">
      <c r="A32880" s="17"/>
      <c r="H32880" s="18"/>
      <c r="K32880" s="18" t="s">
        <v>316</v>
      </c>
    </row>
    <row r="32881">
      <c r="A32881" s="17"/>
      <c r="H32881" s="18"/>
      <c r="K32881" s="18" t="s">
        <v>316</v>
      </c>
    </row>
    <row r="32882">
      <c r="A32882" s="17"/>
      <c r="H32882" s="18"/>
      <c r="K32882" s="18" t="s">
        <v>316</v>
      </c>
    </row>
    <row r="32883">
      <c r="A32883" s="17"/>
      <c r="H32883" s="18"/>
      <c r="K32883" s="18" t="s">
        <v>316</v>
      </c>
    </row>
    <row r="32884">
      <c r="A32884" s="17"/>
      <c r="H32884" s="18"/>
      <c r="K32884" s="18" t="s">
        <v>316</v>
      </c>
    </row>
    <row r="32885">
      <c r="A32885" s="17"/>
      <c r="H32885" s="18"/>
      <c r="K32885" s="18" t="s">
        <v>316</v>
      </c>
    </row>
    <row r="32886">
      <c r="A32886" s="17"/>
      <c r="H32886" s="18"/>
      <c r="K32886" s="18" t="s">
        <v>316</v>
      </c>
    </row>
    <row r="32887">
      <c r="A32887" s="17"/>
      <c r="H32887" s="18"/>
      <c r="K32887" s="18" t="s">
        <v>316</v>
      </c>
    </row>
    <row r="32888">
      <c r="A32888" s="17"/>
      <c r="H32888" s="18"/>
      <c r="K32888" s="18" t="s">
        <v>316</v>
      </c>
    </row>
    <row r="32889">
      <c r="A32889" s="17"/>
      <c r="H32889" s="18"/>
      <c r="K32889" s="18" t="s">
        <v>316</v>
      </c>
    </row>
    <row r="32890">
      <c r="A32890" s="17"/>
      <c r="H32890" s="18"/>
      <c r="K32890" s="18" t="s">
        <v>316</v>
      </c>
    </row>
    <row r="32891">
      <c r="A32891" s="17"/>
      <c r="H32891" s="18"/>
      <c r="K32891" s="18" t="s">
        <v>316</v>
      </c>
    </row>
    <row r="32892">
      <c r="A32892" s="17"/>
      <c r="H32892" s="18"/>
      <c r="K32892" s="18" t="s">
        <v>316</v>
      </c>
    </row>
    <row r="32893">
      <c r="A32893" s="17"/>
      <c r="H32893" s="18"/>
      <c r="K32893" s="18" t="s">
        <v>316</v>
      </c>
    </row>
    <row r="32894">
      <c r="A32894" s="17"/>
      <c r="H32894" s="18"/>
      <c r="K32894" s="18" t="s">
        <v>316</v>
      </c>
    </row>
    <row r="32895">
      <c r="A32895" s="17"/>
      <c r="H32895" s="18"/>
      <c r="K32895" s="18" t="s">
        <v>316</v>
      </c>
    </row>
    <row r="32896">
      <c r="A32896" s="17"/>
      <c r="H32896" s="18"/>
      <c r="K32896" s="18" t="s">
        <v>316</v>
      </c>
    </row>
    <row r="32897">
      <c r="A32897" s="17"/>
      <c r="H32897" s="18"/>
      <c r="K32897" s="18" t="s">
        <v>316</v>
      </c>
    </row>
    <row r="32898">
      <c r="A32898" s="17"/>
      <c r="H32898" s="18"/>
      <c r="K32898" s="18" t="s">
        <v>316</v>
      </c>
    </row>
    <row r="32899">
      <c r="A32899" s="17"/>
      <c r="H32899" s="18"/>
      <c r="K32899" s="18" t="s">
        <v>316</v>
      </c>
    </row>
    <row r="32900">
      <c r="A32900" s="17"/>
      <c r="H32900" s="18"/>
      <c r="K32900" s="18" t="s">
        <v>316</v>
      </c>
    </row>
    <row r="32901">
      <c r="A32901" s="17"/>
      <c r="H32901" s="18"/>
      <c r="K32901" s="18" t="s">
        <v>316</v>
      </c>
    </row>
    <row r="32902">
      <c r="A32902" s="17"/>
      <c r="H32902" s="18"/>
      <c r="K32902" s="18" t="s">
        <v>316</v>
      </c>
    </row>
    <row r="32903">
      <c r="A32903" s="17"/>
      <c r="H32903" s="18"/>
      <c r="K32903" s="18" t="s">
        <v>316</v>
      </c>
    </row>
    <row r="32904">
      <c r="A32904" s="17"/>
      <c r="H32904" s="18"/>
      <c r="K32904" s="18" t="s">
        <v>316</v>
      </c>
    </row>
    <row r="32905">
      <c r="A32905" s="17"/>
      <c r="H32905" s="18"/>
      <c r="K32905" s="18" t="s">
        <v>316</v>
      </c>
    </row>
    <row r="32906">
      <c r="A32906" s="17"/>
      <c r="H32906" s="18"/>
      <c r="K32906" s="18" t="s">
        <v>316</v>
      </c>
    </row>
    <row r="32907">
      <c r="A32907" s="17"/>
      <c r="H32907" s="18"/>
      <c r="K32907" s="18" t="s">
        <v>316</v>
      </c>
    </row>
    <row r="32908">
      <c r="A32908" s="17"/>
      <c r="H32908" s="18"/>
      <c r="K32908" s="18" t="s">
        <v>316</v>
      </c>
    </row>
    <row r="32909">
      <c r="A32909" s="17"/>
      <c r="H32909" s="18"/>
      <c r="K32909" s="18" t="s">
        <v>316</v>
      </c>
    </row>
    <row r="32910">
      <c r="A32910" s="17"/>
      <c r="H32910" s="18"/>
      <c r="K32910" s="18" t="s">
        <v>316</v>
      </c>
    </row>
    <row r="32911">
      <c r="A32911" s="17"/>
      <c r="H32911" s="18"/>
      <c r="K32911" s="18" t="s">
        <v>316</v>
      </c>
    </row>
    <row r="32912">
      <c r="A32912" s="17"/>
      <c r="H32912" s="18"/>
      <c r="K32912" s="18" t="s">
        <v>316</v>
      </c>
    </row>
    <row r="32913">
      <c r="A32913" s="17"/>
      <c r="H32913" s="18"/>
      <c r="K32913" s="18" t="s">
        <v>316</v>
      </c>
    </row>
    <row r="32914">
      <c r="A32914" s="17"/>
      <c r="H32914" s="18"/>
      <c r="K32914" s="18" t="s">
        <v>316</v>
      </c>
    </row>
    <row r="32915">
      <c r="A32915" s="17"/>
      <c r="H32915" s="18"/>
      <c r="K32915" s="18" t="s">
        <v>316</v>
      </c>
    </row>
    <row r="32916">
      <c r="A32916" s="17"/>
      <c r="H32916" s="18"/>
      <c r="K32916" s="18" t="s">
        <v>316</v>
      </c>
    </row>
    <row r="32917">
      <c r="A32917" s="17"/>
      <c r="H32917" s="18"/>
      <c r="K32917" s="18" t="s">
        <v>316</v>
      </c>
    </row>
    <row r="32918">
      <c r="A32918" s="17"/>
      <c r="H32918" s="18"/>
      <c r="K32918" s="18" t="s">
        <v>316</v>
      </c>
    </row>
    <row r="32919">
      <c r="A32919" s="17"/>
      <c r="H32919" s="18"/>
      <c r="K32919" s="18" t="s">
        <v>316</v>
      </c>
    </row>
    <row r="32920">
      <c r="A32920" s="17"/>
      <c r="H32920" s="18"/>
      <c r="K32920" s="18" t="s">
        <v>316</v>
      </c>
    </row>
    <row r="32921">
      <c r="A32921" s="17"/>
      <c r="H32921" s="18"/>
      <c r="K32921" s="18" t="s">
        <v>316</v>
      </c>
    </row>
    <row r="32922">
      <c r="A32922" s="17"/>
      <c r="H32922" s="18"/>
      <c r="K32922" s="18" t="s">
        <v>316</v>
      </c>
    </row>
    <row r="32923">
      <c r="A32923" s="17"/>
      <c r="H32923" s="18"/>
      <c r="K32923" s="18" t="s">
        <v>316</v>
      </c>
    </row>
    <row r="32924">
      <c r="A32924" s="17"/>
      <c r="H32924" s="18"/>
      <c r="K32924" s="18" t="s">
        <v>316</v>
      </c>
    </row>
    <row r="32925">
      <c r="A32925" s="17"/>
      <c r="H32925" s="18"/>
      <c r="K32925" s="18" t="s">
        <v>316</v>
      </c>
    </row>
    <row r="32926">
      <c r="A32926" s="17"/>
      <c r="H32926" s="18"/>
      <c r="K32926" s="18" t="s">
        <v>316</v>
      </c>
    </row>
    <row r="32927">
      <c r="A32927" s="17"/>
      <c r="H32927" s="18"/>
      <c r="K32927" s="18" t="s">
        <v>316</v>
      </c>
    </row>
    <row r="32928">
      <c r="A32928" s="17"/>
      <c r="H32928" s="18"/>
      <c r="K32928" s="18" t="s">
        <v>316</v>
      </c>
    </row>
    <row r="32929">
      <c r="A32929" s="17"/>
      <c r="H32929" s="18"/>
      <c r="K32929" s="18" t="s">
        <v>316</v>
      </c>
    </row>
    <row r="32930">
      <c r="A32930" s="17"/>
      <c r="H32930" s="18"/>
      <c r="K32930" s="18" t="s">
        <v>316</v>
      </c>
    </row>
    <row r="32931">
      <c r="A32931" s="17"/>
      <c r="H32931" s="18"/>
      <c r="K32931" s="18" t="s">
        <v>316</v>
      </c>
    </row>
    <row r="32932">
      <c r="A32932" s="17"/>
      <c r="H32932" s="18"/>
      <c r="K32932" s="18" t="s">
        <v>316</v>
      </c>
    </row>
    <row r="32933">
      <c r="A32933" s="17"/>
      <c r="H32933" s="18"/>
      <c r="K32933" s="18" t="s">
        <v>316</v>
      </c>
    </row>
    <row r="32934">
      <c r="A32934" s="17"/>
      <c r="H32934" s="18"/>
      <c r="K32934" s="18" t="s">
        <v>316</v>
      </c>
    </row>
    <row r="32935">
      <c r="A32935" s="17"/>
      <c r="H32935" s="18"/>
      <c r="K32935" s="18" t="s">
        <v>316</v>
      </c>
    </row>
    <row r="32936">
      <c r="A32936" s="17"/>
      <c r="H32936" s="18"/>
      <c r="K32936" s="18" t="s">
        <v>316</v>
      </c>
    </row>
    <row r="32937">
      <c r="A32937" s="17"/>
      <c r="H32937" s="18"/>
      <c r="K32937" s="18" t="s">
        <v>316</v>
      </c>
    </row>
    <row r="32938">
      <c r="A32938" s="17"/>
      <c r="H32938" s="18"/>
      <c r="K32938" s="18" t="s">
        <v>316</v>
      </c>
    </row>
    <row r="32939">
      <c r="A32939" s="17"/>
      <c r="H32939" s="18"/>
      <c r="K32939" s="18" t="s">
        <v>316</v>
      </c>
    </row>
    <row r="32940">
      <c r="A32940" s="17"/>
      <c r="H32940" s="18"/>
      <c r="K32940" s="18" t="s">
        <v>316</v>
      </c>
    </row>
    <row r="32941">
      <c r="A32941" s="17"/>
      <c r="H32941" s="18"/>
      <c r="K32941" s="18" t="s">
        <v>316</v>
      </c>
    </row>
    <row r="32942">
      <c r="A32942" s="17"/>
      <c r="H32942" s="18"/>
      <c r="K32942" s="18" t="s">
        <v>316</v>
      </c>
    </row>
    <row r="32943">
      <c r="A32943" s="17"/>
      <c r="H32943" s="18"/>
      <c r="K32943" s="18" t="s">
        <v>316</v>
      </c>
    </row>
    <row r="32944">
      <c r="A32944" s="17"/>
      <c r="H32944" s="18"/>
      <c r="K32944" s="18" t="s">
        <v>316</v>
      </c>
    </row>
    <row r="32945">
      <c r="A32945" s="17"/>
      <c r="H32945" s="18"/>
      <c r="K32945" s="18" t="s">
        <v>316</v>
      </c>
    </row>
    <row r="32946">
      <c r="A32946" s="17"/>
      <c r="H32946" s="18"/>
      <c r="K32946" s="18" t="s">
        <v>316</v>
      </c>
    </row>
    <row r="32947">
      <c r="A32947" s="17"/>
      <c r="H32947" s="18"/>
      <c r="K32947" s="18" t="s">
        <v>316</v>
      </c>
    </row>
    <row r="32948">
      <c r="A32948" s="17"/>
      <c r="H32948" s="18"/>
      <c r="K32948" s="18" t="s">
        <v>316</v>
      </c>
    </row>
    <row r="32949">
      <c r="A32949" s="17"/>
      <c r="H32949" s="18"/>
      <c r="K32949" s="18" t="s">
        <v>316</v>
      </c>
    </row>
    <row r="32950">
      <c r="A32950" s="17"/>
      <c r="H32950" s="18"/>
      <c r="K32950" s="18" t="s">
        <v>316</v>
      </c>
    </row>
    <row r="32951">
      <c r="A32951" s="17"/>
      <c r="H32951" s="18"/>
      <c r="K32951" s="18" t="s">
        <v>316</v>
      </c>
    </row>
    <row r="32952">
      <c r="A32952" s="17"/>
      <c r="H32952" s="18"/>
      <c r="K32952" s="18" t="s">
        <v>316</v>
      </c>
    </row>
    <row r="32953">
      <c r="A32953" s="17"/>
      <c r="H32953" s="18"/>
      <c r="K32953" s="18" t="s">
        <v>316</v>
      </c>
    </row>
    <row r="32954">
      <c r="A32954" s="17"/>
      <c r="H32954" s="18"/>
      <c r="K32954" s="18" t="s">
        <v>316</v>
      </c>
    </row>
    <row r="32955">
      <c r="A32955" s="17"/>
      <c r="H32955" s="18"/>
      <c r="K32955" s="18" t="s">
        <v>316</v>
      </c>
    </row>
    <row r="32956">
      <c r="A32956" s="17"/>
      <c r="H32956" s="18"/>
      <c r="K32956" s="18" t="s">
        <v>316</v>
      </c>
    </row>
    <row r="32957">
      <c r="A32957" s="17"/>
      <c r="H32957" s="18"/>
      <c r="K32957" s="18" t="s">
        <v>316</v>
      </c>
    </row>
    <row r="32958">
      <c r="A32958" s="17"/>
      <c r="H32958" s="18"/>
      <c r="K32958" s="18" t="s">
        <v>316</v>
      </c>
    </row>
    <row r="32959">
      <c r="A32959" s="17"/>
      <c r="H32959" s="18"/>
      <c r="K32959" s="18" t="s">
        <v>316</v>
      </c>
    </row>
    <row r="32960">
      <c r="A32960" s="17"/>
      <c r="H32960" s="18"/>
      <c r="K32960" s="18" t="s">
        <v>316</v>
      </c>
    </row>
    <row r="32961">
      <c r="A32961" s="17"/>
      <c r="H32961" s="18"/>
      <c r="K32961" s="18" t="s">
        <v>316</v>
      </c>
    </row>
    <row r="32962">
      <c r="A32962" s="17"/>
      <c r="H32962" s="18"/>
      <c r="K32962" s="18" t="s">
        <v>316</v>
      </c>
    </row>
    <row r="32963">
      <c r="A32963" s="17"/>
      <c r="H32963" s="18"/>
      <c r="K32963" s="18" t="s">
        <v>316</v>
      </c>
    </row>
    <row r="32964">
      <c r="A32964" s="17"/>
      <c r="H32964" s="18"/>
      <c r="K32964" s="18" t="s">
        <v>316</v>
      </c>
    </row>
    <row r="32965">
      <c r="A32965" s="17"/>
      <c r="H32965" s="18"/>
      <c r="K32965" s="18" t="s">
        <v>316</v>
      </c>
    </row>
    <row r="32966">
      <c r="A32966" s="17"/>
      <c r="H32966" s="18"/>
      <c r="K32966" s="18" t="s">
        <v>316</v>
      </c>
    </row>
    <row r="32967">
      <c r="A32967" s="17"/>
      <c r="H32967" s="18"/>
      <c r="K32967" s="18" t="s">
        <v>316</v>
      </c>
    </row>
    <row r="32968">
      <c r="A32968" s="17"/>
      <c r="H32968" s="18"/>
      <c r="K32968" s="18" t="s">
        <v>316</v>
      </c>
    </row>
    <row r="32969">
      <c r="A32969" s="17"/>
      <c r="H32969" s="18"/>
      <c r="K32969" s="18" t="s">
        <v>316</v>
      </c>
    </row>
    <row r="32970">
      <c r="A32970" s="17"/>
      <c r="H32970" s="18"/>
      <c r="K32970" s="18" t="s">
        <v>316</v>
      </c>
    </row>
    <row r="32971">
      <c r="A32971" s="17"/>
      <c r="H32971" s="18"/>
      <c r="K32971" s="18" t="s">
        <v>316</v>
      </c>
    </row>
    <row r="32972">
      <c r="A32972" s="17"/>
      <c r="H32972" s="18"/>
      <c r="K32972" s="18" t="s">
        <v>316</v>
      </c>
    </row>
    <row r="32973">
      <c r="A32973" s="17"/>
      <c r="H32973" s="18"/>
      <c r="K32973" s="18" t="s">
        <v>316</v>
      </c>
    </row>
    <row r="32974">
      <c r="A32974" s="17"/>
      <c r="H32974" s="18"/>
      <c r="K32974" s="18" t="s">
        <v>316</v>
      </c>
    </row>
    <row r="32975">
      <c r="A32975" s="17"/>
      <c r="H32975" s="18"/>
      <c r="K32975" s="18" t="s">
        <v>316</v>
      </c>
    </row>
    <row r="32976">
      <c r="A32976" s="17"/>
      <c r="H32976" s="18"/>
      <c r="K32976" s="18" t="s">
        <v>316</v>
      </c>
    </row>
    <row r="32977">
      <c r="A32977" s="17"/>
      <c r="H32977" s="18"/>
      <c r="K32977" s="18" t="s">
        <v>316</v>
      </c>
    </row>
    <row r="32978">
      <c r="A32978" s="17"/>
      <c r="H32978" s="18"/>
      <c r="K32978" s="18" t="s">
        <v>316</v>
      </c>
    </row>
    <row r="32979">
      <c r="A32979" s="17"/>
      <c r="H32979" s="18"/>
      <c r="K32979" s="18" t="s">
        <v>316</v>
      </c>
    </row>
    <row r="32980">
      <c r="A32980" s="17"/>
      <c r="H32980" s="18"/>
      <c r="K32980" s="18" t="s">
        <v>316</v>
      </c>
    </row>
    <row r="32981">
      <c r="A32981" s="17"/>
      <c r="H32981" s="18"/>
      <c r="K32981" s="18" t="s">
        <v>316</v>
      </c>
    </row>
    <row r="32982">
      <c r="A32982" s="17"/>
      <c r="H32982" s="18"/>
      <c r="K32982" s="18" t="s">
        <v>316</v>
      </c>
    </row>
    <row r="32983">
      <c r="A32983" s="17"/>
      <c r="H32983" s="18"/>
      <c r="K32983" s="18" t="s">
        <v>316</v>
      </c>
    </row>
    <row r="32984">
      <c r="A32984" s="17"/>
      <c r="H32984" s="18"/>
      <c r="K32984" s="18" t="s">
        <v>316</v>
      </c>
    </row>
    <row r="32985">
      <c r="A32985" s="17"/>
      <c r="H32985" s="18"/>
      <c r="K32985" s="18" t="s">
        <v>316</v>
      </c>
    </row>
    <row r="32986">
      <c r="A32986" s="17"/>
      <c r="H32986" s="18"/>
      <c r="K32986" s="18" t="s">
        <v>316</v>
      </c>
    </row>
    <row r="32987">
      <c r="A32987" s="17"/>
      <c r="H32987" s="18"/>
      <c r="K32987" s="18" t="s">
        <v>316</v>
      </c>
    </row>
    <row r="32988">
      <c r="A32988" s="17"/>
      <c r="H32988" s="18"/>
      <c r="K32988" s="18" t="s">
        <v>316</v>
      </c>
    </row>
    <row r="32989">
      <c r="A32989" s="17"/>
      <c r="H32989" s="18"/>
      <c r="K32989" s="18" t="s">
        <v>316</v>
      </c>
    </row>
    <row r="32990">
      <c r="A32990" s="17"/>
      <c r="H32990" s="18"/>
      <c r="K32990" s="18" t="s">
        <v>316</v>
      </c>
    </row>
    <row r="32991">
      <c r="A32991" s="17"/>
      <c r="H32991" s="18"/>
      <c r="K32991" s="18" t="s">
        <v>316</v>
      </c>
    </row>
    <row r="32992">
      <c r="A32992" s="17"/>
      <c r="H32992" s="18"/>
      <c r="K32992" s="18" t="s">
        <v>316</v>
      </c>
    </row>
    <row r="32993">
      <c r="A32993" s="17"/>
      <c r="H32993" s="18"/>
      <c r="K32993" s="18" t="s">
        <v>316</v>
      </c>
    </row>
    <row r="32994">
      <c r="A32994" s="17"/>
      <c r="H32994" s="18"/>
      <c r="K32994" s="18" t="s">
        <v>316</v>
      </c>
    </row>
    <row r="32995">
      <c r="A32995" s="17"/>
      <c r="H32995" s="18"/>
      <c r="K32995" s="18" t="s">
        <v>316</v>
      </c>
    </row>
    <row r="32996">
      <c r="A32996" s="17"/>
      <c r="H32996" s="18"/>
      <c r="K32996" s="18" t="s">
        <v>316</v>
      </c>
    </row>
    <row r="32997">
      <c r="A32997" s="17"/>
      <c r="H32997" s="18"/>
      <c r="K32997" s="18" t="s">
        <v>316</v>
      </c>
    </row>
    <row r="32998">
      <c r="A32998" s="17"/>
      <c r="H32998" s="18"/>
      <c r="K32998" s="18" t="s">
        <v>316</v>
      </c>
    </row>
    <row r="32999">
      <c r="A32999" s="17"/>
      <c r="H32999" s="18"/>
      <c r="K32999" s="18" t="s">
        <v>316</v>
      </c>
    </row>
    <row r="33000">
      <c r="A33000" s="17"/>
      <c r="H33000" s="18"/>
      <c r="K33000" s="18" t="s">
        <v>316</v>
      </c>
    </row>
    <row r="33001">
      <c r="A33001" s="17"/>
      <c r="H33001" s="18"/>
      <c r="K33001" s="18" t="s">
        <v>316</v>
      </c>
    </row>
    <row r="33002">
      <c r="A33002" s="17"/>
      <c r="H33002" s="18"/>
      <c r="K33002" s="18" t="s">
        <v>316</v>
      </c>
    </row>
    <row r="33003">
      <c r="A33003" s="17"/>
      <c r="H33003" s="18"/>
      <c r="K33003" s="18" t="s">
        <v>316</v>
      </c>
    </row>
    <row r="33004">
      <c r="A33004" s="17"/>
      <c r="H33004" s="18"/>
      <c r="K33004" s="18" t="s">
        <v>316</v>
      </c>
    </row>
    <row r="33005">
      <c r="A33005" s="17"/>
      <c r="H33005" s="18"/>
      <c r="K33005" s="18" t="s">
        <v>316</v>
      </c>
    </row>
    <row r="33006">
      <c r="A33006" s="17"/>
      <c r="H33006" s="18"/>
      <c r="K33006" s="18" t="s">
        <v>316</v>
      </c>
    </row>
    <row r="33007">
      <c r="A33007" s="17"/>
      <c r="H33007" s="18"/>
      <c r="K33007" s="18" t="s">
        <v>316</v>
      </c>
    </row>
    <row r="33008">
      <c r="A33008" s="17"/>
      <c r="H33008" s="18"/>
      <c r="K33008" s="18" t="s">
        <v>316</v>
      </c>
    </row>
    <row r="33009">
      <c r="A33009" s="17"/>
      <c r="H33009" s="18"/>
      <c r="K33009" s="18" t="s">
        <v>316</v>
      </c>
    </row>
    <row r="33010">
      <c r="A33010" s="17"/>
      <c r="H33010" s="18"/>
      <c r="K33010" s="18" t="s">
        <v>316</v>
      </c>
    </row>
    <row r="33011">
      <c r="A33011" s="17"/>
      <c r="H33011" s="18"/>
      <c r="K33011" s="18" t="s">
        <v>316</v>
      </c>
    </row>
    <row r="33012">
      <c r="A33012" s="17"/>
      <c r="H33012" s="18"/>
      <c r="K33012" s="18" t="s">
        <v>316</v>
      </c>
    </row>
    <row r="33013">
      <c r="A33013" s="17"/>
      <c r="H33013" s="18"/>
      <c r="K33013" s="18" t="s">
        <v>316</v>
      </c>
    </row>
    <row r="33014">
      <c r="A33014" s="17"/>
      <c r="H33014" s="18"/>
      <c r="K33014" s="18" t="s">
        <v>316</v>
      </c>
    </row>
    <row r="33015">
      <c r="A33015" s="17"/>
      <c r="H33015" s="18"/>
      <c r="K33015" s="18" t="s">
        <v>316</v>
      </c>
    </row>
    <row r="33016">
      <c r="A33016" s="17"/>
      <c r="H33016" s="18"/>
      <c r="K33016" s="18" t="s">
        <v>316</v>
      </c>
    </row>
    <row r="33017">
      <c r="A33017" s="17"/>
      <c r="H33017" s="18"/>
      <c r="K33017" s="18" t="s">
        <v>316</v>
      </c>
    </row>
    <row r="33018">
      <c r="A33018" s="17"/>
      <c r="H33018" s="18"/>
      <c r="K33018" s="18" t="s">
        <v>316</v>
      </c>
    </row>
    <row r="33019">
      <c r="A33019" s="17"/>
      <c r="H33019" s="18"/>
      <c r="K33019" s="18" t="s">
        <v>316</v>
      </c>
    </row>
    <row r="33020">
      <c r="A33020" s="17"/>
      <c r="H33020" s="18"/>
      <c r="K33020" s="18" t="s">
        <v>316</v>
      </c>
    </row>
    <row r="33021">
      <c r="A33021" s="17"/>
      <c r="H33021" s="18"/>
      <c r="K33021" s="18" t="s">
        <v>316</v>
      </c>
    </row>
    <row r="33022">
      <c r="A33022" s="17"/>
      <c r="H33022" s="18"/>
      <c r="K33022" s="18" t="s">
        <v>316</v>
      </c>
    </row>
    <row r="33023">
      <c r="A33023" s="17"/>
      <c r="H33023" s="18"/>
      <c r="K33023" s="18" t="s">
        <v>316</v>
      </c>
    </row>
    <row r="33024">
      <c r="A33024" s="17"/>
      <c r="H33024" s="18"/>
      <c r="K33024" s="18" t="s">
        <v>316</v>
      </c>
    </row>
    <row r="33025">
      <c r="A33025" s="17"/>
      <c r="H33025" s="18"/>
      <c r="K33025" s="18" t="s">
        <v>316</v>
      </c>
    </row>
    <row r="33026">
      <c r="A33026" s="17"/>
      <c r="H33026" s="18"/>
      <c r="K33026" s="18" t="s">
        <v>316</v>
      </c>
    </row>
    <row r="33027">
      <c r="A33027" s="17"/>
      <c r="H33027" s="18"/>
      <c r="K33027" s="18" t="s">
        <v>316</v>
      </c>
    </row>
    <row r="33028">
      <c r="A33028" s="17"/>
      <c r="H33028" s="18"/>
      <c r="K33028" s="18" t="s">
        <v>316</v>
      </c>
    </row>
    <row r="33029">
      <c r="A33029" s="17"/>
      <c r="H33029" s="18"/>
      <c r="K33029" s="18" t="s">
        <v>316</v>
      </c>
    </row>
    <row r="33030">
      <c r="A33030" s="17"/>
      <c r="H33030" s="18"/>
      <c r="K33030" s="18" t="s">
        <v>316</v>
      </c>
    </row>
    <row r="33031">
      <c r="A33031" s="17"/>
      <c r="H33031" s="18"/>
      <c r="K33031" s="18" t="s">
        <v>316</v>
      </c>
    </row>
    <row r="33032">
      <c r="A33032" s="17"/>
      <c r="H33032" s="18"/>
      <c r="K33032" s="18" t="s">
        <v>316</v>
      </c>
    </row>
    <row r="33033">
      <c r="A33033" s="17"/>
      <c r="H33033" s="18"/>
      <c r="K33033" s="18" t="s">
        <v>316</v>
      </c>
    </row>
    <row r="33034">
      <c r="A33034" s="17"/>
      <c r="H33034" s="18"/>
      <c r="K33034" s="18" t="s">
        <v>316</v>
      </c>
    </row>
    <row r="33035">
      <c r="A33035" s="17"/>
      <c r="H33035" s="18"/>
      <c r="K33035" s="18" t="s">
        <v>316</v>
      </c>
    </row>
    <row r="33036">
      <c r="A33036" s="17"/>
      <c r="H33036" s="18"/>
      <c r="K33036" s="18" t="s">
        <v>316</v>
      </c>
    </row>
    <row r="33037">
      <c r="A33037" s="17"/>
      <c r="H33037" s="18"/>
      <c r="K33037" s="18" t="s">
        <v>316</v>
      </c>
    </row>
    <row r="33038">
      <c r="A33038" s="17"/>
      <c r="H33038" s="18"/>
      <c r="K33038" s="18" t="s">
        <v>316</v>
      </c>
    </row>
    <row r="33039">
      <c r="A33039" s="17"/>
      <c r="H33039" s="18"/>
      <c r="K33039" s="18" t="s">
        <v>316</v>
      </c>
    </row>
    <row r="33040">
      <c r="A33040" s="17"/>
      <c r="H33040" s="18"/>
      <c r="K33040" s="18" t="s">
        <v>316</v>
      </c>
    </row>
    <row r="33041">
      <c r="A33041" s="17"/>
      <c r="H33041" s="18"/>
      <c r="K33041" s="18" t="s">
        <v>316</v>
      </c>
    </row>
    <row r="33042">
      <c r="A33042" s="17"/>
      <c r="H33042" s="18"/>
      <c r="K33042" s="18" t="s">
        <v>316</v>
      </c>
    </row>
    <row r="33043">
      <c r="A33043" s="17"/>
      <c r="H33043" s="18"/>
      <c r="K33043" s="18" t="s">
        <v>316</v>
      </c>
    </row>
    <row r="33044">
      <c r="A33044" s="17"/>
      <c r="H33044" s="18"/>
      <c r="K33044" s="18" t="s">
        <v>316</v>
      </c>
    </row>
    <row r="33045">
      <c r="A33045" s="17"/>
      <c r="H33045" s="18"/>
      <c r="K33045" s="18" t="s">
        <v>316</v>
      </c>
    </row>
    <row r="33046">
      <c r="A33046" s="17"/>
      <c r="H33046" s="18"/>
      <c r="K33046" s="18" t="s">
        <v>316</v>
      </c>
    </row>
    <row r="33047">
      <c r="A33047" s="17"/>
      <c r="H33047" s="18"/>
      <c r="K33047" s="18" t="s">
        <v>316</v>
      </c>
    </row>
    <row r="33048">
      <c r="A33048" s="17"/>
      <c r="H33048" s="18"/>
      <c r="K33048" s="18" t="s">
        <v>316</v>
      </c>
    </row>
    <row r="33049">
      <c r="A33049" s="17"/>
      <c r="H33049" s="18"/>
      <c r="K33049" s="18" t="s">
        <v>316</v>
      </c>
    </row>
    <row r="33050">
      <c r="A33050" s="17"/>
      <c r="H33050" s="18"/>
      <c r="K33050" s="18" t="s">
        <v>316</v>
      </c>
    </row>
    <row r="33051">
      <c r="A33051" s="17"/>
      <c r="H33051" s="18"/>
      <c r="K33051" s="18" t="s">
        <v>316</v>
      </c>
    </row>
    <row r="33052">
      <c r="A33052" s="17"/>
      <c r="H33052" s="18"/>
      <c r="K33052" s="18" t="s">
        <v>316</v>
      </c>
    </row>
    <row r="33053">
      <c r="A33053" s="17"/>
      <c r="H33053" s="18"/>
      <c r="K33053" s="18" t="s">
        <v>316</v>
      </c>
    </row>
    <row r="33054">
      <c r="A33054" s="17"/>
      <c r="H33054" s="18"/>
      <c r="K33054" s="18" t="s">
        <v>316</v>
      </c>
    </row>
    <row r="33055">
      <c r="A33055" s="17"/>
      <c r="H33055" s="18"/>
      <c r="K33055" s="18" t="s">
        <v>316</v>
      </c>
    </row>
    <row r="33056">
      <c r="A33056" s="17"/>
      <c r="H33056" s="18"/>
      <c r="K33056" s="18" t="s">
        <v>316</v>
      </c>
    </row>
    <row r="33057">
      <c r="A33057" s="17"/>
      <c r="H33057" s="18"/>
      <c r="K33057" s="18" t="s">
        <v>316</v>
      </c>
    </row>
    <row r="33058">
      <c r="A33058" s="17"/>
      <c r="H33058" s="18"/>
      <c r="K33058" s="18" t="s">
        <v>316</v>
      </c>
    </row>
    <row r="33059">
      <c r="A33059" s="17"/>
      <c r="H33059" s="18"/>
      <c r="K33059" s="18" t="s">
        <v>316</v>
      </c>
    </row>
    <row r="33060">
      <c r="A33060" s="17"/>
      <c r="H33060" s="18"/>
      <c r="K33060" s="18" t="s">
        <v>316</v>
      </c>
    </row>
    <row r="33061">
      <c r="A33061" s="17"/>
      <c r="H33061" s="18"/>
      <c r="K33061" s="18" t="s">
        <v>316</v>
      </c>
    </row>
    <row r="33062">
      <c r="A33062" s="17"/>
      <c r="H33062" s="18"/>
      <c r="K33062" s="18" t="s">
        <v>316</v>
      </c>
    </row>
    <row r="33063">
      <c r="A33063" s="17"/>
      <c r="H33063" s="18"/>
      <c r="K33063" s="18" t="s">
        <v>316</v>
      </c>
    </row>
    <row r="33064">
      <c r="A33064" s="17"/>
      <c r="H33064" s="18"/>
      <c r="K33064" s="18" t="s">
        <v>316</v>
      </c>
    </row>
    <row r="33065">
      <c r="A33065" s="17"/>
      <c r="H33065" s="18"/>
      <c r="K33065" s="18" t="s">
        <v>316</v>
      </c>
    </row>
    <row r="33066">
      <c r="A33066" s="17"/>
      <c r="H33066" s="18"/>
      <c r="K33066" s="18" t="s">
        <v>316</v>
      </c>
    </row>
    <row r="33067">
      <c r="A33067" s="17"/>
      <c r="H33067" s="18"/>
      <c r="K33067" s="18" t="s">
        <v>316</v>
      </c>
    </row>
    <row r="33068">
      <c r="A33068" s="17"/>
      <c r="H33068" s="18"/>
      <c r="K33068" s="18" t="s">
        <v>316</v>
      </c>
    </row>
    <row r="33069">
      <c r="A33069" s="17"/>
      <c r="H33069" s="18"/>
      <c r="K33069" s="18" t="s">
        <v>316</v>
      </c>
    </row>
    <row r="33070">
      <c r="A33070" s="17"/>
      <c r="H33070" s="18"/>
      <c r="K33070" s="18" t="s">
        <v>316</v>
      </c>
    </row>
    <row r="33071">
      <c r="A33071" s="17"/>
      <c r="H33071" s="18"/>
      <c r="K33071" s="18" t="s">
        <v>316</v>
      </c>
    </row>
    <row r="33072">
      <c r="A33072" s="17"/>
      <c r="H33072" s="18"/>
      <c r="K33072" s="18" t="s">
        <v>316</v>
      </c>
    </row>
    <row r="33073">
      <c r="A33073" s="17"/>
      <c r="H33073" s="18"/>
      <c r="K33073" s="18" t="s">
        <v>316</v>
      </c>
    </row>
    <row r="33074">
      <c r="A33074" s="17"/>
      <c r="H33074" s="18"/>
      <c r="K33074" s="18" t="s">
        <v>316</v>
      </c>
    </row>
    <row r="33075">
      <c r="A33075" s="17"/>
      <c r="H33075" s="18"/>
      <c r="K33075" s="18" t="s">
        <v>316</v>
      </c>
    </row>
    <row r="33076">
      <c r="A33076" s="17"/>
      <c r="H33076" s="18"/>
      <c r="K33076" s="18" t="s">
        <v>316</v>
      </c>
    </row>
    <row r="33077">
      <c r="A33077" s="17"/>
      <c r="H33077" s="18"/>
      <c r="K33077" s="18" t="s">
        <v>316</v>
      </c>
    </row>
    <row r="33078">
      <c r="A33078" s="17"/>
      <c r="H33078" s="18"/>
      <c r="K33078" s="18" t="s">
        <v>316</v>
      </c>
    </row>
    <row r="33079">
      <c r="A33079" s="17"/>
      <c r="H33079" s="18"/>
      <c r="K33079" s="18" t="s">
        <v>316</v>
      </c>
    </row>
    <row r="33080">
      <c r="A33080" s="17"/>
      <c r="H33080" s="18"/>
      <c r="K33080" s="18" t="s">
        <v>316</v>
      </c>
    </row>
    <row r="33081">
      <c r="A33081" s="17"/>
      <c r="H33081" s="18"/>
      <c r="K33081" s="18" t="s">
        <v>316</v>
      </c>
    </row>
    <row r="33082">
      <c r="A33082" s="17"/>
      <c r="H33082" s="18"/>
      <c r="K33082" s="18" t="s">
        <v>316</v>
      </c>
    </row>
    <row r="33083">
      <c r="A33083" s="17"/>
      <c r="H33083" s="18"/>
      <c r="K33083" s="18" t="s">
        <v>316</v>
      </c>
    </row>
    <row r="33084">
      <c r="A33084" s="17"/>
      <c r="H33084" s="18"/>
      <c r="K33084" s="18" t="s">
        <v>316</v>
      </c>
    </row>
    <row r="33085">
      <c r="A33085" s="17"/>
      <c r="H33085" s="18"/>
      <c r="K33085" s="18" t="s">
        <v>316</v>
      </c>
    </row>
    <row r="33086">
      <c r="A33086" s="17"/>
      <c r="H33086" s="18"/>
      <c r="K33086" s="18" t="s">
        <v>316</v>
      </c>
    </row>
    <row r="33087">
      <c r="A33087" s="17"/>
      <c r="H33087" s="18"/>
      <c r="K33087" s="18" t="s">
        <v>316</v>
      </c>
    </row>
    <row r="33088">
      <c r="A33088" s="17"/>
      <c r="H33088" s="18"/>
      <c r="K33088" s="18" t="s">
        <v>316</v>
      </c>
    </row>
    <row r="33089">
      <c r="A33089" s="17"/>
      <c r="H33089" s="18"/>
      <c r="K33089" s="18" t="s">
        <v>316</v>
      </c>
    </row>
    <row r="33090">
      <c r="A33090" s="17"/>
      <c r="H33090" s="18"/>
      <c r="K33090" s="18" t="s">
        <v>316</v>
      </c>
    </row>
    <row r="33091">
      <c r="A33091" s="17"/>
      <c r="H33091" s="18"/>
      <c r="K33091" s="18" t="s">
        <v>316</v>
      </c>
    </row>
    <row r="33092">
      <c r="A33092" s="17"/>
      <c r="H33092" s="18"/>
      <c r="K33092" s="18" t="s">
        <v>316</v>
      </c>
    </row>
    <row r="33093">
      <c r="A33093" s="17"/>
      <c r="H33093" s="18"/>
      <c r="K33093" s="18" t="s">
        <v>316</v>
      </c>
    </row>
    <row r="33094">
      <c r="A33094" s="17"/>
      <c r="H33094" s="18"/>
      <c r="K33094" s="18" t="s">
        <v>316</v>
      </c>
    </row>
    <row r="33095">
      <c r="A33095" s="17"/>
      <c r="H33095" s="18"/>
      <c r="K33095" s="18" t="s">
        <v>316</v>
      </c>
    </row>
    <row r="33096">
      <c r="A33096" s="17"/>
      <c r="H33096" s="18"/>
      <c r="K33096" s="18" t="s">
        <v>316</v>
      </c>
    </row>
    <row r="33097">
      <c r="A33097" s="17"/>
      <c r="H33097" s="18"/>
      <c r="K33097" s="18" t="s">
        <v>316</v>
      </c>
    </row>
    <row r="33098">
      <c r="A33098" s="17"/>
      <c r="H33098" s="18"/>
      <c r="K33098" s="18" t="s">
        <v>316</v>
      </c>
    </row>
    <row r="33099">
      <c r="A33099" s="17"/>
      <c r="H33099" s="18"/>
      <c r="K33099" s="18" t="s">
        <v>316</v>
      </c>
    </row>
    <row r="33100">
      <c r="A33100" s="17"/>
      <c r="H33100" s="18"/>
      <c r="K33100" s="18" t="s">
        <v>316</v>
      </c>
    </row>
    <row r="33101">
      <c r="A33101" s="17"/>
      <c r="H33101" s="18"/>
      <c r="K33101" s="18" t="s">
        <v>316</v>
      </c>
    </row>
    <row r="33102">
      <c r="A33102" s="17"/>
      <c r="H33102" s="18"/>
      <c r="K33102" s="18" t="s">
        <v>316</v>
      </c>
    </row>
    <row r="33103">
      <c r="A33103" s="17"/>
      <c r="H33103" s="18"/>
      <c r="K33103" s="18" t="s">
        <v>316</v>
      </c>
    </row>
    <row r="33104">
      <c r="A33104" s="17"/>
      <c r="H33104" s="18"/>
      <c r="K33104" s="18" t="s">
        <v>316</v>
      </c>
    </row>
    <row r="33105">
      <c r="A33105" s="17"/>
      <c r="H33105" s="18"/>
      <c r="K33105" s="18" t="s">
        <v>316</v>
      </c>
    </row>
    <row r="33106">
      <c r="A33106" s="17"/>
      <c r="H33106" s="18"/>
      <c r="K33106" s="18" t="s">
        <v>316</v>
      </c>
    </row>
    <row r="33107">
      <c r="A33107" s="17"/>
      <c r="H33107" s="18"/>
      <c r="K33107" s="18" t="s">
        <v>316</v>
      </c>
    </row>
    <row r="33108">
      <c r="A33108" s="17"/>
      <c r="H33108" s="18"/>
      <c r="K33108" s="18" t="s">
        <v>316</v>
      </c>
    </row>
    <row r="33109">
      <c r="A33109" s="17"/>
      <c r="H33109" s="18"/>
      <c r="K33109" s="18" t="s">
        <v>316</v>
      </c>
    </row>
    <row r="33110">
      <c r="A33110" s="17"/>
      <c r="H33110" s="18"/>
      <c r="K33110" s="18" t="s">
        <v>316</v>
      </c>
    </row>
    <row r="33111">
      <c r="A33111" s="17"/>
      <c r="H33111" s="18"/>
      <c r="K33111" s="18" t="s">
        <v>316</v>
      </c>
    </row>
    <row r="33112">
      <c r="A33112" s="17"/>
      <c r="H33112" s="18"/>
      <c r="K33112" s="18" t="s">
        <v>316</v>
      </c>
    </row>
    <row r="33113">
      <c r="A33113" s="17"/>
      <c r="H33113" s="18"/>
      <c r="K33113" s="18" t="s">
        <v>316</v>
      </c>
    </row>
    <row r="33114">
      <c r="A33114" s="17"/>
      <c r="H33114" s="18"/>
      <c r="K33114" s="18" t="s">
        <v>316</v>
      </c>
    </row>
    <row r="33115">
      <c r="A33115" s="17"/>
      <c r="H33115" s="18"/>
      <c r="K33115" s="18" t="s">
        <v>316</v>
      </c>
    </row>
    <row r="33116">
      <c r="A33116" s="17"/>
      <c r="H33116" s="18"/>
      <c r="K33116" s="18" t="s">
        <v>316</v>
      </c>
    </row>
    <row r="33117">
      <c r="A33117" s="17"/>
      <c r="H33117" s="18"/>
      <c r="K33117" s="18" t="s">
        <v>316</v>
      </c>
    </row>
    <row r="33118">
      <c r="A33118" s="17"/>
      <c r="H33118" s="18"/>
      <c r="K33118" s="18" t="s">
        <v>316</v>
      </c>
    </row>
    <row r="33119">
      <c r="A33119" s="17"/>
      <c r="H33119" s="18"/>
      <c r="K33119" s="18" t="s">
        <v>316</v>
      </c>
    </row>
    <row r="33120">
      <c r="A33120" s="17"/>
      <c r="H33120" s="18"/>
      <c r="K33120" s="18" t="s">
        <v>316</v>
      </c>
    </row>
    <row r="33121">
      <c r="A33121" s="17"/>
      <c r="H33121" s="18"/>
      <c r="K33121" s="18" t="s">
        <v>316</v>
      </c>
    </row>
    <row r="33122">
      <c r="A33122" s="17"/>
      <c r="H33122" s="18"/>
      <c r="K33122" s="18" t="s">
        <v>316</v>
      </c>
    </row>
    <row r="33123">
      <c r="A33123" s="17"/>
      <c r="H33123" s="18"/>
      <c r="K33123" s="18" t="s">
        <v>316</v>
      </c>
    </row>
    <row r="33124">
      <c r="A33124" s="17"/>
      <c r="H33124" s="18"/>
      <c r="K33124" s="18" t="s">
        <v>316</v>
      </c>
    </row>
    <row r="33125">
      <c r="A33125" s="17"/>
      <c r="H33125" s="18"/>
      <c r="K33125" s="18" t="s">
        <v>316</v>
      </c>
    </row>
    <row r="33126">
      <c r="A33126" s="17"/>
      <c r="H33126" s="18"/>
      <c r="K33126" s="18" t="s">
        <v>316</v>
      </c>
    </row>
    <row r="33127">
      <c r="A33127" s="17"/>
      <c r="H33127" s="18"/>
      <c r="K33127" s="18" t="s">
        <v>316</v>
      </c>
    </row>
    <row r="33128">
      <c r="A33128" s="17"/>
      <c r="H33128" s="18"/>
      <c r="K33128" s="18" t="s">
        <v>316</v>
      </c>
    </row>
    <row r="33129">
      <c r="A33129" s="17"/>
      <c r="H33129" s="18"/>
      <c r="K33129" s="18" t="s">
        <v>316</v>
      </c>
    </row>
    <row r="33130">
      <c r="A33130" s="17"/>
      <c r="H33130" s="18"/>
      <c r="K33130" s="18" t="s">
        <v>316</v>
      </c>
    </row>
    <row r="33131">
      <c r="A33131" s="17"/>
      <c r="H33131" s="18"/>
      <c r="K33131" s="18" t="s">
        <v>316</v>
      </c>
    </row>
    <row r="33132">
      <c r="A33132" s="17"/>
      <c r="H33132" s="18"/>
      <c r="K33132" s="18" t="s">
        <v>316</v>
      </c>
    </row>
    <row r="33133">
      <c r="A33133" s="17"/>
      <c r="H33133" s="18"/>
      <c r="K33133" s="18" t="s">
        <v>316</v>
      </c>
    </row>
    <row r="33134">
      <c r="A33134" s="17"/>
      <c r="H33134" s="18"/>
      <c r="K33134" s="18" t="s">
        <v>316</v>
      </c>
    </row>
    <row r="33135">
      <c r="A33135" s="17"/>
      <c r="H33135" s="18"/>
      <c r="K33135" s="18" t="s">
        <v>316</v>
      </c>
    </row>
    <row r="33136">
      <c r="A33136" s="17"/>
      <c r="H33136" s="18"/>
      <c r="K33136" s="18" t="s">
        <v>316</v>
      </c>
    </row>
    <row r="33137">
      <c r="A33137" s="17"/>
      <c r="H33137" s="18"/>
      <c r="K33137" s="18" t="s">
        <v>316</v>
      </c>
    </row>
    <row r="33138">
      <c r="A33138" s="17"/>
      <c r="H33138" s="18"/>
      <c r="K33138" s="18" t="s">
        <v>316</v>
      </c>
    </row>
    <row r="33139">
      <c r="A33139" s="17"/>
      <c r="H33139" s="18"/>
      <c r="K33139" s="18" t="s">
        <v>316</v>
      </c>
    </row>
    <row r="33140">
      <c r="A33140" s="17"/>
      <c r="H33140" s="18"/>
      <c r="K33140" s="18" t="s">
        <v>316</v>
      </c>
    </row>
    <row r="33141">
      <c r="A33141" s="17"/>
      <c r="H33141" s="18"/>
      <c r="K33141" s="18" t="s">
        <v>316</v>
      </c>
    </row>
    <row r="33142">
      <c r="A33142" s="17"/>
      <c r="H33142" s="18"/>
      <c r="K33142" s="18" t="s">
        <v>316</v>
      </c>
    </row>
    <row r="33143">
      <c r="A33143" s="17"/>
      <c r="H33143" s="18"/>
      <c r="K33143" s="18" t="s">
        <v>316</v>
      </c>
    </row>
    <row r="33144">
      <c r="A33144" s="17"/>
      <c r="H33144" s="18"/>
      <c r="K33144" s="18" t="s">
        <v>316</v>
      </c>
    </row>
    <row r="33145">
      <c r="A33145" s="17"/>
      <c r="H33145" s="18"/>
      <c r="K33145" s="18" t="s">
        <v>316</v>
      </c>
    </row>
    <row r="33146">
      <c r="A33146" s="17"/>
      <c r="H33146" s="18"/>
      <c r="K33146" s="18" t="s">
        <v>316</v>
      </c>
    </row>
    <row r="33147">
      <c r="A33147" s="17"/>
      <c r="H33147" s="18"/>
      <c r="K33147" s="18" t="s">
        <v>316</v>
      </c>
    </row>
    <row r="33148">
      <c r="A33148" s="17"/>
      <c r="H33148" s="18"/>
      <c r="K33148" s="18" t="s">
        <v>316</v>
      </c>
    </row>
    <row r="33149">
      <c r="A33149" s="17"/>
      <c r="H33149" s="18"/>
      <c r="K33149" s="18" t="s">
        <v>316</v>
      </c>
    </row>
    <row r="33150">
      <c r="A33150" s="17"/>
      <c r="H33150" s="18"/>
      <c r="K33150" s="18" t="s">
        <v>316</v>
      </c>
    </row>
    <row r="33151">
      <c r="A33151" s="17"/>
      <c r="H33151" s="18"/>
      <c r="K33151" s="18" t="s">
        <v>316</v>
      </c>
    </row>
    <row r="33152">
      <c r="A33152" s="17"/>
      <c r="H33152" s="18"/>
      <c r="K33152" s="18" t="s">
        <v>316</v>
      </c>
    </row>
    <row r="33153">
      <c r="A33153" s="17"/>
      <c r="H33153" s="18"/>
      <c r="K33153" s="18" t="s">
        <v>316</v>
      </c>
    </row>
    <row r="33154">
      <c r="A33154" s="17"/>
      <c r="H33154" s="18"/>
      <c r="K33154" s="18" t="s">
        <v>316</v>
      </c>
    </row>
    <row r="33155">
      <c r="A33155" s="17"/>
      <c r="H33155" s="18"/>
      <c r="K33155" s="18" t="s">
        <v>316</v>
      </c>
    </row>
    <row r="33156">
      <c r="A33156" s="17"/>
      <c r="H33156" s="18"/>
      <c r="K33156" s="18" t="s">
        <v>316</v>
      </c>
    </row>
    <row r="33157">
      <c r="A33157" s="17"/>
      <c r="H33157" s="18"/>
      <c r="K33157" s="18" t="s">
        <v>316</v>
      </c>
    </row>
    <row r="33158">
      <c r="A33158" s="17"/>
      <c r="H33158" s="18"/>
      <c r="K33158" s="18" t="s">
        <v>316</v>
      </c>
    </row>
    <row r="33159">
      <c r="A33159" s="17"/>
      <c r="H33159" s="18"/>
      <c r="K33159" s="18" t="s">
        <v>316</v>
      </c>
    </row>
    <row r="33160">
      <c r="A33160" s="17"/>
      <c r="H33160" s="18"/>
      <c r="K33160" s="18" t="s">
        <v>316</v>
      </c>
    </row>
    <row r="33161">
      <c r="A33161" s="17"/>
      <c r="H33161" s="18"/>
      <c r="K33161" s="18" t="s">
        <v>316</v>
      </c>
    </row>
    <row r="33162">
      <c r="A33162" s="17"/>
      <c r="H33162" s="18"/>
      <c r="K33162" s="18" t="s">
        <v>316</v>
      </c>
    </row>
    <row r="33163">
      <c r="A33163" s="17"/>
      <c r="H33163" s="18"/>
      <c r="K33163" s="18" t="s">
        <v>316</v>
      </c>
    </row>
    <row r="33164">
      <c r="A33164" s="17"/>
      <c r="H33164" s="18"/>
      <c r="K33164" s="18" t="s">
        <v>316</v>
      </c>
    </row>
    <row r="33165">
      <c r="A33165" s="17"/>
      <c r="H33165" s="18"/>
      <c r="K33165" s="18" t="s">
        <v>316</v>
      </c>
    </row>
    <row r="33166">
      <c r="A33166" s="17"/>
      <c r="H33166" s="18"/>
      <c r="K33166" s="18" t="s">
        <v>316</v>
      </c>
    </row>
    <row r="33167">
      <c r="A33167" s="17"/>
      <c r="H33167" s="18"/>
      <c r="K33167" s="18" t="s">
        <v>316</v>
      </c>
    </row>
    <row r="33168">
      <c r="A33168" s="17"/>
      <c r="H33168" s="18"/>
      <c r="K33168" s="18" t="s">
        <v>316</v>
      </c>
    </row>
    <row r="33169">
      <c r="A33169" s="17"/>
      <c r="H33169" s="18"/>
      <c r="K33169" s="18" t="s">
        <v>316</v>
      </c>
    </row>
    <row r="33170">
      <c r="A33170" s="17"/>
      <c r="H33170" s="18"/>
      <c r="K33170" s="18" t="s">
        <v>316</v>
      </c>
    </row>
    <row r="33171">
      <c r="A33171" s="17"/>
      <c r="H33171" s="18"/>
      <c r="K33171" s="18" t="s">
        <v>316</v>
      </c>
    </row>
    <row r="33172">
      <c r="A33172" s="17"/>
      <c r="H33172" s="18"/>
      <c r="K33172" s="18" t="s">
        <v>316</v>
      </c>
    </row>
    <row r="33173">
      <c r="A33173" s="17"/>
      <c r="H33173" s="18"/>
      <c r="K33173" s="18" t="s">
        <v>316</v>
      </c>
    </row>
    <row r="33174">
      <c r="A33174" s="17"/>
      <c r="H33174" s="18"/>
      <c r="K33174" s="18" t="s">
        <v>316</v>
      </c>
    </row>
    <row r="33175">
      <c r="A33175" s="17"/>
      <c r="H33175" s="18"/>
      <c r="K33175" s="18" t="s">
        <v>316</v>
      </c>
    </row>
    <row r="33176">
      <c r="A33176" s="17"/>
      <c r="H33176" s="18"/>
      <c r="K33176" s="18" t="s">
        <v>316</v>
      </c>
    </row>
    <row r="33177">
      <c r="A33177" s="17"/>
      <c r="H33177" s="18"/>
      <c r="K33177" s="18" t="s">
        <v>316</v>
      </c>
    </row>
    <row r="33178">
      <c r="A33178" s="17"/>
      <c r="H33178" s="18"/>
      <c r="K33178" s="18" t="s">
        <v>316</v>
      </c>
    </row>
    <row r="33179">
      <c r="A33179" s="17"/>
      <c r="H33179" s="18"/>
      <c r="K33179" s="18" t="s">
        <v>316</v>
      </c>
    </row>
    <row r="33180">
      <c r="A33180" s="17"/>
      <c r="H33180" s="18"/>
      <c r="K33180" s="18" t="s">
        <v>316</v>
      </c>
    </row>
    <row r="33181">
      <c r="A33181" s="17"/>
      <c r="H33181" s="18"/>
      <c r="K33181" s="18" t="s">
        <v>316</v>
      </c>
    </row>
    <row r="33182">
      <c r="A33182" s="17"/>
      <c r="H33182" s="18"/>
      <c r="K33182" s="18" t="s">
        <v>316</v>
      </c>
    </row>
    <row r="33183">
      <c r="A33183" s="17"/>
      <c r="H33183" s="18"/>
      <c r="K33183" s="18" t="s">
        <v>316</v>
      </c>
    </row>
    <row r="33184">
      <c r="A33184" s="17"/>
      <c r="H33184" s="18"/>
      <c r="K33184" s="18" t="s">
        <v>316</v>
      </c>
    </row>
    <row r="33185">
      <c r="A33185" s="17"/>
      <c r="H33185" s="18"/>
      <c r="K33185" s="18" t="s">
        <v>316</v>
      </c>
    </row>
    <row r="33186">
      <c r="A33186" s="17"/>
      <c r="H33186" s="18"/>
      <c r="K33186" s="18" t="s">
        <v>316</v>
      </c>
    </row>
    <row r="33187">
      <c r="A33187" s="17"/>
      <c r="H33187" s="18"/>
      <c r="K33187" s="18" t="s">
        <v>316</v>
      </c>
    </row>
    <row r="33188">
      <c r="A33188" s="17"/>
      <c r="H33188" s="18"/>
      <c r="K33188" s="18" t="s">
        <v>316</v>
      </c>
    </row>
    <row r="33189">
      <c r="A33189" s="17"/>
      <c r="H33189" s="18"/>
      <c r="K33189" s="18" t="s">
        <v>316</v>
      </c>
    </row>
    <row r="33190">
      <c r="A33190" s="17"/>
      <c r="H33190" s="18"/>
      <c r="K33190" s="18" t="s">
        <v>316</v>
      </c>
    </row>
    <row r="33191">
      <c r="A33191" s="17"/>
      <c r="H33191" s="18"/>
      <c r="K33191" s="18" t="s">
        <v>316</v>
      </c>
    </row>
    <row r="33192">
      <c r="A33192" s="17"/>
      <c r="H33192" s="18"/>
      <c r="K33192" s="18" t="s">
        <v>316</v>
      </c>
    </row>
    <row r="33193">
      <c r="A33193" s="17"/>
      <c r="H33193" s="18"/>
      <c r="K33193" s="18" t="s">
        <v>316</v>
      </c>
    </row>
    <row r="33194">
      <c r="A33194" s="17"/>
      <c r="H33194" s="18"/>
      <c r="K33194" s="18" t="s">
        <v>316</v>
      </c>
    </row>
    <row r="33195">
      <c r="A33195" s="17"/>
      <c r="H33195" s="18"/>
      <c r="K33195" s="18" t="s">
        <v>316</v>
      </c>
    </row>
    <row r="33196">
      <c r="A33196" s="17"/>
      <c r="H33196" s="18"/>
      <c r="K33196" s="18" t="s">
        <v>316</v>
      </c>
    </row>
    <row r="33197">
      <c r="A33197" s="17"/>
      <c r="H33197" s="18"/>
      <c r="K33197" s="18" t="s">
        <v>316</v>
      </c>
    </row>
    <row r="33198">
      <c r="A33198" s="17"/>
      <c r="H33198" s="18"/>
      <c r="K33198" s="18" t="s">
        <v>316</v>
      </c>
    </row>
    <row r="33199">
      <c r="A33199" s="17"/>
      <c r="H33199" s="18"/>
      <c r="K33199" s="18" t="s">
        <v>316</v>
      </c>
    </row>
    <row r="33200">
      <c r="A33200" s="17"/>
      <c r="H33200" s="18"/>
      <c r="K33200" s="18" t="s">
        <v>316</v>
      </c>
    </row>
    <row r="33201">
      <c r="A33201" s="17"/>
      <c r="H33201" s="18"/>
      <c r="K33201" s="18" t="s">
        <v>316</v>
      </c>
    </row>
    <row r="33202">
      <c r="A33202" s="17"/>
      <c r="H33202" s="18"/>
      <c r="K33202" s="18" t="s">
        <v>316</v>
      </c>
    </row>
    <row r="33203">
      <c r="A33203" s="17"/>
      <c r="H33203" s="18"/>
      <c r="K33203" s="18" t="s">
        <v>316</v>
      </c>
    </row>
    <row r="33204">
      <c r="A33204" s="17"/>
      <c r="H33204" s="18"/>
      <c r="K33204" s="18" t="s">
        <v>316</v>
      </c>
    </row>
    <row r="33205">
      <c r="A33205" s="17"/>
      <c r="H33205" s="18"/>
      <c r="K33205" s="18" t="s">
        <v>316</v>
      </c>
    </row>
    <row r="33206">
      <c r="A33206" s="17"/>
      <c r="H33206" s="18"/>
      <c r="K33206" s="18" t="s">
        <v>316</v>
      </c>
    </row>
    <row r="33207">
      <c r="A33207" s="17"/>
      <c r="H33207" s="18"/>
      <c r="K33207" s="18" t="s">
        <v>316</v>
      </c>
    </row>
    <row r="33208">
      <c r="A33208" s="17"/>
      <c r="H33208" s="18"/>
      <c r="K33208" s="18" t="s">
        <v>316</v>
      </c>
    </row>
    <row r="33209">
      <c r="A33209" s="17"/>
      <c r="H33209" s="18"/>
      <c r="K33209" s="18" t="s">
        <v>316</v>
      </c>
    </row>
    <row r="33210">
      <c r="A33210" s="17"/>
      <c r="H33210" s="18"/>
      <c r="K33210" s="18" t="s">
        <v>316</v>
      </c>
    </row>
    <row r="33211">
      <c r="A33211" s="17"/>
      <c r="H33211" s="18"/>
      <c r="K33211" s="18" t="s">
        <v>316</v>
      </c>
    </row>
    <row r="33212">
      <c r="A33212" s="17"/>
      <c r="H33212" s="18"/>
      <c r="K33212" s="18" t="s">
        <v>316</v>
      </c>
    </row>
    <row r="33213">
      <c r="A33213" s="17"/>
      <c r="H33213" s="18"/>
      <c r="K33213" s="18" t="s">
        <v>316</v>
      </c>
    </row>
    <row r="33214">
      <c r="A33214" s="17"/>
      <c r="H33214" s="18"/>
      <c r="K33214" s="18" t="s">
        <v>316</v>
      </c>
    </row>
    <row r="33215">
      <c r="A33215" s="17"/>
      <c r="H33215" s="18"/>
      <c r="K33215" s="18" t="s">
        <v>316</v>
      </c>
    </row>
    <row r="33216">
      <c r="A33216" s="17"/>
      <c r="H33216" s="18"/>
      <c r="K33216" s="18" t="s">
        <v>316</v>
      </c>
    </row>
    <row r="33217">
      <c r="A33217" s="17"/>
      <c r="H33217" s="18"/>
      <c r="K33217" s="18" t="s">
        <v>316</v>
      </c>
    </row>
    <row r="33218">
      <c r="A33218" s="17"/>
      <c r="H33218" s="18"/>
      <c r="K33218" s="18" t="s">
        <v>316</v>
      </c>
    </row>
    <row r="33219">
      <c r="A33219" s="17"/>
      <c r="H33219" s="18"/>
      <c r="K33219" s="18" t="s">
        <v>316</v>
      </c>
    </row>
    <row r="33220">
      <c r="A33220" s="17"/>
      <c r="H33220" s="18"/>
      <c r="K33220" s="18" t="s">
        <v>316</v>
      </c>
    </row>
    <row r="33221">
      <c r="A33221" s="17"/>
      <c r="H33221" s="18"/>
      <c r="K33221" s="18" t="s">
        <v>316</v>
      </c>
    </row>
    <row r="33222">
      <c r="A33222" s="17"/>
      <c r="H33222" s="18"/>
      <c r="K33222" s="18" t="s">
        <v>316</v>
      </c>
    </row>
    <row r="33223">
      <c r="A33223" s="17"/>
      <c r="H33223" s="18"/>
      <c r="K33223" s="18" t="s">
        <v>316</v>
      </c>
    </row>
    <row r="33224">
      <c r="A33224" s="17"/>
      <c r="H33224" s="18"/>
      <c r="K33224" s="18" t="s">
        <v>316</v>
      </c>
    </row>
    <row r="33225">
      <c r="A33225" s="17"/>
      <c r="H33225" s="18"/>
      <c r="K33225" s="18" t="s">
        <v>316</v>
      </c>
    </row>
    <row r="33226">
      <c r="A33226" s="17"/>
      <c r="H33226" s="18"/>
      <c r="K33226" s="18" t="s">
        <v>316</v>
      </c>
    </row>
    <row r="33227">
      <c r="A33227" s="17"/>
      <c r="H33227" s="18"/>
      <c r="K33227" s="18" t="s">
        <v>316</v>
      </c>
    </row>
    <row r="33228">
      <c r="A33228" s="17"/>
      <c r="H33228" s="18"/>
      <c r="K33228" s="18" t="s">
        <v>316</v>
      </c>
    </row>
    <row r="33229">
      <c r="A33229" s="17"/>
      <c r="H33229" s="18"/>
      <c r="K33229" s="18" t="s">
        <v>316</v>
      </c>
    </row>
    <row r="33230">
      <c r="A33230" s="17"/>
      <c r="H33230" s="18"/>
      <c r="K33230" s="18" t="s">
        <v>316</v>
      </c>
    </row>
    <row r="33231">
      <c r="A33231" s="17"/>
      <c r="H33231" s="18"/>
      <c r="K33231" s="18" t="s">
        <v>316</v>
      </c>
    </row>
    <row r="33232">
      <c r="A33232" s="17"/>
      <c r="H33232" s="18"/>
      <c r="K33232" s="18" t="s">
        <v>316</v>
      </c>
    </row>
    <row r="33233">
      <c r="A33233" s="17"/>
      <c r="H33233" s="18"/>
      <c r="K33233" s="18" t="s">
        <v>316</v>
      </c>
    </row>
    <row r="33234">
      <c r="A33234" s="17"/>
      <c r="H33234" s="18"/>
      <c r="K33234" s="18" t="s">
        <v>316</v>
      </c>
    </row>
    <row r="33235">
      <c r="A33235" s="17"/>
      <c r="H33235" s="18"/>
      <c r="K33235" s="18" t="s">
        <v>316</v>
      </c>
    </row>
    <row r="33236">
      <c r="A33236" s="17"/>
      <c r="H33236" s="18"/>
      <c r="K33236" s="18" t="s">
        <v>316</v>
      </c>
    </row>
    <row r="33237">
      <c r="A33237" s="17"/>
      <c r="H33237" s="18"/>
      <c r="K33237" s="18" t="s">
        <v>316</v>
      </c>
    </row>
    <row r="33238">
      <c r="A33238" s="17"/>
      <c r="H33238" s="18"/>
      <c r="K33238" s="18" t="s">
        <v>316</v>
      </c>
    </row>
    <row r="33239">
      <c r="A33239" s="17"/>
      <c r="H33239" s="18"/>
      <c r="K33239" s="18" t="s">
        <v>316</v>
      </c>
    </row>
    <row r="33240">
      <c r="A33240" s="17"/>
      <c r="H33240" s="18"/>
      <c r="K33240" s="18" t="s">
        <v>316</v>
      </c>
    </row>
    <row r="33241">
      <c r="A33241" s="17"/>
      <c r="H33241" s="18"/>
      <c r="K33241" s="18" t="s">
        <v>316</v>
      </c>
    </row>
    <row r="33242">
      <c r="A33242" s="17"/>
      <c r="H33242" s="18"/>
      <c r="K33242" s="18" t="s">
        <v>316</v>
      </c>
    </row>
    <row r="33243">
      <c r="A33243" s="17"/>
      <c r="H33243" s="18"/>
      <c r="K33243" s="18" t="s">
        <v>316</v>
      </c>
    </row>
    <row r="33244">
      <c r="A33244" s="17"/>
      <c r="H33244" s="18"/>
      <c r="K33244" s="18" t="s">
        <v>316</v>
      </c>
    </row>
    <row r="33245">
      <c r="A33245" s="17"/>
      <c r="H33245" s="18"/>
      <c r="K33245" s="18" t="s">
        <v>316</v>
      </c>
    </row>
    <row r="33246">
      <c r="A33246" s="17"/>
      <c r="H33246" s="18"/>
      <c r="K33246" s="18" t="s">
        <v>316</v>
      </c>
    </row>
    <row r="33247">
      <c r="A33247" s="17"/>
      <c r="H33247" s="18"/>
      <c r="K33247" s="18" t="s">
        <v>316</v>
      </c>
    </row>
    <row r="33248">
      <c r="A33248" s="17"/>
      <c r="H33248" s="18"/>
      <c r="K33248" s="18" t="s">
        <v>316</v>
      </c>
    </row>
    <row r="33249">
      <c r="A33249" s="17"/>
      <c r="H33249" s="18"/>
      <c r="K33249" s="18" t="s">
        <v>316</v>
      </c>
    </row>
    <row r="33250">
      <c r="A33250" s="17"/>
      <c r="H33250" s="18"/>
      <c r="K33250" s="18" t="s">
        <v>316</v>
      </c>
    </row>
    <row r="33251">
      <c r="A33251" s="17"/>
      <c r="H33251" s="18"/>
      <c r="K33251" s="18" t="s">
        <v>316</v>
      </c>
    </row>
    <row r="33252">
      <c r="A33252" s="17"/>
      <c r="H33252" s="18"/>
      <c r="K33252" s="18" t="s">
        <v>316</v>
      </c>
    </row>
    <row r="33253">
      <c r="A33253" s="17"/>
      <c r="H33253" s="18"/>
      <c r="K33253" s="18" t="s">
        <v>316</v>
      </c>
    </row>
    <row r="33254">
      <c r="A33254" s="17"/>
      <c r="H33254" s="18"/>
      <c r="K33254" s="18" t="s">
        <v>316</v>
      </c>
    </row>
    <row r="33255">
      <c r="A33255" s="17"/>
      <c r="H33255" s="18"/>
      <c r="K33255" s="18" t="s">
        <v>316</v>
      </c>
    </row>
    <row r="33256">
      <c r="A33256" s="17"/>
      <c r="H33256" s="18"/>
      <c r="K33256" s="18" t="s">
        <v>316</v>
      </c>
    </row>
    <row r="33257">
      <c r="A33257" s="17"/>
      <c r="H33257" s="18"/>
      <c r="K33257" s="18" t="s">
        <v>316</v>
      </c>
    </row>
    <row r="33258">
      <c r="A33258" s="17"/>
      <c r="H33258" s="18"/>
      <c r="K33258" s="18" t="s">
        <v>316</v>
      </c>
    </row>
    <row r="33259">
      <c r="A33259" s="17"/>
      <c r="H33259" s="18"/>
      <c r="K33259" s="18" t="s">
        <v>316</v>
      </c>
    </row>
    <row r="33260">
      <c r="A33260" s="17"/>
      <c r="H33260" s="18"/>
      <c r="K33260" s="18" t="s">
        <v>316</v>
      </c>
    </row>
    <row r="33261">
      <c r="A33261" s="17"/>
      <c r="H33261" s="18"/>
      <c r="K33261" s="18" t="s">
        <v>316</v>
      </c>
    </row>
    <row r="33262">
      <c r="A33262" s="17"/>
      <c r="H33262" s="18"/>
      <c r="K33262" s="18" t="s">
        <v>316</v>
      </c>
    </row>
    <row r="33263">
      <c r="A33263" s="17"/>
      <c r="H33263" s="18"/>
      <c r="K33263" s="18" t="s">
        <v>316</v>
      </c>
    </row>
    <row r="33264">
      <c r="A33264" s="17"/>
      <c r="H33264" s="18"/>
      <c r="K33264" s="18" t="s">
        <v>316</v>
      </c>
    </row>
    <row r="33265">
      <c r="A33265" s="17"/>
      <c r="H33265" s="18"/>
      <c r="K33265" s="18" t="s">
        <v>316</v>
      </c>
    </row>
    <row r="33266">
      <c r="A33266" s="17"/>
      <c r="H33266" s="18"/>
      <c r="K33266" s="18" t="s">
        <v>316</v>
      </c>
    </row>
    <row r="33267">
      <c r="A33267" s="17"/>
      <c r="H33267" s="18"/>
      <c r="K33267" s="18" t="s">
        <v>316</v>
      </c>
    </row>
    <row r="33268">
      <c r="A33268" s="17"/>
      <c r="H33268" s="18"/>
      <c r="K33268" s="18" t="s">
        <v>316</v>
      </c>
    </row>
    <row r="33269">
      <c r="A33269" s="17"/>
      <c r="H33269" s="18"/>
      <c r="K33269" s="18" t="s">
        <v>316</v>
      </c>
    </row>
    <row r="33270">
      <c r="A33270" s="17"/>
      <c r="H33270" s="18"/>
      <c r="K33270" s="18" t="s">
        <v>316</v>
      </c>
    </row>
    <row r="33271">
      <c r="A33271" s="17"/>
      <c r="H33271" s="18"/>
      <c r="K33271" s="18" t="s">
        <v>316</v>
      </c>
    </row>
    <row r="33272">
      <c r="A33272" s="17"/>
      <c r="H33272" s="18"/>
      <c r="K33272" s="18" t="s">
        <v>316</v>
      </c>
    </row>
    <row r="33273">
      <c r="A33273" s="17"/>
      <c r="H33273" s="18"/>
      <c r="K33273" s="18" t="s">
        <v>316</v>
      </c>
    </row>
    <row r="33274">
      <c r="A33274" s="17"/>
      <c r="H33274" s="18"/>
      <c r="K33274" s="18" t="s">
        <v>316</v>
      </c>
    </row>
    <row r="33275">
      <c r="A33275" s="17"/>
      <c r="H33275" s="18"/>
      <c r="K33275" s="18" t="s">
        <v>316</v>
      </c>
    </row>
    <row r="33276">
      <c r="A33276" s="17"/>
      <c r="H33276" s="18"/>
      <c r="K33276" s="18" t="s">
        <v>316</v>
      </c>
    </row>
    <row r="33277">
      <c r="A33277" s="17"/>
      <c r="H33277" s="18"/>
      <c r="K33277" s="18" t="s">
        <v>316</v>
      </c>
    </row>
    <row r="33278">
      <c r="A33278" s="17"/>
      <c r="H33278" s="18"/>
      <c r="K33278" s="18" t="s">
        <v>316</v>
      </c>
    </row>
    <row r="33279">
      <c r="A33279" s="17"/>
      <c r="H33279" s="18"/>
      <c r="K33279" s="18" t="s">
        <v>316</v>
      </c>
    </row>
    <row r="33280">
      <c r="A33280" s="17"/>
      <c r="H33280" s="18"/>
      <c r="K33280" s="18" t="s">
        <v>316</v>
      </c>
    </row>
    <row r="33281">
      <c r="A33281" s="17"/>
      <c r="H33281" s="18"/>
      <c r="K33281" s="18" t="s">
        <v>316</v>
      </c>
    </row>
    <row r="33282">
      <c r="A33282" s="17"/>
      <c r="H33282" s="18"/>
      <c r="K33282" s="18" t="s">
        <v>316</v>
      </c>
    </row>
    <row r="33283">
      <c r="A33283" s="17"/>
      <c r="H33283" s="18"/>
      <c r="K33283" s="18" t="s">
        <v>316</v>
      </c>
    </row>
    <row r="33284">
      <c r="A33284" s="17"/>
      <c r="H33284" s="18"/>
      <c r="K33284" s="18" t="s">
        <v>316</v>
      </c>
    </row>
    <row r="33285">
      <c r="A33285" s="17"/>
      <c r="H33285" s="18"/>
      <c r="K33285" s="18" t="s">
        <v>316</v>
      </c>
    </row>
    <row r="33286">
      <c r="A33286" s="17"/>
      <c r="H33286" s="18"/>
      <c r="K33286" s="18" t="s">
        <v>316</v>
      </c>
    </row>
    <row r="33287">
      <c r="A33287" s="17"/>
      <c r="H33287" s="18"/>
      <c r="K33287" s="18" t="s">
        <v>316</v>
      </c>
    </row>
    <row r="33288">
      <c r="A33288" s="17"/>
      <c r="H33288" s="18"/>
      <c r="K33288" s="18" t="s">
        <v>316</v>
      </c>
    </row>
    <row r="33289">
      <c r="A33289" s="17"/>
      <c r="H33289" s="18"/>
      <c r="K33289" s="18" t="s">
        <v>316</v>
      </c>
    </row>
    <row r="33290">
      <c r="A33290" s="17"/>
      <c r="H33290" s="18"/>
      <c r="K33290" s="18" t="s">
        <v>316</v>
      </c>
    </row>
    <row r="33291">
      <c r="A33291" s="17"/>
      <c r="H33291" s="18"/>
      <c r="K33291" s="18" t="s">
        <v>316</v>
      </c>
    </row>
    <row r="33292">
      <c r="A33292" s="17"/>
      <c r="H33292" s="18"/>
      <c r="K33292" s="18" t="s">
        <v>316</v>
      </c>
    </row>
    <row r="33293">
      <c r="A33293" s="17"/>
      <c r="H33293" s="18"/>
      <c r="K33293" s="18" t="s">
        <v>316</v>
      </c>
    </row>
    <row r="33294">
      <c r="A33294" s="17"/>
      <c r="H33294" s="18"/>
      <c r="K33294" s="18" t="s">
        <v>316</v>
      </c>
    </row>
    <row r="33295">
      <c r="A33295" s="17"/>
      <c r="H33295" s="18"/>
      <c r="K33295" s="18" t="s">
        <v>316</v>
      </c>
    </row>
    <row r="33296">
      <c r="A33296" s="17"/>
      <c r="H33296" s="18"/>
      <c r="K33296" s="18" t="s">
        <v>316</v>
      </c>
    </row>
    <row r="33297">
      <c r="A33297" s="17"/>
      <c r="H33297" s="18"/>
      <c r="K33297" s="18" t="s">
        <v>316</v>
      </c>
    </row>
    <row r="33298">
      <c r="A33298" s="17"/>
      <c r="H33298" s="18"/>
      <c r="K33298" s="18" t="s">
        <v>316</v>
      </c>
    </row>
    <row r="33299">
      <c r="A33299" s="17"/>
      <c r="H33299" s="18"/>
      <c r="K33299" s="18" t="s">
        <v>316</v>
      </c>
    </row>
    <row r="33300">
      <c r="A33300" s="17"/>
      <c r="H33300" s="18"/>
      <c r="K33300" s="18" t="s">
        <v>316</v>
      </c>
    </row>
    <row r="33301">
      <c r="A33301" s="17"/>
      <c r="H33301" s="18"/>
      <c r="K33301" s="18" t="s">
        <v>316</v>
      </c>
    </row>
    <row r="33302">
      <c r="A33302" s="17"/>
      <c r="H33302" s="18"/>
      <c r="K33302" s="18" t="s">
        <v>316</v>
      </c>
    </row>
    <row r="33303">
      <c r="A33303" s="17"/>
      <c r="H33303" s="18"/>
      <c r="K33303" s="18" t="s">
        <v>316</v>
      </c>
    </row>
    <row r="33304">
      <c r="A33304" s="17"/>
      <c r="H33304" s="18"/>
      <c r="K33304" s="18" t="s">
        <v>316</v>
      </c>
    </row>
    <row r="33305">
      <c r="A33305" s="17"/>
      <c r="H33305" s="18"/>
      <c r="K33305" s="18" t="s">
        <v>316</v>
      </c>
    </row>
    <row r="33306">
      <c r="A33306" s="17"/>
      <c r="H33306" s="18"/>
      <c r="K33306" s="18" t="s">
        <v>316</v>
      </c>
    </row>
    <row r="33307">
      <c r="A33307" s="17"/>
      <c r="H33307" s="18"/>
      <c r="K33307" s="18" t="s">
        <v>316</v>
      </c>
    </row>
    <row r="33308">
      <c r="A33308" s="17"/>
      <c r="H33308" s="18"/>
      <c r="K33308" s="18" t="s">
        <v>316</v>
      </c>
    </row>
    <row r="33309">
      <c r="A33309" s="17"/>
      <c r="H33309" s="18"/>
      <c r="K33309" s="18" t="s">
        <v>316</v>
      </c>
    </row>
    <row r="33310">
      <c r="A33310" s="17"/>
      <c r="H33310" s="18"/>
      <c r="K33310" s="18" t="s">
        <v>316</v>
      </c>
    </row>
    <row r="33311">
      <c r="A33311" s="17"/>
      <c r="H33311" s="18"/>
      <c r="K33311" s="18" t="s">
        <v>316</v>
      </c>
    </row>
    <row r="33312">
      <c r="A33312" s="17"/>
      <c r="H33312" s="18"/>
      <c r="K33312" s="18" t="s">
        <v>316</v>
      </c>
    </row>
    <row r="33313">
      <c r="A33313" s="17"/>
      <c r="H33313" s="18"/>
      <c r="K33313" s="18" t="s">
        <v>316</v>
      </c>
    </row>
    <row r="33314">
      <c r="A33314" s="17"/>
      <c r="H33314" s="18"/>
      <c r="K33314" s="18" t="s">
        <v>316</v>
      </c>
    </row>
    <row r="33315">
      <c r="A33315" s="17"/>
      <c r="H33315" s="18"/>
      <c r="K33315" s="18" t="s">
        <v>316</v>
      </c>
    </row>
    <row r="33316">
      <c r="A33316" s="17"/>
      <c r="H33316" s="18"/>
      <c r="K33316" s="18" t="s">
        <v>316</v>
      </c>
    </row>
    <row r="33317">
      <c r="A33317" s="17"/>
      <c r="H33317" s="18"/>
      <c r="K33317" s="18" t="s">
        <v>316</v>
      </c>
    </row>
    <row r="33318">
      <c r="A33318" s="17"/>
      <c r="H33318" s="18"/>
      <c r="K33318" s="18" t="s">
        <v>316</v>
      </c>
    </row>
    <row r="33319">
      <c r="A33319" s="17"/>
      <c r="H33319" s="18"/>
      <c r="K33319" s="18" t="s">
        <v>316</v>
      </c>
    </row>
    <row r="33320">
      <c r="A33320" s="17"/>
      <c r="H33320" s="18"/>
      <c r="K33320" s="18" t="s">
        <v>316</v>
      </c>
    </row>
    <row r="33321">
      <c r="A33321" s="17"/>
      <c r="H33321" s="18"/>
      <c r="K33321" s="18" t="s">
        <v>316</v>
      </c>
    </row>
    <row r="33322">
      <c r="A33322" s="17"/>
      <c r="H33322" s="18"/>
      <c r="K33322" s="18" t="s">
        <v>316</v>
      </c>
    </row>
    <row r="33323">
      <c r="A33323" s="17"/>
      <c r="H33323" s="18"/>
      <c r="K33323" s="18" t="s">
        <v>316</v>
      </c>
    </row>
    <row r="33324">
      <c r="A33324" s="17"/>
      <c r="H33324" s="18"/>
      <c r="K33324" s="18" t="s">
        <v>316</v>
      </c>
    </row>
    <row r="33325">
      <c r="A33325" s="17"/>
      <c r="H33325" s="18"/>
      <c r="K33325" s="18" t="s">
        <v>316</v>
      </c>
    </row>
    <row r="33326">
      <c r="A33326" s="17"/>
      <c r="H33326" s="18"/>
      <c r="K33326" s="18" t="s">
        <v>316</v>
      </c>
    </row>
    <row r="33327">
      <c r="A33327" s="17"/>
      <c r="H33327" s="18"/>
      <c r="K33327" s="18" t="s">
        <v>316</v>
      </c>
    </row>
    <row r="33328">
      <c r="A33328" s="17"/>
      <c r="H33328" s="18"/>
      <c r="K33328" s="18" t="s">
        <v>316</v>
      </c>
    </row>
    <row r="33329">
      <c r="A33329" s="17"/>
      <c r="H33329" s="18"/>
      <c r="K33329" s="18" t="s">
        <v>316</v>
      </c>
    </row>
    <row r="33330">
      <c r="A33330" s="17"/>
      <c r="H33330" s="18"/>
      <c r="K33330" s="18" t="s">
        <v>316</v>
      </c>
    </row>
    <row r="33331">
      <c r="A33331" s="17"/>
      <c r="H33331" s="18"/>
      <c r="K33331" s="18" t="s">
        <v>316</v>
      </c>
    </row>
    <row r="33332">
      <c r="A33332" s="17"/>
      <c r="H33332" s="18"/>
      <c r="K33332" s="18" t="s">
        <v>316</v>
      </c>
    </row>
    <row r="33333">
      <c r="A33333" s="17"/>
      <c r="H33333" s="18"/>
      <c r="K33333" s="18" t="s">
        <v>316</v>
      </c>
    </row>
    <row r="33334">
      <c r="A33334" s="17"/>
      <c r="H33334" s="18"/>
      <c r="K33334" s="18" t="s">
        <v>316</v>
      </c>
    </row>
    <row r="33335">
      <c r="A33335" s="17"/>
      <c r="H33335" s="18"/>
      <c r="K33335" s="18" t="s">
        <v>316</v>
      </c>
    </row>
    <row r="33336">
      <c r="A33336" s="17"/>
      <c r="H33336" s="18"/>
      <c r="K33336" s="18" t="s">
        <v>316</v>
      </c>
    </row>
    <row r="33337">
      <c r="A33337" s="17"/>
      <c r="H33337" s="18"/>
      <c r="K33337" s="18" t="s">
        <v>316</v>
      </c>
    </row>
    <row r="33338">
      <c r="A33338" s="17"/>
      <c r="H33338" s="18"/>
      <c r="K33338" s="18" t="s">
        <v>316</v>
      </c>
    </row>
    <row r="33339">
      <c r="A33339" s="17"/>
      <c r="H33339" s="18"/>
      <c r="K33339" s="18" t="s">
        <v>316</v>
      </c>
    </row>
    <row r="33340">
      <c r="A33340" s="17"/>
      <c r="H33340" s="18"/>
      <c r="K33340" s="18" t="s">
        <v>316</v>
      </c>
    </row>
    <row r="33341">
      <c r="A33341" s="17"/>
      <c r="H33341" s="18"/>
      <c r="K33341" s="18" t="s">
        <v>316</v>
      </c>
    </row>
    <row r="33342">
      <c r="A33342" s="17"/>
      <c r="H33342" s="18"/>
      <c r="K33342" s="18" t="s">
        <v>316</v>
      </c>
    </row>
    <row r="33343">
      <c r="A33343" s="17"/>
      <c r="H33343" s="18"/>
      <c r="K33343" s="18" t="s">
        <v>316</v>
      </c>
    </row>
    <row r="33344">
      <c r="A33344" s="17"/>
      <c r="H33344" s="18"/>
      <c r="K33344" s="18" t="s">
        <v>316</v>
      </c>
    </row>
    <row r="33345">
      <c r="A33345" s="17"/>
      <c r="H33345" s="18"/>
      <c r="K33345" s="18" t="s">
        <v>316</v>
      </c>
    </row>
    <row r="33346">
      <c r="A33346" s="17"/>
      <c r="H33346" s="18"/>
      <c r="K33346" s="18" t="s">
        <v>316</v>
      </c>
    </row>
    <row r="33347">
      <c r="A33347" s="17"/>
      <c r="H33347" s="18"/>
      <c r="K33347" s="18" t="s">
        <v>316</v>
      </c>
    </row>
    <row r="33348">
      <c r="A33348" s="17"/>
      <c r="H33348" s="18"/>
      <c r="K33348" s="18" t="s">
        <v>316</v>
      </c>
    </row>
    <row r="33349">
      <c r="A33349" s="17"/>
      <c r="H33349" s="18"/>
      <c r="K33349" s="18" t="s">
        <v>316</v>
      </c>
    </row>
    <row r="33350">
      <c r="A33350" s="17"/>
      <c r="H33350" s="18"/>
      <c r="K33350" s="18" t="s">
        <v>316</v>
      </c>
    </row>
    <row r="33351">
      <c r="A33351" s="17"/>
      <c r="H33351" s="18"/>
      <c r="K33351" s="18" t="s">
        <v>316</v>
      </c>
    </row>
    <row r="33352">
      <c r="A33352" s="17"/>
      <c r="H33352" s="18"/>
      <c r="K33352" s="18" t="s">
        <v>316</v>
      </c>
    </row>
    <row r="33353">
      <c r="A33353" s="17"/>
      <c r="H33353" s="18"/>
      <c r="K33353" s="18" t="s">
        <v>316</v>
      </c>
    </row>
    <row r="33354">
      <c r="A33354" s="17"/>
      <c r="H33354" s="18"/>
      <c r="K33354" s="18" t="s">
        <v>316</v>
      </c>
    </row>
    <row r="33355">
      <c r="A33355" s="17"/>
      <c r="H33355" s="18"/>
      <c r="K33355" s="18" t="s">
        <v>316</v>
      </c>
    </row>
    <row r="33356">
      <c r="A33356" s="17"/>
      <c r="H33356" s="18"/>
      <c r="K33356" s="18" t="s">
        <v>316</v>
      </c>
    </row>
    <row r="33357">
      <c r="A33357" s="17"/>
      <c r="H33357" s="18"/>
      <c r="K33357" s="18" t="s">
        <v>316</v>
      </c>
    </row>
    <row r="33358">
      <c r="A33358" s="17"/>
      <c r="H33358" s="18"/>
      <c r="K33358" s="18" t="s">
        <v>316</v>
      </c>
    </row>
    <row r="33359">
      <c r="A33359" s="17"/>
      <c r="H33359" s="18"/>
      <c r="K33359" s="18" t="s">
        <v>316</v>
      </c>
    </row>
    <row r="33360">
      <c r="A33360" s="17"/>
      <c r="H33360" s="18"/>
      <c r="K33360" s="18" t="s">
        <v>316</v>
      </c>
    </row>
    <row r="33361">
      <c r="A33361" s="17"/>
      <c r="H33361" s="18"/>
      <c r="K33361" s="18" t="s">
        <v>316</v>
      </c>
    </row>
    <row r="33362">
      <c r="A33362" s="17"/>
      <c r="H33362" s="18"/>
      <c r="K33362" s="18" t="s">
        <v>316</v>
      </c>
    </row>
    <row r="33363">
      <c r="A33363" s="17"/>
      <c r="H33363" s="18"/>
      <c r="K33363" s="18" t="s">
        <v>316</v>
      </c>
    </row>
    <row r="33364">
      <c r="A33364" s="17"/>
      <c r="H33364" s="18"/>
      <c r="K33364" s="18" t="s">
        <v>316</v>
      </c>
    </row>
    <row r="33365">
      <c r="A33365" s="17"/>
      <c r="H33365" s="18"/>
      <c r="K33365" s="18" t="s">
        <v>316</v>
      </c>
    </row>
    <row r="33366">
      <c r="A33366" s="17"/>
      <c r="H33366" s="18"/>
      <c r="K33366" s="18" t="s">
        <v>316</v>
      </c>
    </row>
    <row r="33367">
      <c r="A33367" s="17"/>
      <c r="H33367" s="18"/>
      <c r="K33367" s="18" t="s">
        <v>316</v>
      </c>
    </row>
    <row r="33368">
      <c r="A33368" s="17"/>
      <c r="H33368" s="18"/>
      <c r="K33368" s="18" t="s">
        <v>316</v>
      </c>
    </row>
    <row r="33369">
      <c r="A33369" s="17"/>
      <c r="H33369" s="18"/>
      <c r="K33369" s="18" t="s">
        <v>316</v>
      </c>
    </row>
    <row r="33370">
      <c r="A33370" s="17"/>
      <c r="H33370" s="18"/>
      <c r="K33370" s="18" t="s">
        <v>316</v>
      </c>
    </row>
    <row r="33371">
      <c r="A33371" s="17"/>
      <c r="H33371" s="18"/>
      <c r="K33371" s="18" t="s">
        <v>316</v>
      </c>
    </row>
    <row r="33372">
      <c r="A33372" s="17"/>
      <c r="H33372" s="18"/>
      <c r="K33372" s="18" t="s">
        <v>316</v>
      </c>
    </row>
    <row r="33373">
      <c r="A33373" s="17"/>
      <c r="H33373" s="18"/>
      <c r="K33373" s="18" t="s">
        <v>316</v>
      </c>
    </row>
    <row r="33374">
      <c r="A33374" s="17"/>
      <c r="H33374" s="18"/>
      <c r="K33374" s="18" t="s">
        <v>316</v>
      </c>
    </row>
    <row r="33375">
      <c r="A33375" s="17"/>
      <c r="H33375" s="18"/>
      <c r="K33375" s="18" t="s">
        <v>316</v>
      </c>
    </row>
    <row r="33376">
      <c r="A33376" s="17"/>
      <c r="H33376" s="18"/>
      <c r="K33376" s="18" t="s">
        <v>316</v>
      </c>
    </row>
    <row r="33377">
      <c r="A33377" s="17"/>
      <c r="H33377" s="18"/>
      <c r="K33377" s="18" t="s">
        <v>316</v>
      </c>
    </row>
    <row r="33378">
      <c r="A33378" s="17"/>
      <c r="H33378" s="18"/>
      <c r="K33378" s="18" t="s">
        <v>316</v>
      </c>
    </row>
    <row r="33379">
      <c r="A33379" s="17"/>
      <c r="H33379" s="18"/>
      <c r="K33379" s="18" t="s">
        <v>316</v>
      </c>
    </row>
    <row r="33380">
      <c r="A33380" s="17"/>
      <c r="H33380" s="18"/>
      <c r="K33380" s="18" t="s">
        <v>316</v>
      </c>
    </row>
    <row r="33381">
      <c r="A33381" s="17"/>
      <c r="H33381" s="18"/>
      <c r="K33381" s="18" t="s">
        <v>316</v>
      </c>
    </row>
    <row r="33382">
      <c r="A33382" s="17"/>
      <c r="H33382" s="18"/>
      <c r="K33382" s="18" t="s">
        <v>316</v>
      </c>
    </row>
    <row r="33383">
      <c r="A33383" s="17"/>
      <c r="H33383" s="18"/>
      <c r="K33383" s="18" t="s">
        <v>316</v>
      </c>
    </row>
    <row r="33384">
      <c r="A33384" s="17"/>
      <c r="H33384" s="18"/>
      <c r="K33384" s="18" t="s">
        <v>316</v>
      </c>
    </row>
    <row r="33385">
      <c r="A33385" s="17"/>
      <c r="H33385" s="18"/>
      <c r="K33385" s="18" t="s">
        <v>316</v>
      </c>
    </row>
    <row r="33386">
      <c r="A33386" s="17"/>
      <c r="H33386" s="18"/>
      <c r="K33386" s="18" t="s">
        <v>316</v>
      </c>
    </row>
    <row r="33387">
      <c r="A33387" s="17"/>
      <c r="H33387" s="18"/>
      <c r="K33387" s="18" t="s">
        <v>316</v>
      </c>
    </row>
    <row r="33388">
      <c r="A33388" s="17"/>
      <c r="H33388" s="18"/>
      <c r="K33388" s="18" t="s">
        <v>316</v>
      </c>
    </row>
    <row r="33389">
      <c r="A33389" s="17"/>
      <c r="H33389" s="18"/>
      <c r="K33389" s="18" t="s">
        <v>316</v>
      </c>
    </row>
    <row r="33390">
      <c r="A33390" s="17"/>
      <c r="H33390" s="18"/>
      <c r="K33390" s="18" t="s">
        <v>316</v>
      </c>
    </row>
    <row r="33391">
      <c r="A33391" s="17"/>
      <c r="H33391" s="18"/>
      <c r="K33391" s="18" t="s">
        <v>316</v>
      </c>
    </row>
    <row r="33392">
      <c r="A33392" s="17"/>
      <c r="H33392" s="18"/>
      <c r="K33392" s="18" t="s">
        <v>316</v>
      </c>
    </row>
    <row r="33393">
      <c r="A33393" s="17"/>
      <c r="H33393" s="18"/>
      <c r="K33393" s="18" t="s">
        <v>316</v>
      </c>
    </row>
    <row r="33394">
      <c r="A33394" s="17"/>
      <c r="H33394" s="18"/>
      <c r="K33394" s="18" t="s">
        <v>316</v>
      </c>
    </row>
    <row r="33395">
      <c r="A33395" s="17"/>
      <c r="H33395" s="18"/>
      <c r="K33395" s="18" t="s">
        <v>316</v>
      </c>
    </row>
    <row r="33396">
      <c r="A33396" s="17"/>
      <c r="H33396" s="18"/>
      <c r="K33396" s="18" t="s">
        <v>316</v>
      </c>
    </row>
    <row r="33397">
      <c r="A33397" s="17"/>
      <c r="H33397" s="18"/>
      <c r="K33397" s="18" t="s">
        <v>316</v>
      </c>
    </row>
    <row r="33398">
      <c r="A33398" s="17"/>
      <c r="H33398" s="18"/>
      <c r="K33398" s="18" t="s">
        <v>316</v>
      </c>
    </row>
    <row r="33399">
      <c r="A33399" s="17"/>
      <c r="H33399" s="18"/>
      <c r="K33399" s="18" t="s">
        <v>316</v>
      </c>
    </row>
    <row r="33400">
      <c r="A33400" s="17"/>
      <c r="H33400" s="18"/>
      <c r="K33400" s="18" t="s">
        <v>316</v>
      </c>
    </row>
    <row r="33401">
      <c r="A33401" s="17"/>
      <c r="H33401" s="18"/>
      <c r="K33401" s="18" t="s">
        <v>316</v>
      </c>
    </row>
    <row r="33402">
      <c r="A33402" s="17"/>
      <c r="H33402" s="18"/>
      <c r="K33402" s="18" t="s">
        <v>316</v>
      </c>
    </row>
    <row r="33403">
      <c r="A33403" s="17"/>
      <c r="H33403" s="18"/>
      <c r="K33403" s="18" t="s">
        <v>316</v>
      </c>
    </row>
    <row r="33404">
      <c r="A33404" s="17"/>
      <c r="H33404" s="18"/>
      <c r="K33404" s="18" t="s">
        <v>316</v>
      </c>
    </row>
    <row r="33405">
      <c r="A33405" s="17"/>
      <c r="H33405" s="18"/>
      <c r="K33405" s="18" t="s">
        <v>316</v>
      </c>
    </row>
    <row r="33406">
      <c r="A33406" s="17"/>
      <c r="H33406" s="18"/>
      <c r="K33406" s="18" t="s">
        <v>316</v>
      </c>
    </row>
    <row r="33407">
      <c r="A33407" s="17"/>
      <c r="H33407" s="18"/>
      <c r="K33407" s="18" t="s">
        <v>316</v>
      </c>
    </row>
    <row r="33408">
      <c r="A33408" s="17"/>
      <c r="H33408" s="18"/>
      <c r="K33408" s="18" t="s">
        <v>316</v>
      </c>
    </row>
    <row r="33409">
      <c r="A33409" s="17"/>
      <c r="H33409" s="18"/>
      <c r="K33409" s="18" t="s">
        <v>316</v>
      </c>
    </row>
    <row r="33410">
      <c r="A33410" s="17"/>
      <c r="H33410" s="18"/>
      <c r="K33410" s="18" t="s">
        <v>316</v>
      </c>
    </row>
    <row r="33411">
      <c r="A33411" s="17"/>
      <c r="H33411" s="18"/>
      <c r="K33411" s="18" t="s">
        <v>316</v>
      </c>
    </row>
    <row r="33412">
      <c r="A33412" s="17"/>
      <c r="H33412" s="18"/>
      <c r="K33412" s="18" t="s">
        <v>316</v>
      </c>
    </row>
    <row r="33413">
      <c r="A33413" s="17"/>
      <c r="H33413" s="18"/>
      <c r="K33413" s="18" t="s">
        <v>316</v>
      </c>
    </row>
    <row r="33414">
      <c r="A33414" s="17"/>
      <c r="H33414" s="18"/>
      <c r="K33414" s="18" t="s">
        <v>316</v>
      </c>
    </row>
    <row r="33415">
      <c r="A33415" s="17"/>
      <c r="H33415" s="18"/>
      <c r="K33415" s="18" t="s">
        <v>316</v>
      </c>
    </row>
    <row r="33416">
      <c r="A33416" s="17"/>
      <c r="H33416" s="18"/>
      <c r="K33416" s="18" t="s">
        <v>316</v>
      </c>
    </row>
    <row r="33417">
      <c r="A33417" s="17"/>
      <c r="H33417" s="18"/>
      <c r="K33417" s="18" t="s">
        <v>316</v>
      </c>
    </row>
    <row r="33418">
      <c r="A33418" s="17"/>
      <c r="H33418" s="18"/>
      <c r="K33418" s="18" t="s">
        <v>316</v>
      </c>
    </row>
    <row r="33419">
      <c r="A33419" s="17"/>
      <c r="H33419" s="18"/>
      <c r="K33419" s="18" t="s">
        <v>316</v>
      </c>
    </row>
    <row r="33420">
      <c r="A33420" s="17"/>
      <c r="H33420" s="18"/>
      <c r="K33420" s="18" t="s">
        <v>316</v>
      </c>
    </row>
    <row r="33421">
      <c r="A33421" s="17"/>
      <c r="H33421" s="18"/>
      <c r="K33421" s="18" t="s">
        <v>316</v>
      </c>
    </row>
    <row r="33422">
      <c r="A33422" s="17"/>
      <c r="H33422" s="18"/>
      <c r="K33422" s="18" t="s">
        <v>316</v>
      </c>
    </row>
    <row r="33423">
      <c r="A33423" s="17"/>
      <c r="H33423" s="18"/>
      <c r="K33423" s="18" t="s">
        <v>316</v>
      </c>
    </row>
    <row r="33424">
      <c r="A33424" s="17"/>
      <c r="H33424" s="18"/>
      <c r="K33424" s="18" t="s">
        <v>316</v>
      </c>
    </row>
    <row r="33425">
      <c r="A33425" s="17"/>
      <c r="H33425" s="18"/>
      <c r="K33425" s="18" t="s">
        <v>316</v>
      </c>
    </row>
    <row r="33426">
      <c r="A33426" s="17"/>
      <c r="H33426" s="18"/>
      <c r="K33426" s="18" t="s">
        <v>316</v>
      </c>
    </row>
    <row r="33427">
      <c r="A33427" s="17"/>
      <c r="H33427" s="18"/>
      <c r="K33427" s="18" t="s">
        <v>316</v>
      </c>
    </row>
    <row r="33428">
      <c r="A33428" s="17"/>
      <c r="H33428" s="18"/>
      <c r="K33428" s="18" t="s">
        <v>316</v>
      </c>
    </row>
    <row r="33429">
      <c r="A33429" s="17"/>
      <c r="H33429" s="18"/>
      <c r="K33429" s="18" t="s">
        <v>316</v>
      </c>
    </row>
    <row r="33430">
      <c r="A33430" s="17"/>
      <c r="H33430" s="18"/>
      <c r="K33430" s="18" t="s">
        <v>316</v>
      </c>
    </row>
    <row r="33431">
      <c r="A33431" s="17"/>
      <c r="H33431" s="18"/>
      <c r="K33431" s="18" t="s">
        <v>316</v>
      </c>
    </row>
    <row r="33432">
      <c r="A33432" s="17"/>
      <c r="H33432" s="18"/>
      <c r="K33432" s="18" t="s">
        <v>316</v>
      </c>
    </row>
    <row r="33433">
      <c r="A33433" s="17"/>
      <c r="H33433" s="18"/>
      <c r="K33433" s="18" t="s">
        <v>316</v>
      </c>
    </row>
    <row r="33434">
      <c r="A33434" s="17"/>
      <c r="H33434" s="18"/>
      <c r="K33434" s="18" t="s">
        <v>316</v>
      </c>
    </row>
    <row r="33435">
      <c r="A33435" s="17"/>
      <c r="H33435" s="18"/>
      <c r="K33435" s="18" t="s">
        <v>316</v>
      </c>
    </row>
    <row r="33436">
      <c r="A33436" s="17"/>
      <c r="H33436" s="18"/>
      <c r="K33436" s="18" t="s">
        <v>316</v>
      </c>
    </row>
    <row r="33437">
      <c r="A33437" s="17"/>
      <c r="H33437" s="18"/>
      <c r="K33437" s="18" t="s">
        <v>316</v>
      </c>
    </row>
    <row r="33438">
      <c r="A33438" s="17"/>
      <c r="H33438" s="18"/>
      <c r="K33438" s="18" t="s">
        <v>316</v>
      </c>
    </row>
    <row r="33439">
      <c r="A33439" s="17"/>
      <c r="H33439" s="18"/>
      <c r="K33439" s="18" t="s">
        <v>316</v>
      </c>
    </row>
    <row r="33440">
      <c r="A33440" s="17"/>
      <c r="H33440" s="18"/>
      <c r="K33440" s="18" t="s">
        <v>316</v>
      </c>
    </row>
    <row r="33441">
      <c r="A33441" s="17"/>
      <c r="H33441" s="18"/>
      <c r="K33441" s="18" t="s">
        <v>316</v>
      </c>
    </row>
    <row r="33442">
      <c r="A33442" s="17"/>
      <c r="H33442" s="18"/>
      <c r="K33442" s="18" t="s">
        <v>316</v>
      </c>
    </row>
    <row r="33443">
      <c r="A33443" s="17"/>
      <c r="H33443" s="18"/>
      <c r="K33443" s="18" t="s">
        <v>316</v>
      </c>
    </row>
    <row r="33444">
      <c r="A33444" s="17"/>
      <c r="H33444" s="18"/>
      <c r="K33444" s="18" t="s">
        <v>316</v>
      </c>
    </row>
    <row r="33445">
      <c r="A33445" s="17"/>
      <c r="H33445" s="18"/>
      <c r="K33445" s="18" t="s">
        <v>316</v>
      </c>
    </row>
    <row r="33446">
      <c r="A33446" s="17"/>
      <c r="H33446" s="18"/>
      <c r="K33446" s="18" t="s">
        <v>316</v>
      </c>
    </row>
    <row r="33447">
      <c r="A33447" s="17"/>
      <c r="H33447" s="18"/>
      <c r="K33447" s="18" t="s">
        <v>316</v>
      </c>
    </row>
    <row r="33448">
      <c r="A33448" s="17"/>
      <c r="H33448" s="18"/>
      <c r="K33448" s="18" t="s">
        <v>316</v>
      </c>
    </row>
    <row r="33449">
      <c r="A33449" s="17"/>
      <c r="H33449" s="18"/>
      <c r="K33449" s="18" t="s">
        <v>316</v>
      </c>
    </row>
    <row r="33450">
      <c r="A33450" s="17"/>
      <c r="H33450" s="18"/>
      <c r="K33450" s="18" t="s">
        <v>316</v>
      </c>
    </row>
    <row r="33451">
      <c r="A33451" s="17"/>
      <c r="H33451" s="18"/>
      <c r="K33451" s="18" t="s">
        <v>316</v>
      </c>
    </row>
    <row r="33452">
      <c r="A33452" s="17"/>
      <c r="H33452" s="18"/>
      <c r="K33452" s="18" t="s">
        <v>316</v>
      </c>
    </row>
    <row r="33453">
      <c r="A33453" s="17"/>
      <c r="H33453" s="18"/>
      <c r="K33453" s="18" t="s">
        <v>316</v>
      </c>
    </row>
    <row r="33454">
      <c r="A33454" s="17"/>
      <c r="H33454" s="18"/>
      <c r="K33454" s="18" t="s">
        <v>316</v>
      </c>
    </row>
    <row r="33455">
      <c r="A33455" s="17"/>
      <c r="H33455" s="18"/>
      <c r="K33455" s="18" t="s">
        <v>316</v>
      </c>
    </row>
    <row r="33456">
      <c r="A33456" s="17"/>
      <c r="H33456" s="18"/>
      <c r="K33456" s="18" t="s">
        <v>316</v>
      </c>
    </row>
    <row r="33457">
      <c r="A33457" s="17"/>
      <c r="H33457" s="18"/>
      <c r="K33457" s="18" t="s">
        <v>316</v>
      </c>
    </row>
    <row r="33458">
      <c r="A33458" s="17"/>
      <c r="H33458" s="18"/>
      <c r="K33458" s="18" t="s">
        <v>316</v>
      </c>
    </row>
    <row r="33459">
      <c r="A33459" s="17"/>
      <c r="H33459" s="18"/>
      <c r="K33459" s="18" t="s">
        <v>316</v>
      </c>
    </row>
    <row r="33460">
      <c r="A33460" s="17"/>
      <c r="H33460" s="18"/>
      <c r="K33460" s="18" t="s">
        <v>316</v>
      </c>
    </row>
    <row r="33461">
      <c r="A33461" s="17"/>
      <c r="H33461" s="18"/>
      <c r="K33461" s="18" t="s">
        <v>316</v>
      </c>
    </row>
    <row r="33462">
      <c r="A33462" s="17"/>
      <c r="H33462" s="18"/>
      <c r="K33462" s="18" t="s">
        <v>316</v>
      </c>
    </row>
    <row r="33463">
      <c r="A33463" s="17"/>
      <c r="H33463" s="18"/>
      <c r="K33463" s="18" t="s">
        <v>316</v>
      </c>
    </row>
    <row r="33464">
      <c r="A33464" s="17"/>
      <c r="H33464" s="18"/>
      <c r="K33464" s="18" t="s">
        <v>316</v>
      </c>
    </row>
    <row r="33465">
      <c r="A33465" s="17"/>
      <c r="H33465" s="18"/>
      <c r="K33465" s="18" t="s">
        <v>316</v>
      </c>
    </row>
    <row r="33466">
      <c r="A33466" s="17"/>
      <c r="H33466" s="18"/>
      <c r="K33466" s="18" t="s">
        <v>316</v>
      </c>
    </row>
    <row r="33467">
      <c r="A33467" s="17"/>
      <c r="H33467" s="18"/>
      <c r="K33467" s="18" t="s">
        <v>316</v>
      </c>
    </row>
    <row r="33468">
      <c r="A33468" s="17"/>
      <c r="H33468" s="18"/>
      <c r="K33468" s="18" t="s">
        <v>316</v>
      </c>
    </row>
    <row r="33469">
      <c r="A33469" s="17"/>
      <c r="H33469" s="18"/>
      <c r="K33469" s="18" t="s">
        <v>316</v>
      </c>
    </row>
    <row r="33470">
      <c r="A33470" s="17"/>
      <c r="H33470" s="18"/>
      <c r="K33470" s="18" t="s">
        <v>316</v>
      </c>
    </row>
    <row r="33471">
      <c r="A33471" s="17"/>
      <c r="H33471" s="18"/>
      <c r="K33471" s="18" t="s">
        <v>316</v>
      </c>
    </row>
    <row r="33472">
      <c r="A33472" s="17"/>
      <c r="H33472" s="18"/>
      <c r="K33472" s="18" t="s">
        <v>316</v>
      </c>
    </row>
    <row r="33473">
      <c r="A33473" s="17"/>
      <c r="H33473" s="18"/>
      <c r="K33473" s="18" t="s">
        <v>316</v>
      </c>
    </row>
    <row r="33474">
      <c r="A33474" s="17"/>
      <c r="H33474" s="18"/>
      <c r="K33474" s="18" t="s">
        <v>316</v>
      </c>
    </row>
    <row r="33475">
      <c r="A33475" s="17"/>
      <c r="H33475" s="18"/>
      <c r="K33475" s="18" t="s">
        <v>316</v>
      </c>
    </row>
    <row r="33476">
      <c r="A33476" s="17"/>
      <c r="H33476" s="18"/>
      <c r="K33476" s="18" t="s">
        <v>316</v>
      </c>
    </row>
    <row r="33477">
      <c r="A33477" s="17"/>
      <c r="H33477" s="18"/>
      <c r="K33477" s="18" t="s">
        <v>316</v>
      </c>
    </row>
    <row r="33478">
      <c r="A33478" s="17"/>
      <c r="H33478" s="18"/>
      <c r="K33478" s="18" t="s">
        <v>316</v>
      </c>
    </row>
    <row r="33479">
      <c r="A33479" s="17"/>
      <c r="H33479" s="18"/>
      <c r="K33479" s="18" t="s">
        <v>316</v>
      </c>
    </row>
    <row r="33480">
      <c r="A33480" s="17"/>
      <c r="H33480" s="18"/>
      <c r="K33480" s="18" t="s">
        <v>316</v>
      </c>
    </row>
    <row r="33481">
      <c r="A33481" s="17"/>
      <c r="H33481" s="18"/>
      <c r="K33481" s="18" t="s">
        <v>316</v>
      </c>
    </row>
    <row r="33482">
      <c r="A33482" s="17"/>
      <c r="H33482" s="18"/>
      <c r="K33482" s="18" t="s">
        <v>316</v>
      </c>
    </row>
    <row r="33483">
      <c r="A33483" s="17"/>
      <c r="H33483" s="18"/>
      <c r="K33483" s="18" t="s">
        <v>316</v>
      </c>
    </row>
    <row r="33484">
      <c r="A33484" s="17"/>
      <c r="H33484" s="18"/>
      <c r="K33484" s="18" t="s">
        <v>316</v>
      </c>
    </row>
    <row r="33485">
      <c r="A33485" s="17"/>
      <c r="H33485" s="18"/>
      <c r="K33485" s="18" t="s">
        <v>316</v>
      </c>
    </row>
    <row r="33486">
      <c r="A33486" s="17"/>
      <c r="H33486" s="18"/>
      <c r="K33486" s="18" t="s">
        <v>316</v>
      </c>
    </row>
    <row r="33487">
      <c r="A33487" s="17"/>
      <c r="H33487" s="18"/>
      <c r="K33487" s="18" t="s">
        <v>316</v>
      </c>
    </row>
    <row r="33488">
      <c r="A33488" s="17"/>
      <c r="H33488" s="18"/>
      <c r="K33488" s="18" t="s">
        <v>316</v>
      </c>
    </row>
    <row r="33489">
      <c r="A33489" s="17"/>
      <c r="H33489" s="18"/>
      <c r="K33489" s="18" t="s">
        <v>316</v>
      </c>
    </row>
    <row r="33490">
      <c r="A33490" s="17"/>
      <c r="H33490" s="18"/>
      <c r="K33490" s="18" t="s">
        <v>316</v>
      </c>
    </row>
    <row r="33491">
      <c r="A33491" s="17"/>
      <c r="H33491" s="18"/>
      <c r="K33491" s="18" t="s">
        <v>316</v>
      </c>
    </row>
    <row r="33492">
      <c r="A33492" s="17"/>
      <c r="H33492" s="18"/>
      <c r="K33492" s="18" t="s">
        <v>316</v>
      </c>
    </row>
    <row r="33493">
      <c r="A33493" s="17"/>
      <c r="H33493" s="18"/>
      <c r="K33493" s="18" t="s">
        <v>316</v>
      </c>
    </row>
    <row r="33494">
      <c r="A33494" s="17"/>
      <c r="H33494" s="18"/>
      <c r="K33494" s="18" t="s">
        <v>316</v>
      </c>
    </row>
    <row r="33495">
      <c r="A33495" s="17"/>
      <c r="H33495" s="18"/>
      <c r="K33495" s="18" t="s">
        <v>316</v>
      </c>
    </row>
    <row r="33496">
      <c r="A33496" s="17"/>
      <c r="H33496" s="18"/>
      <c r="K33496" s="18" t="s">
        <v>316</v>
      </c>
    </row>
    <row r="33497">
      <c r="A33497" s="17"/>
      <c r="H33497" s="18"/>
      <c r="K33497" s="18" t="s">
        <v>316</v>
      </c>
    </row>
    <row r="33498">
      <c r="A33498" s="17"/>
      <c r="H33498" s="18"/>
      <c r="K33498" s="18" t="s">
        <v>316</v>
      </c>
    </row>
    <row r="33499">
      <c r="A33499" s="17"/>
      <c r="H33499" s="18"/>
      <c r="K33499" s="18" t="s">
        <v>316</v>
      </c>
    </row>
    <row r="33500">
      <c r="A33500" s="17"/>
      <c r="H33500" s="18"/>
      <c r="K33500" s="18" t="s">
        <v>316</v>
      </c>
    </row>
    <row r="33501">
      <c r="A33501" s="17"/>
      <c r="H33501" s="18"/>
      <c r="K33501" s="18" t="s">
        <v>316</v>
      </c>
    </row>
    <row r="33502">
      <c r="A33502" s="17"/>
      <c r="H33502" s="18"/>
      <c r="K33502" s="18" t="s">
        <v>316</v>
      </c>
    </row>
    <row r="33503">
      <c r="A33503" s="17"/>
      <c r="H33503" s="18"/>
      <c r="K33503" s="18" t="s">
        <v>316</v>
      </c>
    </row>
    <row r="33504">
      <c r="A33504" s="17"/>
      <c r="H33504" s="18"/>
      <c r="K33504" s="18" t="s">
        <v>316</v>
      </c>
    </row>
    <row r="33505">
      <c r="A33505" s="17"/>
      <c r="H33505" s="18"/>
      <c r="K33505" s="18" t="s">
        <v>316</v>
      </c>
    </row>
    <row r="33506">
      <c r="A33506" s="17"/>
      <c r="H33506" s="18"/>
      <c r="K33506" s="18" t="s">
        <v>316</v>
      </c>
    </row>
    <row r="33507">
      <c r="A33507" s="17"/>
      <c r="H33507" s="18"/>
      <c r="K33507" s="18" t="s">
        <v>316</v>
      </c>
    </row>
    <row r="33508">
      <c r="A33508" s="17"/>
      <c r="H33508" s="18"/>
      <c r="K33508" s="18" t="s">
        <v>316</v>
      </c>
    </row>
    <row r="33509">
      <c r="A33509" s="17"/>
      <c r="H33509" s="18"/>
      <c r="K33509" s="18" t="s">
        <v>316</v>
      </c>
    </row>
    <row r="33510">
      <c r="A33510" s="17"/>
      <c r="H33510" s="18"/>
      <c r="K33510" s="18" t="s">
        <v>316</v>
      </c>
    </row>
    <row r="33511">
      <c r="A33511" s="17"/>
      <c r="H33511" s="18"/>
      <c r="K33511" s="18" t="s">
        <v>316</v>
      </c>
    </row>
    <row r="33512">
      <c r="A33512" s="17"/>
      <c r="H33512" s="18"/>
      <c r="K33512" s="18" t="s">
        <v>316</v>
      </c>
    </row>
    <row r="33513">
      <c r="A33513" s="17"/>
      <c r="H33513" s="18"/>
      <c r="K33513" s="18" t="s">
        <v>316</v>
      </c>
    </row>
    <row r="33514">
      <c r="A33514" s="17"/>
      <c r="H33514" s="18"/>
      <c r="K33514" s="18" t="s">
        <v>316</v>
      </c>
    </row>
    <row r="33515">
      <c r="A33515" s="17"/>
      <c r="H33515" s="18"/>
      <c r="K33515" s="18" t="s">
        <v>316</v>
      </c>
    </row>
    <row r="33516">
      <c r="A33516" s="17"/>
      <c r="H33516" s="18"/>
      <c r="K33516" s="18" t="s">
        <v>316</v>
      </c>
    </row>
    <row r="33517">
      <c r="A33517" s="17"/>
      <c r="H33517" s="18"/>
      <c r="K33517" s="18" t="s">
        <v>316</v>
      </c>
    </row>
    <row r="33518">
      <c r="A33518" s="17"/>
      <c r="H33518" s="18"/>
      <c r="K33518" s="18" t="s">
        <v>316</v>
      </c>
    </row>
    <row r="33519">
      <c r="A33519" s="17"/>
      <c r="H33519" s="18"/>
      <c r="K33519" s="18" t="s">
        <v>316</v>
      </c>
    </row>
    <row r="33520">
      <c r="A33520" s="17"/>
      <c r="H33520" s="18"/>
      <c r="K33520" s="18" t="s">
        <v>316</v>
      </c>
    </row>
    <row r="33521">
      <c r="A33521" s="17"/>
      <c r="H33521" s="18"/>
      <c r="K33521" s="18" t="s">
        <v>316</v>
      </c>
    </row>
    <row r="33522">
      <c r="A33522" s="17"/>
      <c r="H33522" s="18"/>
      <c r="K33522" s="18" t="s">
        <v>316</v>
      </c>
    </row>
    <row r="33523">
      <c r="A33523" s="17"/>
      <c r="H33523" s="18"/>
      <c r="K33523" s="18" t="s">
        <v>316</v>
      </c>
    </row>
    <row r="33524">
      <c r="A33524" s="17"/>
      <c r="H33524" s="18"/>
      <c r="K33524" s="18" t="s">
        <v>316</v>
      </c>
    </row>
    <row r="33525">
      <c r="A33525" s="17"/>
      <c r="H33525" s="18"/>
      <c r="K33525" s="18" t="s">
        <v>316</v>
      </c>
    </row>
    <row r="33526">
      <c r="A33526" s="17"/>
      <c r="H33526" s="18"/>
      <c r="K33526" s="18" t="s">
        <v>316</v>
      </c>
    </row>
    <row r="33527">
      <c r="A33527" s="17"/>
      <c r="H33527" s="18"/>
      <c r="K33527" s="18" t="s">
        <v>316</v>
      </c>
    </row>
    <row r="33528">
      <c r="A33528" s="17"/>
      <c r="H33528" s="18"/>
      <c r="K33528" s="18" t="s">
        <v>316</v>
      </c>
    </row>
    <row r="33529">
      <c r="A33529" s="17"/>
      <c r="H33529" s="18"/>
      <c r="K33529" s="18" t="s">
        <v>316</v>
      </c>
    </row>
    <row r="33530">
      <c r="A33530" s="17"/>
      <c r="H33530" s="18"/>
      <c r="K33530" s="18" t="s">
        <v>316</v>
      </c>
    </row>
    <row r="33531">
      <c r="A33531" s="17"/>
      <c r="H33531" s="18"/>
      <c r="K33531" s="18" t="s">
        <v>316</v>
      </c>
    </row>
    <row r="33532">
      <c r="A33532" s="17"/>
      <c r="H33532" s="18"/>
      <c r="K33532" s="18" t="s">
        <v>316</v>
      </c>
    </row>
    <row r="33533">
      <c r="A33533" s="17"/>
      <c r="H33533" s="18"/>
      <c r="K33533" s="18" t="s">
        <v>316</v>
      </c>
    </row>
    <row r="33534">
      <c r="A33534" s="17"/>
      <c r="H33534" s="18"/>
      <c r="K33534" s="18" t="s">
        <v>316</v>
      </c>
    </row>
    <row r="33535">
      <c r="A33535" s="17"/>
      <c r="H33535" s="18"/>
      <c r="K33535" s="18" t="s">
        <v>316</v>
      </c>
    </row>
    <row r="33536">
      <c r="A33536" s="17"/>
      <c r="H33536" s="18"/>
      <c r="K33536" s="18" t="s">
        <v>316</v>
      </c>
    </row>
    <row r="33537">
      <c r="A33537" s="17"/>
      <c r="H33537" s="18"/>
      <c r="K33537" s="18" t="s">
        <v>316</v>
      </c>
    </row>
    <row r="33538">
      <c r="A33538" s="17"/>
      <c r="H33538" s="18"/>
      <c r="K33538" s="18" t="s">
        <v>316</v>
      </c>
    </row>
    <row r="33539">
      <c r="A33539" s="17"/>
      <c r="H33539" s="18"/>
      <c r="K33539" s="18" t="s">
        <v>316</v>
      </c>
    </row>
    <row r="33540">
      <c r="A33540" s="17"/>
      <c r="H33540" s="18"/>
      <c r="K33540" s="18" t="s">
        <v>316</v>
      </c>
    </row>
    <row r="33541">
      <c r="A33541" s="17"/>
      <c r="H33541" s="18"/>
      <c r="K33541" s="18" t="s">
        <v>316</v>
      </c>
    </row>
    <row r="33542">
      <c r="A33542" s="17"/>
      <c r="H33542" s="18"/>
      <c r="K33542" s="18" t="s">
        <v>316</v>
      </c>
    </row>
    <row r="33543">
      <c r="A33543" s="17"/>
      <c r="H33543" s="18"/>
      <c r="K33543" s="18" t="s">
        <v>316</v>
      </c>
    </row>
    <row r="33544">
      <c r="A33544" s="17"/>
      <c r="H33544" s="18"/>
      <c r="K33544" s="18" t="s">
        <v>316</v>
      </c>
    </row>
    <row r="33545">
      <c r="A33545" s="17"/>
      <c r="H33545" s="18"/>
      <c r="K33545" s="18" t="s">
        <v>316</v>
      </c>
    </row>
    <row r="33546">
      <c r="A33546" s="17"/>
      <c r="H33546" s="18"/>
      <c r="K33546" s="18" t="s">
        <v>316</v>
      </c>
    </row>
    <row r="33547">
      <c r="A33547" s="17"/>
      <c r="H33547" s="18"/>
      <c r="K33547" s="18" t="s">
        <v>316</v>
      </c>
    </row>
    <row r="33548">
      <c r="A33548" s="17"/>
      <c r="H33548" s="18"/>
      <c r="K33548" s="18" t="s">
        <v>316</v>
      </c>
    </row>
    <row r="33549">
      <c r="A33549" s="17"/>
      <c r="H33549" s="18"/>
      <c r="K33549" s="18" t="s">
        <v>316</v>
      </c>
    </row>
    <row r="33550">
      <c r="A33550" s="17"/>
      <c r="H33550" s="18"/>
      <c r="K33550" s="18" t="s">
        <v>316</v>
      </c>
    </row>
    <row r="33551">
      <c r="A33551" s="17"/>
      <c r="H33551" s="18"/>
      <c r="K33551" s="18" t="s">
        <v>316</v>
      </c>
    </row>
    <row r="33552">
      <c r="A33552" s="17"/>
      <c r="H33552" s="18"/>
      <c r="K33552" s="18" t="s">
        <v>316</v>
      </c>
    </row>
    <row r="33553">
      <c r="A33553" s="17"/>
      <c r="H33553" s="18"/>
      <c r="K33553" s="18" t="s">
        <v>316</v>
      </c>
    </row>
    <row r="33554">
      <c r="A33554" s="17"/>
      <c r="H33554" s="18"/>
      <c r="K33554" s="18" t="s">
        <v>316</v>
      </c>
    </row>
    <row r="33555">
      <c r="A33555" s="17"/>
      <c r="H33555" s="18"/>
      <c r="K33555" s="18" t="s">
        <v>316</v>
      </c>
    </row>
    <row r="33556">
      <c r="A33556" s="17"/>
      <c r="H33556" s="18"/>
      <c r="K33556" s="18" t="s">
        <v>316</v>
      </c>
    </row>
    <row r="33557">
      <c r="A33557" s="17"/>
      <c r="H33557" s="18"/>
      <c r="K33557" s="18" t="s">
        <v>316</v>
      </c>
    </row>
    <row r="33558">
      <c r="A33558" s="17"/>
      <c r="H33558" s="18"/>
      <c r="K33558" s="18" t="s">
        <v>316</v>
      </c>
    </row>
    <row r="33559">
      <c r="A33559" s="17"/>
      <c r="H33559" s="18"/>
      <c r="K33559" s="18" t="s">
        <v>316</v>
      </c>
    </row>
    <row r="33560">
      <c r="A33560" s="17"/>
      <c r="H33560" s="18"/>
      <c r="K33560" s="18" t="s">
        <v>316</v>
      </c>
    </row>
    <row r="33561">
      <c r="A33561" s="17"/>
      <c r="H33561" s="18"/>
      <c r="K33561" s="18" t="s">
        <v>316</v>
      </c>
    </row>
    <row r="33562">
      <c r="A33562" s="17"/>
      <c r="H33562" s="18"/>
      <c r="K33562" s="18" t="s">
        <v>316</v>
      </c>
    </row>
    <row r="33563">
      <c r="A33563" s="17"/>
      <c r="H33563" s="18"/>
      <c r="K33563" s="18" t="s">
        <v>316</v>
      </c>
    </row>
    <row r="33564">
      <c r="A33564" s="17"/>
      <c r="H33564" s="18"/>
      <c r="K33564" s="18" t="s">
        <v>316</v>
      </c>
    </row>
    <row r="33565">
      <c r="A33565" s="17"/>
      <c r="H33565" s="18"/>
      <c r="K33565" s="18" t="s">
        <v>316</v>
      </c>
    </row>
    <row r="33566">
      <c r="A33566" s="17"/>
      <c r="H33566" s="18"/>
      <c r="K33566" s="18" t="s">
        <v>316</v>
      </c>
    </row>
    <row r="33567">
      <c r="A33567" s="17"/>
      <c r="H33567" s="18"/>
      <c r="K33567" s="18" t="s">
        <v>316</v>
      </c>
    </row>
    <row r="33568">
      <c r="A33568" s="17"/>
      <c r="H33568" s="18"/>
      <c r="K33568" s="18" t="s">
        <v>316</v>
      </c>
    </row>
    <row r="33569">
      <c r="A33569" s="17"/>
      <c r="H33569" s="18"/>
      <c r="K33569" s="18" t="s">
        <v>316</v>
      </c>
    </row>
    <row r="33570">
      <c r="A33570" s="17"/>
      <c r="H33570" s="18"/>
      <c r="K33570" s="18" t="s">
        <v>316</v>
      </c>
    </row>
    <row r="33571">
      <c r="A33571" s="17"/>
      <c r="H33571" s="18"/>
      <c r="K33571" s="18" t="s">
        <v>316</v>
      </c>
    </row>
    <row r="33572">
      <c r="A33572" s="17"/>
      <c r="H33572" s="18"/>
      <c r="K33572" s="18" t="s">
        <v>316</v>
      </c>
    </row>
    <row r="33573">
      <c r="A33573" s="17"/>
      <c r="H33573" s="18"/>
      <c r="K33573" s="18" t="s">
        <v>316</v>
      </c>
    </row>
    <row r="33574">
      <c r="A33574" s="17"/>
      <c r="H33574" s="18"/>
      <c r="K33574" s="18" t="s">
        <v>316</v>
      </c>
    </row>
    <row r="33575">
      <c r="A33575" s="17"/>
      <c r="H33575" s="18"/>
      <c r="K33575" s="18" t="s">
        <v>316</v>
      </c>
    </row>
    <row r="33576">
      <c r="A33576" s="17"/>
      <c r="H33576" s="18"/>
      <c r="K33576" s="18" t="s">
        <v>316</v>
      </c>
    </row>
    <row r="33577">
      <c r="A33577" s="17"/>
      <c r="H33577" s="18"/>
      <c r="K33577" s="18" t="s">
        <v>316</v>
      </c>
    </row>
    <row r="33578">
      <c r="A33578" s="17"/>
      <c r="H33578" s="18"/>
      <c r="K33578" s="18" t="s">
        <v>316</v>
      </c>
    </row>
    <row r="33579">
      <c r="A33579" s="17"/>
      <c r="H33579" s="18"/>
      <c r="K33579" s="18" t="s">
        <v>316</v>
      </c>
    </row>
    <row r="33580">
      <c r="A33580" s="17"/>
      <c r="H33580" s="18"/>
      <c r="K33580" s="18" t="s">
        <v>316</v>
      </c>
    </row>
    <row r="33581">
      <c r="A33581" s="17"/>
      <c r="H33581" s="18"/>
      <c r="K33581" s="18" t="s">
        <v>316</v>
      </c>
    </row>
    <row r="33582">
      <c r="A33582" s="17"/>
      <c r="H33582" s="18"/>
      <c r="K33582" s="18" t="s">
        <v>316</v>
      </c>
    </row>
    <row r="33583">
      <c r="A33583" s="17"/>
      <c r="H33583" s="18"/>
      <c r="K33583" s="18" t="s">
        <v>316</v>
      </c>
    </row>
    <row r="33584">
      <c r="A33584" s="17"/>
      <c r="H33584" s="18"/>
      <c r="K33584" s="18" t="s">
        <v>316</v>
      </c>
    </row>
    <row r="33585">
      <c r="A33585" s="17"/>
      <c r="H33585" s="18"/>
      <c r="K33585" s="18" t="s">
        <v>316</v>
      </c>
    </row>
    <row r="33586">
      <c r="A33586" s="17"/>
      <c r="H33586" s="18"/>
      <c r="K33586" s="18" t="s">
        <v>316</v>
      </c>
    </row>
    <row r="33587">
      <c r="A33587" s="17"/>
      <c r="H33587" s="18"/>
      <c r="K33587" s="18" t="s">
        <v>316</v>
      </c>
    </row>
    <row r="33588">
      <c r="A33588" s="17"/>
      <c r="H33588" s="18"/>
      <c r="K33588" s="18" t="s">
        <v>316</v>
      </c>
    </row>
    <row r="33589">
      <c r="A33589" s="17"/>
      <c r="H33589" s="18"/>
      <c r="K33589" s="18" t="s">
        <v>316</v>
      </c>
    </row>
    <row r="33590">
      <c r="A33590" s="17"/>
      <c r="H33590" s="18"/>
      <c r="K33590" s="18" t="s">
        <v>316</v>
      </c>
    </row>
    <row r="33591">
      <c r="A33591" s="17"/>
      <c r="H33591" s="18"/>
      <c r="K33591" s="18" t="s">
        <v>316</v>
      </c>
    </row>
    <row r="33592">
      <c r="A33592" s="17"/>
      <c r="H33592" s="18"/>
      <c r="K33592" s="18" t="s">
        <v>316</v>
      </c>
    </row>
    <row r="33593">
      <c r="A33593" s="17"/>
      <c r="H33593" s="18"/>
      <c r="K33593" s="18" t="s">
        <v>316</v>
      </c>
    </row>
    <row r="33594">
      <c r="A33594" s="17"/>
      <c r="H33594" s="18"/>
      <c r="K33594" s="18" t="s">
        <v>316</v>
      </c>
    </row>
    <row r="33595">
      <c r="A33595" s="17"/>
      <c r="H33595" s="18"/>
      <c r="K33595" s="18" t="s">
        <v>316</v>
      </c>
    </row>
    <row r="33596">
      <c r="A33596" s="17"/>
      <c r="H33596" s="18"/>
      <c r="K33596" s="18" t="s">
        <v>316</v>
      </c>
    </row>
    <row r="33597">
      <c r="A33597" s="17"/>
      <c r="H33597" s="18"/>
      <c r="K33597" s="18" t="s">
        <v>316</v>
      </c>
    </row>
    <row r="33598">
      <c r="A33598" s="17"/>
      <c r="H33598" s="18"/>
      <c r="K33598" s="18" t="s">
        <v>316</v>
      </c>
    </row>
    <row r="33599">
      <c r="A33599" s="17"/>
      <c r="H33599" s="18"/>
      <c r="K33599" s="18" t="s">
        <v>316</v>
      </c>
    </row>
    <row r="33600">
      <c r="A33600" s="17"/>
      <c r="H33600" s="18"/>
      <c r="K33600" s="18" t="s">
        <v>316</v>
      </c>
    </row>
    <row r="33601">
      <c r="A33601" s="17"/>
      <c r="H33601" s="18"/>
      <c r="K33601" s="18" t="s">
        <v>316</v>
      </c>
    </row>
    <row r="33602">
      <c r="A33602" s="17"/>
      <c r="H33602" s="18"/>
      <c r="K33602" s="18" t="s">
        <v>316</v>
      </c>
    </row>
    <row r="33603">
      <c r="A33603" s="17"/>
      <c r="H33603" s="18"/>
      <c r="K33603" s="18" t="s">
        <v>316</v>
      </c>
    </row>
    <row r="33604">
      <c r="A33604" s="17"/>
      <c r="H33604" s="18"/>
      <c r="K33604" s="18" t="s">
        <v>316</v>
      </c>
    </row>
    <row r="33605">
      <c r="A33605" s="17"/>
      <c r="H33605" s="18"/>
      <c r="K33605" s="18" t="s">
        <v>316</v>
      </c>
    </row>
    <row r="33606">
      <c r="A33606" s="17"/>
      <c r="H33606" s="18"/>
      <c r="K33606" s="18" t="s">
        <v>316</v>
      </c>
    </row>
    <row r="33607">
      <c r="A33607" s="17"/>
      <c r="H33607" s="18"/>
      <c r="K33607" s="18" t="s">
        <v>316</v>
      </c>
    </row>
    <row r="33608">
      <c r="A33608" s="17"/>
      <c r="H33608" s="18"/>
      <c r="K33608" s="18" t="s">
        <v>316</v>
      </c>
    </row>
    <row r="33609">
      <c r="A33609" s="17"/>
      <c r="H33609" s="18"/>
      <c r="K33609" s="18" t="s">
        <v>316</v>
      </c>
    </row>
    <row r="33610">
      <c r="A33610" s="17"/>
      <c r="H33610" s="18"/>
      <c r="K33610" s="18" t="s">
        <v>316</v>
      </c>
    </row>
    <row r="33611">
      <c r="A33611" s="17"/>
      <c r="H33611" s="18"/>
      <c r="K33611" s="18" t="s">
        <v>316</v>
      </c>
    </row>
    <row r="33612">
      <c r="A33612" s="17"/>
      <c r="H33612" s="18"/>
      <c r="K33612" s="18" t="s">
        <v>316</v>
      </c>
    </row>
    <row r="33613">
      <c r="A33613" s="17"/>
      <c r="H33613" s="18"/>
      <c r="K33613" s="18" t="s">
        <v>316</v>
      </c>
    </row>
    <row r="33614">
      <c r="A33614" s="17"/>
      <c r="H33614" s="18"/>
      <c r="K33614" s="18" t="s">
        <v>316</v>
      </c>
    </row>
    <row r="33615">
      <c r="A33615" s="17"/>
      <c r="H33615" s="18"/>
      <c r="K33615" s="18" t="s">
        <v>316</v>
      </c>
    </row>
    <row r="33616">
      <c r="A33616" s="17"/>
      <c r="H33616" s="18"/>
      <c r="K33616" s="18" t="s">
        <v>316</v>
      </c>
    </row>
    <row r="33617">
      <c r="A33617" s="17"/>
      <c r="H33617" s="18"/>
      <c r="K33617" s="18" t="s">
        <v>316</v>
      </c>
    </row>
    <row r="33618">
      <c r="A33618" s="17"/>
      <c r="H33618" s="18"/>
      <c r="K33618" s="18" t="s">
        <v>316</v>
      </c>
    </row>
    <row r="33619">
      <c r="A33619" s="17"/>
      <c r="H33619" s="18"/>
      <c r="K33619" s="18" t="s">
        <v>316</v>
      </c>
    </row>
    <row r="33620">
      <c r="A33620" s="17"/>
      <c r="H33620" s="18"/>
      <c r="K33620" s="18" t="s">
        <v>316</v>
      </c>
    </row>
    <row r="33621">
      <c r="A33621" s="17"/>
      <c r="H33621" s="18"/>
      <c r="K33621" s="18" t="s">
        <v>316</v>
      </c>
    </row>
    <row r="33622">
      <c r="A33622" s="17"/>
      <c r="H33622" s="18"/>
      <c r="K33622" s="18" t="s">
        <v>316</v>
      </c>
    </row>
    <row r="33623">
      <c r="A33623" s="17"/>
      <c r="H33623" s="18"/>
      <c r="K33623" s="18" t="s">
        <v>316</v>
      </c>
    </row>
    <row r="33624">
      <c r="A33624" s="17"/>
      <c r="H33624" s="18"/>
      <c r="K33624" s="18" t="s">
        <v>316</v>
      </c>
    </row>
    <row r="33625">
      <c r="A33625" s="17"/>
      <c r="H33625" s="18"/>
      <c r="K33625" s="18" t="s">
        <v>316</v>
      </c>
    </row>
    <row r="33626">
      <c r="A33626" s="17"/>
      <c r="H33626" s="18"/>
      <c r="K33626" s="18" t="s">
        <v>316</v>
      </c>
    </row>
    <row r="33627">
      <c r="A33627" s="17"/>
      <c r="H33627" s="18"/>
      <c r="K33627" s="18" t="s">
        <v>316</v>
      </c>
    </row>
    <row r="33628">
      <c r="A33628" s="17"/>
      <c r="H33628" s="18"/>
      <c r="K33628" s="18" t="s">
        <v>316</v>
      </c>
    </row>
    <row r="33629">
      <c r="A33629" s="17"/>
      <c r="H33629" s="18"/>
      <c r="K33629" s="18" t="s">
        <v>316</v>
      </c>
    </row>
    <row r="33630">
      <c r="A33630" s="17"/>
      <c r="H33630" s="18"/>
      <c r="K33630" s="18" t="s">
        <v>316</v>
      </c>
    </row>
    <row r="33631">
      <c r="A33631" s="17"/>
      <c r="H33631" s="18"/>
      <c r="K33631" s="18" t="s">
        <v>316</v>
      </c>
    </row>
    <row r="33632">
      <c r="A33632" s="17"/>
      <c r="H33632" s="18"/>
      <c r="K33632" s="18" t="s">
        <v>316</v>
      </c>
    </row>
    <row r="33633">
      <c r="A33633" s="17"/>
      <c r="H33633" s="18"/>
      <c r="K33633" s="18" t="s">
        <v>316</v>
      </c>
    </row>
    <row r="33634">
      <c r="A33634" s="17"/>
      <c r="H33634" s="18"/>
      <c r="K33634" s="18" t="s">
        <v>316</v>
      </c>
    </row>
    <row r="33635">
      <c r="A33635" s="17"/>
      <c r="H33635" s="18"/>
      <c r="K33635" s="18" t="s">
        <v>316</v>
      </c>
    </row>
    <row r="33636">
      <c r="A33636" s="17"/>
      <c r="H33636" s="18"/>
      <c r="K33636" s="18" t="s">
        <v>316</v>
      </c>
    </row>
    <row r="33637">
      <c r="A33637" s="17"/>
      <c r="H33637" s="18"/>
      <c r="K33637" s="18" t="s">
        <v>316</v>
      </c>
    </row>
    <row r="33638">
      <c r="A33638" s="17"/>
      <c r="H33638" s="18"/>
      <c r="K33638" s="18" t="s">
        <v>316</v>
      </c>
    </row>
    <row r="33639">
      <c r="A33639" s="17"/>
      <c r="H33639" s="18"/>
      <c r="K33639" s="18" t="s">
        <v>316</v>
      </c>
    </row>
    <row r="33640">
      <c r="A33640" s="17"/>
      <c r="H33640" s="18"/>
      <c r="K33640" s="18" t="s">
        <v>316</v>
      </c>
    </row>
    <row r="33641">
      <c r="A33641" s="17"/>
      <c r="H33641" s="18"/>
      <c r="K33641" s="18" t="s">
        <v>316</v>
      </c>
    </row>
    <row r="33642">
      <c r="A33642" s="17"/>
      <c r="H33642" s="18"/>
      <c r="K33642" s="18" t="s">
        <v>316</v>
      </c>
    </row>
    <row r="33643">
      <c r="A33643" s="17"/>
      <c r="H33643" s="18"/>
      <c r="K33643" s="18" t="s">
        <v>316</v>
      </c>
    </row>
    <row r="33644">
      <c r="A33644" s="17"/>
      <c r="H33644" s="18"/>
      <c r="K33644" s="18" t="s">
        <v>316</v>
      </c>
    </row>
    <row r="33645">
      <c r="A33645" s="17"/>
      <c r="H33645" s="18"/>
      <c r="K33645" s="18" t="s">
        <v>316</v>
      </c>
    </row>
    <row r="33646">
      <c r="A33646" s="17"/>
      <c r="H33646" s="18"/>
      <c r="K33646" s="18" t="s">
        <v>316</v>
      </c>
    </row>
    <row r="33647">
      <c r="A33647" s="17"/>
      <c r="H33647" s="18"/>
      <c r="K33647" s="18" t="s">
        <v>316</v>
      </c>
    </row>
    <row r="33648">
      <c r="A33648" s="17"/>
      <c r="H33648" s="18"/>
      <c r="K33648" s="18" t="s">
        <v>316</v>
      </c>
    </row>
    <row r="33649">
      <c r="A33649" s="17"/>
      <c r="H33649" s="18"/>
      <c r="K33649" s="18" t="s">
        <v>316</v>
      </c>
    </row>
    <row r="33650">
      <c r="A33650" s="17"/>
      <c r="H33650" s="18"/>
      <c r="K33650" s="18" t="s">
        <v>316</v>
      </c>
    </row>
    <row r="33651">
      <c r="A33651" s="17"/>
      <c r="H33651" s="18"/>
      <c r="K33651" s="18" t="s">
        <v>316</v>
      </c>
    </row>
    <row r="33652">
      <c r="A33652" s="17"/>
      <c r="H33652" s="18"/>
      <c r="K33652" s="18" t="s">
        <v>316</v>
      </c>
    </row>
    <row r="33653">
      <c r="A33653" s="17"/>
      <c r="H33653" s="18"/>
      <c r="K33653" s="18" t="s">
        <v>316</v>
      </c>
    </row>
    <row r="33654">
      <c r="A33654" s="17"/>
      <c r="H33654" s="18"/>
      <c r="K33654" s="18" t="s">
        <v>316</v>
      </c>
    </row>
    <row r="33655">
      <c r="A33655" s="17"/>
      <c r="H33655" s="18"/>
      <c r="K33655" s="18" t="s">
        <v>316</v>
      </c>
    </row>
    <row r="33656">
      <c r="A33656" s="17"/>
      <c r="H33656" s="18"/>
      <c r="K33656" s="18" t="s">
        <v>316</v>
      </c>
    </row>
    <row r="33657">
      <c r="A33657" s="17"/>
      <c r="H33657" s="18"/>
      <c r="K33657" s="18" t="s">
        <v>316</v>
      </c>
    </row>
    <row r="33658">
      <c r="A33658" s="17"/>
      <c r="H33658" s="18"/>
      <c r="K33658" s="18" t="s">
        <v>316</v>
      </c>
    </row>
    <row r="33659">
      <c r="A33659" s="17"/>
      <c r="H33659" s="18"/>
      <c r="K33659" s="18" t="s">
        <v>316</v>
      </c>
    </row>
    <row r="33660">
      <c r="A33660" s="17"/>
      <c r="H33660" s="18"/>
      <c r="K33660" s="18" t="s">
        <v>316</v>
      </c>
    </row>
    <row r="33661">
      <c r="A33661" s="17"/>
      <c r="H33661" s="18"/>
      <c r="K33661" s="18" t="s">
        <v>316</v>
      </c>
    </row>
    <row r="33662">
      <c r="A33662" s="17"/>
      <c r="H33662" s="18"/>
      <c r="K33662" s="18" t="s">
        <v>316</v>
      </c>
    </row>
    <row r="33663">
      <c r="A33663" s="17"/>
      <c r="H33663" s="18"/>
      <c r="K33663" s="18" t="s">
        <v>316</v>
      </c>
    </row>
    <row r="33664">
      <c r="A33664" s="17"/>
      <c r="H33664" s="18"/>
      <c r="K33664" s="18" t="s">
        <v>316</v>
      </c>
    </row>
    <row r="33665">
      <c r="A33665" s="17"/>
      <c r="H33665" s="18"/>
      <c r="K33665" s="18" t="s">
        <v>316</v>
      </c>
    </row>
    <row r="33666">
      <c r="A33666" s="17"/>
      <c r="H33666" s="18"/>
      <c r="K33666" s="18" t="s">
        <v>316</v>
      </c>
    </row>
    <row r="33667">
      <c r="A33667" s="17"/>
      <c r="H33667" s="18"/>
      <c r="K33667" s="18" t="s">
        <v>316</v>
      </c>
    </row>
    <row r="33668">
      <c r="A33668" s="17"/>
      <c r="H33668" s="18"/>
      <c r="K33668" s="18" t="s">
        <v>316</v>
      </c>
    </row>
    <row r="33669">
      <c r="A33669" s="17"/>
      <c r="H33669" s="18"/>
      <c r="K33669" s="18" t="s">
        <v>316</v>
      </c>
    </row>
    <row r="33670">
      <c r="A33670" s="17"/>
      <c r="H33670" s="18"/>
      <c r="K33670" s="18" t="s">
        <v>316</v>
      </c>
    </row>
    <row r="33671">
      <c r="A33671" s="17"/>
      <c r="H33671" s="18"/>
      <c r="K33671" s="18" t="s">
        <v>316</v>
      </c>
    </row>
    <row r="33672">
      <c r="A33672" s="17"/>
      <c r="H33672" s="18"/>
      <c r="K33672" s="18" t="s">
        <v>316</v>
      </c>
    </row>
    <row r="33673">
      <c r="A33673" s="17"/>
      <c r="H33673" s="18"/>
      <c r="K33673" s="18" t="s">
        <v>316</v>
      </c>
    </row>
    <row r="33674">
      <c r="A33674" s="17"/>
      <c r="H33674" s="18"/>
      <c r="K33674" s="18" t="s">
        <v>316</v>
      </c>
    </row>
    <row r="33675">
      <c r="A33675" s="17"/>
      <c r="H33675" s="18"/>
      <c r="K33675" s="18" t="s">
        <v>316</v>
      </c>
    </row>
    <row r="33676">
      <c r="A33676" s="17"/>
      <c r="H33676" s="18"/>
      <c r="K33676" s="18" t="s">
        <v>316</v>
      </c>
    </row>
    <row r="33677">
      <c r="A33677" s="17"/>
      <c r="H33677" s="18"/>
      <c r="K33677" s="18" t="s">
        <v>316</v>
      </c>
    </row>
    <row r="33678">
      <c r="A33678" s="17"/>
      <c r="H33678" s="18"/>
      <c r="K33678" s="18" t="s">
        <v>316</v>
      </c>
    </row>
    <row r="33679">
      <c r="A33679" s="17"/>
      <c r="H33679" s="18"/>
      <c r="K33679" s="18" t="s">
        <v>316</v>
      </c>
    </row>
    <row r="33680">
      <c r="A33680" s="17"/>
      <c r="H33680" s="18"/>
      <c r="K33680" s="18" t="s">
        <v>316</v>
      </c>
    </row>
    <row r="33681">
      <c r="A33681" s="17"/>
      <c r="H33681" s="18"/>
      <c r="K33681" s="18" t="s">
        <v>316</v>
      </c>
    </row>
    <row r="33682">
      <c r="A33682" s="17"/>
      <c r="H33682" s="18"/>
      <c r="K33682" s="18" t="s">
        <v>316</v>
      </c>
    </row>
    <row r="33683">
      <c r="A33683" s="17"/>
      <c r="H33683" s="18"/>
      <c r="K33683" s="18" t="s">
        <v>316</v>
      </c>
    </row>
    <row r="33684">
      <c r="A33684" s="17"/>
      <c r="H33684" s="18"/>
      <c r="K33684" s="18" t="s">
        <v>316</v>
      </c>
    </row>
    <row r="33685">
      <c r="A33685" s="17"/>
      <c r="H33685" s="18"/>
      <c r="K33685" s="18" t="s">
        <v>316</v>
      </c>
    </row>
    <row r="33686">
      <c r="A33686" s="17"/>
      <c r="H33686" s="18"/>
      <c r="K33686" s="18" t="s">
        <v>316</v>
      </c>
    </row>
    <row r="33687">
      <c r="A33687" s="17"/>
      <c r="H33687" s="18"/>
      <c r="K33687" s="18" t="s">
        <v>316</v>
      </c>
    </row>
    <row r="33688">
      <c r="A33688" s="17"/>
      <c r="H33688" s="18"/>
      <c r="K33688" s="18" t="s">
        <v>316</v>
      </c>
    </row>
    <row r="33689">
      <c r="A33689" s="17"/>
      <c r="H33689" s="18"/>
      <c r="K33689" s="18" t="s">
        <v>316</v>
      </c>
    </row>
    <row r="33690">
      <c r="A33690" s="17"/>
      <c r="H33690" s="18"/>
      <c r="K33690" s="18" t="s">
        <v>316</v>
      </c>
    </row>
    <row r="33691">
      <c r="A33691" s="17"/>
      <c r="H33691" s="18"/>
      <c r="K33691" s="18" t="s">
        <v>316</v>
      </c>
    </row>
    <row r="33692">
      <c r="A33692" s="17"/>
      <c r="H33692" s="18"/>
      <c r="K33692" s="18" t="s">
        <v>316</v>
      </c>
    </row>
    <row r="33693">
      <c r="A33693" s="17"/>
      <c r="H33693" s="18"/>
      <c r="K33693" s="18" t="s">
        <v>316</v>
      </c>
    </row>
    <row r="33694">
      <c r="A33694" s="17"/>
      <c r="H33694" s="18"/>
      <c r="K33694" s="18" t="s">
        <v>316</v>
      </c>
    </row>
    <row r="33695">
      <c r="A33695" s="17"/>
      <c r="H33695" s="18"/>
      <c r="K33695" s="18" t="s">
        <v>316</v>
      </c>
    </row>
    <row r="33696">
      <c r="A33696" s="17"/>
      <c r="H33696" s="18"/>
      <c r="K33696" s="18" t="s">
        <v>316</v>
      </c>
    </row>
    <row r="33697">
      <c r="A33697" s="17"/>
      <c r="H33697" s="18"/>
      <c r="K33697" s="18" t="s">
        <v>316</v>
      </c>
    </row>
    <row r="33698">
      <c r="A33698" s="17"/>
      <c r="H33698" s="18"/>
      <c r="K33698" s="18" t="s">
        <v>316</v>
      </c>
    </row>
    <row r="33699">
      <c r="A33699" s="17"/>
      <c r="H33699" s="18"/>
      <c r="K33699" s="18" t="s">
        <v>316</v>
      </c>
    </row>
    <row r="33700">
      <c r="A33700" s="17"/>
      <c r="H33700" s="18"/>
      <c r="K33700" s="18" t="s">
        <v>316</v>
      </c>
    </row>
    <row r="33701">
      <c r="A33701" s="17"/>
      <c r="H33701" s="18"/>
      <c r="K33701" s="18" t="s">
        <v>316</v>
      </c>
    </row>
    <row r="33702">
      <c r="A33702" s="17"/>
      <c r="H33702" s="18"/>
      <c r="K33702" s="18" t="s">
        <v>316</v>
      </c>
    </row>
    <row r="33703">
      <c r="A33703" s="17"/>
      <c r="H33703" s="18"/>
      <c r="K33703" s="18" t="s">
        <v>316</v>
      </c>
    </row>
    <row r="33704">
      <c r="A33704" s="17"/>
      <c r="H33704" s="18"/>
      <c r="K33704" s="18" t="s">
        <v>316</v>
      </c>
    </row>
    <row r="33705">
      <c r="A33705" s="17"/>
      <c r="H33705" s="18"/>
      <c r="K33705" s="18" t="s">
        <v>316</v>
      </c>
    </row>
    <row r="33706">
      <c r="A33706" s="17"/>
      <c r="H33706" s="18"/>
      <c r="K33706" s="18" t="s">
        <v>316</v>
      </c>
    </row>
    <row r="33707">
      <c r="A33707" s="17"/>
      <c r="H33707" s="18"/>
      <c r="K33707" s="18" t="s">
        <v>316</v>
      </c>
    </row>
    <row r="33708">
      <c r="A33708" s="17"/>
      <c r="H33708" s="18"/>
      <c r="K33708" s="18" t="s">
        <v>316</v>
      </c>
    </row>
    <row r="33709">
      <c r="A33709" s="17"/>
      <c r="H33709" s="18"/>
      <c r="K33709" s="18" t="s">
        <v>316</v>
      </c>
    </row>
    <row r="33710">
      <c r="A33710" s="17"/>
      <c r="H33710" s="18"/>
      <c r="K33710" s="18" t="s">
        <v>316</v>
      </c>
    </row>
    <row r="33711">
      <c r="A33711" s="17"/>
      <c r="H33711" s="18"/>
      <c r="K33711" s="18" t="s">
        <v>316</v>
      </c>
    </row>
    <row r="33712">
      <c r="A33712" s="17"/>
      <c r="H33712" s="18"/>
      <c r="K33712" s="18" t="s">
        <v>316</v>
      </c>
    </row>
    <row r="33713">
      <c r="A33713" s="17"/>
      <c r="H33713" s="18"/>
      <c r="K33713" s="18" t="s">
        <v>316</v>
      </c>
    </row>
    <row r="33714">
      <c r="A33714" s="17"/>
      <c r="H33714" s="18"/>
      <c r="K33714" s="18" t="s">
        <v>316</v>
      </c>
    </row>
    <row r="33715">
      <c r="A33715" s="17"/>
      <c r="H33715" s="18"/>
      <c r="K33715" s="18" t="s">
        <v>316</v>
      </c>
    </row>
    <row r="33716">
      <c r="A33716" s="17"/>
      <c r="H33716" s="18"/>
      <c r="K33716" s="18" t="s">
        <v>316</v>
      </c>
    </row>
    <row r="33717">
      <c r="A33717" s="17"/>
      <c r="H33717" s="18"/>
      <c r="K33717" s="18" t="s">
        <v>316</v>
      </c>
    </row>
    <row r="33718">
      <c r="A33718" s="17"/>
      <c r="H33718" s="18"/>
      <c r="K33718" s="18" t="s">
        <v>316</v>
      </c>
    </row>
    <row r="33719">
      <c r="A33719" s="17"/>
      <c r="H33719" s="18"/>
      <c r="K33719" s="18" t="s">
        <v>316</v>
      </c>
    </row>
    <row r="33720">
      <c r="A33720" s="17"/>
      <c r="H33720" s="18"/>
      <c r="K33720" s="18" t="s">
        <v>316</v>
      </c>
    </row>
    <row r="33721">
      <c r="A33721" s="17"/>
      <c r="H33721" s="18"/>
      <c r="K33721" s="18" t="s">
        <v>316</v>
      </c>
    </row>
    <row r="33722">
      <c r="A33722" s="17"/>
      <c r="H33722" s="18"/>
      <c r="K33722" s="18" t="s">
        <v>316</v>
      </c>
    </row>
    <row r="33723">
      <c r="A33723" s="17"/>
      <c r="H33723" s="18"/>
      <c r="K33723" s="18" t="s">
        <v>316</v>
      </c>
    </row>
    <row r="33724">
      <c r="A33724" s="17"/>
      <c r="H33724" s="18"/>
      <c r="K33724" s="18" t="s">
        <v>316</v>
      </c>
    </row>
    <row r="33725">
      <c r="A33725" s="17"/>
      <c r="H33725" s="18"/>
      <c r="K33725" s="18" t="s">
        <v>316</v>
      </c>
    </row>
    <row r="33726">
      <c r="A33726" s="17"/>
      <c r="H33726" s="18"/>
      <c r="K33726" s="18" t="s">
        <v>316</v>
      </c>
    </row>
    <row r="33727">
      <c r="A33727" s="17"/>
      <c r="H33727" s="18"/>
      <c r="K33727" s="18" t="s">
        <v>316</v>
      </c>
    </row>
    <row r="33728">
      <c r="A33728" s="17"/>
      <c r="H33728" s="18"/>
      <c r="K33728" s="18" t="s">
        <v>316</v>
      </c>
    </row>
    <row r="33729">
      <c r="A33729" s="17"/>
      <c r="H33729" s="18"/>
      <c r="K33729" s="18" t="s">
        <v>316</v>
      </c>
    </row>
    <row r="33730">
      <c r="A33730" s="17"/>
      <c r="H33730" s="18"/>
      <c r="K33730" s="18" t="s">
        <v>316</v>
      </c>
    </row>
    <row r="33731">
      <c r="A33731" s="17"/>
      <c r="H33731" s="18"/>
      <c r="K33731" s="18" t="s">
        <v>316</v>
      </c>
    </row>
    <row r="33732">
      <c r="A33732" s="17"/>
      <c r="H33732" s="18"/>
      <c r="K33732" s="18" t="s">
        <v>316</v>
      </c>
    </row>
    <row r="33733">
      <c r="A33733" s="17"/>
      <c r="H33733" s="18"/>
      <c r="K33733" s="18" t="s">
        <v>316</v>
      </c>
    </row>
    <row r="33734">
      <c r="A33734" s="17"/>
      <c r="H33734" s="18"/>
      <c r="K33734" s="18" t="s">
        <v>316</v>
      </c>
    </row>
    <row r="33735">
      <c r="A33735" s="17"/>
      <c r="H33735" s="18"/>
      <c r="K33735" s="18" t="s">
        <v>316</v>
      </c>
    </row>
    <row r="33736">
      <c r="A33736" s="17"/>
      <c r="H33736" s="18"/>
      <c r="K33736" s="18" t="s">
        <v>316</v>
      </c>
    </row>
    <row r="33737">
      <c r="A33737" s="17"/>
      <c r="H33737" s="18"/>
      <c r="K33737" s="18" t="s">
        <v>316</v>
      </c>
    </row>
    <row r="33738">
      <c r="A33738" s="17"/>
      <c r="H33738" s="18"/>
      <c r="K33738" s="18" t="s">
        <v>316</v>
      </c>
    </row>
    <row r="33739">
      <c r="A33739" s="17"/>
      <c r="H33739" s="18"/>
      <c r="K33739" s="18" t="s">
        <v>316</v>
      </c>
    </row>
    <row r="33740">
      <c r="A33740" s="17"/>
      <c r="H33740" s="18"/>
      <c r="K33740" s="18" t="s">
        <v>316</v>
      </c>
    </row>
    <row r="33741">
      <c r="A33741" s="17"/>
      <c r="H33741" s="18"/>
      <c r="K33741" s="18" t="s">
        <v>316</v>
      </c>
    </row>
    <row r="33742">
      <c r="A33742" s="17"/>
      <c r="H33742" s="18"/>
      <c r="K33742" s="18" t="s">
        <v>316</v>
      </c>
    </row>
    <row r="33743">
      <c r="A33743" s="17"/>
      <c r="H33743" s="18"/>
      <c r="K33743" s="18" t="s">
        <v>316</v>
      </c>
    </row>
    <row r="33744">
      <c r="A33744" s="17"/>
      <c r="H33744" s="18"/>
      <c r="K33744" s="18" t="s">
        <v>316</v>
      </c>
    </row>
    <row r="33745">
      <c r="A33745" s="17"/>
      <c r="H33745" s="18"/>
      <c r="K33745" s="18" t="s">
        <v>316</v>
      </c>
    </row>
    <row r="33746">
      <c r="A33746" s="17"/>
      <c r="H33746" s="18"/>
      <c r="K33746" s="18" t="s">
        <v>316</v>
      </c>
    </row>
    <row r="33747">
      <c r="A33747" s="17"/>
      <c r="H33747" s="18"/>
      <c r="K33747" s="18" t="s">
        <v>316</v>
      </c>
    </row>
    <row r="33748">
      <c r="A33748" s="17"/>
      <c r="H33748" s="18"/>
      <c r="K33748" s="18" t="s">
        <v>316</v>
      </c>
    </row>
    <row r="33749">
      <c r="A33749" s="17"/>
      <c r="H33749" s="18"/>
      <c r="K33749" s="18" t="s">
        <v>316</v>
      </c>
    </row>
    <row r="33750">
      <c r="A33750" s="17"/>
      <c r="H33750" s="18"/>
      <c r="K33750" s="18" t="s">
        <v>316</v>
      </c>
    </row>
    <row r="33751">
      <c r="A33751" s="17"/>
      <c r="H33751" s="18"/>
      <c r="K33751" s="18" t="s">
        <v>316</v>
      </c>
    </row>
    <row r="33752">
      <c r="A33752" s="17"/>
      <c r="H33752" s="18"/>
      <c r="K33752" s="18" t="s">
        <v>316</v>
      </c>
    </row>
    <row r="33753">
      <c r="A33753" s="17"/>
      <c r="H33753" s="18"/>
      <c r="K33753" s="18" t="s">
        <v>316</v>
      </c>
    </row>
    <row r="33754">
      <c r="A33754" s="17"/>
      <c r="H33754" s="18"/>
      <c r="K33754" s="18" t="s">
        <v>316</v>
      </c>
    </row>
    <row r="33755">
      <c r="A33755" s="17"/>
      <c r="H33755" s="18"/>
      <c r="K33755" s="18" t="s">
        <v>316</v>
      </c>
    </row>
    <row r="33756">
      <c r="A33756" s="17"/>
      <c r="H33756" s="18"/>
      <c r="K33756" s="18" t="s">
        <v>316</v>
      </c>
    </row>
    <row r="33757">
      <c r="A33757" s="17"/>
      <c r="H33757" s="18"/>
      <c r="K33757" s="18" t="s">
        <v>316</v>
      </c>
    </row>
    <row r="33758">
      <c r="A33758" s="17"/>
      <c r="H33758" s="18"/>
      <c r="K33758" s="18" t="s">
        <v>316</v>
      </c>
    </row>
    <row r="33759">
      <c r="A33759" s="17"/>
      <c r="H33759" s="18"/>
      <c r="K33759" s="18" t="s">
        <v>316</v>
      </c>
    </row>
    <row r="33760">
      <c r="A33760" s="17"/>
      <c r="H33760" s="18"/>
      <c r="K33760" s="18" t="s">
        <v>316</v>
      </c>
    </row>
    <row r="33761">
      <c r="A33761" s="17"/>
      <c r="H33761" s="18"/>
      <c r="K33761" s="18" t="s">
        <v>316</v>
      </c>
    </row>
    <row r="33762">
      <c r="A33762" s="17"/>
      <c r="H33762" s="18"/>
      <c r="K33762" s="18" t="s">
        <v>316</v>
      </c>
    </row>
    <row r="33763">
      <c r="A33763" s="17"/>
      <c r="H33763" s="18"/>
      <c r="K33763" s="18" t="s">
        <v>316</v>
      </c>
    </row>
    <row r="33764">
      <c r="A33764" s="17"/>
      <c r="H33764" s="18"/>
      <c r="K33764" s="18" t="s">
        <v>316</v>
      </c>
    </row>
    <row r="33765">
      <c r="A33765" s="17"/>
      <c r="H33765" s="18"/>
      <c r="K33765" s="18" t="s">
        <v>316</v>
      </c>
    </row>
    <row r="33766">
      <c r="A33766" s="17"/>
      <c r="H33766" s="18"/>
      <c r="K33766" s="18" t="s">
        <v>316</v>
      </c>
    </row>
    <row r="33767">
      <c r="A33767" s="17"/>
      <c r="H33767" s="18"/>
      <c r="K33767" s="18" t="s">
        <v>316</v>
      </c>
    </row>
    <row r="33768">
      <c r="A33768" s="17"/>
      <c r="H33768" s="18"/>
      <c r="K33768" s="18" t="s">
        <v>316</v>
      </c>
    </row>
    <row r="33769">
      <c r="A33769" s="17"/>
      <c r="H33769" s="18"/>
      <c r="K33769" s="18" t="s">
        <v>316</v>
      </c>
    </row>
    <row r="33770">
      <c r="A33770" s="17"/>
      <c r="H33770" s="18"/>
      <c r="K33770" s="18" t="s">
        <v>316</v>
      </c>
    </row>
    <row r="33771">
      <c r="A33771" s="17"/>
      <c r="H33771" s="18"/>
      <c r="K33771" s="18" t="s">
        <v>316</v>
      </c>
    </row>
    <row r="33772">
      <c r="A33772" s="17"/>
      <c r="H33772" s="18"/>
      <c r="K33772" s="18" t="s">
        <v>316</v>
      </c>
    </row>
    <row r="33773">
      <c r="A33773" s="17"/>
      <c r="H33773" s="18"/>
      <c r="K33773" s="18" t="s">
        <v>316</v>
      </c>
    </row>
    <row r="33774">
      <c r="A33774" s="17"/>
      <c r="H33774" s="18"/>
      <c r="K33774" s="18" t="s">
        <v>316</v>
      </c>
    </row>
    <row r="33775">
      <c r="A33775" s="17"/>
      <c r="H33775" s="18"/>
      <c r="K33775" s="18" t="s">
        <v>316</v>
      </c>
    </row>
    <row r="33776">
      <c r="A33776" s="17"/>
      <c r="H33776" s="18"/>
      <c r="K33776" s="18" t="s">
        <v>316</v>
      </c>
    </row>
    <row r="33777">
      <c r="A33777" s="17"/>
      <c r="H33777" s="18"/>
      <c r="K33777" s="18" t="s">
        <v>316</v>
      </c>
    </row>
    <row r="33778">
      <c r="A33778" s="17"/>
      <c r="H33778" s="18"/>
      <c r="K33778" s="18" t="s">
        <v>316</v>
      </c>
    </row>
    <row r="33779">
      <c r="A33779" s="17"/>
      <c r="H33779" s="18"/>
      <c r="K33779" s="18" t="s">
        <v>316</v>
      </c>
    </row>
    <row r="33780">
      <c r="A33780" s="17"/>
      <c r="H33780" s="18"/>
      <c r="K33780" s="18" t="s">
        <v>316</v>
      </c>
    </row>
    <row r="33781">
      <c r="A33781" s="17"/>
      <c r="H33781" s="18"/>
      <c r="K33781" s="18" t="s">
        <v>316</v>
      </c>
    </row>
    <row r="33782">
      <c r="A33782" s="17"/>
      <c r="H33782" s="18"/>
      <c r="K33782" s="18" t="s">
        <v>316</v>
      </c>
    </row>
    <row r="33783">
      <c r="A33783" s="17"/>
      <c r="H33783" s="18"/>
      <c r="K33783" s="18" t="s">
        <v>316</v>
      </c>
    </row>
    <row r="33784">
      <c r="A33784" s="17"/>
      <c r="H33784" s="18"/>
      <c r="K33784" s="18" t="s">
        <v>316</v>
      </c>
    </row>
    <row r="33785">
      <c r="A33785" s="17"/>
      <c r="H33785" s="18"/>
      <c r="K33785" s="18" t="s">
        <v>316</v>
      </c>
    </row>
    <row r="33786">
      <c r="A33786" s="17"/>
      <c r="H33786" s="18"/>
      <c r="K33786" s="18" t="s">
        <v>316</v>
      </c>
    </row>
    <row r="33787">
      <c r="A33787" s="17"/>
      <c r="H33787" s="18"/>
      <c r="K33787" s="18" t="s">
        <v>316</v>
      </c>
    </row>
    <row r="33788">
      <c r="A33788" s="17"/>
      <c r="H33788" s="18"/>
      <c r="K33788" s="18" t="s">
        <v>316</v>
      </c>
    </row>
    <row r="33789">
      <c r="A33789" s="17"/>
      <c r="H33789" s="18"/>
      <c r="K33789" s="18" t="s">
        <v>316</v>
      </c>
    </row>
    <row r="33790">
      <c r="A33790" s="17"/>
      <c r="H33790" s="18"/>
      <c r="K33790" s="18" t="s">
        <v>316</v>
      </c>
    </row>
    <row r="33791">
      <c r="A33791" s="17"/>
      <c r="H33791" s="18"/>
      <c r="K33791" s="18" t="s">
        <v>316</v>
      </c>
    </row>
    <row r="33792">
      <c r="A33792" s="17"/>
      <c r="H33792" s="18"/>
      <c r="K33792" s="18" t="s">
        <v>316</v>
      </c>
    </row>
    <row r="33793">
      <c r="A33793" s="17"/>
      <c r="H33793" s="18"/>
      <c r="K33793" s="18" t="s">
        <v>316</v>
      </c>
    </row>
    <row r="33794">
      <c r="A33794" s="17"/>
      <c r="H33794" s="18"/>
      <c r="K33794" s="18" t="s">
        <v>316</v>
      </c>
    </row>
    <row r="33795">
      <c r="A33795" s="17"/>
      <c r="H33795" s="18"/>
      <c r="K33795" s="18" t="s">
        <v>316</v>
      </c>
    </row>
    <row r="33796">
      <c r="A33796" s="17"/>
      <c r="H33796" s="18"/>
      <c r="K33796" s="18" t="s">
        <v>316</v>
      </c>
    </row>
    <row r="33797">
      <c r="A33797" s="17"/>
      <c r="H33797" s="18"/>
      <c r="K33797" s="18" t="s">
        <v>316</v>
      </c>
    </row>
    <row r="33798">
      <c r="A33798" s="17"/>
      <c r="H33798" s="18"/>
      <c r="K33798" s="18" t="s">
        <v>316</v>
      </c>
    </row>
    <row r="33799">
      <c r="A33799" s="17"/>
      <c r="H33799" s="18"/>
      <c r="K33799" s="18" t="s">
        <v>316</v>
      </c>
    </row>
    <row r="33800">
      <c r="A33800" s="17"/>
      <c r="H33800" s="18"/>
      <c r="K33800" s="18" t="s">
        <v>316</v>
      </c>
    </row>
    <row r="33801">
      <c r="A33801" s="17"/>
      <c r="H33801" s="18"/>
      <c r="K33801" s="18" t="s">
        <v>316</v>
      </c>
    </row>
    <row r="33802">
      <c r="A33802" s="17"/>
      <c r="H33802" s="18"/>
      <c r="K33802" s="18" t="s">
        <v>316</v>
      </c>
    </row>
    <row r="33803">
      <c r="A33803" s="17"/>
      <c r="H33803" s="18"/>
      <c r="K33803" s="18" t="s">
        <v>316</v>
      </c>
    </row>
    <row r="33804">
      <c r="A33804" s="17"/>
      <c r="H33804" s="18"/>
      <c r="K33804" s="18" t="s">
        <v>316</v>
      </c>
    </row>
    <row r="33805">
      <c r="A33805" s="17"/>
      <c r="H33805" s="18"/>
      <c r="K33805" s="18" t="s">
        <v>316</v>
      </c>
    </row>
    <row r="33806">
      <c r="A33806" s="17"/>
      <c r="H33806" s="18"/>
      <c r="K33806" s="18" t="s">
        <v>316</v>
      </c>
    </row>
    <row r="33807">
      <c r="A33807" s="17"/>
      <c r="H33807" s="18"/>
      <c r="K33807" s="18" t="s">
        <v>316</v>
      </c>
    </row>
    <row r="33808">
      <c r="A33808" s="17"/>
      <c r="H33808" s="18"/>
      <c r="K33808" s="18" t="s">
        <v>316</v>
      </c>
    </row>
    <row r="33809">
      <c r="A33809" s="17"/>
      <c r="H33809" s="18"/>
      <c r="K33809" s="18" t="s">
        <v>316</v>
      </c>
    </row>
    <row r="33810">
      <c r="A33810" s="17"/>
      <c r="H33810" s="18"/>
      <c r="K33810" s="18" t="s">
        <v>316</v>
      </c>
    </row>
    <row r="33811">
      <c r="A33811" s="17"/>
      <c r="H33811" s="18"/>
      <c r="K33811" s="18" t="s">
        <v>316</v>
      </c>
    </row>
    <row r="33812">
      <c r="A33812" s="17"/>
      <c r="H33812" s="18"/>
      <c r="K33812" s="18" t="s">
        <v>316</v>
      </c>
    </row>
    <row r="33813">
      <c r="A33813" s="17"/>
      <c r="H33813" s="18"/>
      <c r="K33813" s="18" t="s">
        <v>316</v>
      </c>
    </row>
    <row r="33814">
      <c r="A33814" s="17"/>
      <c r="H33814" s="18"/>
      <c r="K33814" s="18" t="s">
        <v>316</v>
      </c>
    </row>
    <row r="33815">
      <c r="A33815" s="17"/>
      <c r="H33815" s="18"/>
      <c r="K33815" s="18" t="s">
        <v>316</v>
      </c>
    </row>
    <row r="33816">
      <c r="A33816" s="17"/>
      <c r="H33816" s="18"/>
      <c r="K33816" s="18" t="s">
        <v>316</v>
      </c>
    </row>
    <row r="33817">
      <c r="A33817" s="17"/>
      <c r="H33817" s="18"/>
      <c r="K33817" s="18" t="s">
        <v>316</v>
      </c>
    </row>
    <row r="33818">
      <c r="A33818" s="17"/>
      <c r="H33818" s="18"/>
      <c r="K33818" s="18" t="s">
        <v>316</v>
      </c>
    </row>
    <row r="33819">
      <c r="A33819" s="17"/>
      <c r="H33819" s="18"/>
      <c r="K33819" s="18" t="s">
        <v>316</v>
      </c>
    </row>
    <row r="33820">
      <c r="A33820" s="17"/>
      <c r="H33820" s="18"/>
      <c r="K33820" s="18" t="s">
        <v>316</v>
      </c>
    </row>
    <row r="33821">
      <c r="A33821" s="17"/>
      <c r="H33821" s="18"/>
      <c r="K33821" s="18" t="s">
        <v>316</v>
      </c>
    </row>
    <row r="33822">
      <c r="A33822" s="17"/>
      <c r="H33822" s="18"/>
      <c r="K33822" s="18" t="s">
        <v>316</v>
      </c>
    </row>
    <row r="33823">
      <c r="A33823" s="17"/>
      <c r="H33823" s="18"/>
      <c r="K33823" s="18" t="s">
        <v>316</v>
      </c>
    </row>
    <row r="33824">
      <c r="A33824" s="17"/>
      <c r="H33824" s="18"/>
      <c r="K33824" s="18" t="s">
        <v>316</v>
      </c>
    </row>
    <row r="33825">
      <c r="A33825" s="17"/>
      <c r="H33825" s="18"/>
      <c r="K33825" s="18" t="s">
        <v>316</v>
      </c>
    </row>
    <row r="33826">
      <c r="A33826" s="17"/>
      <c r="H33826" s="18"/>
      <c r="K33826" s="18" t="s">
        <v>316</v>
      </c>
    </row>
    <row r="33827">
      <c r="A33827" s="17"/>
      <c r="H33827" s="18"/>
      <c r="K33827" s="18" t="s">
        <v>316</v>
      </c>
    </row>
    <row r="33828">
      <c r="A33828" s="17"/>
      <c r="H33828" s="18"/>
      <c r="K33828" s="18" t="s">
        <v>316</v>
      </c>
    </row>
    <row r="33829">
      <c r="A33829" s="17"/>
      <c r="H33829" s="18"/>
      <c r="K33829" s="18" t="s">
        <v>316</v>
      </c>
    </row>
    <row r="33830">
      <c r="A33830" s="17"/>
      <c r="H33830" s="18"/>
      <c r="K33830" s="18" t="s">
        <v>316</v>
      </c>
    </row>
    <row r="33831">
      <c r="A33831" s="17"/>
      <c r="H33831" s="18"/>
      <c r="K33831" s="18" t="s">
        <v>316</v>
      </c>
    </row>
    <row r="33832">
      <c r="A33832" s="17"/>
      <c r="H33832" s="18"/>
      <c r="K33832" s="18" t="s">
        <v>316</v>
      </c>
    </row>
    <row r="33833">
      <c r="A33833" s="17"/>
      <c r="H33833" s="18"/>
      <c r="K33833" s="18" t="s">
        <v>316</v>
      </c>
    </row>
    <row r="33834">
      <c r="A33834" s="17"/>
      <c r="H33834" s="18"/>
      <c r="K33834" s="18" t="s">
        <v>316</v>
      </c>
    </row>
    <row r="33835">
      <c r="A33835" s="17"/>
      <c r="H33835" s="18"/>
      <c r="K33835" s="18" t="s">
        <v>316</v>
      </c>
    </row>
    <row r="33836">
      <c r="A33836" s="17"/>
      <c r="H33836" s="18"/>
      <c r="K33836" s="18" t="s">
        <v>316</v>
      </c>
    </row>
    <row r="33837">
      <c r="A33837" s="17"/>
      <c r="H33837" s="18"/>
      <c r="K33837" s="18" t="s">
        <v>316</v>
      </c>
    </row>
    <row r="33838">
      <c r="A33838" s="17"/>
      <c r="H33838" s="18"/>
      <c r="K33838" s="18" t="s">
        <v>316</v>
      </c>
    </row>
    <row r="33839">
      <c r="A33839" s="17"/>
      <c r="H33839" s="18"/>
      <c r="K33839" s="18" t="s">
        <v>316</v>
      </c>
    </row>
    <row r="33840">
      <c r="A33840" s="17"/>
      <c r="H33840" s="18"/>
      <c r="K33840" s="18" t="s">
        <v>316</v>
      </c>
    </row>
    <row r="33841">
      <c r="A33841" s="17"/>
      <c r="H33841" s="18"/>
      <c r="K33841" s="18" t="s">
        <v>316</v>
      </c>
    </row>
    <row r="33842">
      <c r="A33842" s="17"/>
      <c r="H33842" s="18"/>
      <c r="K33842" s="18" t="s">
        <v>316</v>
      </c>
    </row>
    <row r="33843">
      <c r="A33843" s="17"/>
      <c r="H33843" s="18"/>
      <c r="K33843" s="18" t="s">
        <v>316</v>
      </c>
    </row>
    <row r="33844">
      <c r="A33844" s="17"/>
      <c r="H33844" s="18"/>
      <c r="K33844" s="18" t="s">
        <v>316</v>
      </c>
    </row>
    <row r="33845">
      <c r="A33845" s="17"/>
      <c r="H33845" s="18"/>
      <c r="K33845" s="18" t="s">
        <v>316</v>
      </c>
    </row>
    <row r="33846">
      <c r="A33846" s="17"/>
      <c r="H33846" s="18"/>
      <c r="K33846" s="18" t="s">
        <v>316</v>
      </c>
    </row>
    <row r="33847">
      <c r="A33847" s="17"/>
      <c r="H33847" s="18"/>
      <c r="K33847" s="18" t="s">
        <v>316</v>
      </c>
    </row>
    <row r="33848">
      <c r="A33848" s="17"/>
      <c r="H33848" s="18"/>
      <c r="K33848" s="18" t="s">
        <v>316</v>
      </c>
    </row>
    <row r="33849">
      <c r="A33849" s="17"/>
      <c r="H33849" s="18"/>
      <c r="K33849" s="18" t="s">
        <v>316</v>
      </c>
    </row>
    <row r="33850">
      <c r="A33850" s="17"/>
      <c r="H33850" s="18"/>
      <c r="K33850" s="18" t="s">
        <v>316</v>
      </c>
    </row>
    <row r="33851">
      <c r="A33851" s="17"/>
      <c r="H33851" s="18"/>
      <c r="K33851" s="18" t="s">
        <v>316</v>
      </c>
    </row>
    <row r="33852">
      <c r="A33852" s="17"/>
      <c r="H33852" s="18"/>
      <c r="K33852" s="18" t="s">
        <v>316</v>
      </c>
    </row>
    <row r="33853">
      <c r="A33853" s="17"/>
      <c r="H33853" s="18"/>
      <c r="K33853" s="18" t="s">
        <v>316</v>
      </c>
    </row>
    <row r="33854">
      <c r="A33854" s="17"/>
      <c r="H33854" s="18"/>
      <c r="K33854" s="18" t="s">
        <v>316</v>
      </c>
    </row>
    <row r="33855">
      <c r="A33855" s="17"/>
      <c r="H33855" s="18"/>
      <c r="K33855" s="18" t="s">
        <v>316</v>
      </c>
    </row>
    <row r="33856">
      <c r="A33856" s="17"/>
      <c r="H33856" s="18"/>
      <c r="K33856" s="18" t="s">
        <v>316</v>
      </c>
    </row>
    <row r="33857">
      <c r="A33857" s="17"/>
      <c r="H33857" s="18"/>
      <c r="K33857" s="18" t="s">
        <v>316</v>
      </c>
    </row>
    <row r="33858">
      <c r="A33858" s="17"/>
      <c r="H33858" s="18"/>
      <c r="K33858" s="18" t="s">
        <v>316</v>
      </c>
    </row>
    <row r="33859">
      <c r="A33859" s="17"/>
      <c r="H33859" s="18"/>
      <c r="K33859" s="18" t="s">
        <v>316</v>
      </c>
    </row>
    <row r="33860">
      <c r="A33860" s="17"/>
      <c r="H33860" s="18"/>
      <c r="K33860" s="18" t="s">
        <v>316</v>
      </c>
    </row>
    <row r="33861">
      <c r="A33861" s="17"/>
      <c r="H33861" s="18"/>
      <c r="K33861" s="18" t="s">
        <v>316</v>
      </c>
    </row>
    <row r="33862">
      <c r="A33862" s="17"/>
      <c r="H33862" s="18"/>
      <c r="K33862" s="18" t="s">
        <v>316</v>
      </c>
    </row>
    <row r="33863">
      <c r="A33863" s="17"/>
      <c r="H33863" s="18"/>
      <c r="K33863" s="18" t="s">
        <v>316</v>
      </c>
    </row>
    <row r="33864">
      <c r="A33864" s="17"/>
      <c r="H33864" s="18"/>
      <c r="K33864" s="18" t="s">
        <v>316</v>
      </c>
    </row>
    <row r="33865">
      <c r="A33865" s="17"/>
      <c r="H33865" s="18"/>
      <c r="K33865" s="18" t="s">
        <v>316</v>
      </c>
    </row>
    <row r="33866">
      <c r="A33866" s="17"/>
      <c r="H33866" s="18"/>
      <c r="K33866" s="18" t="s">
        <v>316</v>
      </c>
    </row>
    <row r="33867">
      <c r="A33867" s="17"/>
      <c r="H33867" s="18"/>
      <c r="K33867" s="18" t="s">
        <v>316</v>
      </c>
    </row>
    <row r="33868">
      <c r="A33868" s="17"/>
      <c r="H33868" s="18"/>
      <c r="K33868" s="18" t="s">
        <v>316</v>
      </c>
    </row>
    <row r="33869">
      <c r="A33869" s="17"/>
      <c r="H33869" s="18"/>
      <c r="K33869" s="18" t="s">
        <v>316</v>
      </c>
    </row>
    <row r="33870">
      <c r="A33870" s="17"/>
      <c r="H33870" s="18"/>
      <c r="K33870" s="18" t="s">
        <v>316</v>
      </c>
    </row>
    <row r="33871">
      <c r="A33871" s="17"/>
      <c r="H33871" s="18"/>
      <c r="K33871" s="18" t="s">
        <v>316</v>
      </c>
    </row>
    <row r="33872">
      <c r="A33872" s="17"/>
      <c r="H33872" s="18"/>
      <c r="K33872" s="18" t="s">
        <v>316</v>
      </c>
    </row>
    <row r="33873">
      <c r="A33873" s="17"/>
      <c r="H33873" s="18"/>
      <c r="K33873" s="18" t="s">
        <v>316</v>
      </c>
    </row>
    <row r="33874">
      <c r="A33874" s="17"/>
      <c r="H33874" s="18"/>
      <c r="K33874" s="18" t="s">
        <v>316</v>
      </c>
    </row>
    <row r="33875">
      <c r="A33875" s="17"/>
      <c r="H33875" s="18"/>
      <c r="K33875" s="18" t="s">
        <v>316</v>
      </c>
    </row>
    <row r="33876">
      <c r="A33876" s="17"/>
      <c r="H33876" s="18"/>
      <c r="K33876" s="18" t="s">
        <v>316</v>
      </c>
    </row>
    <row r="33877">
      <c r="A33877" s="17"/>
      <c r="H33877" s="18"/>
      <c r="K33877" s="18" t="s">
        <v>316</v>
      </c>
    </row>
    <row r="33878">
      <c r="A33878" s="17"/>
      <c r="H33878" s="18"/>
      <c r="K33878" s="18" t="s">
        <v>316</v>
      </c>
    </row>
    <row r="33879">
      <c r="A33879" s="17"/>
      <c r="H33879" s="18"/>
      <c r="K33879" s="18" t="s">
        <v>316</v>
      </c>
    </row>
    <row r="33880">
      <c r="A33880" s="17"/>
      <c r="H33880" s="18"/>
      <c r="K33880" s="18" t="s">
        <v>316</v>
      </c>
    </row>
    <row r="33881">
      <c r="A33881" s="17"/>
      <c r="H33881" s="18"/>
      <c r="K33881" s="18" t="s">
        <v>316</v>
      </c>
    </row>
    <row r="33882">
      <c r="A33882" s="17"/>
      <c r="H33882" s="18"/>
      <c r="K33882" s="18" t="s">
        <v>316</v>
      </c>
    </row>
    <row r="33883">
      <c r="A33883" s="17"/>
      <c r="H33883" s="18"/>
      <c r="K33883" s="18" t="s">
        <v>316</v>
      </c>
    </row>
    <row r="33884">
      <c r="A33884" s="17"/>
      <c r="H33884" s="18"/>
      <c r="K33884" s="18" t="s">
        <v>316</v>
      </c>
    </row>
    <row r="33885">
      <c r="A33885" s="17"/>
      <c r="H33885" s="18"/>
      <c r="K33885" s="18" t="s">
        <v>316</v>
      </c>
    </row>
    <row r="33886">
      <c r="A33886" s="17"/>
      <c r="H33886" s="18"/>
      <c r="K33886" s="18" t="s">
        <v>316</v>
      </c>
    </row>
    <row r="33887">
      <c r="A33887" s="17"/>
      <c r="H33887" s="18"/>
      <c r="K33887" s="18" t="s">
        <v>316</v>
      </c>
    </row>
    <row r="33888">
      <c r="A33888" s="17"/>
      <c r="H33888" s="18"/>
      <c r="K33888" s="18" t="s">
        <v>316</v>
      </c>
    </row>
    <row r="33889">
      <c r="A33889" s="17"/>
      <c r="H33889" s="18"/>
      <c r="K33889" s="18" t="s">
        <v>316</v>
      </c>
    </row>
    <row r="33890">
      <c r="A33890" s="17"/>
      <c r="H33890" s="18"/>
      <c r="K33890" s="18" t="s">
        <v>316</v>
      </c>
    </row>
    <row r="33891">
      <c r="A33891" s="17"/>
      <c r="H33891" s="18"/>
      <c r="K33891" s="18" t="s">
        <v>316</v>
      </c>
    </row>
    <row r="33892">
      <c r="A33892" s="17"/>
      <c r="H33892" s="18"/>
      <c r="K33892" s="18" t="s">
        <v>316</v>
      </c>
    </row>
    <row r="33893">
      <c r="A33893" s="17"/>
      <c r="H33893" s="18"/>
      <c r="K33893" s="18" t="s">
        <v>316</v>
      </c>
    </row>
    <row r="33894">
      <c r="A33894" s="17"/>
      <c r="H33894" s="18"/>
      <c r="K33894" s="18" t="s">
        <v>316</v>
      </c>
    </row>
    <row r="33895">
      <c r="A33895" s="17"/>
      <c r="H33895" s="18"/>
      <c r="K33895" s="18" t="s">
        <v>316</v>
      </c>
    </row>
    <row r="33896">
      <c r="A33896" s="17"/>
      <c r="H33896" s="18"/>
      <c r="K33896" s="18" t="s">
        <v>316</v>
      </c>
    </row>
    <row r="33897">
      <c r="A33897" s="17"/>
      <c r="H33897" s="18"/>
      <c r="K33897" s="18" t="s">
        <v>316</v>
      </c>
    </row>
    <row r="33898">
      <c r="A33898" s="17"/>
      <c r="H33898" s="18"/>
      <c r="K33898" s="18" t="s">
        <v>316</v>
      </c>
    </row>
    <row r="33899">
      <c r="A33899" s="17"/>
      <c r="H33899" s="18"/>
      <c r="K33899" s="18" t="s">
        <v>316</v>
      </c>
    </row>
    <row r="33900">
      <c r="A33900" s="17"/>
      <c r="H33900" s="18"/>
      <c r="K33900" s="18" t="s">
        <v>316</v>
      </c>
    </row>
    <row r="33901">
      <c r="A33901" s="17"/>
      <c r="H33901" s="18"/>
      <c r="K33901" s="18" t="s">
        <v>316</v>
      </c>
    </row>
    <row r="33902">
      <c r="A33902" s="17"/>
      <c r="H33902" s="18"/>
      <c r="K33902" s="18" t="s">
        <v>316</v>
      </c>
    </row>
    <row r="33903">
      <c r="A33903" s="17"/>
      <c r="H33903" s="18"/>
      <c r="K33903" s="18" t="s">
        <v>316</v>
      </c>
    </row>
    <row r="33904">
      <c r="A33904" s="17"/>
      <c r="H33904" s="18"/>
      <c r="K33904" s="18" t="s">
        <v>316</v>
      </c>
    </row>
    <row r="33905">
      <c r="A33905" s="17"/>
      <c r="H33905" s="18"/>
      <c r="K33905" s="18" t="s">
        <v>316</v>
      </c>
    </row>
    <row r="33906">
      <c r="A33906" s="17"/>
      <c r="H33906" s="18"/>
      <c r="K33906" s="18" t="s">
        <v>316</v>
      </c>
    </row>
    <row r="33907">
      <c r="A33907" s="17"/>
      <c r="H33907" s="18"/>
      <c r="K33907" s="18" t="s">
        <v>316</v>
      </c>
    </row>
    <row r="33908">
      <c r="A33908" s="17"/>
      <c r="H33908" s="18"/>
      <c r="K33908" s="18" t="s">
        <v>316</v>
      </c>
    </row>
    <row r="33909">
      <c r="A33909" s="17"/>
      <c r="H33909" s="18"/>
      <c r="K33909" s="18" t="s">
        <v>316</v>
      </c>
    </row>
    <row r="33910">
      <c r="A33910" s="17"/>
      <c r="H33910" s="18"/>
      <c r="K33910" s="18" t="s">
        <v>316</v>
      </c>
    </row>
    <row r="33911">
      <c r="A33911" s="17"/>
      <c r="H33911" s="18"/>
      <c r="K33911" s="18" t="s">
        <v>316</v>
      </c>
    </row>
    <row r="33912">
      <c r="A33912" s="17"/>
      <c r="H33912" s="18"/>
      <c r="K33912" s="18" t="s">
        <v>316</v>
      </c>
    </row>
    <row r="33913">
      <c r="A33913" s="17"/>
      <c r="H33913" s="18"/>
      <c r="K33913" s="18" t="s">
        <v>316</v>
      </c>
    </row>
    <row r="33914">
      <c r="A33914" s="17"/>
      <c r="H33914" s="18"/>
      <c r="K33914" s="18" t="s">
        <v>316</v>
      </c>
    </row>
    <row r="33915">
      <c r="A33915" s="17"/>
      <c r="H33915" s="18"/>
      <c r="K33915" s="18" t="s">
        <v>316</v>
      </c>
    </row>
    <row r="33916">
      <c r="A33916" s="17"/>
      <c r="H33916" s="18"/>
      <c r="K33916" s="18" t="s">
        <v>316</v>
      </c>
    </row>
    <row r="33917">
      <c r="A33917" s="17"/>
      <c r="H33917" s="18"/>
      <c r="K33917" s="18" t="s">
        <v>316</v>
      </c>
    </row>
    <row r="33918">
      <c r="A33918" s="17"/>
      <c r="H33918" s="18"/>
      <c r="K33918" s="18" t="s">
        <v>316</v>
      </c>
    </row>
    <row r="33919">
      <c r="A33919" s="17"/>
      <c r="H33919" s="18"/>
      <c r="K33919" s="18" t="s">
        <v>316</v>
      </c>
    </row>
    <row r="33920">
      <c r="A33920" s="17"/>
      <c r="H33920" s="18"/>
      <c r="K33920" s="18" t="s">
        <v>316</v>
      </c>
    </row>
    <row r="33921">
      <c r="A33921" s="17"/>
      <c r="H33921" s="18"/>
      <c r="K33921" s="18" t="s">
        <v>316</v>
      </c>
    </row>
    <row r="33922">
      <c r="A33922" s="17"/>
      <c r="H33922" s="18"/>
      <c r="K33922" s="18" t="s">
        <v>316</v>
      </c>
    </row>
    <row r="33923">
      <c r="A33923" s="17"/>
      <c r="H33923" s="18"/>
      <c r="K33923" s="18" t="s">
        <v>316</v>
      </c>
    </row>
    <row r="33924">
      <c r="A33924" s="17"/>
      <c r="H33924" s="18"/>
      <c r="K33924" s="18" t="s">
        <v>316</v>
      </c>
    </row>
    <row r="33925">
      <c r="A33925" s="17"/>
      <c r="H33925" s="18"/>
      <c r="K33925" s="18" t="s">
        <v>316</v>
      </c>
    </row>
    <row r="33926">
      <c r="A33926" s="17"/>
      <c r="H33926" s="18"/>
      <c r="K33926" s="18" t="s">
        <v>316</v>
      </c>
    </row>
    <row r="33927">
      <c r="A33927" s="17"/>
      <c r="H33927" s="18"/>
      <c r="K33927" s="18" t="s">
        <v>316</v>
      </c>
    </row>
    <row r="33928">
      <c r="A33928" s="17"/>
      <c r="H33928" s="18"/>
      <c r="K33928" s="18" t="s">
        <v>316</v>
      </c>
    </row>
    <row r="33929">
      <c r="A33929" s="17"/>
      <c r="H33929" s="18"/>
      <c r="K33929" s="18" t="s">
        <v>316</v>
      </c>
    </row>
    <row r="33930">
      <c r="A33930" s="17"/>
      <c r="H33930" s="18"/>
      <c r="K33930" s="18" t="s">
        <v>316</v>
      </c>
    </row>
    <row r="33931">
      <c r="A33931" s="17"/>
      <c r="H33931" s="18"/>
      <c r="K33931" s="18" t="s">
        <v>316</v>
      </c>
    </row>
    <row r="33932">
      <c r="A33932" s="17"/>
      <c r="H33932" s="18"/>
      <c r="K33932" s="18" t="s">
        <v>316</v>
      </c>
    </row>
    <row r="33933">
      <c r="A33933" s="17"/>
      <c r="H33933" s="18"/>
      <c r="K33933" s="18" t="s">
        <v>316</v>
      </c>
    </row>
    <row r="33934">
      <c r="A33934" s="17"/>
      <c r="H33934" s="18"/>
      <c r="K33934" s="18" t="s">
        <v>316</v>
      </c>
    </row>
    <row r="33935">
      <c r="A33935" s="17"/>
      <c r="H33935" s="18"/>
      <c r="K33935" s="18" t="s">
        <v>316</v>
      </c>
    </row>
    <row r="33936">
      <c r="A33936" s="17"/>
      <c r="H33936" s="18"/>
      <c r="K33936" s="18" t="s">
        <v>316</v>
      </c>
    </row>
    <row r="33937">
      <c r="A33937" s="17"/>
      <c r="H33937" s="18"/>
      <c r="K33937" s="18" t="s">
        <v>316</v>
      </c>
    </row>
    <row r="33938">
      <c r="A33938" s="17"/>
      <c r="H33938" s="18"/>
      <c r="K33938" s="18" t="s">
        <v>316</v>
      </c>
    </row>
    <row r="33939">
      <c r="A33939" s="17"/>
      <c r="H33939" s="18"/>
      <c r="K33939" s="18" t="s">
        <v>316</v>
      </c>
    </row>
    <row r="33940">
      <c r="A33940" s="17"/>
      <c r="H33940" s="18"/>
      <c r="K33940" s="18" t="s">
        <v>316</v>
      </c>
    </row>
    <row r="33941">
      <c r="A33941" s="17"/>
      <c r="H33941" s="18"/>
      <c r="K33941" s="18" t="s">
        <v>316</v>
      </c>
    </row>
    <row r="33942">
      <c r="A33942" s="17"/>
      <c r="H33942" s="18"/>
      <c r="K33942" s="18" t="s">
        <v>316</v>
      </c>
    </row>
    <row r="33943">
      <c r="A33943" s="17"/>
      <c r="H33943" s="18"/>
      <c r="K33943" s="18" t="s">
        <v>316</v>
      </c>
    </row>
    <row r="33944">
      <c r="A33944" s="17"/>
      <c r="H33944" s="18"/>
      <c r="K33944" s="18" t="s">
        <v>316</v>
      </c>
    </row>
    <row r="33945">
      <c r="A33945" s="17"/>
      <c r="H33945" s="18"/>
      <c r="K33945" s="18" t="s">
        <v>316</v>
      </c>
    </row>
    <row r="33946">
      <c r="A33946" s="17"/>
      <c r="H33946" s="18"/>
      <c r="K33946" s="18" t="s">
        <v>316</v>
      </c>
    </row>
    <row r="33947">
      <c r="A33947" s="17"/>
      <c r="H33947" s="18"/>
      <c r="K33947" s="18" t="s">
        <v>316</v>
      </c>
    </row>
    <row r="33948">
      <c r="A33948" s="17"/>
      <c r="H33948" s="18"/>
      <c r="K33948" s="18" t="s">
        <v>316</v>
      </c>
    </row>
    <row r="33949">
      <c r="A33949" s="17"/>
      <c r="H33949" s="18"/>
      <c r="K33949" s="18" t="s">
        <v>316</v>
      </c>
    </row>
    <row r="33950">
      <c r="A33950" s="17"/>
      <c r="H33950" s="18"/>
      <c r="K33950" s="18" t="s">
        <v>316</v>
      </c>
    </row>
    <row r="33951">
      <c r="A33951" s="17"/>
      <c r="H33951" s="18"/>
      <c r="K33951" s="18" t="s">
        <v>316</v>
      </c>
    </row>
    <row r="33952">
      <c r="A33952" s="17"/>
      <c r="H33952" s="18"/>
      <c r="K33952" s="18" t="s">
        <v>316</v>
      </c>
    </row>
    <row r="33953">
      <c r="A33953" s="17"/>
      <c r="H33953" s="18"/>
      <c r="K33953" s="18" t="s">
        <v>316</v>
      </c>
    </row>
    <row r="33954">
      <c r="A33954" s="17"/>
      <c r="H33954" s="18"/>
      <c r="K33954" s="18" t="s">
        <v>316</v>
      </c>
    </row>
    <row r="33955">
      <c r="A33955" s="17"/>
      <c r="H33955" s="18"/>
      <c r="K33955" s="18" t="s">
        <v>316</v>
      </c>
    </row>
    <row r="33956">
      <c r="A33956" s="17"/>
      <c r="H33956" s="18"/>
      <c r="K33956" s="18" t="s">
        <v>316</v>
      </c>
    </row>
    <row r="33957">
      <c r="A33957" s="17"/>
      <c r="H33957" s="18"/>
      <c r="K33957" s="18" t="s">
        <v>316</v>
      </c>
    </row>
    <row r="33958">
      <c r="A33958" s="17"/>
      <c r="H33958" s="18"/>
      <c r="K33958" s="18" t="s">
        <v>316</v>
      </c>
    </row>
    <row r="33959">
      <c r="A33959" s="17"/>
      <c r="H33959" s="18"/>
      <c r="K33959" s="18" t="s">
        <v>316</v>
      </c>
    </row>
    <row r="33960">
      <c r="A33960" s="17"/>
      <c r="H33960" s="18"/>
      <c r="K33960" s="18" t="s">
        <v>316</v>
      </c>
    </row>
    <row r="33961">
      <c r="A33961" s="17"/>
      <c r="H33961" s="18"/>
      <c r="K33961" s="18" t="s">
        <v>316</v>
      </c>
    </row>
    <row r="33962">
      <c r="A33962" s="17"/>
      <c r="H33962" s="18"/>
      <c r="K33962" s="18" t="s">
        <v>316</v>
      </c>
    </row>
    <row r="33963">
      <c r="A33963" s="17"/>
      <c r="H33963" s="18"/>
      <c r="K33963" s="18" t="s">
        <v>316</v>
      </c>
    </row>
    <row r="33964">
      <c r="A33964" s="17"/>
      <c r="H33964" s="18"/>
      <c r="K33964" s="18" t="s">
        <v>316</v>
      </c>
    </row>
    <row r="33965">
      <c r="A33965" s="17"/>
      <c r="H33965" s="18"/>
      <c r="K33965" s="18" t="s">
        <v>316</v>
      </c>
    </row>
    <row r="33966">
      <c r="A33966" s="17"/>
      <c r="H33966" s="18"/>
      <c r="K33966" s="18" t="s">
        <v>316</v>
      </c>
    </row>
    <row r="33967">
      <c r="A33967" s="17"/>
      <c r="H33967" s="18"/>
      <c r="K33967" s="18" t="s">
        <v>316</v>
      </c>
    </row>
    <row r="33968">
      <c r="A33968" s="17"/>
      <c r="H33968" s="18"/>
      <c r="K33968" s="18" t="s">
        <v>316</v>
      </c>
    </row>
    <row r="33969">
      <c r="A33969" s="17"/>
      <c r="H33969" s="18"/>
      <c r="K33969" s="18" t="s">
        <v>316</v>
      </c>
    </row>
    <row r="33970">
      <c r="A33970" s="17"/>
      <c r="H33970" s="18"/>
      <c r="K33970" s="18" t="s">
        <v>316</v>
      </c>
    </row>
    <row r="33971">
      <c r="A33971" s="17"/>
      <c r="H33971" s="18"/>
      <c r="K33971" s="18" t="s">
        <v>316</v>
      </c>
    </row>
    <row r="33972">
      <c r="A33972" s="17"/>
      <c r="H33972" s="18"/>
      <c r="K33972" s="18" t="s">
        <v>316</v>
      </c>
    </row>
    <row r="33973">
      <c r="A33973" s="17"/>
      <c r="H33973" s="18"/>
      <c r="K33973" s="18" t="s">
        <v>316</v>
      </c>
    </row>
    <row r="33974">
      <c r="A33974" s="17"/>
      <c r="H33974" s="18"/>
      <c r="K33974" s="18" t="s">
        <v>316</v>
      </c>
    </row>
    <row r="33975">
      <c r="A33975" s="17"/>
      <c r="H33975" s="18"/>
      <c r="K33975" s="18" t="s">
        <v>316</v>
      </c>
    </row>
    <row r="33976">
      <c r="A33976" s="17"/>
      <c r="H33976" s="18"/>
      <c r="K33976" s="18" t="s">
        <v>316</v>
      </c>
    </row>
    <row r="33977">
      <c r="A33977" s="17"/>
      <c r="H33977" s="18"/>
      <c r="K33977" s="18" t="s">
        <v>316</v>
      </c>
    </row>
    <row r="33978">
      <c r="A33978" s="17"/>
      <c r="H33978" s="18"/>
      <c r="K33978" s="18" t="s">
        <v>316</v>
      </c>
    </row>
    <row r="33979">
      <c r="A33979" s="17"/>
      <c r="H33979" s="18"/>
      <c r="K33979" s="18" t="s">
        <v>316</v>
      </c>
    </row>
    <row r="33980">
      <c r="A33980" s="17"/>
      <c r="H33980" s="18"/>
      <c r="K33980" s="18" t="s">
        <v>316</v>
      </c>
    </row>
    <row r="33981">
      <c r="A33981" s="17"/>
      <c r="H33981" s="18"/>
      <c r="K33981" s="18" t="s">
        <v>316</v>
      </c>
    </row>
    <row r="33982">
      <c r="A33982" s="17"/>
      <c r="H33982" s="18"/>
      <c r="K33982" s="18" t="s">
        <v>316</v>
      </c>
    </row>
    <row r="33983">
      <c r="A33983" s="17"/>
      <c r="H33983" s="18"/>
      <c r="K33983" s="18" t="s">
        <v>316</v>
      </c>
    </row>
    <row r="33984">
      <c r="A33984" s="17"/>
      <c r="H33984" s="18"/>
      <c r="K33984" s="18" t="s">
        <v>316</v>
      </c>
    </row>
    <row r="33985">
      <c r="A33985" s="17"/>
      <c r="H33985" s="18"/>
      <c r="K33985" s="18" t="s">
        <v>316</v>
      </c>
    </row>
    <row r="33986">
      <c r="A33986" s="17"/>
      <c r="H33986" s="18"/>
      <c r="K33986" s="18" t="s">
        <v>316</v>
      </c>
    </row>
    <row r="33987">
      <c r="A33987" s="17"/>
      <c r="H33987" s="18"/>
      <c r="K33987" s="18" t="s">
        <v>316</v>
      </c>
    </row>
    <row r="33988">
      <c r="A33988" s="17"/>
      <c r="H33988" s="18"/>
      <c r="K33988" s="18" t="s">
        <v>316</v>
      </c>
    </row>
    <row r="33989">
      <c r="A33989" s="17"/>
      <c r="H33989" s="18"/>
      <c r="K33989" s="18" t="s">
        <v>316</v>
      </c>
    </row>
    <row r="33990">
      <c r="A33990" s="17"/>
      <c r="H33990" s="18"/>
      <c r="K33990" s="18" t="s">
        <v>316</v>
      </c>
    </row>
    <row r="33991">
      <c r="A33991" s="17"/>
      <c r="H33991" s="18"/>
      <c r="K33991" s="18" t="s">
        <v>316</v>
      </c>
    </row>
    <row r="33992">
      <c r="A33992" s="17"/>
      <c r="H33992" s="18"/>
      <c r="K33992" s="18" t="s">
        <v>316</v>
      </c>
    </row>
    <row r="33993">
      <c r="A33993" s="17"/>
      <c r="H33993" s="18"/>
      <c r="K33993" s="18" t="s">
        <v>316</v>
      </c>
    </row>
    <row r="33994">
      <c r="A33994" s="17"/>
      <c r="H33994" s="18"/>
      <c r="K33994" s="18" t="s">
        <v>316</v>
      </c>
    </row>
    <row r="33995">
      <c r="A33995" s="17"/>
      <c r="H33995" s="18"/>
      <c r="K33995" s="18" t="s">
        <v>316</v>
      </c>
    </row>
    <row r="33996">
      <c r="A33996" s="17"/>
      <c r="H33996" s="18"/>
      <c r="K33996" s="18" t="s">
        <v>316</v>
      </c>
    </row>
    <row r="33997">
      <c r="A33997" s="17"/>
      <c r="H33997" s="18"/>
      <c r="K33997" s="18" t="s">
        <v>316</v>
      </c>
    </row>
    <row r="33998">
      <c r="A33998" s="17"/>
      <c r="H33998" s="18"/>
      <c r="K33998" s="18" t="s">
        <v>316</v>
      </c>
    </row>
    <row r="33999">
      <c r="A33999" s="17"/>
      <c r="H33999" s="18"/>
      <c r="K33999" s="18" t="s">
        <v>316</v>
      </c>
    </row>
    <row r="34000">
      <c r="A34000" s="17"/>
      <c r="H34000" s="18"/>
      <c r="K34000" s="18" t="s">
        <v>316</v>
      </c>
    </row>
    <row r="34001">
      <c r="A34001" s="17"/>
      <c r="H34001" s="18"/>
      <c r="K34001" s="18" t="s">
        <v>316</v>
      </c>
    </row>
    <row r="34002">
      <c r="A34002" s="17"/>
      <c r="H34002" s="18"/>
      <c r="K34002" s="18" t="s">
        <v>316</v>
      </c>
    </row>
    <row r="34003">
      <c r="A34003" s="17"/>
      <c r="H34003" s="18"/>
      <c r="K34003" s="18" t="s">
        <v>316</v>
      </c>
    </row>
    <row r="34004">
      <c r="A34004" s="17"/>
      <c r="H34004" s="18"/>
      <c r="K34004" s="18" t="s">
        <v>316</v>
      </c>
    </row>
    <row r="34005">
      <c r="A34005" s="17"/>
      <c r="H34005" s="18"/>
      <c r="K34005" s="18" t="s">
        <v>316</v>
      </c>
    </row>
    <row r="34006">
      <c r="A34006" s="17"/>
      <c r="H34006" s="18"/>
      <c r="K34006" s="18" t="s">
        <v>316</v>
      </c>
    </row>
    <row r="34007">
      <c r="A34007" s="17"/>
      <c r="H34007" s="18"/>
      <c r="K34007" s="18" t="s">
        <v>316</v>
      </c>
    </row>
    <row r="34008">
      <c r="A34008" s="17"/>
      <c r="H34008" s="18"/>
      <c r="K34008" s="18" t="s">
        <v>316</v>
      </c>
    </row>
    <row r="34009">
      <c r="A34009" s="17"/>
      <c r="H34009" s="18"/>
      <c r="K34009" s="18" t="s">
        <v>316</v>
      </c>
    </row>
    <row r="34010">
      <c r="A34010" s="17"/>
      <c r="H34010" s="18"/>
      <c r="K34010" s="18" t="s">
        <v>316</v>
      </c>
    </row>
    <row r="34011">
      <c r="A34011" s="17"/>
      <c r="H34011" s="18"/>
      <c r="K34011" s="18" t="s">
        <v>316</v>
      </c>
    </row>
    <row r="34012">
      <c r="A34012" s="17"/>
      <c r="H34012" s="18"/>
      <c r="K34012" s="18" t="s">
        <v>316</v>
      </c>
    </row>
    <row r="34013">
      <c r="A34013" s="17"/>
      <c r="H34013" s="18"/>
      <c r="K34013" s="18" t="s">
        <v>316</v>
      </c>
    </row>
    <row r="34014">
      <c r="A34014" s="17"/>
      <c r="H34014" s="18"/>
      <c r="K34014" s="18" t="s">
        <v>316</v>
      </c>
    </row>
    <row r="34015">
      <c r="A34015" s="17"/>
      <c r="H34015" s="18"/>
      <c r="K34015" s="18" t="s">
        <v>316</v>
      </c>
    </row>
    <row r="34016">
      <c r="A34016" s="17"/>
      <c r="H34016" s="18"/>
      <c r="K34016" s="18" t="s">
        <v>316</v>
      </c>
    </row>
    <row r="34017">
      <c r="A34017" s="17"/>
      <c r="H34017" s="18"/>
      <c r="K34017" s="18" t="s">
        <v>316</v>
      </c>
    </row>
    <row r="34018">
      <c r="A34018" s="17"/>
      <c r="H34018" s="18"/>
      <c r="K34018" s="18" t="s">
        <v>316</v>
      </c>
    </row>
    <row r="34019">
      <c r="A34019" s="17"/>
      <c r="H34019" s="18"/>
      <c r="K34019" s="18" t="s">
        <v>316</v>
      </c>
    </row>
    <row r="34020">
      <c r="A34020" s="17"/>
      <c r="H34020" s="18"/>
      <c r="K34020" s="18" t="s">
        <v>316</v>
      </c>
    </row>
    <row r="34021">
      <c r="A34021" s="17"/>
      <c r="H34021" s="18"/>
      <c r="K34021" s="18" t="s">
        <v>316</v>
      </c>
    </row>
    <row r="34022">
      <c r="A34022" s="17"/>
      <c r="H34022" s="18"/>
      <c r="K34022" s="18" t="s">
        <v>316</v>
      </c>
    </row>
    <row r="34023">
      <c r="A34023" s="17"/>
      <c r="H34023" s="18"/>
      <c r="K34023" s="18" t="s">
        <v>316</v>
      </c>
    </row>
    <row r="34024">
      <c r="A34024" s="17"/>
      <c r="H34024" s="18"/>
      <c r="K34024" s="18" t="s">
        <v>316</v>
      </c>
    </row>
    <row r="34025">
      <c r="A34025" s="17"/>
      <c r="H34025" s="18"/>
      <c r="K34025" s="18" t="s">
        <v>316</v>
      </c>
    </row>
    <row r="34026">
      <c r="A34026" s="17"/>
      <c r="H34026" s="18"/>
      <c r="K34026" s="18" t="s">
        <v>316</v>
      </c>
    </row>
    <row r="34027">
      <c r="A34027" s="17"/>
      <c r="H34027" s="18"/>
      <c r="K34027" s="18" t="s">
        <v>316</v>
      </c>
    </row>
    <row r="34028">
      <c r="A34028" s="17"/>
      <c r="H34028" s="18"/>
      <c r="K34028" s="18" t="s">
        <v>316</v>
      </c>
    </row>
    <row r="34029">
      <c r="A34029" s="17"/>
      <c r="H34029" s="18"/>
      <c r="K34029" s="18" t="s">
        <v>316</v>
      </c>
    </row>
    <row r="34030">
      <c r="A34030" s="17"/>
      <c r="H34030" s="18"/>
      <c r="K34030" s="18" t="s">
        <v>316</v>
      </c>
    </row>
    <row r="34031">
      <c r="A34031" s="17"/>
      <c r="H34031" s="18"/>
      <c r="K34031" s="18" t="s">
        <v>316</v>
      </c>
    </row>
    <row r="34032">
      <c r="A34032" s="17"/>
      <c r="H34032" s="18"/>
      <c r="K34032" s="18" t="s">
        <v>316</v>
      </c>
    </row>
    <row r="34033">
      <c r="A34033" s="17"/>
      <c r="H34033" s="18"/>
      <c r="K34033" s="18" t="s">
        <v>316</v>
      </c>
    </row>
    <row r="34034">
      <c r="A34034" s="17"/>
      <c r="H34034" s="18"/>
      <c r="K34034" s="18" t="s">
        <v>316</v>
      </c>
    </row>
    <row r="34035">
      <c r="A34035" s="17"/>
      <c r="H34035" s="18"/>
      <c r="K34035" s="18" t="s">
        <v>316</v>
      </c>
    </row>
    <row r="34036">
      <c r="A34036" s="17"/>
      <c r="H34036" s="18"/>
      <c r="K34036" s="18" t="s">
        <v>316</v>
      </c>
    </row>
    <row r="34037">
      <c r="A34037" s="17"/>
      <c r="H34037" s="18"/>
      <c r="K34037" s="18" t="s">
        <v>316</v>
      </c>
    </row>
    <row r="34038">
      <c r="A34038" s="17"/>
      <c r="H34038" s="18"/>
      <c r="K34038" s="18" t="s">
        <v>316</v>
      </c>
    </row>
    <row r="34039">
      <c r="A34039" s="17"/>
      <c r="H34039" s="18"/>
      <c r="K34039" s="18" t="s">
        <v>316</v>
      </c>
    </row>
    <row r="34040">
      <c r="A34040" s="17"/>
      <c r="H34040" s="18"/>
      <c r="K34040" s="18" t="s">
        <v>316</v>
      </c>
    </row>
    <row r="34041">
      <c r="A34041" s="17"/>
      <c r="H34041" s="18"/>
      <c r="K34041" s="18" t="s">
        <v>316</v>
      </c>
    </row>
    <row r="34042">
      <c r="A34042" s="17"/>
      <c r="H34042" s="18"/>
      <c r="K34042" s="18" t="s">
        <v>316</v>
      </c>
    </row>
    <row r="34043">
      <c r="A34043" s="17"/>
      <c r="H34043" s="18"/>
      <c r="K34043" s="18" t="s">
        <v>316</v>
      </c>
    </row>
    <row r="34044">
      <c r="A34044" s="17"/>
      <c r="H34044" s="18"/>
      <c r="K34044" s="18" t="s">
        <v>316</v>
      </c>
    </row>
    <row r="34045">
      <c r="A34045" s="17"/>
      <c r="H34045" s="18"/>
      <c r="K34045" s="18" t="s">
        <v>316</v>
      </c>
    </row>
    <row r="34046">
      <c r="A34046" s="17"/>
      <c r="H34046" s="18"/>
      <c r="K34046" s="18" t="s">
        <v>316</v>
      </c>
    </row>
    <row r="34047">
      <c r="A34047" s="17"/>
      <c r="H34047" s="18"/>
      <c r="K34047" s="18" t="s">
        <v>316</v>
      </c>
    </row>
    <row r="34048">
      <c r="A34048" s="17"/>
      <c r="H34048" s="18"/>
      <c r="K34048" s="18" t="s">
        <v>316</v>
      </c>
    </row>
    <row r="34049">
      <c r="A34049" s="17"/>
      <c r="H34049" s="18"/>
      <c r="K34049" s="18" t="s">
        <v>316</v>
      </c>
    </row>
    <row r="34050">
      <c r="A34050" s="17"/>
      <c r="H34050" s="18"/>
      <c r="K34050" s="18" t="s">
        <v>316</v>
      </c>
    </row>
    <row r="34051">
      <c r="A34051" s="17"/>
      <c r="H34051" s="18"/>
      <c r="K34051" s="18" t="s">
        <v>316</v>
      </c>
    </row>
    <row r="34052">
      <c r="A34052" s="17"/>
      <c r="H34052" s="18"/>
      <c r="K34052" s="18" t="s">
        <v>316</v>
      </c>
    </row>
    <row r="34053">
      <c r="A34053" s="17"/>
      <c r="H34053" s="18"/>
      <c r="K34053" s="18" t="s">
        <v>316</v>
      </c>
    </row>
    <row r="34054">
      <c r="A34054" s="17"/>
      <c r="H34054" s="18"/>
      <c r="K34054" s="18" t="s">
        <v>316</v>
      </c>
    </row>
    <row r="34055">
      <c r="A34055" s="17"/>
      <c r="H34055" s="18"/>
      <c r="K34055" s="18" t="s">
        <v>316</v>
      </c>
    </row>
    <row r="34056">
      <c r="A34056" s="17"/>
      <c r="H34056" s="18"/>
      <c r="K34056" s="18" t="s">
        <v>316</v>
      </c>
    </row>
    <row r="34057">
      <c r="A34057" s="17"/>
      <c r="H34057" s="18"/>
      <c r="K34057" s="18" t="s">
        <v>316</v>
      </c>
    </row>
    <row r="34058">
      <c r="A34058" s="17"/>
      <c r="H34058" s="18"/>
      <c r="K34058" s="18" t="s">
        <v>316</v>
      </c>
    </row>
    <row r="34059">
      <c r="A34059" s="17"/>
      <c r="H34059" s="18"/>
      <c r="K34059" s="18" t="s">
        <v>316</v>
      </c>
    </row>
    <row r="34060">
      <c r="A34060" s="17"/>
      <c r="H34060" s="18"/>
      <c r="K34060" s="18" t="s">
        <v>316</v>
      </c>
    </row>
    <row r="34061">
      <c r="A34061" s="17"/>
      <c r="H34061" s="18"/>
      <c r="K34061" s="18" t="s">
        <v>316</v>
      </c>
    </row>
    <row r="34062">
      <c r="A34062" s="17"/>
      <c r="H34062" s="18"/>
      <c r="K34062" s="18" t="s">
        <v>316</v>
      </c>
    </row>
    <row r="34063">
      <c r="A34063" s="17"/>
      <c r="H34063" s="18"/>
      <c r="K34063" s="18" t="s">
        <v>316</v>
      </c>
    </row>
    <row r="34064">
      <c r="A34064" s="17"/>
      <c r="H34064" s="18"/>
      <c r="K34064" s="18" t="s">
        <v>316</v>
      </c>
    </row>
    <row r="34065">
      <c r="A34065" s="17"/>
      <c r="H34065" s="18"/>
      <c r="K34065" s="18" t="s">
        <v>316</v>
      </c>
    </row>
    <row r="34066">
      <c r="A34066" s="17"/>
      <c r="H34066" s="18"/>
      <c r="K34066" s="18" t="s">
        <v>316</v>
      </c>
    </row>
    <row r="34067">
      <c r="A34067" s="17"/>
      <c r="H34067" s="18"/>
      <c r="K34067" s="18" t="s">
        <v>316</v>
      </c>
    </row>
    <row r="34068">
      <c r="A34068" s="17"/>
      <c r="H34068" s="18"/>
      <c r="K34068" s="18" t="s">
        <v>316</v>
      </c>
    </row>
    <row r="34069">
      <c r="A34069" s="17"/>
      <c r="H34069" s="18"/>
      <c r="K34069" s="18" t="s">
        <v>316</v>
      </c>
    </row>
    <row r="34070">
      <c r="A34070" s="17"/>
      <c r="H34070" s="18"/>
      <c r="K34070" s="18" t="s">
        <v>316</v>
      </c>
    </row>
    <row r="34071">
      <c r="A34071" s="17"/>
      <c r="H34071" s="18"/>
      <c r="K34071" s="18" t="s">
        <v>316</v>
      </c>
    </row>
    <row r="34072">
      <c r="A34072" s="17"/>
      <c r="H34072" s="18"/>
      <c r="K34072" s="18" t="s">
        <v>316</v>
      </c>
    </row>
    <row r="34073">
      <c r="A34073" s="17"/>
      <c r="H34073" s="18"/>
      <c r="K34073" s="18" t="s">
        <v>316</v>
      </c>
    </row>
    <row r="34074">
      <c r="A34074" s="17"/>
      <c r="H34074" s="18"/>
      <c r="K34074" s="18" t="s">
        <v>316</v>
      </c>
    </row>
    <row r="34075">
      <c r="A34075" s="17"/>
      <c r="H34075" s="18"/>
      <c r="K34075" s="18" t="s">
        <v>316</v>
      </c>
    </row>
    <row r="34076">
      <c r="A34076" s="17"/>
      <c r="H34076" s="18"/>
      <c r="K34076" s="18" t="s">
        <v>316</v>
      </c>
    </row>
    <row r="34077">
      <c r="A34077" s="17"/>
      <c r="H34077" s="18"/>
      <c r="K34077" s="18" t="s">
        <v>316</v>
      </c>
    </row>
    <row r="34078">
      <c r="A34078" s="17"/>
      <c r="H34078" s="18"/>
      <c r="K34078" s="18" t="s">
        <v>316</v>
      </c>
    </row>
    <row r="34079">
      <c r="A34079" s="17"/>
      <c r="H34079" s="18"/>
      <c r="K34079" s="18" t="s">
        <v>316</v>
      </c>
    </row>
    <row r="34080">
      <c r="A34080" s="17"/>
      <c r="H34080" s="18"/>
      <c r="K34080" s="18" t="s">
        <v>316</v>
      </c>
    </row>
    <row r="34081">
      <c r="A34081" s="17"/>
      <c r="H34081" s="18"/>
      <c r="K34081" s="18" t="s">
        <v>316</v>
      </c>
    </row>
    <row r="34082">
      <c r="A34082" s="17"/>
      <c r="H34082" s="18"/>
      <c r="K34082" s="18" t="s">
        <v>316</v>
      </c>
    </row>
    <row r="34083">
      <c r="A34083" s="17"/>
      <c r="H34083" s="18"/>
      <c r="K34083" s="18" t="s">
        <v>316</v>
      </c>
    </row>
    <row r="34084">
      <c r="A34084" s="17"/>
      <c r="H34084" s="18"/>
      <c r="K34084" s="18" t="s">
        <v>316</v>
      </c>
    </row>
    <row r="34085">
      <c r="A34085" s="17"/>
      <c r="H34085" s="18"/>
      <c r="K34085" s="18" t="s">
        <v>316</v>
      </c>
    </row>
    <row r="34086">
      <c r="A34086" s="17"/>
      <c r="H34086" s="18"/>
      <c r="K34086" s="18" t="s">
        <v>316</v>
      </c>
    </row>
    <row r="34087">
      <c r="A34087" s="17"/>
      <c r="H34087" s="18"/>
      <c r="K34087" s="18" t="s">
        <v>316</v>
      </c>
    </row>
    <row r="34088">
      <c r="A34088" s="17"/>
      <c r="H34088" s="18"/>
      <c r="K34088" s="18" t="s">
        <v>316</v>
      </c>
    </row>
    <row r="34089">
      <c r="A34089" s="17"/>
      <c r="H34089" s="18"/>
      <c r="K34089" s="18" t="s">
        <v>316</v>
      </c>
    </row>
    <row r="34090">
      <c r="A34090" s="17"/>
      <c r="H34090" s="18"/>
      <c r="K34090" s="18" t="s">
        <v>316</v>
      </c>
    </row>
    <row r="34091">
      <c r="A34091" s="17"/>
      <c r="H34091" s="18"/>
      <c r="K34091" s="18" t="s">
        <v>316</v>
      </c>
    </row>
    <row r="34092">
      <c r="A34092" s="17"/>
      <c r="H34092" s="18"/>
      <c r="K34092" s="18" t="s">
        <v>316</v>
      </c>
    </row>
    <row r="34093">
      <c r="A34093" s="17"/>
      <c r="H34093" s="18"/>
      <c r="K34093" s="18" t="s">
        <v>316</v>
      </c>
    </row>
    <row r="34094">
      <c r="A34094" s="17"/>
      <c r="H34094" s="18"/>
      <c r="K34094" s="18" t="s">
        <v>316</v>
      </c>
    </row>
    <row r="34095">
      <c r="A34095" s="17"/>
      <c r="H34095" s="18"/>
      <c r="K34095" s="18" t="s">
        <v>316</v>
      </c>
    </row>
    <row r="34096">
      <c r="A34096" s="17"/>
      <c r="H34096" s="18"/>
      <c r="K34096" s="18" t="s">
        <v>316</v>
      </c>
    </row>
    <row r="34097">
      <c r="A34097" s="17"/>
      <c r="H34097" s="18"/>
      <c r="K34097" s="18" t="s">
        <v>316</v>
      </c>
    </row>
    <row r="34098">
      <c r="A34098" s="17"/>
      <c r="H34098" s="18"/>
      <c r="K34098" s="18" t="s">
        <v>316</v>
      </c>
    </row>
    <row r="34099">
      <c r="A34099" s="17"/>
      <c r="H34099" s="18"/>
      <c r="K34099" s="18" t="s">
        <v>316</v>
      </c>
    </row>
    <row r="34100">
      <c r="A34100" s="17"/>
      <c r="H34100" s="18"/>
      <c r="K34100" s="18" t="s">
        <v>316</v>
      </c>
    </row>
    <row r="34101">
      <c r="A34101" s="17"/>
      <c r="H34101" s="18"/>
      <c r="K34101" s="18" t="s">
        <v>316</v>
      </c>
    </row>
    <row r="34102">
      <c r="A34102" s="17"/>
      <c r="H34102" s="18"/>
      <c r="K34102" s="18" t="s">
        <v>316</v>
      </c>
    </row>
    <row r="34103">
      <c r="A34103" s="17"/>
      <c r="H34103" s="18"/>
      <c r="K34103" s="18" t="s">
        <v>316</v>
      </c>
    </row>
    <row r="34104">
      <c r="A34104" s="17"/>
      <c r="H34104" s="18"/>
      <c r="K34104" s="18" t="s">
        <v>316</v>
      </c>
    </row>
    <row r="34105">
      <c r="A34105" s="17"/>
      <c r="H34105" s="18"/>
      <c r="K34105" s="18" t="s">
        <v>316</v>
      </c>
    </row>
    <row r="34106">
      <c r="A34106" s="17"/>
      <c r="H34106" s="18"/>
      <c r="K34106" s="18" t="s">
        <v>316</v>
      </c>
    </row>
    <row r="34107">
      <c r="A34107" s="17"/>
      <c r="H34107" s="18"/>
      <c r="K34107" s="18" t="s">
        <v>316</v>
      </c>
    </row>
    <row r="34108">
      <c r="A34108" s="17"/>
      <c r="H34108" s="18"/>
      <c r="K34108" s="18" t="s">
        <v>316</v>
      </c>
    </row>
    <row r="34109">
      <c r="A34109" s="17"/>
      <c r="H34109" s="18"/>
      <c r="K34109" s="18" t="s">
        <v>316</v>
      </c>
    </row>
    <row r="34110">
      <c r="A34110" s="17"/>
      <c r="H34110" s="18"/>
      <c r="K34110" s="18" t="s">
        <v>316</v>
      </c>
    </row>
    <row r="34111">
      <c r="A34111" s="17"/>
      <c r="H34111" s="18"/>
      <c r="K34111" s="18" t="s">
        <v>316</v>
      </c>
    </row>
    <row r="34112">
      <c r="A34112" s="17"/>
      <c r="H34112" s="18"/>
      <c r="K34112" s="18" t="s">
        <v>316</v>
      </c>
    </row>
    <row r="34113">
      <c r="A34113" s="17"/>
      <c r="H34113" s="18"/>
      <c r="K34113" s="18" t="s">
        <v>316</v>
      </c>
    </row>
    <row r="34114">
      <c r="A34114" s="17"/>
      <c r="H34114" s="18"/>
      <c r="K34114" s="18" t="s">
        <v>316</v>
      </c>
    </row>
    <row r="34115">
      <c r="A34115" s="17"/>
      <c r="H34115" s="18"/>
      <c r="K34115" s="18" t="s">
        <v>316</v>
      </c>
    </row>
    <row r="34116">
      <c r="A34116" s="17"/>
      <c r="H34116" s="18"/>
      <c r="K34116" s="18" t="s">
        <v>316</v>
      </c>
    </row>
    <row r="34117">
      <c r="A34117" s="17"/>
      <c r="H34117" s="18"/>
      <c r="K34117" s="18" t="s">
        <v>316</v>
      </c>
    </row>
    <row r="34118">
      <c r="A34118" s="17"/>
      <c r="H34118" s="18"/>
      <c r="K34118" s="18" t="s">
        <v>316</v>
      </c>
    </row>
    <row r="34119">
      <c r="A34119" s="17"/>
      <c r="H34119" s="18"/>
      <c r="K34119" s="18" t="s">
        <v>316</v>
      </c>
    </row>
    <row r="34120">
      <c r="A34120" s="17"/>
      <c r="H34120" s="18"/>
      <c r="K34120" s="18" t="s">
        <v>316</v>
      </c>
    </row>
    <row r="34121">
      <c r="A34121" s="17"/>
      <c r="H34121" s="18"/>
      <c r="K34121" s="18" t="s">
        <v>316</v>
      </c>
    </row>
    <row r="34122">
      <c r="A34122" s="17"/>
      <c r="H34122" s="18"/>
      <c r="K34122" s="18" t="s">
        <v>316</v>
      </c>
    </row>
    <row r="34123">
      <c r="A34123" s="17"/>
      <c r="H34123" s="18"/>
      <c r="K34123" s="18" t="s">
        <v>316</v>
      </c>
    </row>
    <row r="34124">
      <c r="A34124" s="17"/>
      <c r="H34124" s="18"/>
      <c r="K34124" s="18" t="s">
        <v>316</v>
      </c>
    </row>
    <row r="34125">
      <c r="A34125" s="17"/>
      <c r="H34125" s="18"/>
      <c r="K34125" s="18" t="s">
        <v>316</v>
      </c>
    </row>
    <row r="34126">
      <c r="A34126" s="17"/>
      <c r="H34126" s="18"/>
      <c r="K34126" s="18" t="s">
        <v>316</v>
      </c>
    </row>
    <row r="34127">
      <c r="A34127" s="17"/>
      <c r="H34127" s="18"/>
      <c r="K34127" s="18" t="s">
        <v>316</v>
      </c>
    </row>
    <row r="34128">
      <c r="A34128" s="17"/>
      <c r="H34128" s="18"/>
      <c r="K34128" s="18" t="s">
        <v>316</v>
      </c>
    </row>
    <row r="34129">
      <c r="A34129" s="17"/>
      <c r="H34129" s="18"/>
      <c r="K34129" s="18" t="s">
        <v>316</v>
      </c>
    </row>
    <row r="34130">
      <c r="A34130" s="17"/>
      <c r="H34130" s="18"/>
      <c r="K34130" s="18" t="s">
        <v>316</v>
      </c>
    </row>
    <row r="34131">
      <c r="A34131" s="17"/>
      <c r="H34131" s="18"/>
      <c r="K34131" s="18" t="s">
        <v>316</v>
      </c>
    </row>
    <row r="34132">
      <c r="A34132" s="17"/>
      <c r="H34132" s="18"/>
      <c r="K34132" s="18" t="s">
        <v>316</v>
      </c>
    </row>
    <row r="34133">
      <c r="A34133" s="17"/>
      <c r="H34133" s="18"/>
      <c r="K34133" s="18" t="s">
        <v>316</v>
      </c>
    </row>
    <row r="34134">
      <c r="A34134" s="17"/>
      <c r="H34134" s="18"/>
      <c r="K34134" s="18" t="s">
        <v>316</v>
      </c>
    </row>
    <row r="34135">
      <c r="A34135" s="17"/>
      <c r="H34135" s="18"/>
      <c r="K34135" s="18" t="s">
        <v>316</v>
      </c>
    </row>
    <row r="34136">
      <c r="A34136" s="17"/>
      <c r="H34136" s="18"/>
      <c r="K34136" s="18" t="s">
        <v>316</v>
      </c>
    </row>
    <row r="34137">
      <c r="A34137" s="17"/>
      <c r="H34137" s="18"/>
      <c r="K34137" s="18" t="s">
        <v>316</v>
      </c>
    </row>
    <row r="34138">
      <c r="A34138" s="17"/>
      <c r="H34138" s="18"/>
      <c r="K34138" s="18" t="s">
        <v>316</v>
      </c>
    </row>
    <row r="34139">
      <c r="A34139" s="17"/>
      <c r="H34139" s="18"/>
      <c r="K34139" s="18" t="s">
        <v>316</v>
      </c>
    </row>
    <row r="34140">
      <c r="A34140" s="17"/>
      <c r="H34140" s="18"/>
      <c r="K34140" s="18" t="s">
        <v>316</v>
      </c>
    </row>
    <row r="34141">
      <c r="A34141" s="17"/>
      <c r="H34141" s="18"/>
      <c r="K34141" s="18" t="s">
        <v>316</v>
      </c>
    </row>
    <row r="34142">
      <c r="A34142" s="17"/>
      <c r="H34142" s="18"/>
      <c r="K34142" s="18" t="s">
        <v>316</v>
      </c>
    </row>
    <row r="34143">
      <c r="A34143" s="17"/>
      <c r="H34143" s="18"/>
      <c r="K34143" s="18" t="s">
        <v>316</v>
      </c>
    </row>
    <row r="34144">
      <c r="A34144" s="17"/>
      <c r="H34144" s="18"/>
      <c r="K34144" s="18" t="s">
        <v>316</v>
      </c>
    </row>
    <row r="34145">
      <c r="A34145" s="17"/>
      <c r="H34145" s="18"/>
      <c r="K34145" s="18" t="s">
        <v>316</v>
      </c>
    </row>
    <row r="34146">
      <c r="A34146" s="17"/>
      <c r="H34146" s="18"/>
      <c r="K34146" s="18" t="s">
        <v>316</v>
      </c>
    </row>
    <row r="34147">
      <c r="A34147" s="17"/>
      <c r="H34147" s="18"/>
      <c r="K34147" s="18" t="s">
        <v>316</v>
      </c>
    </row>
    <row r="34148">
      <c r="A34148" s="17"/>
      <c r="H34148" s="18"/>
      <c r="K34148" s="18" t="s">
        <v>316</v>
      </c>
    </row>
    <row r="34149">
      <c r="A34149" s="17"/>
      <c r="H34149" s="18"/>
      <c r="K34149" s="18" t="s">
        <v>316</v>
      </c>
    </row>
    <row r="34150">
      <c r="A34150" s="17"/>
      <c r="H34150" s="18"/>
      <c r="K34150" s="18" t="s">
        <v>316</v>
      </c>
    </row>
    <row r="34151">
      <c r="A34151" s="17"/>
      <c r="H34151" s="18"/>
      <c r="K34151" s="18" t="s">
        <v>316</v>
      </c>
    </row>
    <row r="34152">
      <c r="A34152" s="17"/>
      <c r="H34152" s="18"/>
      <c r="K34152" s="18" t="s">
        <v>316</v>
      </c>
    </row>
    <row r="34153">
      <c r="A34153" s="17"/>
      <c r="H34153" s="18"/>
      <c r="K34153" s="18" t="s">
        <v>316</v>
      </c>
    </row>
    <row r="34154">
      <c r="A34154" s="17"/>
      <c r="H34154" s="18"/>
      <c r="K34154" s="18" t="s">
        <v>316</v>
      </c>
    </row>
    <row r="34155">
      <c r="A34155" s="17"/>
      <c r="H34155" s="18"/>
      <c r="K34155" s="18" t="s">
        <v>316</v>
      </c>
    </row>
    <row r="34156">
      <c r="A34156" s="17"/>
      <c r="H34156" s="18"/>
      <c r="K34156" s="18" t="s">
        <v>316</v>
      </c>
    </row>
    <row r="34157">
      <c r="A34157" s="17"/>
      <c r="H34157" s="18"/>
      <c r="K34157" s="18" t="s">
        <v>316</v>
      </c>
    </row>
    <row r="34158">
      <c r="A34158" s="17"/>
      <c r="H34158" s="18"/>
      <c r="K34158" s="18" t="s">
        <v>316</v>
      </c>
    </row>
    <row r="34159">
      <c r="A34159" s="17"/>
      <c r="H34159" s="18"/>
      <c r="K34159" s="18" t="s">
        <v>316</v>
      </c>
    </row>
    <row r="34160">
      <c r="A34160" s="17"/>
      <c r="H34160" s="18"/>
      <c r="K34160" s="18" t="s">
        <v>316</v>
      </c>
    </row>
    <row r="34161">
      <c r="A34161" s="17"/>
      <c r="H34161" s="18"/>
      <c r="K34161" s="18" t="s">
        <v>316</v>
      </c>
    </row>
    <row r="34162">
      <c r="A34162" s="17"/>
      <c r="H34162" s="18"/>
      <c r="K34162" s="18" t="s">
        <v>316</v>
      </c>
    </row>
    <row r="34163">
      <c r="A34163" s="17"/>
      <c r="H34163" s="18"/>
      <c r="K34163" s="18" t="s">
        <v>316</v>
      </c>
    </row>
    <row r="34164">
      <c r="A34164" s="17"/>
      <c r="H34164" s="18"/>
      <c r="K34164" s="18" t="s">
        <v>316</v>
      </c>
    </row>
    <row r="34165">
      <c r="A34165" s="17"/>
      <c r="H34165" s="18"/>
      <c r="K34165" s="18" t="s">
        <v>316</v>
      </c>
    </row>
    <row r="34166">
      <c r="A34166" s="17"/>
      <c r="H34166" s="18"/>
      <c r="K34166" s="18" t="s">
        <v>316</v>
      </c>
    </row>
    <row r="34167">
      <c r="A34167" s="17"/>
      <c r="H34167" s="18"/>
      <c r="K34167" s="18" t="s">
        <v>316</v>
      </c>
    </row>
    <row r="34168">
      <c r="A34168" s="17"/>
      <c r="H34168" s="18"/>
      <c r="K34168" s="18" t="s">
        <v>316</v>
      </c>
    </row>
    <row r="34169">
      <c r="A34169" s="17"/>
      <c r="H34169" s="18"/>
      <c r="K34169" s="18" t="s">
        <v>316</v>
      </c>
    </row>
    <row r="34170">
      <c r="A34170" s="17"/>
      <c r="H34170" s="18"/>
      <c r="K34170" s="18" t="s">
        <v>316</v>
      </c>
    </row>
    <row r="34171">
      <c r="A34171" s="17"/>
      <c r="H34171" s="18"/>
      <c r="K34171" s="18" t="s">
        <v>316</v>
      </c>
    </row>
    <row r="34172">
      <c r="A34172" s="17"/>
      <c r="H34172" s="18"/>
      <c r="K34172" s="18" t="s">
        <v>316</v>
      </c>
    </row>
    <row r="34173">
      <c r="A34173" s="17"/>
      <c r="H34173" s="18"/>
      <c r="K34173" s="18" t="s">
        <v>316</v>
      </c>
    </row>
    <row r="34174">
      <c r="A34174" s="17"/>
      <c r="H34174" s="18"/>
      <c r="K34174" s="18" t="s">
        <v>316</v>
      </c>
    </row>
    <row r="34175">
      <c r="A34175" s="17"/>
      <c r="H34175" s="18"/>
      <c r="K34175" s="18" t="s">
        <v>316</v>
      </c>
    </row>
    <row r="34176">
      <c r="A34176" s="17"/>
      <c r="H34176" s="18"/>
      <c r="K34176" s="18" t="s">
        <v>316</v>
      </c>
    </row>
    <row r="34177">
      <c r="A34177" s="17"/>
      <c r="H34177" s="18"/>
      <c r="K34177" s="18" t="s">
        <v>316</v>
      </c>
    </row>
    <row r="34178">
      <c r="A34178" s="17"/>
      <c r="H34178" s="18"/>
      <c r="K34178" s="18" t="s">
        <v>316</v>
      </c>
    </row>
    <row r="34179">
      <c r="A34179" s="17"/>
      <c r="H34179" s="18"/>
      <c r="K34179" s="18" t="s">
        <v>316</v>
      </c>
    </row>
    <row r="34180">
      <c r="A34180" s="17"/>
      <c r="H34180" s="18"/>
      <c r="K34180" s="18" t="s">
        <v>316</v>
      </c>
    </row>
    <row r="34181">
      <c r="A34181" s="17"/>
      <c r="H34181" s="18"/>
      <c r="K34181" s="18" t="s">
        <v>316</v>
      </c>
    </row>
    <row r="34182">
      <c r="A34182" s="17"/>
      <c r="H34182" s="18"/>
      <c r="K34182" s="18" t="s">
        <v>316</v>
      </c>
    </row>
    <row r="34183">
      <c r="A34183" s="17"/>
      <c r="H34183" s="18"/>
      <c r="K34183" s="18" t="s">
        <v>316</v>
      </c>
    </row>
    <row r="34184">
      <c r="A34184" s="17"/>
      <c r="H34184" s="18"/>
      <c r="K34184" s="18" t="s">
        <v>316</v>
      </c>
    </row>
    <row r="34185">
      <c r="A34185" s="17"/>
      <c r="H34185" s="18"/>
      <c r="K34185" s="18" t="s">
        <v>316</v>
      </c>
    </row>
    <row r="34186">
      <c r="A34186" s="17"/>
      <c r="H34186" s="18"/>
      <c r="K34186" s="18" t="s">
        <v>316</v>
      </c>
    </row>
    <row r="34187">
      <c r="A34187" s="17"/>
      <c r="H34187" s="18"/>
      <c r="K34187" s="18" t="s">
        <v>316</v>
      </c>
    </row>
    <row r="34188">
      <c r="A34188" s="17"/>
      <c r="H34188" s="18"/>
      <c r="K34188" s="18" t="s">
        <v>316</v>
      </c>
    </row>
    <row r="34189">
      <c r="A34189" s="17"/>
      <c r="H34189" s="18"/>
      <c r="K34189" s="18" t="s">
        <v>316</v>
      </c>
    </row>
    <row r="34190">
      <c r="A34190" s="17"/>
      <c r="H34190" s="18"/>
      <c r="K34190" s="18" t="s">
        <v>316</v>
      </c>
    </row>
    <row r="34191">
      <c r="A34191" s="17"/>
      <c r="H34191" s="18"/>
      <c r="K34191" s="18" t="s">
        <v>316</v>
      </c>
    </row>
    <row r="34192">
      <c r="A34192" s="17"/>
      <c r="H34192" s="18"/>
      <c r="K34192" s="18" t="s">
        <v>316</v>
      </c>
    </row>
    <row r="34193">
      <c r="A34193" s="17"/>
      <c r="H34193" s="18"/>
      <c r="K34193" s="18" t="s">
        <v>316</v>
      </c>
    </row>
    <row r="34194">
      <c r="A34194" s="17"/>
      <c r="H34194" s="18"/>
      <c r="K34194" s="18" t="s">
        <v>316</v>
      </c>
    </row>
    <row r="34195">
      <c r="A34195" s="17"/>
      <c r="H34195" s="18"/>
      <c r="K34195" s="18" t="s">
        <v>316</v>
      </c>
    </row>
    <row r="34196">
      <c r="A34196" s="17"/>
      <c r="H34196" s="18"/>
      <c r="K34196" s="18" t="s">
        <v>316</v>
      </c>
    </row>
    <row r="34197">
      <c r="A34197" s="17"/>
      <c r="H34197" s="18"/>
      <c r="K34197" s="18" t="s">
        <v>316</v>
      </c>
    </row>
    <row r="34198">
      <c r="A34198" s="17"/>
      <c r="H34198" s="18"/>
      <c r="K34198" s="18" t="s">
        <v>316</v>
      </c>
    </row>
    <row r="34199">
      <c r="A34199" s="17"/>
      <c r="H34199" s="18"/>
      <c r="K34199" s="18" t="s">
        <v>316</v>
      </c>
    </row>
    <row r="34200">
      <c r="A34200" s="17"/>
      <c r="H34200" s="18"/>
      <c r="K34200" s="18" t="s">
        <v>316</v>
      </c>
    </row>
    <row r="34201">
      <c r="A34201" s="17"/>
      <c r="H34201" s="18"/>
      <c r="K34201" s="18" t="s">
        <v>316</v>
      </c>
    </row>
    <row r="34202">
      <c r="A34202" s="17"/>
      <c r="H34202" s="18"/>
      <c r="K34202" s="18" t="s">
        <v>316</v>
      </c>
    </row>
    <row r="34203">
      <c r="A34203" s="17"/>
      <c r="H34203" s="18"/>
      <c r="K34203" s="18" t="s">
        <v>316</v>
      </c>
    </row>
    <row r="34204">
      <c r="A34204" s="17"/>
      <c r="H34204" s="18"/>
      <c r="K34204" s="18" t="s">
        <v>316</v>
      </c>
    </row>
    <row r="34205">
      <c r="A34205" s="17"/>
      <c r="H34205" s="18"/>
      <c r="K34205" s="18" t="s">
        <v>316</v>
      </c>
    </row>
    <row r="34206">
      <c r="A34206" s="17"/>
      <c r="H34206" s="18"/>
      <c r="K34206" s="18" t="s">
        <v>316</v>
      </c>
    </row>
    <row r="34207">
      <c r="A34207" s="17"/>
      <c r="H34207" s="18"/>
      <c r="K34207" s="18" t="s">
        <v>316</v>
      </c>
    </row>
    <row r="34208">
      <c r="A34208" s="17"/>
      <c r="H34208" s="18"/>
      <c r="K34208" s="18" t="s">
        <v>316</v>
      </c>
    </row>
    <row r="34209">
      <c r="A34209" s="17"/>
      <c r="H34209" s="18"/>
      <c r="K34209" s="18" t="s">
        <v>316</v>
      </c>
    </row>
    <row r="34210">
      <c r="A34210" s="17"/>
      <c r="H34210" s="18"/>
      <c r="K34210" s="18" t="s">
        <v>316</v>
      </c>
    </row>
    <row r="34211">
      <c r="A34211" s="17"/>
      <c r="H34211" s="18"/>
      <c r="K34211" s="18" t="s">
        <v>316</v>
      </c>
    </row>
    <row r="34212">
      <c r="A34212" s="17"/>
      <c r="H34212" s="18"/>
      <c r="K34212" s="18" t="s">
        <v>316</v>
      </c>
    </row>
    <row r="34213">
      <c r="A34213" s="17"/>
      <c r="H34213" s="18"/>
      <c r="K34213" s="18" t="s">
        <v>316</v>
      </c>
    </row>
    <row r="34214">
      <c r="A34214" s="17"/>
      <c r="H34214" s="18"/>
      <c r="K34214" s="18" t="s">
        <v>316</v>
      </c>
    </row>
    <row r="34215">
      <c r="A34215" s="17"/>
      <c r="H34215" s="18"/>
      <c r="K34215" s="18" t="s">
        <v>316</v>
      </c>
    </row>
    <row r="34216">
      <c r="A34216" s="17"/>
      <c r="H34216" s="18"/>
      <c r="K34216" s="18" t="s">
        <v>316</v>
      </c>
    </row>
    <row r="34217">
      <c r="A34217" s="17"/>
      <c r="H34217" s="18"/>
      <c r="K34217" s="18" t="s">
        <v>316</v>
      </c>
    </row>
    <row r="34218">
      <c r="A34218" s="17"/>
      <c r="H34218" s="18"/>
      <c r="K34218" s="18" t="s">
        <v>316</v>
      </c>
    </row>
    <row r="34219">
      <c r="A34219" s="17"/>
      <c r="H34219" s="18"/>
      <c r="K34219" s="18" t="s">
        <v>316</v>
      </c>
    </row>
    <row r="34220">
      <c r="A34220" s="17"/>
      <c r="H34220" s="18"/>
      <c r="K34220" s="18" t="s">
        <v>316</v>
      </c>
    </row>
    <row r="34221">
      <c r="A34221" s="17"/>
      <c r="H34221" s="18"/>
      <c r="K34221" s="18" t="s">
        <v>316</v>
      </c>
    </row>
    <row r="34222">
      <c r="A34222" s="17"/>
      <c r="H34222" s="18"/>
      <c r="K34222" s="18" t="s">
        <v>316</v>
      </c>
    </row>
    <row r="34223">
      <c r="A34223" s="17"/>
      <c r="H34223" s="18"/>
      <c r="K34223" s="18" t="s">
        <v>316</v>
      </c>
    </row>
    <row r="34224">
      <c r="A34224" s="17"/>
      <c r="H34224" s="18"/>
      <c r="K34224" s="18" t="s">
        <v>316</v>
      </c>
    </row>
    <row r="34225">
      <c r="A34225" s="17"/>
      <c r="H34225" s="18"/>
      <c r="K34225" s="18" t="s">
        <v>316</v>
      </c>
    </row>
    <row r="34226">
      <c r="A34226" s="17"/>
      <c r="H34226" s="18"/>
      <c r="K34226" s="18" t="s">
        <v>316</v>
      </c>
    </row>
    <row r="34227">
      <c r="A34227" s="17"/>
      <c r="H34227" s="18"/>
      <c r="K34227" s="18" t="s">
        <v>316</v>
      </c>
    </row>
    <row r="34228">
      <c r="A34228" s="17"/>
      <c r="H34228" s="18"/>
      <c r="K34228" s="18" t="s">
        <v>316</v>
      </c>
    </row>
    <row r="34229">
      <c r="A34229" s="17"/>
      <c r="H34229" s="18"/>
      <c r="K34229" s="18" t="s">
        <v>316</v>
      </c>
    </row>
    <row r="34230">
      <c r="A34230" s="17"/>
      <c r="H34230" s="18"/>
      <c r="K34230" s="18" t="s">
        <v>316</v>
      </c>
    </row>
    <row r="34231">
      <c r="A34231" s="17"/>
      <c r="H34231" s="18"/>
      <c r="K34231" s="18" t="s">
        <v>316</v>
      </c>
    </row>
    <row r="34232">
      <c r="A34232" s="17"/>
      <c r="H34232" s="18"/>
      <c r="K34232" s="18" t="s">
        <v>316</v>
      </c>
    </row>
    <row r="34233">
      <c r="A34233" s="17"/>
      <c r="H34233" s="18"/>
      <c r="K34233" s="18" t="s">
        <v>316</v>
      </c>
    </row>
    <row r="34234">
      <c r="A34234" s="17"/>
      <c r="H34234" s="18"/>
      <c r="K34234" s="18" t="s">
        <v>316</v>
      </c>
    </row>
    <row r="34235">
      <c r="A34235" s="17"/>
      <c r="H34235" s="18"/>
      <c r="K34235" s="18" t="s">
        <v>316</v>
      </c>
    </row>
    <row r="34236">
      <c r="A34236" s="17"/>
      <c r="H34236" s="18"/>
      <c r="K34236" s="18" t="s">
        <v>316</v>
      </c>
    </row>
    <row r="34237">
      <c r="A34237" s="17"/>
      <c r="H34237" s="18"/>
      <c r="K34237" s="18" t="s">
        <v>316</v>
      </c>
    </row>
    <row r="34238">
      <c r="A34238" s="17"/>
      <c r="H34238" s="18"/>
      <c r="K34238" s="18" t="s">
        <v>316</v>
      </c>
    </row>
    <row r="34239">
      <c r="A34239" s="17"/>
      <c r="H34239" s="18"/>
      <c r="K34239" s="18" t="s">
        <v>316</v>
      </c>
    </row>
    <row r="34240">
      <c r="A34240" s="17"/>
      <c r="H34240" s="18"/>
      <c r="K34240" s="18" t="s">
        <v>316</v>
      </c>
    </row>
    <row r="34241">
      <c r="A34241" s="17"/>
      <c r="H34241" s="18"/>
      <c r="K34241" s="18" t="s">
        <v>316</v>
      </c>
    </row>
    <row r="34242">
      <c r="A34242" s="17"/>
      <c r="H34242" s="18"/>
      <c r="K34242" s="18" t="s">
        <v>316</v>
      </c>
    </row>
    <row r="34243">
      <c r="A34243" s="17"/>
      <c r="H34243" s="18"/>
      <c r="K34243" s="18" t="s">
        <v>316</v>
      </c>
    </row>
    <row r="34244">
      <c r="A34244" s="17"/>
      <c r="H34244" s="18"/>
      <c r="K34244" s="18" t="s">
        <v>316</v>
      </c>
    </row>
    <row r="34245">
      <c r="A34245" s="17"/>
      <c r="H34245" s="18"/>
      <c r="K34245" s="18" t="s">
        <v>316</v>
      </c>
    </row>
    <row r="34246">
      <c r="A34246" s="17"/>
      <c r="H34246" s="18"/>
      <c r="K34246" s="18" t="s">
        <v>316</v>
      </c>
    </row>
    <row r="34247">
      <c r="A34247" s="17"/>
      <c r="H34247" s="18"/>
      <c r="K34247" s="18" t="s">
        <v>316</v>
      </c>
    </row>
    <row r="34248">
      <c r="A34248" s="17"/>
      <c r="H34248" s="18"/>
      <c r="K34248" s="18" t="s">
        <v>316</v>
      </c>
    </row>
    <row r="34249">
      <c r="A34249" s="17"/>
      <c r="H34249" s="18"/>
      <c r="K34249" s="18" t="s">
        <v>316</v>
      </c>
    </row>
    <row r="34250">
      <c r="A34250" s="17"/>
      <c r="H34250" s="18"/>
      <c r="K34250" s="18" t="s">
        <v>316</v>
      </c>
    </row>
    <row r="34251">
      <c r="A34251" s="17"/>
      <c r="H34251" s="18"/>
      <c r="K34251" s="18" t="s">
        <v>316</v>
      </c>
    </row>
    <row r="34252">
      <c r="A34252" s="17"/>
      <c r="H34252" s="18"/>
      <c r="K34252" s="18" t="s">
        <v>316</v>
      </c>
    </row>
    <row r="34253">
      <c r="A34253" s="17"/>
      <c r="H34253" s="18"/>
      <c r="K34253" s="18" t="s">
        <v>316</v>
      </c>
    </row>
    <row r="34254">
      <c r="A34254" s="17"/>
      <c r="H34254" s="18"/>
      <c r="K34254" s="18" t="s">
        <v>316</v>
      </c>
    </row>
    <row r="34255">
      <c r="A34255" s="17"/>
      <c r="H34255" s="18"/>
      <c r="K34255" s="18" t="s">
        <v>316</v>
      </c>
    </row>
    <row r="34256">
      <c r="A34256" s="17"/>
      <c r="H34256" s="18"/>
      <c r="K34256" s="18" t="s">
        <v>316</v>
      </c>
    </row>
    <row r="34257">
      <c r="A34257" s="17"/>
      <c r="H34257" s="18"/>
      <c r="K34257" s="18" t="s">
        <v>316</v>
      </c>
    </row>
    <row r="34258">
      <c r="A34258" s="17"/>
      <c r="H34258" s="18"/>
      <c r="K34258" s="18" t="s">
        <v>316</v>
      </c>
    </row>
    <row r="34259">
      <c r="A34259" s="17"/>
      <c r="H34259" s="18"/>
      <c r="K34259" s="18" t="s">
        <v>316</v>
      </c>
    </row>
    <row r="34260">
      <c r="A34260" s="17"/>
      <c r="H34260" s="18"/>
      <c r="K34260" s="18" t="s">
        <v>316</v>
      </c>
    </row>
    <row r="34261">
      <c r="A34261" s="17"/>
      <c r="H34261" s="18"/>
      <c r="K34261" s="18" t="s">
        <v>316</v>
      </c>
    </row>
    <row r="34262">
      <c r="A34262" s="17"/>
      <c r="H34262" s="18"/>
      <c r="K34262" s="18" t="s">
        <v>316</v>
      </c>
    </row>
    <row r="34263">
      <c r="A34263" s="17"/>
      <c r="H34263" s="18"/>
      <c r="K34263" s="18" t="s">
        <v>316</v>
      </c>
    </row>
    <row r="34264">
      <c r="A34264" s="17"/>
      <c r="H34264" s="18"/>
      <c r="K34264" s="18" t="s">
        <v>316</v>
      </c>
    </row>
    <row r="34265">
      <c r="A34265" s="17"/>
      <c r="H34265" s="18"/>
      <c r="K34265" s="18" t="s">
        <v>316</v>
      </c>
    </row>
    <row r="34266">
      <c r="A34266" s="17"/>
      <c r="H34266" s="18"/>
      <c r="K34266" s="18" t="s">
        <v>316</v>
      </c>
    </row>
    <row r="34267">
      <c r="A34267" s="17"/>
      <c r="H34267" s="18"/>
      <c r="K34267" s="18" t="s">
        <v>316</v>
      </c>
    </row>
    <row r="34268">
      <c r="A34268" s="17"/>
      <c r="H34268" s="18"/>
      <c r="K34268" s="18" t="s">
        <v>316</v>
      </c>
    </row>
    <row r="34269">
      <c r="A34269" s="17"/>
      <c r="H34269" s="18"/>
      <c r="K34269" s="18" t="s">
        <v>316</v>
      </c>
    </row>
    <row r="34270">
      <c r="A34270" s="17"/>
      <c r="H34270" s="18"/>
      <c r="K34270" s="18" t="s">
        <v>316</v>
      </c>
    </row>
    <row r="34271">
      <c r="A34271" s="17"/>
      <c r="H34271" s="18"/>
      <c r="K34271" s="18" t="s">
        <v>316</v>
      </c>
    </row>
    <row r="34272">
      <c r="A34272" s="17"/>
      <c r="H34272" s="18"/>
      <c r="K34272" s="18" t="s">
        <v>316</v>
      </c>
    </row>
    <row r="34273">
      <c r="A34273" s="17"/>
      <c r="H34273" s="18"/>
      <c r="K34273" s="18" t="s">
        <v>316</v>
      </c>
    </row>
    <row r="34274">
      <c r="A34274" s="17"/>
      <c r="H34274" s="18"/>
      <c r="K34274" s="18" t="s">
        <v>316</v>
      </c>
    </row>
    <row r="34275">
      <c r="A34275" s="17"/>
      <c r="H34275" s="18"/>
      <c r="K34275" s="18" t="s">
        <v>316</v>
      </c>
    </row>
    <row r="34276">
      <c r="A34276" s="17"/>
      <c r="H34276" s="18"/>
      <c r="K34276" s="18" t="s">
        <v>316</v>
      </c>
    </row>
    <row r="34277">
      <c r="A34277" s="17"/>
      <c r="H34277" s="18"/>
      <c r="K34277" s="18" t="s">
        <v>316</v>
      </c>
    </row>
    <row r="34278">
      <c r="A34278" s="17"/>
      <c r="H34278" s="18"/>
      <c r="K34278" s="18" t="s">
        <v>316</v>
      </c>
    </row>
    <row r="34279">
      <c r="A34279" s="17"/>
      <c r="H34279" s="18"/>
      <c r="K34279" s="18" t="s">
        <v>316</v>
      </c>
    </row>
    <row r="34280">
      <c r="A34280" s="17"/>
      <c r="H34280" s="18"/>
      <c r="K34280" s="18" t="s">
        <v>316</v>
      </c>
    </row>
    <row r="34281">
      <c r="A34281" s="17"/>
      <c r="H34281" s="18"/>
      <c r="K34281" s="18" t="s">
        <v>316</v>
      </c>
    </row>
    <row r="34282">
      <c r="A34282" s="17"/>
      <c r="H34282" s="18"/>
      <c r="K34282" s="18" t="s">
        <v>316</v>
      </c>
    </row>
    <row r="34283">
      <c r="A34283" s="17"/>
      <c r="H34283" s="18"/>
      <c r="K34283" s="18" t="s">
        <v>316</v>
      </c>
    </row>
    <row r="34284">
      <c r="A34284" s="17"/>
      <c r="H34284" s="18"/>
      <c r="K34284" s="18" t="s">
        <v>316</v>
      </c>
    </row>
    <row r="34285">
      <c r="A34285" s="17"/>
      <c r="H34285" s="18"/>
      <c r="K34285" s="18" t="s">
        <v>316</v>
      </c>
    </row>
    <row r="34286">
      <c r="A34286" s="17"/>
      <c r="H34286" s="18"/>
      <c r="K34286" s="18" t="s">
        <v>316</v>
      </c>
    </row>
    <row r="34287">
      <c r="A34287" s="17"/>
      <c r="H34287" s="18"/>
      <c r="K34287" s="18" t="s">
        <v>316</v>
      </c>
    </row>
    <row r="34288">
      <c r="A34288" s="17"/>
      <c r="H34288" s="18"/>
      <c r="K34288" s="18" t="s">
        <v>316</v>
      </c>
    </row>
    <row r="34289">
      <c r="A34289" s="17"/>
      <c r="H34289" s="18"/>
      <c r="K34289" s="18" t="s">
        <v>316</v>
      </c>
    </row>
    <row r="34290">
      <c r="A34290" s="17"/>
      <c r="H34290" s="18"/>
      <c r="K34290" s="18" t="s">
        <v>316</v>
      </c>
    </row>
    <row r="34291">
      <c r="A34291" s="17"/>
      <c r="H34291" s="18"/>
      <c r="K34291" s="18" t="s">
        <v>316</v>
      </c>
    </row>
    <row r="34292">
      <c r="A34292" s="17"/>
      <c r="H34292" s="18"/>
      <c r="K34292" s="18" t="s">
        <v>316</v>
      </c>
    </row>
    <row r="34293">
      <c r="A34293" s="17"/>
      <c r="H34293" s="18"/>
      <c r="K34293" s="18" t="s">
        <v>316</v>
      </c>
    </row>
    <row r="34294">
      <c r="A34294" s="17"/>
      <c r="H34294" s="18"/>
      <c r="K34294" s="18" t="s">
        <v>316</v>
      </c>
    </row>
    <row r="34295">
      <c r="A34295" s="17"/>
      <c r="H34295" s="18"/>
      <c r="K34295" s="18" t="s">
        <v>316</v>
      </c>
    </row>
    <row r="34296">
      <c r="A34296" s="17"/>
      <c r="H34296" s="18"/>
      <c r="K34296" s="18" t="s">
        <v>316</v>
      </c>
    </row>
    <row r="34297">
      <c r="A34297" s="17"/>
      <c r="H34297" s="18"/>
      <c r="K34297" s="18" t="s">
        <v>316</v>
      </c>
    </row>
    <row r="34298">
      <c r="A34298" s="17"/>
      <c r="H34298" s="18"/>
      <c r="K34298" s="18" t="s">
        <v>316</v>
      </c>
    </row>
    <row r="34299">
      <c r="A34299" s="17"/>
      <c r="H34299" s="18"/>
      <c r="K34299" s="18" t="s">
        <v>316</v>
      </c>
    </row>
    <row r="34300">
      <c r="A34300" s="17"/>
      <c r="H34300" s="18"/>
      <c r="K34300" s="18" t="s">
        <v>316</v>
      </c>
    </row>
    <row r="34301">
      <c r="A34301" s="17"/>
      <c r="H34301" s="18"/>
      <c r="K34301" s="18" t="s">
        <v>316</v>
      </c>
    </row>
    <row r="34302">
      <c r="A34302" s="17"/>
      <c r="H34302" s="18"/>
      <c r="K34302" s="18" t="s">
        <v>316</v>
      </c>
    </row>
    <row r="34303">
      <c r="A34303" s="17"/>
      <c r="H34303" s="18"/>
      <c r="K34303" s="18" t="s">
        <v>316</v>
      </c>
    </row>
    <row r="34304">
      <c r="A34304" s="17"/>
      <c r="H34304" s="18"/>
      <c r="K34304" s="18" t="s">
        <v>316</v>
      </c>
    </row>
    <row r="34305">
      <c r="A34305" s="17"/>
      <c r="H34305" s="18"/>
      <c r="K34305" s="18" t="s">
        <v>316</v>
      </c>
    </row>
    <row r="34306">
      <c r="A34306" s="17"/>
      <c r="H34306" s="18"/>
      <c r="K34306" s="18" t="s">
        <v>316</v>
      </c>
    </row>
    <row r="34307">
      <c r="A34307" s="17"/>
      <c r="H34307" s="18"/>
      <c r="K34307" s="18" t="s">
        <v>316</v>
      </c>
    </row>
    <row r="34308">
      <c r="A34308" s="17"/>
      <c r="H34308" s="18"/>
      <c r="K34308" s="18" t="s">
        <v>316</v>
      </c>
    </row>
    <row r="34309">
      <c r="A34309" s="17"/>
      <c r="H34309" s="18"/>
      <c r="K34309" s="18" t="s">
        <v>316</v>
      </c>
    </row>
    <row r="34310">
      <c r="A34310" s="17"/>
      <c r="H34310" s="18"/>
      <c r="K34310" s="18" t="s">
        <v>316</v>
      </c>
    </row>
    <row r="34311">
      <c r="A34311" s="17"/>
      <c r="H34311" s="18"/>
      <c r="K34311" s="18" t="s">
        <v>316</v>
      </c>
    </row>
    <row r="34312">
      <c r="A34312" s="17"/>
      <c r="H34312" s="18"/>
      <c r="K34312" s="18" t="s">
        <v>316</v>
      </c>
    </row>
    <row r="34313">
      <c r="A34313" s="17"/>
      <c r="H34313" s="18"/>
      <c r="K34313" s="18" t="s">
        <v>316</v>
      </c>
    </row>
    <row r="34314">
      <c r="A34314" s="17"/>
      <c r="H34314" s="18"/>
      <c r="K34314" s="18" t="s">
        <v>316</v>
      </c>
    </row>
    <row r="34315">
      <c r="A34315" s="17"/>
      <c r="H34315" s="18"/>
      <c r="K34315" s="18" t="s">
        <v>316</v>
      </c>
    </row>
    <row r="34316">
      <c r="A34316" s="17"/>
      <c r="H34316" s="18"/>
      <c r="K34316" s="18" t="s">
        <v>316</v>
      </c>
    </row>
    <row r="34317">
      <c r="A34317" s="17"/>
      <c r="H34317" s="18"/>
      <c r="K34317" s="18" t="s">
        <v>316</v>
      </c>
    </row>
    <row r="34318">
      <c r="A34318" s="17"/>
      <c r="H34318" s="18"/>
      <c r="K34318" s="18" t="s">
        <v>316</v>
      </c>
    </row>
    <row r="34319">
      <c r="A34319" s="17"/>
      <c r="H34319" s="18"/>
      <c r="K34319" s="18" t="s">
        <v>316</v>
      </c>
    </row>
    <row r="34320">
      <c r="A34320" s="17"/>
      <c r="H34320" s="18"/>
      <c r="K34320" s="18" t="s">
        <v>316</v>
      </c>
    </row>
    <row r="34321">
      <c r="A34321" s="17"/>
      <c r="H34321" s="18"/>
      <c r="K34321" s="18" t="s">
        <v>316</v>
      </c>
    </row>
    <row r="34322">
      <c r="A34322" s="17"/>
      <c r="H34322" s="18"/>
      <c r="K34322" s="18" t="s">
        <v>316</v>
      </c>
    </row>
    <row r="34323">
      <c r="A34323" s="17"/>
      <c r="H34323" s="18"/>
      <c r="K34323" s="18" t="s">
        <v>316</v>
      </c>
    </row>
    <row r="34324">
      <c r="A34324" s="17"/>
      <c r="H34324" s="18"/>
      <c r="K34324" s="18" t="s">
        <v>316</v>
      </c>
    </row>
    <row r="34325">
      <c r="A34325" s="17"/>
      <c r="H34325" s="18"/>
      <c r="K34325" s="18" t="s">
        <v>316</v>
      </c>
    </row>
    <row r="34326">
      <c r="A34326" s="17"/>
      <c r="H34326" s="18"/>
      <c r="K34326" s="18" t="s">
        <v>316</v>
      </c>
    </row>
    <row r="34327">
      <c r="A34327" s="17"/>
      <c r="H34327" s="18"/>
      <c r="K34327" s="18" t="s">
        <v>316</v>
      </c>
    </row>
    <row r="34328">
      <c r="A34328" s="17"/>
      <c r="H34328" s="18"/>
      <c r="K34328" s="18" t="s">
        <v>316</v>
      </c>
    </row>
    <row r="34329">
      <c r="A34329" s="17"/>
      <c r="H34329" s="18"/>
      <c r="K34329" s="18" t="s">
        <v>316</v>
      </c>
    </row>
    <row r="34330">
      <c r="A34330" s="17"/>
      <c r="H34330" s="18"/>
      <c r="K34330" s="18" t="s">
        <v>316</v>
      </c>
    </row>
    <row r="34331">
      <c r="A34331" s="17"/>
      <c r="H34331" s="18"/>
      <c r="K34331" s="18" t="s">
        <v>316</v>
      </c>
    </row>
    <row r="34332">
      <c r="A34332" s="17"/>
      <c r="H34332" s="18"/>
      <c r="K34332" s="18" t="s">
        <v>316</v>
      </c>
    </row>
    <row r="34333">
      <c r="A34333" s="17"/>
      <c r="H34333" s="18"/>
      <c r="K34333" s="18" t="s">
        <v>316</v>
      </c>
    </row>
    <row r="34334">
      <c r="A34334" s="17"/>
      <c r="H34334" s="18"/>
      <c r="K34334" s="18" t="s">
        <v>316</v>
      </c>
    </row>
    <row r="34335">
      <c r="A34335" s="17"/>
      <c r="H34335" s="18"/>
      <c r="K34335" s="18" t="s">
        <v>316</v>
      </c>
    </row>
    <row r="34336">
      <c r="A34336" s="17"/>
      <c r="H34336" s="18"/>
      <c r="K34336" s="18" t="s">
        <v>316</v>
      </c>
    </row>
    <row r="34337">
      <c r="A34337" s="17"/>
      <c r="H34337" s="18"/>
      <c r="K34337" s="18" t="s">
        <v>316</v>
      </c>
    </row>
    <row r="34338">
      <c r="A34338" s="17"/>
      <c r="H34338" s="18"/>
      <c r="K34338" s="18" t="s">
        <v>316</v>
      </c>
    </row>
    <row r="34339">
      <c r="A34339" s="17"/>
      <c r="H34339" s="18"/>
      <c r="K34339" s="18" t="s">
        <v>316</v>
      </c>
    </row>
    <row r="34340">
      <c r="A34340" s="17"/>
      <c r="H34340" s="18"/>
      <c r="K34340" s="18" t="s">
        <v>316</v>
      </c>
    </row>
    <row r="34341">
      <c r="A34341" s="17"/>
      <c r="H34341" s="18"/>
      <c r="K34341" s="18" t="s">
        <v>316</v>
      </c>
    </row>
    <row r="34342">
      <c r="A34342" s="17"/>
      <c r="H34342" s="18"/>
      <c r="K34342" s="18" t="s">
        <v>316</v>
      </c>
    </row>
    <row r="34343">
      <c r="A34343" s="17"/>
      <c r="H34343" s="18"/>
      <c r="K34343" s="18" t="s">
        <v>316</v>
      </c>
    </row>
    <row r="34344">
      <c r="A34344" s="17"/>
      <c r="H34344" s="18"/>
      <c r="K34344" s="18" t="s">
        <v>316</v>
      </c>
    </row>
    <row r="34345">
      <c r="A34345" s="17"/>
      <c r="H34345" s="18"/>
      <c r="K34345" s="18" t="s">
        <v>316</v>
      </c>
    </row>
    <row r="34346">
      <c r="A34346" s="17"/>
      <c r="H34346" s="18"/>
      <c r="K34346" s="18" t="s">
        <v>316</v>
      </c>
    </row>
    <row r="34347">
      <c r="A34347" s="17"/>
      <c r="H34347" s="18"/>
      <c r="K34347" s="18" t="s">
        <v>316</v>
      </c>
    </row>
    <row r="34348">
      <c r="A34348" s="17"/>
      <c r="H34348" s="18"/>
      <c r="K34348" s="18" t="s">
        <v>316</v>
      </c>
    </row>
    <row r="34349">
      <c r="A34349" s="17"/>
      <c r="H34349" s="18"/>
      <c r="K34349" s="18" t="s">
        <v>316</v>
      </c>
    </row>
    <row r="34350">
      <c r="A34350" s="17"/>
      <c r="H34350" s="18"/>
      <c r="K34350" s="18" t="s">
        <v>316</v>
      </c>
    </row>
    <row r="34351">
      <c r="A34351" s="17"/>
      <c r="H34351" s="18"/>
      <c r="K34351" s="18" t="s">
        <v>316</v>
      </c>
    </row>
    <row r="34352">
      <c r="A34352" s="17"/>
      <c r="H34352" s="18"/>
      <c r="K34352" s="18" t="s">
        <v>316</v>
      </c>
    </row>
    <row r="34353">
      <c r="A34353" s="17"/>
      <c r="H34353" s="18"/>
      <c r="K34353" s="18" t="s">
        <v>316</v>
      </c>
    </row>
    <row r="34354">
      <c r="A34354" s="17"/>
      <c r="H34354" s="18"/>
      <c r="K34354" s="18" t="s">
        <v>316</v>
      </c>
    </row>
    <row r="34355">
      <c r="A34355" s="17"/>
      <c r="H34355" s="18"/>
      <c r="K34355" s="18" t="s">
        <v>316</v>
      </c>
    </row>
    <row r="34356">
      <c r="A34356" s="17"/>
      <c r="H34356" s="18"/>
      <c r="K34356" s="18" t="s">
        <v>316</v>
      </c>
    </row>
    <row r="34357">
      <c r="A34357" s="17"/>
      <c r="H34357" s="18"/>
      <c r="K34357" s="18" t="s">
        <v>316</v>
      </c>
    </row>
    <row r="34358">
      <c r="A34358" s="17"/>
      <c r="H34358" s="18"/>
      <c r="K34358" s="18" t="s">
        <v>316</v>
      </c>
    </row>
    <row r="34359">
      <c r="A34359" s="17"/>
      <c r="H34359" s="18"/>
      <c r="K34359" s="18" t="s">
        <v>316</v>
      </c>
    </row>
    <row r="34360">
      <c r="A34360" s="17"/>
      <c r="H34360" s="18"/>
      <c r="K34360" s="18" t="s">
        <v>316</v>
      </c>
    </row>
    <row r="34361">
      <c r="A34361" s="17"/>
      <c r="H34361" s="18"/>
      <c r="K34361" s="18" t="s">
        <v>316</v>
      </c>
    </row>
    <row r="34362">
      <c r="A34362" s="17"/>
      <c r="H34362" s="18"/>
      <c r="K34362" s="18" t="s">
        <v>316</v>
      </c>
    </row>
    <row r="34363">
      <c r="A34363" s="17"/>
      <c r="H34363" s="18"/>
      <c r="K34363" s="18" t="s">
        <v>316</v>
      </c>
    </row>
    <row r="34364">
      <c r="A34364" s="17"/>
      <c r="H34364" s="18"/>
      <c r="K34364" s="18" t="s">
        <v>316</v>
      </c>
    </row>
    <row r="34365">
      <c r="A34365" s="17"/>
      <c r="H34365" s="18"/>
      <c r="K34365" s="18" t="s">
        <v>316</v>
      </c>
    </row>
    <row r="34366">
      <c r="A34366" s="17"/>
      <c r="H34366" s="18"/>
      <c r="K34366" s="18" t="s">
        <v>316</v>
      </c>
    </row>
    <row r="34367">
      <c r="A34367" s="17"/>
      <c r="H34367" s="18"/>
      <c r="K34367" s="18" t="s">
        <v>316</v>
      </c>
    </row>
    <row r="34368">
      <c r="A34368" s="17"/>
      <c r="H34368" s="18"/>
      <c r="K34368" s="18" t="s">
        <v>316</v>
      </c>
    </row>
    <row r="34369">
      <c r="A34369" s="17"/>
      <c r="H34369" s="18"/>
      <c r="K34369" s="18" t="s">
        <v>316</v>
      </c>
    </row>
    <row r="34370">
      <c r="A34370" s="17"/>
      <c r="H34370" s="18"/>
      <c r="K34370" s="18" t="s">
        <v>316</v>
      </c>
    </row>
    <row r="34371">
      <c r="A34371" s="17"/>
      <c r="H34371" s="18"/>
      <c r="K34371" s="18" t="s">
        <v>316</v>
      </c>
    </row>
    <row r="34372">
      <c r="A34372" s="17"/>
      <c r="H34372" s="18"/>
      <c r="K34372" s="18" t="s">
        <v>316</v>
      </c>
    </row>
    <row r="34373">
      <c r="A34373" s="17"/>
      <c r="H34373" s="18"/>
      <c r="K34373" s="18" t="s">
        <v>316</v>
      </c>
    </row>
    <row r="34374">
      <c r="A34374" s="17"/>
      <c r="H34374" s="18"/>
      <c r="K34374" s="18" t="s">
        <v>316</v>
      </c>
    </row>
    <row r="34375">
      <c r="A34375" s="17"/>
      <c r="H34375" s="18"/>
      <c r="K34375" s="18" t="s">
        <v>316</v>
      </c>
    </row>
    <row r="34376">
      <c r="A34376" s="17"/>
      <c r="H34376" s="18"/>
      <c r="K34376" s="18" t="s">
        <v>316</v>
      </c>
    </row>
    <row r="34377">
      <c r="A34377" s="17"/>
      <c r="H34377" s="18"/>
      <c r="K34377" s="18" t="s">
        <v>316</v>
      </c>
    </row>
    <row r="34378">
      <c r="A34378" s="17"/>
      <c r="H34378" s="18"/>
      <c r="K34378" s="18" t="s">
        <v>316</v>
      </c>
    </row>
    <row r="34379">
      <c r="A34379" s="17"/>
      <c r="H34379" s="18"/>
      <c r="K34379" s="18" t="s">
        <v>316</v>
      </c>
    </row>
    <row r="34380">
      <c r="A34380" s="17"/>
      <c r="H34380" s="18"/>
      <c r="K34380" s="18" t="s">
        <v>316</v>
      </c>
    </row>
    <row r="34381">
      <c r="A34381" s="17"/>
      <c r="H34381" s="18"/>
      <c r="K34381" s="18" t="s">
        <v>316</v>
      </c>
    </row>
    <row r="34382">
      <c r="A34382" s="17"/>
      <c r="H34382" s="18"/>
      <c r="K34382" s="18" t="s">
        <v>316</v>
      </c>
    </row>
    <row r="34383">
      <c r="A34383" s="17"/>
      <c r="H34383" s="18"/>
      <c r="K34383" s="18" t="s">
        <v>316</v>
      </c>
    </row>
    <row r="34384">
      <c r="A34384" s="17"/>
      <c r="H34384" s="18"/>
      <c r="K34384" s="18" t="s">
        <v>316</v>
      </c>
    </row>
    <row r="34385">
      <c r="A34385" s="17"/>
      <c r="H34385" s="18"/>
      <c r="K34385" s="18" t="s">
        <v>316</v>
      </c>
    </row>
    <row r="34386">
      <c r="A34386" s="17"/>
      <c r="H34386" s="18"/>
      <c r="K34386" s="18" t="s">
        <v>316</v>
      </c>
    </row>
    <row r="34387">
      <c r="A34387" s="17"/>
      <c r="H34387" s="18"/>
      <c r="K34387" s="18" t="s">
        <v>316</v>
      </c>
    </row>
    <row r="34388">
      <c r="A34388" s="17"/>
      <c r="H34388" s="18"/>
      <c r="K34388" s="18" t="s">
        <v>316</v>
      </c>
    </row>
    <row r="34389">
      <c r="A34389" s="17"/>
      <c r="H34389" s="18"/>
      <c r="K34389" s="18" t="s">
        <v>316</v>
      </c>
    </row>
    <row r="34390">
      <c r="A34390" s="17"/>
      <c r="H34390" s="18"/>
      <c r="K34390" s="18" t="s">
        <v>316</v>
      </c>
    </row>
    <row r="34391">
      <c r="A34391" s="17"/>
      <c r="H34391" s="18"/>
      <c r="K34391" s="18" t="s">
        <v>316</v>
      </c>
    </row>
    <row r="34392">
      <c r="A34392" s="17"/>
      <c r="H34392" s="18"/>
      <c r="K34392" s="18" t="s">
        <v>316</v>
      </c>
    </row>
    <row r="34393">
      <c r="A34393" s="17"/>
      <c r="H34393" s="18"/>
      <c r="K34393" s="18" t="s">
        <v>316</v>
      </c>
    </row>
    <row r="34394">
      <c r="A34394" s="17"/>
      <c r="H34394" s="18"/>
      <c r="K34394" s="18" t="s">
        <v>316</v>
      </c>
    </row>
    <row r="34395">
      <c r="A34395" s="17"/>
      <c r="H34395" s="18"/>
      <c r="K34395" s="18" t="s">
        <v>316</v>
      </c>
    </row>
    <row r="34396">
      <c r="A34396" s="17"/>
      <c r="H34396" s="18"/>
      <c r="K34396" s="18" t="s">
        <v>316</v>
      </c>
    </row>
    <row r="34397">
      <c r="A34397" s="17"/>
      <c r="H34397" s="18"/>
      <c r="K34397" s="18" t="s">
        <v>316</v>
      </c>
    </row>
    <row r="34398">
      <c r="A34398" s="17"/>
      <c r="H34398" s="18"/>
      <c r="K34398" s="18" t="s">
        <v>316</v>
      </c>
    </row>
    <row r="34399">
      <c r="A34399" s="17"/>
      <c r="H34399" s="18"/>
      <c r="K34399" s="18" t="s">
        <v>316</v>
      </c>
    </row>
    <row r="34400">
      <c r="A34400" s="17"/>
      <c r="H34400" s="18"/>
      <c r="K34400" s="18" t="s">
        <v>316</v>
      </c>
    </row>
    <row r="34401">
      <c r="A34401" s="17"/>
      <c r="H34401" s="18"/>
      <c r="K34401" s="18" t="s">
        <v>316</v>
      </c>
    </row>
    <row r="34402">
      <c r="A34402" s="17"/>
      <c r="H34402" s="18"/>
      <c r="K34402" s="18" t="s">
        <v>316</v>
      </c>
    </row>
    <row r="34403">
      <c r="A34403" s="17"/>
      <c r="H34403" s="18"/>
      <c r="K34403" s="18" t="s">
        <v>316</v>
      </c>
    </row>
    <row r="34404">
      <c r="A34404" s="17"/>
      <c r="H34404" s="18"/>
      <c r="K34404" s="18" t="s">
        <v>316</v>
      </c>
    </row>
    <row r="34405">
      <c r="A34405" s="17"/>
      <c r="H34405" s="18"/>
      <c r="K34405" s="18" t="s">
        <v>316</v>
      </c>
    </row>
    <row r="34406">
      <c r="A34406" s="17"/>
      <c r="H34406" s="18"/>
      <c r="K34406" s="18" t="s">
        <v>316</v>
      </c>
    </row>
    <row r="34407">
      <c r="A34407" s="17"/>
      <c r="H34407" s="18"/>
      <c r="K34407" s="18" t="s">
        <v>316</v>
      </c>
    </row>
    <row r="34408">
      <c r="A34408" s="17"/>
      <c r="H34408" s="18"/>
      <c r="K34408" s="18" t="s">
        <v>316</v>
      </c>
    </row>
    <row r="34409">
      <c r="A34409" s="17"/>
      <c r="H34409" s="18"/>
      <c r="K34409" s="18" t="s">
        <v>316</v>
      </c>
    </row>
    <row r="34410">
      <c r="A34410" s="17"/>
      <c r="H34410" s="18"/>
      <c r="K34410" s="18" t="s">
        <v>316</v>
      </c>
    </row>
    <row r="34411">
      <c r="A34411" s="17"/>
      <c r="H34411" s="18"/>
      <c r="K34411" s="18" t="s">
        <v>316</v>
      </c>
    </row>
    <row r="34412">
      <c r="A34412" s="17"/>
      <c r="H34412" s="18"/>
      <c r="K34412" s="18" t="s">
        <v>316</v>
      </c>
    </row>
    <row r="34413">
      <c r="A34413" s="17"/>
      <c r="H34413" s="18"/>
      <c r="K34413" s="18" t="s">
        <v>316</v>
      </c>
    </row>
    <row r="34414">
      <c r="A34414" s="17"/>
      <c r="H34414" s="18"/>
      <c r="K34414" s="18" t="s">
        <v>316</v>
      </c>
    </row>
    <row r="34415">
      <c r="A34415" s="17"/>
      <c r="H34415" s="18"/>
      <c r="K34415" s="18" t="s">
        <v>316</v>
      </c>
    </row>
    <row r="34416">
      <c r="A34416" s="17"/>
      <c r="H34416" s="18"/>
      <c r="K34416" s="18" t="s">
        <v>316</v>
      </c>
    </row>
    <row r="34417">
      <c r="A34417" s="17"/>
      <c r="H34417" s="18"/>
      <c r="K34417" s="18" t="s">
        <v>316</v>
      </c>
    </row>
    <row r="34418">
      <c r="A34418" s="17"/>
      <c r="H34418" s="18"/>
      <c r="K34418" s="18" t="s">
        <v>316</v>
      </c>
    </row>
    <row r="34419">
      <c r="A34419" s="17"/>
      <c r="H34419" s="18"/>
      <c r="K34419" s="18" t="s">
        <v>316</v>
      </c>
    </row>
    <row r="34420">
      <c r="A34420" s="17"/>
      <c r="H34420" s="18"/>
      <c r="K34420" s="18" t="s">
        <v>316</v>
      </c>
    </row>
    <row r="34421">
      <c r="A34421" s="17"/>
      <c r="H34421" s="18"/>
      <c r="K34421" s="18" t="s">
        <v>316</v>
      </c>
    </row>
    <row r="34422">
      <c r="A34422" s="17"/>
      <c r="H34422" s="18"/>
      <c r="K34422" s="18" t="s">
        <v>316</v>
      </c>
    </row>
    <row r="34423">
      <c r="A34423" s="17"/>
      <c r="H34423" s="18"/>
      <c r="K34423" s="18" t="s">
        <v>316</v>
      </c>
    </row>
    <row r="34424">
      <c r="A34424" s="17"/>
      <c r="H34424" s="18"/>
      <c r="K34424" s="18" t="s">
        <v>316</v>
      </c>
    </row>
    <row r="34425">
      <c r="A34425" s="17"/>
      <c r="H34425" s="18"/>
      <c r="K34425" s="18" t="s">
        <v>316</v>
      </c>
    </row>
    <row r="34426">
      <c r="A34426" s="17"/>
      <c r="H34426" s="18"/>
      <c r="K34426" s="18" t="s">
        <v>316</v>
      </c>
    </row>
    <row r="34427">
      <c r="A34427" s="17"/>
      <c r="H34427" s="18"/>
      <c r="K34427" s="18" t="s">
        <v>316</v>
      </c>
    </row>
    <row r="34428">
      <c r="A34428" s="17"/>
      <c r="H34428" s="18"/>
      <c r="K34428" s="18" t="s">
        <v>316</v>
      </c>
    </row>
    <row r="34429">
      <c r="A34429" s="17"/>
      <c r="H34429" s="18"/>
      <c r="K34429" s="18" t="s">
        <v>316</v>
      </c>
    </row>
    <row r="34430">
      <c r="A34430" s="17"/>
      <c r="H34430" s="18"/>
      <c r="K34430" s="18" t="s">
        <v>316</v>
      </c>
    </row>
    <row r="34431">
      <c r="A34431" s="17"/>
      <c r="H34431" s="18"/>
      <c r="K34431" s="18" t="s">
        <v>316</v>
      </c>
    </row>
    <row r="34432">
      <c r="A34432" s="17"/>
      <c r="H34432" s="18"/>
      <c r="K34432" s="18" t="s">
        <v>316</v>
      </c>
    </row>
    <row r="34433">
      <c r="A34433" s="17"/>
      <c r="H34433" s="18"/>
      <c r="K34433" s="18" t="s">
        <v>316</v>
      </c>
    </row>
    <row r="34434">
      <c r="A34434" s="17"/>
      <c r="H34434" s="18"/>
      <c r="K34434" s="18" t="s">
        <v>316</v>
      </c>
    </row>
    <row r="34435">
      <c r="A34435" s="17"/>
      <c r="H34435" s="18"/>
      <c r="K34435" s="18" t="s">
        <v>316</v>
      </c>
    </row>
    <row r="34436">
      <c r="A34436" s="17"/>
      <c r="H34436" s="18"/>
      <c r="K34436" s="18" t="s">
        <v>316</v>
      </c>
    </row>
    <row r="34437">
      <c r="A34437" s="17"/>
      <c r="H34437" s="18"/>
      <c r="K34437" s="18" t="s">
        <v>316</v>
      </c>
    </row>
    <row r="34438">
      <c r="A34438" s="17"/>
      <c r="H34438" s="18"/>
      <c r="K34438" s="18" t="s">
        <v>316</v>
      </c>
    </row>
    <row r="34439">
      <c r="A34439" s="17"/>
      <c r="H34439" s="18"/>
      <c r="K34439" s="18" t="s">
        <v>316</v>
      </c>
    </row>
    <row r="34440">
      <c r="A34440" s="17"/>
      <c r="H34440" s="18"/>
      <c r="K34440" s="18" t="s">
        <v>316</v>
      </c>
    </row>
    <row r="34441">
      <c r="A34441" s="17"/>
      <c r="H34441" s="18"/>
      <c r="K34441" s="18" t="s">
        <v>316</v>
      </c>
    </row>
    <row r="34442">
      <c r="A34442" s="17"/>
      <c r="H34442" s="18"/>
      <c r="K34442" s="18" t="s">
        <v>316</v>
      </c>
    </row>
    <row r="34443">
      <c r="A34443" s="17"/>
      <c r="H34443" s="18"/>
      <c r="K34443" s="18" t="s">
        <v>316</v>
      </c>
    </row>
    <row r="34444">
      <c r="A34444" s="17"/>
      <c r="H34444" s="18"/>
      <c r="K34444" s="18" t="s">
        <v>316</v>
      </c>
    </row>
    <row r="34445">
      <c r="A34445" s="17"/>
      <c r="H34445" s="18"/>
      <c r="K34445" s="18" t="s">
        <v>316</v>
      </c>
    </row>
    <row r="34446">
      <c r="A34446" s="17"/>
      <c r="H34446" s="18"/>
      <c r="K34446" s="18" t="s">
        <v>316</v>
      </c>
    </row>
    <row r="34447">
      <c r="A34447" s="17"/>
      <c r="H34447" s="18"/>
      <c r="K34447" s="18" t="s">
        <v>316</v>
      </c>
    </row>
    <row r="34448">
      <c r="A34448" s="17"/>
      <c r="H34448" s="18"/>
      <c r="K34448" s="18" t="s">
        <v>316</v>
      </c>
    </row>
    <row r="34449">
      <c r="A34449" s="17"/>
      <c r="H34449" s="18"/>
      <c r="K34449" s="18" t="s">
        <v>316</v>
      </c>
    </row>
    <row r="34450">
      <c r="A34450" s="17"/>
      <c r="H34450" s="18"/>
      <c r="K34450" s="18" t="s">
        <v>316</v>
      </c>
    </row>
    <row r="34451">
      <c r="A34451" s="17"/>
      <c r="H34451" s="18"/>
      <c r="K34451" s="18" t="s">
        <v>316</v>
      </c>
    </row>
    <row r="34452">
      <c r="A34452" s="17"/>
      <c r="H34452" s="18"/>
      <c r="K34452" s="18" t="s">
        <v>316</v>
      </c>
    </row>
    <row r="34453">
      <c r="A34453" s="17"/>
      <c r="H34453" s="18"/>
      <c r="K34453" s="18" t="s">
        <v>316</v>
      </c>
    </row>
    <row r="34454">
      <c r="A34454" s="17"/>
      <c r="H34454" s="18"/>
      <c r="K34454" s="18" t="s">
        <v>316</v>
      </c>
    </row>
    <row r="34455">
      <c r="A34455" s="17"/>
      <c r="H34455" s="18"/>
      <c r="K34455" s="18" t="s">
        <v>316</v>
      </c>
    </row>
    <row r="34456">
      <c r="A34456" s="17"/>
      <c r="H34456" s="18"/>
      <c r="K34456" s="18" t="s">
        <v>316</v>
      </c>
    </row>
    <row r="34457">
      <c r="A34457" s="17"/>
      <c r="H34457" s="18"/>
      <c r="K34457" s="18" t="s">
        <v>316</v>
      </c>
    </row>
    <row r="34458">
      <c r="A34458" s="17"/>
      <c r="H34458" s="18"/>
      <c r="K34458" s="18" t="s">
        <v>316</v>
      </c>
    </row>
    <row r="34459">
      <c r="A34459" s="17"/>
      <c r="H34459" s="18"/>
      <c r="K34459" s="18" t="s">
        <v>316</v>
      </c>
    </row>
    <row r="34460">
      <c r="A34460" s="17"/>
      <c r="H34460" s="18"/>
      <c r="K34460" s="18" t="s">
        <v>316</v>
      </c>
    </row>
    <row r="34461">
      <c r="A34461" s="17"/>
      <c r="H34461" s="18"/>
      <c r="K34461" s="18" t="s">
        <v>316</v>
      </c>
    </row>
    <row r="34462">
      <c r="A34462" s="17"/>
      <c r="H34462" s="18"/>
      <c r="K34462" s="18" t="s">
        <v>316</v>
      </c>
    </row>
    <row r="34463">
      <c r="A34463" s="17"/>
      <c r="H34463" s="18"/>
      <c r="K34463" s="18" t="s">
        <v>316</v>
      </c>
    </row>
    <row r="34464">
      <c r="A34464" s="17"/>
      <c r="H34464" s="18"/>
      <c r="K34464" s="18" t="s">
        <v>316</v>
      </c>
    </row>
    <row r="34465">
      <c r="A34465" s="17"/>
      <c r="H34465" s="18"/>
      <c r="K34465" s="18" t="s">
        <v>316</v>
      </c>
    </row>
    <row r="34466">
      <c r="A34466" s="17"/>
      <c r="H34466" s="18"/>
      <c r="K34466" s="18" t="s">
        <v>316</v>
      </c>
    </row>
    <row r="34467">
      <c r="A34467" s="17"/>
      <c r="H34467" s="18"/>
      <c r="K34467" s="18" t="s">
        <v>316</v>
      </c>
    </row>
    <row r="34468">
      <c r="A34468" s="17"/>
      <c r="H34468" s="18"/>
      <c r="K34468" s="18" t="s">
        <v>316</v>
      </c>
    </row>
    <row r="34469">
      <c r="A34469" s="17"/>
      <c r="H34469" s="18"/>
      <c r="K34469" s="18" t="s">
        <v>316</v>
      </c>
    </row>
    <row r="34470">
      <c r="A34470" s="17"/>
      <c r="H34470" s="18"/>
      <c r="K34470" s="18" t="s">
        <v>316</v>
      </c>
    </row>
    <row r="34471">
      <c r="A34471" s="17"/>
      <c r="H34471" s="18"/>
      <c r="K34471" s="18" t="s">
        <v>316</v>
      </c>
    </row>
    <row r="34472">
      <c r="A34472" s="17"/>
      <c r="H34472" s="18"/>
      <c r="K34472" s="18" t="s">
        <v>316</v>
      </c>
    </row>
    <row r="34473">
      <c r="A34473" s="17"/>
      <c r="H34473" s="18"/>
      <c r="K34473" s="18" t="s">
        <v>316</v>
      </c>
    </row>
    <row r="34474">
      <c r="A34474" s="17"/>
      <c r="H34474" s="18"/>
      <c r="K34474" s="18" t="s">
        <v>316</v>
      </c>
    </row>
    <row r="34475">
      <c r="A34475" s="17"/>
      <c r="H34475" s="18"/>
      <c r="K34475" s="18" t="s">
        <v>316</v>
      </c>
    </row>
    <row r="34476">
      <c r="A34476" s="17"/>
      <c r="H34476" s="18"/>
      <c r="K34476" s="18" t="s">
        <v>316</v>
      </c>
    </row>
    <row r="34477">
      <c r="A34477" s="17"/>
      <c r="H34477" s="18"/>
      <c r="K34477" s="18" t="s">
        <v>316</v>
      </c>
    </row>
    <row r="34478">
      <c r="A34478" s="17"/>
      <c r="H34478" s="18"/>
      <c r="K34478" s="18" t="s">
        <v>316</v>
      </c>
    </row>
    <row r="34479">
      <c r="A34479" s="17"/>
      <c r="H34479" s="18"/>
      <c r="K34479" s="18" t="s">
        <v>316</v>
      </c>
    </row>
    <row r="34480">
      <c r="A34480" s="17"/>
      <c r="H34480" s="18"/>
      <c r="K34480" s="18" t="s">
        <v>316</v>
      </c>
    </row>
    <row r="34481">
      <c r="A34481" s="17"/>
      <c r="H34481" s="18"/>
      <c r="K34481" s="18" t="s">
        <v>316</v>
      </c>
    </row>
    <row r="34482">
      <c r="A34482" s="17"/>
      <c r="H34482" s="18"/>
      <c r="K34482" s="18" t="s">
        <v>316</v>
      </c>
    </row>
    <row r="34483">
      <c r="A34483" s="17"/>
      <c r="H34483" s="18"/>
      <c r="K34483" s="18" t="s">
        <v>316</v>
      </c>
    </row>
    <row r="34484">
      <c r="A34484" s="17"/>
      <c r="H34484" s="18"/>
      <c r="K34484" s="18" t="s">
        <v>316</v>
      </c>
    </row>
    <row r="34485">
      <c r="A34485" s="17"/>
      <c r="H34485" s="18"/>
      <c r="K34485" s="18" t="s">
        <v>316</v>
      </c>
    </row>
    <row r="34486">
      <c r="A34486" s="17"/>
      <c r="H34486" s="18"/>
      <c r="K34486" s="18" t="s">
        <v>316</v>
      </c>
    </row>
    <row r="34487">
      <c r="A34487" s="17"/>
      <c r="H34487" s="18"/>
      <c r="K34487" s="18" t="s">
        <v>316</v>
      </c>
    </row>
    <row r="34488">
      <c r="A34488" s="17"/>
      <c r="H34488" s="18"/>
      <c r="K34488" s="18" t="s">
        <v>316</v>
      </c>
    </row>
    <row r="34489">
      <c r="A34489" s="17"/>
      <c r="H34489" s="18"/>
      <c r="K34489" s="18" t="s">
        <v>316</v>
      </c>
    </row>
    <row r="34490">
      <c r="A34490" s="17"/>
      <c r="H34490" s="18"/>
      <c r="K34490" s="18" t="s">
        <v>316</v>
      </c>
    </row>
    <row r="34491">
      <c r="A34491" s="17"/>
      <c r="H34491" s="18"/>
      <c r="K34491" s="18" t="s">
        <v>316</v>
      </c>
    </row>
    <row r="34492">
      <c r="A34492" s="17"/>
      <c r="H34492" s="18"/>
      <c r="K34492" s="18" t="s">
        <v>316</v>
      </c>
    </row>
    <row r="34493">
      <c r="A34493" s="17"/>
      <c r="H34493" s="18"/>
      <c r="K34493" s="18" t="s">
        <v>316</v>
      </c>
    </row>
    <row r="34494">
      <c r="A34494" s="17"/>
      <c r="H34494" s="18"/>
      <c r="K34494" s="18" t="s">
        <v>316</v>
      </c>
    </row>
    <row r="34495">
      <c r="A34495" s="17"/>
      <c r="H34495" s="18"/>
      <c r="K34495" s="18" t="s">
        <v>316</v>
      </c>
    </row>
    <row r="34496">
      <c r="A34496" s="17"/>
      <c r="H34496" s="18"/>
      <c r="K34496" s="18" t="s">
        <v>316</v>
      </c>
    </row>
    <row r="34497">
      <c r="A34497" s="17"/>
      <c r="H34497" s="18"/>
      <c r="K34497" s="18" t="s">
        <v>316</v>
      </c>
    </row>
    <row r="34498">
      <c r="A34498" s="17"/>
      <c r="H34498" s="18"/>
      <c r="K34498" s="18" t="s">
        <v>316</v>
      </c>
    </row>
    <row r="34499">
      <c r="A34499" s="17"/>
      <c r="H34499" s="18"/>
      <c r="K34499" s="18" t="s">
        <v>316</v>
      </c>
    </row>
    <row r="34500">
      <c r="A34500" s="17"/>
      <c r="H34500" s="18"/>
      <c r="K34500" s="18" t="s">
        <v>316</v>
      </c>
    </row>
    <row r="34501">
      <c r="A34501" s="17"/>
      <c r="H34501" s="18"/>
      <c r="K34501" s="18" t="s">
        <v>316</v>
      </c>
    </row>
    <row r="34502">
      <c r="A34502" s="17"/>
      <c r="H34502" s="18"/>
      <c r="K34502" s="18" t="s">
        <v>316</v>
      </c>
    </row>
    <row r="34503">
      <c r="A34503" s="17"/>
      <c r="H34503" s="18"/>
      <c r="K34503" s="18" t="s">
        <v>316</v>
      </c>
    </row>
    <row r="34504">
      <c r="A34504" s="17"/>
      <c r="H34504" s="18"/>
      <c r="K34504" s="18" t="s">
        <v>316</v>
      </c>
    </row>
    <row r="34505">
      <c r="A34505" s="17"/>
      <c r="H34505" s="18"/>
      <c r="K34505" s="18" t="s">
        <v>316</v>
      </c>
    </row>
    <row r="34506">
      <c r="A34506" s="17"/>
      <c r="H34506" s="18"/>
      <c r="K34506" s="18" t="s">
        <v>316</v>
      </c>
    </row>
    <row r="34507">
      <c r="A34507" s="17"/>
      <c r="H34507" s="18"/>
      <c r="K34507" s="18" t="s">
        <v>316</v>
      </c>
    </row>
    <row r="34508">
      <c r="A34508" s="17"/>
      <c r="H34508" s="18"/>
      <c r="K34508" s="18" t="s">
        <v>316</v>
      </c>
    </row>
    <row r="34509">
      <c r="A34509" s="17"/>
      <c r="H34509" s="18"/>
      <c r="K34509" s="18" t="s">
        <v>316</v>
      </c>
    </row>
    <row r="34510">
      <c r="A34510" s="17"/>
      <c r="H34510" s="18"/>
      <c r="K34510" s="18" t="s">
        <v>316</v>
      </c>
    </row>
    <row r="34511">
      <c r="A34511" s="17"/>
      <c r="H34511" s="18"/>
      <c r="K34511" s="18" t="s">
        <v>316</v>
      </c>
    </row>
    <row r="34512">
      <c r="A34512" s="17"/>
      <c r="H34512" s="18"/>
      <c r="K34512" s="18" t="s">
        <v>316</v>
      </c>
    </row>
    <row r="34513">
      <c r="A34513" s="17"/>
      <c r="H34513" s="18"/>
      <c r="K34513" s="18" t="s">
        <v>316</v>
      </c>
    </row>
    <row r="34514">
      <c r="A34514" s="17"/>
      <c r="H34514" s="18"/>
      <c r="K34514" s="18" t="s">
        <v>316</v>
      </c>
    </row>
    <row r="34515">
      <c r="A34515" s="17"/>
      <c r="H34515" s="18"/>
      <c r="K34515" s="18" t="s">
        <v>316</v>
      </c>
    </row>
    <row r="34516">
      <c r="A34516" s="17"/>
      <c r="H34516" s="18"/>
      <c r="K34516" s="18" t="s">
        <v>316</v>
      </c>
    </row>
    <row r="34517">
      <c r="A34517" s="17"/>
      <c r="H34517" s="18"/>
      <c r="K34517" s="18" t="s">
        <v>316</v>
      </c>
    </row>
    <row r="34518">
      <c r="A34518" s="17"/>
      <c r="H34518" s="18"/>
      <c r="K34518" s="18" t="s">
        <v>316</v>
      </c>
    </row>
    <row r="34519">
      <c r="A34519" s="17"/>
      <c r="H34519" s="18"/>
      <c r="K34519" s="18" t="s">
        <v>316</v>
      </c>
    </row>
    <row r="34520">
      <c r="A34520" s="17"/>
      <c r="H34520" s="18"/>
      <c r="K34520" s="18" t="s">
        <v>316</v>
      </c>
    </row>
    <row r="34521">
      <c r="A34521" s="17"/>
      <c r="H34521" s="18"/>
      <c r="K34521" s="18" t="s">
        <v>316</v>
      </c>
    </row>
    <row r="34522">
      <c r="A34522" s="17"/>
      <c r="H34522" s="18"/>
      <c r="K34522" s="18" t="s">
        <v>316</v>
      </c>
    </row>
    <row r="34523">
      <c r="A34523" s="17"/>
      <c r="H34523" s="18"/>
      <c r="K34523" s="18" t="s">
        <v>316</v>
      </c>
    </row>
    <row r="34524">
      <c r="A34524" s="17"/>
      <c r="H34524" s="18"/>
      <c r="K34524" s="18" t="s">
        <v>316</v>
      </c>
    </row>
    <row r="34525">
      <c r="A34525" s="17"/>
      <c r="H34525" s="18"/>
      <c r="K34525" s="18" t="s">
        <v>316</v>
      </c>
    </row>
    <row r="34526">
      <c r="A34526" s="17"/>
      <c r="H34526" s="18"/>
      <c r="K34526" s="18" t="s">
        <v>316</v>
      </c>
    </row>
    <row r="34527">
      <c r="A34527" s="17"/>
      <c r="H34527" s="18"/>
      <c r="K34527" s="18" t="s">
        <v>316</v>
      </c>
    </row>
    <row r="34528">
      <c r="A34528" s="17"/>
      <c r="H34528" s="18"/>
      <c r="K34528" s="18" t="s">
        <v>316</v>
      </c>
    </row>
    <row r="34529">
      <c r="A34529" s="17"/>
      <c r="H34529" s="18"/>
      <c r="K34529" s="18" t="s">
        <v>316</v>
      </c>
    </row>
    <row r="34530">
      <c r="A34530" s="17"/>
      <c r="H34530" s="18"/>
      <c r="K34530" s="18" t="s">
        <v>316</v>
      </c>
    </row>
    <row r="34531">
      <c r="A34531" s="17"/>
      <c r="H34531" s="18"/>
      <c r="K34531" s="18" t="s">
        <v>316</v>
      </c>
    </row>
    <row r="34532">
      <c r="A34532" s="17"/>
      <c r="H34532" s="18"/>
      <c r="K34532" s="18" t="s">
        <v>316</v>
      </c>
    </row>
    <row r="34533">
      <c r="A34533" s="17"/>
      <c r="H34533" s="18"/>
      <c r="K34533" s="18" t="s">
        <v>316</v>
      </c>
    </row>
    <row r="34534">
      <c r="A34534" s="17"/>
      <c r="H34534" s="18"/>
      <c r="K34534" s="18" t="s">
        <v>316</v>
      </c>
    </row>
    <row r="34535">
      <c r="A34535" s="17"/>
      <c r="H34535" s="18"/>
      <c r="K34535" s="18" t="s">
        <v>316</v>
      </c>
    </row>
    <row r="34536">
      <c r="A34536" s="17"/>
      <c r="H34536" s="18"/>
      <c r="K34536" s="18" t="s">
        <v>316</v>
      </c>
    </row>
    <row r="34537">
      <c r="A34537" s="17"/>
      <c r="H34537" s="18"/>
      <c r="K34537" s="18" t="s">
        <v>316</v>
      </c>
    </row>
    <row r="34538">
      <c r="A34538" s="17"/>
      <c r="H34538" s="18"/>
      <c r="K34538" s="18" t="s">
        <v>316</v>
      </c>
    </row>
    <row r="34539">
      <c r="A34539" s="17"/>
      <c r="H34539" s="18"/>
      <c r="K34539" s="18" t="s">
        <v>316</v>
      </c>
    </row>
    <row r="34540">
      <c r="A34540" s="17"/>
      <c r="H34540" s="18"/>
      <c r="K34540" s="18" t="s">
        <v>316</v>
      </c>
    </row>
    <row r="34541">
      <c r="A34541" s="17"/>
      <c r="H34541" s="18"/>
      <c r="K34541" s="18" t="s">
        <v>316</v>
      </c>
    </row>
    <row r="34542">
      <c r="A34542" s="17"/>
      <c r="H34542" s="18"/>
      <c r="K34542" s="18" t="s">
        <v>316</v>
      </c>
    </row>
    <row r="34543">
      <c r="A34543" s="17"/>
      <c r="H34543" s="18"/>
      <c r="K34543" s="18" t="s">
        <v>316</v>
      </c>
    </row>
    <row r="34544">
      <c r="A34544" s="17"/>
      <c r="H34544" s="18"/>
      <c r="K34544" s="18" t="s">
        <v>316</v>
      </c>
    </row>
    <row r="34545">
      <c r="A34545" s="17"/>
      <c r="H34545" s="18"/>
      <c r="K34545" s="18" t="s">
        <v>316</v>
      </c>
    </row>
    <row r="34546">
      <c r="A34546" s="17"/>
      <c r="H34546" s="18"/>
      <c r="K34546" s="18" t="s">
        <v>316</v>
      </c>
    </row>
    <row r="34547">
      <c r="A34547" s="17"/>
      <c r="H34547" s="18"/>
      <c r="K34547" s="18" t="s">
        <v>316</v>
      </c>
    </row>
    <row r="34548">
      <c r="A34548" s="17"/>
      <c r="H34548" s="18"/>
      <c r="K34548" s="18" t="s">
        <v>316</v>
      </c>
    </row>
    <row r="34549">
      <c r="A34549" s="17"/>
      <c r="H34549" s="18"/>
      <c r="K34549" s="18" t="s">
        <v>316</v>
      </c>
    </row>
    <row r="34550">
      <c r="A34550" s="17"/>
      <c r="H34550" s="18"/>
      <c r="K34550" s="18" t="s">
        <v>316</v>
      </c>
    </row>
    <row r="34551">
      <c r="A34551" s="17"/>
      <c r="H34551" s="18"/>
      <c r="K34551" s="18" t="s">
        <v>316</v>
      </c>
    </row>
    <row r="34552">
      <c r="A34552" s="17"/>
      <c r="H34552" s="18"/>
      <c r="K34552" s="18" t="s">
        <v>316</v>
      </c>
    </row>
    <row r="34553">
      <c r="A34553" s="17"/>
      <c r="H34553" s="18"/>
      <c r="K34553" s="18" t="s">
        <v>316</v>
      </c>
    </row>
    <row r="34554">
      <c r="A34554" s="17"/>
      <c r="H34554" s="18"/>
      <c r="K34554" s="18" t="s">
        <v>316</v>
      </c>
    </row>
    <row r="34555">
      <c r="A34555" s="17"/>
      <c r="H34555" s="18"/>
      <c r="K34555" s="18" t="s">
        <v>316</v>
      </c>
    </row>
    <row r="34556">
      <c r="A34556" s="17"/>
      <c r="H34556" s="18"/>
      <c r="K34556" s="18" t="s">
        <v>316</v>
      </c>
    </row>
    <row r="34557">
      <c r="A34557" s="17"/>
      <c r="H34557" s="18"/>
      <c r="K34557" s="18" t="s">
        <v>316</v>
      </c>
    </row>
    <row r="34558">
      <c r="A34558" s="17"/>
      <c r="H34558" s="18"/>
      <c r="K34558" s="18" t="s">
        <v>316</v>
      </c>
    </row>
    <row r="34559">
      <c r="A34559" s="17"/>
      <c r="H34559" s="18"/>
      <c r="K34559" s="18" t="s">
        <v>316</v>
      </c>
    </row>
    <row r="34560">
      <c r="A34560" s="17"/>
      <c r="H34560" s="18"/>
      <c r="K34560" s="18" t="s">
        <v>316</v>
      </c>
    </row>
    <row r="34561">
      <c r="A34561" s="17"/>
      <c r="H34561" s="18"/>
      <c r="K34561" s="18" t="s">
        <v>316</v>
      </c>
    </row>
    <row r="34562">
      <c r="A34562" s="17"/>
      <c r="H34562" s="18"/>
      <c r="K34562" s="18" t="s">
        <v>316</v>
      </c>
    </row>
    <row r="34563">
      <c r="A34563" s="17"/>
      <c r="H34563" s="18"/>
      <c r="K34563" s="18" t="s">
        <v>316</v>
      </c>
    </row>
    <row r="34564">
      <c r="A34564" s="17"/>
      <c r="H34564" s="18"/>
      <c r="K34564" s="18" t="s">
        <v>316</v>
      </c>
    </row>
    <row r="34565">
      <c r="A34565" s="17"/>
      <c r="H34565" s="18"/>
      <c r="K34565" s="18" t="s">
        <v>316</v>
      </c>
    </row>
    <row r="34566">
      <c r="A34566" s="17"/>
      <c r="H34566" s="18"/>
      <c r="K34566" s="18" t="s">
        <v>316</v>
      </c>
    </row>
    <row r="34567">
      <c r="A34567" s="17"/>
      <c r="H34567" s="18"/>
      <c r="K34567" s="18" t="s">
        <v>316</v>
      </c>
    </row>
    <row r="34568">
      <c r="A34568" s="17"/>
      <c r="H34568" s="18"/>
      <c r="K34568" s="18" t="s">
        <v>316</v>
      </c>
    </row>
    <row r="34569">
      <c r="A34569" s="17"/>
      <c r="H34569" s="18"/>
      <c r="K34569" s="18" t="s">
        <v>316</v>
      </c>
    </row>
    <row r="34570">
      <c r="A34570" s="17"/>
      <c r="H34570" s="18"/>
      <c r="K34570" s="18" t="s">
        <v>316</v>
      </c>
    </row>
    <row r="34571">
      <c r="A34571" s="17"/>
      <c r="H34571" s="18"/>
      <c r="K34571" s="18" t="s">
        <v>316</v>
      </c>
    </row>
    <row r="34572">
      <c r="A34572" s="17"/>
      <c r="H34572" s="18"/>
      <c r="K34572" s="18" t="s">
        <v>316</v>
      </c>
    </row>
    <row r="34573">
      <c r="A34573" s="17"/>
      <c r="H34573" s="18"/>
      <c r="K34573" s="18" t="s">
        <v>316</v>
      </c>
    </row>
    <row r="34574">
      <c r="A34574" s="17"/>
      <c r="H34574" s="18"/>
      <c r="K34574" s="18" t="s">
        <v>316</v>
      </c>
    </row>
    <row r="34575">
      <c r="A34575" s="17"/>
      <c r="H34575" s="18"/>
      <c r="K34575" s="18" t="s">
        <v>316</v>
      </c>
    </row>
    <row r="34576">
      <c r="A34576" s="17"/>
      <c r="H34576" s="18"/>
      <c r="K34576" s="18" t="s">
        <v>316</v>
      </c>
    </row>
    <row r="34577">
      <c r="A34577" s="17"/>
      <c r="H34577" s="18"/>
      <c r="K34577" s="18" t="s">
        <v>316</v>
      </c>
    </row>
    <row r="34578">
      <c r="A34578" s="17"/>
      <c r="H34578" s="18"/>
      <c r="K34578" s="18" t="s">
        <v>316</v>
      </c>
    </row>
    <row r="34579">
      <c r="A34579" s="17"/>
      <c r="H34579" s="18"/>
      <c r="K34579" s="18" t="s">
        <v>316</v>
      </c>
    </row>
    <row r="34580">
      <c r="A34580" s="17"/>
      <c r="H34580" s="18"/>
      <c r="K34580" s="18" t="s">
        <v>316</v>
      </c>
    </row>
    <row r="34581">
      <c r="A34581" s="17"/>
      <c r="H34581" s="18"/>
      <c r="K34581" s="18" t="s">
        <v>316</v>
      </c>
    </row>
    <row r="34582">
      <c r="A34582" s="17"/>
      <c r="H34582" s="18"/>
      <c r="K34582" s="18" t="s">
        <v>316</v>
      </c>
    </row>
    <row r="34583">
      <c r="A34583" s="17"/>
      <c r="H34583" s="18"/>
      <c r="K34583" s="18" t="s">
        <v>316</v>
      </c>
    </row>
    <row r="34584">
      <c r="A34584" s="17"/>
      <c r="H34584" s="18"/>
      <c r="K34584" s="18" t="s">
        <v>316</v>
      </c>
    </row>
    <row r="34585">
      <c r="A34585" s="17"/>
      <c r="H34585" s="18"/>
      <c r="K34585" s="18" t="s">
        <v>316</v>
      </c>
    </row>
    <row r="34586">
      <c r="A34586" s="17"/>
      <c r="H34586" s="18"/>
      <c r="K34586" s="18" t="s">
        <v>316</v>
      </c>
    </row>
    <row r="34587">
      <c r="A34587" s="17"/>
      <c r="H34587" s="18"/>
      <c r="K34587" s="18" t="s">
        <v>316</v>
      </c>
    </row>
    <row r="34588">
      <c r="A34588" s="17"/>
      <c r="H34588" s="18"/>
      <c r="K34588" s="18" t="s">
        <v>316</v>
      </c>
    </row>
    <row r="34589">
      <c r="A34589" s="17"/>
      <c r="H34589" s="18"/>
      <c r="K34589" s="18" t="s">
        <v>316</v>
      </c>
    </row>
    <row r="34590">
      <c r="A34590" s="17"/>
      <c r="H34590" s="18"/>
      <c r="K34590" s="18" t="s">
        <v>316</v>
      </c>
    </row>
    <row r="34591">
      <c r="A34591" s="17"/>
      <c r="H34591" s="18"/>
      <c r="K34591" s="18" t="s">
        <v>316</v>
      </c>
    </row>
    <row r="34592">
      <c r="A34592" s="17"/>
      <c r="H34592" s="18"/>
      <c r="K34592" s="18" t="s">
        <v>316</v>
      </c>
    </row>
    <row r="34593">
      <c r="A34593" s="17"/>
      <c r="H34593" s="18"/>
      <c r="K34593" s="18" t="s">
        <v>316</v>
      </c>
    </row>
    <row r="34594">
      <c r="A34594" s="17"/>
      <c r="H34594" s="18"/>
      <c r="K34594" s="18" t="s">
        <v>316</v>
      </c>
    </row>
    <row r="34595">
      <c r="A34595" s="17"/>
      <c r="H34595" s="18"/>
      <c r="K34595" s="18" t="s">
        <v>316</v>
      </c>
    </row>
    <row r="34596">
      <c r="A34596" s="17"/>
      <c r="H34596" s="18"/>
      <c r="K34596" s="18" t="s">
        <v>316</v>
      </c>
    </row>
    <row r="34597">
      <c r="A34597" s="17"/>
      <c r="H34597" s="18"/>
      <c r="K34597" s="18" t="s">
        <v>316</v>
      </c>
    </row>
    <row r="34598">
      <c r="A34598" s="17"/>
      <c r="H34598" s="18"/>
      <c r="K34598" s="18" t="s">
        <v>316</v>
      </c>
    </row>
    <row r="34599">
      <c r="A34599" s="17"/>
      <c r="H34599" s="18"/>
      <c r="K34599" s="18" t="s">
        <v>316</v>
      </c>
    </row>
    <row r="34600">
      <c r="A34600" s="17"/>
      <c r="H34600" s="18"/>
      <c r="K34600" s="18" t="s">
        <v>316</v>
      </c>
    </row>
    <row r="34601">
      <c r="A34601" s="17"/>
      <c r="H34601" s="18"/>
      <c r="K34601" s="18" t="s">
        <v>316</v>
      </c>
    </row>
    <row r="34602">
      <c r="A34602" s="17"/>
      <c r="H34602" s="18"/>
      <c r="K34602" s="18" t="s">
        <v>316</v>
      </c>
    </row>
    <row r="34603">
      <c r="A34603" s="17"/>
      <c r="H34603" s="18"/>
      <c r="K34603" s="18" t="s">
        <v>316</v>
      </c>
    </row>
    <row r="34604">
      <c r="A34604" s="17"/>
      <c r="H34604" s="18"/>
      <c r="K34604" s="18" t="s">
        <v>316</v>
      </c>
    </row>
    <row r="34605">
      <c r="A34605" s="17"/>
      <c r="H34605" s="18"/>
      <c r="K34605" s="18" t="s">
        <v>316</v>
      </c>
    </row>
    <row r="34606">
      <c r="A34606" s="17"/>
      <c r="H34606" s="18"/>
      <c r="K34606" s="18" t="s">
        <v>316</v>
      </c>
    </row>
    <row r="34607">
      <c r="A34607" s="17"/>
      <c r="H34607" s="18"/>
      <c r="K34607" s="18" t="s">
        <v>316</v>
      </c>
    </row>
    <row r="34608">
      <c r="A34608" s="17"/>
      <c r="H34608" s="18"/>
      <c r="K34608" s="18" t="s">
        <v>316</v>
      </c>
    </row>
    <row r="34609">
      <c r="A34609" s="17"/>
      <c r="H34609" s="18"/>
      <c r="K34609" s="18" t="s">
        <v>316</v>
      </c>
    </row>
    <row r="34610">
      <c r="A34610" s="17"/>
      <c r="H34610" s="18"/>
      <c r="K34610" s="18" t="s">
        <v>316</v>
      </c>
    </row>
    <row r="34611">
      <c r="A34611" s="17"/>
      <c r="H34611" s="18"/>
      <c r="K34611" s="18" t="s">
        <v>316</v>
      </c>
    </row>
    <row r="34612">
      <c r="A34612" s="17"/>
      <c r="H34612" s="18"/>
      <c r="K34612" s="18" t="s">
        <v>316</v>
      </c>
    </row>
    <row r="34613">
      <c r="A34613" s="17"/>
      <c r="H34613" s="18"/>
      <c r="K34613" s="18" t="s">
        <v>316</v>
      </c>
    </row>
    <row r="34614">
      <c r="A34614" s="17"/>
      <c r="H34614" s="18"/>
      <c r="K34614" s="18" t="s">
        <v>316</v>
      </c>
    </row>
    <row r="34615">
      <c r="A34615" s="17"/>
      <c r="H34615" s="18"/>
      <c r="K34615" s="18" t="s">
        <v>316</v>
      </c>
    </row>
    <row r="34616">
      <c r="A34616" s="17"/>
      <c r="H34616" s="18"/>
      <c r="K34616" s="18" t="s">
        <v>316</v>
      </c>
    </row>
    <row r="34617">
      <c r="A34617" s="17"/>
      <c r="H34617" s="18"/>
      <c r="K34617" s="18" t="s">
        <v>316</v>
      </c>
    </row>
    <row r="34618">
      <c r="A34618" s="17"/>
      <c r="H34618" s="18"/>
      <c r="K34618" s="18" t="s">
        <v>316</v>
      </c>
    </row>
    <row r="34619">
      <c r="A34619" s="17"/>
      <c r="H34619" s="18"/>
      <c r="K34619" s="18" t="s">
        <v>316</v>
      </c>
    </row>
    <row r="34620">
      <c r="A34620" s="17"/>
      <c r="H34620" s="18"/>
      <c r="K34620" s="18" t="s">
        <v>316</v>
      </c>
    </row>
    <row r="34621">
      <c r="A34621" s="17"/>
      <c r="H34621" s="18"/>
      <c r="K34621" s="18" t="s">
        <v>316</v>
      </c>
    </row>
    <row r="34622">
      <c r="A34622" s="17"/>
      <c r="H34622" s="18"/>
      <c r="K34622" s="18" t="s">
        <v>316</v>
      </c>
    </row>
    <row r="34623">
      <c r="A34623" s="17"/>
      <c r="H34623" s="18"/>
      <c r="K34623" s="18" t="s">
        <v>316</v>
      </c>
    </row>
    <row r="34624">
      <c r="A34624" s="17"/>
      <c r="H34624" s="18"/>
      <c r="K34624" s="18" t="s">
        <v>316</v>
      </c>
    </row>
    <row r="34625">
      <c r="A34625" s="17"/>
      <c r="H34625" s="18"/>
      <c r="K34625" s="18" t="s">
        <v>316</v>
      </c>
    </row>
    <row r="34626">
      <c r="A34626" s="17"/>
      <c r="H34626" s="18"/>
      <c r="K34626" s="18" t="s">
        <v>316</v>
      </c>
    </row>
    <row r="34627">
      <c r="A34627" s="17"/>
      <c r="H34627" s="18"/>
      <c r="K34627" s="18" t="s">
        <v>316</v>
      </c>
    </row>
    <row r="34628">
      <c r="A34628" s="17"/>
      <c r="H34628" s="18"/>
      <c r="K34628" s="18" t="s">
        <v>316</v>
      </c>
    </row>
    <row r="34629">
      <c r="A34629" s="17"/>
      <c r="H34629" s="18"/>
      <c r="K34629" s="18" t="s">
        <v>316</v>
      </c>
    </row>
    <row r="34630">
      <c r="A34630" s="17"/>
      <c r="H34630" s="18"/>
      <c r="K34630" s="18" t="s">
        <v>316</v>
      </c>
    </row>
    <row r="34631">
      <c r="A34631" s="17"/>
      <c r="H34631" s="18"/>
      <c r="K34631" s="18" t="s">
        <v>316</v>
      </c>
    </row>
    <row r="34632">
      <c r="A34632" s="17"/>
      <c r="H34632" s="18"/>
      <c r="K34632" s="18" t="s">
        <v>316</v>
      </c>
    </row>
    <row r="34633">
      <c r="A34633" s="17"/>
      <c r="H34633" s="18"/>
      <c r="K34633" s="18" t="s">
        <v>316</v>
      </c>
    </row>
    <row r="34634">
      <c r="A34634" s="17"/>
      <c r="H34634" s="18"/>
      <c r="K34634" s="18" t="s">
        <v>316</v>
      </c>
    </row>
    <row r="34635">
      <c r="A34635" s="17"/>
      <c r="H34635" s="18"/>
      <c r="K34635" s="18" t="s">
        <v>316</v>
      </c>
    </row>
    <row r="34636">
      <c r="A34636" s="17"/>
      <c r="H34636" s="18"/>
      <c r="K34636" s="18" t="s">
        <v>316</v>
      </c>
    </row>
    <row r="34637">
      <c r="A34637" s="17"/>
      <c r="H34637" s="18"/>
      <c r="K34637" s="18" t="s">
        <v>316</v>
      </c>
    </row>
    <row r="34638">
      <c r="A34638" s="17"/>
      <c r="H34638" s="18"/>
      <c r="K34638" s="18" t="s">
        <v>316</v>
      </c>
    </row>
    <row r="34639">
      <c r="A34639" s="17"/>
      <c r="H34639" s="18"/>
      <c r="K34639" s="18" t="s">
        <v>316</v>
      </c>
    </row>
    <row r="34640">
      <c r="A34640" s="17"/>
      <c r="H34640" s="18"/>
      <c r="K34640" s="18" t="s">
        <v>316</v>
      </c>
    </row>
    <row r="34641">
      <c r="A34641" s="17"/>
      <c r="H34641" s="18"/>
      <c r="K34641" s="18" t="s">
        <v>316</v>
      </c>
    </row>
    <row r="34642">
      <c r="A34642" s="17"/>
      <c r="H34642" s="18"/>
      <c r="K34642" s="18" t="s">
        <v>316</v>
      </c>
    </row>
    <row r="34643">
      <c r="A34643" s="17"/>
      <c r="H34643" s="18"/>
      <c r="K34643" s="18" t="s">
        <v>316</v>
      </c>
    </row>
    <row r="34644">
      <c r="A34644" s="17"/>
      <c r="H34644" s="18"/>
      <c r="K34644" s="18" t="s">
        <v>316</v>
      </c>
    </row>
    <row r="34645">
      <c r="A34645" s="17"/>
      <c r="H34645" s="18"/>
      <c r="K34645" s="18" t="s">
        <v>316</v>
      </c>
    </row>
    <row r="34646">
      <c r="A34646" s="17"/>
      <c r="H34646" s="18"/>
      <c r="K34646" s="18" t="s">
        <v>316</v>
      </c>
    </row>
    <row r="34647">
      <c r="A34647" s="17"/>
      <c r="H34647" s="18"/>
      <c r="K34647" s="18" t="s">
        <v>316</v>
      </c>
    </row>
    <row r="34648">
      <c r="A34648" s="17"/>
      <c r="H34648" s="18"/>
      <c r="K34648" s="18" t="s">
        <v>316</v>
      </c>
    </row>
    <row r="34649">
      <c r="A34649" s="17"/>
      <c r="H34649" s="18"/>
      <c r="K34649" s="18" t="s">
        <v>316</v>
      </c>
    </row>
    <row r="34650">
      <c r="A34650" s="17"/>
      <c r="H34650" s="18"/>
      <c r="K34650" s="18" t="s">
        <v>316</v>
      </c>
    </row>
    <row r="34651">
      <c r="A34651" s="17"/>
      <c r="H34651" s="18"/>
      <c r="K34651" s="18" t="s">
        <v>316</v>
      </c>
    </row>
    <row r="34652">
      <c r="A34652" s="17"/>
      <c r="H34652" s="18"/>
      <c r="K34652" s="18" t="s">
        <v>316</v>
      </c>
    </row>
    <row r="34653">
      <c r="A34653" s="17"/>
      <c r="H34653" s="18"/>
      <c r="K34653" s="18" t="s">
        <v>316</v>
      </c>
    </row>
    <row r="34654">
      <c r="A34654" s="17"/>
      <c r="H34654" s="18"/>
      <c r="K34654" s="18" t="s">
        <v>316</v>
      </c>
    </row>
    <row r="34655">
      <c r="A34655" s="17"/>
      <c r="H34655" s="18"/>
      <c r="K34655" s="18" t="s">
        <v>316</v>
      </c>
    </row>
    <row r="34656">
      <c r="A34656" s="17"/>
      <c r="H34656" s="18"/>
      <c r="K34656" s="18" t="s">
        <v>316</v>
      </c>
    </row>
    <row r="34657">
      <c r="A34657" s="17"/>
      <c r="H34657" s="18"/>
      <c r="K34657" s="18" t="s">
        <v>316</v>
      </c>
    </row>
    <row r="34658">
      <c r="A34658" s="17"/>
      <c r="H34658" s="18"/>
      <c r="K34658" s="18" t="s">
        <v>316</v>
      </c>
    </row>
    <row r="34659">
      <c r="A34659" s="17"/>
      <c r="H34659" s="18"/>
      <c r="K34659" s="18" t="s">
        <v>316</v>
      </c>
    </row>
    <row r="34660">
      <c r="A34660" s="17"/>
      <c r="H34660" s="18"/>
      <c r="K34660" s="18" t="s">
        <v>316</v>
      </c>
    </row>
    <row r="34661">
      <c r="A34661" s="17"/>
      <c r="H34661" s="18"/>
      <c r="K34661" s="18" t="s">
        <v>316</v>
      </c>
    </row>
    <row r="34662">
      <c r="A34662" s="17"/>
      <c r="H34662" s="18"/>
      <c r="K34662" s="18" t="s">
        <v>316</v>
      </c>
    </row>
    <row r="34663">
      <c r="A34663" s="17"/>
      <c r="H34663" s="18"/>
      <c r="K34663" s="18" t="s">
        <v>316</v>
      </c>
    </row>
    <row r="34664">
      <c r="A34664" s="17"/>
      <c r="H34664" s="18"/>
      <c r="K34664" s="18" t="s">
        <v>316</v>
      </c>
    </row>
    <row r="34665">
      <c r="A34665" s="17"/>
      <c r="H34665" s="18"/>
      <c r="K34665" s="18" t="s">
        <v>316</v>
      </c>
    </row>
    <row r="34666">
      <c r="A34666" s="17"/>
      <c r="H34666" s="18"/>
      <c r="K34666" s="18" t="s">
        <v>316</v>
      </c>
    </row>
    <row r="34667">
      <c r="A34667" s="17"/>
      <c r="H34667" s="18"/>
      <c r="K34667" s="18" t="s">
        <v>316</v>
      </c>
    </row>
    <row r="34668">
      <c r="A34668" s="17"/>
      <c r="H34668" s="18"/>
      <c r="K34668" s="18" t="s">
        <v>316</v>
      </c>
    </row>
    <row r="34669">
      <c r="A34669" s="17"/>
      <c r="H34669" s="18"/>
      <c r="K34669" s="18" t="s">
        <v>316</v>
      </c>
    </row>
    <row r="34670">
      <c r="A34670" s="17"/>
      <c r="H34670" s="18"/>
      <c r="K34670" s="18" t="s">
        <v>316</v>
      </c>
    </row>
    <row r="34671">
      <c r="A34671" s="17"/>
      <c r="H34671" s="18"/>
      <c r="K34671" s="18" t="s">
        <v>316</v>
      </c>
    </row>
    <row r="34672">
      <c r="A34672" s="17"/>
      <c r="H34672" s="18"/>
      <c r="K34672" s="18" t="s">
        <v>316</v>
      </c>
    </row>
    <row r="34673">
      <c r="A34673" s="17"/>
      <c r="H34673" s="18"/>
      <c r="K34673" s="18" t="s">
        <v>316</v>
      </c>
    </row>
    <row r="34674">
      <c r="A34674" s="17"/>
      <c r="H34674" s="18"/>
      <c r="K34674" s="18" t="s">
        <v>316</v>
      </c>
    </row>
    <row r="34675">
      <c r="A34675" s="17"/>
      <c r="H34675" s="18"/>
      <c r="K34675" s="18" t="s">
        <v>316</v>
      </c>
    </row>
    <row r="34676">
      <c r="A34676" s="17"/>
      <c r="H34676" s="18"/>
      <c r="K34676" s="18" t="s">
        <v>316</v>
      </c>
    </row>
    <row r="34677">
      <c r="A34677" s="17"/>
      <c r="H34677" s="18"/>
      <c r="K34677" s="18" t="s">
        <v>316</v>
      </c>
    </row>
    <row r="34678">
      <c r="A34678" s="17"/>
      <c r="H34678" s="18"/>
      <c r="K34678" s="18" t="s">
        <v>316</v>
      </c>
    </row>
    <row r="34679">
      <c r="A34679" s="17"/>
      <c r="H34679" s="18"/>
      <c r="K34679" s="18" t="s">
        <v>316</v>
      </c>
    </row>
    <row r="34680">
      <c r="A34680" s="17"/>
      <c r="H34680" s="18"/>
      <c r="K34680" s="18" t="s">
        <v>316</v>
      </c>
    </row>
    <row r="34681">
      <c r="A34681" s="17"/>
      <c r="H34681" s="18"/>
      <c r="K34681" s="18" t="s">
        <v>316</v>
      </c>
    </row>
    <row r="34682">
      <c r="A34682" s="17"/>
      <c r="H34682" s="18"/>
      <c r="K34682" s="18" t="s">
        <v>316</v>
      </c>
    </row>
    <row r="34683">
      <c r="A34683" s="17"/>
      <c r="H34683" s="18"/>
      <c r="K34683" s="18" t="s">
        <v>316</v>
      </c>
    </row>
    <row r="34684">
      <c r="A34684" s="17"/>
      <c r="H34684" s="18"/>
      <c r="K34684" s="18" t="s">
        <v>316</v>
      </c>
    </row>
    <row r="34685">
      <c r="A34685" s="17"/>
      <c r="H34685" s="18"/>
      <c r="K34685" s="18" t="s">
        <v>316</v>
      </c>
    </row>
    <row r="34686">
      <c r="A34686" s="17"/>
      <c r="H34686" s="18"/>
      <c r="K34686" s="18" t="s">
        <v>316</v>
      </c>
    </row>
    <row r="34687">
      <c r="A34687" s="17"/>
      <c r="H34687" s="18"/>
      <c r="K34687" s="18" t="s">
        <v>316</v>
      </c>
    </row>
    <row r="34688">
      <c r="A34688" s="17"/>
      <c r="H34688" s="18"/>
      <c r="K34688" s="18" t="s">
        <v>316</v>
      </c>
    </row>
    <row r="34689">
      <c r="A34689" s="17"/>
      <c r="H34689" s="18"/>
      <c r="K34689" s="18" t="s">
        <v>316</v>
      </c>
    </row>
    <row r="34690">
      <c r="A34690" s="17"/>
      <c r="H34690" s="18"/>
      <c r="K34690" s="18" t="s">
        <v>316</v>
      </c>
    </row>
    <row r="34691">
      <c r="A34691" s="17"/>
      <c r="H34691" s="18"/>
      <c r="K34691" s="18" t="s">
        <v>316</v>
      </c>
    </row>
    <row r="34692">
      <c r="A34692" s="17"/>
      <c r="H34692" s="18"/>
      <c r="K34692" s="18" t="s">
        <v>316</v>
      </c>
    </row>
    <row r="34693">
      <c r="A34693" s="17"/>
      <c r="H34693" s="18"/>
      <c r="K34693" s="18" t="s">
        <v>316</v>
      </c>
    </row>
    <row r="34694">
      <c r="A34694" s="17"/>
      <c r="H34694" s="18"/>
      <c r="K34694" s="18" t="s">
        <v>316</v>
      </c>
    </row>
    <row r="34695">
      <c r="A34695" s="17"/>
      <c r="H34695" s="18"/>
      <c r="K34695" s="18" t="s">
        <v>316</v>
      </c>
    </row>
    <row r="34696">
      <c r="A34696" s="17"/>
      <c r="H34696" s="18"/>
      <c r="K34696" s="18" t="s">
        <v>316</v>
      </c>
    </row>
    <row r="34697">
      <c r="A34697" s="17"/>
      <c r="H34697" s="18"/>
      <c r="K34697" s="18" t="s">
        <v>316</v>
      </c>
    </row>
    <row r="34698">
      <c r="A34698" s="17"/>
      <c r="H34698" s="18"/>
      <c r="K34698" s="18" t="s">
        <v>316</v>
      </c>
    </row>
    <row r="34699">
      <c r="A34699" s="17"/>
      <c r="H34699" s="18"/>
      <c r="K34699" s="18" t="s">
        <v>316</v>
      </c>
    </row>
    <row r="34700">
      <c r="A34700" s="17"/>
      <c r="H34700" s="18"/>
      <c r="K34700" s="18" t="s">
        <v>316</v>
      </c>
    </row>
    <row r="34701">
      <c r="A34701" s="17"/>
      <c r="H34701" s="18"/>
      <c r="K34701" s="18" t="s">
        <v>316</v>
      </c>
    </row>
    <row r="34702">
      <c r="A34702" s="17"/>
      <c r="H34702" s="18"/>
      <c r="K34702" s="18" t="s">
        <v>316</v>
      </c>
    </row>
    <row r="34703">
      <c r="A34703" s="17"/>
      <c r="H34703" s="18"/>
      <c r="K34703" s="18" t="s">
        <v>316</v>
      </c>
    </row>
    <row r="34704">
      <c r="A34704" s="17"/>
      <c r="H34704" s="18"/>
      <c r="K34704" s="18" t="s">
        <v>316</v>
      </c>
    </row>
    <row r="34705">
      <c r="A34705" s="17"/>
      <c r="H34705" s="18"/>
      <c r="K34705" s="18" t="s">
        <v>316</v>
      </c>
    </row>
    <row r="34706">
      <c r="A34706" s="17"/>
      <c r="H34706" s="18"/>
      <c r="K34706" s="18" t="s">
        <v>316</v>
      </c>
    </row>
    <row r="34707">
      <c r="A34707" s="17"/>
      <c r="H34707" s="18"/>
      <c r="K34707" s="18" t="s">
        <v>316</v>
      </c>
    </row>
    <row r="34708">
      <c r="A34708" s="17"/>
      <c r="H34708" s="18"/>
      <c r="K34708" s="18" t="s">
        <v>316</v>
      </c>
    </row>
    <row r="34709">
      <c r="A34709" s="17"/>
      <c r="H34709" s="18"/>
      <c r="K34709" s="18" t="s">
        <v>316</v>
      </c>
    </row>
    <row r="34710">
      <c r="A34710" s="17"/>
      <c r="H34710" s="18"/>
      <c r="K34710" s="18" t="s">
        <v>316</v>
      </c>
    </row>
    <row r="34711">
      <c r="A34711" s="17"/>
      <c r="H34711" s="18"/>
      <c r="K34711" s="18" t="s">
        <v>316</v>
      </c>
    </row>
    <row r="34712">
      <c r="A34712" s="17"/>
      <c r="H34712" s="18"/>
      <c r="K34712" s="18" t="s">
        <v>316</v>
      </c>
    </row>
    <row r="34713">
      <c r="A34713" s="17"/>
      <c r="H34713" s="18"/>
      <c r="K34713" s="18" t="s">
        <v>316</v>
      </c>
    </row>
    <row r="34714">
      <c r="A34714" s="17"/>
      <c r="H34714" s="18"/>
      <c r="K34714" s="18" t="s">
        <v>316</v>
      </c>
    </row>
    <row r="34715">
      <c r="A34715" s="17"/>
      <c r="H34715" s="18"/>
      <c r="K34715" s="18" t="s">
        <v>316</v>
      </c>
    </row>
    <row r="34716">
      <c r="A34716" s="17"/>
      <c r="H34716" s="18"/>
      <c r="K34716" s="18" t="s">
        <v>316</v>
      </c>
    </row>
    <row r="34717">
      <c r="A34717" s="17"/>
      <c r="H34717" s="18"/>
      <c r="K34717" s="18" t="s">
        <v>316</v>
      </c>
    </row>
    <row r="34718">
      <c r="A34718" s="17"/>
      <c r="H34718" s="18"/>
      <c r="K34718" s="18" t="s">
        <v>316</v>
      </c>
    </row>
    <row r="34719">
      <c r="A34719" s="17"/>
      <c r="H34719" s="18"/>
      <c r="K34719" s="18" t="s">
        <v>316</v>
      </c>
    </row>
    <row r="34720">
      <c r="A34720" s="17"/>
      <c r="H34720" s="18"/>
      <c r="K34720" s="18" t="s">
        <v>316</v>
      </c>
    </row>
    <row r="34721">
      <c r="A34721" s="17"/>
      <c r="H34721" s="18"/>
      <c r="K34721" s="18" t="s">
        <v>316</v>
      </c>
    </row>
    <row r="34722">
      <c r="A34722" s="17"/>
      <c r="H34722" s="18"/>
      <c r="K34722" s="18" t="s">
        <v>316</v>
      </c>
    </row>
    <row r="34723">
      <c r="A34723" s="17"/>
      <c r="H34723" s="18"/>
      <c r="K34723" s="18" t="s">
        <v>316</v>
      </c>
    </row>
    <row r="34724">
      <c r="A34724" s="17"/>
      <c r="H34724" s="18"/>
      <c r="K34724" s="18" t="s">
        <v>316</v>
      </c>
    </row>
    <row r="34725">
      <c r="A34725" s="17"/>
      <c r="H34725" s="18"/>
      <c r="K34725" s="18" t="s">
        <v>316</v>
      </c>
    </row>
    <row r="34726">
      <c r="A34726" s="17"/>
      <c r="H34726" s="18"/>
      <c r="K34726" s="18" t="s">
        <v>316</v>
      </c>
    </row>
    <row r="34727">
      <c r="A34727" s="17"/>
      <c r="H34727" s="18"/>
      <c r="K34727" s="18" t="s">
        <v>316</v>
      </c>
    </row>
    <row r="34728">
      <c r="A34728" s="17"/>
      <c r="H34728" s="18"/>
      <c r="K34728" s="18" t="s">
        <v>316</v>
      </c>
    </row>
    <row r="34729">
      <c r="A34729" s="17"/>
      <c r="H34729" s="18"/>
      <c r="K34729" s="18" t="s">
        <v>316</v>
      </c>
    </row>
    <row r="34730">
      <c r="A34730" s="17"/>
      <c r="H34730" s="18"/>
      <c r="K34730" s="18" t="s">
        <v>316</v>
      </c>
    </row>
    <row r="34731">
      <c r="A34731" s="17"/>
      <c r="H34731" s="18"/>
      <c r="K34731" s="18" t="s">
        <v>316</v>
      </c>
    </row>
    <row r="34732">
      <c r="A34732" s="17"/>
      <c r="H34732" s="18"/>
      <c r="K34732" s="18" t="s">
        <v>316</v>
      </c>
    </row>
    <row r="34733">
      <c r="A34733" s="17"/>
      <c r="H34733" s="18"/>
      <c r="K34733" s="18" t="s">
        <v>316</v>
      </c>
    </row>
    <row r="34734">
      <c r="A34734" s="17"/>
      <c r="H34734" s="18"/>
      <c r="K34734" s="18" t="s">
        <v>316</v>
      </c>
    </row>
    <row r="34735">
      <c r="A34735" s="17"/>
      <c r="H34735" s="18"/>
      <c r="K34735" s="18" t="s">
        <v>316</v>
      </c>
    </row>
    <row r="34736">
      <c r="A34736" s="17"/>
      <c r="H34736" s="18"/>
      <c r="K34736" s="18" t="s">
        <v>316</v>
      </c>
    </row>
    <row r="34737">
      <c r="A34737" s="17"/>
      <c r="H34737" s="18"/>
      <c r="K34737" s="18" t="s">
        <v>316</v>
      </c>
    </row>
    <row r="34738">
      <c r="A34738" s="17"/>
      <c r="H34738" s="18"/>
      <c r="K34738" s="18" t="s">
        <v>316</v>
      </c>
    </row>
    <row r="34739">
      <c r="A34739" s="17"/>
      <c r="H34739" s="18"/>
      <c r="K34739" s="18" t="s">
        <v>316</v>
      </c>
    </row>
    <row r="34740">
      <c r="A34740" s="17"/>
      <c r="H34740" s="18"/>
      <c r="K34740" s="18" t="s">
        <v>316</v>
      </c>
    </row>
    <row r="34741">
      <c r="A34741" s="17"/>
      <c r="H34741" s="18"/>
      <c r="K34741" s="18" t="s">
        <v>316</v>
      </c>
    </row>
    <row r="34742">
      <c r="A34742" s="17"/>
      <c r="H34742" s="18"/>
      <c r="K34742" s="18" t="s">
        <v>316</v>
      </c>
    </row>
    <row r="34743">
      <c r="A34743" s="17"/>
      <c r="H34743" s="18"/>
      <c r="K34743" s="18" t="s">
        <v>316</v>
      </c>
    </row>
    <row r="34744">
      <c r="A34744" s="17"/>
      <c r="H34744" s="18"/>
      <c r="K34744" s="18" t="s">
        <v>316</v>
      </c>
    </row>
    <row r="34745">
      <c r="A34745" s="17"/>
      <c r="H34745" s="18"/>
      <c r="K34745" s="18" t="s">
        <v>316</v>
      </c>
    </row>
    <row r="34746">
      <c r="A34746" s="17"/>
      <c r="H34746" s="18"/>
      <c r="K34746" s="18" t="s">
        <v>316</v>
      </c>
    </row>
    <row r="34747">
      <c r="A34747" s="17"/>
      <c r="H34747" s="18"/>
      <c r="K34747" s="18" t="s">
        <v>316</v>
      </c>
    </row>
    <row r="34748">
      <c r="A34748" s="17"/>
      <c r="H34748" s="18"/>
      <c r="K34748" s="18" t="s">
        <v>316</v>
      </c>
    </row>
    <row r="34749">
      <c r="A34749" s="17"/>
      <c r="H34749" s="18"/>
      <c r="K34749" s="18" t="s">
        <v>316</v>
      </c>
    </row>
    <row r="34750">
      <c r="A34750" s="17"/>
      <c r="H34750" s="18"/>
      <c r="K34750" s="18" t="s">
        <v>316</v>
      </c>
    </row>
    <row r="34751">
      <c r="A34751" s="17"/>
      <c r="H34751" s="18"/>
      <c r="K34751" s="18" t="s">
        <v>316</v>
      </c>
    </row>
    <row r="34752">
      <c r="A34752" s="17"/>
      <c r="H34752" s="18"/>
      <c r="K34752" s="18" t="s">
        <v>316</v>
      </c>
    </row>
    <row r="34753">
      <c r="A34753" s="17"/>
      <c r="H34753" s="18"/>
      <c r="K34753" s="18" t="s">
        <v>316</v>
      </c>
    </row>
    <row r="34754">
      <c r="A34754" s="17"/>
      <c r="H34754" s="18"/>
      <c r="K34754" s="18" t="s">
        <v>316</v>
      </c>
    </row>
    <row r="34755">
      <c r="A34755" s="17"/>
      <c r="H34755" s="18"/>
      <c r="K34755" s="18" t="s">
        <v>316</v>
      </c>
    </row>
    <row r="34756">
      <c r="A34756" s="17"/>
      <c r="H34756" s="18"/>
      <c r="K34756" s="18" t="s">
        <v>316</v>
      </c>
    </row>
    <row r="34757">
      <c r="A34757" s="17"/>
      <c r="H34757" s="18"/>
      <c r="K34757" s="18" t="s">
        <v>316</v>
      </c>
    </row>
    <row r="34758">
      <c r="A34758" s="17"/>
      <c r="H34758" s="18"/>
      <c r="K34758" s="18" t="s">
        <v>316</v>
      </c>
    </row>
    <row r="34759">
      <c r="A34759" s="17"/>
      <c r="H34759" s="18"/>
      <c r="K34759" s="18" t="s">
        <v>316</v>
      </c>
    </row>
    <row r="34760">
      <c r="A34760" s="17"/>
      <c r="H34760" s="18"/>
      <c r="K34760" s="18" t="s">
        <v>316</v>
      </c>
    </row>
    <row r="34761">
      <c r="A34761" s="17"/>
      <c r="H34761" s="18"/>
      <c r="K34761" s="18" t="s">
        <v>316</v>
      </c>
    </row>
    <row r="34762">
      <c r="A34762" s="17"/>
      <c r="H34762" s="18"/>
      <c r="K34762" s="18" t="s">
        <v>316</v>
      </c>
    </row>
    <row r="34763">
      <c r="A34763" s="17"/>
      <c r="H34763" s="18"/>
      <c r="K34763" s="18" t="s">
        <v>316</v>
      </c>
    </row>
    <row r="34764">
      <c r="A34764" s="17"/>
      <c r="H34764" s="18"/>
      <c r="K34764" s="18" t="s">
        <v>316</v>
      </c>
    </row>
    <row r="34765">
      <c r="A34765" s="17"/>
      <c r="H34765" s="18"/>
      <c r="K34765" s="18" t="s">
        <v>316</v>
      </c>
    </row>
    <row r="34766">
      <c r="A34766" s="17"/>
      <c r="H34766" s="18"/>
      <c r="K34766" s="18" t="s">
        <v>316</v>
      </c>
    </row>
    <row r="34767">
      <c r="A34767" s="17"/>
      <c r="H34767" s="18"/>
      <c r="K34767" s="18" t="s">
        <v>316</v>
      </c>
    </row>
    <row r="34768">
      <c r="A34768" s="17"/>
      <c r="H34768" s="18"/>
      <c r="K34768" s="18" t="s">
        <v>316</v>
      </c>
    </row>
    <row r="34769">
      <c r="A34769" s="17"/>
      <c r="H34769" s="18"/>
      <c r="K34769" s="18" t="s">
        <v>316</v>
      </c>
    </row>
    <row r="34770">
      <c r="A34770" s="17"/>
      <c r="H34770" s="18"/>
      <c r="K34770" s="18" t="s">
        <v>316</v>
      </c>
    </row>
    <row r="34771">
      <c r="A34771" s="17"/>
      <c r="H34771" s="18"/>
      <c r="K34771" s="18" t="s">
        <v>316</v>
      </c>
    </row>
    <row r="34772">
      <c r="A34772" s="17"/>
      <c r="H34772" s="18"/>
      <c r="K34772" s="18" t="s">
        <v>316</v>
      </c>
    </row>
    <row r="34773">
      <c r="A34773" s="17"/>
      <c r="H34773" s="18"/>
      <c r="K34773" s="18" t="s">
        <v>316</v>
      </c>
    </row>
    <row r="34774">
      <c r="A34774" s="17"/>
      <c r="H34774" s="18"/>
      <c r="K34774" s="18" t="s">
        <v>316</v>
      </c>
    </row>
    <row r="34775">
      <c r="A34775" s="17"/>
      <c r="H34775" s="18"/>
      <c r="K34775" s="18" t="s">
        <v>316</v>
      </c>
    </row>
    <row r="34776">
      <c r="A34776" s="17"/>
      <c r="H34776" s="18"/>
      <c r="K34776" s="18" t="s">
        <v>316</v>
      </c>
    </row>
    <row r="34777">
      <c r="A34777" s="17"/>
      <c r="H34777" s="18"/>
      <c r="K34777" s="18" t="s">
        <v>316</v>
      </c>
    </row>
    <row r="34778">
      <c r="A34778" s="17"/>
      <c r="H34778" s="18"/>
      <c r="K34778" s="18" t="s">
        <v>316</v>
      </c>
    </row>
    <row r="34779">
      <c r="A34779" s="17"/>
      <c r="H34779" s="18"/>
      <c r="K34779" s="18" t="s">
        <v>316</v>
      </c>
    </row>
    <row r="34780">
      <c r="A34780" s="17"/>
      <c r="H34780" s="18"/>
      <c r="K34780" s="18" t="s">
        <v>316</v>
      </c>
    </row>
    <row r="34781">
      <c r="A34781" s="17"/>
      <c r="H34781" s="18"/>
      <c r="K34781" s="18" t="s">
        <v>316</v>
      </c>
    </row>
    <row r="34782">
      <c r="A34782" s="17"/>
      <c r="H34782" s="18"/>
      <c r="K34782" s="18" t="s">
        <v>316</v>
      </c>
    </row>
    <row r="34783">
      <c r="A34783" s="17"/>
      <c r="H34783" s="18"/>
      <c r="K34783" s="18" t="s">
        <v>316</v>
      </c>
    </row>
    <row r="34784">
      <c r="A34784" s="17"/>
      <c r="H34784" s="18"/>
      <c r="K34784" s="18" t="s">
        <v>316</v>
      </c>
    </row>
    <row r="34785">
      <c r="A34785" s="17"/>
      <c r="H34785" s="18"/>
      <c r="K34785" s="18" t="s">
        <v>316</v>
      </c>
    </row>
    <row r="34786">
      <c r="A34786" s="17"/>
      <c r="H34786" s="18"/>
      <c r="K34786" s="18" t="s">
        <v>316</v>
      </c>
    </row>
    <row r="34787">
      <c r="A34787" s="17"/>
      <c r="H34787" s="18"/>
      <c r="K34787" s="18" t="s">
        <v>316</v>
      </c>
    </row>
    <row r="34788">
      <c r="A34788" s="17"/>
      <c r="H34788" s="18"/>
      <c r="K34788" s="18" t="s">
        <v>316</v>
      </c>
    </row>
    <row r="34789">
      <c r="A34789" s="17"/>
      <c r="H34789" s="18"/>
      <c r="K34789" s="18" t="s">
        <v>316</v>
      </c>
    </row>
    <row r="34790">
      <c r="A34790" s="17"/>
      <c r="H34790" s="18"/>
      <c r="K34790" s="18" t="s">
        <v>316</v>
      </c>
    </row>
    <row r="34791">
      <c r="A34791" s="17"/>
      <c r="H34791" s="18"/>
      <c r="K34791" s="18" t="s">
        <v>316</v>
      </c>
    </row>
    <row r="34792">
      <c r="A34792" s="17"/>
      <c r="H34792" s="18"/>
      <c r="K34792" s="18" t="s">
        <v>316</v>
      </c>
    </row>
    <row r="34793">
      <c r="A34793" s="17"/>
      <c r="H34793" s="18"/>
      <c r="K34793" s="18" t="s">
        <v>316</v>
      </c>
    </row>
    <row r="34794">
      <c r="A34794" s="17"/>
      <c r="H34794" s="18"/>
      <c r="K34794" s="18" t="s">
        <v>316</v>
      </c>
    </row>
    <row r="34795">
      <c r="A34795" s="17"/>
      <c r="H34795" s="18"/>
      <c r="K34795" s="18" t="s">
        <v>316</v>
      </c>
    </row>
    <row r="34796">
      <c r="A34796" s="17"/>
      <c r="H34796" s="18"/>
      <c r="K34796" s="18" t="s">
        <v>316</v>
      </c>
    </row>
    <row r="34797">
      <c r="A34797" s="17"/>
      <c r="H34797" s="18"/>
      <c r="K34797" s="18" t="s">
        <v>316</v>
      </c>
    </row>
    <row r="34798">
      <c r="A34798" s="17"/>
      <c r="H34798" s="18"/>
      <c r="K34798" s="18" t="s">
        <v>316</v>
      </c>
    </row>
    <row r="34799">
      <c r="A34799" s="17"/>
      <c r="H34799" s="18"/>
      <c r="K34799" s="18" t="s">
        <v>316</v>
      </c>
    </row>
    <row r="34800">
      <c r="A34800" s="17"/>
      <c r="H34800" s="18"/>
      <c r="K34800" s="18" t="s">
        <v>316</v>
      </c>
    </row>
    <row r="34801">
      <c r="A34801" s="17"/>
      <c r="H34801" s="18"/>
      <c r="K34801" s="18" t="s">
        <v>316</v>
      </c>
    </row>
    <row r="34802">
      <c r="A34802" s="17"/>
      <c r="H34802" s="18"/>
      <c r="K34802" s="18" t="s">
        <v>316</v>
      </c>
    </row>
    <row r="34803">
      <c r="A34803" s="17"/>
      <c r="H34803" s="18"/>
      <c r="K34803" s="18" t="s">
        <v>316</v>
      </c>
    </row>
    <row r="34804">
      <c r="A34804" s="17"/>
      <c r="H34804" s="18"/>
      <c r="K34804" s="18" t="s">
        <v>316</v>
      </c>
    </row>
    <row r="34805">
      <c r="A34805" s="17"/>
      <c r="H34805" s="18"/>
      <c r="K34805" s="18" t="s">
        <v>316</v>
      </c>
    </row>
    <row r="34806">
      <c r="A34806" s="17"/>
      <c r="H34806" s="18"/>
      <c r="K34806" s="18" t="s">
        <v>316</v>
      </c>
    </row>
    <row r="34807">
      <c r="A34807" s="17"/>
      <c r="H34807" s="18"/>
      <c r="K34807" s="18" t="s">
        <v>316</v>
      </c>
    </row>
    <row r="34808">
      <c r="A34808" s="17"/>
      <c r="H34808" s="18"/>
      <c r="K34808" s="18" t="s">
        <v>316</v>
      </c>
    </row>
    <row r="34809">
      <c r="A34809" s="17"/>
      <c r="H34809" s="18"/>
      <c r="K34809" s="18" t="s">
        <v>316</v>
      </c>
    </row>
    <row r="34810">
      <c r="A34810" s="17"/>
      <c r="H34810" s="18"/>
      <c r="K34810" s="18" t="s">
        <v>316</v>
      </c>
    </row>
    <row r="34811">
      <c r="A34811" s="17"/>
      <c r="H34811" s="18"/>
      <c r="K34811" s="18" t="s">
        <v>316</v>
      </c>
    </row>
    <row r="34812">
      <c r="A34812" s="17"/>
      <c r="H34812" s="18"/>
      <c r="K34812" s="18" t="s">
        <v>316</v>
      </c>
    </row>
    <row r="34813">
      <c r="A34813" s="17"/>
      <c r="H34813" s="18"/>
      <c r="K34813" s="18" t="s">
        <v>316</v>
      </c>
    </row>
    <row r="34814">
      <c r="A34814" s="17"/>
      <c r="H34814" s="18"/>
      <c r="K34814" s="18" t="s">
        <v>316</v>
      </c>
    </row>
    <row r="34815">
      <c r="A34815" s="17"/>
      <c r="H34815" s="18"/>
      <c r="K34815" s="18" t="s">
        <v>316</v>
      </c>
    </row>
    <row r="34816">
      <c r="A34816" s="17"/>
      <c r="H34816" s="18"/>
      <c r="K34816" s="18" t="s">
        <v>316</v>
      </c>
    </row>
    <row r="34817">
      <c r="A34817" s="17"/>
      <c r="H34817" s="18"/>
      <c r="K34817" s="18" t="s">
        <v>316</v>
      </c>
    </row>
    <row r="34818">
      <c r="A34818" s="17"/>
      <c r="H34818" s="18"/>
      <c r="K34818" s="18" t="s">
        <v>316</v>
      </c>
    </row>
    <row r="34819">
      <c r="A34819" s="17"/>
      <c r="H34819" s="18"/>
      <c r="K34819" s="18" t="s">
        <v>316</v>
      </c>
    </row>
    <row r="34820">
      <c r="A34820" s="17"/>
      <c r="H34820" s="18"/>
      <c r="K34820" s="18" t="s">
        <v>316</v>
      </c>
    </row>
    <row r="34821">
      <c r="A34821" s="17"/>
      <c r="H34821" s="18"/>
      <c r="K34821" s="18" t="s">
        <v>316</v>
      </c>
    </row>
    <row r="34822">
      <c r="A34822" s="17"/>
      <c r="H34822" s="18"/>
      <c r="K34822" s="18" t="s">
        <v>316</v>
      </c>
    </row>
    <row r="34823">
      <c r="A34823" s="17"/>
      <c r="H34823" s="18"/>
      <c r="K34823" s="18" t="s">
        <v>316</v>
      </c>
    </row>
    <row r="34824">
      <c r="A34824" s="17"/>
      <c r="H34824" s="18"/>
      <c r="K34824" s="18" t="s">
        <v>316</v>
      </c>
    </row>
    <row r="34825">
      <c r="A34825" s="17"/>
      <c r="H34825" s="18"/>
      <c r="K34825" s="18" t="s">
        <v>316</v>
      </c>
    </row>
    <row r="34826">
      <c r="A34826" s="17"/>
      <c r="H34826" s="18"/>
      <c r="K34826" s="18" t="s">
        <v>316</v>
      </c>
    </row>
    <row r="34827">
      <c r="A34827" s="17"/>
      <c r="H34827" s="18"/>
      <c r="K34827" s="18" t="s">
        <v>316</v>
      </c>
    </row>
    <row r="34828">
      <c r="A34828" s="17"/>
      <c r="H34828" s="18"/>
      <c r="K34828" s="18" t="s">
        <v>316</v>
      </c>
    </row>
    <row r="34829">
      <c r="A34829" s="17"/>
      <c r="H34829" s="18"/>
      <c r="K34829" s="18" t="s">
        <v>316</v>
      </c>
    </row>
    <row r="34830">
      <c r="A34830" s="17"/>
      <c r="H34830" s="18"/>
      <c r="K34830" s="18" t="s">
        <v>316</v>
      </c>
    </row>
    <row r="34831">
      <c r="A34831" s="17"/>
      <c r="H34831" s="18"/>
      <c r="K34831" s="18" t="s">
        <v>316</v>
      </c>
    </row>
    <row r="34832">
      <c r="A34832" s="17"/>
      <c r="H34832" s="18"/>
      <c r="K34832" s="18" t="s">
        <v>316</v>
      </c>
    </row>
    <row r="34833">
      <c r="A34833" s="17"/>
      <c r="H34833" s="18"/>
      <c r="K34833" s="18" t="s">
        <v>316</v>
      </c>
    </row>
    <row r="34834">
      <c r="A34834" s="17"/>
      <c r="H34834" s="18"/>
      <c r="K34834" s="18" t="s">
        <v>316</v>
      </c>
    </row>
    <row r="34835">
      <c r="A34835" s="17"/>
      <c r="H34835" s="18"/>
      <c r="K34835" s="18" t="s">
        <v>316</v>
      </c>
    </row>
    <row r="34836">
      <c r="A34836" s="17"/>
      <c r="H34836" s="18"/>
      <c r="K34836" s="18" t="s">
        <v>316</v>
      </c>
    </row>
    <row r="34837">
      <c r="A34837" s="17"/>
      <c r="H34837" s="18"/>
      <c r="K34837" s="18" t="s">
        <v>316</v>
      </c>
    </row>
    <row r="34838">
      <c r="A34838" s="17"/>
      <c r="H34838" s="18"/>
      <c r="K34838" s="18" t="s">
        <v>316</v>
      </c>
    </row>
    <row r="34839">
      <c r="A34839" s="17"/>
      <c r="H34839" s="18"/>
      <c r="K34839" s="18" t="s">
        <v>316</v>
      </c>
    </row>
    <row r="34840">
      <c r="A34840" s="17"/>
      <c r="H34840" s="18"/>
      <c r="K34840" s="18" t="s">
        <v>316</v>
      </c>
    </row>
    <row r="34841">
      <c r="A34841" s="17"/>
      <c r="H34841" s="18"/>
      <c r="K34841" s="18" t="s">
        <v>316</v>
      </c>
    </row>
    <row r="34842">
      <c r="A34842" s="17"/>
      <c r="H34842" s="18"/>
      <c r="K34842" s="18" t="s">
        <v>316</v>
      </c>
    </row>
    <row r="34843">
      <c r="A34843" s="17"/>
      <c r="H34843" s="18"/>
      <c r="K34843" s="18" t="s">
        <v>316</v>
      </c>
    </row>
    <row r="34844">
      <c r="A34844" s="17"/>
      <c r="H34844" s="18"/>
      <c r="K34844" s="18" t="s">
        <v>316</v>
      </c>
    </row>
    <row r="34845">
      <c r="A34845" s="17"/>
      <c r="H34845" s="18"/>
      <c r="K34845" s="18" t="s">
        <v>316</v>
      </c>
    </row>
    <row r="34846">
      <c r="A34846" s="17"/>
      <c r="H34846" s="18"/>
      <c r="K34846" s="18" t="s">
        <v>316</v>
      </c>
    </row>
    <row r="34847">
      <c r="A34847" s="17"/>
      <c r="H34847" s="18"/>
      <c r="K34847" s="18" t="s">
        <v>316</v>
      </c>
    </row>
    <row r="34848">
      <c r="A34848" s="17"/>
      <c r="H34848" s="18"/>
      <c r="K34848" s="18" t="s">
        <v>316</v>
      </c>
    </row>
    <row r="34849">
      <c r="A34849" s="17"/>
      <c r="H34849" s="18"/>
      <c r="K34849" s="18" t="s">
        <v>316</v>
      </c>
    </row>
    <row r="34850">
      <c r="A34850" s="17"/>
      <c r="H34850" s="18"/>
      <c r="K34850" s="18" t="s">
        <v>316</v>
      </c>
    </row>
    <row r="34851">
      <c r="A34851" s="17"/>
      <c r="H34851" s="18"/>
      <c r="K34851" s="18" t="s">
        <v>316</v>
      </c>
    </row>
    <row r="34852">
      <c r="A34852" s="17"/>
      <c r="H34852" s="18"/>
      <c r="K34852" s="18" t="s">
        <v>316</v>
      </c>
    </row>
    <row r="34853">
      <c r="A34853" s="17"/>
      <c r="H34853" s="18"/>
      <c r="K34853" s="18" t="s">
        <v>316</v>
      </c>
    </row>
    <row r="34854">
      <c r="A34854" s="17"/>
      <c r="H34854" s="18"/>
      <c r="K34854" s="18" t="s">
        <v>316</v>
      </c>
    </row>
    <row r="34855">
      <c r="A34855" s="17"/>
      <c r="H34855" s="18"/>
      <c r="K34855" s="18" t="s">
        <v>316</v>
      </c>
    </row>
    <row r="34856">
      <c r="A34856" s="17"/>
      <c r="H34856" s="18"/>
      <c r="K34856" s="18" t="s">
        <v>316</v>
      </c>
    </row>
    <row r="34857">
      <c r="A34857" s="17"/>
      <c r="H34857" s="18"/>
      <c r="K34857" s="18" t="s">
        <v>316</v>
      </c>
    </row>
    <row r="34858">
      <c r="A34858" s="17"/>
      <c r="H34858" s="18"/>
      <c r="K34858" s="18" t="s">
        <v>316</v>
      </c>
    </row>
    <row r="34859">
      <c r="A34859" s="17"/>
      <c r="H34859" s="18"/>
      <c r="K34859" s="18" t="s">
        <v>316</v>
      </c>
    </row>
    <row r="34860">
      <c r="A34860" s="17"/>
      <c r="H34860" s="18"/>
      <c r="K34860" s="18" t="s">
        <v>316</v>
      </c>
    </row>
    <row r="34861">
      <c r="A34861" s="17"/>
      <c r="H34861" s="18"/>
      <c r="K34861" s="18" t="s">
        <v>316</v>
      </c>
    </row>
    <row r="34862">
      <c r="A34862" s="17"/>
      <c r="H34862" s="18"/>
      <c r="K34862" s="18" t="s">
        <v>316</v>
      </c>
    </row>
    <row r="34863">
      <c r="A34863" s="17"/>
      <c r="H34863" s="18"/>
      <c r="K34863" s="18" t="s">
        <v>316</v>
      </c>
    </row>
    <row r="34864">
      <c r="A34864" s="17"/>
      <c r="H34864" s="18"/>
      <c r="K34864" s="18" t="s">
        <v>316</v>
      </c>
    </row>
    <row r="34865">
      <c r="A34865" s="17"/>
      <c r="H34865" s="18"/>
      <c r="K34865" s="18" t="s">
        <v>316</v>
      </c>
    </row>
    <row r="34866">
      <c r="A34866" s="17"/>
      <c r="H34866" s="18"/>
      <c r="K34866" s="18" t="s">
        <v>316</v>
      </c>
    </row>
    <row r="34867">
      <c r="A34867" s="17"/>
      <c r="H34867" s="18"/>
      <c r="K34867" s="18" t="s">
        <v>316</v>
      </c>
    </row>
    <row r="34868">
      <c r="A34868" s="17"/>
      <c r="H34868" s="18"/>
      <c r="K34868" s="18" t="s">
        <v>316</v>
      </c>
    </row>
    <row r="34869">
      <c r="A34869" s="17"/>
      <c r="H34869" s="18"/>
      <c r="K34869" s="18" t="s">
        <v>316</v>
      </c>
    </row>
    <row r="34870">
      <c r="A34870" s="17"/>
      <c r="H34870" s="18"/>
      <c r="K34870" s="18" t="s">
        <v>316</v>
      </c>
    </row>
    <row r="34871">
      <c r="A34871" s="17"/>
      <c r="H34871" s="18"/>
      <c r="K34871" s="18" t="s">
        <v>316</v>
      </c>
    </row>
    <row r="34872">
      <c r="A34872" s="17"/>
      <c r="H34872" s="18"/>
      <c r="K34872" s="18" t="s">
        <v>316</v>
      </c>
    </row>
    <row r="34873">
      <c r="A34873" s="17"/>
      <c r="H34873" s="18"/>
      <c r="K34873" s="18" t="s">
        <v>316</v>
      </c>
    </row>
    <row r="34874">
      <c r="A34874" s="17"/>
      <c r="H34874" s="18"/>
      <c r="K34874" s="18" t="s">
        <v>316</v>
      </c>
    </row>
    <row r="34875">
      <c r="A34875" s="17"/>
      <c r="H34875" s="18"/>
      <c r="K34875" s="18" t="s">
        <v>316</v>
      </c>
    </row>
    <row r="34876">
      <c r="A34876" s="17"/>
      <c r="H34876" s="18"/>
      <c r="K34876" s="18" t="s">
        <v>316</v>
      </c>
    </row>
    <row r="34877">
      <c r="A34877" s="17"/>
      <c r="H34877" s="18"/>
      <c r="K34877" s="18" t="s">
        <v>316</v>
      </c>
    </row>
    <row r="34878">
      <c r="A34878" s="17"/>
      <c r="H34878" s="18"/>
      <c r="K34878" s="18" t="s">
        <v>316</v>
      </c>
    </row>
    <row r="34879">
      <c r="A34879" s="17"/>
      <c r="H34879" s="18"/>
      <c r="K34879" s="18" t="s">
        <v>316</v>
      </c>
    </row>
    <row r="34880">
      <c r="A34880" s="17"/>
      <c r="H34880" s="18"/>
      <c r="K34880" s="18" t="s">
        <v>316</v>
      </c>
    </row>
    <row r="34881">
      <c r="A34881" s="17"/>
      <c r="H34881" s="18"/>
      <c r="K34881" s="18" t="s">
        <v>316</v>
      </c>
    </row>
    <row r="34882">
      <c r="A34882" s="17"/>
      <c r="H34882" s="18"/>
      <c r="K34882" s="18" t="s">
        <v>316</v>
      </c>
    </row>
    <row r="34883">
      <c r="A34883" s="17"/>
      <c r="H34883" s="18"/>
      <c r="K34883" s="18" t="s">
        <v>316</v>
      </c>
    </row>
    <row r="34884">
      <c r="A34884" s="17"/>
      <c r="H34884" s="18"/>
      <c r="K34884" s="18" t="s">
        <v>316</v>
      </c>
    </row>
    <row r="34885">
      <c r="A34885" s="17"/>
      <c r="H34885" s="18"/>
      <c r="K34885" s="18" t="s">
        <v>316</v>
      </c>
    </row>
    <row r="34886">
      <c r="A34886" s="17"/>
      <c r="H34886" s="18"/>
      <c r="K34886" s="18" t="s">
        <v>316</v>
      </c>
    </row>
    <row r="34887">
      <c r="A34887" s="17"/>
      <c r="H34887" s="18"/>
      <c r="K34887" s="18" t="s">
        <v>316</v>
      </c>
    </row>
    <row r="34888">
      <c r="A34888" s="17"/>
      <c r="H34888" s="18"/>
      <c r="K34888" s="18" t="s">
        <v>316</v>
      </c>
    </row>
    <row r="34889">
      <c r="A34889" s="17"/>
      <c r="H34889" s="18"/>
      <c r="K34889" s="18" t="s">
        <v>316</v>
      </c>
    </row>
    <row r="34890">
      <c r="A34890" s="17"/>
      <c r="H34890" s="18"/>
      <c r="K34890" s="18" t="s">
        <v>316</v>
      </c>
    </row>
    <row r="34891">
      <c r="A34891" s="17"/>
      <c r="H34891" s="18"/>
      <c r="K34891" s="18" t="s">
        <v>316</v>
      </c>
    </row>
    <row r="34892">
      <c r="A34892" s="17"/>
      <c r="H34892" s="18"/>
      <c r="K34892" s="18" t="s">
        <v>316</v>
      </c>
    </row>
    <row r="34893">
      <c r="A34893" s="17"/>
      <c r="H34893" s="18"/>
      <c r="K34893" s="18" t="s">
        <v>316</v>
      </c>
    </row>
    <row r="34894">
      <c r="A34894" s="17"/>
      <c r="H34894" s="18"/>
      <c r="K34894" s="18" t="s">
        <v>316</v>
      </c>
    </row>
    <row r="34895">
      <c r="A34895" s="17"/>
      <c r="H34895" s="18"/>
      <c r="K34895" s="18" t="s">
        <v>316</v>
      </c>
    </row>
    <row r="34896">
      <c r="A34896" s="17"/>
      <c r="H34896" s="18"/>
      <c r="K34896" s="18" t="s">
        <v>316</v>
      </c>
    </row>
    <row r="34897">
      <c r="A34897" s="17"/>
      <c r="H34897" s="18"/>
      <c r="K34897" s="18" t="s">
        <v>316</v>
      </c>
    </row>
    <row r="34898">
      <c r="A34898" s="17"/>
      <c r="H34898" s="18"/>
      <c r="K34898" s="18" t="s">
        <v>316</v>
      </c>
    </row>
    <row r="34899">
      <c r="A34899" s="17"/>
      <c r="H34899" s="18"/>
      <c r="K34899" s="18" t="s">
        <v>316</v>
      </c>
    </row>
    <row r="34900">
      <c r="A34900" s="17"/>
      <c r="H34900" s="18"/>
      <c r="K34900" s="18" t="s">
        <v>316</v>
      </c>
    </row>
    <row r="34901">
      <c r="A34901" s="17"/>
      <c r="H34901" s="18"/>
      <c r="K34901" s="18" t="s">
        <v>316</v>
      </c>
    </row>
    <row r="34902">
      <c r="A34902" s="17"/>
      <c r="H34902" s="18"/>
      <c r="K34902" s="18" t="s">
        <v>316</v>
      </c>
    </row>
    <row r="34903">
      <c r="A34903" s="17"/>
      <c r="H34903" s="18"/>
      <c r="K34903" s="18" t="s">
        <v>316</v>
      </c>
    </row>
    <row r="34904">
      <c r="A34904" s="17"/>
      <c r="H34904" s="18"/>
      <c r="K34904" s="18" t="s">
        <v>316</v>
      </c>
    </row>
    <row r="34905">
      <c r="A34905" s="17"/>
      <c r="H34905" s="18"/>
      <c r="K34905" s="18" t="s">
        <v>316</v>
      </c>
    </row>
    <row r="34906">
      <c r="A34906" s="17"/>
      <c r="H34906" s="18"/>
      <c r="K34906" s="18" t="s">
        <v>316</v>
      </c>
    </row>
    <row r="34907">
      <c r="A34907" s="17"/>
      <c r="H34907" s="18"/>
      <c r="K34907" s="18" t="s">
        <v>316</v>
      </c>
    </row>
    <row r="34908">
      <c r="A34908" s="17"/>
      <c r="H34908" s="18"/>
      <c r="K34908" s="18" t="s">
        <v>316</v>
      </c>
    </row>
    <row r="34909">
      <c r="A34909" s="17"/>
      <c r="H34909" s="18"/>
      <c r="K34909" s="18" t="s">
        <v>316</v>
      </c>
    </row>
    <row r="34910">
      <c r="A34910" s="17"/>
      <c r="H34910" s="18"/>
      <c r="K34910" s="18" t="s">
        <v>316</v>
      </c>
    </row>
    <row r="34911">
      <c r="A34911" s="17"/>
      <c r="H34911" s="18"/>
      <c r="K34911" s="18" t="s">
        <v>316</v>
      </c>
    </row>
    <row r="34912">
      <c r="A34912" s="17"/>
      <c r="H34912" s="18"/>
      <c r="K34912" s="18" t="s">
        <v>316</v>
      </c>
    </row>
    <row r="34913">
      <c r="A34913" s="17"/>
      <c r="H34913" s="18"/>
      <c r="K34913" s="18" t="s">
        <v>316</v>
      </c>
    </row>
    <row r="34914">
      <c r="A34914" s="17"/>
      <c r="H34914" s="18"/>
      <c r="K34914" s="18" t="s">
        <v>316</v>
      </c>
    </row>
    <row r="34915">
      <c r="A34915" s="17"/>
      <c r="H34915" s="18"/>
      <c r="K34915" s="18" t="s">
        <v>316</v>
      </c>
    </row>
    <row r="34916">
      <c r="A34916" s="17"/>
      <c r="H34916" s="18"/>
      <c r="K34916" s="18" t="s">
        <v>316</v>
      </c>
    </row>
    <row r="34917">
      <c r="A34917" s="17"/>
      <c r="H34917" s="18"/>
      <c r="K34917" s="18" t="s">
        <v>316</v>
      </c>
    </row>
    <row r="34918">
      <c r="A34918" s="17"/>
      <c r="H34918" s="18"/>
      <c r="K34918" s="18" t="s">
        <v>316</v>
      </c>
    </row>
    <row r="34919">
      <c r="A34919" s="17"/>
      <c r="H34919" s="18"/>
      <c r="K34919" s="18" t="s">
        <v>316</v>
      </c>
    </row>
    <row r="34920">
      <c r="A34920" s="17"/>
      <c r="H34920" s="18"/>
      <c r="K34920" s="18" t="s">
        <v>316</v>
      </c>
    </row>
    <row r="34921">
      <c r="A34921" s="17"/>
      <c r="H34921" s="18"/>
      <c r="K34921" s="18" t="s">
        <v>316</v>
      </c>
    </row>
    <row r="34922">
      <c r="A34922" s="17"/>
      <c r="H34922" s="18"/>
      <c r="K34922" s="18" t="s">
        <v>316</v>
      </c>
    </row>
    <row r="34923">
      <c r="A34923" s="17"/>
      <c r="H34923" s="18"/>
      <c r="K34923" s="18" t="s">
        <v>316</v>
      </c>
    </row>
    <row r="34924">
      <c r="A34924" s="17"/>
      <c r="H34924" s="18"/>
      <c r="K34924" s="18" t="s">
        <v>316</v>
      </c>
    </row>
    <row r="34925">
      <c r="A34925" s="17"/>
      <c r="H34925" s="18"/>
      <c r="K34925" s="18" t="s">
        <v>316</v>
      </c>
    </row>
    <row r="34926">
      <c r="A34926" s="17"/>
      <c r="H34926" s="18"/>
      <c r="K34926" s="18" t="s">
        <v>316</v>
      </c>
    </row>
    <row r="34927">
      <c r="A34927" s="17"/>
      <c r="H34927" s="18"/>
      <c r="K34927" s="18" t="s">
        <v>316</v>
      </c>
    </row>
    <row r="34928">
      <c r="A34928" s="17"/>
      <c r="H34928" s="18"/>
      <c r="K34928" s="18" t="s">
        <v>316</v>
      </c>
    </row>
    <row r="34929">
      <c r="A34929" s="17"/>
      <c r="H34929" s="18"/>
      <c r="K34929" s="18" t="s">
        <v>316</v>
      </c>
    </row>
    <row r="34930">
      <c r="A34930" s="17"/>
      <c r="H34930" s="18"/>
      <c r="K34930" s="18" t="s">
        <v>316</v>
      </c>
    </row>
    <row r="34931">
      <c r="A34931" s="17"/>
      <c r="H34931" s="18"/>
      <c r="K34931" s="18" t="s">
        <v>316</v>
      </c>
    </row>
    <row r="34932">
      <c r="A34932" s="17"/>
      <c r="H34932" s="18"/>
      <c r="K34932" s="18" t="s">
        <v>316</v>
      </c>
    </row>
    <row r="34933">
      <c r="A34933" s="17"/>
      <c r="H34933" s="18"/>
      <c r="K34933" s="18" t="s">
        <v>316</v>
      </c>
    </row>
    <row r="34934">
      <c r="A34934" s="17"/>
      <c r="H34934" s="18"/>
      <c r="K34934" s="18" t="s">
        <v>316</v>
      </c>
    </row>
    <row r="34935">
      <c r="A34935" s="17"/>
      <c r="H34935" s="18"/>
      <c r="K34935" s="18" t="s">
        <v>316</v>
      </c>
    </row>
    <row r="34936">
      <c r="A34936" s="17"/>
      <c r="H34936" s="18"/>
      <c r="K34936" s="18" t="s">
        <v>316</v>
      </c>
    </row>
    <row r="34937">
      <c r="A34937" s="17"/>
      <c r="H34937" s="18"/>
      <c r="K34937" s="18" t="s">
        <v>316</v>
      </c>
    </row>
    <row r="34938">
      <c r="A34938" s="17"/>
      <c r="H34938" s="18"/>
      <c r="K34938" s="18" t="s">
        <v>316</v>
      </c>
    </row>
    <row r="34939">
      <c r="A34939" s="17"/>
      <c r="H34939" s="18"/>
      <c r="K34939" s="18" t="s">
        <v>316</v>
      </c>
    </row>
    <row r="34940">
      <c r="A34940" s="17"/>
      <c r="H34940" s="18"/>
      <c r="K34940" s="18" t="s">
        <v>316</v>
      </c>
    </row>
    <row r="34941">
      <c r="A34941" s="17"/>
      <c r="H34941" s="18"/>
      <c r="K34941" s="18" t="s">
        <v>316</v>
      </c>
    </row>
    <row r="34942">
      <c r="A34942" s="17"/>
      <c r="H34942" s="18"/>
      <c r="K34942" s="18" t="s">
        <v>316</v>
      </c>
    </row>
    <row r="34943">
      <c r="A34943" s="17"/>
      <c r="H34943" s="18"/>
      <c r="K34943" s="18" t="s">
        <v>316</v>
      </c>
    </row>
    <row r="34944">
      <c r="A34944" s="17"/>
      <c r="H34944" s="18"/>
      <c r="K34944" s="18" t="s">
        <v>316</v>
      </c>
    </row>
    <row r="34945">
      <c r="A34945" s="17"/>
      <c r="H34945" s="18"/>
      <c r="K34945" s="18" t="s">
        <v>316</v>
      </c>
    </row>
    <row r="34946">
      <c r="A34946" s="17"/>
      <c r="H34946" s="18"/>
      <c r="K34946" s="18" t="s">
        <v>316</v>
      </c>
    </row>
    <row r="34947">
      <c r="A34947" s="17"/>
      <c r="H34947" s="18"/>
      <c r="K34947" s="18" t="s">
        <v>316</v>
      </c>
    </row>
    <row r="34948">
      <c r="A34948" s="17"/>
      <c r="H34948" s="18"/>
      <c r="K34948" s="18" t="s">
        <v>316</v>
      </c>
    </row>
    <row r="34949">
      <c r="A34949" s="17"/>
      <c r="H34949" s="18"/>
      <c r="K34949" s="18" t="s">
        <v>316</v>
      </c>
    </row>
    <row r="34950">
      <c r="A34950" s="17"/>
      <c r="H34950" s="18"/>
      <c r="K34950" s="18" t="s">
        <v>316</v>
      </c>
    </row>
    <row r="34951">
      <c r="A34951" s="17"/>
      <c r="H34951" s="18"/>
      <c r="K34951" s="18" t="s">
        <v>316</v>
      </c>
    </row>
    <row r="34952">
      <c r="A34952" s="17"/>
      <c r="H34952" s="18"/>
      <c r="K34952" s="18" t="s">
        <v>316</v>
      </c>
    </row>
    <row r="34953">
      <c r="A34953" s="17"/>
      <c r="H34953" s="18"/>
      <c r="K34953" s="18" t="s">
        <v>316</v>
      </c>
    </row>
    <row r="34954">
      <c r="A34954" s="17"/>
      <c r="H34954" s="18"/>
      <c r="K34954" s="18" t="s">
        <v>316</v>
      </c>
    </row>
    <row r="34955">
      <c r="A34955" s="17"/>
      <c r="H34955" s="18"/>
      <c r="K34955" s="18" t="s">
        <v>316</v>
      </c>
    </row>
    <row r="34956">
      <c r="A34956" s="17"/>
      <c r="H34956" s="18"/>
      <c r="K34956" s="18" t="s">
        <v>316</v>
      </c>
    </row>
    <row r="34957">
      <c r="A34957" s="17"/>
      <c r="H34957" s="18"/>
      <c r="K34957" s="18" t="s">
        <v>316</v>
      </c>
    </row>
    <row r="34958">
      <c r="A34958" s="17"/>
      <c r="H34958" s="18"/>
      <c r="K34958" s="18" t="s">
        <v>316</v>
      </c>
    </row>
    <row r="34959">
      <c r="A34959" s="17"/>
      <c r="H34959" s="18"/>
      <c r="K34959" s="18" t="s">
        <v>316</v>
      </c>
    </row>
    <row r="34960">
      <c r="A34960" s="17"/>
      <c r="H34960" s="18"/>
      <c r="K34960" s="18" t="s">
        <v>316</v>
      </c>
    </row>
    <row r="34961">
      <c r="A34961" s="17"/>
      <c r="H34961" s="18"/>
      <c r="K34961" s="18" t="s">
        <v>316</v>
      </c>
    </row>
    <row r="34962">
      <c r="A34962" s="17"/>
      <c r="H34962" s="18"/>
      <c r="K34962" s="18" t="s">
        <v>316</v>
      </c>
    </row>
    <row r="34963">
      <c r="A34963" s="17"/>
      <c r="H34963" s="18"/>
      <c r="K34963" s="18" t="s">
        <v>316</v>
      </c>
    </row>
    <row r="34964">
      <c r="A34964" s="17"/>
      <c r="H34964" s="18"/>
      <c r="K34964" s="18" t="s">
        <v>316</v>
      </c>
    </row>
    <row r="34965">
      <c r="A34965" s="17"/>
      <c r="H34965" s="18"/>
      <c r="K34965" s="18" t="s">
        <v>316</v>
      </c>
    </row>
    <row r="34966">
      <c r="A34966" s="17"/>
      <c r="H34966" s="18"/>
      <c r="K34966" s="18" t="s">
        <v>316</v>
      </c>
    </row>
    <row r="34967">
      <c r="A34967" s="17"/>
      <c r="H34967" s="18"/>
      <c r="K34967" s="18" t="s">
        <v>316</v>
      </c>
    </row>
    <row r="34968">
      <c r="A34968" s="17"/>
      <c r="H34968" s="18"/>
      <c r="K34968" s="18" t="s">
        <v>316</v>
      </c>
    </row>
    <row r="34969">
      <c r="A34969" s="17"/>
      <c r="H34969" s="18"/>
      <c r="K34969" s="18" t="s">
        <v>316</v>
      </c>
    </row>
    <row r="34970">
      <c r="A34970" s="17"/>
      <c r="H34970" s="18"/>
      <c r="K34970" s="18" t="s">
        <v>316</v>
      </c>
    </row>
    <row r="34971">
      <c r="A34971" s="17"/>
      <c r="H34971" s="18"/>
      <c r="K34971" s="18" t="s">
        <v>316</v>
      </c>
    </row>
    <row r="34972">
      <c r="A34972" s="17"/>
      <c r="H34972" s="18"/>
      <c r="K34972" s="18" t="s">
        <v>316</v>
      </c>
    </row>
    <row r="34973">
      <c r="A34973" s="17"/>
      <c r="H34973" s="18"/>
      <c r="K34973" s="18" t="s">
        <v>316</v>
      </c>
    </row>
    <row r="34974">
      <c r="A34974" s="17"/>
      <c r="H34974" s="18"/>
      <c r="K34974" s="18" t="s">
        <v>316</v>
      </c>
    </row>
    <row r="34975">
      <c r="A34975" s="17"/>
      <c r="H34975" s="18"/>
      <c r="K34975" s="18" t="s">
        <v>316</v>
      </c>
    </row>
    <row r="34976">
      <c r="A34976" s="17"/>
      <c r="H34976" s="18"/>
      <c r="K34976" s="18" t="s">
        <v>316</v>
      </c>
    </row>
    <row r="34977">
      <c r="A34977" s="17"/>
      <c r="H34977" s="18"/>
      <c r="K34977" s="18" t="s">
        <v>316</v>
      </c>
    </row>
    <row r="34978">
      <c r="A34978" s="17"/>
      <c r="H34978" s="18"/>
      <c r="K34978" s="18" t="s">
        <v>316</v>
      </c>
    </row>
    <row r="34979">
      <c r="A34979" s="17"/>
      <c r="H34979" s="18"/>
      <c r="K34979" s="18" t="s">
        <v>316</v>
      </c>
    </row>
    <row r="34980">
      <c r="A34980" s="17"/>
      <c r="H34980" s="18"/>
      <c r="K34980" s="18" t="s">
        <v>316</v>
      </c>
    </row>
    <row r="34981">
      <c r="A34981" s="17"/>
      <c r="H34981" s="18"/>
      <c r="K34981" s="18" t="s">
        <v>316</v>
      </c>
    </row>
    <row r="34982">
      <c r="A34982" s="17"/>
      <c r="H34982" s="18"/>
      <c r="K34982" s="18" t="s">
        <v>316</v>
      </c>
    </row>
    <row r="34983">
      <c r="A34983" s="17"/>
      <c r="H34983" s="18"/>
      <c r="K34983" s="18" t="s">
        <v>316</v>
      </c>
    </row>
    <row r="34984">
      <c r="A34984" s="17"/>
      <c r="H34984" s="18"/>
      <c r="K34984" s="18" t="s">
        <v>316</v>
      </c>
    </row>
    <row r="34985">
      <c r="A34985" s="17"/>
      <c r="H34985" s="18"/>
      <c r="K34985" s="18" t="s">
        <v>316</v>
      </c>
    </row>
    <row r="34986">
      <c r="A34986" s="17"/>
      <c r="H34986" s="18"/>
      <c r="K34986" s="18" t="s">
        <v>316</v>
      </c>
    </row>
    <row r="34987">
      <c r="A34987" s="17"/>
      <c r="H34987" s="18"/>
      <c r="K34987" s="18" t="s">
        <v>316</v>
      </c>
    </row>
    <row r="34988">
      <c r="A34988" s="17"/>
      <c r="H34988" s="18"/>
      <c r="K34988" s="18" t="s">
        <v>316</v>
      </c>
    </row>
    <row r="34989">
      <c r="A34989" s="17"/>
      <c r="H34989" s="18"/>
      <c r="K34989" s="18" t="s">
        <v>316</v>
      </c>
    </row>
    <row r="34990">
      <c r="A34990" s="17"/>
      <c r="H34990" s="18"/>
      <c r="K34990" s="18" t="s">
        <v>316</v>
      </c>
    </row>
    <row r="34991">
      <c r="A34991" s="17"/>
      <c r="H34991" s="18"/>
      <c r="K34991" s="18" t="s">
        <v>316</v>
      </c>
    </row>
    <row r="34992">
      <c r="A34992" s="17"/>
      <c r="H34992" s="18"/>
      <c r="K34992" s="18" t="s">
        <v>316</v>
      </c>
    </row>
    <row r="34993">
      <c r="A34993" s="17"/>
      <c r="H34993" s="18"/>
      <c r="K34993" s="18" t="s">
        <v>316</v>
      </c>
    </row>
    <row r="34994">
      <c r="A34994" s="17"/>
      <c r="H34994" s="18"/>
      <c r="K34994" s="18" t="s">
        <v>316</v>
      </c>
    </row>
    <row r="34995">
      <c r="A34995" s="17"/>
      <c r="H34995" s="18"/>
      <c r="K34995" s="18" t="s">
        <v>316</v>
      </c>
    </row>
    <row r="34996">
      <c r="A34996" s="17"/>
      <c r="H34996" s="18"/>
      <c r="K34996" s="18" t="s">
        <v>316</v>
      </c>
    </row>
    <row r="34997">
      <c r="A34997" s="17"/>
      <c r="H34997" s="18"/>
      <c r="K34997" s="18" t="s">
        <v>316</v>
      </c>
    </row>
    <row r="34998">
      <c r="A34998" s="17"/>
      <c r="H34998" s="18"/>
      <c r="K34998" s="18" t="s">
        <v>316</v>
      </c>
    </row>
    <row r="34999">
      <c r="A34999" s="17"/>
      <c r="H34999" s="18"/>
      <c r="K34999" s="18" t="s">
        <v>316</v>
      </c>
    </row>
    <row r="35000">
      <c r="A35000" s="17"/>
      <c r="H35000" s="18"/>
      <c r="K35000" s="18" t="s">
        <v>316</v>
      </c>
    </row>
    <row r="35001">
      <c r="A35001" s="17"/>
      <c r="H35001" s="18"/>
      <c r="K35001" s="18" t="s">
        <v>316</v>
      </c>
    </row>
    <row r="35002">
      <c r="A35002" s="17"/>
      <c r="H35002" s="18"/>
      <c r="K35002" s="18" t="s">
        <v>316</v>
      </c>
    </row>
    <row r="35003">
      <c r="A35003" s="17"/>
      <c r="H35003" s="18"/>
      <c r="K35003" s="18" t="s">
        <v>316</v>
      </c>
    </row>
    <row r="35004">
      <c r="A35004" s="17"/>
      <c r="H35004" s="18"/>
      <c r="K35004" s="18" t="s">
        <v>316</v>
      </c>
    </row>
    <row r="35005">
      <c r="A35005" s="17"/>
      <c r="H35005" s="18"/>
      <c r="K35005" s="18" t="s">
        <v>316</v>
      </c>
    </row>
    <row r="35006">
      <c r="A35006" s="17"/>
      <c r="H35006" s="18"/>
      <c r="K35006" s="18" t="s">
        <v>316</v>
      </c>
    </row>
    <row r="35007">
      <c r="A35007" s="17"/>
      <c r="H35007" s="18"/>
      <c r="K35007" s="18" t="s">
        <v>316</v>
      </c>
    </row>
    <row r="35008">
      <c r="A35008" s="17"/>
      <c r="H35008" s="18"/>
      <c r="K35008" s="18" t="s">
        <v>316</v>
      </c>
    </row>
    <row r="35009">
      <c r="A35009" s="17"/>
      <c r="H35009" s="18"/>
      <c r="K35009" s="18" t="s">
        <v>316</v>
      </c>
    </row>
    <row r="35010">
      <c r="A35010" s="17"/>
      <c r="H35010" s="18"/>
      <c r="K35010" s="18" t="s">
        <v>316</v>
      </c>
    </row>
    <row r="35011">
      <c r="A35011" s="17"/>
      <c r="H35011" s="18"/>
      <c r="K35011" s="18" t="s">
        <v>316</v>
      </c>
    </row>
    <row r="35012">
      <c r="A35012" s="17"/>
      <c r="H35012" s="18"/>
      <c r="K35012" s="18" t="s">
        <v>316</v>
      </c>
    </row>
    <row r="35013">
      <c r="A35013" s="17"/>
      <c r="H35013" s="18"/>
      <c r="K35013" s="18" t="s">
        <v>316</v>
      </c>
    </row>
    <row r="35014">
      <c r="A35014" s="17"/>
      <c r="H35014" s="18"/>
      <c r="K35014" s="18" t="s">
        <v>316</v>
      </c>
    </row>
    <row r="35015">
      <c r="A35015" s="17"/>
      <c r="H35015" s="18"/>
      <c r="K35015" s="18" t="s">
        <v>316</v>
      </c>
    </row>
    <row r="35016">
      <c r="A35016" s="17"/>
      <c r="H35016" s="18"/>
      <c r="K35016" s="18" t="s">
        <v>316</v>
      </c>
    </row>
    <row r="35017">
      <c r="A35017" s="17"/>
      <c r="H35017" s="18"/>
      <c r="K35017" s="18" t="s">
        <v>316</v>
      </c>
    </row>
    <row r="35018">
      <c r="A35018" s="17"/>
      <c r="H35018" s="18"/>
      <c r="K35018" s="18" t="s">
        <v>316</v>
      </c>
    </row>
    <row r="35019">
      <c r="A35019" s="17"/>
      <c r="H35019" s="18"/>
      <c r="K35019" s="18" t="s">
        <v>316</v>
      </c>
    </row>
    <row r="35020">
      <c r="A35020" s="17"/>
      <c r="H35020" s="18"/>
      <c r="K35020" s="18" t="s">
        <v>316</v>
      </c>
    </row>
    <row r="35021">
      <c r="A35021" s="17"/>
      <c r="H35021" s="18"/>
      <c r="K35021" s="18" t="s">
        <v>316</v>
      </c>
    </row>
    <row r="35022">
      <c r="A35022" s="17"/>
      <c r="H35022" s="18"/>
      <c r="K35022" s="18" t="s">
        <v>316</v>
      </c>
    </row>
    <row r="35023">
      <c r="A35023" s="17"/>
      <c r="H35023" s="18"/>
      <c r="K35023" s="18" t="s">
        <v>316</v>
      </c>
    </row>
    <row r="35024">
      <c r="A35024" s="17"/>
      <c r="H35024" s="18"/>
      <c r="K35024" s="18" t="s">
        <v>316</v>
      </c>
    </row>
    <row r="35025">
      <c r="A35025" s="17"/>
      <c r="H35025" s="18"/>
      <c r="K35025" s="18" t="s">
        <v>316</v>
      </c>
    </row>
    <row r="35026">
      <c r="A35026" s="17"/>
      <c r="H35026" s="18"/>
      <c r="K35026" s="18" t="s">
        <v>316</v>
      </c>
    </row>
    <row r="35027">
      <c r="A35027" s="17"/>
      <c r="H35027" s="18"/>
      <c r="K35027" s="18" t="s">
        <v>316</v>
      </c>
    </row>
    <row r="35028">
      <c r="A35028" s="17"/>
      <c r="H35028" s="18"/>
      <c r="K35028" s="18" t="s">
        <v>316</v>
      </c>
    </row>
    <row r="35029">
      <c r="A35029" s="17"/>
      <c r="H35029" s="18"/>
      <c r="K35029" s="18" t="s">
        <v>316</v>
      </c>
    </row>
    <row r="35030">
      <c r="A35030" s="17"/>
      <c r="H35030" s="18"/>
      <c r="K35030" s="18" t="s">
        <v>316</v>
      </c>
    </row>
    <row r="35031">
      <c r="A35031" s="17"/>
      <c r="H35031" s="18"/>
      <c r="K35031" s="18" t="s">
        <v>316</v>
      </c>
    </row>
    <row r="35032">
      <c r="A35032" s="17"/>
      <c r="H35032" s="18"/>
      <c r="K35032" s="18" t="s">
        <v>316</v>
      </c>
    </row>
    <row r="35033">
      <c r="A35033" s="17"/>
      <c r="H35033" s="18"/>
      <c r="K35033" s="18" t="s">
        <v>316</v>
      </c>
    </row>
    <row r="35034">
      <c r="A35034" s="17"/>
      <c r="H35034" s="18"/>
      <c r="K35034" s="18" t="s">
        <v>316</v>
      </c>
    </row>
    <row r="35035">
      <c r="A35035" s="17"/>
      <c r="H35035" s="18"/>
      <c r="K35035" s="18" t="s">
        <v>316</v>
      </c>
    </row>
    <row r="35036">
      <c r="A35036" s="17"/>
      <c r="H35036" s="18"/>
      <c r="K35036" s="18" t="s">
        <v>316</v>
      </c>
    </row>
    <row r="35037">
      <c r="A35037" s="17"/>
      <c r="H35037" s="18"/>
      <c r="K35037" s="18" t="s">
        <v>316</v>
      </c>
    </row>
    <row r="35038">
      <c r="A35038" s="17"/>
      <c r="H35038" s="18"/>
      <c r="K35038" s="18" t="s">
        <v>316</v>
      </c>
    </row>
    <row r="35039">
      <c r="A35039" s="17"/>
      <c r="H35039" s="18"/>
      <c r="K35039" s="18" t="s">
        <v>316</v>
      </c>
    </row>
    <row r="35040">
      <c r="A35040" s="17"/>
      <c r="H35040" s="18"/>
      <c r="K35040" s="18" t="s">
        <v>316</v>
      </c>
    </row>
    <row r="35041">
      <c r="A35041" s="17"/>
      <c r="H35041" s="18"/>
      <c r="K35041" s="18" t="s">
        <v>316</v>
      </c>
    </row>
    <row r="35042">
      <c r="A35042" s="17"/>
      <c r="H35042" s="18"/>
      <c r="K35042" s="18" t="s">
        <v>316</v>
      </c>
    </row>
    <row r="35043">
      <c r="A35043" s="17"/>
      <c r="H35043" s="18"/>
      <c r="K35043" s="18" t="s">
        <v>316</v>
      </c>
    </row>
    <row r="35044">
      <c r="A35044" s="17"/>
      <c r="H35044" s="18"/>
      <c r="K35044" s="18" t="s">
        <v>316</v>
      </c>
    </row>
    <row r="35045">
      <c r="A35045" s="17"/>
      <c r="H35045" s="18"/>
      <c r="K35045" s="18" t="s">
        <v>316</v>
      </c>
    </row>
    <row r="35046">
      <c r="A35046" s="17"/>
      <c r="H35046" s="18"/>
      <c r="K35046" s="18" t="s">
        <v>316</v>
      </c>
    </row>
    <row r="35047">
      <c r="A35047" s="17"/>
      <c r="H35047" s="18"/>
      <c r="K35047" s="18" t="s">
        <v>316</v>
      </c>
    </row>
    <row r="35048">
      <c r="A35048" s="17"/>
      <c r="H35048" s="18"/>
      <c r="K35048" s="18" t="s">
        <v>316</v>
      </c>
    </row>
    <row r="35049">
      <c r="A35049" s="17"/>
      <c r="H35049" s="18"/>
      <c r="K35049" s="18" t="s">
        <v>316</v>
      </c>
    </row>
    <row r="35050">
      <c r="A35050" s="17"/>
      <c r="H35050" s="18"/>
      <c r="K35050" s="18" t="s">
        <v>316</v>
      </c>
    </row>
    <row r="35051">
      <c r="A35051" s="17"/>
      <c r="H35051" s="18"/>
      <c r="K35051" s="18" t="s">
        <v>316</v>
      </c>
    </row>
    <row r="35052">
      <c r="A35052" s="17"/>
      <c r="H35052" s="18"/>
      <c r="K35052" s="18" t="s">
        <v>316</v>
      </c>
    </row>
    <row r="35053">
      <c r="A35053" s="17"/>
      <c r="H35053" s="18"/>
      <c r="K35053" s="18" t="s">
        <v>316</v>
      </c>
    </row>
    <row r="35054">
      <c r="A35054" s="17"/>
      <c r="H35054" s="18"/>
      <c r="K35054" s="18" t="s">
        <v>316</v>
      </c>
    </row>
    <row r="35055">
      <c r="A35055" s="17"/>
      <c r="H35055" s="18"/>
      <c r="K35055" s="18" t="s">
        <v>316</v>
      </c>
    </row>
    <row r="35056">
      <c r="A35056" s="17"/>
      <c r="H35056" s="18"/>
      <c r="K35056" s="18" t="s">
        <v>316</v>
      </c>
    </row>
    <row r="35057">
      <c r="A35057" s="17"/>
      <c r="H35057" s="18"/>
      <c r="K35057" s="18" t="s">
        <v>316</v>
      </c>
    </row>
    <row r="35058">
      <c r="A35058" s="17"/>
      <c r="H35058" s="18"/>
      <c r="K35058" s="18" t="s">
        <v>316</v>
      </c>
    </row>
    <row r="35059">
      <c r="A35059" s="17"/>
      <c r="H35059" s="18"/>
      <c r="K35059" s="18" t="s">
        <v>316</v>
      </c>
    </row>
    <row r="35060">
      <c r="A35060" s="17"/>
      <c r="H35060" s="18"/>
      <c r="K35060" s="18" t="s">
        <v>316</v>
      </c>
    </row>
    <row r="35061">
      <c r="A35061" s="17"/>
      <c r="H35061" s="18"/>
      <c r="K35061" s="18" t="s">
        <v>316</v>
      </c>
    </row>
    <row r="35062">
      <c r="A35062" s="17"/>
      <c r="H35062" s="18"/>
      <c r="K35062" s="18" t="s">
        <v>316</v>
      </c>
    </row>
    <row r="35063">
      <c r="A35063" s="17"/>
      <c r="H35063" s="18"/>
      <c r="K35063" s="18" t="s">
        <v>316</v>
      </c>
    </row>
    <row r="35064">
      <c r="A35064" s="17"/>
      <c r="H35064" s="18"/>
      <c r="K35064" s="18" t="s">
        <v>316</v>
      </c>
    </row>
    <row r="35065">
      <c r="A35065" s="17"/>
      <c r="H35065" s="18"/>
      <c r="K35065" s="18" t="s">
        <v>316</v>
      </c>
    </row>
    <row r="35066">
      <c r="A35066" s="17"/>
      <c r="H35066" s="18"/>
      <c r="K35066" s="18" t="s">
        <v>316</v>
      </c>
    </row>
    <row r="35067">
      <c r="A35067" s="17"/>
      <c r="H35067" s="18"/>
      <c r="K35067" s="18" t="s">
        <v>316</v>
      </c>
    </row>
    <row r="35068">
      <c r="A35068" s="17"/>
      <c r="H35068" s="18"/>
      <c r="K35068" s="18" t="s">
        <v>316</v>
      </c>
    </row>
    <row r="35069">
      <c r="A35069" s="17"/>
      <c r="H35069" s="18"/>
      <c r="K35069" s="18" t="s">
        <v>316</v>
      </c>
    </row>
    <row r="35070">
      <c r="A35070" s="17"/>
      <c r="H35070" s="18"/>
      <c r="K35070" s="18" t="s">
        <v>316</v>
      </c>
    </row>
    <row r="35071">
      <c r="A35071" s="17"/>
      <c r="H35071" s="18"/>
      <c r="K35071" s="18" t="s">
        <v>316</v>
      </c>
    </row>
    <row r="35072">
      <c r="A35072" s="17"/>
      <c r="H35072" s="18"/>
      <c r="K35072" s="18" t="s">
        <v>316</v>
      </c>
    </row>
    <row r="35073">
      <c r="A35073" s="17"/>
      <c r="H35073" s="18"/>
      <c r="K35073" s="18" t="s">
        <v>316</v>
      </c>
    </row>
    <row r="35074">
      <c r="A35074" s="17"/>
      <c r="H35074" s="18"/>
      <c r="K35074" s="18" t="s">
        <v>316</v>
      </c>
    </row>
    <row r="35075">
      <c r="A35075" s="17"/>
      <c r="H35075" s="18"/>
      <c r="K35075" s="18" t="s">
        <v>316</v>
      </c>
    </row>
    <row r="35076">
      <c r="A35076" s="17"/>
      <c r="H35076" s="18"/>
      <c r="K35076" s="18" t="s">
        <v>316</v>
      </c>
    </row>
    <row r="35077">
      <c r="A35077" s="17"/>
      <c r="H35077" s="18"/>
      <c r="K35077" s="18" t="s">
        <v>316</v>
      </c>
    </row>
    <row r="35078">
      <c r="A35078" s="17"/>
      <c r="H35078" s="18"/>
      <c r="K35078" s="18" t="s">
        <v>316</v>
      </c>
    </row>
    <row r="35079">
      <c r="A35079" s="17"/>
      <c r="H35079" s="18"/>
      <c r="K35079" s="18" t="s">
        <v>316</v>
      </c>
    </row>
    <row r="35080">
      <c r="A35080" s="17"/>
      <c r="H35080" s="18"/>
      <c r="K35080" s="18" t="s">
        <v>316</v>
      </c>
    </row>
    <row r="35081">
      <c r="A35081" s="17"/>
      <c r="H35081" s="18"/>
      <c r="K35081" s="18" t="s">
        <v>316</v>
      </c>
    </row>
    <row r="35082">
      <c r="A35082" s="17"/>
      <c r="H35082" s="18"/>
      <c r="K35082" s="18" t="s">
        <v>316</v>
      </c>
    </row>
    <row r="35083">
      <c r="A35083" s="17"/>
      <c r="H35083" s="18"/>
      <c r="K35083" s="18" t="s">
        <v>316</v>
      </c>
    </row>
    <row r="35084">
      <c r="A35084" s="17"/>
      <c r="H35084" s="18"/>
      <c r="K35084" s="18" t="s">
        <v>316</v>
      </c>
    </row>
    <row r="35085">
      <c r="A35085" s="17"/>
      <c r="H35085" s="18"/>
      <c r="K35085" s="18" t="s">
        <v>316</v>
      </c>
    </row>
    <row r="35086">
      <c r="A35086" s="17"/>
      <c r="H35086" s="18"/>
      <c r="K35086" s="18" t="s">
        <v>316</v>
      </c>
    </row>
    <row r="35087">
      <c r="A35087" s="17"/>
      <c r="H35087" s="18"/>
      <c r="K35087" s="18" t="s">
        <v>316</v>
      </c>
    </row>
    <row r="35088">
      <c r="A35088" s="17"/>
      <c r="H35088" s="18"/>
      <c r="K35088" s="18" t="s">
        <v>316</v>
      </c>
    </row>
    <row r="35089">
      <c r="A35089" s="17"/>
      <c r="H35089" s="18"/>
      <c r="K35089" s="18" t="s">
        <v>316</v>
      </c>
    </row>
    <row r="35090">
      <c r="A35090" s="17"/>
      <c r="H35090" s="18"/>
      <c r="K35090" s="18" t="s">
        <v>316</v>
      </c>
    </row>
    <row r="35091">
      <c r="A35091" s="17"/>
      <c r="H35091" s="18"/>
      <c r="K35091" s="18" t="s">
        <v>316</v>
      </c>
    </row>
    <row r="35092">
      <c r="A35092" s="17"/>
      <c r="H35092" s="18"/>
      <c r="K35092" s="18" t="s">
        <v>316</v>
      </c>
    </row>
    <row r="35093">
      <c r="A35093" s="17"/>
      <c r="H35093" s="18"/>
      <c r="K35093" s="18" t="s">
        <v>316</v>
      </c>
    </row>
    <row r="35094">
      <c r="A35094" s="17"/>
      <c r="H35094" s="18"/>
      <c r="K35094" s="18" t="s">
        <v>316</v>
      </c>
    </row>
    <row r="35095">
      <c r="A35095" s="17"/>
      <c r="H35095" s="18"/>
      <c r="K35095" s="18" t="s">
        <v>316</v>
      </c>
    </row>
    <row r="35096">
      <c r="A35096" s="17"/>
      <c r="H35096" s="18"/>
      <c r="K35096" s="18" t="s">
        <v>316</v>
      </c>
    </row>
    <row r="35097">
      <c r="A35097" s="17"/>
      <c r="H35097" s="18"/>
      <c r="K35097" s="18" t="s">
        <v>316</v>
      </c>
    </row>
    <row r="35098">
      <c r="A35098" s="17"/>
      <c r="H35098" s="18"/>
      <c r="K35098" s="18" t="s">
        <v>316</v>
      </c>
    </row>
    <row r="35099">
      <c r="A35099" s="17"/>
      <c r="H35099" s="18"/>
      <c r="K35099" s="18" t="s">
        <v>316</v>
      </c>
    </row>
    <row r="35100">
      <c r="A35100" s="17"/>
      <c r="H35100" s="18"/>
      <c r="K35100" s="18" t="s">
        <v>316</v>
      </c>
    </row>
    <row r="35101">
      <c r="A35101" s="17"/>
      <c r="H35101" s="18"/>
      <c r="K35101" s="18" t="s">
        <v>316</v>
      </c>
    </row>
    <row r="35102">
      <c r="A35102" s="17"/>
      <c r="H35102" s="18"/>
      <c r="K35102" s="18" t="s">
        <v>316</v>
      </c>
    </row>
    <row r="35103">
      <c r="A35103" s="17"/>
      <c r="H35103" s="18"/>
      <c r="K35103" s="18" t="s">
        <v>316</v>
      </c>
    </row>
    <row r="35104">
      <c r="A35104" s="17"/>
      <c r="H35104" s="18"/>
      <c r="K35104" s="18" t="s">
        <v>316</v>
      </c>
    </row>
    <row r="35105">
      <c r="A35105" s="17"/>
      <c r="H35105" s="18"/>
      <c r="K35105" s="18" t="s">
        <v>316</v>
      </c>
    </row>
    <row r="35106">
      <c r="A35106" s="17"/>
      <c r="H35106" s="18"/>
      <c r="K35106" s="18" t="s">
        <v>316</v>
      </c>
    </row>
    <row r="35107">
      <c r="A35107" s="17"/>
      <c r="H35107" s="18"/>
      <c r="K35107" s="18" t="s">
        <v>316</v>
      </c>
    </row>
    <row r="35108">
      <c r="A35108" s="17"/>
      <c r="H35108" s="18"/>
      <c r="K35108" s="18" t="s">
        <v>316</v>
      </c>
    </row>
    <row r="35109">
      <c r="A35109" s="17"/>
      <c r="H35109" s="18"/>
      <c r="K35109" s="18" t="s">
        <v>316</v>
      </c>
    </row>
    <row r="35110">
      <c r="A35110" s="17"/>
      <c r="H35110" s="18"/>
      <c r="K35110" s="18" t="s">
        <v>316</v>
      </c>
    </row>
    <row r="35111">
      <c r="A35111" s="17"/>
      <c r="H35111" s="18"/>
      <c r="K35111" s="18" t="s">
        <v>316</v>
      </c>
    </row>
    <row r="35112">
      <c r="A35112" s="17"/>
      <c r="H35112" s="18"/>
      <c r="K35112" s="18" t="s">
        <v>316</v>
      </c>
    </row>
    <row r="35113">
      <c r="A35113" s="17"/>
      <c r="H35113" s="18"/>
      <c r="K35113" s="18" t="s">
        <v>316</v>
      </c>
    </row>
    <row r="35114">
      <c r="A35114" s="17"/>
      <c r="H35114" s="18"/>
      <c r="K35114" s="18" t="s">
        <v>316</v>
      </c>
    </row>
    <row r="35115">
      <c r="A35115" s="17"/>
      <c r="H35115" s="18"/>
      <c r="K35115" s="18" t="s">
        <v>316</v>
      </c>
    </row>
    <row r="35116">
      <c r="A35116" s="17"/>
      <c r="H35116" s="18"/>
      <c r="K35116" s="18" t="s">
        <v>316</v>
      </c>
    </row>
    <row r="35117">
      <c r="A35117" s="17"/>
      <c r="H35117" s="18"/>
      <c r="K35117" s="18" t="s">
        <v>316</v>
      </c>
    </row>
    <row r="35118">
      <c r="A35118" s="17"/>
      <c r="H35118" s="18"/>
      <c r="K35118" s="18" t="s">
        <v>316</v>
      </c>
    </row>
    <row r="35119">
      <c r="A35119" s="17"/>
      <c r="H35119" s="18"/>
      <c r="K35119" s="18" t="s">
        <v>316</v>
      </c>
    </row>
    <row r="35120">
      <c r="A35120" s="17"/>
      <c r="H35120" s="18"/>
      <c r="K35120" s="18" t="s">
        <v>316</v>
      </c>
    </row>
    <row r="35121">
      <c r="A35121" s="17"/>
      <c r="H35121" s="18"/>
      <c r="K35121" s="18" t="s">
        <v>316</v>
      </c>
    </row>
    <row r="35122">
      <c r="A35122" s="17"/>
      <c r="H35122" s="18"/>
      <c r="K35122" s="18" t="s">
        <v>316</v>
      </c>
    </row>
    <row r="35123">
      <c r="A35123" s="17"/>
      <c r="H35123" s="18"/>
      <c r="K35123" s="18" t="s">
        <v>316</v>
      </c>
    </row>
    <row r="35124">
      <c r="A35124" s="17"/>
      <c r="H35124" s="18"/>
      <c r="K35124" s="18" t="s">
        <v>316</v>
      </c>
    </row>
    <row r="35125">
      <c r="A35125" s="17"/>
      <c r="H35125" s="18"/>
      <c r="K35125" s="18" t="s">
        <v>316</v>
      </c>
    </row>
    <row r="35126">
      <c r="A35126" s="17"/>
      <c r="H35126" s="18"/>
      <c r="K35126" s="18" t="s">
        <v>316</v>
      </c>
    </row>
    <row r="35127">
      <c r="A35127" s="17"/>
      <c r="H35127" s="18"/>
      <c r="K35127" s="18" t="s">
        <v>316</v>
      </c>
    </row>
    <row r="35128">
      <c r="A35128" s="17"/>
      <c r="H35128" s="18"/>
      <c r="K35128" s="18" t="s">
        <v>316</v>
      </c>
    </row>
    <row r="35129">
      <c r="A35129" s="17"/>
      <c r="H35129" s="18"/>
      <c r="K35129" s="18" t="s">
        <v>316</v>
      </c>
    </row>
    <row r="35130">
      <c r="A35130" s="17"/>
      <c r="H35130" s="18"/>
      <c r="K35130" s="18" t="s">
        <v>316</v>
      </c>
    </row>
    <row r="35131">
      <c r="A35131" s="17"/>
      <c r="H35131" s="18"/>
      <c r="K35131" s="18" t="s">
        <v>316</v>
      </c>
    </row>
    <row r="35132">
      <c r="A35132" s="17"/>
      <c r="H35132" s="18"/>
      <c r="K35132" s="18" t="s">
        <v>316</v>
      </c>
    </row>
    <row r="35133">
      <c r="A35133" s="17"/>
      <c r="H35133" s="18"/>
      <c r="K35133" s="18" t="s">
        <v>316</v>
      </c>
    </row>
    <row r="35134">
      <c r="A35134" s="17"/>
      <c r="H35134" s="18"/>
      <c r="K35134" s="18" t="s">
        <v>316</v>
      </c>
    </row>
    <row r="35135">
      <c r="A35135" s="17"/>
      <c r="H35135" s="18"/>
      <c r="K35135" s="18" t="s">
        <v>316</v>
      </c>
    </row>
    <row r="35136">
      <c r="A35136" s="17"/>
      <c r="H35136" s="18"/>
      <c r="K35136" s="18" t="s">
        <v>316</v>
      </c>
    </row>
    <row r="35137">
      <c r="A35137" s="17"/>
      <c r="H35137" s="18"/>
      <c r="K35137" s="18" t="s">
        <v>316</v>
      </c>
    </row>
    <row r="35138">
      <c r="A35138" s="17"/>
      <c r="H35138" s="18"/>
      <c r="K35138" s="18" t="s">
        <v>316</v>
      </c>
    </row>
    <row r="35139">
      <c r="A35139" s="17"/>
      <c r="H35139" s="18"/>
      <c r="K35139" s="18" t="s">
        <v>316</v>
      </c>
    </row>
    <row r="35140">
      <c r="A35140" s="17"/>
      <c r="H35140" s="18"/>
      <c r="K35140" s="18" t="s">
        <v>316</v>
      </c>
    </row>
    <row r="35141">
      <c r="A35141" s="17"/>
      <c r="H35141" s="18"/>
      <c r="K35141" s="18" t="s">
        <v>316</v>
      </c>
    </row>
    <row r="35142">
      <c r="A35142" s="17"/>
      <c r="H35142" s="18"/>
      <c r="K35142" s="18" t="s">
        <v>316</v>
      </c>
    </row>
    <row r="35143">
      <c r="A35143" s="17"/>
      <c r="H35143" s="18"/>
      <c r="K35143" s="18" t="s">
        <v>316</v>
      </c>
    </row>
    <row r="35144">
      <c r="A35144" s="17"/>
      <c r="H35144" s="18"/>
      <c r="K35144" s="18" t="s">
        <v>316</v>
      </c>
    </row>
    <row r="35145">
      <c r="A35145" s="17"/>
      <c r="H35145" s="18"/>
      <c r="K35145" s="18" t="s">
        <v>316</v>
      </c>
    </row>
    <row r="35146">
      <c r="A35146" s="17"/>
      <c r="H35146" s="18"/>
      <c r="K35146" s="18" t="s">
        <v>316</v>
      </c>
    </row>
    <row r="35147">
      <c r="A35147" s="17"/>
      <c r="H35147" s="18"/>
      <c r="K35147" s="18" t="s">
        <v>316</v>
      </c>
    </row>
    <row r="35148">
      <c r="A35148" s="17"/>
      <c r="H35148" s="18"/>
      <c r="K35148" s="18" t="s">
        <v>316</v>
      </c>
    </row>
    <row r="35149">
      <c r="A35149" s="17"/>
      <c r="H35149" s="18"/>
      <c r="K35149" s="18" t="s">
        <v>316</v>
      </c>
    </row>
    <row r="35150">
      <c r="A35150" s="17"/>
      <c r="H35150" s="18"/>
      <c r="K35150" s="18" t="s">
        <v>316</v>
      </c>
    </row>
    <row r="35151">
      <c r="A35151" s="17"/>
      <c r="H35151" s="18"/>
      <c r="K35151" s="18" t="s">
        <v>316</v>
      </c>
    </row>
    <row r="35152">
      <c r="A35152" s="17"/>
      <c r="H35152" s="18"/>
      <c r="K35152" s="18" t="s">
        <v>316</v>
      </c>
    </row>
    <row r="35153">
      <c r="A35153" s="17"/>
      <c r="H35153" s="18"/>
      <c r="K35153" s="18" t="s">
        <v>316</v>
      </c>
    </row>
    <row r="35154">
      <c r="A35154" s="17"/>
      <c r="H35154" s="18"/>
      <c r="K35154" s="18" t="s">
        <v>316</v>
      </c>
    </row>
    <row r="35155">
      <c r="A35155" s="17"/>
      <c r="H35155" s="18"/>
      <c r="K35155" s="18" t="s">
        <v>316</v>
      </c>
    </row>
    <row r="35156">
      <c r="A35156" s="17"/>
      <c r="H35156" s="18"/>
      <c r="K35156" s="18" t="s">
        <v>316</v>
      </c>
    </row>
    <row r="35157">
      <c r="A35157" s="17"/>
      <c r="H35157" s="18"/>
      <c r="K35157" s="18" t="s">
        <v>316</v>
      </c>
    </row>
    <row r="35158">
      <c r="A35158" s="17"/>
      <c r="H35158" s="18"/>
      <c r="K35158" s="18" t="s">
        <v>316</v>
      </c>
    </row>
    <row r="35159">
      <c r="A35159" s="17"/>
      <c r="H35159" s="18"/>
      <c r="K35159" s="18" t="s">
        <v>316</v>
      </c>
    </row>
    <row r="35160">
      <c r="A35160" s="17"/>
      <c r="H35160" s="18"/>
      <c r="K35160" s="18" t="s">
        <v>316</v>
      </c>
    </row>
    <row r="35161">
      <c r="A35161" s="17"/>
      <c r="H35161" s="18"/>
      <c r="K35161" s="18" t="s">
        <v>316</v>
      </c>
    </row>
    <row r="35162">
      <c r="A35162" s="17"/>
      <c r="H35162" s="18"/>
      <c r="K35162" s="18" t="s">
        <v>316</v>
      </c>
    </row>
    <row r="35163">
      <c r="A35163" s="17"/>
      <c r="H35163" s="18"/>
      <c r="K35163" s="18" t="s">
        <v>316</v>
      </c>
    </row>
    <row r="35164">
      <c r="A35164" s="17"/>
      <c r="H35164" s="18"/>
      <c r="K35164" s="18" t="s">
        <v>316</v>
      </c>
    </row>
    <row r="35165">
      <c r="A35165" s="17"/>
      <c r="H35165" s="18"/>
      <c r="K35165" s="18" t="s">
        <v>316</v>
      </c>
    </row>
    <row r="35166">
      <c r="A35166" s="17"/>
      <c r="H35166" s="18"/>
      <c r="K35166" s="18" t="s">
        <v>316</v>
      </c>
    </row>
    <row r="35167">
      <c r="A35167" s="17"/>
      <c r="H35167" s="18"/>
      <c r="K35167" s="18" t="s">
        <v>316</v>
      </c>
    </row>
    <row r="35168">
      <c r="A35168" s="17"/>
      <c r="H35168" s="18"/>
      <c r="K35168" s="18" t="s">
        <v>316</v>
      </c>
    </row>
    <row r="35169">
      <c r="A35169" s="17"/>
      <c r="H35169" s="18"/>
      <c r="K35169" s="18" t="s">
        <v>316</v>
      </c>
    </row>
    <row r="35170">
      <c r="A35170" s="17"/>
      <c r="H35170" s="18"/>
      <c r="K35170" s="18" t="s">
        <v>316</v>
      </c>
    </row>
    <row r="35171">
      <c r="A35171" s="17"/>
      <c r="H35171" s="18"/>
      <c r="K35171" s="18" t="s">
        <v>316</v>
      </c>
    </row>
    <row r="35172">
      <c r="A35172" s="17"/>
      <c r="H35172" s="18"/>
      <c r="K35172" s="18" t="s">
        <v>316</v>
      </c>
    </row>
    <row r="35173">
      <c r="A35173" s="17"/>
      <c r="H35173" s="18"/>
      <c r="K35173" s="18" t="s">
        <v>316</v>
      </c>
    </row>
    <row r="35174">
      <c r="A35174" s="17"/>
      <c r="H35174" s="18"/>
      <c r="K35174" s="18" t="s">
        <v>316</v>
      </c>
    </row>
    <row r="35175">
      <c r="A35175" s="17"/>
      <c r="H35175" s="18"/>
      <c r="K35175" s="18" t="s">
        <v>316</v>
      </c>
    </row>
    <row r="35176">
      <c r="A35176" s="17"/>
      <c r="H35176" s="18"/>
      <c r="K35176" s="18" t="s">
        <v>316</v>
      </c>
    </row>
    <row r="35177">
      <c r="A35177" s="17"/>
      <c r="H35177" s="18"/>
      <c r="K35177" s="18" t="s">
        <v>316</v>
      </c>
    </row>
    <row r="35178">
      <c r="A35178" s="17"/>
      <c r="H35178" s="18"/>
      <c r="K35178" s="18" t="s">
        <v>316</v>
      </c>
    </row>
    <row r="35179">
      <c r="A35179" s="17"/>
      <c r="H35179" s="18"/>
      <c r="K35179" s="18" t="s">
        <v>316</v>
      </c>
    </row>
    <row r="35180">
      <c r="A35180" s="17"/>
      <c r="H35180" s="18"/>
      <c r="K35180" s="18" t="s">
        <v>316</v>
      </c>
    </row>
    <row r="35181">
      <c r="A35181" s="17"/>
      <c r="H35181" s="18"/>
      <c r="K35181" s="18" t="s">
        <v>316</v>
      </c>
    </row>
    <row r="35182">
      <c r="A35182" s="17"/>
      <c r="H35182" s="18"/>
      <c r="K35182" s="18" t="s">
        <v>316</v>
      </c>
    </row>
    <row r="35183">
      <c r="A35183" s="17"/>
      <c r="H35183" s="18"/>
      <c r="K35183" s="18" t="s">
        <v>316</v>
      </c>
    </row>
    <row r="35184">
      <c r="A35184" s="17"/>
      <c r="H35184" s="18"/>
      <c r="K35184" s="18" t="s">
        <v>316</v>
      </c>
    </row>
    <row r="35185">
      <c r="A35185" s="17"/>
      <c r="H35185" s="18"/>
      <c r="K35185" s="18" t="s">
        <v>316</v>
      </c>
    </row>
    <row r="35186">
      <c r="A35186" s="17"/>
      <c r="H35186" s="18"/>
      <c r="K35186" s="18" t="s">
        <v>316</v>
      </c>
    </row>
    <row r="35187">
      <c r="A35187" s="17"/>
      <c r="H35187" s="18"/>
      <c r="K35187" s="18" t="s">
        <v>316</v>
      </c>
    </row>
    <row r="35188">
      <c r="A35188" s="17"/>
      <c r="H35188" s="18"/>
      <c r="K35188" s="18" t="s">
        <v>316</v>
      </c>
    </row>
    <row r="35189">
      <c r="A35189" s="17"/>
      <c r="H35189" s="18"/>
      <c r="K35189" s="18" t="s">
        <v>316</v>
      </c>
    </row>
    <row r="35190">
      <c r="A35190" s="17"/>
      <c r="H35190" s="18"/>
      <c r="K35190" s="18" t="s">
        <v>316</v>
      </c>
    </row>
    <row r="35191">
      <c r="A35191" s="17"/>
      <c r="H35191" s="18"/>
      <c r="K35191" s="18" t="s">
        <v>316</v>
      </c>
    </row>
    <row r="35192">
      <c r="A35192" s="17"/>
      <c r="H35192" s="18"/>
      <c r="K35192" s="18" t="s">
        <v>316</v>
      </c>
    </row>
    <row r="35193">
      <c r="A35193" s="17"/>
      <c r="H35193" s="18"/>
      <c r="K35193" s="18" t="s">
        <v>316</v>
      </c>
    </row>
    <row r="35194">
      <c r="A35194" s="17"/>
      <c r="H35194" s="18"/>
      <c r="K35194" s="18" t="s">
        <v>316</v>
      </c>
    </row>
    <row r="35195">
      <c r="A35195" s="17"/>
      <c r="H35195" s="18"/>
      <c r="K35195" s="18" t="s">
        <v>316</v>
      </c>
    </row>
    <row r="35196">
      <c r="A35196" s="17"/>
      <c r="H35196" s="18"/>
      <c r="K35196" s="18" t="s">
        <v>316</v>
      </c>
    </row>
    <row r="35197">
      <c r="A35197" s="17"/>
      <c r="H35197" s="18"/>
      <c r="K35197" s="18" t="s">
        <v>316</v>
      </c>
    </row>
    <row r="35198">
      <c r="A35198" s="17"/>
      <c r="H35198" s="18"/>
      <c r="K35198" s="18" t="s">
        <v>316</v>
      </c>
    </row>
    <row r="35199">
      <c r="A35199" s="17"/>
      <c r="H35199" s="18"/>
      <c r="K35199" s="18" t="s">
        <v>316</v>
      </c>
    </row>
    <row r="35200">
      <c r="A35200" s="17"/>
      <c r="H35200" s="18"/>
      <c r="K35200" s="18" t="s">
        <v>316</v>
      </c>
    </row>
    <row r="35201">
      <c r="A35201" s="17"/>
      <c r="H35201" s="18"/>
      <c r="K35201" s="18" t="s">
        <v>316</v>
      </c>
    </row>
    <row r="35202">
      <c r="A35202" s="17"/>
      <c r="H35202" s="18"/>
      <c r="K35202" s="18" t="s">
        <v>316</v>
      </c>
    </row>
    <row r="35203">
      <c r="A35203" s="17"/>
      <c r="H35203" s="18"/>
      <c r="K35203" s="18" t="s">
        <v>316</v>
      </c>
    </row>
    <row r="35204">
      <c r="A35204" s="17"/>
      <c r="H35204" s="18"/>
      <c r="K35204" s="18" t="s">
        <v>316</v>
      </c>
    </row>
    <row r="35205">
      <c r="A35205" s="17"/>
      <c r="H35205" s="18"/>
      <c r="K35205" s="18" t="s">
        <v>316</v>
      </c>
    </row>
    <row r="35206">
      <c r="A35206" s="17"/>
      <c r="H35206" s="18"/>
      <c r="K35206" s="18" t="s">
        <v>316</v>
      </c>
    </row>
    <row r="35207">
      <c r="A35207" s="17"/>
      <c r="H35207" s="18"/>
      <c r="K35207" s="18" t="s">
        <v>316</v>
      </c>
    </row>
    <row r="35208">
      <c r="A35208" s="17"/>
      <c r="H35208" s="18"/>
      <c r="K35208" s="18" t="s">
        <v>316</v>
      </c>
    </row>
    <row r="35209">
      <c r="A35209" s="17"/>
      <c r="H35209" s="18"/>
      <c r="K35209" s="18" t="s">
        <v>316</v>
      </c>
    </row>
    <row r="35210">
      <c r="A35210" s="17"/>
      <c r="H35210" s="18"/>
      <c r="K35210" s="18" t="s">
        <v>316</v>
      </c>
    </row>
    <row r="35211">
      <c r="A35211" s="17"/>
      <c r="H35211" s="18"/>
      <c r="K35211" s="18" t="s">
        <v>316</v>
      </c>
    </row>
    <row r="35212">
      <c r="A35212" s="17"/>
      <c r="H35212" s="18"/>
      <c r="K35212" s="18" t="s">
        <v>316</v>
      </c>
    </row>
    <row r="35213">
      <c r="A35213" s="17"/>
      <c r="H35213" s="18"/>
      <c r="K35213" s="18" t="s">
        <v>316</v>
      </c>
    </row>
    <row r="35214">
      <c r="A35214" s="17"/>
      <c r="H35214" s="18"/>
      <c r="K35214" s="18" t="s">
        <v>316</v>
      </c>
    </row>
    <row r="35215">
      <c r="A35215" s="17"/>
      <c r="H35215" s="18"/>
      <c r="K35215" s="18" t="s">
        <v>316</v>
      </c>
    </row>
    <row r="35216">
      <c r="A35216" s="17"/>
      <c r="H35216" s="18"/>
      <c r="K35216" s="18" t="s">
        <v>316</v>
      </c>
    </row>
    <row r="35217">
      <c r="A35217" s="17"/>
      <c r="H35217" s="18"/>
      <c r="K35217" s="18" t="s">
        <v>316</v>
      </c>
    </row>
    <row r="35218">
      <c r="A35218" s="17"/>
      <c r="H35218" s="18"/>
      <c r="K35218" s="18" t="s">
        <v>316</v>
      </c>
    </row>
    <row r="35219">
      <c r="A35219" s="17"/>
      <c r="H35219" s="18"/>
      <c r="K35219" s="18" t="s">
        <v>316</v>
      </c>
    </row>
    <row r="35220">
      <c r="A35220" s="17"/>
      <c r="H35220" s="18"/>
      <c r="K35220" s="18" t="s">
        <v>316</v>
      </c>
    </row>
    <row r="35221">
      <c r="A35221" s="17"/>
      <c r="H35221" s="18"/>
      <c r="K35221" s="18" t="s">
        <v>316</v>
      </c>
    </row>
    <row r="35222">
      <c r="A35222" s="17"/>
      <c r="H35222" s="18"/>
      <c r="K35222" s="18" t="s">
        <v>316</v>
      </c>
    </row>
    <row r="35223">
      <c r="A35223" s="17"/>
      <c r="H35223" s="18"/>
      <c r="K35223" s="18" t="s">
        <v>316</v>
      </c>
    </row>
    <row r="35224">
      <c r="A35224" s="17"/>
      <c r="H35224" s="18"/>
      <c r="K35224" s="18" t="s">
        <v>316</v>
      </c>
    </row>
    <row r="35225">
      <c r="A35225" s="17"/>
      <c r="H35225" s="18"/>
      <c r="K35225" s="18" t="s">
        <v>316</v>
      </c>
    </row>
    <row r="35226">
      <c r="A35226" s="17"/>
      <c r="H35226" s="18"/>
      <c r="K35226" s="18" t="s">
        <v>316</v>
      </c>
    </row>
    <row r="35227">
      <c r="A35227" s="17"/>
      <c r="H35227" s="18"/>
      <c r="K35227" s="18" t="s">
        <v>316</v>
      </c>
    </row>
    <row r="35228">
      <c r="A35228" s="17"/>
      <c r="H35228" s="18"/>
      <c r="K35228" s="18" t="s">
        <v>316</v>
      </c>
    </row>
    <row r="35229">
      <c r="A35229" s="17"/>
      <c r="H35229" s="18"/>
      <c r="K35229" s="18" t="s">
        <v>316</v>
      </c>
    </row>
    <row r="35230">
      <c r="A35230" s="17"/>
      <c r="H35230" s="18"/>
      <c r="K35230" s="18" t="s">
        <v>316</v>
      </c>
    </row>
    <row r="35231">
      <c r="A35231" s="17"/>
      <c r="H35231" s="18"/>
      <c r="K35231" s="18" t="s">
        <v>316</v>
      </c>
    </row>
    <row r="35232">
      <c r="A35232" s="17"/>
      <c r="H35232" s="18"/>
      <c r="K35232" s="18" t="s">
        <v>316</v>
      </c>
    </row>
    <row r="35233">
      <c r="A35233" s="17"/>
      <c r="H35233" s="18"/>
      <c r="K35233" s="18" t="s">
        <v>316</v>
      </c>
    </row>
    <row r="35234">
      <c r="A35234" s="17"/>
      <c r="H35234" s="18"/>
      <c r="K35234" s="18" t="s">
        <v>316</v>
      </c>
    </row>
    <row r="35235">
      <c r="A35235" s="17"/>
      <c r="H35235" s="18"/>
      <c r="K35235" s="18" t="s">
        <v>316</v>
      </c>
    </row>
    <row r="35236">
      <c r="A35236" s="17"/>
      <c r="H35236" s="18"/>
      <c r="K35236" s="18" t="s">
        <v>316</v>
      </c>
    </row>
    <row r="35237">
      <c r="A35237" s="17"/>
      <c r="H35237" s="18"/>
      <c r="K35237" s="18" t="s">
        <v>316</v>
      </c>
    </row>
    <row r="35238">
      <c r="A35238" s="17"/>
      <c r="H35238" s="18"/>
      <c r="K35238" s="18" t="s">
        <v>316</v>
      </c>
    </row>
    <row r="35239">
      <c r="A35239" s="17"/>
      <c r="H35239" s="18"/>
      <c r="K35239" s="18" t="s">
        <v>316</v>
      </c>
    </row>
    <row r="35240">
      <c r="A35240" s="17"/>
      <c r="H35240" s="18"/>
      <c r="K35240" s="18" t="s">
        <v>316</v>
      </c>
    </row>
    <row r="35241">
      <c r="A35241" s="17"/>
      <c r="H35241" s="18"/>
      <c r="K35241" s="18" t="s">
        <v>316</v>
      </c>
    </row>
    <row r="35242">
      <c r="A35242" s="17"/>
      <c r="H35242" s="18"/>
      <c r="K35242" s="18" t="s">
        <v>316</v>
      </c>
    </row>
    <row r="35243">
      <c r="A35243" s="17"/>
      <c r="H35243" s="18"/>
      <c r="K35243" s="18" t="s">
        <v>316</v>
      </c>
    </row>
    <row r="35244">
      <c r="A35244" s="17"/>
      <c r="H35244" s="18"/>
      <c r="K35244" s="18" t="s">
        <v>316</v>
      </c>
    </row>
    <row r="35245">
      <c r="A35245" s="17"/>
      <c r="H35245" s="18"/>
      <c r="K35245" s="18" t="s">
        <v>316</v>
      </c>
    </row>
    <row r="35246">
      <c r="A35246" s="17"/>
      <c r="H35246" s="18"/>
      <c r="K35246" s="18" t="s">
        <v>316</v>
      </c>
    </row>
    <row r="35247">
      <c r="A35247" s="17"/>
      <c r="H35247" s="18"/>
      <c r="K35247" s="18" t="s">
        <v>316</v>
      </c>
    </row>
    <row r="35248">
      <c r="A35248" s="17"/>
      <c r="H35248" s="18"/>
      <c r="K35248" s="18" t="s">
        <v>316</v>
      </c>
    </row>
    <row r="35249">
      <c r="A35249" s="17"/>
      <c r="H35249" s="18"/>
      <c r="K35249" s="18" t="s">
        <v>316</v>
      </c>
    </row>
    <row r="35250">
      <c r="A35250" s="17"/>
      <c r="H35250" s="18"/>
      <c r="K35250" s="18" t="s">
        <v>316</v>
      </c>
    </row>
    <row r="35251">
      <c r="A35251" s="17"/>
      <c r="H35251" s="18"/>
      <c r="K35251" s="18" t="s">
        <v>316</v>
      </c>
    </row>
    <row r="35252">
      <c r="A35252" s="17"/>
      <c r="H35252" s="18"/>
      <c r="K35252" s="18" t="s">
        <v>316</v>
      </c>
    </row>
    <row r="35253">
      <c r="A35253" s="17"/>
      <c r="H35253" s="18"/>
      <c r="K35253" s="18" t="s">
        <v>316</v>
      </c>
    </row>
    <row r="35254">
      <c r="A35254" s="17"/>
      <c r="H35254" s="18"/>
      <c r="K35254" s="18" t="s">
        <v>316</v>
      </c>
    </row>
    <row r="35255">
      <c r="A35255" s="17"/>
      <c r="H35255" s="18"/>
      <c r="K35255" s="18" t="s">
        <v>316</v>
      </c>
    </row>
    <row r="35256">
      <c r="A35256" s="17"/>
      <c r="H35256" s="18"/>
      <c r="K35256" s="18" t="s">
        <v>316</v>
      </c>
    </row>
    <row r="35257">
      <c r="A35257" s="17"/>
      <c r="H35257" s="18"/>
      <c r="K35257" s="18" t="s">
        <v>316</v>
      </c>
    </row>
    <row r="35258">
      <c r="A35258" s="17"/>
      <c r="H35258" s="18"/>
      <c r="K35258" s="18" t="s">
        <v>316</v>
      </c>
    </row>
    <row r="35259">
      <c r="A35259" s="17"/>
      <c r="H35259" s="18"/>
      <c r="K35259" s="18" t="s">
        <v>316</v>
      </c>
    </row>
    <row r="35260">
      <c r="A35260" s="17"/>
      <c r="H35260" s="18"/>
      <c r="K35260" s="18" t="s">
        <v>316</v>
      </c>
    </row>
    <row r="35261">
      <c r="A35261" s="17"/>
      <c r="H35261" s="18"/>
      <c r="K35261" s="18" t="s">
        <v>316</v>
      </c>
    </row>
    <row r="35262">
      <c r="A35262" s="17"/>
      <c r="H35262" s="18"/>
      <c r="K35262" s="18" t="s">
        <v>316</v>
      </c>
    </row>
    <row r="35263">
      <c r="A35263" s="17"/>
      <c r="H35263" s="18"/>
      <c r="K35263" s="18" t="s">
        <v>316</v>
      </c>
    </row>
    <row r="35264">
      <c r="A35264" s="17"/>
      <c r="H35264" s="18"/>
      <c r="K35264" s="18" t="s">
        <v>316</v>
      </c>
    </row>
    <row r="35265">
      <c r="A35265" s="17"/>
      <c r="H35265" s="18"/>
      <c r="K35265" s="18" t="s">
        <v>316</v>
      </c>
    </row>
    <row r="35266">
      <c r="A35266" s="17"/>
      <c r="H35266" s="18"/>
      <c r="K35266" s="18" t="s">
        <v>316</v>
      </c>
    </row>
    <row r="35267">
      <c r="A35267" s="17"/>
      <c r="H35267" s="18"/>
      <c r="K35267" s="18" t="s">
        <v>316</v>
      </c>
    </row>
    <row r="35268">
      <c r="A35268" s="17"/>
      <c r="H35268" s="18"/>
      <c r="K35268" s="18" t="s">
        <v>316</v>
      </c>
    </row>
    <row r="35269">
      <c r="A35269" s="17"/>
      <c r="H35269" s="18"/>
      <c r="K35269" s="18" t="s">
        <v>316</v>
      </c>
    </row>
    <row r="35270">
      <c r="A35270" s="17"/>
      <c r="H35270" s="18"/>
      <c r="K35270" s="18" t="s">
        <v>316</v>
      </c>
    </row>
    <row r="35271">
      <c r="A35271" s="17"/>
      <c r="H35271" s="18"/>
      <c r="K35271" s="18" t="s">
        <v>316</v>
      </c>
    </row>
    <row r="35272">
      <c r="A35272" s="17"/>
      <c r="H35272" s="18"/>
      <c r="K35272" s="18" t="s">
        <v>316</v>
      </c>
    </row>
    <row r="35273">
      <c r="A35273" s="17"/>
      <c r="H35273" s="18"/>
      <c r="K35273" s="18" t="s">
        <v>316</v>
      </c>
    </row>
    <row r="35274">
      <c r="A35274" s="17"/>
      <c r="H35274" s="18"/>
      <c r="K35274" s="18" t="s">
        <v>316</v>
      </c>
    </row>
    <row r="35275">
      <c r="A35275" s="17"/>
      <c r="H35275" s="18"/>
      <c r="K35275" s="18" t="s">
        <v>316</v>
      </c>
    </row>
    <row r="35276">
      <c r="A35276" s="17"/>
      <c r="H35276" s="18"/>
      <c r="K35276" s="18" t="s">
        <v>316</v>
      </c>
    </row>
    <row r="35277">
      <c r="A35277" s="17"/>
      <c r="H35277" s="18"/>
      <c r="K35277" s="18" t="s">
        <v>316</v>
      </c>
    </row>
    <row r="35278">
      <c r="A35278" s="17"/>
      <c r="H35278" s="18"/>
      <c r="K35278" s="18" t="s">
        <v>316</v>
      </c>
    </row>
    <row r="35279">
      <c r="A35279" s="17"/>
      <c r="H35279" s="18"/>
      <c r="K35279" s="18" t="s">
        <v>316</v>
      </c>
    </row>
    <row r="35280">
      <c r="A35280" s="17"/>
      <c r="H35280" s="18"/>
      <c r="K35280" s="18" t="s">
        <v>316</v>
      </c>
    </row>
    <row r="35281">
      <c r="A35281" s="17"/>
      <c r="H35281" s="18"/>
      <c r="K35281" s="18" t="s">
        <v>316</v>
      </c>
    </row>
    <row r="35282">
      <c r="A35282" s="17"/>
      <c r="H35282" s="18"/>
      <c r="K35282" s="18" t="s">
        <v>316</v>
      </c>
    </row>
    <row r="35283">
      <c r="A35283" s="17"/>
      <c r="H35283" s="18"/>
      <c r="K35283" s="18" t="s">
        <v>316</v>
      </c>
    </row>
    <row r="35284">
      <c r="A35284" s="17"/>
      <c r="H35284" s="18"/>
      <c r="K35284" s="18" t="s">
        <v>316</v>
      </c>
    </row>
    <row r="35285">
      <c r="A35285" s="17"/>
      <c r="H35285" s="18"/>
      <c r="K35285" s="18" t="s">
        <v>316</v>
      </c>
    </row>
    <row r="35286">
      <c r="A35286" s="17"/>
      <c r="H35286" s="18"/>
      <c r="K35286" s="18" t="s">
        <v>316</v>
      </c>
    </row>
    <row r="35287">
      <c r="A35287" s="17"/>
      <c r="H35287" s="18"/>
      <c r="K35287" s="18" t="s">
        <v>316</v>
      </c>
    </row>
    <row r="35288">
      <c r="A35288" s="17"/>
      <c r="H35288" s="18"/>
      <c r="K35288" s="18" t="s">
        <v>316</v>
      </c>
    </row>
    <row r="35289">
      <c r="A35289" s="17"/>
      <c r="H35289" s="18"/>
      <c r="K35289" s="18" t="s">
        <v>316</v>
      </c>
    </row>
    <row r="35290">
      <c r="A35290" s="17"/>
      <c r="H35290" s="18"/>
      <c r="K35290" s="18" t="s">
        <v>316</v>
      </c>
    </row>
    <row r="35291">
      <c r="A35291" s="17"/>
      <c r="H35291" s="18"/>
      <c r="K35291" s="18" t="s">
        <v>316</v>
      </c>
    </row>
    <row r="35292">
      <c r="A35292" s="17"/>
      <c r="H35292" s="18"/>
      <c r="K35292" s="18" t="s">
        <v>316</v>
      </c>
    </row>
    <row r="35293">
      <c r="A35293" s="17"/>
      <c r="H35293" s="18"/>
      <c r="K35293" s="18" t="s">
        <v>316</v>
      </c>
    </row>
    <row r="35294">
      <c r="A35294" s="17"/>
      <c r="H35294" s="18"/>
      <c r="K35294" s="18" t="s">
        <v>316</v>
      </c>
    </row>
    <row r="35295">
      <c r="A35295" s="17"/>
      <c r="H35295" s="18"/>
      <c r="K35295" s="18" t="s">
        <v>316</v>
      </c>
    </row>
    <row r="35296">
      <c r="A35296" s="17"/>
      <c r="H35296" s="18"/>
      <c r="K35296" s="18" t="s">
        <v>316</v>
      </c>
    </row>
    <row r="35297">
      <c r="A35297" s="17"/>
      <c r="H35297" s="18"/>
      <c r="K35297" s="18" t="s">
        <v>316</v>
      </c>
    </row>
    <row r="35298">
      <c r="A35298" s="17"/>
      <c r="H35298" s="18"/>
      <c r="K35298" s="18" t="s">
        <v>316</v>
      </c>
    </row>
    <row r="35299">
      <c r="A35299" s="17"/>
      <c r="H35299" s="18"/>
      <c r="K35299" s="18" t="s">
        <v>316</v>
      </c>
    </row>
    <row r="35300">
      <c r="A35300" s="17"/>
      <c r="H35300" s="18"/>
      <c r="K35300" s="18" t="s">
        <v>316</v>
      </c>
    </row>
    <row r="35301">
      <c r="A35301" s="17"/>
      <c r="H35301" s="18"/>
      <c r="K35301" s="18" t="s">
        <v>316</v>
      </c>
    </row>
    <row r="35302">
      <c r="A35302" s="17"/>
      <c r="H35302" s="18"/>
      <c r="K35302" s="18" t="s">
        <v>316</v>
      </c>
    </row>
    <row r="35303">
      <c r="A35303" s="17"/>
      <c r="H35303" s="18"/>
      <c r="K35303" s="18" t="s">
        <v>316</v>
      </c>
    </row>
    <row r="35304">
      <c r="A35304" s="17"/>
      <c r="H35304" s="18"/>
      <c r="K35304" s="18" t="s">
        <v>316</v>
      </c>
    </row>
    <row r="35305">
      <c r="A35305" s="17"/>
      <c r="H35305" s="18"/>
      <c r="K35305" s="18" t="s">
        <v>316</v>
      </c>
    </row>
    <row r="35306">
      <c r="A35306" s="17"/>
      <c r="H35306" s="18"/>
      <c r="K35306" s="18" t="s">
        <v>316</v>
      </c>
    </row>
    <row r="35307">
      <c r="A35307" s="17"/>
      <c r="H35307" s="18"/>
      <c r="K35307" s="18" t="s">
        <v>316</v>
      </c>
    </row>
    <row r="35308">
      <c r="A35308" s="17"/>
      <c r="H35308" s="18"/>
      <c r="K35308" s="18" t="s">
        <v>316</v>
      </c>
    </row>
    <row r="35309">
      <c r="A35309" s="17"/>
      <c r="H35309" s="18"/>
      <c r="K35309" s="18" t="s">
        <v>316</v>
      </c>
    </row>
    <row r="35310">
      <c r="A35310" s="17"/>
      <c r="H35310" s="18"/>
      <c r="K35310" s="18" t="s">
        <v>316</v>
      </c>
    </row>
    <row r="35311">
      <c r="A35311" s="17"/>
      <c r="H35311" s="18"/>
      <c r="K35311" s="18" t="s">
        <v>316</v>
      </c>
    </row>
    <row r="35312">
      <c r="A35312" s="17"/>
      <c r="H35312" s="18"/>
      <c r="K35312" s="18" t="s">
        <v>316</v>
      </c>
    </row>
    <row r="35313">
      <c r="A35313" s="17"/>
      <c r="H35313" s="18"/>
      <c r="K35313" s="18" t="s">
        <v>316</v>
      </c>
    </row>
    <row r="35314">
      <c r="A35314" s="17"/>
      <c r="H35314" s="18"/>
      <c r="K35314" s="18" t="s">
        <v>316</v>
      </c>
    </row>
    <row r="35315">
      <c r="A35315" s="17"/>
      <c r="H35315" s="18"/>
      <c r="K35315" s="18" t="s">
        <v>316</v>
      </c>
    </row>
    <row r="35316">
      <c r="A35316" s="17"/>
      <c r="H35316" s="18"/>
      <c r="K35316" s="18" t="s">
        <v>316</v>
      </c>
    </row>
    <row r="35317">
      <c r="A35317" s="17"/>
      <c r="H35317" s="18"/>
      <c r="K35317" s="18" t="s">
        <v>316</v>
      </c>
    </row>
    <row r="35318">
      <c r="A35318" s="17"/>
      <c r="H35318" s="18"/>
      <c r="K35318" s="18" t="s">
        <v>316</v>
      </c>
    </row>
    <row r="35319">
      <c r="A35319" s="17"/>
      <c r="H35319" s="18"/>
      <c r="K35319" s="18" t="s">
        <v>316</v>
      </c>
    </row>
    <row r="35320">
      <c r="A35320" s="17"/>
      <c r="H35320" s="18"/>
      <c r="K35320" s="18" t="s">
        <v>316</v>
      </c>
    </row>
    <row r="35321">
      <c r="A35321" s="17"/>
      <c r="H35321" s="18"/>
      <c r="K35321" s="18" t="s">
        <v>316</v>
      </c>
    </row>
    <row r="35322">
      <c r="A35322" s="17"/>
      <c r="H35322" s="18"/>
      <c r="K35322" s="18" t="s">
        <v>316</v>
      </c>
    </row>
    <row r="35323">
      <c r="A35323" s="17"/>
      <c r="H35323" s="18"/>
      <c r="K35323" s="18" t="s">
        <v>316</v>
      </c>
    </row>
    <row r="35324">
      <c r="A35324" s="17"/>
      <c r="H35324" s="18"/>
      <c r="K35324" s="18" t="s">
        <v>316</v>
      </c>
    </row>
    <row r="35325">
      <c r="A35325" s="17"/>
      <c r="H35325" s="18"/>
      <c r="K35325" s="18" t="s">
        <v>316</v>
      </c>
    </row>
    <row r="35326">
      <c r="A35326" s="17"/>
      <c r="H35326" s="18"/>
      <c r="K35326" s="18" t="s">
        <v>316</v>
      </c>
    </row>
    <row r="35327">
      <c r="A35327" s="17"/>
      <c r="H35327" s="18"/>
      <c r="K35327" s="18" t="s">
        <v>316</v>
      </c>
    </row>
    <row r="35328">
      <c r="A35328" s="17"/>
      <c r="H35328" s="18"/>
      <c r="K35328" s="18" t="s">
        <v>316</v>
      </c>
    </row>
    <row r="35329">
      <c r="A35329" s="17"/>
      <c r="H35329" s="18"/>
      <c r="K35329" s="18" t="s">
        <v>316</v>
      </c>
    </row>
    <row r="35330">
      <c r="A35330" s="17"/>
      <c r="H35330" s="18"/>
      <c r="K35330" s="18" t="s">
        <v>316</v>
      </c>
    </row>
    <row r="35331">
      <c r="A35331" s="17"/>
      <c r="H35331" s="18"/>
      <c r="K35331" s="18" t="s">
        <v>316</v>
      </c>
    </row>
    <row r="35332">
      <c r="A35332" s="17"/>
      <c r="H35332" s="18"/>
      <c r="K35332" s="18" t="s">
        <v>316</v>
      </c>
    </row>
    <row r="35333">
      <c r="A35333" s="17"/>
      <c r="H35333" s="18"/>
      <c r="K35333" s="18" t="s">
        <v>316</v>
      </c>
    </row>
    <row r="35334">
      <c r="A35334" s="17"/>
      <c r="H35334" s="18"/>
      <c r="K35334" s="18" t="s">
        <v>316</v>
      </c>
    </row>
    <row r="35335">
      <c r="A35335" s="17"/>
      <c r="H35335" s="18"/>
      <c r="K35335" s="18" t="s">
        <v>316</v>
      </c>
    </row>
    <row r="35336">
      <c r="A35336" s="17"/>
      <c r="H35336" s="18"/>
      <c r="K35336" s="18" t="s">
        <v>316</v>
      </c>
    </row>
    <row r="35337">
      <c r="A35337" s="17"/>
      <c r="H35337" s="18"/>
      <c r="K35337" s="18" t="s">
        <v>316</v>
      </c>
    </row>
    <row r="35338">
      <c r="A35338" s="17"/>
      <c r="H35338" s="18"/>
      <c r="K35338" s="18" t="s">
        <v>316</v>
      </c>
    </row>
    <row r="35339">
      <c r="A35339" s="17"/>
      <c r="H35339" s="18"/>
      <c r="K35339" s="18" t="s">
        <v>316</v>
      </c>
    </row>
    <row r="35340">
      <c r="A35340" s="17"/>
      <c r="H35340" s="18"/>
      <c r="K35340" s="18" t="s">
        <v>316</v>
      </c>
    </row>
    <row r="35341">
      <c r="A35341" s="17"/>
      <c r="H35341" s="18"/>
      <c r="K35341" s="18" t="s">
        <v>316</v>
      </c>
    </row>
    <row r="35342">
      <c r="A35342" s="17"/>
      <c r="H35342" s="18"/>
      <c r="K35342" s="18" t="s">
        <v>316</v>
      </c>
    </row>
    <row r="35343">
      <c r="A35343" s="17"/>
      <c r="H35343" s="18"/>
      <c r="K35343" s="18" t="s">
        <v>316</v>
      </c>
    </row>
    <row r="35344">
      <c r="A35344" s="17"/>
      <c r="H35344" s="18"/>
      <c r="K35344" s="18" t="s">
        <v>316</v>
      </c>
    </row>
    <row r="35345">
      <c r="A35345" s="17"/>
      <c r="H35345" s="18"/>
      <c r="K35345" s="18" t="s">
        <v>316</v>
      </c>
    </row>
    <row r="35346">
      <c r="A35346" s="17"/>
      <c r="H35346" s="18"/>
      <c r="K35346" s="18" t="s">
        <v>316</v>
      </c>
    </row>
    <row r="35347">
      <c r="A35347" s="17"/>
      <c r="H35347" s="18"/>
      <c r="K35347" s="18" t="s">
        <v>316</v>
      </c>
    </row>
    <row r="35348">
      <c r="A35348" s="17"/>
      <c r="H35348" s="18"/>
      <c r="K35348" s="18" t="s">
        <v>316</v>
      </c>
    </row>
    <row r="35349">
      <c r="A35349" s="17"/>
      <c r="H35349" s="18"/>
      <c r="K35349" s="18" t="s">
        <v>316</v>
      </c>
    </row>
    <row r="35350">
      <c r="A35350" s="17"/>
      <c r="H35350" s="18"/>
      <c r="K35350" s="18" t="s">
        <v>316</v>
      </c>
    </row>
    <row r="35351">
      <c r="A35351" s="17"/>
      <c r="H35351" s="18"/>
      <c r="K35351" s="18" t="s">
        <v>316</v>
      </c>
    </row>
    <row r="35352">
      <c r="A35352" s="17"/>
      <c r="H35352" s="18"/>
      <c r="K35352" s="18" t="s">
        <v>316</v>
      </c>
    </row>
    <row r="35353">
      <c r="A35353" s="17"/>
      <c r="H35353" s="18"/>
      <c r="K35353" s="18" t="s">
        <v>316</v>
      </c>
    </row>
    <row r="35354">
      <c r="A35354" s="17"/>
      <c r="H35354" s="18"/>
      <c r="K35354" s="18" t="s">
        <v>316</v>
      </c>
    </row>
    <row r="35355">
      <c r="A35355" s="17"/>
      <c r="H35355" s="18"/>
      <c r="K35355" s="18" t="s">
        <v>316</v>
      </c>
    </row>
    <row r="35356">
      <c r="A35356" s="17"/>
      <c r="H35356" s="18"/>
      <c r="K35356" s="18" t="s">
        <v>316</v>
      </c>
    </row>
    <row r="35357">
      <c r="A35357" s="17"/>
      <c r="H35357" s="18"/>
      <c r="K35357" s="18" t="s">
        <v>316</v>
      </c>
    </row>
    <row r="35358">
      <c r="A35358" s="17"/>
      <c r="H35358" s="18"/>
      <c r="K35358" s="18" t="s">
        <v>316</v>
      </c>
    </row>
    <row r="35359">
      <c r="A35359" s="17"/>
      <c r="H35359" s="18"/>
      <c r="K35359" s="18" t="s">
        <v>316</v>
      </c>
    </row>
    <row r="35360">
      <c r="A35360" s="17"/>
      <c r="H35360" s="18"/>
      <c r="K35360" s="18" t="s">
        <v>316</v>
      </c>
    </row>
    <row r="35361">
      <c r="A35361" s="17"/>
      <c r="H35361" s="18"/>
      <c r="K35361" s="18" t="s">
        <v>316</v>
      </c>
    </row>
    <row r="35362">
      <c r="A35362" s="17"/>
      <c r="H35362" s="18"/>
      <c r="K35362" s="18" t="s">
        <v>316</v>
      </c>
    </row>
    <row r="35363">
      <c r="A35363" s="17"/>
      <c r="H35363" s="18"/>
      <c r="K35363" s="18" t="s">
        <v>316</v>
      </c>
    </row>
    <row r="35364">
      <c r="A35364" s="17"/>
      <c r="H35364" s="18"/>
      <c r="K35364" s="18" t="s">
        <v>316</v>
      </c>
    </row>
    <row r="35365">
      <c r="A35365" s="17"/>
      <c r="H35365" s="18"/>
      <c r="K35365" s="18" t="s">
        <v>316</v>
      </c>
    </row>
    <row r="35366">
      <c r="A35366" s="17"/>
      <c r="H35366" s="18"/>
      <c r="K35366" s="18" t="s">
        <v>316</v>
      </c>
    </row>
    <row r="35367">
      <c r="A35367" s="17"/>
      <c r="H35367" s="18"/>
      <c r="K35367" s="18" t="s">
        <v>316</v>
      </c>
    </row>
    <row r="35368">
      <c r="A35368" s="17"/>
      <c r="H35368" s="18"/>
      <c r="K35368" s="18" t="s">
        <v>316</v>
      </c>
    </row>
    <row r="35369">
      <c r="A35369" s="17"/>
      <c r="H35369" s="18"/>
      <c r="K35369" s="18" t="s">
        <v>316</v>
      </c>
    </row>
    <row r="35370">
      <c r="A35370" s="17"/>
      <c r="H35370" s="18"/>
      <c r="K35370" s="18" t="s">
        <v>316</v>
      </c>
    </row>
    <row r="35371">
      <c r="A35371" s="17"/>
      <c r="H35371" s="18"/>
      <c r="K35371" s="18" t="s">
        <v>316</v>
      </c>
    </row>
    <row r="35372">
      <c r="A35372" s="17"/>
      <c r="H35372" s="18"/>
      <c r="K35372" s="18" t="s">
        <v>316</v>
      </c>
    </row>
    <row r="35373">
      <c r="A35373" s="17"/>
      <c r="H35373" s="18"/>
      <c r="K35373" s="18" t="s">
        <v>316</v>
      </c>
    </row>
    <row r="35374">
      <c r="A35374" s="17"/>
      <c r="H35374" s="18"/>
      <c r="K35374" s="18" t="s">
        <v>316</v>
      </c>
    </row>
    <row r="35375">
      <c r="A35375" s="17"/>
      <c r="H35375" s="18"/>
      <c r="K35375" s="18" t="s">
        <v>316</v>
      </c>
    </row>
    <row r="35376">
      <c r="A35376" s="17"/>
      <c r="H35376" s="18"/>
      <c r="K35376" s="18" t="s">
        <v>316</v>
      </c>
    </row>
    <row r="35377">
      <c r="A35377" s="17"/>
      <c r="H35377" s="18"/>
      <c r="K35377" s="18" t="s">
        <v>316</v>
      </c>
    </row>
    <row r="35378">
      <c r="A35378" s="17"/>
      <c r="H35378" s="18"/>
      <c r="K35378" s="18" t="s">
        <v>316</v>
      </c>
    </row>
    <row r="35379">
      <c r="A35379" s="17"/>
      <c r="H35379" s="18"/>
      <c r="K35379" s="18" t="s">
        <v>316</v>
      </c>
    </row>
    <row r="35380">
      <c r="A35380" s="17"/>
      <c r="H35380" s="18"/>
      <c r="K35380" s="18" t="s">
        <v>316</v>
      </c>
    </row>
    <row r="35381">
      <c r="A35381" s="17"/>
      <c r="H35381" s="18"/>
      <c r="K35381" s="18" t="s">
        <v>316</v>
      </c>
    </row>
    <row r="35382">
      <c r="A35382" s="17"/>
      <c r="H35382" s="18"/>
      <c r="K35382" s="18" t="s">
        <v>316</v>
      </c>
    </row>
    <row r="35383">
      <c r="A35383" s="17"/>
      <c r="H35383" s="18"/>
      <c r="K35383" s="18" t="s">
        <v>316</v>
      </c>
    </row>
    <row r="35384">
      <c r="A35384" s="17"/>
      <c r="H35384" s="18"/>
      <c r="K35384" s="18" t="s">
        <v>316</v>
      </c>
    </row>
    <row r="35385">
      <c r="A35385" s="17"/>
      <c r="H35385" s="18"/>
      <c r="K35385" s="18" t="s">
        <v>316</v>
      </c>
    </row>
    <row r="35386">
      <c r="A35386" s="17"/>
      <c r="H35386" s="18"/>
      <c r="K35386" s="18" t="s">
        <v>316</v>
      </c>
    </row>
    <row r="35387">
      <c r="A35387" s="17"/>
      <c r="H35387" s="18"/>
      <c r="K35387" s="18" t="s">
        <v>316</v>
      </c>
    </row>
    <row r="35388">
      <c r="A35388" s="17"/>
      <c r="H35388" s="18"/>
      <c r="K35388" s="18" t="s">
        <v>316</v>
      </c>
    </row>
    <row r="35389">
      <c r="A35389" s="17"/>
      <c r="H35389" s="18"/>
      <c r="K35389" s="18" t="s">
        <v>316</v>
      </c>
    </row>
    <row r="35390">
      <c r="A35390" s="17"/>
      <c r="H35390" s="18"/>
      <c r="K35390" s="18" t="s">
        <v>316</v>
      </c>
    </row>
    <row r="35391">
      <c r="A35391" s="17"/>
      <c r="H35391" s="18"/>
      <c r="K35391" s="18" t="s">
        <v>316</v>
      </c>
    </row>
    <row r="35392">
      <c r="A35392" s="17"/>
      <c r="H35392" s="18"/>
      <c r="K35392" s="18" t="s">
        <v>316</v>
      </c>
    </row>
    <row r="35393">
      <c r="A35393" s="17"/>
      <c r="H35393" s="18"/>
      <c r="K35393" s="18" t="s">
        <v>316</v>
      </c>
    </row>
    <row r="35394">
      <c r="A35394" s="17"/>
      <c r="H35394" s="18"/>
      <c r="K35394" s="18" t="s">
        <v>316</v>
      </c>
    </row>
    <row r="35395">
      <c r="A35395" s="17"/>
      <c r="H35395" s="18"/>
      <c r="K35395" s="18" t="s">
        <v>316</v>
      </c>
    </row>
    <row r="35396">
      <c r="A35396" s="17"/>
      <c r="H35396" s="18"/>
      <c r="K35396" s="18" t="s">
        <v>316</v>
      </c>
    </row>
    <row r="35397">
      <c r="A35397" s="17"/>
      <c r="H35397" s="18"/>
      <c r="K35397" s="18" t="s">
        <v>316</v>
      </c>
    </row>
    <row r="35398">
      <c r="A35398" s="17"/>
      <c r="H35398" s="18"/>
      <c r="K35398" s="18" t="s">
        <v>316</v>
      </c>
    </row>
    <row r="35399">
      <c r="A35399" s="17"/>
      <c r="H35399" s="18"/>
      <c r="K35399" s="18" t="s">
        <v>316</v>
      </c>
    </row>
    <row r="35400">
      <c r="A35400" s="17"/>
      <c r="H35400" s="18"/>
      <c r="K35400" s="18" t="s">
        <v>316</v>
      </c>
    </row>
    <row r="35401">
      <c r="A35401" s="17"/>
      <c r="H35401" s="18"/>
      <c r="K35401" s="18" t="s">
        <v>316</v>
      </c>
    </row>
    <row r="35402">
      <c r="A35402" s="17"/>
      <c r="H35402" s="18"/>
      <c r="K35402" s="18" t="s">
        <v>316</v>
      </c>
    </row>
    <row r="35403">
      <c r="A35403" s="17"/>
      <c r="H35403" s="18"/>
      <c r="K35403" s="18" t="s">
        <v>316</v>
      </c>
    </row>
    <row r="35404">
      <c r="A35404" s="17"/>
      <c r="H35404" s="18"/>
      <c r="K35404" s="18" t="s">
        <v>316</v>
      </c>
    </row>
    <row r="35405">
      <c r="A35405" s="17"/>
      <c r="H35405" s="18"/>
      <c r="K35405" s="18" t="s">
        <v>316</v>
      </c>
    </row>
    <row r="35406">
      <c r="A35406" s="17"/>
      <c r="H35406" s="18"/>
      <c r="K35406" s="18" t="s">
        <v>316</v>
      </c>
    </row>
    <row r="35407">
      <c r="A35407" s="17"/>
      <c r="H35407" s="18"/>
      <c r="K35407" s="18" t="s">
        <v>316</v>
      </c>
    </row>
    <row r="35408">
      <c r="A35408" s="17"/>
      <c r="H35408" s="18"/>
      <c r="K35408" s="18" t="s">
        <v>316</v>
      </c>
    </row>
    <row r="35409">
      <c r="A35409" s="17"/>
      <c r="H35409" s="18"/>
      <c r="K35409" s="18" t="s">
        <v>316</v>
      </c>
    </row>
    <row r="35410">
      <c r="A35410" s="17"/>
      <c r="H35410" s="18"/>
      <c r="K35410" s="18" t="s">
        <v>316</v>
      </c>
    </row>
    <row r="35411">
      <c r="A35411" s="17"/>
      <c r="H35411" s="18"/>
      <c r="K35411" s="18" t="s">
        <v>316</v>
      </c>
    </row>
    <row r="35412">
      <c r="A35412" s="17"/>
      <c r="H35412" s="18"/>
      <c r="K35412" s="18" t="s">
        <v>316</v>
      </c>
    </row>
    <row r="35413">
      <c r="A35413" s="17"/>
      <c r="H35413" s="18"/>
      <c r="K35413" s="18" t="s">
        <v>316</v>
      </c>
    </row>
    <row r="35414">
      <c r="A35414" s="17"/>
      <c r="H35414" s="18"/>
      <c r="K35414" s="18" t="s">
        <v>316</v>
      </c>
    </row>
    <row r="35415">
      <c r="A35415" s="17"/>
      <c r="H35415" s="18"/>
      <c r="K35415" s="18" t="s">
        <v>316</v>
      </c>
    </row>
    <row r="35416">
      <c r="A35416" s="17"/>
      <c r="H35416" s="18"/>
      <c r="K35416" s="18" t="s">
        <v>316</v>
      </c>
    </row>
    <row r="35417">
      <c r="A35417" s="17"/>
      <c r="H35417" s="18"/>
      <c r="K35417" s="18" t="s">
        <v>316</v>
      </c>
    </row>
    <row r="35418">
      <c r="A35418" s="17"/>
      <c r="H35418" s="18"/>
      <c r="K35418" s="18" t="s">
        <v>316</v>
      </c>
    </row>
    <row r="35419">
      <c r="A35419" s="17"/>
      <c r="H35419" s="18"/>
      <c r="K35419" s="18" t="s">
        <v>316</v>
      </c>
    </row>
    <row r="35420">
      <c r="A35420" s="17"/>
      <c r="H35420" s="18"/>
      <c r="K35420" s="18" t="s">
        <v>316</v>
      </c>
    </row>
    <row r="35421">
      <c r="A35421" s="17"/>
      <c r="H35421" s="18"/>
      <c r="K35421" s="18" t="s">
        <v>316</v>
      </c>
    </row>
    <row r="35422">
      <c r="A35422" s="17"/>
      <c r="H35422" s="18"/>
      <c r="K35422" s="18" t="s">
        <v>316</v>
      </c>
    </row>
    <row r="35423">
      <c r="A35423" s="17"/>
      <c r="H35423" s="18"/>
      <c r="K35423" s="18" t="s">
        <v>316</v>
      </c>
    </row>
    <row r="35424">
      <c r="A35424" s="17"/>
      <c r="H35424" s="18"/>
      <c r="K35424" s="18" t="s">
        <v>316</v>
      </c>
    </row>
    <row r="35425">
      <c r="A35425" s="17"/>
      <c r="H35425" s="18"/>
      <c r="K35425" s="18" t="s">
        <v>316</v>
      </c>
    </row>
    <row r="35426">
      <c r="A35426" s="17"/>
      <c r="H35426" s="18"/>
      <c r="K35426" s="18" t="s">
        <v>316</v>
      </c>
    </row>
    <row r="35427">
      <c r="A35427" s="17"/>
      <c r="H35427" s="18"/>
      <c r="K35427" s="18" t="s">
        <v>316</v>
      </c>
    </row>
    <row r="35428">
      <c r="A35428" s="17"/>
      <c r="H35428" s="18"/>
      <c r="K35428" s="18" t="s">
        <v>316</v>
      </c>
    </row>
    <row r="35429">
      <c r="A35429" s="17"/>
      <c r="H35429" s="18"/>
      <c r="K35429" s="18" t="s">
        <v>316</v>
      </c>
    </row>
    <row r="35430">
      <c r="A35430" s="17"/>
      <c r="H35430" s="18"/>
      <c r="K35430" s="18" t="s">
        <v>316</v>
      </c>
    </row>
    <row r="35431">
      <c r="A35431" s="17"/>
      <c r="H35431" s="18"/>
      <c r="K35431" s="18" t="s">
        <v>316</v>
      </c>
    </row>
    <row r="35432">
      <c r="A35432" s="17"/>
      <c r="H35432" s="18"/>
      <c r="K35432" s="18" t="s">
        <v>316</v>
      </c>
    </row>
    <row r="35433">
      <c r="A35433" s="17"/>
      <c r="H35433" s="18"/>
      <c r="K35433" s="18" t="s">
        <v>316</v>
      </c>
    </row>
    <row r="35434">
      <c r="A35434" s="17"/>
      <c r="H35434" s="18"/>
      <c r="K35434" s="18" t="s">
        <v>316</v>
      </c>
    </row>
    <row r="35435">
      <c r="A35435" s="17"/>
      <c r="H35435" s="18"/>
      <c r="K35435" s="18" t="s">
        <v>316</v>
      </c>
    </row>
    <row r="35436">
      <c r="A35436" s="17"/>
      <c r="H35436" s="18"/>
      <c r="K35436" s="18" t="s">
        <v>316</v>
      </c>
    </row>
    <row r="35437">
      <c r="A35437" s="17"/>
      <c r="H35437" s="18"/>
      <c r="K35437" s="18" t="s">
        <v>316</v>
      </c>
    </row>
    <row r="35438">
      <c r="A35438" s="17"/>
      <c r="H35438" s="18"/>
      <c r="K35438" s="18" t="s">
        <v>316</v>
      </c>
    </row>
    <row r="35439">
      <c r="A35439" s="17"/>
      <c r="H35439" s="18"/>
      <c r="K35439" s="18" t="s">
        <v>316</v>
      </c>
    </row>
    <row r="35440">
      <c r="A35440" s="17"/>
      <c r="H35440" s="18"/>
      <c r="K35440" s="18" t="s">
        <v>316</v>
      </c>
    </row>
    <row r="35441">
      <c r="A35441" s="17"/>
      <c r="H35441" s="18"/>
      <c r="K35441" s="18" t="s">
        <v>316</v>
      </c>
    </row>
    <row r="35442">
      <c r="A35442" s="17"/>
      <c r="H35442" s="18"/>
      <c r="K35442" s="18" t="s">
        <v>316</v>
      </c>
    </row>
    <row r="35443">
      <c r="A35443" s="17"/>
      <c r="H35443" s="18"/>
      <c r="K35443" s="18" t="s">
        <v>316</v>
      </c>
    </row>
    <row r="35444">
      <c r="A35444" s="17"/>
      <c r="H35444" s="18"/>
      <c r="K35444" s="18" t="s">
        <v>316</v>
      </c>
    </row>
    <row r="35445">
      <c r="A35445" s="17"/>
      <c r="H35445" s="18"/>
      <c r="K35445" s="18" t="s">
        <v>316</v>
      </c>
    </row>
    <row r="35446">
      <c r="A35446" s="17"/>
      <c r="H35446" s="18"/>
      <c r="K35446" s="18" t="s">
        <v>316</v>
      </c>
    </row>
    <row r="35447">
      <c r="A35447" s="17"/>
      <c r="H35447" s="18"/>
      <c r="K35447" s="18" t="s">
        <v>316</v>
      </c>
    </row>
    <row r="35448">
      <c r="A35448" s="17"/>
      <c r="H35448" s="18"/>
      <c r="K35448" s="18" t="s">
        <v>316</v>
      </c>
    </row>
    <row r="35449">
      <c r="A35449" s="17"/>
      <c r="H35449" s="18"/>
      <c r="K35449" s="18" t="s">
        <v>316</v>
      </c>
    </row>
    <row r="35450">
      <c r="A35450" s="17"/>
      <c r="H35450" s="18"/>
      <c r="K35450" s="18" t="s">
        <v>316</v>
      </c>
    </row>
    <row r="35451">
      <c r="A35451" s="17"/>
      <c r="H35451" s="18"/>
      <c r="K35451" s="18" t="s">
        <v>316</v>
      </c>
    </row>
    <row r="35452">
      <c r="A35452" s="17"/>
      <c r="H35452" s="18"/>
      <c r="K35452" s="18" t="s">
        <v>316</v>
      </c>
    </row>
    <row r="35453">
      <c r="A35453" s="17"/>
      <c r="H35453" s="18"/>
      <c r="K35453" s="18" t="s">
        <v>316</v>
      </c>
    </row>
    <row r="35454">
      <c r="A35454" s="17"/>
      <c r="H35454" s="18"/>
      <c r="K35454" s="18" t="s">
        <v>316</v>
      </c>
    </row>
    <row r="35455">
      <c r="A35455" s="17"/>
      <c r="H35455" s="18"/>
      <c r="K35455" s="18" t="s">
        <v>316</v>
      </c>
    </row>
    <row r="35456">
      <c r="A35456" s="17"/>
      <c r="H35456" s="18"/>
      <c r="K35456" s="18" t="s">
        <v>316</v>
      </c>
    </row>
    <row r="35457">
      <c r="A35457" s="17"/>
      <c r="H35457" s="18"/>
      <c r="K35457" s="18" t="s">
        <v>316</v>
      </c>
    </row>
    <row r="35458">
      <c r="A35458" s="17"/>
      <c r="H35458" s="18"/>
      <c r="K35458" s="18" t="s">
        <v>316</v>
      </c>
    </row>
    <row r="35459">
      <c r="A35459" s="17"/>
      <c r="H35459" s="18"/>
      <c r="K35459" s="18" t="s">
        <v>316</v>
      </c>
    </row>
    <row r="35460">
      <c r="A35460" s="17"/>
      <c r="H35460" s="18"/>
      <c r="K35460" s="18" t="s">
        <v>316</v>
      </c>
    </row>
    <row r="35461">
      <c r="A35461" s="17"/>
      <c r="H35461" s="18"/>
      <c r="K35461" s="18" t="s">
        <v>316</v>
      </c>
    </row>
    <row r="35462">
      <c r="A35462" s="17"/>
      <c r="H35462" s="18"/>
      <c r="K35462" s="18" t="s">
        <v>316</v>
      </c>
    </row>
    <row r="35463">
      <c r="A35463" s="17"/>
      <c r="H35463" s="18"/>
      <c r="K35463" s="18" t="s">
        <v>316</v>
      </c>
    </row>
    <row r="35464">
      <c r="A35464" s="17"/>
      <c r="H35464" s="18"/>
      <c r="K35464" s="18" t="s">
        <v>316</v>
      </c>
    </row>
    <row r="35465">
      <c r="A35465" s="17"/>
      <c r="H35465" s="18"/>
      <c r="K35465" s="18" t="s">
        <v>316</v>
      </c>
    </row>
    <row r="35466">
      <c r="A35466" s="17"/>
      <c r="H35466" s="18"/>
      <c r="K35466" s="18" t="s">
        <v>316</v>
      </c>
    </row>
    <row r="35467">
      <c r="A35467" s="17"/>
      <c r="H35467" s="18"/>
      <c r="K35467" s="18" t="s">
        <v>316</v>
      </c>
    </row>
    <row r="35468">
      <c r="A35468" s="17"/>
      <c r="H35468" s="18"/>
      <c r="K35468" s="18" t="s">
        <v>316</v>
      </c>
    </row>
    <row r="35469">
      <c r="A35469" s="17"/>
      <c r="H35469" s="18"/>
      <c r="K35469" s="18" t="s">
        <v>316</v>
      </c>
    </row>
    <row r="35470">
      <c r="A35470" s="17"/>
      <c r="H35470" s="18"/>
      <c r="K35470" s="18" t="s">
        <v>316</v>
      </c>
    </row>
    <row r="35471">
      <c r="A35471" s="17"/>
      <c r="H35471" s="18"/>
      <c r="K35471" s="18" t="s">
        <v>316</v>
      </c>
    </row>
    <row r="35472">
      <c r="A35472" s="17"/>
      <c r="H35472" s="18"/>
      <c r="K35472" s="18" t="s">
        <v>316</v>
      </c>
    </row>
    <row r="35473">
      <c r="A35473" s="17"/>
      <c r="H35473" s="18"/>
      <c r="K35473" s="18" t="s">
        <v>316</v>
      </c>
    </row>
    <row r="35474">
      <c r="A35474" s="17"/>
      <c r="H35474" s="18"/>
      <c r="K35474" s="18" t="s">
        <v>316</v>
      </c>
    </row>
    <row r="35475">
      <c r="A35475" s="17"/>
      <c r="H35475" s="18"/>
      <c r="K35475" s="18" t="s">
        <v>316</v>
      </c>
    </row>
    <row r="35476">
      <c r="A35476" s="17"/>
      <c r="H35476" s="18"/>
      <c r="K35476" s="18" t="s">
        <v>316</v>
      </c>
    </row>
    <row r="35477">
      <c r="A35477" s="17"/>
      <c r="H35477" s="18"/>
      <c r="K35477" s="18" t="s">
        <v>316</v>
      </c>
    </row>
    <row r="35478">
      <c r="A35478" s="17"/>
      <c r="H35478" s="18"/>
      <c r="K35478" s="18" t="s">
        <v>316</v>
      </c>
    </row>
    <row r="35479">
      <c r="A35479" s="17"/>
      <c r="H35479" s="18"/>
      <c r="K35479" s="18" t="s">
        <v>316</v>
      </c>
    </row>
    <row r="35480">
      <c r="A35480" s="17"/>
      <c r="H35480" s="18"/>
      <c r="K35480" s="18" t="s">
        <v>316</v>
      </c>
    </row>
    <row r="35481">
      <c r="A35481" s="17"/>
      <c r="H35481" s="18"/>
      <c r="K35481" s="18" t="s">
        <v>316</v>
      </c>
    </row>
    <row r="35482">
      <c r="A35482" s="17"/>
      <c r="H35482" s="18"/>
      <c r="K35482" s="18" t="s">
        <v>316</v>
      </c>
    </row>
    <row r="35483">
      <c r="A35483" s="17"/>
      <c r="H35483" s="18"/>
      <c r="K35483" s="18" t="s">
        <v>316</v>
      </c>
    </row>
    <row r="35484">
      <c r="A35484" s="17"/>
      <c r="H35484" s="18"/>
      <c r="K35484" s="18" t="s">
        <v>316</v>
      </c>
    </row>
    <row r="35485">
      <c r="A35485" s="17"/>
      <c r="H35485" s="18"/>
      <c r="K35485" s="18" t="s">
        <v>316</v>
      </c>
    </row>
    <row r="35486">
      <c r="A35486" s="17"/>
      <c r="H35486" s="18"/>
      <c r="K35486" s="18" t="s">
        <v>316</v>
      </c>
    </row>
    <row r="35487">
      <c r="A35487" s="17"/>
      <c r="H35487" s="18"/>
      <c r="K35487" s="18" t="s">
        <v>316</v>
      </c>
    </row>
    <row r="35488">
      <c r="A35488" s="17"/>
      <c r="H35488" s="18"/>
      <c r="K35488" s="18" t="s">
        <v>316</v>
      </c>
    </row>
    <row r="35489">
      <c r="A35489" s="17"/>
      <c r="H35489" s="18"/>
      <c r="K35489" s="18" t="s">
        <v>316</v>
      </c>
    </row>
    <row r="35490">
      <c r="A35490" s="17"/>
      <c r="H35490" s="18"/>
      <c r="K35490" s="18" t="s">
        <v>316</v>
      </c>
    </row>
    <row r="35491">
      <c r="A35491" s="17"/>
      <c r="H35491" s="18"/>
      <c r="K35491" s="18" t="s">
        <v>316</v>
      </c>
    </row>
    <row r="35492">
      <c r="A35492" s="17"/>
      <c r="H35492" s="18"/>
      <c r="K35492" s="18" t="s">
        <v>316</v>
      </c>
    </row>
    <row r="35493">
      <c r="A35493" s="17"/>
      <c r="H35493" s="18"/>
      <c r="K35493" s="18" t="s">
        <v>316</v>
      </c>
    </row>
    <row r="35494">
      <c r="A35494" s="17"/>
      <c r="H35494" s="18"/>
      <c r="K35494" s="18" t="s">
        <v>316</v>
      </c>
    </row>
    <row r="35495">
      <c r="A35495" s="17"/>
      <c r="H35495" s="18"/>
      <c r="K35495" s="18" t="s">
        <v>316</v>
      </c>
    </row>
    <row r="35496">
      <c r="A35496" s="17"/>
      <c r="H35496" s="18"/>
      <c r="K35496" s="18" t="s">
        <v>316</v>
      </c>
    </row>
    <row r="35497">
      <c r="A35497" s="17"/>
      <c r="H35497" s="18"/>
      <c r="K35497" s="18" t="s">
        <v>316</v>
      </c>
    </row>
    <row r="35498">
      <c r="A35498" s="17"/>
      <c r="H35498" s="18"/>
      <c r="K35498" s="18" t="s">
        <v>316</v>
      </c>
    </row>
    <row r="35499">
      <c r="A35499" s="17"/>
      <c r="H35499" s="18"/>
      <c r="K35499" s="18" t="s">
        <v>316</v>
      </c>
    </row>
    <row r="35500">
      <c r="A35500" s="17"/>
      <c r="H35500" s="18"/>
      <c r="K35500" s="18" t="s">
        <v>316</v>
      </c>
    </row>
    <row r="35501">
      <c r="A35501" s="17"/>
      <c r="H35501" s="18"/>
      <c r="K35501" s="18" t="s">
        <v>316</v>
      </c>
    </row>
    <row r="35502">
      <c r="A35502" s="17"/>
      <c r="H35502" s="18"/>
      <c r="K35502" s="18" t="s">
        <v>316</v>
      </c>
    </row>
    <row r="35503">
      <c r="A35503" s="17"/>
      <c r="H35503" s="18"/>
      <c r="K35503" s="18" t="s">
        <v>316</v>
      </c>
    </row>
    <row r="35504">
      <c r="A35504" s="17"/>
      <c r="H35504" s="18"/>
      <c r="K35504" s="18" t="s">
        <v>316</v>
      </c>
    </row>
    <row r="35505">
      <c r="A35505" s="17"/>
      <c r="H35505" s="18"/>
      <c r="K35505" s="18" t="s">
        <v>316</v>
      </c>
    </row>
    <row r="35506">
      <c r="A35506" s="17"/>
      <c r="H35506" s="18"/>
      <c r="K35506" s="18" t="s">
        <v>316</v>
      </c>
    </row>
    <row r="35507">
      <c r="A35507" s="17"/>
      <c r="H35507" s="18"/>
      <c r="K35507" s="18" t="s">
        <v>316</v>
      </c>
    </row>
    <row r="35508">
      <c r="A35508" s="17"/>
      <c r="H35508" s="18"/>
      <c r="K35508" s="18" t="s">
        <v>316</v>
      </c>
    </row>
    <row r="35509">
      <c r="A35509" s="17"/>
      <c r="H35509" s="18"/>
      <c r="K35509" s="18" t="s">
        <v>316</v>
      </c>
    </row>
    <row r="35510">
      <c r="A35510" s="17"/>
      <c r="H35510" s="18"/>
      <c r="K35510" s="18" t="s">
        <v>316</v>
      </c>
    </row>
    <row r="35511">
      <c r="A35511" s="17"/>
      <c r="H35511" s="18"/>
      <c r="K35511" s="18" t="s">
        <v>316</v>
      </c>
    </row>
    <row r="35512">
      <c r="A35512" s="17"/>
      <c r="H35512" s="18"/>
      <c r="K35512" s="18" t="s">
        <v>316</v>
      </c>
    </row>
    <row r="35513">
      <c r="A35513" s="17"/>
      <c r="H35513" s="18"/>
      <c r="K35513" s="18" t="s">
        <v>316</v>
      </c>
    </row>
    <row r="35514">
      <c r="A35514" s="17"/>
      <c r="H35514" s="18"/>
      <c r="K35514" s="18" t="s">
        <v>316</v>
      </c>
    </row>
    <row r="35515">
      <c r="A35515" s="17"/>
      <c r="H35515" s="18"/>
      <c r="K35515" s="18" t="s">
        <v>316</v>
      </c>
    </row>
    <row r="35516">
      <c r="A35516" s="17"/>
      <c r="H35516" s="18"/>
      <c r="K35516" s="18" t="s">
        <v>316</v>
      </c>
    </row>
    <row r="35517">
      <c r="A35517" s="17"/>
      <c r="H35517" s="18"/>
      <c r="K35517" s="18" t="s">
        <v>316</v>
      </c>
    </row>
    <row r="35518">
      <c r="A35518" s="17"/>
      <c r="H35518" s="18"/>
      <c r="K35518" s="18" t="s">
        <v>316</v>
      </c>
    </row>
    <row r="35519">
      <c r="A35519" s="17"/>
      <c r="H35519" s="18"/>
      <c r="K35519" s="18" t="s">
        <v>316</v>
      </c>
    </row>
    <row r="35520">
      <c r="A35520" s="17"/>
      <c r="H35520" s="18"/>
      <c r="K35520" s="18" t="s">
        <v>316</v>
      </c>
    </row>
    <row r="35521">
      <c r="A35521" s="17"/>
      <c r="H35521" s="18"/>
      <c r="K35521" s="18" t="s">
        <v>316</v>
      </c>
    </row>
    <row r="35522">
      <c r="A35522" s="17"/>
      <c r="H35522" s="18"/>
      <c r="K35522" s="18" t="s">
        <v>316</v>
      </c>
    </row>
    <row r="35523">
      <c r="A35523" s="17"/>
      <c r="H35523" s="18"/>
      <c r="K35523" s="18" t="s">
        <v>316</v>
      </c>
    </row>
    <row r="35524">
      <c r="A35524" s="17"/>
      <c r="H35524" s="18"/>
      <c r="K35524" s="18" t="s">
        <v>316</v>
      </c>
    </row>
    <row r="35525">
      <c r="A35525" s="17"/>
      <c r="H35525" s="18"/>
      <c r="K35525" s="18" t="s">
        <v>316</v>
      </c>
    </row>
    <row r="35526">
      <c r="A35526" s="17"/>
      <c r="H35526" s="18"/>
      <c r="K35526" s="18" t="s">
        <v>316</v>
      </c>
    </row>
    <row r="35527">
      <c r="A35527" s="17"/>
      <c r="H35527" s="18"/>
      <c r="K35527" s="18" t="s">
        <v>316</v>
      </c>
    </row>
    <row r="35528">
      <c r="A35528" s="17"/>
      <c r="H35528" s="18"/>
      <c r="K35528" s="18" t="s">
        <v>316</v>
      </c>
    </row>
    <row r="35529">
      <c r="A35529" s="17"/>
      <c r="H35529" s="18"/>
      <c r="K35529" s="18" t="s">
        <v>316</v>
      </c>
    </row>
    <row r="35530">
      <c r="A35530" s="17"/>
      <c r="H35530" s="18"/>
      <c r="K35530" s="18" t="s">
        <v>316</v>
      </c>
    </row>
    <row r="35531">
      <c r="A35531" s="17"/>
      <c r="H35531" s="18"/>
      <c r="K35531" s="18" t="s">
        <v>316</v>
      </c>
    </row>
    <row r="35532">
      <c r="A35532" s="17"/>
      <c r="H35532" s="18"/>
      <c r="K35532" s="18" t="s">
        <v>316</v>
      </c>
    </row>
    <row r="35533">
      <c r="A35533" s="17"/>
      <c r="H35533" s="18"/>
      <c r="K35533" s="18" t="s">
        <v>316</v>
      </c>
    </row>
    <row r="35534">
      <c r="A35534" s="17"/>
      <c r="H35534" s="18"/>
      <c r="K35534" s="18" t="s">
        <v>316</v>
      </c>
    </row>
    <row r="35535">
      <c r="A35535" s="17"/>
      <c r="H35535" s="18"/>
      <c r="K35535" s="18" t="s">
        <v>316</v>
      </c>
    </row>
    <row r="35536">
      <c r="A35536" s="17"/>
      <c r="H35536" s="18"/>
      <c r="K35536" s="18" t="s">
        <v>316</v>
      </c>
    </row>
    <row r="35537">
      <c r="A35537" s="17"/>
      <c r="H35537" s="18"/>
      <c r="K35537" s="18" t="s">
        <v>316</v>
      </c>
    </row>
    <row r="35538">
      <c r="A35538" s="17"/>
      <c r="H35538" s="18"/>
      <c r="K35538" s="18" t="s">
        <v>316</v>
      </c>
    </row>
    <row r="35539">
      <c r="A35539" s="17"/>
      <c r="H35539" s="18"/>
      <c r="K35539" s="18" t="s">
        <v>316</v>
      </c>
    </row>
    <row r="35540">
      <c r="A35540" s="17"/>
      <c r="H35540" s="18"/>
      <c r="K35540" s="18" t="s">
        <v>316</v>
      </c>
    </row>
    <row r="35541">
      <c r="A35541" s="17"/>
      <c r="H35541" s="18"/>
      <c r="K35541" s="18" t="s">
        <v>316</v>
      </c>
    </row>
    <row r="35542">
      <c r="A35542" s="17"/>
      <c r="H35542" s="18"/>
      <c r="K35542" s="18" t="s">
        <v>316</v>
      </c>
    </row>
    <row r="35543">
      <c r="A35543" s="17"/>
      <c r="H35543" s="18"/>
      <c r="K35543" s="18" t="s">
        <v>316</v>
      </c>
    </row>
    <row r="35544">
      <c r="A35544" s="17"/>
      <c r="H35544" s="18"/>
      <c r="K35544" s="18" t="s">
        <v>316</v>
      </c>
    </row>
    <row r="35545">
      <c r="A35545" s="17"/>
      <c r="H35545" s="18"/>
      <c r="K35545" s="18" t="s">
        <v>316</v>
      </c>
    </row>
    <row r="35546">
      <c r="A35546" s="17"/>
      <c r="H35546" s="18"/>
      <c r="K35546" s="18" t="s">
        <v>316</v>
      </c>
    </row>
    <row r="35547">
      <c r="A35547" s="17"/>
      <c r="H35547" s="18"/>
      <c r="K35547" s="18" t="s">
        <v>316</v>
      </c>
    </row>
    <row r="35548">
      <c r="A35548" s="17"/>
      <c r="H35548" s="18"/>
      <c r="K35548" s="18" t="s">
        <v>316</v>
      </c>
    </row>
    <row r="35549">
      <c r="A35549" s="17"/>
      <c r="H35549" s="18"/>
      <c r="K35549" s="18" t="s">
        <v>316</v>
      </c>
    </row>
    <row r="35550">
      <c r="A35550" s="17"/>
      <c r="H35550" s="18"/>
      <c r="K35550" s="18" t="s">
        <v>316</v>
      </c>
    </row>
    <row r="35551">
      <c r="A35551" s="17"/>
      <c r="H35551" s="18"/>
      <c r="K35551" s="18" t="s">
        <v>316</v>
      </c>
    </row>
    <row r="35552">
      <c r="A35552" s="17"/>
      <c r="H35552" s="18"/>
      <c r="K35552" s="18" t="s">
        <v>316</v>
      </c>
    </row>
    <row r="35553">
      <c r="A35553" s="17"/>
      <c r="H35553" s="18"/>
      <c r="K35553" s="18" t="s">
        <v>316</v>
      </c>
    </row>
    <row r="35554">
      <c r="A35554" s="17"/>
      <c r="H35554" s="18"/>
      <c r="K35554" s="18" t="s">
        <v>316</v>
      </c>
    </row>
    <row r="35555">
      <c r="A35555" s="17"/>
      <c r="H35555" s="18"/>
      <c r="K35555" s="18" t="s">
        <v>316</v>
      </c>
    </row>
    <row r="35556">
      <c r="A35556" s="17"/>
      <c r="H35556" s="18"/>
      <c r="K35556" s="18" t="s">
        <v>316</v>
      </c>
    </row>
    <row r="35557">
      <c r="A35557" s="17"/>
      <c r="H35557" s="18"/>
      <c r="K35557" s="18" t="s">
        <v>316</v>
      </c>
    </row>
    <row r="35558">
      <c r="A35558" s="17"/>
      <c r="H35558" s="18"/>
      <c r="K35558" s="18" t="s">
        <v>316</v>
      </c>
    </row>
    <row r="35559">
      <c r="A35559" s="17"/>
      <c r="H35559" s="18"/>
      <c r="K35559" s="18" t="s">
        <v>316</v>
      </c>
    </row>
    <row r="35560">
      <c r="A35560" s="17"/>
      <c r="H35560" s="18"/>
      <c r="K35560" s="18" t="s">
        <v>316</v>
      </c>
    </row>
    <row r="35561">
      <c r="A35561" s="17"/>
      <c r="H35561" s="18"/>
      <c r="K35561" s="18" t="s">
        <v>316</v>
      </c>
    </row>
    <row r="35562">
      <c r="A35562" s="17"/>
      <c r="H35562" s="18"/>
      <c r="K35562" s="18" t="s">
        <v>316</v>
      </c>
    </row>
    <row r="35563">
      <c r="A35563" s="17"/>
      <c r="H35563" s="18"/>
      <c r="K35563" s="18" t="s">
        <v>316</v>
      </c>
    </row>
    <row r="35564">
      <c r="A35564" s="17"/>
      <c r="H35564" s="18"/>
      <c r="K35564" s="18" t="s">
        <v>316</v>
      </c>
    </row>
    <row r="35565">
      <c r="A35565" s="17"/>
      <c r="H35565" s="18"/>
      <c r="K35565" s="18" t="s">
        <v>316</v>
      </c>
    </row>
    <row r="35566">
      <c r="A35566" s="17"/>
      <c r="H35566" s="18"/>
      <c r="K35566" s="18" t="s">
        <v>316</v>
      </c>
    </row>
    <row r="35567">
      <c r="A35567" s="17"/>
      <c r="H35567" s="18"/>
      <c r="K35567" s="18" t="s">
        <v>316</v>
      </c>
    </row>
    <row r="35568">
      <c r="A35568" s="17"/>
      <c r="H35568" s="18"/>
      <c r="K35568" s="18" t="s">
        <v>316</v>
      </c>
    </row>
    <row r="35569">
      <c r="A35569" s="17"/>
      <c r="H35569" s="18"/>
      <c r="K35569" s="18" t="s">
        <v>316</v>
      </c>
    </row>
    <row r="35570">
      <c r="A35570" s="17"/>
      <c r="H35570" s="18"/>
      <c r="K35570" s="18" t="s">
        <v>316</v>
      </c>
    </row>
    <row r="35571">
      <c r="A35571" s="17"/>
      <c r="H35571" s="18"/>
      <c r="K35571" s="18" t="s">
        <v>316</v>
      </c>
    </row>
    <row r="35572">
      <c r="A35572" s="17"/>
      <c r="H35572" s="18"/>
      <c r="K35572" s="18" t="s">
        <v>316</v>
      </c>
    </row>
    <row r="35573">
      <c r="A35573" s="17"/>
      <c r="H35573" s="18"/>
      <c r="K35573" s="18" t="s">
        <v>316</v>
      </c>
    </row>
    <row r="35574">
      <c r="A35574" s="17"/>
      <c r="H35574" s="18"/>
      <c r="K35574" s="18" t="s">
        <v>316</v>
      </c>
    </row>
    <row r="35575">
      <c r="A35575" s="17"/>
      <c r="H35575" s="18"/>
      <c r="K35575" s="18" t="s">
        <v>316</v>
      </c>
    </row>
    <row r="35576">
      <c r="A35576" s="17"/>
      <c r="H35576" s="18"/>
      <c r="K35576" s="18" t="s">
        <v>316</v>
      </c>
    </row>
    <row r="35577">
      <c r="A35577" s="17"/>
      <c r="H35577" s="18"/>
      <c r="K35577" s="18" t="s">
        <v>316</v>
      </c>
    </row>
    <row r="35578">
      <c r="A35578" s="17"/>
      <c r="H35578" s="18"/>
      <c r="K35578" s="18" t="s">
        <v>316</v>
      </c>
    </row>
    <row r="35579">
      <c r="A35579" s="17"/>
      <c r="H35579" s="18"/>
      <c r="K35579" s="18" t="s">
        <v>316</v>
      </c>
    </row>
    <row r="35580">
      <c r="A35580" s="17"/>
      <c r="H35580" s="18"/>
      <c r="K35580" s="18" t="s">
        <v>316</v>
      </c>
    </row>
    <row r="35581">
      <c r="A35581" s="17"/>
      <c r="H35581" s="18"/>
      <c r="K35581" s="18" t="s">
        <v>316</v>
      </c>
    </row>
    <row r="35582">
      <c r="A35582" s="17"/>
      <c r="H35582" s="18"/>
      <c r="K35582" s="18" t="s">
        <v>316</v>
      </c>
    </row>
    <row r="35583">
      <c r="A35583" s="17"/>
      <c r="H35583" s="18"/>
      <c r="K35583" s="18" t="s">
        <v>316</v>
      </c>
    </row>
    <row r="35584">
      <c r="A35584" s="17"/>
      <c r="H35584" s="18"/>
      <c r="K35584" s="18" t="s">
        <v>316</v>
      </c>
    </row>
    <row r="35585">
      <c r="A35585" s="17"/>
      <c r="H35585" s="18"/>
      <c r="K35585" s="18" t="s">
        <v>316</v>
      </c>
    </row>
    <row r="35586">
      <c r="A35586" s="17"/>
      <c r="H35586" s="18"/>
      <c r="K35586" s="18" t="s">
        <v>316</v>
      </c>
    </row>
    <row r="35587">
      <c r="A35587" s="17"/>
      <c r="H35587" s="18"/>
      <c r="K35587" s="18" t="s">
        <v>316</v>
      </c>
    </row>
    <row r="35588">
      <c r="A35588" s="17"/>
      <c r="H35588" s="18"/>
      <c r="K35588" s="18" t="s">
        <v>316</v>
      </c>
    </row>
    <row r="35589">
      <c r="A35589" s="17"/>
      <c r="H35589" s="18"/>
      <c r="K35589" s="18" t="s">
        <v>316</v>
      </c>
    </row>
    <row r="35590">
      <c r="A35590" s="17"/>
      <c r="H35590" s="18"/>
      <c r="K35590" s="18" t="s">
        <v>316</v>
      </c>
    </row>
    <row r="35591">
      <c r="A35591" s="17"/>
      <c r="H35591" s="18"/>
      <c r="K35591" s="18" t="s">
        <v>316</v>
      </c>
    </row>
    <row r="35592">
      <c r="A35592" s="17"/>
      <c r="H35592" s="18"/>
      <c r="K35592" s="18" t="s">
        <v>316</v>
      </c>
    </row>
    <row r="35593">
      <c r="A35593" s="17"/>
      <c r="H35593" s="18"/>
      <c r="K35593" s="18" t="s">
        <v>316</v>
      </c>
    </row>
    <row r="35594">
      <c r="A35594" s="17"/>
      <c r="H35594" s="18"/>
      <c r="K35594" s="18" t="s">
        <v>316</v>
      </c>
    </row>
    <row r="35595">
      <c r="A35595" s="17"/>
      <c r="H35595" s="18"/>
      <c r="K35595" s="18" t="s">
        <v>316</v>
      </c>
    </row>
    <row r="35596">
      <c r="A35596" s="17"/>
      <c r="H35596" s="18"/>
      <c r="K35596" s="18" t="s">
        <v>316</v>
      </c>
    </row>
    <row r="35597">
      <c r="A35597" s="17"/>
      <c r="H35597" s="18"/>
      <c r="K35597" s="18" t="s">
        <v>316</v>
      </c>
    </row>
    <row r="35598">
      <c r="A35598" s="17"/>
      <c r="H35598" s="18"/>
      <c r="K35598" s="18" t="s">
        <v>316</v>
      </c>
    </row>
    <row r="35599">
      <c r="A35599" s="17"/>
      <c r="H35599" s="18"/>
      <c r="K35599" s="18" t="s">
        <v>316</v>
      </c>
    </row>
    <row r="35600">
      <c r="A35600" s="17"/>
      <c r="H35600" s="18"/>
      <c r="K35600" s="18" t="s">
        <v>316</v>
      </c>
    </row>
    <row r="35601">
      <c r="A35601" s="17"/>
      <c r="H35601" s="18"/>
      <c r="K35601" s="18" t="s">
        <v>316</v>
      </c>
    </row>
    <row r="35602">
      <c r="A35602" s="17"/>
      <c r="H35602" s="18"/>
      <c r="K35602" s="18" t="s">
        <v>316</v>
      </c>
    </row>
    <row r="35603">
      <c r="A35603" s="17"/>
      <c r="H35603" s="18"/>
      <c r="K35603" s="18" t="s">
        <v>316</v>
      </c>
    </row>
    <row r="35604">
      <c r="A35604" s="17"/>
      <c r="H35604" s="18"/>
      <c r="K35604" s="18" t="s">
        <v>316</v>
      </c>
    </row>
    <row r="35605">
      <c r="A35605" s="17"/>
      <c r="H35605" s="18"/>
      <c r="K35605" s="18" t="s">
        <v>316</v>
      </c>
    </row>
    <row r="35606">
      <c r="A35606" s="17"/>
      <c r="H35606" s="18"/>
      <c r="K35606" s="18" t="s">
        <v>316</v>
      </c>
    </row>
    <row r="35607">
      <c r="A35607" s="17"/>
      <c r="H35607" s="18"/>
      <c r="K35607" s="18" t="s">
        <v>316</v>
      </c>
    </row>
    <row r="35608">
      <c r="A35608" s="17"/>
      <c r="H35608" s="18"/>
      <c r="K35608" s="18" t="s">
        <v>316</v>
      </c>
    </row>
    <row r="35609">
      <c r="A35609" s="17"/>
      <c r="H35609" s="18"/>
      <c r="K35609" s="18" t="s">
        <v>316</v>
      </c>
    </row>
    <row r="35610">
      <c r="A35610" s="17"/>
      <c r="H35610" s="18"/>
      <c r="K35610" s="18" t="s">
        <v>316</v>
      </c>
    </row>
    <row r="35611">
      <c r="A35611" s="17"/>
      <c r="H35611" s="18"/>
      <c r="K35611" s="18" t="s">
        <v>316</v>
      </c>
    </row>
    <row r="35612">
      <c r="A35612" s="17"/>
      <c r="H35612" s="18"/>
      <c r="K35612" s="18" t="s">
        <v>316</v>
      </c>
    </row>
    <row r="35613">
      <c r="A35613" s="17"/>
      <c r="H35613" s="18"/>
      <c r="K35613" s="18" t="s">
        <v>316</v>
      </c>
    </row>
    <row r="35614">
      <c r="A35614" s="17"/>
      <c r="H35614" s="18"/>
      <c r="K35614" s="18" t="s">
        <v>316</v>
      </c>
    </row>
    <row r="35615">
      <c r="A35615" s="17"/>
      <c r="H35615" s="18"/>
      <c r="K35615" s="18" t="s">
        <v>316</v>
      </c>
    </row>
    <row r="35616">
      <c r="A35616" s="17"/>
      <c r="H35616" s="18"/>
      <c r="K35616" s="18" t="s">
        <v>316</v>
      </c>
    </row>
    <row r="35617">
      <c r="A35617" s="17"/>
      <c r="H35617" s="18"/>
      <c r="K35617" s="18" t="s">
        <v>316</v>
      </c>
    </row>
    <row r="35618">
      <c r="A35618" s="17"/>
      <c r="H35618" s="18"/>
      <c r="K35618" s="18" t="s">
        <v>316</v>
      </c>
    </row>
    <row r="35619">
      <c r="A35619" s="17"/>
      <c r="H35619" s="18"/>
      <c r="K35619" s="18" t="s">
        <v>316</v>
      </c>
    </row>
    <row r="35620">
      <c r="A35620" s="17"/>
      <c r="H35620" s="18"/>
      <c r="K35620" s="18" t="s">
        <v>316</v>
      </c>
    </row>
    <row r="35621">
      <c r="A35621" s="17"/>
      <c r="H35621" s="18"/>
      <c r="K35621" s="18" t="s">
        <v>316</v>
      </c>
    </row>
    <row r="35622">
      <c r="A35622" s="17"/>
      <c r="H35622" s="18"/>
      <c r="K35622" s="18" t="s">
        <v>316</v>
      </c>
    </row>
    <row r="35623">
      <c r="A35623" s="17"/>
      <c r="H35623" s="18"/>
      <c r="K35623" s="18" t="s">
        <v>316</v>
      </c>
    </row>
    <row r="35624">
      <c r="A35624" s="17"/>
      <c r="H35624" s="18"/>
      <c r="K35624" s="18" t="s">
        <v>316</v>
      </c>
    </row>
    <row r="35625">
      <c r="A35625" s="17"/>
      <c r="H35625" s="18"/>
      <c r="K35625" s="18" t="s">
        <v>316</v>
      </c>
    </row>
    <row r="35626">
      <c r="A35626" s="17"/>
      <c r="H35626" s="18"/>
      <c r="K35626" s="18" t="s">
        <v>316</v>
      </c>
    </row>
    <row r="35627">
      <c r="A35627" s="17"/>
      <c r="H35627" s="18"/>
      <c r="K35627" s="18" t="s">
        <v>316</v>
      </c>
    </row>
    <row r="35628">
      <c r="A35628" s="17"/>
      <c r="H35628" s="18"/>
      <c r="K35628" s="18" t="s">
        <v>316</v>
      </c>
    </row>
    <row r="35629">
      <c r="A35629" s="17"/>
      <c r="H35629" s="18"/>
      <c r="K35629" s="18" t="s">
        <v>316</v>
      </c>
    </row>
    <row r="35630">
      <c r="A35630" s="17"/>
      <c r="H35630" s="18"/>
      <c r="K35630" s="18" t="s">
        <v>316</v>
      </c>
    </row>
    <row r="35631">
      <c r="A35631" s="17"/>
      <c r="H35631" s="18"/>
      <c r="K35631" s="18" t="s">
        <v>316</v>
      </c>
    </row>
    <row r="35632">
      <c r="A35632" s="17"/>
      <c r="H35632" s="18"/>
      <c r="K35632" s="18" t="s">
        <v>316</v>
      </c>
    </row>
    <row r="35633">
      <c r="A35633" s="17"/>
      <c r="H35633" s="18"/>
      <c r="K35633" s="18" t="s">
        <v>316</v>
      </c>
    </row>
    <row r="35634">
      <c r="A35634" s="17"/>
      <c r="H35634" s="18"/>
      <c r="K35634" s="18" t="s">
        <v>316</v>
      </c>
    </row>
    <row r="35635">
      <c r="A35635" s="17"/>
      <c r="H35635" s="18"/>
      <c r="K35635" s="18" t="s">
        <v>316</v>
      </c>
    </row>
    <row r="35636">
      <c r="A35636" s="17"/>
      <c r="H35636" s="18"/>
      <c r="K35636" s="18" t="s">
        <v>316</v>
      </c>
    </row>
    <row r="35637">
      <c r="A35637" s="17"/>
      <c r="H35637" s="18"/>
      <c r="K35637" s="18" t="s">
        <v>316</v>
      </c>
    </row>
    <row r="35638">
      <c r="A35638" s="17"/>
      <c r="H35638" s="18"/>
      <c r="K35638" s="18" t="s">
        <v>316</v>
      </c>
    </row>
    <row r="35639">
      <c r="A35639" s="17"/>
      <c r="H35639" s="18"/>
      <c r="K35639" s="18" t="s">
        <v>316</v>
      </c>
    </row>
    <row r="35640">
      <c r="A35640" s="17"/>
      <c r="H35640" s="18"/>
      <c r="K35640" s="18" t="s">
        <v>316</v>
      </c>
    </row>
    <row r="35641">
      <c r="A35641" s="17"/>
      <c r="H35641" s="18"/>
      <c r="K35641" s="18" t="s">
        <v>316</v>
      </c>
    </row>
    <row r="35642">
      <c r="A35642" s="17"/>
      <c r="H35642" s="18"/>
      <c r="K35642" s="18" t="s">
        <v>316</v>
      </c>
    </row>
    <row r="35643">
      <c r="A35643" s="17"/>
      <c r="H35643" s="18"/>
      <c r="K35643" s="18" t="s">
        <v>316</v>
      </c>
    </row>
    <row r="35644">
      <c r="A35644" s="17"/>
      <c r="H35644" s="18"/>
      <c r="K35644" s="18" t="s">
        <v>316</v>
      </c>
    </row>
    <row r="35645">
      <c r="A35645" s="17"/>
      <c r="H35645" s="18"/>
      <c r="K35645" s="18" t="s">
        <v>316</v>
      </c>
    </row>
    <row r="35646">
      <c r="A35646" s="17"/>
      <c r="H35646" s="18"/>
      <c r="K35646" s="18" t="s">
        <v>316</v>
      </c>
    </row>
    <row r="35647">
      <c r="A35647" s="17"/>
      <c r="H35647" s="18"/>
      <c r="K35647" s="18" t="s">
        <v>316</v>
      </c>
    </row>
    <row r="35648">
      <c r="A35648" s="17"/>
      <c r="H35648" s="18"/>
      <c r="K35648" s="18" t="s">
        <v>316</v>
      </c>
    </row>
    <row r="35649">
      <c r="A35649" s="17"/>
      <c r="H35649" s="18"/>
      <c r="K35649" s="18" t="s">
        <v>316</v>
      </c>
    </row>
    <row r="35650">
      <c r="A35650" s="17"/>
      <c r="H35650" s="18"/>
      <c r="K35650" s="18" t="s">
        <v>316</v>
      </c>
    </row>
    <row r="35651">
      <c r="A35651" s="17"/>
      <c r="H35651" s="18"/>
      <c r="K35651" s="18" t="s">
        <v>316</v>
      </c>
    </row>
    <row r="35652">
      <c r="A35652" s="17"/>
      <c r="H35652" s="18"/>
      <c r="K35652" s="18" t="s">
        <v>316</v>
      </c>
    </row>
    <row r="35653">
      <c r="A35653" s="17"/>
      <c r="H35653" s="18"/>
      <c r="K35653" s="18" t="s">
        <v>316</v>
      </c>
    </row>
    <row r="35654">
      <c r="A35654" s="17"/>
      <c r="H35654" s="18"/>
      <c r="K35654" s="18" t="s">
        <v>316</v>
      </c>
    </row>
    <row r="35655">
      <c r="A35655" s="17"/>
      <c r="H35655" s="18"/>
      <c r="K35655" s="18" t="s">
        <v>316</v>
      </c>
    </row>
    <row r="35656">
      <c r="A35656" s="17"/>
      <c r="H35656" s="18"/>
      <c r="K35656" s="18" t="s">
        <v>316</v>
      </c>
    </row>
    <row r="35657">
      <c r="A35657" s="17"/>
      <c r="H35657" s="18"/>
      <c r="K35657" s="18" t="s">
        <v>316</v>
      </c>
    </row>
    <row r="35658">
      <c r="A35658" s="17"/>
      <c r="H35658" s="18"/>
      <c r="K35658" s="18" t="s">
        <v>316</v>
      </c>
    </row>
    <row r="35659">
      <c r="A35659" s="17"/>
      <c r="H35659" s="18"/>
      <c r="K35659" s="18" t="s">
        <v>316</v>
      </c>
    </row>
    <row r="35660">
      <c r="A35660" s="17"/>
      <c r="H35660" s="18"/>
      <c r="K35660" s="18" t="s">
        <v>316</v>
      </c>
    </row>
    <row r="35661">
      <c r="A35661" s="17"/>
      <c r="H35661" s="18"/>
      <c r="K35661" s="18" t="s">
        <v>316</v>
      </c>
    </row>
    <row r="35662">
      <c r="A35662" s="17"/>
      <c r="H35662" s="18"/>
      <c r="K35662" s="18" t="s">
        <v>316</v>
      </c>
    </row>
    <row r="35663">
      <c r="A35663" s="17"/>
      <c r="H35663" s="18"/>
      <c r="K35663" s="18" t="s">
        <v>316</v>
      </c>
    </row>
    <row r="35664">
      <c r="A35664" s="17"/>
      <c r="H35664" s="18"/>
      <c r="K35664" s="18" t="s">
        <v>316</v>
      </c>
    </row>
    <row r="35665">
      <c r="A35665" s="17"/>
      <c r="H35665" s="18"/>
      <c r="K35665" s="18" t="s">
        <v>316</v>
      </c>
    </row>
    <row r="35666">
      <c r="A35666" s="17"/>
      <c r="H35666" s="18"/>
      <c r="K35666" s="18" t="s">
        <v>316</v>
      </c>
    </row>
    <row r="35667">
      <c r="A35667" s="17"/>
      <c r="H35667" s="18"/>
      <c r="K35667" s="18" t="s">
        <v>316</v>
      </c>
    </row>
    <row r="35668">
      <c r="A35668" s="17"/>
      <c r="H35668" s="18"/>
      <c r="K35668" s="18" t="s">
        <v>316</v>
      </c>
    </row>
    <row r="35669">
      <c r="A35669" s="17"/>
      <c r="H35669" s="18"/>
      <c r="K35669" s="18" t="s">
        <v>316</v>
      </c>
    </row>
    <row r="35670">
      <c r="A35670" s="17"/>
      <c r="H35670" s="18"/>
      <c r="K35670" s="18" t="s">
        <v>316</v>
      </c>
    </row>
    <row r="35671">
      <c r="A35671" s="17"/>
      <c r="H35671" s="18"/>
      <c r="K35671" s="18" t="s">
        <v>316</v>
      </c>
    </row>
    <row r="35672">
      <c r="A35672" s="17"/>
      <c r="H35672" s="18"/>
      <c r="K35672" s="18" t="s">
        <v>316</v>
      </c>
    </row>
    <row r="35673">
      <c r="A35673" s="17"/>
      <c r="H35673" s="18"/>
      <c r="K35673" s="18" t="s">
        <v>316</v>
      </c>
    </row>
    <row r="35674">
      <c r="A35674" s="17"/>
      <c r="H35674" s="18"/>
      <c r="K35674" s="18" t="s">
        <v>316</v>
      </c>
    </row>
    <row r="35675">
      <c r="A35675" s="17"/>
      <c r="H35675" s="18"/>
      <c r="K35675" s="18" t="s">
        <v>316</v>
      </c>
    </row>
    <row r="35676">
      <c r="A35676" s="17"/>
      <c r="H35676" s="18"/>
      <c r="K35676" s="18" t="s">
        <v>316</v>
      </c>
    </row>
    <row r="35677">
      <c r="A35677" s="17"/>
      <c r="H35677" s="18"/>
      <c r="K35677" s="18" t="s">
        <v>316</v>
      </c>
    </row>
    <row r="35678">
      <c r="A35678" s="17"/>
      <c r="H35678" s="18"/>
      <c r="K35678" s="18" t="s">
        <v>316</v>
      </c>
    </row>
    <row r="35679">
      <c r="A35679" s="17"/>
      <c r="H35679" s="18"/>
      <c r="K35679" s="18" t="s">
        <v>316</v>
      </c>
    </row>
    <row r="35680">
      <c r="A35680" s="17"/>
      <c r="H35680" s="18"/>
      <c r="K35680" s="18" t="s">
        <v>316</v>
      </c>
    </row>
    <row r="35681">
      <c r="A35681" s="17"/>
      <c r="H35681" s="18"/>
      <c r="K35681" s="18" t="s">
        <v>316</v>
      </c>
    </row>
    <row r="35682">
      <c r="A35682" s="17"/>
      <c r="H35682" s="18"/>
      <c r="K35682" s="18" t="s">
        <v>316</v>
      </c>
    </row>
    <row r="35683">
      <c r="A35683" s="17"/>
      <c r="H35683" s="18"/>
      <c r="K35683" s="18" t="s">
        <v>316</v>
      </c>
    </row>
    <row r="35684">
      <c r="A35684" s="17"/>
      <c r="H35684" s="18"/>
      <c r="K35684" s="18" t="s">
        <v>316</v>
      </c>
    </row>
    <row r="35685">
      <c r="A35685" s="17"/>
      <c r="H35685" s="18"/>
      <c r="K35685" s="18" t="s">
        <v>316</v>
      </c>
    </row>
    <row r="35686">
      <c r="A35686" s="17"/>
      <c r="H35686" s="18"/>
      <c r="K35686" s="18" t="s">
        <v>316</v>
      </c>
    </row>
    <row r="35687">
      <c r="A35687" s="17"/>
      <c r="H35687" s="18"/>
      <c r="K35687" s="18" t="s">
        <v>316</v>
      </c>
    </row>
    <row r="35688">
      <c r="A35688" s="17"/>
      <c r="H35688" s="18"/>
      <c r="K35688" s="18" t="s">
        <v>316</v>
      </c>
    </row>
    <row r="35689">
      <c r="A35689" s="17"/>
      <c r="H35689" s="18"/>
      <c r="K35689" s="18" t="s">
        <v>316</v>
      </c>
    </row>
    <row r="35690">
      <c r="A35690" s="17"/>
      <c r="H35690" s="18"/>
      <c r="K35690" s="18" t="s">
        <v>316</v>
      </c>
    </row>
    <row r="35691">
      <c r="A35691" s="17"/>
      <c r="H35691" s="18"/>
      <c r="K35691" s="18" t="s">
        <v>316</v>
      </c>
    </row>
    <row r="35692">
      <c r="A35692" s="17"/>
      <c r="H35692" s="18"/>
      <c r="K35692" s="18" t="s">
        <v>316</v>
      </c>
    </row>
    <row r="35693">
      <c r="A35693" s="17"/>
      <c r="H35693" s="18"/>
      <c r="K35693" s="18" t="s">
        <v>316</v>
      </c>
    </row>
    <row r="35694">
      <c r="A35694" s="17"/>
      <c r="H35694" s="18"/>
      <c r="K35694" s="18" t="s">
        <v>316</v>
      </c>
    </row>
    <row r="35695">
      <c r="A35695" s="17"/>
      <c r="H35695" s="18"/>
      <c r="K35695" s="18" t="s">
        <v>316</v>
      </c>
    </row>
    <row r="35696">
      <c r="A35696" s="17"/>
      <c r="H35696" s="18"/>
      <c r="K35696" s="18" t="s">
        <v>316</v>
      </c>
    </row>
    <row r="35697">
      <c r="A35697" s="17"/>
      <c r="H35697" s="18"/>
      <c r="K35697" s="18" t="s">
        <v>316</v>
      </c>
    </row>
    <row r="35698">
      <c r="A35698" s="17"/>
      <c r="H35698" s="18"/>
      <c r="K35698" s="18" t="s">
        <v>316</v>
      </c>
    </row>
    <row r="35699">
      <c r="A35699" s="17"/>
      <c r="H35699" s="18"/>
      <c r="K35699" s="18" t="s">
        <v>316</v>
      </c>
    </row>
    <row r="35700">
      <c r="A35700" s="17"/>
      <c r="H35700" s="18"/>
      <c r="K35700" s="18" t="s">
        <v>316</v>
      </c>
    </row>
    <row r="35701">
      <c r="A35701" s="17"/>
      <c r="H35701" s="18"/>
      <c r="K35701" s="18" t="s">
        <v>316</v>
      </c>
    </row>
    <row r="35702">
      <c r="A35702" s="17"/>
      <c r="H35702" s="18"/>
      <c r="K35702" s="18" t="s">
        <v>316</v>
      </c>
    </row>
    <row r="35703">
      <c r="A35703" s="17"/>
      <c r="H35703" s="18"/>
      <c r="K35703" s="18" t="s">
        <v>316</v>
      </c>
    </row>
    <row r="35704">
      <c r="A35704" s="17"/>
      <c r="H35704" s="18"/>
      <c r="K35704" s="18" t="s">
        <v>316</v>
      </c>
    </row>
    <row r="35705">
      <c r="A35705" s="17"/>
      <c r="H35705" s="18"/>
      <c r="K35705" s="18" t="s">
        <v>316</v>
      </c>
    </row>
    <row r="35706">
      <c r="A35706" s="17"/>
      <c r="H35706" s="18"/>
      <c r="K35706" s="18" t="s">
        <v>316</v>
      </c>
    </row>
    <row r="35707">
      <c r="A35707" s="17"/>
      <c r="H35707" s="18"/>
      <c r="K35707" s="18" t="s">
        <v>316</v>
      </c>
    </row>
    <row r="35708">
      <c r="A35708" s="17"/>
      <c r="H35708" s="18"/>
      <c r="K35708" s="18" t="s">
        <v>316</v>
      </c>
    </row>
    <row r="35709">
      <c r="A35709" s="17"/>
      <c r="H35709" s="18"/>
      <c r="K35709" s="18" t="s">
        <v>316</v>
      </c>
    </row>
    <row r="35710">
      <c r="A35710" s="17"/>
      <c r="H35710" s="18"/>
      <c r="K35710" s="18" t="s">
        <v>316</v>
      </c>
    </row>
    <row r="35711">
      <c r="A35711" s="17"/>
      <c r="H35711" s="18"/>
      <c r="K35711" s="18" t="s">
        <v>316</v>
      </c>
    </row>
    <row r="35712">
      <c r="A35712" s="17"/>
      <c r="H35712" s="18"/>
      <c r="K35712" s="18" t="s">
        <v>316</v>
      </c>
    </row>
    <row r="35713">
      <c r="A35713" s="17"/>
      <c r="H35713" s="18"/>
      <c r="K35713" s="18" t="s">
        <v>316</v>
      </c>
    </row>
    <row r="35714">
      <c r="A35714" s="17"/>
      <c r="H35714" s="18"/>
      <c r="K35714" s="18" t="s">
        <v>316</v>
      </c>
    </row>
    <row r="35715">
      <c r="A35715" s="17"/>
      <c r="H35715" s="18"/>
      <c r="K35715" s="18" t="s">
        <v>316</v>
      </c>
    </row>
    <row r="35716">
      <c r="A35716" s="17"/>
      <c r="H35716" s="18"/>
      <c r="K35716" s="18" t="s">
        <v>316</v>
      </c>
    </row>
    <row r="35717">
      <c r="A35717" s="17"/>
      <c r="H35717" s="18"/>
      <c r="K35717" s="18" t="s">
        <v>316</v>
      </c>
    </row>
    <row r="35718">
      <c r="A35718" s="17"/>
      <c r="H35718" s="18"/>
      <c r="K35718" s="18" t="s">
        <v>316</v>
      </c>
    </row>
    <row r="35719">
      <c r="A35719" s="17"/>
      <c r="H35719" s="18"/>
      <c r="K35719" s="18" t="s">
        <v>316</v>
      </c>
    </row>
    <row r="35720">
      <c r="A35720" s="17"/>
      <c r="H35720" s="18"/>
      <c r="K35720" s="18" t="s">
        <v>316</v>
      </c>
    </row>
    <row r="35721">
      <c r="A35721" s="17"/>
      <c r="H35721" s="18"/>
      <c r="K35721" s="18" t="s">
        <v>316</v>
      </c>
    </row>
    <row r="35722">
      <c r="A35722" s="17"/>
      <c r="H35722" s="18"/>
      <c r="K35722" s="18" t="s">
        <v>316</v>
      </c>
    </row>
    <row r="35723">
      <c r="A35723" s="17"/>
      <c r="H35723" s="18"/>
      <c r="K35723" s="18" t="s">
        <v>316</v>
      </c>
    </row>
    <row r="35724">
      <c r="A35724" s="17"/>
      <c r="H35724" s="18"/>
      <c r="K35724" s="18" t="s">
        <v>316</v>
      </c>
    </row>
    <row r="35725">
      <c r="A35725" s="17"/>
      <c r="H35725" s="18"/>
      <c r="K35725" s="18" t="s">
        <v>316</v>
      </c>
    </row>
    <row r="35726">
      <c r="A35726" s="17"/>
      <c r="H35726" s="18"/>
      <c r="K35726" s="18" t="s">
        <v>316</v>
      </c>
    </row>
    <row r="35727">
      <c r="A35727" s="17"/>
      <c r="H35727" s="18"/>
      <c r="K35727" s="18" t="s">
        <v>316</v>
      </c>
    </row>
    <row r="35728">
      <c r="A35728" s="17"/>
      <c r="H35728" s="18"/>
      <c r="K35728" s="18" t="s">
        <v>316</v>
      </c>
    </row>
    <row r="35729">
      <c r="A35729" s="17"/>
      <c r="H35729" s="18"/>
      <c r="K35729" s="18" t="s">
        <v>316</v>
      </c>
    </row>
    <row r="35730">
      <c r="A35730" s="17"/>
      <c r="H35730" s="18"/>
      <c r="K35730" s="18" t="s">
        <v>316</v>
      </c>
    </row>
    <row r="35731">
      <c r="A35731" s="17"/>
      <c r="H35731" s="18"/>
      <c r="K35731" s="18" t="s">
        <v>316</v>
      </c>
    </row>
    <row r="35732">
      <c r="A35732" s="17"/>
      <c r="H35732" s="18"/>
      <c r="K35732" s="18" t="s">
        <v>316</v>
      </c>
    </row>
    <row r="35733">
      <c r="A35733" s="17"/>
      <c r="H35733" s="18"/>
      <c r="K35733" s="18" t="s">
        <v>316</v>
      </c>
    </row>
    <row r="35734">
      <c r="A35734" s="17"/>
      <c r="H35734" s="18"/>
      <c r="K35734" s="18" t="s">
        <v>316</v>
      </c>
    </row>
    <row r="35735">
      <c r="A35735" s="17"/>
      <c r="H35735" s="18"/>
      <c r="K35735" s="18" t="s">
        <v>316</v>
      </c>
    </row>
    <row r="35736">
      <c r="A35736" s="17"/>
      <c r="H35736" s="18"/>
      <c r="K35736" s="18" t="s">
        <v>316</v>
      </c>
    </row>
    <row r="35737">
      <c r="A35737" s="17"/>
      <c r="H35737" s="18"/>
      <c r="K35737" s="18" t="s">
        <v>316</v>
      </c>
    </row>
    <row r="35738">
      <c r="A35738" s="17"/>
      <c r="H35738" s="18"/>
      <c r="K35738" s="18" t="s">
        <v>316</v>
      </c>
    </row>
    <row r="35739">
      <c r="A35739" s="17"/>
      <c r="H35739" s="18"/>
      <c r="K35739" s="18" t="s">
        <v>316</v>
      </c>
    </row>
    <row r="35740">
      <c r="A35740" s="17"/>
      <c r="H35740" s="18"/>
      <c r="K35740" s="18" t="s">
        <v>316</v>
      </c>
    </row>
    <row r="35741">
      <c r="A35741" s="17"/>
      <c r="H35741" s="18"/>
      <c r="K35741" s="18" t="s">
        <v>316</v>
      </c>
    </row>
    <row r="35742">
      <c r="A35742" s="17"/>
      <c r="H35742" s="18"/>
      <c r="K35742" s="18" t="s">
        <v>316</v>
      </c>
    </row>
    <row r="35743">
      <c r="A35743" s="17"/>
      <c r="H35743" s="18"/>
      <c r="K35743" s="18" t="s">
        <v>316</v>
      </c>
    </row>
    <row r="35744">
      <c r="A35744" s="17"/>
      <c r="H35744" s="18"/>
      <c r="K35744" s="18" t="s">
        <v>316</v>
      </c>
    </row>
    <row r="35745">
      <c r="A35745" s="17"/>
      <c r="H35745" s="18"/>
      <c r="K35745" s="18" t="s">
        <v>316</v>
      </c>
    </row>
    <row r="35746">
      <c r="A35746" s="17"/>
      <c r="H35746" s="18"/>
      <c r="K35746" s="18" t="s">
        <v>316</v>
      </c>
    </row>
    <row r="35747">
      <c r="A35747" s="17"/>
      <c r="H35747" s="18"/>
      <c r="K35747" s="18" t="s">
        <v>316</v>
      </c>
    </row>
    <row r="35748">
      <c r="A35748" s="17"/>
      <c r="H35748" s="18"/>
      <c r="K35748" s="18" t="s">
        <v>316</v>
      </c>
    </row>
    <row r="35749">
      <c r="A35749" s="17"/>
      <c r="H35749" s="18"/>
      <c r="K35749" s="18" t="s">
        <v>316</v>
      </c>
    </row>
    <row r="35750">
      <c r="A35750" s="17"/>
      <c r="H35750" s="18"/>
      <c r="K35750" s="18" t="s">
        <v>316</v>
      </c>
    </row>
    <row r="35751">
      <c r="A35751" s="17"/>
      <c r="H35751" s="18"/>
      <c r="K35751" s="18" t="s">
        <v>316</v>
      </c>
    </row>
    <row r="35752">
      <c r="A35752" s="17"/>
      <c r="H35752" s="18"/>
      <c r="K35752" s="18" t="s">
        <v>316</v>
      </c>
    </row>
    <row r="35753">
      <c r="A35753" s="17"/>
      <c r="H35753" s="18"/>
      <c r="K35753" s="18" t="s">
        <v>316</v>
      </c>
    </row>
    <row r="35754">
      <c r="A35754" s="17"/>
      <c r="H35754" s="18"/>
      <c r="K35754" s="18" t="s">
        <v>316</v>
      </c>
    </row>
    <row r="35755">
      <c r="A35755" s="17"/>
      <c r="H35755" s="18"/>
      <c r="K35755" s="18" t="s">
        <v>316</v>
      </c>
    </row>
    <row r="35756">
      <c r="A35756" s="17"/>
      <c r="H35756" s="18"/>
      <c r="K35756" s="18" t="s">
        <v>316</v>
      </c>
    </row>
    <row r="35757">
      <c r="A35757" s="17"/>
      <c r="H35757" s="18"/>
      <c r="K35757" s="18" t="s">
        <v>316</v>
      </c>
    </row>
    <row r="35758">
      <c r="A35758" s="17"/>
      <c r="H35758" s="18"/>
      <c r="K35758" s="18" t="s">
        <v>316</v>
      </c>
    </row>
    <row r="35759">
      <c r="A35759" s="17"/>
      <c r="H35759" s="18"/>
      <c r="K35759" s="18" t="s">
        <v>316</v>
      </c>
    </row>
    <row r="35760">
      <c r="A35760" s="17"/>
      <c r="H35760" s="18"/>
      <c r="K35760" s="18" t="s">
        <v>316</v>
      </c>
    </row>
    <row r="35761">
      <c r="A35761" s="17"/>
      <c r="H35761" s="18"/>
      <c r="K35761" s="18" t="s">
        <v>316</v>
      </c>
    </row>
    <row r="35762">
      <c r="A35762" s="17"/>
      <c r="H35762" s="18"/>
      <c r="K35762" s="18" t="s">
        <v>316</v>
      </c>
    </row>
    <row r="35763">
      <c r="A35763" s="17"/>
      <c r="H35763" s="18"/>
      <c r="K35763" s="18" t="s">
        <v>316</v>
      </c>
    </row>
    <row r="35764">
      <c r="A35764" s="17"/>
      <c r="H35764" s="18"/>
      <c r="K35764" s="18" t="s">
        <v>316</v>
      </c>
    </row>
    <row r="35765">
      <c r="A35765" s="17"/>
      <c r="H35765" s="18"/>
      <c r="K35765" s="18" t="s">
        <v>316</v>
      </c>
    </row>
    <row r="35766">
      <c r="A35766" s="17"/>
      <c r="H35766" s="18"/>
      <c r="K35766" s="18" t="s">
        <v>316</v>
      </c>
    </row>
    <row r="35767">
      <c r="A35767" s="17"/>
      <c r="H35767" s="18"/>
      <c r="K35767" s="18" t="s">
        <v>316</v>
      </c>
    </row>
    <row r="35768">
      <c r="A35768" s="17"/>
      <c r="H35768" s="18"/>
      <c r="K35768" s="18" t="s">
        <v>316</v>
      </c>
    </row>
    <row r="35769">
      <c r="A35769" s="17"/>
      <c r="H35769" s="18"/>
      <c r="K35769" s="18" t="s">
        <v>316</v>
      </c>
    </row>
    <row r="35770">
      <c r="A35770" s="17"/>
      <c r="H35770" s="18"/>
      <c r="K35770" s="18" t="s">
        <v>316</v>
      </c>
    </row>
    <row r="35771">
      <c r="A35771" s="17"/>
      <c r="H35771" s="18"/>
      <c r="K35771" s="18" t="s">
        <v>316</v>
      </c>
    </row>
    <row r="35772">
      <c r="A35772" s="17"/>
      <c r="H35772" s="18"/>
      <c r="K35772" s="18" t="s">
        <v>316</v>
      </c>
    </row>
    <row r="35773">
      <c r="A35773" s="17"/>
      <c r="H35773" s="18"/>
      <c r="K35773" s="18" t="s">
        <v>316</v>
      </c>
    </row>
    <row r="35774">
      <c r="A35774" s="17"/>
      <c r="H35774" s="18"/>
      <c r="K35774" s="18" t="s">
        <v>316</v>
      </c>
    </row>
    <row r="35775">
      <c r="A35775" s="17"/>
      <c r="H35775" s="18"/>
      <c r="K35775" s="18" t="s">
        <v>316</v>
      </c>
    </row>
    <row r="35776">
      <c r="A35776" s="17"/>
      <c r="H35776" s="18"/>
      <c r="K35776" s="18" t="s">
        <v>316</v>
      </c>
    </row>
    <row r="35777">
      <c r="A35777" s="17"/>
      <c r="H35777" s="18"/>
      <c r="K35777" s="18" t="s">
        <v>316</v>
      </c>
    </row>
    <row r="35778">
      <c r="A35778" s="17"/>
      <c r="H35778" s="18"/>
      <c r="K35778" s="18" t="s">
        <v>316</v>
      </c>
    </row>
    <row r="35779">
      <c r="A35779" s="17"/>
      <c r="H35779" s="18"/>
      <c r="K35779" s="18" t="s">
        <v>316</v>
      </c>
    </row>
    <row r="35780">
      <c r="A35780" s="17"/>
      <c r="H35780" s="18"/>
      <c r="K35780" s="18" t="s">
        <v>316</v>
      </c>
    </row>
    <row r="35781">
      <c r="A35781" s="17"/>
      <c r="H35781" s="18"/>
      <c r="K35781" s="18" t="s">
        <v>316</v>
      </c>
    </row>
    <row r="35782">
      <c r="A35782" s="17"/>
      <c r="H35782" s="18"/>
      <c r="K35782" s="18" t="s">
        <v>316</v>
      </c>
    </row>
    <row r="35783">
      <c r="A35783" s="17"/>
      <c r="H35783" s="18"/>
      <c r="K35783" s="18" t="s">
        <v>316</v>
      </c>
    </row>
    <row r="35784">
      <c r="A35784" s="17"/>
      <c r="H35784" s="18"/>
      <c r="K35784" s="18" t="s">
        <v>316</v>
      </c>
    </row>
    <row r="35785">
      <c r="A35785" s="17"/>
      <c r="H35785" s="18"/>
      <c r="K35785" s="18" t="s">
        <v>316</v>
      </c>
    </row>
    <row r="35786">
      <c r="A35786" s="17"/>
      <c r="H35786" s="18"/>
      <c r="K35786" s="18" t="s">
        <v>316</v>
      </c>
    </row>
    <row r="35787">
      <c r="A35787" s="17"/>
      <c r="H35787" s="18"/>
      <c r="K35787" s="18" t="s">
        <v>316</v>
      </c>
    </row>
    <row r="35788">
      <c r="A35788" s="17"/>
      <c r="H35788" s="18"/>
      <c r="K35788" s="18" t="s">
        <v>316</v>
      </c>
    </row>
    <row r="35789">
      <c r="A35789" s="17"/>
      <c r="H35789" s="18"/>
      <c r="K35789" s="18" t="s">
        <v>316</v>
      </c>
    </row>
    <row r="35790">
      <c r="A35790" s="17"/>
      <c r="H35790" s="18"/>
      <c r="K35790" s="18" t="s">
        <v>316</v>
      </c>
    </row>
    <row r="35791">
      <c r="A35791" s="17"/>
      <c r="H35791" s="18"/>
      <c r="K35791" s="18" t="s">
        <v>316</v>
      </c>
    </row>
    <row r="35792">
      <c r="A35792" s="17"/>
      <c r="H35792" s="18"/>
      <c r="K35792" s="18" t="s">
        <v>316</v>
      </c>
    </row>
    <row r="35793">
      <c r="A35793" s="17"/>
      <c r="H35793" s="18"/>
      <c r="K35793" s="18" t="s">
        <v>316</v>
      </c>
    </row>
    <row r="35794">
      <c r="A35794" s="17"/>
      <c r="H35794" s="18"/>
      <c r="K35794" s="18" t="s">
        <v>316</v>
      </c>
    </row>
    <row r="35795">
      <c r="A35795" s="17"/>
      <c r="H35795" s="18"/>
      <c r="K35795" s="18" t="s">
        <v>316</v>
      </c>
    </row>
    <row r="35796">
      <c r="A35796" s="17"/>
      <c r="H35796" s="18"/>
      <c r="K35796" s="18" t="s">
        <v>316</v>
      </c>
    </row>
    <row r="35797">
      <c r="A35797" s="17"/>
      <c r="H35797" s="18"/>
      <c r="K35797" s="18" t="s">
        <v>316</v>
      </c>
    </row>
    <row r="35798">
      <c r="A35798" s="17"/>
      <c r="H35798" s="18"/>
      <c r="K35798" s="18" t="s">
        <v>316</v>
      </c>
    </row>
    <row r="35799">
      <c r="A35799" s="17"/>
      <c r="H35799" s="18"/>
      <c r="K35799" s="18" t="s">
        <v>316</v>
      </c>
    </row>
    <row r="35800">
      <c r="A35800" s="17"/>
      <c r="H35800" s="18"/>
      <c r="K35800" s="18" t="s">
        <v>316</v>
      </c>
    </row>
    <row r="35801">
      <c r="A35801" s="17"/>
      <c r="H35801" s="18"/>
      <c r="K35801" s="18" t="s">
        <v>316</v>
      </c>
    </row>
    <row r="35802">
      <c r="A35802" s="17"/>
      <c r="H35802" s="18"/>
      <c r="K35802" s="18" t="s">
        <v>316</v>
      </c>
    </row>
    <row r="35803">
      <c r="A35803" s="17"/>
      <c r="H35803" s="18"/>
      <c r="K35803" s="18" t="s">
        <v>316</v>
      </c>
    </row>
    <row r="35804">
      <c r="A35804" s="17"/>
      <c r="H35804" s="18"/>
      <c r="K35804" s="18" t="s">
        <v>316</v>
      </c>
    </row>
    <row r="35805">
      <c r="A35805" s="17"/>
      <c r="H35805" s="18"/>
      <c r="K35805" s="18" t="s">
        <v>316</v>
      </c>
    </row>
    <row r="35806">
      <c r="A35806" s="17"/>
      <c r="H35806" s="18"/>
      <c r="K35806" s="18" t="s">
        <v>316</v>
      </c>
    </row>
    <row r="35807">
      <c r="A35807" s="17"/>
      <c r="H35807" s="18"/>
      <c r="K35807" s="18" t="s">
        <v>316</v>
      </c>
    </row>
    <row r="35808">
      <c r="A35808" s="17"/>
      <c r="H35808" s="18"/>
      <c r="K35808" s="18" t="s">
        <v>316</v>
      </c>
    </row>
    <row r="35809">
      <c r="A35809" s="17"/>
      <c r="H35809" s="18"/>
      <c r="K35809" s="18" t="s">
        <v>316</v>
      </c>
    </row>
    <row r="35810">
      <c r="A35810" s="17"/>
      <c r="H35810" s="18"/>
      <c r="K35810" s="18" t="s">
        <v>316</v>
      </c>
    </row>
    <row r="35811">
      <c r="A35811" s="17"/>
      <c r="H35811" s="18"/>
      <c r="K35811" s="18" t="s">
        <v>316</v>
      </c>
    </row>
    <row r="35812">
      <c r="A35812" s="17"/>
      <c r="H35812" s="18"/>
      <c r="K35812" s="18" t="s">
        <v>316</v>
      </c>
    </row>
    <row r="35813">
      <c r="A35813" s="17"/>
      <c r="H35813" s="18"/>
      <c r="K35813" s="18" t="s">
        <v>316</v>
      </c>
    </row>
    <row r="35814">
      <c r="A35814" s="17"/>
      <c r="H35814" s="18"/>
      <c r="K35814" s="18" t="s">
        <v>316</v>
      </c>
    </row>
    <row r="35815">
      <c r="A35815" s="17"/>
      <c r="H35815" s="18"/>
      <c r="K35815" s="18" t="s">
        <v>316</v>
      </c>
    </row>
    <row r="35816">
      <c r="A35816" s="17"/>
      <c r="H35816" s="18"/>
      <c r="K35816" s="18" t="s">
        <v>316</v>
      </c>
    </row>
    <row r="35817">
      <c r="A35817" s="17"/>
      <c r="H35817" s="18"/>
      <c r="K35817" s="18" t="s">
        <v>316</v>
      </c>
    </row>
    <row r="35818">
      <c r="A35818" s="17"/>
      <c r="H35818" s="18"/>
      <c r="K35818" s="18" t="s">
        <v>316</v>
      </c>
    </row>
    <row r="35819">
      <c r="A35819" s="17"/>
      <c r="H35819" s="18"/>
      <c r="K35819" s="18" t="s">
        <v>316</v>
      </c>
    </row>
    <row r="35820">
      <c r="A35820" s="17"/>
      <c r="H35820" s="18"/>
      <c r="K35820" s="18" t="s">
        <v>316</v>
      </c>
    </row>
    <row r="35821">
      <c r="A35821" s="17"/>
      <c r="H35821" s="18"/>
      <c r="K35821" s="18" t="s">
        <v>316</v>
      </c>
    </row>
    <row r="35822">
      <c r="A35822" s="17"/>
      <c r="H35822" s="18"/>
      <c r="K35822" s="18" t="s">
        <v>316</v>
      </c>
    </row>
    <row r="35823">
      <c r="A35823" s="17"/>
      <c r="H35823" s="18"/>
      <c r="K35823" s="18" t="s">
        <v>316</v>
      </c>
    </row>
    <row r="35824">
      <c r="A35824" s="17"/>
      <c r="H35824" s="18"/>
      <c r="K35824" s="18" t="s">
        <v>316</v>
      </c>
    </row>
    <row r="35825">
      <c r="A35825" s="17"/>
      <c r="H35825" s="18"/>
      <c r="K35825" s="18" t="s">
        <v>316</v>
      </c>
    </row>
    <row r="35826">
      <c r="A35826" s="17"/>
      <c r="H35826" s="18"/>
      <c r="K35826" s="18" t="s">
        <v>316</v>
      </c>
    </row>
    <row r="35827">
      <c r="A35827" s="17"/>
      <c r="H35827" s="18"/>
      <c r="K35827" s="18" t="s">
        <v>316</v>
      </c>
    </row>
    <row r="35828">
      <c r="A35828" s="17"/>
      <c r="H35828" s="18"/>
      <c r="K35828" s="18" t="s">
        <v>316</v>
      </c>
    </row>
    <row r="35829">
      <c r="A35829" s="17"/>
      <c r="H35829" s="18"/>
      <c r="K35829" s="18" t="s">
        <v>316</v>
      </c>
    </row>
    <row r="35830">
      <c r="A35830" s="17"/>
      <c r="H35830" s="18"/>
      <c r="K35830" s="18" t="s">
        <v>316</v>
      </c>
    </row>
    <row r="35831">
      <c r="A35831" s="17"/>
      <c r="H35831" s="18"/>
      <c r="K35831" s="18" t="s">
        <v>316</v>
      </c>
    </row>
    <row r="35832">
      <c r="A35832" s="17"/>
      <c r="H35832" s="18"/>
      <c r="K35832" s="18" t="s">
        <v>316</v>
      </c>
    </row>
    <row r="35833">
      <c r="A35833" s="17"/>
      <c r="H35833" s="18"/>
      <c r="K35833" s="18" t="s">
        <v>316</v>
      </c>
    </row>
    <row r="35834">
      <c r="A35834" s="17"/>
      <c r="H35834" s="18"/>
      <c r="K35834" s="18" t="s">
        <v>316</v>
      </c>
    </row>
    <row r="35835">
      <c r="A35835" s="17"/>
      <c r="H35835" s="18"/>
      <c r="K35835" s="18" t="s">
        <v>316</v>
      </c>
    </row>
    <row r="35836">
      <c r="A35836" s="17"/>
      <c r="H35836" s="18"/>
      <c r="K35836" s="18" t="s">
        <v>316</v>
      </c>
    </row>
    <row r="35837">
      <c r="A35837" s="17"/>
      <c r="H35837" s="18"/>
      <c r="K35837" s="18" t="s">
        <v>316</v>
      </c>
    </row>
    <row r="35838">
      <c r="A35838" s="17"/>
      <c r="H35838" s="18"/>
      <c r="K35838" s="18" t="s">
        <v>316</v>
      </c>
    </row>
    <row r="35839">
      <c r="A35839" s="17"/>
      <c r="H35839" s="18"/>
      <c r="K35839" s="18" t="s">
        <v>316</v>
      </c>
    </row>
    <row r="35840">
      <c r="A35840" s="17"/>
      <c r="H35840" s="18"/>
      <c r="K35840" s="18" t="s">
        <v>316</v>
      </c>
    </row>
    <row r="35841">
      <c r="A35841" s="17"/>
      <c r="H35841" s="18"/>
      <c r="K35841" s="18" t="s">
        <v>316</v>
      </c>
    </row>
    <row r="35842">
      <c r="A35842" s="17"/>
      <c r="H35842" s="18"/>
      <c r="K35842" s="18" t="s">
        <v>316</v>
      </c>
    </row>
    <row r="35843">
      <c r="A35843" s="17"/>
      <c r="H35843" s="18"/>
      <c r="K35843" s="18" t="s">
        <v>316</v>
      </c>
    </row>
    <row r="35844">
      <c r="A35844" s="17"/>
      <c r="H35844" s="18"/>
      <c r="K35844" s="18" t="s">
        <v>316</v>
      </c>
    </row>
    <row r="35845">
      <c r="A35845" s="17"/>
      <c r="H35845" s="18"/>
      <c r="K35845" s="18" t="s">
        <v>316</v>
      </c>
    </row>
    <row r="35846">
      <c r="A35846" s="17"/>
      <c r="H35846" s="18"/>
      <c r="K35846" s="18" t="s">
        <v>316</v>
      </c>
    </row>
    <row r="35847">
      <c r="A35847" s="17"/>
      <c r="H35847" s="18"/>
      <c r="K35847" s="18" t="s">
        <v>316</v>
      </c>
    </row>
    <row r="35848">
      <c r="A35848" s="17"/>
      <c r="H35848" s="18"/>
      <c r="K35848" s="18" t="s">
        <v>316</v>
      </c>
    </row>
    <row r="35849">
      <c r="A35849" s="17"/>
      <c r="H35849" s="18"/>
      <c r="K35849" s="18" t="s">
        <v>316</v>
      </c>
    </row>
    <row r="35850">
      <c r="A35850" s="17"/>
      <c r="H35850" s="18"/>
      <c r="K35850" s="18" t="s">
        <v>316</v>
      </c>
    </row>
    <row r="35851">
      <c r="A35851" s="17"/>
      <c r="H35851" s="18"/>
      <c r="K35851" s="18" t="s">
        <v>316</v>
      </c>
    </row>
    <row r="35852">
      <c r="A35852" s="17"/>
      <c r="H35852" s="18"/>
      <c r="K35852" s="18" t="s">
        <v>316</v>
      </c>
    </row>
    <row r="35853">
      <c r="A35853" s="17"/>
      <c r="H35853" s="18"/>
      <c r="K35853" s="18" t="s">
        <v>316</v>
      </c>
    </row>
    <row r="35854">
      <c r="A35854" s="17"/>
      <c r="H35854" s="18"/>
      <c r="K35854" s="18" t="s">
        <v>316</v>
      </c>
    </row>
    <row r="35855">
      <c r="A35855" s="17"/>
      <c r="H35855" s="18"/>
      <c r="K35855" s="18" t="s">
        <v>316</v>
      </c>
    </row>
    <row r="35856">
      <c r="A35856" s="17"/>
      <c r="H35856" s="18"/>
      <c r="K35856" s="18" t="s">
        <v>316</v>
      </c>
    </row>
    <row r="35857">
      <c r="A35857" s="17"/>
      <c r="H35857" s="18"/>
      <c r="K35857" s="18" t="s">
        <v>316</v>
      </c>
    </row>
    <row r="35858">
      <c r="A35858" s="17"/>
      <c r="H35858" s="18"/>
      <c r="K35858" s="18" t="s">
        <v>316</v>
      </c>
    </row>
    <row r="35859">
      <c r="A35859" s="17"/>
      <c r="H35859" s="18"/>
      <c r="K35859" s="18" t="s">
        <v>316</v>
      </c>
    </row>
    <row r="35860">
      <c r="A35860" s="17"/>
      <c r="H35860" s="18"/>
      <c r="K35860" s="18" t="s">
        <v>316</v>
      </c>
    </row>
    <row r="35861">
      <c r="A35861" s="17"/>
      <c r="H35861" s="18"/>
      <c r="K35861" s="18" t="s">
        <v>316</v>
      </c>
    </row>
    <row r="35862">
      <c r="A35862" s="17"/>
      <c r="H35862" s="18"/>
      <c r="K35862" s="18" t="s">
        <v>316</v>
      </c>
    </row>
    <row r="35863">
      <c r="A35863" s="17"/>
      <c r="H35863" s="18"/>
      <c r="K35863" s="18" t="s">
        <v>316</v>
      </c>
    </row>
    <row r="35864">
      <c r="A35864" s="17"/>
      <c r="H35864" s="18"/>
      <c r="K35864" s="18" t="s">
        <v>316</v>
      </c>
    </row>
    <row r="35865">
      <c r="A35865" s="17"/>
      <c r="H35865" s="18"/>
      <c r="K35865" s="18" t="s">
        <v>316</v>
      </c>
    </row>
    <row r="35866">
      <c r="A35866" s="17"/>
      <c r="H35866" s="18"/>
      <c r="K35866" s="18" t="s">
        <v>316</v>
      </c>
    </row>
    <row r="35867">
      <c r="A35867" s="17"/>
      <c r="H35867" s="18"/>
      <c r="K35867" s="18" t="s">
        <v>316</v>
      </c>
    </row>
    <row r="35868">
      <c r="A35868" s="17"/>
      <c r="H35868" s="18"/>
      <c r="K35868" s="18" t="s">
        <v>316</v>
      </c>
    </row>
    <row r="35869">
      <c r="A35869" s="17"/>
      <c r="H35869" s="18"/>
      <c r="K35869" s="18" t="s">
        <v>316</v>
      </c>
    </row>
    <row r="35870">
      <c r="A35870" s="17"/>
      <c r="H35870" s="18"/>
      <c r="K35870" s="18" t="s">
        <v>316</v>
      </c>
    </row>
    <row r="35871">
      <c r="A35871" s="17"/>
      <c r="H35871" s="18"/>
      <c r="K35871" s="18" t="s">
        <v>316</v>
      </c>
    </row>
    <row r="35872">
      <c r="A35872" s="17"/>
      <c r="H35872" s="18"/>
      <c r="K35872" s="18" t="s">
        <v>316</v>
      </c>
    </row>
    <row r="35873">
      <c r="A35873" s="17"/>
      <c r="H35873" s="18"/>
      <c r="K35873" s="18" t="s">
        <v>316</v>
      </c>
    </row>
    <row r="35874">
      <c r="A35874" s="17"/>
      <c r="H35874" s="18"/>
      <c r="K35874" s="18" t="s">
        <v>316</v>
      </c>
    </row>
    <row r="35875">
      <c r="A35875" s="17"/>
      <c r="H35875" s="18"/>
      <c r="K35875" s="18" t="s">
        <v>316</v>
      </c>
    </row>
    <row r="35876">
      <c r="A35876" s="17"/>
      <c r="H35876" s="18"/>
      <c r="K35876" s="18" t="s">
        <v>316</v>
      </c>
    </row>
    <row r="35877">
      <c r="A35877" s="17"/>
      <c r="H35877" s="18"/>
      <c r="K35877" s="18" t="s">
        <v>316</v>
      </c>
    </row>
    <row r="35878">
      <c r="A35878" s="17"/>
      <c r="H35878" s="18"/>
      <c r="K35878" s="18" t="s">
        <v>316</v>
      </c>
    </row>
    <row r="35879">
      <c r="A35879" s="17"/>
      <c r="H35879" s="18"/>
      <c r="K35879" s="18" t="s">
        <v>316</v>
      </c>
    </row>
    <row r="35880">
      <c r="A35880" s="17"/>
      <c r="H35880" s="18"/>
      <c r="K35880" s="18" t="s">
        <v>316</v>
      </c>
    </row>
    <row r="35881">
      <c r="A35881" s="17"/>
      <c r="H35881" s="18"/>
      <c r="K35881" s="18" t="s">
        <v>316</v>
      </c>
    </row>
    <row r="35882">
      <c r="A35882" s="17"/>
      <c r="H35882" s="18"/>
      <c r="K35882" s="18" t="s">
        <v>316</v>
      </c>
    </row>
    <row r="35883">
      <c r="A35883" s="17"/>
      <c r="H35883" s="18"/>
      <c r="K35883" s="18" t="s">
        <v>316</v>
      </c>
    </row>
    <row r="35884">
      <c r="A35884" s="17"/>
      <c r="H35884" s="18"/>
      <c r="K35884" s="18" t="s">
        <v>316</v>
      </c>
    </row>
    <row r="35885">
      <c r="A35885" s="17"/>
      <c r="H35885" s="18"/>
      <c r="K35885" s="18" t="s">
        <v>316</v>
      </c>
    </row>
    <row r="35886">
      <c r="A35886" s="17"/>
      <c r="H35886" s="18"/>
      <c r="K35886" s="18" t="s">
        <v>316</v>
      </c>
    </row>
    <row r="35887">
      <c r="A35887" s="17"/>
      <c r="H35887" s="18"/>
      <c r="K35887" s="18" t="s">
        <v>316</v>
      </c>
    </row>
    <row r="35888">
      <c r="A35888" s="17"/>
      <c r="H35888" s="18"/>
      <c r="K35888" s="18" t="s">
        <v>316</v>
      </c>
    </row>
    <row r="35889">
      <c r="A35889" s="17"/>
      <c r="H35889" s="18"/>
      <c r="K35889" s="18" t="s">
        <v>316</v>
      </c>
    </row>
    <row r="35890">
      <c r="A35890" s="17"/>
      <c r="H35890" s="18"/>
      <c r="K35890" s="18" t="s">
        <v>316</v>
      </c>
    </row>
    <row r="35891">
      <c r="A35891" s="17"/>
      <c r="H35891" s="18"/>
      <c r="K35891" s="18" t="s">
        <v>316</v>
      </c>
    </row>
    <row r="35892">
      <c r="A35892" s="17"/>
      <c r="H35892" s="18"/>
      <c r="K35892" s="18" t="s">
        <v>316</v>
      </c>
    </row>
    <row r="35893">
      <c r="A35893" s="17"/>
      <c r="H35893" s="18"/>
      <c r="K35893" s="18" t="s">
        <v>316</v>
      </c>
    </row>
    <row r="35894">
      <c r="A35894" s="17"/>
      <c r="H35894" s="18"/>
      <c r="K35894" s="18" t="s">
        <v>316</v>
      </c>
    </row>
    <row r="35895">
      <c r="A35895" s="17"/>
      <c r="H35895" s="18"/>
      <c r="K35895" s="18" t="s">
        <v>316</v>
      </c>
    </row>
    <row r="35896">
      <c r="A35896" s="17"/>
      <c r="H35896" s="18"/>
      <c r="K35896" s="18" t="s">
        <v>316</v>
      </c>
    </row>
    <row r="35897">
      <c r="A35897" s="17"/>
      <c r="H35897" s="18"/>
      <c r="K35897" s="18" t="s">
        <v>316</v>
      </c>
    </row>
    <row r="35898">
      <c r="A35898" s="17"/>
      <c r="H35898" s="18"/>
      <c r="K35898" s="18" t="s">
        <v>316</v>
      </c>
    </row>
    <row r="35899">
      <c r="A35899" s="17"/>
      <c r="H35899" s="18"/>
      <c r="K35899" s="18" t="s">
        <v>316</v>
      </c>
    </row>
    <row r="35900">
      <c r="A35900" s="17"/>
      <c r="H35900" s="18"/>
      <c r="K35900" s="18" t="s">
        <v>316</v>
      </c>
    </row>
    <row r="35901">
      <c r="A35901" s="17"/>
      <c r="H35901" s="18"/>
      <c r="K35901" s="18" t="s">
        <v>316</v>
      </c>
    </row>
    <row r="35902">
      <c r="A35902" s="17"/>
      <c r="H35902" s="18"/>
      <c r="K35902" s="18" t="s">
        <v>316</v>
      </c>
    </row>
    <row r="35903">
      <c r="A35903" s="17"/>
      <c r="H35903" s="18"/>
      <c r="K35903" s="18" t="s">
        <v>316</v>
      </c>
    </row>
    <row r="35904">
      <c r="A35904" s="17"/>
      <c r="H35904" s="18"/>
      <c r="K35904" s="18" t="s">
        <v>316</v>
      </c>
    </row>
    <row r="35905">
      <c r="A35905" s="17"/>
      <c r="H35905" s="18"/>
      <c r="K35905" s="18" t="s">
        <v>316</v>
      </c>
    </row>
    <row r="35906">
      <c r="A35906" s="17"/>
      <c r="H35906" s="18"/>
      <c r="K35906" s="18" t="s">
        <v>316</v>
      </c>
    </row>
    <row r="35907">
      <c r="A35907" s="17"/>
      <c r="H35907" s="18"/>
      <c r="K35907" s="18" t="s">
        <v>316</v>
      </c>
    </row>
    <row r="35908">
      <c r="A35908" s="17"/>
      <c r="H35908" s="18"/>
      <c r="K35908" s="18" t="s">
        <v>316</v>
      </c>
    </row>
    <row r="35909">
      <c r="A35909" s="17"/>
      <c r="H35909" s="18"/>
      <c r="K35909" s="18" t="s">
        <v>316</v>
      </c>
    </row>
    <row r="35910">
      <c r="A35910" s="17"/>
      <c r="H35910" s="18"/>
      <c r="K35910" s="18" t="s">
        <v>316</v>
      </c>
    </row>
    <row r="35911">
      <c r="A35911" s="17"/>
      <c r="H35911" s="18"/>
      <c r="K35911" s="18" t="s">
        <v>316</v>
      </c>
    </row>
    <row r="35912">
      <c r="A35912" s="17"/>
      <c r="H35912" s="18"/>
      <c r="K35912" s="18" t="s">
        <v>316</v>
      </c>
    </row>
    <row r="35913">
      <c r="A35913" s="17"/>
      <c r="H35913" s="18"/>
      <c r="K35913" s="18" t="s">
        <v>316</v>
      </c>
    </row>
    <row r="35914">
      <c r="A35914" s="17"/>
      <c r="H35914" s="18"/>
      <c r="K35914" s="18" t="s">
        <v>316</v>
      </c>
    </row>
    <row r="35915">
      <c r="A35915" s="17"/>
      <c r="H35915" s="18"/>
      <c r="K35915" s="18" t="s">
        <v>316</v>
      </c>
    </row>
    <row r="35916">
      <c r="A35916" s="17"/>
      <c r="H35916" s="18"/>
      <c r="K35916" s="18" t="s">
        <v>316</v>
      </c>
    </row>
    <row r="35917">
      <c r="A35917" s="17"/>
      <c r="H35917" s="18"/>
      <c r="K35917" s="18" t="s">
        <v>316</v>
      </c>
    </row>
    <row r="35918">
      <c r="A35918" s="17"/>
      <c r="H35918" s="18"/>
      <c r="K35918" s="18" t="s">
        <v>316</v>
      </c>
    </row>
    <row r="35919">
      <c r="A35919" s="17"/>
      <c r="H35919" s="18"/>
      <c r="K35919" s="18" t="s">
        <v>316</v>
      </c>
    </row>
    <row r="35920">
      <c r="A35920" s="17"/>
      <c r="H35920" s="18"/>
      <c r="K35920" s="18" t="s">
        <v>316</v>
      </c>
    </row>
    <row r="35921">
      <c r="A35921" s="17"/>
      <c r="H35921" s="18"/>
      <c r="K35921" s="18" t="s">
        <v>316</v>
      </c>
    </row>
    <row r="35922">
      <c r="A35922" s="17"/>
      <c r="H35922" s="18"/>
      <c r="K35922" s="18" t="s">
        <v>316</v>
      </c>
    </row>
    <row r="35923">
      <c r="A35923" s="17"/>
      <c r="H35923" s="18"/>
      <c r="K35923" s="18" t="s">
        <v>316</v>
      </c>
    </row>
    <row r="35924">
      <c r="A35924" s="17"/>
      <c r="H35924" s="18"/>
      <c r="K35924" s="18" t="s">
        <v>316</v>
      </c>
    </row>
    <row r="35925">
      <c r="A35925" s="17"/>
      <c r="H35925" s="18"/>
      <c r="K35925" s="18" t="s">
        <v>316</v>
      </c>
    </row>
    <row r="35926">
      <c r="A35926" s="17"/>
      <c r="H35926" s="18"/>
      <c r="K35926" s="18" t="s">
        <v>316</v>
      </c>
    </row>
    <row r="35927">
      <c r="A35927" s="17"/>
      <c r="H35927" s="18"/>
      <c r="K35927" s="18" t="s">
        <v>316</v>
      </c>
    </row>
    <row r="35928">
      <c r="A35928" s="17"/>
      <c r="H35928" s="18"/>
      <c r="K35928" s="18" t="s">
        <v>316</v>
      </c>
    </row>
    <row r="35929">
      <c r="A35929" s="17"/>
      <c r="H35929" s="18"/>
      <c r="K35929" s="18" t="s">
        <v>316</v>
      </c>
    </row>
    <row r="35930">
      <c r="A35930" s="17"/>
      <c r="H35930" s="18"/>
      <c r="K35930" s="18" t="s">
        <v>316</v>
      </c>
    </row>
    <row r="35931">
      <c r="A35931" s="17"/>
      <c r="H35931" s="18"/>
      <c r="K35931" s="18" t="s">
        <v>316</v>
      </c>
    </row>
    <row r="35932">
      <c r="A35932" s="17"/>
      <c r="H35932" s="18"/>
      <c r="K35932" s="18" t="s">
        <v>316</v>
      </c>
    </row>
    <row r="35933">
      <c r="A35933" s="17"/>
      <c r="H35933" s="18"/>
      <c r="K35933" s="18" t="s">
        <v>316</v>
      </c>
    </row>
    <row r="35934">
      <c r="A35934" s="17"/>
      <c r="H35934" s="18"/>
      <c r="K35934" s="18" t="s">
        <v>316</v>
      </c>
    </row>
    <row r="35935">
      <c r="A35935" s="17"/>
      <c r="H35935" s="18"/>
      <c r="K35935" s="18" t="s">
        <v>316</v>
      </c>
    </row>
    <row r="35936">
      <c r="A35936" s="17"/>
      <c r="H35936" s="18"/>
      <c r="K35936" s="18" t="s">
        <v>316</v>
      </c>
    </row>
    <row r="35937">
      <c r="A35937" s="17"/>
      <c r="H35937" s="18"/>
      <c r="K35937" s="18" t="s">
        <v>316</v>
      </c>
    </row>
    <row r="35938">
      <c r="A35938" s="17"/>
      <c r="H35938" s="18"/>
      <c r="K35938" s="18" t="s">
        <v>316</v>
      </c>
    </row>
    <row r="35939">
      <c r="A35939" s="17"/>
      <c r="H35939" s="18"/>
      <c r="K35939" s="18" t="s">
        <v>316</v>
      </c>
    </row>
    <row r="35940">
      <c r="A35940" s="17"/>
      <c r="H35940" s="18"/>
      <c r="K35940" s="18" t="s">
        <v>316</v>
      </c>
    </row>
    <row r="35941">
      <c r="A35941" s="17"/>
      <c r="H35941" s="18"/>
      <c r="K35941" s="18" t="s">
        <v>316</v>
      </c>
    </row>
    <row r="35942">
      <c r="A35942" s="17"/>
      <c r="H35942" s="18"/>
      <c r="K35942" s="18" t="s">
        <v>316</v>
      </c>
    </row>
    <row r="35943">
      <c r="A35943" s="17"/>
      <c r="H35943" s="18"/>
      <c r="K35943" s="18" t="s">
        <v>316</v>
      </c>
    </row>
    <row r="35944">
      <c r="A35944" s="17"/>
      <c r="H35944" s="18"/>
      <c r="K35944" s="18" t="s">
        <v>316</v>
      </c>
    </row>
    <row r="35945">
      <c r="A35945" s="17"/>
      <c r="H35945" s="18"/>
      <c r="K35945" s="18" t="s">
        <v>316</v>
      </c>
    </row>
    <row r="35946">
      <c r="A35946" s="17"/>
      <c r="H35946" s="18"/>
      <c r="K35946" s="18" t="s">
        <v>316</v>
      </c>
    </row>
    <row r="35947">
      <c r="A35947" s="17"/>
      <c r="H35947" s="18"/>
      <c r="K35947" s="18" t="s">
        <v>316</v>
      </c>
    </row>
    <row r="35948">
      <c r="A35948" s="17"/>
      <c r="H35948" s="18"/>
      <c r="K35948" s="18" t="s">
        <v>316</v>
      </c>
    </row>
    <row r="35949">
      <c r="A35949" s="17"/>
      <c r="H35949" s="18"/>
      <c r="K35949" s="18" t="s">
        <v>316</v>
      </c>
    </row>
    <row r="35950">
      <c r="A35950" s="17"/>
      <c r="H35950" s="18"/>
      <c r="K35950" s="18" t="s">
        <v>316</v>
      </c>
    </row>
    <row r="35951">
      <c r="A35951" s="17"/>
      <c r="H35951" s="18"/>
      <c r="K35951" s="18" t="s">
        <v>316</v>
      </c>
    </row>
    <row r="35952">
      <c r="A35952" s="17"/>
      <c r="H35952" s="18"/>
      <c r="K35952" s="18" t="s">
        <v>316</v>
      </c>
    </row>
    <row r="35953">
      <c r="A35953" s="17"/>
      <c r="H35953" s="18"/>
      <c r="K35953" s="18" t="s">
        <v>316</v>
      </c>
    </row>
    <row r="35954">
      <c r="A35954" s="17"/>
      <c r="H35954" s="18"/>
      <c r="K35954" s="18" t="s">
        <v>316</v>
      </c>
    </row>
    <row r="35955">
      <c r="A35955" s="17"/>
      <c r="H35955" s="18"/>
      <c r="K35955" s="18" t="s">
        <v>316</v>
      </c>
    </row>
    <row r="35956">
      <c r="A35956" s="17"/>
      <c r="H35956" s="18"/>
      <c r="K35956" s="18" t="s">
        <v>316</v>
      </c>
    </row>
    <row r="35957">
      <c r="A35957" s="17"/>
      <c r="H35957" s="18"/>
      <c r="K35957" s="18" t="s">
        <v>316</v>
      </c>
    </row>
    <row r="35958">
      <c r="A35958" s="17"/>
      <c r="H35958" s="18"/>
      <c r="K35958" s="18" t="s">
        <v>316</v>
      </c>
    </row>
    <row r="35959">
      <c r="A35959" s="17"/>
      <c r="H35959" s="18"/>
      <c r="K35959" s="18" t="s">
        <v>316</v>
      </c>
    </row>
    <row r="35960">
      <c r="A35960" s="17"/>
      <c r="H35960" s="18"/>
      <c r="K35960" s="18" t="s">
        <v>316</v>
      </c>
    </row>
    <row r="35961">
      <c r="A35961" s="17"/>
      <c r="H35961" s="18"/>
      <c r="K35961" s="18" t="s">
        <v>316</v>
      </c>
    </row>
    <row r="35962">
      <c r="A35962" s="17"/>
      <c r="H35962" s="18"/>
      <c r="K35962" s="18" t="s">
        <v>316</v>
      </c>
    </row>
    <row r="35963">
      <c r="A35963" s="17"/>
      <c r="H35963" s="18"/>
      <c r="K35963" s="18" t="s">
        <v>316</v>
      </c>
    </row>
    <row r="35964">
      <c r="A35964" s="17"/>
      <c r="H35964" s="18"/>
      <c r="K35964" s="18" t="s">
        <v>316</v>
      </c>
    </row>
    <row r="35965">
      <c r="A35965" s="17"/>
      <c r="H35965" s="18"/>
      <c r="K35965" s="18" t="s">
        <v>316</v>
      </c>
    </row>
    <row r="35966">
      <c r="A35966" s="17"/>
      <c r="H35966" s="18"/>
      <c r="K35966" s="18" t="s">
        <v>316</v>
      </c>
    </row>
    <row r="35967">
      <c r="A35967" s="17"/>
      <c r="H35967" s="18"/>
      <c r="K35967" s="18" t="s">
        <v>316</v>
      </c>
    </row>
    <row r="35968">
      <c r="A35968" s="17"/>
      <c r="H35968" s="18"/>
      <c r="K35968" s="18" t="s">
        <v>316</v>
      </c>
    </row>
    <row r="35969">
      <c r="A35969" s="17"/>
      <c r="H35969" s="18"/>
      <c r="K35969" s="18" t="s">
        <v>316</v>
      </c>
    </row>
    <row r="35970">
      <c r="A35970" s="17"/>
      <c r="H35970" s="18"/>
      <c r="K35970" s="18" t="s">
        <v>316</v>
      </c>
    </row>
    <row r="35971">
      <c r="A35971" s="17"/>
      <c r="H35971" s="18"/>
      <c r="K35971" s="18" t="s">
        <v>316</v>
      </c>
    </row>
    <row r="35972">
      <c r="A35972" s="17"/>
      <c r="H35972" s="18"/>
      <c r="K35972" s="18" t="s">
        <v>316</v>
      </c>
    </row>
    <row r="35973">
      <c r="A35973" s="17"/>
      <c r="H35973" s="18"/>
      <c r="K35973" s="18" t="s">
        <v>316</v>
      </c>
    </row>
    <row r="35974">
      <c r="A35974" s="17"/>
      <c r="H35974" s="18"/>
      <c r="K35974" s="18" t="s">
        <v>316</v>
      </c>
    </row>
    <row r="35975">
      <c r="A35975" s="17"/>
      <c r="H35975" s="18"/>
      <c r="K35975" s="18" t="s">
        <v>316</v>
      </c>
    </row>
    <row r="35976">
      <c r="A35976" s="17"/>
      <c r="H35976" s="18"/>
      <c r="K35976" s="18" t="s">
        <v>316</v>
      </c>
    </row>
    <row r="35977">
      <c r="A35977" s="17"/>
      <c r="H35977" s="18"/>
      <c r="K35977" s="18" t="s">
        <v>316</v>
      </c>
    </row>
    <row r="35978">
      <c r="A35978" s="17"/>
      <c r="H35978" s="18"/>
      <c r="K35978" s="18" t="s">
        <v>316</v>
      </c>
    </row>
    <row r="35979">
      <c r="A35979" s="17"/>
      <c r="H35979" s="18"/>
      <c r="K35979" s="18" t="s">
        <v>316</v>
      </c>
    </row>
    <row r="35980">
      <c r="A35980" s="17"/>
      <c r="H35980" s="18"/>
      <c r="K35980" s="18" t="s">
        <v>316</v>
      </c>
    </row>
    <row r="35981">
      <c r="A35981" s="17"/>
      <c r="H35981" s="18"/>
      <c r="K35981" s="18" t="s">
        <v>316</v>
      </c>
    </row>
    <row r="35982">
      <c r="A35982" s="17"/>
      <c r="H35982" s="18"/>
      <c r="K35982" s="18" t="s">
        <v>316</v>
      </c>
    </row>
    <row r="35983">
      <c r="A35983" s="17"/>
      <c r="H35983" s="18"/>
      <c r="K35983" s="18" t="s">
        <v>316</v>
      </c>
    </row>
    <row r="35984">
      <c r="A35984" s="17"/>
      <c r="H35984" s="18"/>
      <c r="K35984" s="18" t="s">
        <v>316</v>
      </c>
    </row>
    <row r="35985">
      <c r="A35985" s="17"/>
      <c r="H35985" s="18"/>
      <c r="K35985" s="18" t="s">
        <v>316</v>
      </c>
    </row>
    <row r="35986">
      <c r="A35986" s="17"/>
      <c r="H35986" s="18"/>
      <c r="K35986" s="18" t="s">
        <v>316</v>
      </c>
    </row>
    <row r="35987">
      <c r="A35987" s="17"/>
      <c r="H35987" s="18"/>
      <c r="K35987" s="18" t="s">
        <v>316</v>
      </c>
    </row>
    <row r="35988">
      <c r="A35988" s="17"/>
      <c r="H35988" s="18"/>
      <c r="K35988" s="18" t="s">
        <v>316</v>
      </c>
    </row>
    <row r="35989">
      <c r="A35989" s="17"/>
      <c r="H35989" s="18"/>
      <c r="K35989" s="18" t="s">
        <v>316</v>
      </c>
    </row>
    <row r="35990">
      <c r="A35990" s="17"/>
      <c r="H35990" s="18"/>
      <c r="K35990" s="18" t="s">
        <v>316</v>
      </c>
    </row>
    <row r="35991">
      <c r="A35991" s="17"/>
      <c r="H35991" s="18"/>
      <c r="K35991" s="18" t="s">
        <v>316</v>
      </c>
    </row>
    <row r="35992">
      <c r="A35992" s="17"/>
      <c r="H35992" s="18"/>
      <c r="K35992" s="18" t="s">
        <v>316</v>
      </c>
    </row>
    <row r="35993">
      <c r="A35993" s="17"/>
      <c r="H35993" s="18"/>
      <c r="K35993" s="18" t="s">
        <v>316</v>
      </c>
    </row>
    <row r="35994">
      <c r="A35994" s="17"/>
      <c r="H35994" s="18"/>
      <c r="K35994" s="18" t="s">
        <v>316</v>
      </c>
    </row>
    <row r="35995">
      <c r="A35995" s="17"/>
      <c r="H35995" s="18"/>
      <c r="K35995" s="18" t="s">
        <v>316</v>
      </c>
    </row>
    <row r="35996">
      <c r="A35996" s="17"/>
      <c r="H35996" s="18"/>
      <c r="K35996" s="18" t="s">
        <v>316</v>
      </c>
    </row>
    <row r="35997">
      <c r="A35997" s="17"/>
      <c r="H35997" s="18"/>
      <c r="K35997" s="18" t="s">
        <v>316</v>
      </c>
    </row>
    <row r="35998">
      <c r="A35998" s="17"/>
      <c r="H35998" s="18"/>
      <c r="K35998" s="18" t="s">
        <v>316</v>
      </c>
    </row>
    <row r="35999">
      <c r="A35999" s="17"/>
      <c r="H35999" s="18"/>
      <c r="K35999" s="18" t="s">
        <v>316</v>
      </c>
    </row>
    <row r="36000">
      <c r="A36000" s="17"/>
      <c r="H36000" s="18"/>
      <c r="K36000" s="18" t="s">
        <v>316</v>
      </c>
    </row>
    <row r="36001">
      <c r="A36001" s="17"/>
      <c r="H36001" s="18"/>
      <c r="K36001" s="18" t="s">
        <v>316</v>
      </c>
    </row>
    <row r="36002">
      <c r="A36002" s="17"/>
      <c r="H36002" s="18"/>
      <c r="K36002" s="18" t="s">
        <v>316</v>
      </c>
    </row>
    <row r="36003">
      <c r="A36003" s="17"/>
      <c r="H36003" s="18"/>
      <c r="K36003" s="18" t="s">
        <v>316</v>
      </c>
    </row>
    <row r="36004">
      <c r="A36004" s="17"/>
      <c r="H36004" s="18"/>
      <c r="K36004" s="18" t="s">
        <v>316</v>
      </c>
    </row>
    <row r="36005">
      <c r="A36005" s="17"/>
      <c r="H36005" s="18"/>
      <c r="K36005" s="18" t="s">
        <v>316</v>
      </c>
    </row>
    <row r="36006">
      <c r="A36006" s="17"/>
      <c r="H36006" s="18"/>
      <c r="K36006" s="18" t="s">
        <v>316</v>
      </c>
    </row>
    <row r="36007">
      <c r="A36007" s="17"/>
      <c r="H36007" s="18"/>
      <c r="K36007" s="18" t="s">
        <v>316</v>
      </c>
    </row>
    <row r="36008">
      <c r="A36008" s="17"/>
      <c r="H36008" s="18"/>
      <c r="K36008" s="18" t="s">
        <v>316</v>
      </c>
    </row>
    <row r="36009">
      <c r="A36009" s="17"/>
      <c r="H36009" s="18"/>
      <c r="K36009" s="18" t="s">
        <v>316</v>
      </c>
    </row>
    <row r="36010">
      <c r="A36010" s="17"/>
      <c r="H36010" s="18"/>
      <c r="K36010" s="18" t="s">
        <v>316</v>
      </c>
    </row>
    <row r="36011">
      <c r="A36011" s="17"/>
      <c r="H36011" s="18"/>
      <c r="K36011" s="18" t="s">
        <v>316</v>
      </c>
    </row>
    <row r="36012">
      <c r="A36012" s="17"/>
      <c r="H36012" s="18"/>
      <c r="K36012" s="18" t="s">
        <v>316</v>
      </c>
    </row>
    <row r="36013">
      <c r="A36013" s="17"/>
      <c r="H36013" s="18"/>
      <c r="K36013" s="18" t="s">
        <v>316</v>
      </c>
    </row>
    <row r="36014">
      <c r="A36014" s="17"/>
      <c r="H36014" s="18"/>
      <c r="K36014" s="18" t="s">
        <v>316</v>
      </c>
    </row>
    <row r="36015">
      <c r="A36015" s="17"/>
      <c r="H36015" s="18"/>
      <c r="K36015" s="18" t="s">
        <v>316</v>
      </c>
    </row>
    <row r="36016">
      <c r="A36016" s="17"/>
      <c r="H36016" s="18"/>
      <c r="K36016" s="18" t="s">
        <v>316</v>
      </c>
    </row>
    <row r="36017">
      <c r="A36017" s="17"/>
      <c r="H36017" s="18"/>
      <c r="K36017" s="18" t="s">
        <v>316</v>
      </c>
    </row>
    <row r="36018">
      <c r="A36018" s="17"/>
      <c r="H36018" s="18"/>
      <c r="K36018" s="18" t="s">
        <v>316</v>
      </c>
    </row>
    <row r="36019">
      <c r="A36019" s="17"/>
      <c r="H36019" s="18"/>
      <c r="K36019" s="18" t="s">
        <v>316</v>
      </c>
    </row>
    <row r="36020">
      <c r="A36020" s="17"/>
      <c r="H36020" s="18"/>
      <c r="K36020" s="18" t="s">
        <v>316</v>
      </c>
    </row>
    <row r="36021">
      <c r="A36021" s="17"/>
      <c r="H36021" s="18"/>
      <c r="K36021" s="18" t="s">
        <v>316</v>
      </c>
    </row>
    <row r="36022">
      <c r="A36022" s="17"/>
      <c r="H36022" s="18"/>
      <c r="K36022" s="18" t="s">
        <v>316</v>
      </c>
    </row>
    <row r="36023">
      <c r="A36023" s="17"/>
      <c r="H36023" s="18"/>
      <c r="K36023" s="18" t="s">
        <v>316</v>
      </c>
    </row>
    <row r="36024">
      <c r="A36024" s="17"/>
      <c r="H36024" s="18"/>
      <c r="K36024" s="18" t="s">
        <v>316</v>
      </c>
    </row>
    <row r="36025">
      <c r="A36025" s="17"/>
      <c r="H36025" s="18"/>
      <c r="K36025" s="18" t="s">
        <v>316</v>
      </c>
    </row>
    <row r="36026">
      <c r="A36026" s="17"/>
      <c r="H36026" s="18"/>
      <c r="K36026" s="18" t="s">
        <v>316</v>
      </c>
    </row>
    <row r="36027">
      <c r="A36027" s="17"/>
      <c r="H36027" s="18"/>
      <c r="K36027" s="18" t="s">
        <v>316</v>
      </c>
    </row>
    <row r="36028">
      <c r="A36028" s="17"/>
      <c r="H36028" s="18"/>
      <c r="K36028" s="18" t="s">
        <v>316</v>
      </c>
    </row>
    <row r="36029">
      <c r="A36029" s="17"/>
      <c r="H36029" s="18"/>
      <c r="K36029" s="18" t="s">
        <v>316</v>
      </c>
    </row>
    <row r="36030">
      <c r="A36030" s="17"/>
      <c r="H36030" s="18"/>
      <c r="K36030" s="18" t="s">
        <v>316</v>
      </c>
    </row>
    <row r="36031">
      <c r="A36031" s="17"/>
      <c r="H36031" s="18"/>
      <c r="K36031" s="18" t="s">
        <v>316</v>
      </c>
    </row>
    <row r="36032">
      <c r="A36032" s="17"/>
      <c r="H36032" s="18"/>
      <c r="K36032" s="18" t="s">
        <v>316</v>
      </c>
    </row>
    <row r="36033">
      <c r="A36033" s="17"/>
      <c r="H36033" s="18"/>
      <c r="K36033" s="18" t="s">
        <v>316</v>
      </c>
    </row>
    <row r="36034">
      <c r="A36034" s="17"/>
      <c r="H36034" s="18"/>
      <c r="K36034" s="18" t="s">
        <v>316</v>
      </c>
    </row>
    <row r="36035">
      <c r="A36035" s="17"/>
      <c r="H36035" s="18"/>
      <c r="K36035" s="18" t="s">
        <v>316</v>
      </c>
    </row>
    <row r="36036">
      <c r="A36036" s="17"/>
      <c r="H36036" s="18"/>
      <c r="K36036" s="18" t="s">
        <v>316</v>
      </c>
    </row>
    <row r="36037">
      <c r="A36037" s="17"/>
      <c r="H36037" s="18"/>
      <c r="K36037" s="18" t="s">
        <v>316</v>
      </c>
    </row>
    <row r="36038">
      <c r="A36038" s="17"/>
      <c r="H36038" s="18"/>
      <c r="K36038" s="18" t="s">
        <v>316</v>
      </c>
    </row>
    <row r="36039">
      <c r="A36039" s="17"/>
      <c r="H36039" s="18"/>
      <c r="K36039" s="18" t="s">
        <v>316</v>
      </c>
    </row>
    <row r="36040">
      <c r="A36040" s="17"/>
      <c r="H36040" s="18"/>
      <c r="K36040" s="18" t="s">
        <v>316</v>
      </c>
    </row>
    <row r="36041">
      <c r="A36041" s="17"/>
      <c r="H36041" s="18"/>
      <c r="K36041" s="18" t="s">
        <v>316</v>
      </c>
    </row>
    <row r="36042">
      <c r="A36042" s="17"/>
      <c r="H36042" s="18"/>
      <c r="K36042" s="18" t="s">
        <v>316</v>
      </c>
    </row>
    <row r="36043">
      <c r="A36043" s="17"/>
      <c r="H36043" s="18"/>
      <c r="K36043" s="18" t="s">
        <v>316</v>
      </c>
    </row>
    <row r="36044">
      <c r="A36044" s="17"/>
      <c r="H36044" s="18"/>
      <c r="K36044" s="18" t="s">
        <v>316</v>
      </c>
    </row>
    <row r="36045">
      <c r="A36045" s="17"/>
      <c r="H36045" s="18"/>
      <c r="K36045" s="18" t="s">
        <v>316</v>
      </c>
    </row>
    <row r="36046">
      <c r="A36046" s="17"/>
      <c r="H36046" s="18"/>
      <c r="K36046" s="18" t="s">
        <v>316</v>
      </c>
    </row>
    <row r="36047">
      <c r="A36047" s="17"/>
      <c r="H36047" s="18"/>
      <c r="K36047" s="18" t="s">
        <v>316</v>
      </c>
    </row>
    <row r="36048">
      <c r="A36048" s="17"/>
      <c r="H36048" s="18"/>
      <c r="K36048" s="18" t="s">
        <v>316</v>
      </c>
    </row>
    <row r="36049">
      <c r="A36049" s="17"/>
      <c r="H36049" s="18"/>
      <c r="K36049" s="18" t="s">
        <v>316</v>
      </c>
    </row>
    <row r="36050">
      <c r="A36050" s="17"/>
      <c r="H36050" s="18"/>
      <c r="K36050" s="18" t="s">
        <v>316</v>
      </c>
    </row>
    <row r="36051">
      <c r="A36051" s="17"/>
      <c r="H36051" s="18"/>
      <c r="K36051" s="18" t="s">
        <v>316</v>
      </c>
    </row>
    <row r="36052">
      <c r="A36052" s="17"/>
      <c r="H36052" s="18"/>
      <c r="K36052" s="18" t="s">
        <v>316</v>
      </c>
    </row>
    <row r="36053">
      <c r="A36053" s="17"/>
      <c r="H36053" s="18"/>
      <c r="K36053" s="18" t="s">
        <v>316</v>
      </c>
    </row>
    <row r="36054">
      <c r="A36054" s="17"/>
      <c r="H36054" s="18"/>
      <c r="K36054" s="18" t="s">
        <v>316</v>
      </c>
    </row>
    <row r="36055">
      <c r="A36055" s="17"/>
      <c r="H36055" s="18"/>
      <c r="K36055" s="18" t="s">
        <v>316</v>
      </c>
    </row>
    <row r="36056">
      <c r="A36056" s="17"/>
      <c r="H36056" s="18"/>
      <c r="K36056" s="18" t="s">
        <v>316</v>
      </c>
    </row>
    <row r="36057">
      <c r="A36057" s="17"/>
      <c r="H36057" s="18"/>
      <c r="K36057" s="18" t="s">
        <v>316</v>
      </c>
    </row>
    <row r="36058">
      <c r="A36058" s="17"/>
      <c r="H36058" s="18"/>
      <c r="K36058" s="18" t="s">
        <v>316</v>
      </c>
    </row>
    <row r="36059">
      <c r="A36059" s="17"/>
      <c r="H36059" s="18"/>
      <c r="K36059" s="18" t="s">
        <v>316</v>
      </c>
    </row>
    <row r="36060">
      <c r="A36060" s="17"/>
      <c r="H36060" s="18"/>
      <c r="K36060" s="18" t="s">
        <v>316</v>
      </c>
    </row>
    <row r="36061">
      <c r="A36061" s="17"/>
      <c r="H36061" s="18"/>
      <c r="K36061" s="18" t="s">
        <v>316</v>
      </c>
    </row>
    <row r="36062">
      <c r="A36062" s="17"/>
      <c r="H36062" s="18"/>
      <c r="K36062" s="18" t="s">
        <v>316</v>
      </c>
    </row>
    <row r="36063">
      <c r="A36063" s="17"/>
      <c r="H36063" s="18"/>
      <c r="K36063" s="18" t="s">
        <v>316</v>
      </c>
    </row>
    <row r="36064">
      <c r="A36064" s="17"/>
      <c r="H36064" s="18"/>
      <c r="K36064" s="18" t="s">
        <v>316</v>
      </c>
    </row>
    <row r="36065">
      <c r="A36065" s="17"/>
      <c r="H36065" s="18"/>
      <c r="K36065" s="18" t="s">
        <v>316</v>
      </c>
    </row>
    <row r="36066">
      <c r="A36066" s="17"/>
      <c r="H36066" s="18"/>
      <c r="K36066" s="18" t="s">
        <v>316</v>
      </c>
    </row>
    <row r="36067">
      <c r="A36067" s="17"/>
      <c r="H36067" s="18"/>
      <c r="K36067" s="18" t="s">
        <v>316</v>
      </c>
    </row>
    <row r="36068">
      <c r="A36068" s="17"/>
      <c r="H36068" s="18"/>
      <c r="K36068" s="18" t="s">
        <v>316</v>
      </c>
    </row>
    <row r="36069">
      <c r="A36069" s="17"/>
      <c r="H36069" s="18"/>
      <c r="K36069" s="18" t="s">
        <v>316</v>
      </c>
    </row>
    <row r="36070">
      <c r="A36070" s="17"/>
      <c r="H36070" s="18"/>
      <c r="K36070" s="18" t="s">
        <v>316</v>
      </c>
    </row>
    <row r="36071">
      <c r="A36071" s="17"/>
      <c r="H36071" s="18"/>
      <c r="K36071" s="18" t="s">
        <v>316</v>
      </c>
    </row>
    <row r="36072">
      <c r="A36072" s="17"/>
      <c r="H36072" s="18"/>
      <c r="K36072" s="18" t="s">
        <v>316</v>
      </c>
    </row>
    <row r="36073">
      <c r="A36073" s="17"/>
      <c r="H36073" s="18"/>
      <c r="K36073" s="18" t="s">
        <v>316</v>
      </c>
    </row>
    <row r="36074">
      <c r="A36074" s="17"/>
      <c r="H36074" s="18"/>
      <c r="K36074" s="18" t="s">
        <v>316</v>
      </c>
    </row>
    <row r="36075">
      <c r="A36075" s="17"/>
      <c r="H36075" s="18"/>
      <c r="K36075" s="18" t="s">
        <v>316</v>
      </c>
    </row>
    <row r="36076">
      <c r="A36076" s="17"/>
      <c r="H36076" s="18"/>
      <c r="K36076" s="18" t="s">
        <v>316</v>
      </c>
    </row>
    <row r="36077">
      <c r="A36077" s="17"/>
      <c r="H36077" s="18"/>
      <c r="K36077" s="18" t="s">
        <v>316</v>
      </c>
    </row>
    <row r="36078">
      <c r="A36078" s="17"/>
      <c r="H36078" s="18"/>
      <c r="K36078" s="18" t="s">
        <v>316</v>
      </c>
    </row>
    <row r="36079">
      <c r="A36079" s="17"/>
      <c r="H36079" s="18"/>
      <c r="K36079" s="18" t="s">
        <v>316</v>
      </c>
    </row>
    <row r="36080">
      <c r="A36080" s="17"/>
      <c r="H36080" s="18"/>
      <c r="K36080" s="18" t="s">
        <v>316</v>
      </c>
    </row>
    <row r="36081">
      <c r="A36081" s="17"/>
      <c r="H36081" s="18"/>
      <c r="K36081" s="18" t="s">
        <v>316</v>
      </c>
    </row>
    <row r="36082">
      <c r="A36082" s="17"/>
      <c r="H36082" s="18"/>
      <c r="K36082" s="18" t="s">
        <v>316</v>
      </c>
    </row>
    <row r="36083">
      <c r="A36083" s="17"/>
      <c r="H36083" s="18"/>
      <c r="K36083" s="18" t="s">
        <v>316</v>
      </c>
    </row>
    <row r="36084">
      <c r="A36084" s="17"/>
      <c r="H36084" s="18"/>
      <c r="K36084" s="18" t="s">
        <v>316</v>
      </c>
    </row>
    <row r="36085">
      <c r="A36085" s="17"/>
      <c r="H36085" s="18"/>
      <c r="K36085" s="18" t="s">
        <v>316</v>
      </c>
    </row>
    <row r="36086">
      <c r="A36086" s="17"/>
      <c r="H36086" s="18"/>
      <c r="K36086" s="18" t="s">
        <v>316</v>
      </c>
    </row>
    <row r="36087">
      <c r="A36087" s="17"/>
      <c r="H36087" s="18"/>
      <c r="K36087" s="18" t="s">
        <v>316</v>
      </c>
    </row>
    <row r="36088">
      <c r="A36088" s="17"/>
      <c r="H36088" s="18"/>
      <c r="K36088" s="18" t="s">
        <v>316</v>
      </c>
    </row>
    <row r="36089">
      <c r="A36089" s="17"/>
      <c r="H36089" s="18"/>
      <c r="K36089" s="18" t="s">
        <v>316</v>
      </c>
    </row>
    <row r="36090">
      <c r="A36090" s="17"/>
      <c r="H36090" s="18"/>
      <c r="K36090" s="18" t="s">
        <v>316</v>
      </c>
    </row>
    <row r="36091">
      <c r="A36091" s="17"/>
      <c r="H36091" s="18"/>
      <c r="K36091" s="18" t="s">
        <v>316</v>
      </c>
    </row>
    <row r="36092">
      <c r="A36092" s="17"/>
      <c r="H36092" s="18"/>
      <c r="K36092" s="18" t="s">
        <v>316</v>
      </c>
    </row>
    <row r="36093">
      <c r="A36093" s="17"/>
      <c r="H36093" s="18"/>
      <c r="K36093" s="18" t="s">
        <v>316</v>
      </c>
    </row>
    <row r="36094">
      <c r="A36094" s="17"/>
      <c r="H36094" s="18"/>
      <c r="K36094" s="18" t="s">
        <v>316</v>
      </c>
    </row>
    <row r="36095">
      <c r="A36095" s="17"/>
      <c r="H36095" s="18"/>
      <c r="K36095" s="18" t="s">
        <v>316</v>
      </c>
    </row>
    <row r="36096">
      <c r="A36096" s="17"/>
      <c r="H36096" s="18"/>
      <c r="K36096" s="18" t="s">
        <v>316</v>
      </c>
    </row>
    <row r="36097">
      <c r="A36097" s="17"/>
      <c r="H36097" s="18"/>
      <c r="K36097" s="18" t="s">
        <v>316</v>
      </c>
    </row>
    <row r="36098">
      <c r="A36098" s="17"/>
      <c r="H36098" s="18"/>
      <c r="K36098" s="18" t="s">
        <v>316</v>
      </c>
    </row>
    <row r="36099">
      <c r="A36099" s="17"/>
      <c r="H36099" s="18"/>
      <c r="K36099" s="18" t="s">
        <v>316</v>
      </c>
    </row>
    <row r="36100">
      <c r="A36100" s="17"/>
      <c r="H36100" s="18"/>
      <c r="K36100" s="18" t="s">
        <v>316</v>
      </c>
    </row>
    <row r="36101">
      <c r="A36101" s="17"/>
      <c r="H36101" s="18"/>
      <c r="K36101" s="18" t="s">
        <v>316</v>
      </c>
    </row>
    <row r="36102">
      <c r="A36102" s="17"/>
      <c r="H36102" s="18"/>
      <c r="K36102" s="18" t="s">
        <v>316</v>
      </c>
    </row>
    <row r="36103">
      <c r="A36103" s="17"/>
      <c r="H36103" s="18"/>
      <c r="K36103" s="18" t="s">
        <v>316</v>
      </c>
    </row>
    <row r="36104">
      <c r="A36104" s="17"/>
      <c r="H36104" s="18"/>
      <c r="K36104" s="18" t="s">
        <v>316</v>
      </c>
    </row>
    <row r="36105">
      <c r="A36105" s="17"/>
      <c r="H36105" s="18"/>
      <c r="K36105" s="18" t="s">
        <v>316</v>
      </c>
    </row>
    <row r="36106">
      <c r="A36106" s="17"/>
      <c r="H36106" s="18"/>
      <c r="K36106" s="18" t="s">
        <v>316</v>
      </c>
    </row>
    <row r="36107">
      <c r="A36107" s="17"/>
      <c r="H36107" s="18"/>
      <c r="K36107" s="18" t="s">
        <v>316</v>
      </c>
    </row>
    <row r="36108">
      <c r="A36108" s="17"/>
      <c r="H36108" s="18"/>
      <c r="K36108" s="18" t="s">
        <v>316</v>
      </c>
    </row>
    <row r="36109">
      <c r="A36109" s="17"/>
      <c r="H36109" s="18"/>
      <c r="K36109" s="18" t="s">
        <v>316</v>
      </c>
    </row>
    <row r="36110">
      <c r="A36110" s="17"/>
      <c r="H36110" s="18"/>
      <c r="K36110" s="18" t="s">
        <v>316</v>
      </c>
    </row>
    <row r="36111">
      <c r="A36111" s="17"/>
      <c r="H36111" s="18"/>
      <c r="K36111" s="18" t="s">
        <v>316</v>
      </c>
    </row>
    <row r="36112">
      <c r="A36112" s="17"/>
      <c r="H36112" s="18"/>
      <c r="K36112" s="18" t="s">
        <v>316</v>
      </c>
    </row>
    <row r="36113">
      <c r="A36113" s="17"/>
      <c r="H36113" s="18"/>
      <c r="K36113" s="18" t="s">
        <v>316</v>
      </c>
    </row>
    <row r="36114">
      <c r="A36114" s="17"/>
      <c r="H36114" s="18"/>
      <c r="K36114" s="18" t="s">
        <v>316</v>
      </c>
    </row>
    <row r="36115">
      <c r="A36115" s="17"/>
      <c r="H36115" s="18"/>
      <c r="K36115" s="18" t="s">
        <v>316</v>
      </c>
    </row>
    <row r="36116">
      <c r="A36116" s="17"/>
      <c r="H36116" s="18"/>
      <c r="K36116" s="18" t="s">
        <v>316</v>
      </c>
    </row>
    <row r="36117">
      <c r="A36117" s="17"/>
      <c r="H36117" s="18"/>
      <c r="K36117" s="18" t="s">
        <v>316</v>
      </c>
    </row>
    <row r="36118">
      <c r="A36118" s="17"/>
      <c r="H36118" s="18"/>
      <c r="K36118" s="18" t="s">
        <v>316</v>
      </c>
    </row>
    <row r="36119">
      <c r="A36119" s="17"/>
      <c r="H36119" s="18"/>
      <c r="K36119" s="18" t="s">
        <v>316</v>
      </c>
    </row>
    <row r="36120">
      <c r="A36120" s="17"/>
      <c r="H36120" s="18"/>
      <c r="K36120" s="18" t="s">
        <v>316</v>
      </c>
    </row>
    <row r="36121">
      <c r="A36121" s="17"/>
      <c r="H36121" s="18"/>
      <c r="K36121" s="18" t="s">
        <v>316</v>
      </c>
    </row>
    <row r="36122">
      <c r="A36122" s="17"/>
      <c r="H36122" s="18"/>
      <c r="K36122" s="18" t="s">
        <v>316</v>
      </c>
    </row>
    <row r="36123">
      <c r="A36123" s="17"/>
      <c r="H36123" s="18"/>
      <c r="K36123" s="18" t="s">
        <v>316</v>
      </c>
    </row>
    <row r="36124">
      <c r="A36124" s="17"/>
      <c r="H36124" s="18"/>
      <c r="K36124" s="18" t="s">
        <v>316</v>
      </c>
    </row>
    <row r="36125">
      <c r="A36125" s="17"/>
      <c r="H36125" s="18"/>
      <c r="K36125" s="18" t="s">
        <v>316</v>
      </c>
    </row>
    <row r="36126">
      <c r="A36126" s="17"/>
      <c r="H36126" s="18"/>
      <c r="K36126" s="18" t="s">
        <v>316</v>
      </c>
    </row>
    <row r="36127">
      <c r="A36127" s="17"/>
      <c r="H36127" s="18"/>
      <c r="K36127" s="18" t="s">
        <v>316</v>
      </c>
    </row>
    <row r="36128">
      <c r="A36128" s="17"/>
      <c r="H36128" s="18"/>
      <c r="K36128" s="18" t="s">
        <v>316</v>
      </c>
    </row>
    <row r="36129">
      <c r="A36129" s="17"/>
      <c r="H36129" s="18"/>
      <c r="K36129" s="18" t="s">
        <v>316</v>
      </c>
    </row>
    <row r="36130">
      <c r="A36130" s="17"/>
      <c r="H36130" s="18"/>
      <c r="K36130" s="18" t="s">
        <v>316</v>
      </c>
    </row>
    <row r="36131">
      <c r="A36131" s="17"/>
      <c r="H36131" s="18"/>
      <c r="K36131" s="18" t="s">
        <v>316</v>
      </c>
    </row>
    <row r="36132">
      <c r="A36132" s="17"/>
      <c r="H36132" s="18"/>
      <c r="K36132" s="18" t="s">
        <v>316</v>
      </c>
    </row>
    <row r="36133">
      <c r="A36133" s="17"/>
      <c r="H36133" s="18"/>
      <c r="K36133" s="18" t="s">
        <v>316</v>
      </c>
    </row>
    <row r="36134">
      <c r="A36134" s="17"/>
      <c r="H36134" s="18"/>
      <c r="K36134" s="18" t="s">
        <v>316</v>
      </c>
    </row>
    <row r="36135">
      <c r="A36135" s="17"/>
      <c r="H36135" s="18"/>
      <c r="K36135" s="18" t="s">
        <v>316</v>
      </c>
    </row>
    <row r="36136">
      <c r="A36136" s="17"/>
      <c r="H36136" s="18"/>
      <c r="K36136" s="18" t="s">
        <v>316</v>
      </c>
    </row>
    <row r="36137">
      <c r="A36137" s="17"/>
      <c r="H36137" s="18"/>
      <c r="K36137" s="18" t="s">
        <v>316</v>
      </c>
    </row>
    <row r="36138">
      <c r="A36138" s="17"/>
      <c r="H36138" s="18"/>
      <c r="K36138" s="18" t="s">
        <v>316</v>
      </c>
    </row>
    <row r="36139">
      <c r="A36139" s="17"/>
      <c r="H36139" s="18"/>
      <c r="K36139" s="18" t="s">
        <v>316</v>
      </c>
    </row>
    <row r="36140">
      <c r="A36140" s="17"/>
      <c r="H36140" s="18"/>
      <c r="K36140" s="18" t="s">
        <v>316</v>
      </c>
    </row>
    <row r="36141">
      <c r="A36141" s="17"/>
      <c r="H36141" s="18"/>
      <c r="K36141" s="18" t="s">
        <v>316</v>
      </c>
    </row>
    <row r="36142">
      <c r="A36142" s="17"/>
      <c r="H36142" s="18"/>
      <c r="K36142" s="18" t="s">
        <v>316</v>
      </c>
    </row>
    <row r="36143">
      <c r="A36143" s="17"/>
      <c r="H36143" s="18"/>
      <c r="K36143" s="18" t="s">
        <v>316</v>
      </c>
    </row>
    <row r="36144">
      <c r="A36144" s="17"/>
      <c r="H36144" s="18"/>
      <c r="K36144" s="18" t="s">
        <v>316</v>
      </c>
    </row>
    <row r="36145">
      <c r="A36145" s="17"/>
      <c r="H36145" s="18"/>
      <c r="K36145" s="18" t="s">
        <v>316</v>
      </c>
    </row>
    <row r="36146">
      <c r="A36146" s="17"/>
      <c r="H36146" s="18"/>
      <c r="K36146" s="18" t="s">
        <v>316</v>
      </c>
    </row>
    <row r="36147">
      <c r="A36147" s="17"/>
      <c r="H36147" s="18"/>
      <c r="K36147" s="18" t="s">
        <v>316</v>
      </c>
    </row>
    <row r="36148">
      <c r="A36148" s="17"/>
      <c r="H36148" s="18"/>
      <c r="K36148" s="18" t="s">
        <v>316</v>
      </c>
    </row>
    <row r="36149">
      <c r="A36149" s="17"/>
      <c r="H36149" s="18"/>
      <c r="K36149" s="18" t="s">
        <v>316</v>
      </c>
    </row>
    <row r="36150">
      <c r="A36150" s="17"/>
      <c r="H36150" s="18"/>
      <c r="K36150" s="18" t="s">
        <v>316</v>
      </c>
    </row>
    <row r="36151">
      <c r="A36151" s="17"/>
      <c r="H36151" s="18"/>
      <c r="K36151" s="18" t="s">
        <v>316</v>
      </c>
    </row>
    <row r="36152">
      <c r="A36152" s="17"/>
      <c r="H36152" s="18"/>
      <c r="K36152" s="18" t="s">
        <v>316</v>
      </c>
    </row>
    <row r="36153">
      <c r="A36153" s="17"/>
      <c r="H36153" s="18"/>
      <c r="K36153" s="18" t="s">
        <v>316</v>
      </c>
    </row>
    <row r="36154">
      <c r="A36154" s="17"/>
      <c r="H36154" s="18"/>
      <c r="K36154" s="18" t="s">
        <v>316</v>
      </c>
    </row>
    <row r="36155">
      <c r="A36155" s="17"/>
      <c r="H36155" s="18"/>
      <c r="K36155" s="18" t="s">
        <v>316</v>
      </c>
    </row>
    <row r="36156">
      <c r="A36156" s="17"/>
      <c r="H36156" s="18"/>
      <c r="K36156" s="18" t="s">
        <v>316</v>
      </c>
    </row>
    <row r="36157">
      <c r="A36157" s="17"/>
      <c r="H36157" s="18"/>
      <c r="K36157" s="18" t="s">
        <v>316</v>
      </c>
    </row>
    <row r="36158">
      <c r="A36158" s="17"/>
      <c r="H36158" s="18"/>
      <c r="K36158" s="18" t="s">
        <v>316</v>
      </c>
    </row>
    <row r="36159">
      <c r="A36159" s="17"/>
      <c r="H36159" s="18"/>
      <c r="K36159" s="18" t="s">
        <v>316</v>
      </c>
    </row>
    <row r="36160">
      <c r="A36160" s="17"/>
      <c r="H36160" s="18"/>
      <c r="K36160" s="18" t="s">
        <v>316</v>
      </c>
    </row>
    <row r="36161">
      <c r="A36161" s="17"/>
      <c r="H36161" s="18"/>
      <c r="K36161" s="18" t="s">
        <v>316</v>
      </c>
    </row>
    <row r="36162">
      <c r="A36162" s="17"/>
      <c r="H36162" s="18"/>
      <c r="K36162" s="18" t="s">
        <v>316</v>
      </c>
    </row>
    <row r="36163">
      <c r="A36163" s="17"/>
      <c r="H36163" s="18"/>
      <c r="K36163" s="18" t="s">
        <v>316</v>
      </c>
    </row>
    <row r="36164">
      <c r="A36164" s="17"/>
      <c r="H36164" s="18"/>
      <c r="K36164" s="18" t="s">
        <v>316</v>
      </c>
    </row>
    <row r="36165">
      <c r="A36165" s="17"/>
      <c r="H36165" s="18"/>
      <c r="K36165" s="18" t="s">
        <v>316</v>
      </c>
    </row>
    <row r="36166">
      <c r="A36166" s="17"/>
      <c r="H36166" s="18"/>
      <c r="K36166" s="18" t="s">
        <v>316</v>
      </c>
    </row>
    <row r="36167">
      <c r="A36167" s="17"/>
      <c r="H36167" s="18"/>
      <c r="K36167" s="18" t="s">
        <v>316</v>
      </c>
    </row>
    <row r="36168">
      <c r="A36168" s="17"/>
      <c r="H36168" s="18"/>
      <c r="K36168" s="18" t="s">
        <v>316</v>
      </c>
    </row>
    <row r="36169">
      <c r="A36169" s="17"/>
      <c r="H36169" s="18"/>
      <c r="K36169" s="18" t="s">
        <v>316</v>
      </c>
    </row>
    <row r="36170">
      <c r="A36170" s="17"/>
      <c r="H36170" s="18"/>
      <c r="K36170" s="18" t="s">
        <v>316</v>
      </c>
    </row>
    <row r="36171">
      <c r="A36171" s="17"/>
      <c r="H36171" s="18"/>
      <c r="K36171" s="18" t="s">
        <v>316</v>
      </c>
    </row>
    <row r="36172">
      <c r="A36172" s="17"/>
      <c r="H36172" s="18"/>
      <c r="K36172" s="18" t="s">
        <v>316</v>
      </c>
    </row>
    <row r="36173">
      <c r="A36173" s="17"/>
      <c r="H36173" s="18"/>
      <c r="K36173" s="18" t="s">
        <v>316</v>
      </c>
    </row>
    <row r="36174">
      <c r="A36174" s="17"/>
      <c r="H36174" s="18"/>
      <c r="K36174" s="18" t="s">
        <v>316</v>
      </c>
    </row>
    <row r="36175">
      <c r="A36175" s="17"/>
      <c r="H36175" s="18"/>
      <c r="K36175" s="18" t="s">
        <v>316</v>
      </c>
    </row>
    <row r="36176">
      <c r="A36176" s="17"/>
      <c r="H36176" s="18"/>
      <c r="K36176" s="18" t="s">
        <v>316</v>
      </c>
    </row>
    <row r="36177">
      <c r="A36177" s="17"/>
      <c r="H36177" s="18"/>
      <c r="K36177" s="18" t="s">
        <v>316</v>
      </c>
    </row>
    <row r="36178">
      <c r="A36178" s="17"/>
      <c r="H36178" s="18"/>
      <c r="K36178" s="18" t="s">
        <v>316</v>
      </c>
    </row>
    <row r="36179">
      <c r="A36179" s="17"/>
      <c r="H36179" s="18"/>
      <c r="K36179" s="18" t="s">
        <v>316</v>
      </c>
    </row>
    <row r="36180">
      <c r="A36180" s="17"/>
      <c r="H36180" s="18"/>
      <c r="K36180" s="18" t="s">
        <v>316</v>
      </c>
    </row>
    <row r="36181">
      <c r="A36181" s="17"/>
      <c r="H36181" s="18"/>
      <c r="K36181" s="18" t="s">
        <v>316</v>
      </c>
    </row>
    <row r="36182">
      <c r="A36182" s="17"/>
      <c r="H36182" s="18"/>
      <c r="K36182" s="18" t="s">
        <v>316</v>
      </c>
    </row>
    <row r="36183">
      <c r="A36183" s="17"/>
      <c r="H36183" s="18"/>
      <c r="K36183" s="18" t="s">
        <v>316</v>
      </c>
    </row>
    <row r="36184">
      <c r="A36184" s="17"/>
      <c r="H36184" s="18"/>
      <c r="K36184" s="18" t="s">
        <v>316</v>
      </c>
    </row>
    <row r="36185">
      <c r="A36185" s="17"/>
      <c r="H36185" s="18"/>
      <c r="K36185" s="18" t="s">
        <v>316</v>
      </c>
    </row>
    <row r="36186">
      <c r="A36186" s="17"/>
      <c r="H36186" s="18"/>
      <c r="K36186" s="18" t="s">
        <v>316</v>
      </c>
    </row>
    <row r="36187">
      <c r="A36187" s="17"/>
      <c r="H36187" s="18"/>
      <c r="K36187" s="18" t="s">
        <v>316</v>
      </c>
    </row>
    <row r="36188">
      <c r="A36188" s="17"/>
      <c r="H36188" s="18"/>
      <c r="K36188" s="18" t="s">
        <v>316</v>
      </c>
    </row>
    <row r="36189">
      <c r="A36189" s="17"/>
      <c r="H36189" s="18"/>
      <c r="K36189" s="18" t="s">
        <v>316</v>
      </c>
    </row>
    <row r="36190">
      <c r="A36190" s="17"/>
      <c r="H36190" s="18"/>
      <c r="K36190" s="18" t="s">
        <v>316</v>
      </c>
    </row>
    <row r="36191">
      <c r="A36191" s="17"/>
      <c r="H36191" s="18"/>
      <c r="K36191" s="18" t="s">
        <v>316</v>
      </c>
    </row>
    <row r="36192">
      <c r="A36192" s="17"/>
      <c r="H36192" s="18"/>
      <c r="K36192" s="18" t="s">
        <v>316</v>
      </c>
    </row>
    <row r="36193">
      <c r="A36193" s="17"/>
      <c r="H36193" s="18"/>
      <c r="K36193" s="18" t="s">
        <v>316</v>
      </c>
    </row>
    <row r="36194">
      <c r="A36194" s="17"/>
      <c r="H36194" s="18"/>
      <c r="K36194" s="18" t="s">
        <v>316</v>
      </c>
    </row>
    <row r="36195">
      <c r="A36195" s="17"/>
      <c r="H36195" s="18"/>
      <c r="K36195" s="18" t="s">
        <v>316</v>
      </c>
    </row>
    <row r="36196">
      <c r="A36196" s="17"/>
      <c r="H36196" s="18"/>
      <c r="K36196" s="18" t="s">
        <v>316</v>
      </c>
    </row>
    <row r="36197">
      <c r="A36197" s="17"/>
      <c r="H36197" s="18"/>
      <c r="K36197" s="18" t="s">
        <v>316</v>
      </c>
    </row>
    <row r="36198">
      <c r="A36198" s="17"/>
      <c r="H36198" s="18"/>
      <c r="K36198" s="18" t="s">
        <v>316</v>
      </c>
    </row>
    <row r="36199">
      <c r="A36199" s="17"/>
      <c r="H36199" s="18"/>
      <c r="K36199" s="18" t="s">
        <v>316</v>
      </c>
    </row>
    <row r="36200">
      <c r="A36200" s="17"/>
      <c r="H36200" s="18"/>
      <c r="K36200" s="18" t="s">
        <v>316</v>
      </c>
    </row>
    <row r="36201">
      <c r="A36201" s="17"/>
      <c r="H36201" s="18"/>
      <c r="K36201" s="18" t="s">
        <v>316</v>
      </c>
    </row>
    <row r="36202">
      <c r="A36202" s="17"/>
      <c r="H36202" s="18"/>
      <c r="K36202" s="18" t="s">
        <v>316</v>
      </c>
    </row>
    <row r="36203">
      <c r="A36203" s="17"/>
      <c r="H36203" s="18"/>
      <c r="K36203" s="18" t="s">
        <v>316</v>
      </c>
    </row>
    <row r="36204">
      <c r="A36204" s="17"/>
      <c r="H36204" s="18"/>
      <c r="K36204" s="18" t="s">
        <v>316</v>
      </c>
    </row>
    <row r="36205">
      <c r="A36205" s="17"/>
      <c r="H36205" s="18"/>
      <c r="K36205" s="18" t="s">
        <v>316</v>
      </c>
    </row>
    <row r="36206">
      <c r="A36206" s="17"/>
      <c r="H36206" s="18"/>
      <c r="K36206" s="18" t="s">
        <v>316</v>
      </c>
    </row>
    <row r="36207">
      <c r="A36207" s="17"/>
      <c r="H36207" s="18"/>
      <c r="K36207" s="18" t="s">
        <v>316</v>
      </c>
    </row>
    <row r="36208">
      <c r="A36208" s="17"/>
      <c r="H36208" s="18"/>
      <c r="K36208" s="18" t="s">
        <v>316</v>
      </c>
    </row>
    <row r="36209">
      <c r="A36209" s="17"/>
      <c r="H36209" s="18"/>
      <c r="K36209" s="18" t="s">
        <v>316</v>
      </c>
    </row>
    <row r="36210">
      <c r="A36210" s="17"/>
      <c r="H36210" s="18"/>
      <c r="K36210" s="18" t="s">
        <v>316</v>
      </c>
    </row>
    <row r="36211">
      <c r="A36211" s="17"/>
      <c r="H36211" s="18"/>
      <c r="K36211" s="18" t="s">
        <v>316</v>
      </c>
    </row>
    <row r="36212">
      <c r="A36212" s="17"/>
      <c r="H36212" s="18"/>
      <c r="K36212" s="18" t="s">
        <v>316</v>
      </c>
    </row>
    <row r="36213">
      <c r="A36213" s="17"/>
      <c r="H36213" s="18"/>
      <c r="K36213" s="18" t="s">
        <v>316</v>
      </c>
    </row>
    <row r="36214">
      <c r="A36214" s="17"/>
      <c r="H36214" s="18"/>
      <c r="K36214" s="18" t="s">
        <v>316</v>
      </c>
    </row>
    <row r="36215">
      <c r="A36215" s="17"/>
      <c r="H36215" s="18"/>
      <c r="K36215" s="18" t="s">
        <v>316</v>
      </c>
    </row>
    <row r="36216">
      <c r="A36216" s="17"/>
      <c r="H36216" s="18"/>
      <c r="K36216" s="18" t="s">
        <v>316</v>
      </c>
    </row>
    <row r="36217">
      <c r="A36217" s="17"/>
      <c r="H36217" s="18"/>
      <c r="K36217" s="18" t="s">
        <v>316</v>
      </c>
    </row>
    <row r="36218">
      <c r="A36218" s="17"/>
      <c r="H36218" s="18"/>
      <c r="K36218" s="18" t="s">
        <v>316</v>
      </c>
    </row>
    <row r="36219">
      <c r="A36219" s="17"/>
      <c r="H36219" s="18"/>
      <c r="K36219" s="18" t="s">
        <v>316</v>
      </c>
    </row>
    <row r="36220">
      <c r="A36220" s="17"/>
      <c r="H36220" s="18"/>
      <c r="K36220" s="18" t="s">
        <v>316</v>
      </c>
    </row>
    <row r="36221">
      <c r="A36221" s="17"/>
      <c r="H36221" s="18"/>
      <c r="K36221" s="18" t="s">
        <v>316</v>
      </c>
    </row>
    <row r="36222">
      <c r="A36222" s="17"/>
      <c r="H36222" s="18"/>
      <c r="K36222" s="18" t="s">
        <v>316</v>
      </c>
    </row>
    <row r="36223">
      <c r="A36223" s="17"/>
      <c r="H36223" s="18"/>
      <c r="K36223" s="18" t="s">
        <v>316</v>
      </c>
    </row>
    <row r="36224">
      <c r="A36224" s="17"/>
      <c r="H36224" s="18"/>
      <c r="K36224" s="18" t="s">
        <v>316</v>
      </c>
    </row>
    <row r="36225">
      <c r="A36225" s="17"/>
      <c r="H36225" s="18"/>
      <c r="K36225" s="18" t="s">
        <v>316</v>
      </c>
    </row>
    <row r="36226">
      <c r="A36226" s="17"/>
      <c r="H36226" s="18"/>
      <c r="K36226" s="18" t="s">
        <v>316</v>
      </c>
    </row>
    <row r="36227">
      <c r="A36227" s="17"/>
      <c r="H36227" s="18"/>
      <c r="K36227" s="18" t="s">
        <v>316</v>
      </c>
    </row>
    <row r="36228">
      <c r="A36228" s="17"/>
      <c r="H36228" s="18"/>
      <c r="K36228" s="18" t="s">
        <v>316</v>
      </c>
    </row>
    <row r="36229">
      <c r="A36229" s="17"/>
      <c r="H36229" s="18"/>
      <c r="K36229" s="18" t="s">
        <v>316</v>
      </c>
    </row>
    <row r="36230">
      <c r="A36230" s="17"/>
      <c r="H36230" s="18"/>
      <c r="K36230" s="18" t="s">
        <v>316</v>
      </c>
    </row>
    <row r="36231">
      <c r="A36231" s="17"/>
      <c r="H36231" s="18"/>
      <c r="K36231" s="18" t="s">
        <v>316</v>
      </c>
    </row>
    <row r="36232">
      <c r="A36232" s="17"/>
      <c r="H36232" s="18"/>
      <c r="K36232" s="18" t="s">
        <v>316</v>
      </c>
    </row>
    <row r="36233">
      <c r="A36233" s="17"/>
      <c r="H36233" s="18"/>
      <c r="K36233" s="18" t="s">
        <v>316</v>
      </c>
    </row>
    <row r="36234">
      <c r="A36234" s="17"/>
      <c r="H36234" s="18"/>
      <c r="K36234" s="18" t="s">
        <v>316</v>
      </c>
    </row>
    <row r="36235">
      <c r="A36235" s="17"/>
      <c r="H36235" s="18"/>
      <c r="K36235" s="18" t="s">
        <v>316</v>
      </c>
    </row>
    <row r="36236">
      <c r="A36236" s="17"/>
      <c r="H36236" s="18"/>
      <c r="K36236" s="18" t="s">
        <v>316</v>
      </c>
    </row>
    <row r="36237">
      <c r="A36237" s="17"/>
      <c r="H36237" s="18"/>
      <c r="K36237" s="18" t="s">
        <v>316</v>
      </c>
    </row>
    <row r="36238">
      <c r="A36238" s="17"/>
      <c r="H36238" s="18"/>
      <c r="K36238" s="18" t="s">
        <v>316</v>
      </c>
    </row>
    <row r="36239">
      <c r="A36239" s="17"/>
      <c r="H36239" s="18"/>
      <c r="K36239" s="18" t="s">
        <v>316</v>
      </c>
    </row>
    <row r="36240">
      <c r="A36240" s="17"/>
      <c r="H36240" s="18"/>
      <c r="K36240" s="18" t="s">
        <v>316</v>
      </c>
    </row>
    <row r="36241">
      <c r="A36241" s="17"/>
      <c r="H36241" s="18"/>
      <c r="K36241" s="18" t="s">
        <v>316</v>
      </c>
    </row>
    <row r="36242">
      <c r="A36242" s="17"/>
      <c r="H36242" s="18"/>
      <c r="K36242" s="18" t="s">
        <v>316</v>
      </c>
    </row>
    <row r="36243">
      <c r="A36243" s="17"/>
      <c r="H36243" s="18"/>
      <c r="K36243" s="18" t="s">
        <v>316</v>
      </c>
    </row>
    <row r="36244">
      <c r="A36244" s="17"/>
      <c r="H36244" s="18"/>
      <c r="K36244" s="18" t="s">
        <v>316</v>
      </c>
    </row>
    <row r="36245">
      <c r="A36245" s="17"/>
      <c r="H36245" s="18"/>
      <c r="K36245" s="18" t="s">
        <v>316</v>
      </c>
    </row>
    <row r="36246">
      <c r="A36246" s="17"/>
      <c r="H36246" s="18"/>
      <c r="K36246" s="18" t="s">
        <v>316</v>
      </c>
    </row>
    <row r="36247">
      <c r="A36247" s="17"/>
      <c r="H36247" s="18"/>
      <c r="K36247" s="18" t="s">
        <v>316</v>
      </c>
    </row>
    <row r="36248">
      <c r="A36248" s="17"/>
      <c r="H36248" s="18"/>
      <c r="K36248" s="18" t="s">
        <v>316</v>
      </c>
    </row>
    <row r="36249">
      <c r="A36249" s="17"/>
      <c r="H36249" s="18"/>
      <c r="K36249" s="18" t="s">
        <v>316</v>
      </c>
    </row>
    <row r="36250">
      <c r="A36250" s="17"/>
      <c r="H36250" s="18"/>
      <c r="K36250" s="18" t="s">
        <v>316</v>
      </c>
    </row>
    <row r="36251">
      <c r="A36251" s="17"/>
      <c r="H36251" s="18"/>
      <c r="K36251" s="18" t="s">
        <v>316</v>
      </c>
    </row>
    <row r="36252">
      <c r="A36252" s="17"/>
      <c r="H36252" s="18"/>
      <c r="K36252" s="18" t="s">
        <v>316</v>
      </c>
    </row>
    <row r="36253">
      <c r="A36253" s="17"/>
      <c r="H36253" s="18"/>
      <c r="K36253" s="18" t="s">
        <v>316</v>
      </c>
    </row>
    <row r="36254">
      <c r="A36254" s="17"/>
      <c r="H36254" s="18"/>
      <c r="K36254" s="18" t="s">
        <v>316</v>
      </c>
    </row>
    <row r="36255">
      <c r="A36255" s="17"/>
      <c r="H36255" s="18"/>
      <c r="K36255" s="18" t="s">
        <v>316</v>
      </c>
    </row>
    <row r="36256">
      <c r="A36256" s="17"/>
      <c r="H36256" s="18"/>
      <c r="K36256" s="18" t="s">
        <v>316</v>
      </c>
    </row>
    <row r="36257">
      <c r="A36257" s="17"/>
      <c r="H36257" s="18"/>
      <c r="K36257" s="18" t="s">
        <v>316</v>
      </c>
    </row>
    <row r="36258">
      <c r="A36258" s="17"/>
      <c r="H36258" s="18"/>
      <c r="K36258" s="18" t="s">
        <v>316</v>
      </c>
    </row>
    <row r="36259">
      <c r="A36259" s="17"/>
      <c r="H36259" s="18"/>
      <c r="K36259" s="18" t="s">
        <v>316</v>
      </c>
    </row>
    <row r="36260">
      <c r="A36260" s="17"/>
      <c r="H36260" s="18"/>
      <c r="K36260" s="18" t="s">
        <v>316</v>
      </c>
    </row>
    <row r="36261">
      <c r="A36261" s="17"/>
      <c r="H36261" s="18"/>
      <c r="K36261" s="18" t="s">
        <v>316</v>
      </c>
    </row>
    <row r="36262">
      <c r="A36262" s="17"/>
      <c r="H36262" s="18"/>
      <c r="K36262" s="18" t="s">
        <v>316</v>
      </c>
    </row>
    <row r="36263">
      <c r="A36263" s="17"/>
      <c r="H36263" s="18"/>
      <c r="K36263" s="18" t="s">
        <v>316</v>
      </c>
    </row>
    <row r="36264">
      <c r="A36264" s="17"/>
      <c r="H36264" s="18"/>
      <c r="K36264" s="18" t="s">
        <v>316</v>
      </c>
    </row>
    <row r="36265">
      <c r="A36265" s="17"/>
      <c r="H36265" s="18"/>
      <c r="K36265" s="18" t="s">
        <v>316</v>
      </c>
    </row>
    <row r="36266">
      <c r="A36266" s="17"/>
      <c r="H36266" s="18"/>
      <c r="K36266" s="18" t="s">
        <v>316</v>
      </c>
    </row>
    <row r="36267">
      <c r="A36267" s="17"/>
      <c r="H36267" s="18"/>
      <c r="K36267" s="18" t="s">
        <v>316</v>
      </c>
    </row>
    <row r="36268">
      <c r="A36268" s="17"/>
      <c r="H36268" s="18"/>
      <c r="K36268" s="18" t="s">
        <v>316</v>
      </c>
    </row>
    <row r="36269">
      <c r="A36269" s="17"/>
      <c r="H36269" s="18"/>
      <c r="K36269" s="18" t="s">
        <v>316</v>
      </c>
    </row>
    <row r="36270">
      <c r="A36270" s="17"/>
      <c r="H36270" s="18"/>
      <c r="K36270" s="18" t="s">
        <v>316</v>
      </c>
    </row>
    <row r="36271">
      <c r="A36271" s="17"/>
      <c r="H36271" s="18"/>
      <c r="K36271" s="18" t="s">
        <v>316</v>
      </c>
    </row>
    <row r="36272">
      <c r="A36272" s="17"/>
      <c r="H36272" s="18"/>
      <c r="K36272" s="18" t="s">
        <v>316</v>
      </c>
    </row>
    <row r="36273">
      <c r="A36273" s="17"/>
      <c r="H36273" s="18"/>
      <c r="K36273" s="18" t="s">
        <v>316</v>
      </c>
    </row>
    <row r="36274">
      <c r="A36274" s="17"/>
      <c r="H36274" s="18"/>
      <c r="K36274" s="18" t="s">
        <v>316</v>
      </c>
    </row>
    <row r="36275">
      <c r="A36275" s="17"/>
      <c r="H36275" s="18"/>
      <c r="K36275" s="18" t="s">
        <v>316</v>
      </c>
    </row>
    <row r="36276">
      <c r="A36276" s="17"/>
      <c r="H36276" s="18"/>
      <c r="K36276" s="18" t="s">
        <v>316</v>
      </c>
    </row>
    <row r="36277">
      <c r="A36277" s="17"/>
      <c r="H36277" s="18"/>
      <c r="K36277" s="18" t="s">
        <v>316</v>
      </c>
    </row>
    <row r="36278">
      <c r="A36278" s="17"/>
      <c r="H36278" s="18"/>
      <c r="K36278" s="18" t="s">
        <v>316</v>
      </c>
    </row>
    <row r="36279">
      <c r="A36279" s="17"/>
      <c r="H36279" s="18"/>
      <c r="K36279" s="18" t="s">
        <v>316</v>
      </c>
    </row>
    <row r="36280">
      <c r="A36280" s="17"/>
      <c r="H36280" s="18"/>
      <c r="K36280" s="18" t="s">
        <v>316</v>
      </c>
    </row>
    <row r="36281">
      <c r="A36281" s="17"/>
      <c r="H36281" s="18"/>
      <c r="K36281" s="18" t="s">
        <v>316</v>
      </c>
    </row>
    <row r="36282">
      <c r="A36282" s="17"/>
      <c r="H36282" s="18"/>
      <c r="K36282" s="18" t="s">
        <v>316</v>
      </c>
    </row>
    <row r="36283">
      <c r="A36283" s="17"/>
      <c r="H36283" s="18"/>
      <c r="K36283" s="18" t="s">
        <v>316</v>
      </c>
    </row>
    <row r="36284">
      <c r="A36284" s="17"/>
      <c r="H36284" s="18"/>
      <c r="K36284" s="18" t="s">
        <v>316</v>
      </c>
    </row>
    <row r="36285">
      <c r="A36285" s="17"/>
      <c r="H36285" s="18"/>
      <c r="K36285" s="18" t="s">
        <v>316</v>
      </c>
    </row>
    <row r="36286">
      <c r="A36286" s="17"/>
      <c r="H36286" s="18"/>
      <c r="K36286" s="18" t="s">
        <v>316</v>
      </c>
    </row>
    <row r="36287">
      <c r="A36287" s="17"/>
      <c r="H36287" s="18"/>
      <c r="K36287" s="18" t="s">
        <v>316</v>
      </c>
    </row>
    <row r="36288">
      <c r="A36288" s="17"/>
      <c r="H36288" s="18"/>
      <c r="K36288" s="18" t="s">
        <v>316</v>
      </c>
    </row>
    <row r="36289">
      <c r="A36289" s="17"/>
      <c r="H36289" s="18"/>
      <c r="K36289" s="18" t="s">
        <v>316</v>
      </c>
    </row>
    <row r="36290">
      <c r="A36290" s="17"/>
      <c r="H36290" s="18"/>
      <c r="K36290" s="18" t="s">
        <v>316</v>
      </c>
    </row>
    <row r="36291">
      <c r="A36291" s="17"/>
      <c r="H36291" s="18"/>
      <c r="K36291" s="18" t="s">
        <v>316</v>
      </c>
    </row>
    <row r="36292">
      <c r="A36292" s="17"/>
      <c r="H36292" s="18"/>
      <c r="K36292" s="18" t="s">
        <v>316</v>
      </c>
    </row>
    <row r="36293">
      <c r="A36293" s="17"/>
      <c r="H36293" s="18"/>
      <c r="K36293" s="18" t="s">
        <v>316</v>
      </c>
    </row>
    <row r="36294">
      <c r="A36294" s="17"/>
      <c r="H36294" s="18"/>
      <c r="K36294" s="18" t="s">
        <v>316</v>
      </c>
    </row>
    <row r="36295">
      <c r="A36295" s="17"/>
      <c r="H36295" s="18"/>
      <c r="K36295" s="18" t="s">
        <v>316</v>
      </c>
    </row>
    <row r="36296">
      <c r="A36296" s="17"/>
      <c r="H36296" s="18"/>
      <c r="K36296" s="18" t="s">
        <v>316</v>
      </c>
    </row>
    <row r="36297">
      <c r="A36297" s="17"/>
      <c r="H36297" s="18"/>
      <c r="K36297" s="18" t="s">
        <v>316</v>
      </c>
    </row>
    <row r="36298">
      <c r="A36298" s="17"/>
      <c r="H36298" s="18"/>
      <c r="K36298" s="18" t="s">
        <v>316</v>
      </c>
    </row>
    <row r="36299">
      <c r="A36299" s="17"/>
      <c r="H36299" s="18"/>
      <c r="K36299" s="18" t="s">
        <v>316</v>
      </c>
    </row>
    <row r="36300">
      <c r="A36300" s="17"/>
      <c r="H36300" s="18"/>
      <c r="K36300" s="18" t="s">
        <v>316</v>
      </c>
    </row>
    <row r="36301">
      <c r="A36301" s="17"/>
      <c r="H36301" s="18"/>
      <c r="K36301" s="18" t="s">
        <v>316</v>
      </c>
    </row>
    <row r="36302">
      <c r="A36302" s="17"/>
      <c r="H36302" s="18"/>
      <c r="K36302" s="18" t="s">
        <v>316</v>
      </c>
    </row>
    <row r="36303">
      <c r="A36303" s="17"/>
      <c r="H36303" s="18"/>
      <c r="K36303" s="18" t="s">
        <v>316</v>
      </c>
    </row>
    <row r="36304">
      <c r="A36304" s="17"/>
      <c r="H36304" s="18"/>
      <c r="K36304" s="18" t="s">
        <v>316</v>
      </c>
    </row>
    <row r="36305">
      <c r="A36305" s="17"/>
      <c r="H36305" s="18"/>
      <c r="K36305" s="18" t="s">
        <v>316</v>
      </c>
    </row>
    <row r="36306">
      <c r="A36306" s="17"/>
      <c r="H36306" s="18"/>
      <c r="K36306" s="18" t="s">
        <v>316</v>
      </c>
    </row>
    <row r="36307">
      <c r="A36307" s="17"/>
      <c r="H36307" s="18"/>
      <c r="K36307" s="18" t="s">
        <v>316</v>
      </c>
    </row>
    <row r="36308">
      <c r="A36308" s="17"/>
      <c r="H36308" s="18"/>
      <c r="K36308" s="18" t="s">
        <v>316</v>
      </c>
    </row>
    <row r="36309">
      <c r="A36309" s="17"/>
      <c r="H36309" s="18"/>
      <c r="K36309" s="18" t="s">
        <v>316</v>
      </c>
    </row>
    <row r="36310">
      <c r="A36310" s="17"/>
      <c r="H36310" s="18"/>
      <c r="K36310" s="18" t="s">
        <v>316</v>
      </c>
    </row>
    <row r="36311">
      <c r="A36311" s="17"/>
      <c r="H36311" s="18"/>
      <c r="K36311" s="18" t="s">
        <v>316</v>
      </c>
    </row>
    <row r="36312">
      <c r="A36312" s="17"/>
      <c r="H36312" s="18"/>
      <c r="K36312" s="18" t="s">
        <v>316</v>
      </c>
    </row>
    <row r="36313">
      <c r="A36313" s="17"/>
      <c r="H36313" s="18"/>
      <c r="K36313" s="18" t="s">
        <v>316</v>
      </c>
    </row>
    <row r="36314">
      <c r="A36314" s="17"/>
      <c r="H36314" s="18"/>
      <c r="K36314" s="18" t="s">
        <v>316</v>
      </c>
    </row>
    <row r="36315">
      <c r="A36315" s="17"/>
      <c r="H36315" s="18"/>
      <c r="K36315" s="18" t="s">
        <v>316</v>
      </c>
    </row>
    <row r="36316">
      <c r="A36316" s="17"/>
      <c r="H36316" s="18"/>
      <c r="K36316" s="18" t="s">
        <v>316</v>
      </c>
    </row>
    <row r="36317">
      <c r="A36317" s="17"/>
      <c r="H36317" s="18"/>
      <c r="K36317" s="18" t="s">
        <v>316</v>
      </c>
    </row>
    <row r="36318">
      <c r="A36318" s="17"/>
      <c r="H36318" s="18"/>
      <c r="K36318" s="18" t="s">
        <v>316</v>
      </c>
    </row>
    <row r="36319">
      <c r="A36319" s="17"/>
      <c r="H36319" s="18"/>
      <c r="K36319" s="18" t="s">
        <v>316</v>
      </c>
    </row>
    <row r="36320">
      <c r="A36320" s="17"/>
      <c r="H36320" s="18"/>
      <c r="K36320" s="18" t="s">
        <v>316</v>
      </c>
    </row>
    <row r="36321">
      <c r="A36321" s="17"/>
      <c r="H36321" s="18"/>
      <c r="K36321" s="18" t="s">
        <v>316</v>
      </c>
    </row>
    <row r="36322">
      <c r="A36322" s="17"/>
      <c r="H36322" s="18"/>
      <c r="K36322" s="18" t="s">
        <v>316</v>
      </c>
    </row>
    <row r="36323">
      <c r="A36323" s="17"/>
      <c r="H36323" s="18"/>
      <c r="K36323" s="18" t="s">
        <v>316</v>
      </c>
    </row>
    <row r="36324">
      <c r="A36324" s="17"/>
      <c r="H36324" s="18"/>
      <c r="K36324" s="18" t="s">
        <v>316</v>
      </c>
    </row>
    <row r="36325">
      <c r="A36325" s="17"/>
      <c r="H36325" s="18"/>
      <c r="K36325" s="18" t="s">
        <v>316</v>
      </c>
    </row>
    <row r="36326">
      <c r="A36326" s="17"/>
      <c r="H36326" s="18"/>
      <c r="K36326" s="18" t="s">
        <v>316</v>
      </c>
    </row>
    <row r="36327">
      <c r="A36327" s="17"/>
      <c r="H36327" s="18"/>
      <c r="K36327" s="18" t="s">
        <v>316</v>
      </c>
    </row>
    <row r="36328">
      <c r="A36328" s="17"/>
      <c r="H36328" s="18"/>
      <c r="K36328" s="18" t="s">
        <v>316</v>
      </c>
    </row>
    <row r="36329">
      <c r="A36329" s="17"/>
      <c r="H36329" s="18"/>
      <c r="K36329" s="18" t="s">
        <v>316</v>
      </c>
    </row>
    <row r="36330">
      <c r="A36330" s="17"/>
      <c r="H36330" s="18"/>
      <c r="K36330" s="18" t="s">
        <v>316</v>
      </c>
    </row>
    <row r="36331">
      <c r="A36331" s="17"/>
      <c r="H36331" s="18"/>
      <c r="K36331" s="18" t="s">
        <v>316</v>
      </c>
    </row>
    <row r="36332">
      <c r="A36332" s="17"/>
      <c r="H36332" s="18"/>
      <c r="K36332" s="18" t="s">
        <v>316</v>
      </c>
    </row>
    <row r="36333">
      <c r="A36333" s="17"/>
      <c r="H36333" s="18"/>
      <c r="K36333" s="18" t="s">
        <v>316</v>
      </c>
    </row>
    <row r="36334">
      <c r="A36334" s="17"/>
      <c r="H36334" s="18"/>
      <c r="K36334" s="18" t="s">
        <v>316</v>
      </c>
    </row>
    <row r="36335">
      <c r="A36335" s="17"/>
      <c r="H36335" s="18"/>
      <c r="K36335" s="18" t="s">
        <v>316</v>
      </c>
    </row>
    <row r="36336">
      <c r="A36336" s="17"/>
      <c r="H36336" s="18"/>
      <c r="K36336" s="18" t="s">
        <v>316</v>
      </c>
    </row>
    <row r="36337">
      <c r="A36337" s="17"/>
      <c r="H36337" s="18"/>
      <c r="K36337" s="18" t="s">
        <v>316</v>
      </c>
    </row>
    <row r="36338">
      <c r="A36338" s="17"/>
      <c r="H36338" s="18"/>
      <c r="K36338" s="18" t="s">
        <v>316</v>
      </c>
    </row>
    <row r="36339">
      <c r="A36339" s="17"/>
      <c r="H36339" s="18"/>
      <c r="K36339" s="18" t="s">
        <v>316</v>
      </c>
    </row>
    <row r="36340">
      <c r="A36340" s="17"/>
      <c r="H36340" s="18"/>
      <c r="K36340" s="18" t="s">
        <v>316</v>
      </c>
    </row>
    <row r="36341">
      <c r="A36341" s="17"/>
      <c r="H36341" s="18"/>
      <c r="K36341" s="18" t="s">
        <v>316</v>
      </c>
    </row>
    <row r="36342">
      <c r="A36342" s="17"/>
      <c r="H36342" s="18"/>
      <c r="K36342" s="18" t="s">
        <v>316</v>
      </c>
    </row>
    <row r="36343">
      <c r="A36343" s="17"/>
      <c r="H36343" s="18"/>
      <c r="K36343" s="18" t="s">
        <v>316</v>
      </c>
    </row>
    <row r="36344">
      <c r="A36344" s="17"/>
      <c r="H36344" s="18"/>
      <c r="K36344" s="18" t="s">
        <v>316</v>
      </c>
    </row>
    <row r="36345">
      <c r="A36345" s="17"/>
      <c r="H36345" s="18"/>
      <c r="K36345" s="18" t="s">
        <v>316</v>
      </c>
    </row>
    <row r="36346">
      <c r="A36346" s="17"/>
      <c r="H36346" s="18"/>
      <c r="K36346" s="18" t="s">
        <v>316</v>
      </c>
    </row>
    <row r="36347">
      <c r="A36347" s="17"/>
      <c r="H36347" s="18"/>
      <c r="K36347" s="18" t="s">
        <v>316</v>
      </c>
    </row>
    <row r="36348">
      <c r="A36348" s="17"/>
      <c r="H36348" s="18"/>
      <c r="K36348" s="18" t="s">
        <v>316</v>
      </c>
    </row>
    <row r="36349">
      <c r="A36349" s="17"/>
      <c r="H36349" s="18"/>
      <c r="K36349" s="18" t="s">
        <v>316</v>
      </c>
    </row>
    <row r="36350">
      <c r="A36350" s="17"/>
      <c r="H36350" s="18"/>
      <c r="K36350" s="18" t="s">
        <v>316</v>
      </c>
    </row>
    <row r="36351">
      <c r="A36351" s="17"/>
      <c r="H36351" s="18"/>
      <c r="K36351" s="18" t="s">
        <v>316</v>
      </c>
    </row>
    <row r="36352">
      <c r="A36352" s="17"/>
      <c r="H36352" s="18"/>
      <c r="K36352" s="18" t="s">
        <v>316</v>
      </c>
    </row>
    <row r="36353">
      <c r="A36353" s="17"/>
      <c r="H36353" s="18"/>
      <c r="K36353" s="18" t="s">
        <v>316</v>
      </c>
    </row>
    <row r="36354">
      <c r="A36354" s="17"/>
      <c r="H36354" s="18"/>
      <c r="K36354" s="18" t="s">
        <v>316</v>
      </c>
    </row>
    <row r="36355">
      <c r="A36355" s="17"/>
      <c r="H36355" s="18"/>
      <c r="K36355" s="18" t="s">
        <v>316</v>
      </c>
    </row>
    <row r="36356">
      <c r="A36356" s="17"/>
      <c r="H36356" s="18"/>
      <c r="K36356" s="18" t="s">
        <v>316</v>
      </c>
    </row>
    <row r="36357">
      <c r="A36357" s="17"/>
      <c r="H36357" s="18"/>
      <c r="K36357" s="18" t="s">
        <v>316</v>
      </c>
    </row>
    <row r="36358">
      <c r="A36358" s="17"/>
      <c r="H36358" s="18"/>
      <c r="K36358" s="18" t="s">
        <v>316</v>
      </c>
    </row>
    <row r="36359">
      <c r="A36359" s="17"/>
      <c r="H36359" s="18"/>
      <c r="K36359" s="18" t="s">
        <v>316</v>
      </c>
    </row>
    <row r="36360">
      <c r="A36360" s="17"/>
      <c r="H36360" s="18"/>
      <c r="K36360" s="18" t="s">
        <v>316</v>
      </c>
    </row>
    <row r="36361">
      <c r="A36361" s="17"/>
      <c r="H36361" s="18"/>
      <c r="K36361" s="18" t="s">
        <v>316</v>
      </c>
    </row>
    <row r="36362">
      <c r="A36362" s="17"/>
      <c r="H36362" s="18"/>
      <c r="K36362" s="18" t="s">
        <v>316</v>
      </c>
    </row>
    <row r="36363">
      <c r="A36363" s="17"/>
      <c r="H36363" s="18"/>
      <c r="K36363" s="18" t="s">
        <v>316</v>
      </c>
    </row>
    <row r="36364">
      <c r="A36364" s="17"/>
      <c r="H36364" s="18"/>
      <c r="K36364" s="18" t="s">
        <v>316</v>
      </c>
    </row>
    <row r="36365">
      <c r="A36365" s="17"/>
      <c r="H36365" s="18"/>
      <c r="K36365" s="18" t="s">
        <v>316</v>
      </c>
    </row>
    <row r="36366">
      <c r="A36366" s="17"/>
      <c r="H36366" s="18"/>
      <c r="K36366" s="18" t="s">
        <v>316</v>
      </c>
    </row>
    <row r="36367">
      <c r="A36367" s="17"/>
      <c r="H36367" s="18"/>
      <c r="K36367" s="18" t="s">
        <v>316</v>
      </c>
    </row>
    <row r="36368">
      <c r="A36368" s="17"/>
      <c r="H36368" s="18"/>
      <c r="K36368" s="18" t="s">
        <v>316</v>
      </c>
    </row>
    <row r="36369">
      <c r="A36369" s="17"/>
      <c r="H36369" s="18"/>
      <c r="K36369" s="18" t="s">
        <v>316</v>
      </c>
    </row>
    <row r="36370">
      <c r="A36370" s="17"/>
      <c r="H36370" s="18"/>
      <c r="K36370" s="18" t="s">
        <v>316</v>
      </c>
    </row>
    <row r="36371">
      <c r="A36371" s="17"/>
      <c r="H36371" s="18"/>
      <c r="K36371" s="18" t="s">
        <v>316</v>
      </c>
    </row>
    <row r="36372">
      <c r="A36372" s="17"/>
      <c r="H36372" s="18"/>
      <c r="K36372" s="18" t="s">
        <v>316</v>
      </c>
    </row>
    <row r="36373">
      <c r="A36373" s="17"/>
      <c r="H36373" s="18"/>
      <c r="K36373" s="18" t="s">
        <v>316</v>
      </c>
    </row>
    <row r="36374">
      <c r="A36374" s="17"/>
      <c r="H36374" s="18"/>
      <c r="K36374" s="18" t="s">
        <v>316</v>
      </c>
    </row>
    <row r="36375">
      <c r="A36375" s="17"/>
      <c r="H36375" s="18"/>
      <c r="K36375" s="18" t="s">
        <v>316</v>
      </c>
    </row>
    <row r="36376">
      <c r="A36376" s="17"/>
      <c r="H36376" s="18"/>
      <c r="K36376" s="18" t="s">
        <v>316</v>
      </c>
    </row>
    <row r="36377">
      <c r="A36377" s="17"/>
      <c r="H36377" s="18"/>
      <c r="K36377" s="18" t="s">
        <v>316</v>
      </c>
    </row>
    <row r="36378">
      <c r="A36378" s="17"/>
      <c r="H36378" s="18"/>
      <c r="K36378" s="18" t="s">
        <v>316</v>
      </c>
    </row>
    <row r="36379">
      <c r="A36379" s="17"/>
      <c r="H36379" s="18"/>
      <c r="K36379" s="18" t="s">
        <v>316</v>
      </c>
    </row>
    <row r="36380">
      <c r="A36380" s="17"/>
      <c r="H36380" s="18"/>
      <c r="K36380" s="18" t="s">
        <v>316</v>
      </c>
    </row>
    <row r="36381">
      <c r="A36381" s="17"/>
      <c r="H36381" s="18"/>
      <c r="K36381" s="18" t="s">
        <v>316</v>
      </c>
    </row>
    <row r="36382">
      <c r="A36382" s="17"/>
      <c r="H36382" s="18"/>
      <c r="K36382" s="18" t="s">
        <v>316</v>
      </c>
    </row>
    <row r="36383">
      <c r="A36383" s="17"/>
      <c r="H36383" s="18"/>
      <c r="K36383" s="18" t="s">
        <v>316</v>
      </c>
    </row>
    <row r="36384">
      <c r="A36384" s="17"/>
      <c r="H36384" s="18"/>
      <c r="K36384" s="18" t="s">
        <v>316</v>
      </c>
    </row>
    <row r="36385">
      <c r="A36385" s="17"/>
      <c r="H36385" s="18"/>
      <c r="K36385" s="18" t="s">
        <v>316</v>
      </c>
    </row>
    <row r="36386">
      <c r="A36386" s="17"/>
      <c r="H36386" s="18"/>
      <c r="K36386" s="18" t="s">
        <v>316</v>
      </c>
    </row>
    <row r="36387">
      <c r="A36387" s="17"/>
      <c r="H36387" s="18"/>
      <c r="K36387" s="18" t="s">
        <v>316</v>
      </c>
    </row>
    <row r="36388">
      <c r="A36388" s="17"/>
      <c r="H36388" s="18"/>
      <c r="K36388" s="18" t="s">
        <v>316</v>
      </c>
    </row>
    <row r="36389">
      <c r="A36389" s="17"/>
      <c r="H36389" s="18"/>
      <c r="K36389" s="18" t="s">
        <v>316</v>
      </c>
    </row>
    <row r="36390">
      <c r="A36390" s="17"/>
      <c r="H36390" s="18"/>
      <c r="K36390" s="18" t="s">
        <v>316</v>
      </c>
    </row>
    <row r="36391">
      <c r="A36391" s="17"/>
      <c r="H36391" s="18"/>
      <c r="K36391" s="18" t="s">
        <v>316</v>
      </c>
    </row>
    <row r="36392">
      <c r="A36392" s="17"/>
      <c r="H36392" s="18"/>
      <c r="K36392" s="18" t="s">
        <v>316</v>
      </c>
    </row>
    <row r="36393">
      <c r="A36393" s="17"/>
      <c r="H36393" s="18"/>
      <c r="K36393" s="18" t="s">
        <v>316</v>
      </c>
    </row>
    <row r="36394">
      <c r="A36394" s="17"/>
      <c r="H36394" s="18"/>
      <c r="K36394" s="18" t="s">
        <v>316</v>
      </c>
    </row>
    <row r="36395">
      <c r="A36395" s="17"/>
      <c r="H36395" s="18"/>
      <c r="K36395" s="18" t="s">
        <v>316</v>
      </c>
    </row>
    <row r="36396">
      <c r="A36396" s="17"/>
      <c r="H36396" s="18"/>
      <c r="K36396" s="18" t="s">
        <v>316</v>
      </c>
    </row>
    <row r="36397">
      <c r="A36397" s="17"/>
      <c r="H36397" s="18"/>
      <c r="K36397" s="18" t="s">
        <v>316</v>
      </c>
    </row>
    <row r="36398">
      <c r="A36398" s="17"/>
      <c r="H36398" s="18"/>
      <c r="K36398" s="18" t="s">
        <v>316</v>
      </c>
    </row>
    <row r="36399">
      <c r="A36399" s="17"/>
      <c r="H36399" s="18"/>
      <c r="K36399" s="18" t="s">
        <v>316</v>
      </c>
    </row>
    <row r="36400">
      <c r="A36400" s="17"/>
      <c r="H36400" s="18"/>
      <c r="K36400" s="18" t="s">
        <v>316</v>
      </c>
    </row>
    <row r="36401">
      <c r="A36401" s="17"/>
      <c r="H36401" s="18"/>
      <c r="K36401" s="18" t="s">
        <v>316</v>
      </c>
    </row>
    <row r="36402">
      <c r="A36402" s="17"/>
      <c r="H36402" s="18"/>
      <c r="K36402" s="18" t="s">
        <v>316</v>
      </c>
    </row>
    <row r="36403">
      <c r="A36403" s="17"/>
      <c r="H36403" s="18"/>
      <c r="K36403" s="18" t="s">
        <v>316</v>
      </c>
    </row>
    <row r="36404">
      <c r="A36404" s="17"/>
      <c r="H36404" s="18"/>
      <c r="K36404" s="18" t="s">
        <v>316</v>
      </c>
    </row>
    <row r="36405">
      <c r="A36405" s="17"/>
      <c r="H36405" s="18"/>
      <c r="K36405" s="18" t="s">
        <v>316</v>
      </c>
    </row>
    <row r="36406">
      <c r="A36406" s="17"/>
      <c r="H36406" s="18"/>
      <c r="K36406" s="18" t="s">
        <v>316</v>
      </c>
    </row>
    <row r="36407">
      <c r="A36407" s="17"/>
      <c r="H36407" s="18"/>
      <c r="K36407" s="18" t="s">
        <v>316</v>
      </c>
    </row>
    <row r="36408">
      <c r="A36408" s="17"/>
      <c r="H36408" s="18"/>
      <c r="K36408" s="18" t="s">
        <v>316</v>
      </c>
    </row>
    <row r="36409">
      <c r="A36409" s="17"/>
      <c r="H36409" s="18"/>
      <c r="K36409" s="18" t="s">
        <v>316</v>
      </c>
    </row>
    <row r="36410">
      <c r="A36410" s="17"/>
      <c r="H36410" s="18"/>
      <c r="K36410" s="18" t="s">
        <v>316</v>
      </c>
    </row>
    <row r="36411">
      <c r="A36411" s="17"/>
      <c r="H36411" s="18"/>
      <c r="K36411" s="18" t="s">
        <v>316</v>
      </c>
    </row>
    <row r="36412">
      <c r="A36412" s="17"/>
      <c r="H36412" s="18"/>
      <c r="K36412" s="18" t="s">
        <v>316</v>
      </c>
    </row>
    <row r="36413">
      <c r="A36413" s="17"/>
      <c r="H36413" s="18"/>
      <c r="K36413" s="18" t="s">
        <v>316</v>
      </c>
    </row>
    <row r="36414">
      <c r="A36414" s="17"/>
      <c r="H36414" s="18"/>
      <c r="K36414" s="18" t="s">
        <v>316</v>
      </c>
    </row>
    <row r="36415">
      <c r="A36415" s="17"/>
      <c r="H36415" s="18"/>
      <c r="K36415" s="18" t="s">
        <v>316</v>
      </c>
    </row>
    <row r="36416">
      <c r="A36416" s="17"/>
      <c r="H36416" s="18"/>
      <c r="K36416" s="18" t="s">
        <v>316</v>
      </c>
    </row>
    <row r="36417">
      <c r="A36417" s="17"/>
      <c r="H36417" s="18"/>
      <c r="K36417" s="18" t="s">
        <v>316</v>
      </c>
    </row>
    <row r="36418">
      <c r="A36418" s="17"/>
      <c r="H36418" s="18"/>
      <c r="K36418" s="18" t="s">
        <v>316</v>
      </c>
    </row>
    <row r="36419">
      <c r="A36419" s="17"/>
      <c r="H36419" s="18"/>
      <c r="K36419" s="18" t="s">
        <v>316</v>
      </c>
    </row>
    <row r="36420">
      <c r="A36420" s="17"/>
      <c r="H36420" s="18"/>
      <c r="K36420" s="18" t="s">
        <v>316</v>
      </c>
    </row>
    <row r="36421">
      <c r="A36421" s="17"/>
      <c r="H36421" s="18"/>
      <c r="K36421" s="18" t="s">
        <v>316</v>
      </c>
    </row>
    <row r="36422">
      <c r="A36422" s="17"/>
      <c r="H36422" s="18"/>
      <c r="K36422" s="18" t="s">
        <v>316</v>
      </c>
    </row>
    <row r="36423">
      <c r="A36423" s="17"/>
      <c r="H36423" s="18"/>
      <c r="K36423" s="18" t="s">
        <v>316</v>
      </c>
    </row>
    <row r="36424">
      <c r="A36424" s="17"/>
      <c r="H36424" s="18"/>
      <c r="K36424" s="18" t="s">
        <v>316</v>
      </c>
    </row>
    <row r="36425">
      <c r="A36425" s="17"/>
      <c r="H36425" s="18"/>
      <c r="K36425" s="18" t="s">
        <v>316</v>
      </c>
    </row>
    <row r="36426">
      <c r="A36426" s="17"/>
      <c r="H36426" s="18"/>
      <c r="K36426" s="18" t="s">
        <v>316</v>
      </c>
    </row>
    <row r="36427">
      <c r="A36427" s="17"/>
      <c r="H36427" s="18"/>
      <c r="K36427" s="18" t="s">
        <v>316</v>
      </c>
    </row>
    <row r="36428">
      <c r="A36428" s="17"/>
      <c r="H36428" s="18"/>
      <c r="K36428" s="18" t="s">
        <v>316</v>
      </c>
    </row>
    <row r="36429">
      <c r="A36429" s="17"/>
      <c r="H36429" s="18"/>
      <c r="K36429" s="18" t="s">
        <v>316</v>
      </c>
    </row>
    <row r="36430">
      <c r="A36430" s="17"/>
      <c r="H36430" s="18"/>
      <c r="K36430" s="18" t="s">
        <v>316</v>
      </c>
    </row>
    <row r="36431">
      <c r="A36431" s="17"/>
      <c r="H36431" s="18"/>
      <c r="K36431" s="18" t="s">
        <v>316</v>
      </c>
    </row>
    <row r="36432">
      <c r="A36432" s="17"/>
      <c r="H36432" s="18"/>
      <c r="K36432" s="18" t="s">
        <v>316</v>
      </c>
    </row>
    <row r="36433">
      <c r="A36433" s="17"/>
      <c r="H36433" s="18"/>
      <c r="K36433" s="18" t="s">
        <v>316</v>
      </c>
    </row>
    <row r="36434">
      <c r="A36434" s="17"/>
      <c r="H36434" s="18"/>
      <c r="K36434" s="18" t="s">
        <v>316</v>
      </c>
    </row>
    <row r="36435">
      <c r="A36435" s="17"/>
      <c r="H36435" s="18"/>
      <c r="K36435" s="18" t="s">
        <v>316</v>
      </c>
    </row>
    <row r="36436">
      <c r="A36436" s="17"/>
      <c r="H36436" s="18"/>
      <c r="K36436" s="18" t="s">
        <v>316</v>
      </c>
    </row>
    <row r="36437">
      <c r="A36437" s="17"/>
      <c r="H36437" s="18"/>
      <c r="K36437" s="18" t="s">
        <v>316</v>
      </c>
    </row>
    <row r="36438">
      <c r="A36438" s="17"/>
      <c r="H36438" s="18"/>
      <c r="K36438" s="18" t="s">
        <v>316</v>
      </c>
    </row>
    <row r="36439">
      <c r="A36439" s="17"/>
      <c r="H36439" s="18"/>
      <c r="K36439" s="18" t="s">
        <v>316</v>
      </c>
    </row>
    <row r="36440">
      <c r="A36440" s="17"/>
      <c r="H36440" s="18"/>
      <c r="K36440" s="18" t="s">
        <v>316</v>
      </c>
    </row>
    <row r="36441">
      <c r="A36441" s="17"/>
      <c r="H36441" s="18"/>
      <c r="K36441" s="18" t="s">
        <v>316</v>
      </c>
    </row>
    <row r="36442">
      <c r="A36442" s="17"/>
      <c r="H36442" s="18"/>
      <c r="K36442" s="18" t="s">
        <v>316</v>
      </c>
    </row>
    <row r="36443">
      <c r="A36443" s="17"/>
      <c r="H36443" s="18"/>
      <c r="K36443" s="18" t="s">
        <v>316</v>
      </c>
    </row>
    <row r="36444">
      <c r="A36444" s="17"/>
      <c r="H36444" s="18"/>
      <c r="K36444" s="18" t="s">
        <v>316</v>
      </c>
    </row>
    <row r="36445">
      <c r="A36445" s="17"/>
      <c r="H36445" s="18"/>
      <c r="K36445" s="18" t="s">
        <v>316</v>
      </c>
    </row>
    <row r="36446">
      <c r="A36446" s="17"/>
      <c r="H36446" s="18"/>
      <c r="K36446" s="18" t="s">
        <v>316</v>
      </c>
    </row>
    <row r="36447">
      <c r="A36447" s="17"/>
      <c r="H36447" s="18"/>
      <c r="K36447" s="18" t="s">
        <v>316</v>
      </c>
    </row>
    <row r="36448">
      <c r="A36448" s="17"/>
      <c r="H36448" s="18"/>
      <c r="K36448" s="18" t="s">
        <v>316</v>
      </c>
    </row>
    <row r="36449">
      <c r="A36449" s="17"/>
      <c r="H36449" s="18"/>
      <c r="K36449" s="18" t="s">
        <v>316</v>
      </c>
    </row>
    <row r="36450">
      <c r="A36450" s="17"/>
      <c r="H36450" s="18"/>
      <c r="K36450" s="18" t="s">
        <v>316</v>
      </c>
    </row>
    <row r="36451">
      <c r="A36451" s="17"/>
      <c r="H36451" s="18"/>
      <c r="K36451" s="18" t="s">
        <v>316</v>
      </c>
    </row>
    <row r="36452">
      <c r="A36452" s="17"/>
      <c r="H36452" s="18"/>
      <c r="K36452" s="18" t="s">
        <v>316</v>
      </c>
    </row>
    <row r="36453">
      <c r="A36453" s="17"/>
      <c r="H36453" s="18"/>
      <c r="K36453" s="18" t="s">
        <v>316</v>
      </c>
    </row>
    <row r="36454">
      <c r="A36454" s="17"/>
      <c r="H36454" s="18"/>
      <c r="K36454" s="18" t="s">
        <v>316</v>
      </c>
    </row>
    <row r="36455">
      <c r="A36455" s="17"/>
      <c r="H36455" s="18"/>
      <c r="K36455" s="18" t="s">
        <v>316</v>
      </c>
    </row>
    <row r="36456">
      <c r="A36456" s="17"/>
      <c r="H36456" s="18"/>
      <c r="K36456" s="18" t="s">
        <v>316</v>
      </c>
    </row>
    <row r="36457">
      <c r="A36457" s="17"/>
      <c r="H36457" s="18"/>
      <c r="K36457" s="18" t="s">
        <v>316</v>
      </c>
    </row>
    <row r="36458">
      <c r="A36458" s="17"/>
      <c r="H36458" s="18"/>
      <c r="K36458" s="18" t="s">
        <v>316</v>
      </c>
    </row>
    <row r="36459">
      <c r="A36459" s="17"/>
      <c r="H36459" s="18"/>
      <c r="K36459" s="18" t="s">
        <v>316</v>
      </c>
    </row>
    <row r="36460">
      <c r="A36460" s="17"/>
      <c r="H36460" s="18"/>
      <c r="K36460" s="18" t="s">
        <v>316</v>
      </c>
    </row>
    <row r="36461">
      <c r="A36461" s="17"/>
      <c r="H36461" s="18"/>
      <c r="K36461" s="18" t="s">
        <v>316</v>
      </c>
    </row>
    <row r="36462">
      <c r="A36462" s="17"/>
      <c r="H36462" s="18"/>
      <c r="K36462" s="18" t="s">
        <v>316</v>
      </c>
    </row>
    <row r="36463">
      <c r="A36463" s="17"/>
      <c r="H36463" s="18"/>
      <c r="K36463" s="18" t="s">
        <v>316</v>
      </c>
    </row>
    <row r="36464">
      <c r="A36464" s="17"/>
      <c r="H36464" s="18"/>
      <c r="K36464" s="18" t="s">
        <v>316</v>
      </c>
    </row>
    <row r="36465">
      <c r="A36465" s="17"/>
      <c r="H36465" s="18"/>
      <c r="K36465" s="18" t="s">
        <v>316</v>
      </c>
    </row>
    <row r="36466">
      <c r="A36466" s="17"/>
      <c r="H36466" s="18"/>
      <c r="K36466" s="18" t="s">
        <v>316</v>
      </c>
    </row>
    <row r="36467">
      <c r="A36467" s="17"/>
      <c r="H36467" s="18"/>
      <c r="K36467" s="18" t="s">
        <v>316</v>
      </c>
    </row>
    <row r="36468">
      <c r="A36468" s="17"/>
      <c r="H36468" s="18"/>
      <c r="K36468" s="18" t="s">
        <v>316</v>
      </c>
    </row>
    <row r="36469">
      <c r="A36469" s="17"/>
      <c r="H36469" s="18"/>
      <c r="K36469" s="18" t="s">
        <v>316</v>
      </c>
    </row>
    <row r="36470">
      <c r="A36470" s="17"/>
      <c r="H36470" s="18"/>
      <c r="K36470" s="18" t="s">
        <v>316</v>
      </c>
    </row>
    <row r="36471">
      <c r="A36471" s="17"/>
      <c r="H36471" s="18"/>
      <c r="K36471" s="18" t="s">
        <v>316</v>
      </c>
    </row>
    <row r="36472">
      <c r="A36472" s="17"/>
      <c r="H36472" s="18"/>
      <c r="K36472" s="18" t="s">
        <v>316</v>
      </c>
    </row>
    <row r="36473">
      <c r="A36473" s="17"/>
      <c r="H36473" s="18"/>
      <c r="K36473" s="18" t="s">
        <v>316</v>
      </c>
    </row>
    <row r="36474">
      <c r="A36474" s="17"/>
      <c r="H36474" s="18"/>
      <c r="K36474" s="18" t="s">
        <v>316</v>
      </c>
    </row>
    <row r="36475">
      <c r="A36475" s="17"/>
      <c r="H36475" s="18"/>
      <c r="K36475" s="18" t="s">
        <v>316</v>
      </c>
    </row>
    <row r="36476">
      <c r="A36476" s="17"/>
      <c r="H36476" s="18"/>
      <c r="K36476" s="18" t="s">
        <v>316</v>
      </c>
    </row>
    <row r="36477">
      <c r="A36477" s="17"/>
      <c r="H36477" s="18"/>
      <c r="K36477" s="18" t="s">
        <v>316</v>
      </c>
    </row>
    <row r="36478">
      <c r="A36478" s="17"/>
      <c r="H36478" s="18"/>
      <c r="K36478" s="18" t="s">
        <v>316</v>
      </c>
    </row>
    <row r="36479">
      <c r="A36479" s="17"/>
      <c r="H36479" s="18"/>
      <c r="K36479" s="18" t="s">
        <v>316</v>
      </c>
    </row>
    <row r="36480">
      <c r="A36480" s="17"/>
      <c r="H36480" s="18"/>
      <c r="K36480" s="18" t="s">
        <v>316</v>
      </c>
    </row>
    <row r="36481">
      <c r="A36481" s="17"/>
      <c r="H36481" s="18"/>
      <c r="K36481" s="18" t="s">
        <v>316</v>
      </c>
    </row>
    <row r="36482">
      <c r="A36482" s="17"/>
      <c r="H36482" s="18"/>
      <c r="K36482" s="18" t="s">
        <v>316</v>
      </c>
    </row>
    <row r="36483">
      <c r="A36483" s="17"/>
      <c r="H36483" s="18"/>
      <c r="K36483" s="18" t="s">
        <v>316</v>
      </c>
    </row>
    <row r="36484">
      <c r="A36484" s="17"/>
      <c r="H36484" s="18"/>
      <c r="K36484" s="18" t="s">
        <v>316</v>
      </c>
    </row>
    <row r="36485">
      <c r="A36485" s="17"/>
      <c r="H36485" s="18"/>
      <c r="K36485" s="18" t="s">
        <v>316</v>
      </c>
    </row>
    <row r="36486">
      <c r="A36486" s="17"/>
      <c r="H36486" s="18"/>
      <c r="K36486" s="18" t="s">
        <v>316</v>
      </c>
    </row>
    <row r="36487">
      <c r="A36487" s="17"/>
      <c r="H36487" s="18"/>
      <c r="K36487" s="18" t="s">
        <v>316</v>
      </c>
    </row>
    <row r="36488">
      <c r="A36488" s="17"/>
      <c r="H36488" s="18"/>
      <c r="K36488" s="18" t="s">
        <v>316</v>
      </c>
    </row>
    <row r="36489">
      <c r="A36489" s="17"/>
      <c r="H36489" s="18"/>
      <c r="K36489" s="18" t="s">
        <v>316</v>
      </c>
    </row>
    <row r="36490">
      <c r="A36490" s="17"/>
      <c r="H36490" s="18"/>
      <c r="K36490" s="18" t="s">
        <v>316</v>
      </c>
    </row>
    <row r="36491">
      <c r="A36491" s="17"/>
      <c r="H36491" s="18"/>
      <c r="K36491" s="18" t="s">
        <v>316</v>
      </c>
    </row>
    <row r="36492">
      <c r="A36492" s="17"/>
      <c r="H36492" s="18"/>
      <c r="K36492" s="18" t="s">
        <v>316</v>
      </c>
    </row>
    <row r="36493">
      <c r="A36493" s="17"/>
      <c r="H36493" s="18"/>
      <c r="K36493" s="18" t="s">
        <v>316</v>
      </c>
    </row>
    <row r="36494">
      <c r="A36494" s="17"/>
      <c r="H36494" s="18"/>
      <c r="K36494" s="18" t="s">
        <v>316</v>
      </c>
    </row>
    <row r="36495">
      <c r="A36495" s="17"/>
      <c r="H36495" s="18"/>
      <c r="K36495" s="18" t="s">
        <v>316</v>
      </c>
    </row>
    <row r="36496">
      <c r="A36496" s="17"/>
      <c r="H36496" s="18"/>
      <c r="K36496" s="18" t="s">
        <v>316</v>
      </c>
    </row>
    <row r="36497">
      <c r="A36497" s="17"/>
      <c r="H36497" s="18"/>
      <c r="K36497" s="18" t="s">
        <v>316</v>
      </c>
    </row>
    <row r="36498">
      <c r="A36498" s="17"/>
      <c r="H36498" s="18"/>
      <c r="K36498" s="18" t="s">
        <v>316</v>
      </c>
    </row>
    <row r="36499">
      <c r="A36499" s="17"/>
      <c r="H36499" s="18"/>
      <c r="K36499" s="18" t="s">
        <v>316</v>
      </c>
    </row>
    <row r="36500">
      <c r="A36500" s="17"/>
      <c r="H36500" s="18"/>
      <c r="K36500" s="18" t="s">
        <v>316</v>
      </c>
    </row>
    <row r="36501">
      <c r="A36501" s="17"/>
      <c r="H36501" s="18"/>
      <c r="K36501" s="18" t="s">
        <v>316</v>
      </c>
    </row>
    <row r="36502">
      <c r="A36502" s="17"/>
      <c r="H36502" s="18"/>
      <c r="K36502" s="18" t="s">
        <v>316</v>
      </c>
    </row>
    <row r="36503">
      <c r="A36503" s="17"/>
      <c r="H36503" s="18"/>
      <c r="K36503" s="18" t="s">
        <v>316</v>
      </c>
    </row>
    <row r="36504">
      <c r="A36504" s="17"/>
      <c r="H36504" s="18"/>
      <c r="K36504" s="18" t="s">
        <v>316</v>
      </c>
    </row>
    <row r="36505">
      <c r="A36505" s="17"/>
      <c r="H36505" s="18"/>
      <c r="K36505" s="18" t="s">
        <v>316</v>
      </c>
    </row>
    <row r="36506">
      <c r="A36506" s="17"/>
      <c r="H36506" s="18"/>
      <c r="K36506" s="18" t="s">
        <v>316</v>
      </c>
    </row>
    <row r="36507">
      <c r="A36507" s="17"/>
      <c r="H36507" s="18"/>
      <c r="K36507" s="18" t="s">
        <v>316</v>
      </c>
    </row>
    <row r="36508">
      <c r="A36508" s="17"/>
      <c r="H36508" s="18"/>
      <c r="K36508" s="18" t="s">
        <v>316</v>
      </c>
    </row>
    <row r="36509">
      <c r="A36509" s="17"/>
      <c r="H36509" s="18"/>
      <c r="K36509" s="18" t="s">
        <v>316</v>
      </c>
    </row>
    <row r="36510">
      <c r="A36510" s="17"/>
      <c r="H36510" s="18"/>
      <c r="K36510" s="18" t="s">
        <v>316</v>
      </c>
    </row>
    <row r="36511">
      <c r="A36511" s="17"/>
      <c r="H36511" s="18"/>
      <c r="K36511" s="18" t="s">
        <v>316</v>
      </c>
    </row>
    <row r="36512">
      <c r="A36512" s="17"/>
      <c r="H36512" s="18"/>
      <c r="K36512" s="18" t="s">
        <v>316</v>
      </c>
    </row>
    <row r="36513">
      <c r="A36513" s="17"/>
      <c r="H36513" s="18"/>
      <c r="K36513" s="18" t="s">
        <v>316</v>
      </c>
    </row>
    <row r="36514">
      <c r="A36514" s="17"/>
      <c r="H36514" s="18"/>
      <c r="K36514" s="18" t="s">
        <v>316</v>
      </c>
    </row>
    <row r="36515">
      <c r="A36515" s="17"/>
      <c r="H36515" s="18"/>
      <c r="K36515" s="18" t="s">
        <v>316</v>
      </c>
    </row>
    <row r="36516">
      <c r="A36516" s="17"/>
      <c r="H36516" s="18"/>
      <c r="K36516" s="18" t="s">
        <v>316</v>
      </c>
    </row>
    <row r="36517">
      <c r="A36517" s="17"/>
      <c r="H36517" s="18"/>
      <c r="K36517" s="18" t="s">
        <v>316</v>
      </c>
    </row>
    <row r="36518">
      <c r="A36518" s="17"/>
      <c r="H36518" s="18"/>
      <c r="K36518" s="18" t="s">
        <v>316</v>
      </c>
    </row>
    <row r="36519">
      <c r="A36519" s="17"/>
      <c r="H36519" s="18"/>
      <c r="K36519" s="18" t="s">
        <v>316</v>
      </c>
    </row>
    <row r="36520">
      <c r="A36520" s="17"/>
      <c r="H36520" s="18"/>
      <c r="K36520" s="18" t="s">
        <v>316</v>
      </c>
    </row>
    <row r="36521">
      <c r="A36521" s="17"/>
      <c r="H36521" s="18"/>
      <c r="K36521" s="18" t="s">
        <v>316</v>
      </c>
    </row>
    <row r="36522">
      <c r="A36522" s="17"/>
      <c r="H36522" s="18"/>
      <c r="K36522" s="18" t="s">
        <v>316</v>
      </c>
    </row>
    <row r="36523">
      <c r="A36523" s="17"/>
      <c r="H36523" s="18"/>
      <c r="K36523" s="18" t="s">
        <v>316</v>
      </c>
    </row>
    <row r="36524">
      <c r="A36524" s="17"/>
      <c r="H36524" s="18"/>
      <c r="K36524" s="18" t="s">
        <v>316</v>
      </c>
    </row>
    <row r="36525">
      <c r="A36525" s="17"/>
      <c r="H36525" s="18"/>
      <c r="K36525" s="18" t="s">
        <v>316</v>
      </c>
    </row>
    <row r="36526">
      <c r="A36526" s="17"/>
      <c r="H36526" s="18"/>
      <c r="K36526" s="18" t="s">
        <v>316</v>
      </c>
    </row>
    <row r="36527">
      <c r="A36527" s="17"/>
      <c r="H36527" s="18"/>
      <c r="K36527" s="18" t="s">
        <v>316</v>
      </c>
    </row>
    <row r="36528">
      <c r="A36528" s="17"/>
      <c r="H36528" s="18"/>
      <c r="K36528" s="18" t="s">
        <v>316</v>
      </c>
    </row>
    <row r="36529">
      <c r="A36529" s="17"/>
      <c r="H36529" s="18"/>
      <c r="K36529" s="18" t="s">
        <v>316</v>
      </c>
    </row>
    <row r="36530">
      <c r="A36530" s="17"/>
      <c r="H36530" s="18"/>
      <c r="K36530" s="18" t="s">
        <v>316</v>
      </c>
    </row>
    <row r="36531">
      <c r="A36531" s="17"/>
      <c r="H36531" s="18"/>
      <c r="K36531" s="18" t="s">
        <v>316</v>
      </c>
    </row>
    <row r="36532">
      <c r="A36532" s="17"/>
      <c r="H36532" s="18"/>
      <c r="K36532" s="18" t="s">
        <v>316</v>
      </c>
    </row>
    <row r="36533">
      <c r="A36533" s="17"/>
      <c r="H36533" s="18"/>
      <c r="K36533" s="18" t="s">
        <v>316</v>
      </c>
    </row>
    <row r="36534">
      <c r="A36534" s="17"/>
      <c r="H36534" s="18"/>
      <c r="K36534" s="18" t="s">
        <v>316</v>
      </c>
    </row>
    <row r="36535">
      <c r="A36535" s="17"/>
      <c r="H36535" s="18"/>
      <c r="K36535" s="18" t="s">
        <v>316</v>
      </c>
    </row>
    <row r="36536">
      <c r="A36536" s="17"/>
      <c r="H36536" s="18"/>
      <c r="K36536" s="18" t="s">
        <v>316</v>
      </c>
    </row>
    <row r="36537">
      <c r="A36537" s="17"/>
      <c r="H36537" s="18"/>
      <c r="K36537" s="18" t="s">
        <v>316</v>
      </c>
    </row>
    <row r="36538">
      <c r="A36538" s="17"/>
      <c r="H36538" s="18"/>
      <c r="K36538" s="18" t="s">
        <v>316</v>
      </c>
    </row>
    <row r="36539">
      <c r="A36539" s="17"/>
      <c r="H36539" s="18"/>
      <c r="K36539" s="18" t="s">
        <v>316</v>
      </c>
    </row>
    <row r="36540">
      <c r="A36540" s="17"/>
      <c r="H36540" s="18"/>
      <c r="K36540" s="18" t="s">
        <v>316</v>
      </c>
    </row>
    <row r="36541">
      <c r="A36541" s="17"/>
      <c r="H36541" s="18"/>
      <c r="K36541" s="18" t="s">
        <v>316</v>
      </c>
    </row>
    <row r="36542">
      <c r="A36542" s="17"/>
      <c r="H36542" s="18"/>
      <c r="K36542" s="18" t="s">
        <v>316</v>
      </c>
    </row>
    <row r="36543">
      <c r="A36543" s="17"/>
      <c r="H36543" s="18"/>
      <c r="K36543" s="18" t="s">
        <v>316</v>
      </c>
    </row>
    <row r="36544">
      <c r="A36544" s="17"/>
      <c r="H36544" s="18"/>
      <c r="K36544" s="18" t="s">
        <v>316</v>
      </c>
    </row>
    <row r="36545">
      <c r="A36545" s="17"/>
      <c r="H36545" s="18"/>
      <c r="K36545" s="18" t="s">
        <v>316</v>
      </c>
    </row>
    <row r="36546">
      <c r="A36546" s="17"/>
      <c r="H36546" s="18"/>
      <c r="K36546" s="18" t="s">
        <v>316</v>
      </c>
    </row>
    <row r="36547">
      <c r="A36547" s="17"/>
      <c r="H36547" s="18"/>
      <c r="K36547" s="18" t="s">
        <v>316</v>
      </c>
    </row>
    <row r="36548">
      <c r="A36548" s="17"/>
      <c r="H36548" s="18"/>
      <c r="K36548" s="18" t="s">
        <v>316</v>
      </c>
    </row>
    <row r="36549">
      <c r="A36549" s="17"/>
      <c r="H36549" s="18"/>
      <c r="K36549" s="18" t="s">
        <v>316</v>
      </c>
    </row>
    <row r="36550">
      <c r="A36550" s="17"/>
      <c r="H36550" s="18"/>
      <c r="K36550" s="18" t="s">
        <v>316</v>
      </c>
    </row>
    <row r="36551">
      <c r="A36551" s="17"/>
      <c r="H36551" s="18"/>
      <c r="K36551" s="18" t="s">
        <v>316</v>
      </c>
    </row>
    <row r="36552">
      <c r="A36552" s="17"/>
      <c r="H36552" s="18"/>
      <c r="K36552" s="18" t="s">
        <v>316</v>
      </c>
    </row>
    <row r="36553">
      <c r="A36553" s="17"/>
      <c r="H36553" s="18"/>
      <c r="K36553" s="18" t="s">
        <v>316</v>
      </c>
    </row>
    <row r="36554">
      <c r="A36554" s="17"/>
      <c r="H36554" s="18"/>
      <c r="K36554" s="18" t="s">
        <v>316</v>
      </c>
    </row>
    <row r="36555">
      <c r="A36555" s="17"/>
      <c r="H36555" s="18"/>
      <c r="K36555" s="18" t="s">
        <v>316</v>
      </c>
    </row>
    <row r="36556">
      <c r="A36556" s="17"/>
      <c r="H36556" s="18"/>
      <c r="K36556" s="18" t="s">
        <v>316</v>
      </c>
    </row>
    <row r="36557">
      <c r="A36557" s="17"/>
      <c r="H36557" s="18"/>
      <c r="K36557" s="18" t="s">
        <v>316</v>
      </c>
    </row>
    <row r="36558">
      <c r="A36558" s="17"/>
      <c r="H36558" s="18"/>
      <c r="K36558" s="18" t="s">
        <v>316</v>
      </c>
    </row>
    <row r="36559">
      <c r="A36559" s="17"/>
      <c r="H36559" s="18"/>
      <c r="K36559" s="18" t="s">
        <v>316</v>
      </c>
    </row>
    <row r="36560">
      <c r="A36560" s="17"/>
      <c r="H36560" s="18"/>
      <c r="K36560" s="18" t="s">
        <v>316</v>
      </c>
    </row>
    <row r="36561">
      <c r="A36561" s="17"/>
      <c r="H36561" s="18"/>
      <c r="K36561" s="18" t="s">
        <v>316</v>
      </c>
    </row>
    <row r="36562">
      <c r="A36562" s="17"/>
      <c r="H36562" s="18"/>
      <c r="K36562" s="18" t="s">
        <v>316</v>
      </c>
    </row>
    <row r="36563">
      <c r="A36563" s="17"/>
      <c r="H36563" s="18"/>
      <c r="K36563" s="18" t="s">
        <v>316</v>
      </c>
    </row>
    <row r="36564">
      <c r="A36564" s="17"/>
      <c r="H36564" s="18"/>
      <c r="K36564" s="18" t="s">
        <v>316</v>
      </c>
    </row>
    <row r="36565">
      <c r="A36565" s="17"/>
      <c r="H36565" s="18"/>
      <c r="K36565" s="18" t="s">
        <v>316</v>
      </c>
    </row>
    <row r="36566">
      <c r="A36566" s="17"/>
      <c r="H36566" s="18"/>
      <c r="K36566" s="18" t="s">
        <v>316</v>
      </c>
    </row>
    <row r="36567">
      <c r="A36567" s="17"/>
      <c r="H36567" s="18"/>
      <c r="K36567" s="18" t="s">
        <v>316</v>
      </c>
    </row>
    <row r="36568">
      <c r="A36568" s="17"/>
      <c r="H36568" s="18"/>
      <c r="K36568" s="18" t="s">
        <v>316</v>
      </c>
    </row>
    <row r="36569">
      <c r="A36569" s="17"/>
      <c r="H36569" s="18"/>
      <c r="K36569" s="18" t="s">
        <v>316</v>
      </c>
    </row>
    <row r="36570">
      <c r="A36570" s="17"/>
      <c r="H36570" s="18"/>
      <c r="K36570" s="18" t="s">
        <v>316</v>
      </c>
    </row>
    <row r="36571">
      <c r="A36571" s="17"/>
      <c r="H36571" s="18"/>
      <c r="K36571" s="18" t="s">
        <v>316</v>
      </c>
    </row>
    <row r="36572">
      <c r="A36572" s="17"/>
      <c r="H36572" s="18"/>
      <c r="K36572" s="18" t="s">
        <v>316</v>
      </c>
    </row>
    <row r="36573">
      <c r="A36573" s="17"/>
      <c r="H36573" s="18"/>
      <c r="K36573" s="18" t="s">
        <v>316</v>
      </c>
    </row>
    <row r="36574">
      <c r="A36574" s="17"/>
      <c r="H36574" s="18"/>
      <c r="K36574" s="18" t="s">
        <v>316</v>
      </c>
    </row>
    <row r="36575">
      <c r="A36575" s="17"/>
      <c r="H36575" s="18"/>
      <c r="K36575" s="18" t="s">
        <v>316</v>
      </c>
    </row>
    <row r="36576">
      <c r="A36576" s="17"/>
      <c r="H36576" s="18"/>
      <c r="K36576" s="18" t="s">
        <v>316</v>
      </c>
    </row>
    <row r="36577">
      <c r="A36577" s="17"/>
      <c r="H36577" s="18"/>
      <c r="K36577" s="18" t="s">
        <v>316</v>
      </c>
    </row>
    <row r="36578">
      <c r="A36578" s="17"/>
      <c r="H36578" s="18"/>
      <c r="K36578" s="18" t="s">
        <v>316</v>
      </c>
    </row>
    <row r="36579">
      <c r="A36579" s="17"/>
      <c r="H36579" s="18"/>
      <c r="K36579" s="18" t="s">
        <v>316</v>
      </c>
    </row>
    <row r="36580">
      <c r="A36580" s="17"/>
      <c r="H36580" s="18"/>
      <c r="K36580" s="18" t="s">
        <v>316</v>
      </c>
    </row>
    <row r="36581">
      <c r="A36581" s="17"/>
      <c r="H36581" s="18"/>
      <c r="K36581" s="18" t="s">
        <v>316</v>
      </c>
    </row>
    <row r="36582">
      <c r="A36582" s="17"/>
      <c r="H36582" s="18"/>
      <c r="K36582" s="18" t="s">
        <v>316</v>
      </c>
    </row>
    <row r="36583">
      <c r="A36583" s="17"/>
      <c r="H36583" s="18"/>
      <c r="K36583" s="18" t="s">
        <v>316</v>
      </c>
    </row>
    <row r="36584">
      <c r="A36584" s="17"/>
      <c r="H36584" s="18"/>
      <c r="K36584" s="18" t="s">
        <v>316</v>
      </c>
    </row>
    <row r="36585">
      <c r="A36585" s="17"/>
      <c r="H36585" s="18"/>
      <c r="K36585" s="18" t="s">
        <v>316</v>
      </c>
    </row>
    <row r="36586">
      <c r="A36586" s="17"/>
      <c r="H36586" s="18"/>
      <c r="K36586" s="18" t="s">
        <v>316</v>
      </c>
    </row>
    <row r="36587">
      <c r="A36587" s="17"/>
      <c r="H36587" s="18"/>
      <c r="K36587" s="18" t="s">
        <v>316</v>
      </c>
    </row>
    <row r="36588">
      <c r="A36588" s="17"/>
      <c r="H36588" s="18"/>
      <c r="K36588" s="18" t="s">
        <v>316</v>
      </c>
    </row>
    <row r="36589">
      <c r="A36589" s="17"/>
      <c r="H36589" s="18"/>
      <c r="K36589" s="18" t="s">
        <v>316</v>
      </c>
    </row>
    <row r="36590">
      <c r="A36590" s="17"/>
      <c r="H36590" s="18"/>
      <c r="K36590" s="18" t="s">
        <v>316</v>
      </c>
    </row>
    <row r="36591">
      <c r="A36591" s="17"/>
      <c r="H36591" s="18"/>
      <c r="K36591" s="18" t="s">
        <v>316</v>
      </c>
    </row>
    <row r="36592">
      <c r="A36592" s="17"/>
      <c r="H36592" s="18"/>
      <c r="K36592" s="18" t="s">
        <v>316</v>
      </c>
    </row>
    <row r="36593">
      <c r="A36593" s="17"/>
      <c r="H36593" s="18"/>
      <c r="K36593" s="18" t="s">
        <v>316</v>
      </c>
    </row>
    <row r="36594">
      <c r="A36594" s="17"/>
      <c r="H36594" s="18"/>
      <c r="K36594" s="18" t="s">
        <v>316</v>
      </c>
    </row>
    <row r="36595">
      <c r="A36595" s="17"/>
      <c r="H36595" s="18"/>
      <c r="K36595" s="18" t="s">
        <v>316</v>
      </c>
    </row>
    <row r="36596">
      <c r="A36596" s="17"/>
      <c r="H36596" s="18"/>
      <c r="K36596" s="18" t="s">
        <v>316</v>
      </c>
    </row>
    <row r="36597">
      <c r="A36597" s="17"/>
      <c r="H36597" s="18"/>
      <c r="K36597" s="18" t="s">
        <v>316</v>
      </c>
    </row>
    <row r="36598">
      <c r="A36598" s="17"/>
      <c r="H36598" s="18"/>
      <c r="K36598" s="18" t="s">
        <v>316</v>
      </c>
    </row>
    <row r="36599">
      <c r="A36599" s="17"/>
      <c r="H36599" s="18"/>
      <c r="K36599" s="18" t="s">
        <v>316</v>
      </c>
    </row>
    <row r="36600">
      <c r="A36600" s="17"/>
      <c r="H36600" s="18"/>
      <c r="K36600" s="18" t="s">
        <v>316</v>
      </c>
    </row>
    <row r="36601">
      <c r="A36601" s="17"/>
      <c r="H36601" s="18"/>
      <c r="K36601" s="18" t="s">
        <v>316</v>
      </c>
    </row>
    <row r="36602">
      <c r="A36602" s="17"/>
      <c r="H36602" s="18"/>
      <c r="K36602" s="18" t="s">
        <v>316</v>
      </c>
    </row>
    <row r="36603">
      <c r="A36603" s="17"/>
      <c r="H36603" s="18"/>
      <c r="K36603" s="18" t="s">
        <v>316</v>
      </c>
    </row>
    <row r="36604">
      <c r="A36604" s="17"/>
      <c r="H36604" s="18"/>
      <c r="K36604" s="18" t="s">
        <v>316</v>
      </c>
    </row>
    <row r="36605">
      <c r="A36605" s="17"/>
      <c r="H36605" s="18"/>
      <c r="K36605" s="18" t="s">
        <v>316</v>
      </c>
    </row>
    <row r="36606">
      <c r="A36606" s="17"/>
      <c r="H36606" s="18"/>
      <c r="K36606" s="18" t="s">
        <v>316</v>
      </c>
    </row>
    <row r="36607">
      <c r="A36607" s="17"/>
      <c r="H36607" s="18"/>
      <c r="K36607" s="18" t="s">
        <v>316</v>
      </c>
    </row>
    <row r="36608">
      <c r="A36608" s="17"/>
      <c r="H36608" s="18"/>
      <c r="K36608" s="18" t="s">
        <v>316</v>
      </c>
    </row>
    <row r="36609">
      <c r="A36609" s="17"/>
      <c r="H36609" s="18"/>
      <c r="K36609" s="18" t="s">
        <v>316</v>
      </c>
    </row>
    <row r="36610">
      <c r="A36610" s="17"/>
      <c r="H36610" s="18"/>
      <c r="K36610" s="18" t="s">
        <v>316</v>
      </c>
    </row>
    <row r="36611">
      <c r="A36611" s="17"/>
      <c r="H36611" s="18"/>
      <c r="K36611" s="18" t="s">
        <v>316</v>
      </c>
    </row>
    <row r="36612">
      <c r="A36612" s="17"/>
      <c r="H36612" s="18"/>
      <c r="K36612" s="18" t="s">
        <v>316</v>
      </c>
    </row>
    <row r="36613">
      <c r="A36613" s="17"/>
      <c r="H36613" s="18"/>
      <c r="K36613" s="18" t="s">
        <v>316</v>
      </c>
    </row>
    <row r="36614">
      <c r="A36614" s="17"/>
      <c r="H36614" s="18"/>
      <c r="K36614" s="18" t="s">
        <v>316</v>
      </c>
    </row>
    <row r="36615">
      <c r="A36615" s="17"/>
      <c r="H36615" s="18"/>
      <c r="K36615" s="18" t="s">
        <v>316</v>
      </c>
    </row>
    <row r="36616">
      <c r="A36616" s="17"/>
      <c r="H36616" s="18"/>
      <c r="K36616" s="18" t="s">
        <v>316</v>
      </c>
    </row>
    <row r="36617">
      <c r="A36617" s="17"/>
      <c r="H36617" s="18"/>
      <c r="K36617" s="18" t="s">
        <v>316</v>
      </c>
    </row>
    <row r="36618">
      <c r="A36618" s="17"/>
      <c r="H36618" s="18"/>
      <c r="K36618" s="18" t="s">
        <v>316</v>
      </c>
    </row>
    <row r="36619">
      <c r="A36619" s="17"/>
      <c r="H36619" s="18"/>
      <c r="K36619" s="18" t="s">
        <v>316</v>
      </c>
    </row>
    <row r="36620">
      <c r="A36620" s="17"/>
      <c r="H36620" s="18"/>
      <c r="K36620" s="18" t="s">
        <v>316</v>
      </c>
    </row>
    <row r="36621">
      <c r="A36621" s="17"/>
      <c r="H36621" s="18"/>
      <c r="K36621" s="18" t="s">
        <v>316</v>
      </c>
    </row>
    <row r="36622">
      <c r="A36622" s="17"/>
      <c r="H36622" s="18"/>
      <c r="K36622" s="18" t="s">
        <v>316</v>
      </c>
    </row>
    <row r="36623">
      <c r="A36623" s="17"/>
      <c r="H36623" s="18"/>
      <c r="K36623" s="18" t="s">
        <v>316</v>
      </c>
    </row>
    <row r="36624">
      <c r="A36624" s="17"/>
      <c r="H36624" s="18"/>
      <c r="K36624" s="18" t="s">
        <v>316</v>
      </c>
    </row>
    <row r="36625">
      <c r="A36625" s="17"/>
      <c r="H36625" s="18"/>
      <c r="K36625" s="18" t="s">
        <v>316</v>
      </c>
    </row>
    <row r="36626">
      <c r="A36626" s="17"/>
      <c r="H36626" s="18"/>
      <c r="K36626" s="18" t="s">
        <v>316</v>
      </c>
    </row>
    <row r="36627">
      <c r="A36627" s="17"/>
      <c r="H36627" s="18"/>
      <c r="K36627" s="18" t="s">
        <v>316</v>
      </c>
    </row>
    <row r="36628">
      <c r="A36628" s="17"/>
      <c r="H36628" s="18"/>
      <c r="K36628" s="18" t="s">
        <v>316</v>
      </c>
    </row>
    <row r="36629">
      <c r="A36629" s="17"/>
      <c r="H36629" s="18"/>
      <c r="K36629" s="18" t="s">
        <v>316</v>
      </c>
    </row>
    <row r="36630">
      <c r="A36630" s="17"/>
      <c r="H36630" s="18"/>
      <c r="K36630" s="18" t="s">
        <v>316</v>
      </c>
    </row>
    <row r="36631">
      <c r="A36631" s="17"/>
      <c r="H36631" s="18"/>
      <c r="K36631" s="18" t="s">
        <v>316</v>
      </c>
    </row>
    <row r="36632">
      <c r="A36632" s="17"/>
      <c r="H36632" s="18"/>
      <c r="K36632" s="18" t="s">
        <v>316</v>
      </c>
    </row>
    <row r="36633">
      <c r="A36633" s="17"/>
      <c r="H36633" s="18"/>
      <c r="K36633" s="18" t="s">
        <v>316</v>
      </c>
    </row>
    <row r="36634">
      <c r="A36634" s="17"/>
      <c r="H36634" s="18"/>
      <c r="K36634" s="18" t="s">
        <v>316</v>
      </c>
    </row>
    <row r="36635">
      <c r="A36635" s="17"/>
      <c r="H36635" s="18"/>
      <c r="K36635" s="18" t="s">
        <v>316</v>
      </c>
    </row>
    <row r="36636">
      <c r="A36636" s="17"/>
      <c r="H36636" s="18"/>
      <c r="K36636" s="18" t="s">
        <v>316</v>
      </c>
    </row>
    <row r="36637">
      <c r="A36637" s="17"/>
      <c r="H36637" s="18"/>
      <c r="K36637" s="18" t="s">
        <v>316</v>
      </c>
    </row>
    <row r="36638">
      <c r="A36638" s="17"/>
      <c r="H36638" s="18"/>
      <c r="K36638" s="18" t="s">
        <v>316</v>
      </c>
    </row>
    <row r="36639">
      <c r="A36639" s="17"/>
      <c r="H36639" s="18"/>
      <c r="K36639" s="18" t="s">
        <v>316</v>
      </c>
    </row>
    <row r="36640">
      <c r="A36640" s="17"/>
      <c r="H36640" s="18"/>
      <c r="K36640" s="18" t="s">
        <v>316</v>
      </c>
    </row>
    <row r="36641">
      <c r="A36641" s="17"/>
      <c r="H36641" s="18"/>
      <c r="K36641" s="18" t="s">
        <v>316</v>
      </c>
    </row>
    <row r="36642">
      <c r="A36642" s="17"/>
      <c r="H36642" s="18"/>
      <c r="K36642" s="18" t="s">
        <v>316</v>
      </c>
    </row>
    <row r="36643">
      <c r="A36643" s="17"/>
      <c r="H36643" s="18"/>
      <c r="K36643" s="18" t="s">
        <v>316</v>
      </c>
    </row>
    <row r="36644">
      <c r="A36644" s="17"/>
      <c r="H36644" s="18"/>
      <c r="K36644" s="18" t="s">
        <v>316</v>
      </c>
    </row>
    <row r="36645">
      <c r="A36645" s="17"/>
      <c r="H36645" s="18"/>
      <c r="K36645" s="18" t="s">
        <v>316</v>
      </c>
    </row>
    <row r="36646">
      <c r="A36646" s="17"/>
      <c r="H36646" s="18"/>
      <c r="K36646" s="18" t="s">
        <v>316</v>
      </c>
    </row>
    <row r="36647">
      <c r="A36647" s="17"/>
      <c r="H36647" s="18"/>
      <c r="K36647" s="18" t="s">
        <v>316</v>
      </c>
    </row>
    <row r="36648">
      <c r="A36648" s="17"/>
      <c r="H36648" s="18"/>
      <c r="K36648" s="18" t="s">
        <v>316</v>
      </c>
    </row>
    <row r="36649">
      <c r="A36649" s="17"/>
      <c r="H36649" s="18"/>
      <c r="K36649" s="18" t="s">
        <v>316</v>
      </c>
    </row>
    <row r="36650">
      <c r="A36650" s="17"/>
      <c r="H36650" s="18"/>
      <c r="K36650" s="18" t="s">
        <v>316</v>
      </c>
    </row>
    <row r="36651">
      <c r="A36651" s="17"/>
      <c r="H36651" s="18"/>
      <c r="K36651" s="18" t="s">
        <v>316</v>
      </c>
    </row>
    <row r="36652">
      <c r="A36652" s="17"/>
      <c r="H36652" s="18"/>
      <c r="K36652" s="18" t="s">
        <v>316</v>
      </c>
    </row>
    <row r="36653">
      <c r="A36653" s="17"/>
      <c r="H36653" s="18"/>
      <c r="K36653" s="18" t="s">
        <v>316</v>
      </c>
    </row>
    <row r="36654">
      <c r="A36654" s="17"/>
      <c r="H36654" s="18"/>
      <c r="K36654" s="18" t="s">
        <v>316</v>
      </c>
    </row>
    <row r="36655">
      <c r="A36655" s="17"/>
      <c r="H36655" s="18"/>
      <c r="K36655" s="18" t="s">
        <v>316</v>
      </c>
    </row>
    <row r="36656">
      <c r="A36656" s="17"/>
      <c r="H36656" s="18"/>
      <c r="K36656" s="18" t="s">
        <v>316</v>
      </c>
    </row>
    <row r="36657">
      <c r="A36657" s="17"/>
      <c r="H36657" s="18"/>
      <c r="K36657" s="18" t="s">
        <v>316</v>
      </c>
    </row>
    <row r="36658">
      <c r="A36658" s="17"/>
      <c r="H36658" s="18"/>
      <c r="K36658" s="18" t="s">
        <v>316</v>
      </c>
    </row>
    <row r="36659">
      <c r="A36659" s="17"/>
      <c r="H36659" s="18"/>
      <c r="K36659" s="18" t="s">
        <v>316</v>
      </c>
    </row>
    <row r="36660">
      <c r="A36660" s="17"/>
      <c r="H36660" s="18"/>
      <c r="K36660" s="18" t="s">
        <v>316</v>
      </c>
    </row>
    <row r="36661">
      <c r="A36661" s="17"/>
      <c r="H36661" s="18"/>
      <c r="K36661" s="18" t="s">
        <v>316</v>
      </c>
    </row>
    <row r="36662">
      <c r="A36662" s="17"/>
      <c r="H36662" s="18"/>
      <c r="K36662" s="18" t="s">
        <v>316</v>
      </c>
    </row>
    <row r="36663">
      <c r="A36663" s="17"/>
      <c r="H36663" s="18"/>
      <c r="K36663" s="18" t="s">
        <v>316</v>
      </c>
    </row>
    <row r="36664">
      <c r="A36664" s="17"/>
      <c r="H36664" s="18"/>
      <c r="K36664" s="18" t="s">
        <v>316</v>
      </c>
    </row>
    <row r="36665">
      <c r="A36665" s="17"/>
      <c r="H36665" s="18"/>
      <c r="K36665" s="18" t="s">
        <v>316</v>
      </c>
    </row>
    <row r="36666">
      <c r="A36666" s="17"/>
      <c r="H36666" s="18"/>
      <c r="K36666" s="18" t="s">
        <v>316</v>
      </c>
    </row>
    <row r="36667">
      <c r="A36667" s="17"/>
      <c r="H36667" s="18"/>
      <c r="K36667" s="18" t="s">
        <v>316</v>
      </c>
    </row>
    <row r="36668">
      <c r="A36668" s="17"/>
      <c r="H36668" s="18"/>
      <c r="K36668" s="18" t="s">
        <v>316</v>
      </c>
    </row>
    <row r="36669">
      <c r="A36669" s="17"/>
      <c r="H36669" s="18"/>
      <c r="K36669" s="18" t="s">
        <v>316</v>
      </c>
    </row>
    <row r="36670">
      <c r="A36670" s="17"/>
      <c r="H36670" s="18"/>
      <c r="K36670" s="18" t="s">
        <v>316</v>
      </c>
    </row>
    <row r="36671">
      <c r="A36671" s="17"/>
      <c r="H36671" s="18"/>
      <c r="K36671" s="18" t="s">
        <v>316</v>
      </c>
    </row>
    <row r="36672">
      <c r="A36672" s="17"/>
      <c r="H36672" s="18"/>
      <c r="K36672" s="18" t="s">
        <v>316</v>
      </c>
    </row>
    <row r="36673">
      <c r="A36673" s="17"/>
      <c r="H36673" s="18"/>
      <c r="K36673" s="18" t="s">
        <v>316</v>
      </c>
    </row>
    <row r="36674">
      <c r="A36674" s="17"/>
      <c r="H36674" s="18"/>
      <c r="K36674" s="18" t="s">
        <v>316</v>
      </c>
    </row>
    <row r="36675">
      <c r="A36675" s="17"/>
      <c r="H36675" s="18"/>
      <c r="K36675" s="18" t="s">
        <v>316</v>
      </c>
    </row>
    <row r="36676">
      <c r="A36676" s="17"/>
      <c r="H36676" s="18"/>
      <c r="K36676" s="18" t="s">
        <v>316</v>
      </c>
    </row>
    <row r="36677">
      <c r="A36677" s="17"/>
      <c r="H36677" s="18"/>
      <c r="K36677" s="18" t="s">
        <v>316</v>
      </c>
    </row>
    <row r="36678">
      <c r="A36678" s="17"/>
      <c r="H36678" s="18"/>
      <c r="K36678" s="18" t="s">
        <v>316</v>
      </c>
    </row>
    <row r="36679">
      <c r="A36679" s="17"/>
      <c r="H36679" s="18"/>
      <c r="K36679" s="18" t="s">
        <v>316</v>
      </c>
    </row>
    <row r="36680">
      <c r="A36680" s="17"/>
      <c r="H36680" s="18"/>
      <c r="K36680" s="18" t="s">
        <v>316</v>
      </c>
    </row>
    <row r="36681">
      <c r="A36681" s="17"/>
      <c r="H36681" s="18"/>
      <c r="K36681" s="18" t="s">
        <v>316</v>
      </c>
    </row>
    <row r="36682">
      <c r="A36682" s="17"/>
      <c r="H36682" s="18"/>
      <c r="K36682" s="18" t="s">
        <v>316</v>
      </c>
    </row>
    <row r="36683">
      <c r="A36683" s="17"/>
      <c r="H36683" s="18"/>
      <c r="K36683" s="18" t="s">
        <v>316</v>
      </c>
    </row>
    <row r="36684">
      <c r="A36684" s="17"/>
      <c r="H36684" s="18"/>
      <c r="K36684" s="18" t="s">
        <v>316</v>
      </c>
    </row>
    <row r="36685">
      <c r="A36685" s="17"/>
      <c r="H36685" s="18"/>
      <c r="K36685" s="18" t="s">
        <v>316</v>
      </c>
    </row>
    <row r="36686">
      <c r="A36686" s="17"/>
      <c r="H36686" s="18"/>
      <c r="K36686" s="18" t="s">
        <v>316</v>
      </c>
    </row>
    <row r="36687">
      <c r="A36687" s="17"/>
      <c r="H36687" s="18"/>
      <c r="K36687" s="18" t="s">
        <v>316</v>
      </c>
    </row>
    <row r="36688">
      <c r="A36688" s="17"/>
      <c r="H36688" s="18"/>
      <c r="K36688" s="18" t="s">
        <v>316</v>
      </c>
    </row>
    <row r="36689">
      <c r="A36689" s="17"/>
      <c r="H36689" s="18"/>
      <c r="K36689" s="18" t="s">
        <v>316</v>
      </c>
    </row>
    <row r="36690">
      <c r="A36690" s="17"/>
      <c r="H36690" s="18"/>
      <c r="K36690" s="18" t="s">
        <v>316</v>
      </c>
    </row>
    <row r="36691">
      <c r="A36691" s="17"/>
      <c r="H36691" s="18"/>
      <c r="K36691" s="18" t="s">
        <v>316</v>
      </c>
    </row>
    <row r="36692">
      <c r="A36692" s="17"/>
      <c r="H36692" s="18"/>
      <c r="K36692" s="18" t="s">
        <v>316</v>
      </c>
    </row>
    <row r="36693">
      <c r="A36693" s="17"/>
      <c r="H36693" s="18"/>
      <c r="K36693" s="18" t="s">
        <v>316</v>
      </c>
    </row>
    <row r="36694">
      <c r="A36694" s="17"/>
      <c r="H36694" s="18"/>
      <c r="K36694" s="18" t="s">
        <v>316</v>
      </c>
    </row>
    <row r="36695">
      <c r="A36695" s="17"/>
      <c r="H36695" s="18"/>
      <c r="K36695" s="18" t="s">
        <v>316</v>
      </c>
    </row>
    <row r="36696">
      <c r="A36696" s="17"/>
      <c r="H36696" s="18"/>
      <c r="K36696" s="18" t="s">
        <v>316</v>
      </c>
    </row>
    <row r="36697">
      <c r="A36697" s="17"/>
      <c r="H36697" s="18"/>
      <c r="K36697" s="18" t="s">
        <v>316</v>
      </c>
    </row>
    <row r="36698">
      <c r="A36698" s="17"/>
      <c r="H36698" s="18"/>
      <c r="K36698" s="18" t="s">
        <v>316</v>
      </c>
    </row>
    <row r="36699">
      <c r="A36699" s="17"/>
      <c r="H36699" s="18"/>
      <c r="K36699" s="18" t="s">
        <v>316</v>
      </c>
    </row>
    <row r="36700">
      <c r="A36700" s="17"/>
      <c r="H36700" s="18"/>
      <c r="K36700" s="18" t="s">
        <v>316</v>
      </c>
    </row>
    <row r="36701">
      <c r="A36701" s="17"/>
      <c r="H36701" s="18"/>
      <c r="K36701" s="18" t="s">
        <v>316</v>
      </c>
    </row>
    <row r="36702">
      <c r="A36702" s="17"/>
      <c r="H36702" s="18"/>
      <c r="K36702" s="18" t="s">
        <v>316</v>
      </c>
    </row>
    <row r="36703">
      <c r="A36703" s="17"/>
      <c r="H36703" s="18"/>
      <c r="K36703" s="18" t="s">
        <v>316</v>
      </c>
    </row>
    <row r="36704">
      <c r="A36704" s="17"/>
      <c r="H36704" s="18"/>
      <c r="K36704" s="18" t="s">
        <v>316</v>
      </c>
    </row>
    <row r="36705">
      <c r="A36705" s="17"/>
      <c r="H36705" s="18"/>
      <c r="K36705" s="18" t="s">
        <v>316</v>
      </c>
    </row>
    <row r="36706">
      <c r="A36706" s="17"/>
      <c r="H36706" s="18"/>
      <c r="K36706" s="18" t="s">
        <v>316</v>
      </c>
    </row>
    <row r="36707">
      <c r="A36707" s="17"/>
      <c r="H36707" s="18"/>
      <c r="K36707" s="18" t="s">
        <v>316</v>
      </c>
    </row>
    <row r="36708">
      <c r="A36708" s="17"/>
      <c r="H36708" s="18"/>
      <c r="K36708" s="18" t="s">
        <v>316</v>
      </c>
    </row>
    <row r="36709">
      <c r="A36709" s="17"/>
      <c r="H36709" s="18"/>
      <c r="K36709" s="18" t="s">
        <v>316</v>
      </c>
    </row>
    <row r="36710">
      <c r="A36710" s="17"/>
      <c r="H36710" s="18"/>
      <c r="K36710" s="18" t="s">
        <v>316</v>
      </c>
    </row>
    <row r="36711">
      <c r="A36711" s="17"/>
      <c r="H36711" s="18"/>
      <c r="K36711" s="18" t="s">
        <v>316</v>
      </c>
    </row>
    <row r="36712">
      <c r="A36712" s="17"/>
      <c r="H36712" s="18"/>
      <c r="K36712" s="18" t="s">
        <v>316</v>
      </c>
    </row>
    <row r="36713">
      <c r="A36713" s="17"/>
      <c r="H36713" s="18"/>
      <c r="K36713" s="18" t="s">
        <v>316</v>
      </c>
    </row>
    <row r="36714">
      <c r="A36714" s="17"/>
      <c r="H36714" s="18"/>
      <c r="K36714" s="18" t="s">
        <v>316</v>
      </c>
    </row>
    <row r="36715">
      <c r="A36715" s="17"/>
      <c r="H36715" s="18"/>
      <c r="K36715" s="18" t="s">
        <v>316</v>
      </c>
    </row>
    <row r="36716">
      <c r="A36716" s="17"/>
      <c r="H36716" s="18"/>
      <c r="K36716" s="18" t="s">
        <v>316</v>
      </c>
    </row>
    <row r="36717">
      <c r="A36717" s="17"/>
      <c r="H36717" s="18"/>
      <c r="K36717" s="18" t="s">
        <v>316</v>
      </c>
    </row>
    <row r="36718">
      <c r="A36718" s="17"/>
      <c r="H36718" s="18"/>
      <c r="K36718" s="18" t="s">
        <v>316</v>
      </c>
    </row>
    <row r="36719">
      <c r="A36719" s="17"/>
      <c r="H36719" s="18"/>
      <c r="K36719" s="18" t="s">
        <v>316</v>
      </c>
    </row>
    <row r="36720">
      <c r="A36720" s="17"/>
      <c r="H36720" s="18"/>
      <c r="K36720" s="18" t="s">
        <v>316</v>
      </c>
    </row>
    <row r="36721">
      <c r="A36721" s="17"/>
      <c r="H36721" s="18"/>
      <c r="K36721" s="18" t="s">
        <v>316</v>
      </c>
    </row>
    <row r="36722">
      <c r="A36722" s="17"/>
      <c r="H36722" s="18"/>
      <c r="K36722" s="18" t="s">
        <v>316</v>
      </c>
    </row>
    <row r="36723">
      <c r="A36723" s="17"/>
      <c r="H36723" s="18"/>
      <c r="K36723" s="18" t="s">
        <v>316</v>
      </c>
    </row>
    <row r="36724">
      <c r="A36724" s="17"/>
      <c r="H36724" s="18"/>
      <c r="K36724" s="18" t="s">
        <v>316</v>
      </c>
    </row>
    <row r="36725">
      <c r="A36725" s="17"/>
      <c r="H36725" s="18"/>
      <c r="K36725" s="18" t="s">
        <v>316</v>
      </c>
    </row>
    <row r="36726">
      <c r="A36726" s="17"/>
      <c r="H36726" s="18"/>
      <c r="K36726" s="18" t="s">
        <v>316</v>
      </c>
    </row>
    <row r="36727">
      <c r="A36727" s="17"/>
      <c r="H36727" s="18"/>
      <c r="K36727" s="18" t="s">
        <v>316</v>
      </c>
    </row>
    <row r="36728">
      <c r="A36728" s="17"/>
      <c r="H36728" s="18"/>
      <c r="K36728" s="18" t="s">
        <v>316</v>
      </c>
    </row>
    <row r="36729">
      <c r="A36729" s="17"/>
      <c r="H36729" s="18"/>
      <c r="K36729" s="18" t="s">
        <v>316</v>
      </c>
    </row>
    <row r="36730">
      <c r="A36730" s="17"/>
      <c r="H36730" s="18"/>
      <c r="K36730" s="18" t="s">
        <v>316</v>
      </c>
    </row>
    <row r="36731">
      <c r="A36731" s="17"/>
      <c r="H36731" s="18"/>
      <c r="K36731" s="18" t="s">
        <v>316</v>
      </c>
    </row>
    <row r="36732">
      <c r="A36732" s="17"/>
      <c r="H36732" s="18"/>
      <c r="K36732" s="18" t="s">
        <v>316</v>
      </c>
    </row>
    <row r="36733">
      <c r="A36733" s="17"/>
      <c r="H36733" s="18"/>
      <c r="K36733" s="18" t="s">
        <v>316</v>
      </c>
    </row>
    <row r="36734">
      <c r="A36734" s="17"/>
      <c r="H36734" s="18"/>
      <c r="K36734" s="18" t="s">
        <v>316</v>
      </c>
    </row>
    <row r="36735">
      <c r="A36735" s="17"/>
      <c r="H36735" s="18"/>
      <c r="K36735" s="18" t="s">
        <v>316</v>
      </c>
    </row>
    <row r="36736">
      <c r="A36736" s="17"/>
      <c r="H36736" s="18"/>
      <c r="K36736" s="18" t="s">
        <v>316</v>
      </c>
    </row>
    <row r="36737">
      <c r="A36737" s="17"/>
      <c r="H36737" s="18"/>
      <c r="K36737" s="18" t="s">
        <v>316</v>
      </c>
    </row>
    <row r="36738">
      <c r="A36738" s="17"/>
      <c r="H36738" s="18"/>
      <c r="K36738" s="18" t="s">
        <v>316</v>
      </c>
    </row>
    <row r="36739">
      <c r="A36739" s="17"/>
      <c r="H36739" s="18"/>
      <c r="K36739" s="18" t="s">
        <v>316</v>
      </c>
    </row>
    <row r="36740">
      <c r="A36740" s="17"/>
      <c r="H36740" s="18"/>
      <c r="K36740" s="18" t="s">
        <v>316</v>
      </c>
    </row>
    <row r="36741">
      <c r="A36741" s="17"/>
      <c r="H36741" s="18"/>
      <c r="K36741" s="18" t="s">
        <v>316</v>
      </c>
    </row>
    <row r="36742">
      <c r="A36742" s="17"/>
      <c r="H36742" s="18"/>
      <c r="K36742" s="18" t="s">
        <v>316</v>
      </c>
    </row>
    <row r="36743">
      <c r="A36743" s="17"/>
      <c r="H36743" s="18"/>
      <c r="K36743" s="18" t="s">
        <v>316</v>
      </c>
    </row>
    <row r="36744">
      <c r="A36744" s="17"/>
      <c r="H36744" s="18"/>
      <c r="K36744" s="18" t="s">
        <v>316</v>
      </c>
    </row>
    <row r="36745">
      <c r="A36745" s="17"/>
      <c r="H36745" s="18"/>
      <c r="K36745" s="18" t="s">
        <v>316</v>
      </c>
    </row>
    <row r="36746">
      <c r="A36746" s="17"/>
      <c r="H36746" s="18"/>
      <c r="K36746" s="18" t="s">
        <v>316</v>
      </c>
    </row>
    <row r="36747">
      <c r="A36747" s="17"/>
      <c r="H36747" s="18"/>
      <c r="K36747" s="18" t="s">
        <v>316</v>
      </c>
    </row>
    <row r="36748">
      <c r="A36748" s="17"/>
      <c r="H36748" s="18"/>
      <c r="K36748" s="18" t="s">
        <v>316</v>
      </c>
    </row>
    <row r="36749">
      <c r="A36749" s="17"/>
      <c r="H36749" s="18"/>
      <c r="K36749" s="18" t="s">
        <v>316</v>
      </c>
    </row>
    <row r="36750">
      <c r="A36750" s="17"/>
      <c r="H36750" s="18"/>
      <c r="K36750" s="18" t="s">
        <v>316</v>
      </c>
    </row>
    <row r="36751">
      <c r="A36751" s="17"/>
      <c r="H36751" s="18"/>
      <c r="K36751" s="18" t="s">
        <v>316</v>
      </c>
    </row>
    <row r="36752">
      <c r="A36752" s="17"/>
      <c r="H36752" s="18"/>
      <c r="K36752" s="18" t="s">
        <v>316</v>
      </c>
    </row>
    <row r="36753">
      <c r="A36753" s="17"/>
      <c r="H36753" s="18"/>
      <c r="K36753" s="18" t="s">
        <v>316</v>
      </c>
    </row>
    <row r="36754">
      <c r="A36754" s="17"/>
      <c r="H36754" s="18"/>
      <c r="K36754" s="18" t="s">
        <v>316</v>
      </c>
    </row>
    <row r="36755">
      <c r="A36755" s="17"/>
      <c r="H36755" s="18"/>
      <c r="K36755" s="18" t="s">
        <v>316</v>
      </c>
    </row>
    <row r="36756">
      <c r="A36756" s="17"/>
      <c r="H36756" s="18"/>
      <c r="K36756" s="18" t="s">
        <v>316</v>
      </c>
    </row>
    <row r="36757">
      <c r="A36757" s="17"/>
      <c r="H36757" s="18"/>
      <c r="K36757" s="18" t="s">
        <v>316</v>
      </c>
    </row>
    <row r="36758">
      <c r="A36758" s="17"/>
      <c r="H36758" s="18"/>
      <c r="K36758" s="18" t="s">
        <v>316</v>
      </c>
    </row>
    <row r="36759">
      <c r="A36759" s="17"/>
      <c r="H36759" s="18"/>
      <c r="K36759" s="18" t="s">
        <v>316</v>
      </c>
    </row>
    <row r="36760">
      <c r="A36760" s="17"/>
      <c r="H36760" s="18"/>
      <c r="K36760" s="18" t="s">
        <v>316</v>
      </c>
    </row>
    <row r="36761">
      <c r="A36761" s="17"/>
      <c r="H36761" s="18"/>
      <c r="K36761" s="18" t="s">
        <v>316</v>
      </c>
    </row>
    <row r="36762">
      <c r="A36762" s="17"/>
      <c r="H36762" s="18"/>
      <c r="K36762" s="18" t="s">
        <v>316</v>
      </c>
    </row>
    <row r="36763">
      <c r="A36763" s="17"/>
      <c r="H36763" s="18"/>
      <c r="K36763" s="18" t="s">
        <v>316</v>
      </c>
    </row>
    <row r="36764">
      <c r="A36764" s="17"/>
      <c r="H36764" s="18"/>
      <c r="K36764" s="18" t="s">
        <v>316</v>
      </c>
    </row>
    <row r="36765">
      <c r="A36765" s="17"/>
      <c r="H36765" s="18"/>
      <c r="K36765" s="18" t="s">
        <v>316</v>
      </c>
    </row>
    <row r="36766">
      <c r="A36766" s="17"/>
      <c r="H36766" s="18"/>
      <c r="K36766" s="18" t="s">
        <v>316</v>
      </c>
    </row>
    <row r="36767">
      <c r="A36767" s="17"/>
      <c r="H36767" s="18"/>
      <c r="K36767" s="18" t="s">
        <v>316</v>
      </c>
    </row>
    <row r="36768">
      <c r="A36768" s="17"/>
      <c r="H36768" s="18"/>
      <c r="K36768" s="18" t="s">
        <v>316</v>
      </c>
    </row>
    <row r="36769">
      <c r="A36769" s="17"/>
      <c r="H36769" s="18"/>
      <c r="K36769" s="18" t="s">
        <v>316</v>
      </c>
    </row>
    <row r="36770">
      <c r="A36770" s="17"/>
      <c r="H36770" s="18"/>
      <c r="K36770" s="18" t="s">
        <v>316</v>
      </c>
    </row>
    <row r="36771">
      <c r="A36771" s="17"/>
      <c r="H36771" s="18"/>
      <c r="K36771" s="18" t="s">
        <v>316</v>
      </c>
    </row>
    <row r="36772">
      <c r="A36772" s="17"/>
      <c r="H36772" s="18"/>
      <c r="K36772" s="18" t="s">
        <v>316</v>
      </c>
    </row>
    <row r="36773">
      <c r="A36773" s="17"/>
      <c r="H36773" s="18"/>
      <c r="K36773" s="18" t="s">
        <v>316</v>
      </c>
    </row>
    <row r="36774">
      <c r="A36774" s="17"/>
      <c r="H36774" s="18"/>
      <c r="K36774" s="18" t="s">
        <v>316</v>
      </c>
    </row>
    <row r="36775">
      <c r="A36775" s="17"/>
      <c r="H36775" s="18"/>
      <c r="K36775" s="18" t="s">
        <v>316</v>
      </c>
    </row>
    <row r="36776">
      <c r="A36776" s="17"/>
      <c r="H36776" s="18"/>
      <c r="K36776" s="18" t="s">
        <v>316</v>
      </c>
    </row>
    <row r="36777">
      <c r="A36777" s="17"/>
      <c r="H36777" s="18"/>
      <c r="K36777" s="18" t="s">
        <v>316</v>
      </c>
    </row>
    <row r="36778">
      <c r="A36778" s="17"/>
      <c r="H36778" s="18"/>
      <c r="K36778" s="18" t="s">
        <v>316</v>
      </c>
    </row>
    <row r="36779">
      <c r="A36779" s="17"/>
      <c r="H36779" s="18"/>
      <c r="K36779" s="18" t="s">
        <v>316</v>
      </c>
    </row>
    <row r="36780">
      <c r="A36780" s="17"/>
      <c r="H36780" s="18"/>
      <c r="K36780" s="18" t="s">
        <v>316</v>
      </c>
    </row>
    <row r="36781">
      <c r="A36781" s="17"/>
      <c r="H36781" s="18"/>
      <c r="K36781" s="18" t="s">
        <v>316</v>
      </c>
    </row>
    <row r="36782">
      <c r="A36782" s="17"/>
      <c r="H36782" s="18"/>
      <c r="K36782" s="18" t="s">
        <v>316</v>
      </c>
    </row>
    <row r="36783">
      <c r="A36783" s="17"/>
      <c r="H36783" s="18"/>
      <c r="K36783" s="18" t="s">
        <v>316</v>
      </c>
    </row>
    <row r="36784">
      <c r="A36784" s="17"/>
      <c r="H36784" s="18"/>
      <c r="K36784" s="18" t="s">
        <v>316</v>
      </c>
    </row>
    <row r="36785">
      <c r="A36785" s="17"/>
      <c r="H36785" s="18"/>
      <c r="K36785" s="18" t="s">
        <v>316</v>
      </c>
    </row>
    <row r="36786">
      <c r="A36786" s="17"/>
      <c r="H36786" s="18"/>
      <c r="K36786" s="18" t="s">
        <v>316</v>
      </c>
    </row>
    <row r="36787">
      <c r="A36787" s="17"/>
      <c r="H36787" s="18"/>
      <c r="K36787" s="18" t="s">
        <v>316</v>
      </c>
    </row>
    <row r="36788">
      <c r="A36788" s="17"/>
      <c r="H36788" s="18"/>
      <c r="K36788" s="18" t="s">
        <v>316</v>
      </c>
    </row>
    <row r="36789">
      <c r="A36789" s="17"/>
      <c r="H36789" s="18"/>
      <c r="K36789" s="18" t="s">
        <v>316</v>
      </c>
    </row>
    <row r="36790">
      <c r="A36790" s="17"/>
      <c r="H36790" s="18"/>
      <c r="K36790" s="18" t="s">
        <v>316</v>
      </c>
    </row>
    <row r="36791">
      <c r="A36791" s="17"/>
      <c r="H36791" s="18"/>
      <c r="K36791" s="18" t="s">
        <v>316</v>
      </c>
    </row>
    <row r="36792">
      <c r="A36792" s="17"/>
      <c r="H36792" s="18"/>
      <c r="K36792" s="18" t="s">
        <v>316</v>
      </c>
    </row>
    <row r="36793">
      <c r="A36793" s="17"/>
      <c r="H36793" s="18"/>
      <c r="K36793" s="18" t="s">
        <v>316</v>
      </c>
    </row>
    <row r="36794">
      <c r="A36794" s="17"/>
      <c r="H36794" s="18"/>
      <c r="K36794" s="18" t="s">
        <v>316</v>
      </c>
    </row>
    <row r="36795">
      <c r="A36795" s="17"/>
      <c r="H36795" s="18"/>
      <c r="K36795" s="18" t="s">
        <v>316</v>
      </c>
    </row>
    <row r="36796">
      <c r="A36796" s="17"/>
      <c r="H36796" s="18"/>
      <c r="K36796" s="18" t="s">
        <v>316</v>
      </c>
    </row>
    <row r="36797">
      <c r="A36797" s="17"/>
      <c r="H36797" s="18"/>
      <c r="K36797" s="18" t="s">
        <v>316</v>
      </c>
    </row>
    <row r="36798">
      <c r="A36798" s="17"/>
      <c r="H36798" s="18"/>
      <c r="K36798" s="18" t="s">
        <v>316</v>
      </c>
    </row>
    <row r="36799">
      <c r="A36799" s="17"/>
      <c r="H36799" s="18"/>
      <c r="K36799" s="18" t="s">
        <v>316</v>
      </c>
    </row>
    <row r="36800">
      <c r="A36800" s="17"/>
      <c r="H36800" s="18"/>
      <c r="K36800" s="18" t="s">
        <v>316</v>
      </c>
    </row>
    <row r="36801">
      <c r="A36801" s="17"/>
      <c r="H36801" s="18"/>
      <c r="K36801" s="18" t="s">
        <v>316</v>
      </c>
    </row>
    <row r="36802">
      <c r="A36802" s="17"/>
      <c r="H36802" s="18"/>
      <c r="K36802" s="18" t="s">
        <v>316</v>
      </c>
    </row>
    <row r="36803">
      <c r="A36803" s="17"/>
      <c r="H36803" s="18"/>
      <c r="K36803" s="18" t="s">
        <v>316</v>
      </c>
    </row>
    <row r="36804">
      <c r="A36804" s="17"/>
      <c r="H36804" s="18"/>
      <c r="K36804" s="18" t="s">
        <v>316</v>
      </c>
    </row>
    <row r="36805">
      <c r="A36805" s="17"/>
      <c r="H36805" s="18"/>
      <c r="K36805" s="18" t="s">
        <v>316</v>
      </c>
    </row>
    <row r="36806">
      <c r="A36806" s="17"/>
      <c r="H36806" s="18"/>
      <c r="K36806" s="18" t="s">
        <v>316</v>
      </c>
    </row>
    <row r="36807">
      <c r="A36807" s="17"/>
      <c r="H36807" s="18"/>
      <c r="K36807" s="18" t="s">
        <v>316</v>
      </c>
    </row>
    <row r="36808">
      <c r="A36808" s="17"/>
      <c r="H36808" s="18"/>
      <c r="K36808" s="18" t="s">
        <v>316</v>
      </c>
    </row>
    <row r="36809">
      <c r="A36809" s="17"/>
      <c r="H36809" s="18"/>
      <c r="K36809" s="18" t="s">
        <v>316</v>
      </c>
    </row>
    <row r="36810">
      <c r="A36810" s="17"/>
      <c r="H36810" s="18"/>
      <c r="K36810" s="18" t="s">
        <v>316</v>
      </c>
    </row>
    <row r="36811">
      <c r="A36811" s="17"/>
      <c r="H36811" s="18"/>
      <c r="K36811" s="18" t="s">
        <v>316</v>
      </c>
    </row>
    <row r="36812">
      <c r="A36812" s="17"/>
      <c r="H36812" s="18"/>
      <c r="K36812" s="18" t="s">
        <v>316</v>
      </c>
    </row>
    <row r="36813">
      <c r="A36813" s="17"/>
      <c r="H36813" s="18"/>
      <c r="K36813" s="18" t="s">
        <v>316</v>
      </c>
    </row>
    <row r="36814">
      <c r="A36814" s="17"/>
      <c r="H36814" s="18"/>
      <c r="K36814" s="18" t="s">
        <v>316</v>
      </c>
    </row>
    <row r="36815">
      <c r="A36815" s="17"/>
      <c r="H36815" s="18"/>
      <c r="K36815" s="18" t="s">
        <v>316</v>
      </c>
    </row>
    <row r="36816">
      <c r="A36816" s="17"/>
      <c r="H36816" s="18"/>
      <c r="K36816" s="18" t="s">
        <v>316</v>
      </c>
    </row>
    <row r="36817">
      <c r="A36817" s="17"/>
      <c r="H36817" s="18"/>
      <c r="K36817" s="18" t="s">
        <v>316</v>
      </c>
    </row>
    <row r="36818">
      <c r="A36818" s="17"/>
      <c r="H36818" s="18"/>
      <c r="K36818" s="18" t="s">
        <v>316</v>
      </c>
    </row>
    <row r="36819">
      <c r="A36819" s="17"/>
      <c r="H36819" s="18"/>
      <c r="K36819" s="18" t="s">
        <v>316</v>
      </c>
    </row>
    <row r="36820">
      <c r="A36820" s="17"/>
      <c r="H36820" s="18"/>
      <c r="K36820" s="18" t="s">
        <v>316</v>
      </c>
    </row>
    <row r="36821">
      <c r="A36821" s="17"/>
      <c r="H36821" s="18"/>
      <c r="K36821" s="18" t="s">
        <v>316</v>
      </c>
    </row>
    <row r="36822">
      <c r="A36822" s="17"/>
      <c r="H36822" s="18"/>
      <c r="K36822" s="18" t="s">
        <v>316</v>
      </c>
    </row>
    <row r="36823">
      <c r="A36823" s="17"/>
      <c r="H36823" s="18"/>
      <c r="K36823" s="18" t="s">
        <v>316</v>
      </c>
    </row>
    <row r="36824">
      <c r="A36824" s="17"/>
      <c r="H36824" s="18"/>
      <c r="K36824" s="18" t="s">
        <v>316</v>
      </c>
    </row>
    <row r="36825">
      <c r="A36825" s="17"/>
      <c r="H36825" s="18"/>
      <c r="K36825" s="18" t="s">
        <v>316</v>
      </c>
    </row>
    <row r="36826">
      <c r="A36826" s="17"/>
      <c r="H36826" s="18"/>
      <c r="K36826" s="18" t="s">
        <v>316</v>
      </c>
    </row>
    <row r="36827">
      <c r="A36827" s="17"/>
      <c r="H36827" s="18"/>
      <c r="K36827" s="18" t="s">
        <v>316</v>
      </c>
    </row>
    <row r="36828">
      <c r="A36828" s="17"/>
      <c r="H36828" s="18"/>
      <c r="K36828" s="18" t="s">
        <v>316</v>
      </c>
    </row>
    <row r="36829">
      <c r="A36829" s="17"/>
      <c r="H36829" s="18"/>
      <c r="K36829" s="18" t="s">
        <v>316</v>
      </c>
    </row>
    <row r="36830">
      <c r="A36830" s="17"/>
      <c r="H36830" s="18"/>
      <c r="K36830" s="18" t="s">
        <v>316</v>
      </c>
    </row>
    <row r="36831">
      <c r="A36831" s="17"/>
      <c r="H36831" s="18"/>
      <c r="K36831" s="18" t="s">
        <v>316</v>
      </c>
    </row>
    <row r="36832">
      <c r="A36832" s="17"/>
      <c r="H36832" s="18"/>
      <c r="K36832" s="18" t="s">
        <v>316</v>
      </c>
    </row>
    <row r="36833">
      <c r="A36833" s="17"/>
      <c r="H36833" s="18"/>
      <c r="K36833" s="18" t="s">
        <v>316</v>
      </c>
    </row>
    <row r="36834">
      <c r="A36834" s="17"/>
      <c r="H36834" s="18"/>
      <c r="K36834" s="18" t="s">
        <v>316</v>
      </c>
    </row>
    <row r="36835">
      <c r="A36835" s="17"/>
      <c r="H36835" s="18"/>
      <c r="K36835" s="18" t="s">
        <v>316</v>
      </c>
    </row>
    <row r="36836">
      <c r="A36836" s="17"/>
      <c r="H36836" s="18"/>
      <c r="K36836" s="18" t="s">
        <v>316</v>
      </c>
    </row>
    <row r="36837">
      <c r="A36837" s="17"/>
      <c r="H36837" s="18"/>
      <c r="K36837" s="18" t="s">
        <v>316</v>
      </c>
    </row>
    <row r="36838">
      <c r="A36838" s="17"/>
      <c r="H36838" s="18"/>
      <c r="K36838" s="18" t="s">
        <v>316</v>
      </c>
    </row>
    <row r="36839">
      <c r="A36839" s="17"/>
      <c r="H36839" s="18"/>
      <c r="K36839" s="18" t="s">
        <v>316</v>
      </c>
    </row>
    <row r="36840">
      <c r="A36840" s="17"/>
      <c r="H36840" s="18"/>
      <c r="K36840" s="18" t="s">
        <v>316</v>
      </c>
    </row>
    <row r="36841">
      <c r="A36841" s="17"/>
      <c r="H36841" s="18"/>
      <c r="K36841" s="18" t="s">
        <v>316</v>
      </c>
    </row>
    <row r="36842">
      <c r="A36842" s="17"/>
      <c r="H36842" s="18"/>
      <c r="K36842" s="18" t="s">
        <v>316</v>
      </c>
    </row>
    <row r="36843">
      <c r="A36843" s="17"/>
      <c r="H36843" s="18"/>
      <c r="K36843" s="18" t="s">
        <v>316</v>
      </c>
    </row>
    <row r="36844">
      <c r="A36844" s="17"/>
      <c r="H36844" s="18"/>
      <c r="K36844" s="18" t="s">
        <v>316</v>
      </c>
    </row>
    <row r="36845">
      <c r="A36845" s="17"/>
      <c r="H36845" s="18"/>
      <c r="K36845" s="18" t="s">
        <v>316</v>
      </c>
    </row>
    <row r="36846">
      <c r="A36846" s="17"/>
      <c r="H36846" s="18"/>
      <c r="K36846" s="18" t="s">
        <v>316</v>
      </c>
    </row>
    <row r="36847">
      <c r="A36847" s="17"/>
      <c r="H36847" s="18"/>
      <c r="K36847" s="18" t="s">
        <v>316</v>
      </c>
    </row>
    <row r="36848">
      <c r="A36848" s="17"/>
      <c r="H36848" s="18"/>
      <c r="K36848" s="18" t="s">
        <v>316</v>
      </c>
    </row>
    <row r="36849">
      <c r="A36849" s="17"/>
      <c r="H36849" s="18"/>
      <c r="K36849" s="18" t="s">
        <v>316</v>
      </c>
    </row>
    <row r="36850">
      <c r="A36850" s="17"/>
      <c r="H36850" s="18"/>
      <c r="K36850" s="18" t="s">
        <v>316</v>
      </c>
    </row>
    <row r="36851">
      <c r="A36851" s="17"/>
      <c r="H36851" s="18"/>
      <c r="K36851" s="18" t="s">
        <v>316</v>
      </c>
    </row>
    <row r="36852">
      <c r="A36852" s="17"/>
      <c r="H36852" s="18"/>
      <c r="K36852" s="18" t="s">
        <v>316</v>
      </c>
    </row>
    <row r="36853">
      <c r="A36853" s="17"/>
      <c r="H36853" s="18"/>
      <c r="K36853" s="18" t="s">
        <v>316</v>
      </c>
    </row>
    <row r="36854">
      <c r="A36854" s="17"/>
      <c r="H36854" s="18"/>
      <c r="K36854" s="18" t="s">
        <v>316</v>
      </c>
    </row>
    <row r="36855">
      <c r="A36855" s="17"/>
      <c r="H36855" s="18"/>
      <c r="K36855" s="18" t="s">
        <v>316</v>
      </c>
    </row>
    <row r="36856">
      <c r="A36856" s="17"/>
      <c r="H36856" s="18"/>
      <c r="K36856" s="18" t="s">
        <v>316</v>
      </c>
    </row>
    <row r="36857">
      <c r="A36857" s="17"/>
      <c r="H36857" s="18"/>
      <c r="K36857" s="18" t="s">
        <v>316</v>
      </c>
    </row>
    <row r="36858">
      <c r="A36858" s="17"/>
      <c r="H36858" s="18"/>
      <c r="K36858" s="18" t="s">
        <v>316</v>
      </c>
    </row>
    <row r="36859">
      <c r="A36859" s="17"/>
      <c r="H36859" s="18"/>
      <c r="K36859" s="18" t="s">
        <v>316</v>
      </c>
    </row>
    <row r="36860">
      <c r="A36860" s="17"/>
      <c r="H36860" s="18"/>
      <c r="K36860" s="18" t="s">
        <v>316</v>
      </c>
    </row>
    <row r="36861">
      <c r="A36861" s="17"/>
      <c r="H36861" s="18"/>
      <c r="K36861" s="18" t="s">
        <v>316</v>
      </c>
    </row>
    <row r="36862">
      <c r="A36862" s="17"/>
      <c r="H36862" s="18"/>
      <c r="K36862" s="18" t="s">
        <v>316</v>
      </c>
    </row>
    <row r="36863">
      <c r="A36863" s="17"/>
      <c r="H36863" s="18"/>
      <c r="K36863" s="18" t="s">
        <v>316</v>
      </c>
    </row>
    <row r="36864">
      <c r="A36864" s="17"/>
      <c r="H36864" s="18"/>
      <c r="K36864" s="18" t="s">
        <v>316</v>
      </c>
    </row>
    <row r="36865">
      <c r="A36865" s="17"/>
      <c r="H36865" s="18"/>
      <c r="K36865" s="18" t="s">
        <v>316</v>
      </c>
    </row>
    <row r="36866">
      <c r="A36866" s="17"/>
      <c r="H36866" s="18"/>
      <c r="K36866" s="18" t="s">
        <v>316</v>
      </c>
    </row>
    <row r="36867">
      <c r="A36867" s="17"/>
      <c r="H36867" s="18"/>
      <c r="K36867" s="18" t="s">
        <v>316</v>
      </c>
    </row>
    <row r="36868">
      <c r="A36868" s="17"/>
      <c r="H36868" s="18"/>
      <c r="K36868" s="18" t="s">
        <v>316</v>
      </c>
    </row>
    <row r="36869">
      <c r="A36869" s="17"/>
      <c r="H36869" s="18"/>
      <c r="K36869" s="18" t="s">
        <v>316</v>
      </c>
    </row>
    <row r="36870">
      <c r="A36870" s="17"/>
      <c r="H36870" s="18"/>
      <c r="K36870" s="18" t="s">
        <v>316</v>
      </c>
    </row>
    <row r="36871">
      <c r="A36871" s="17"/>
      <c r="H36871" s="18"/>
      <c r="K36871" s="18" t="s">
        <v>316</v>
      </c>
    </row>
    <row r="36872">
      <c r="A36872" s="17"/>
      <c r="H36872" s="18"/>
      <c r="K36872" s="18" t="s">
        <v>316</v>
      </c>
    </row>
    <row r="36873">
      <c r="A36873" s="17"/>
      <c r="H36873" s="18"/>
      <c r="K36873" s="18" t="s">
        <v>316</v>
      </c>
    </row>
    <row r="36874">
      <c r="A36874" s="17"/>
      <c r="H36874" s="18"/>
      <c r="K36874" s="18" t="s">
        <v>316</v>
      </c>
    </row>
    <row r="36875">
      <c r="A36875" s="17"/>
      <c r="H36875" s="18"/>
      <c r="K36875" s="18" t="s">
        <v>316</v>
      </c>
    </row>
    <row r="36876">
      <c r="A36876" s="17"/>
      <c r="H36876" s="18"/>
      <c r="K36876" s="18" t="s">
        <v>316</v>
      </c>
    </row>
    <row r="36877">
      <c r="A36877" s="17"/>
      <c r="H36877" s="18"/>
      <c r="K36877" s="18" t="s">
        <v>316</v>
      </c>
    </row>
    <row r="36878">
      <c r="A36878" s="17"/>
      <c r="H36878" s="18"/>
      <c r="K36878" s="18" t="s">
        <v>316</v>
      </c>
    </row>
    <row r="36879">
      <c r="A36879" s="17"/>
      <c r="H36879" s="18"/>
      <c r="K36879" s="18" t="s">
        <v>316</v>
      </c>
    </row>
    <row r="36880">
      <c r="A36880" s="17"/>
      <c r="H36880" s="18"/>
      <c r="K36880" s="18" t="s">
        <v>316</v>
      </c>
    </row>
    <row r="36881">
      <c r="A36881" s="17"/>
      <c r="H36881" s="18"/>
      <c r="K36881" s="18" t="s">
        <v>316</v>
      </c>
    </row>
    <row r="36882">
      <c r="A36882" s="17"/>
      <c r="H36882" s="18"/>
      <c r="K36882" s="18" t="s">
        <v>316</v>
      </c>
    </row>
    <row r="36883">
      <c r="A36883" s="17"/>
      <c r="H36883" s="18"/>
      <c r="K36883" s="18" t="s">
        <v>316</v>
      </c>
    </row>
    <row r="36884">
      <c r="A36884" s="17"/>
      <c r="H36884" s="18"/>
      <c r="K36884" s="18" t="s">
        <v>316</v>
      </c>
    </row>
    <row r="36885">
      <c r="A36885" s="17"/>
      <c r="H36885" s="18"/>
      <c r="K36885" s="18" t="s">
        <v>316</v>
      </c>
    </row>
    <row r="36886">
      <c r="A36886" s="17"/>
      <c r="H36886" s="18"/>
      <c r="K36886" s="18" t="s">
        <v>316</v>
      </c>
    </row>
    <row r="36887">
      <c r="A36887" s="17"/>
      <c r="H36887" s="18"/>
      <c r="K36887" s="18" t="s">
        <v>316</v>
      </c>
    </row>
    <row r="36888">
      <c r="A36888" s="17"/>
      <c r="H36888" s="18"/>
      <c r="K36888" s="18" t="s">
        <v>316</v>
      </c>
    </row>
    <row r="36889">
      <c r="A36889" s="17"/>
      <c r="H36889" s="18"/>
      <c r="K36889" s="18" t="s">
        <v>316</v>
      </c>
    </row>
    <row r="36890">
      <c r="A36890" s="17"/>
      <c r="H36890" s="18"/>
      <c r="K36890" s="18" t="s">
        <v>316</v>
      </c>
    </row>
    <row r="36891">
      <c r="A36891" s="17"/>
      <c r="H36891" s="18"/>
      <c r="K36891" s="18" t="s">
        <v>316</v>
      </c>
    </row>
    <row r="36892">
      <c r="A36892" s="17"/>
      <c r="H36892" s="18"/>
      <c r="K36892" s="18" t="s">
        <v>316</v>
      </c>
    </row>
    <row r="36893">
      <c r="A36893" s="17"/>
      <c r="H36893" s="18"/>
      <c r="K36893" s="18" t="s">
        <v>316</v>
      </c>
    </row>
    <row r="36894">
      <c r="A36894" s="17"/>
      <c r="H36894" s="18"/>
      <c r="K36894" s="18" t="s">
        <v>316</v>
      </c>
    </row>
    <row r="36895">
      <c r="A36895" s="17"/>
      <c r="H36895" s="18"/>
      <c r="K36895" s="18" t="s">
        <v>316</v>
      </c>
    </row>
    <row r="36896">
      <c r="A36896" s="17"/>
      <c r="H36896" s="18"/>
      <c r="K36896" s="18" t="s">
        <v>316</v>
      </c>
    </row>
    <row r="36897">
      <c r="A36897" s="17"/>
      <c r="H36897" s="18"/>
      <c r="K36897" s="18" t="s">
        <v>316</v>
      </c>
    </row>
    <row r="36898">
      <c r="A36898" s="17"/>
      <c r="H36898" s="18"/>
      <c r="K36898" s="18" t="s">
        <v>316</v>
      </c>
    </row>
    <row r="36899">
      <c r="A36899" s="17"/>
      <c r="H36899" s="18"/>
      <c r="K36899" s="18" t="s">
        <v>316</v>
      </c>
    </row>
    <row r="36900">
      <c r="A36900" s="17"/>
      <c r="H36900" s="18"/>
      <c r="K36900" s="18" t="s">
        <v>316</v>
      </c>
    </row>
    <row r="36901">
      <c r="A36901" s="17"/>
      <c r="H36901" s="18"/>
      <c r="K36901" s="18" t="s">
        <v>316</v>
      </c>
    </row>
    <row r="36902">
      <c r="A36902" s="17"/>
      <c r="H36902" s="18"/>
      <c r="K36902" s="18" t="s">
        <v>316</v>
      </c>
    </row>
    <row r="36903">
      <c r="A36903" s="17"/>
      <c r="H36903" s="18"/>
      <c r="K36903" s="18" t="s">
        <v>316</v>
      </c>
    </row>
    <row r="36904">
      <c r="A36904" s="17"/>
      <c r="H36904" s="18"/>
      <c r="K36904" s="18" t="s">
        <v>316</v>
      </c>
    </row>
    <row r="36905">
      <c r="A36905" s="17"/>
      <c r="H36905" s="18"/>
      <c r="K36905" s="18" t="s">
        <v>316</v>
      </c>
    </row>
    <row r="36906">
      <c r="A36906" s="17"/>
      <c r="H36906" s="18"/>
      <c r="K36906" s="18" t="s">
        <v>316</v>
      </c>
    </row>
    <row r="36907">
      <c r="A36907" s="17"/>
      <c r="H36907" s="18"/>
      <c r="K36907" s="18" t="s">
        <v>316</v>
      </c>
    </row>
    <row r="36908">
      <c r="A36908" s="17"/>
      <c r="H36908" s="18"/>
      <c r="K36908" s="18" t="s">
        <v>316</v>
      </c>
    </row>
    <row r="36909">
      <c r="A36909" s="17"/>
      <c r="H36909" s="18"/>
      <c r="K36909" s="18" t="s">
        <v>316</v>
      </c>
    </row>
    <row r="36910">
      <c r="A36910" s="17"/>
      <c r="H36910" s="18"/>
      <c r="K36910" s="18" t="s">
        <v>316</v>
      </c>
    </row>
    <row r="36911">
      <c r="A36911" s="17"/>
      <c r="H36911" s="18"/>
      <c r="K36911" s="18" t="s">
        <v>316</v>
      </c>
    </row>
    <row r="36912">
      <c r="A36912" s="17"/>
      <c r="H36912" s="18"/>
      <c r="K36912" s="18" t="s">
        <v>316</v>
      </c>
    </row>
    <row r="36913">
      <c r="A36913" s="17"/>
      <c r="H36913" s="18"/>
      <c r="K36913" s="18" t="s">
        <v>316</v>
      </c>
    </row>
    <row r="36914">
      <c r="A36914" s="17"/>
      <c r="H36914" s="18"/>
      <c r="K36914" s="18" t="s">
        <v>316</v>
      </c>
    </row>
    <row r="36915">
      <c r="A36915" s="17"/>
      <c r="H36915" s="18"/>
      <c r="K36915" s="18" t="s">
        <v>316</v>
      </c>
    </row>
    <row r="36916">
      <c r="A36916" s="17"/>
      <c r="H36916" s="18"/>
      <c r="K36916" s="18" t="s">
        <v>316</v>
      </c>
    </row>
    <row r="36917">
      <c r="A36917" s="17"/>
      <c r="H36917" s="18"/>
      <c r="K36917" s="18" t="s">
        <v>316</v>
      </c>
    </row>
    <row r="36918">
      <c r="A36918" s="17"/>
      <c r="H36918" s="18"/>
      <c r="K36918" s="18" t="s">
        <v>316</v>
      </c>
    </row>
    <row r="36919">
      <c r="A36919" s="17"/>
      <c r="H36919" s="18"/>
      <c r="K36919" s="18" t="s">
        <v>316</v>
      </c>
    </row>
    <row r="36920">
      <c r="A36920" s="17"/>
      <c r="H36920" s="18"/>
      <c r="K36920" s="18" t="s">
        <v>316</v>
      </c>
    </row>
    <row r="36921">
      <c r="A36921" s="17"/>
      <c r="H36921" s="18"/>
      <c r="K36921" s="18" t="s">
        <v>316</v>
      </c>
    </row>
    <row r="36922">
      <c r="A36922" s="17"/>
      <c r="H36922" s="18"/>
      <c r="K36922" s="18" t="s">
        <v>316</v>
      </c>
    </row>
    <row r="36923">
      <c r="A36923" s="17"/>
      <c r="H36923" s="18"/>
      <c r="K36923" s="18" t="s">
        <v>316</v>
      </c>
    </row>
    <row r="36924">
      <c r="A36924" s="17"/>
      <c r="H36924" s="18"/>
      <c r="K36924" s="18" t="s">
        <v>316</v>
      </c>
    </row>
    <row r="36925">
      <c r="A36925" s="17"/>
      <c r="H36925" s="18"/>
      <c r="K36925" s="18" t="s">
        <v>316</v>
      </c>
    </row>
    <row r="36926">
      <c r="A36926" s="17"/>
      <c r="H36926" s="18"/>
      <c r="K36926" s="18" t="s">
        <v>316</v>
      </c>
    </row>
    <row r="36927">
      <c r="A36927" s="17"/>
      <c r="H36927" s="18"/>
      <c r="K36927" s="18" t="s">
        <v>316</v>
      </c>
    </row>
    <row r="36928">
      <c r="A36928" s="17"/>
      <c r="H36928" s="18"/>
      <c r="K36928" s="18" t="s">
        <v>316</v>
      </c>
    </row>
    <row r="36929">
      <c r="A36929" s="17"/>
      <c r="H36929" s="18"/>
      <c r="K36929" s="18" t="s">
        <v>316</v>
      </c>
    </row>
    <row r="36930">
      <c r="A36930" s="17"/>
      <c r="H36930" s="18"/>
      <c r="K36930" s="18" t="s">
        <v>316</v>
      </c>
    </row>
    <row r="36931">
      <c r="A36931" s="17"/>
      <c r="H36931" s="18"/>
      <c r="K36931" s="18" t="s">
        <v>316</v>
      </c>
    </row>
    <row r="36932">
      <c r="A36932" s="17"/>
      <c r="H36932" s="18"/>
      <c r="K36932" s="18" t="s">
        <v>316</v>
      </c>
    </row>
    <row r="36933">
      <c r="A36933" s="17"/>
      <c r="H36933" s="18"/>
      <c r="K36933" s="18" t="s">
        <v>316</v>
      </c>
    </row>
    <row r="36934">
      <c r="A36934" s="17"/>
      <c r="H36934" s="18"/>
      <c r="K36934" s="18" t="s">
        <v>316</v>
      </c>
    </row>
    <row r="36935">
      <c r="A36935" s="17"/>
      <c r="H36935" s="18"/>
      <c r="K36935" s="18" t="s">
        <v>316</v>
      </c>
    </row>
    <row r="36936">
      <c r="A36936" s="17"/>
      <c r="H36936" s="18"/>
      <c r="K36936" s="18" t="s">
        <v>316</v>
      </c>
    </row>
    <row r="36937">
      <c r="A36937" s="17"/>
      <c r="H36937" s="18"/>
      <c r="K36937" s="18" t="s">
        <v>316</v>
      </c>
    </row>
    <row r="36938">
      <c r="A36938" s="17"/>
      <c r="H36938" s="18"/>
      <c r="K36938" s="18" t="s">
        <v>316</v>
      </c>
    </row>
    <row r="36939">
      <c r="A36939" s="17"/>
      <c r="H36939" s="18"/>
      <c r="K36939" s="18" t="s">
        <v>316</v>
      </c>
    </row>
    <row r="36940">
      <c r="A36940" s="17"/>
      <c r="H36940" s="18"/>
      <c r="K36940" s="18" t="s">
        <v>316</v>
      </c>
    </row>
    <row r="36941">
      <c r="A36941" s="17"/>
      <c r="H36941" s="18"/>
      <c r="K36941" s="18" t="s">
        <v>316</v>
      </c>
    </row>
    <row r="36942">
      <c r="A36942" s="17"/>
      <c r="H36942" s="18"/>
      <c r="K36942" s="18" t="s">
        <v>316</v>
      </c>
    </row>
    <row r="36943">
      <c r="A36943" s="17"/>
      <c r="H36943" s="18"/>
      <c r="K36943" s="18" t="s">
        <v>316</v>
      </c>
    </row>
    <row r="36944">
      <c r="A36944" s="17"/>
      <c r="H36944" s="18"/>
      <c r="K36944" s="18" t="s">
        <v>316</v>
      </c>
    </row>
    <row r="36945">
      <c r="A36945" s="17"/>
      <c r="H36945" s="18"/>
      <c r="K36945" s="18" t="s">
        <v>316</v>
      </c>
    </row>
    <row r="36946">
      <c r="A36946" s="17"/>
      <c r="H36946" s="18"/>
      <c r="K36946" s="18" t="s">
        <v>316</v>
      </c>
    </row>
    <row r="36947">
      <c r="A36947" s="17"/>
      <c r="H36947" s="18"/>
      <c r="K36947" s="18" t="s">
        <v>316</v>
      </c>
    </row>
    <row r="36948">
      <c r="A36948" s="17"/>
      <c r="H36948" s="18"/>
      <c r="K36948" s="18" t="s">
        <v>316</v>
      </c>
    </row>
    <row r="36949">
      <c r="A36949" s="17"/>
      <c r="H36949" s="18"/>
      <c r="K36949" s="18" t="s">
        <v>316</v>
      </c>
    </row>
    <row r="36950">
      <c r="A36950" s="17"/>
      <c r="H36950" s="18"/>
      <c r="K36950" s="18" t="s">
        <v>316</v>
      </c>
    </row>
    <row r="36951">
      <c r="A36951" s="17"/>
      <c r="H36951" s="18"/>
      <c r="K36951" s="18" t="s">
        <v>316</v>
      </c>
    </row>
    <row r="36952">
      <c r="A36952" s="17"/>
      <c r="H36952" s="18"/>
      <c r="K36952" s="18" t="s">
        <v>316</v>
      </c>
    </row>
    <row r="36953">
      <c r="A36953" s="17"/>
      <c r="H36953" s="18"/>
      <c r="K36953" s="18" t="s">
        <v>316</v>
      </c>
    </row>
    <row r="36954">
      <c r="A36954" s="17"/>
      <c r="H36954" s="18"/>
      <c r="K36954" s="18" t="s">
        <v>316</v>
      </c>
    </row>
    <row r="36955">
      <c r="A36955" s="17"/>
      <c r="H36955" s="18"/>
      <c r="K36955" s="18" t="s">
        <v>316</v>
      </c>
    </row>
    <row r="36956">
      <c r="A36956" s="17"/>
      <c r="H36956" s="18"/>
      <c r="K36956" s="18" t="s">
        <v>316</v>
      </c>
    </row>
    <row r="36957">
      <c r="A36957" s="17"/>
      <c r="H36957" s="18"/>
      <c r="K36957" s="18" t="s">
        <v>316</v>
      </c>
    </row>
    <row r="36958">
      <c r="A36958" s="17"/>
      <c r="H36958" s="18"/>
      <c r="K36958" s="18" t="s">
        <v>316</v>
      </c>
    </row>
    <row r="36959">
      <c r="A36959" s="17"/>
      <c r="H36959" s="18"/>
      <c r="K36959" s="18" t="s">
        <v>316</v>
      </c>
    </row>
    <row r="36960">
      <c r="A36960" s="17"/>
      <c r="H36960" s="18"/>
      <c r="K36960" s="18" t="s">
        <v>316</v>
      </c>
    </row>
    <row r="36961">
      <c r="A36961" s="17"/>
      <c r="H36961" s="18"/>
      <c r="K36961" s="18" t="s">
        <v>316</v>
      </c>
    </row>
    <row r="36962">
      <c r="A36962" s="17"/>
      <c r="H36962" s="18"/>
      <c r="K36962" s="18" t="s">
        <v>316</v>
      </c>
    </row>
    <row r="36963">
      <c r="A36963" s="17"/>
      <c r="H36963" s="18"/>
      <c r="K36963" s="18" t="s">
        <v>316</v>
      </c>
    </row>
    <row r="36964">
      <c r="A36964" s="17"/>
      <c r="H36964" s="18"/>
      <c r="K36964" s="18" t="s">
        <v>316</v>
      </c>
    </row>
    <row r="36965">
      <c r="A36965" s="17"/>
      <c r="H36965" s="18"/>
      <c r="K36965" s="18" t="s">
        <v>316</v>
      </c>
    </row>
    <row r="36966">
      <c r="A36966" s="17"/>
      <c r="H36966" s="18"/>
      <c r="K36966" s="18" t="s">
        <v>316</v>
      </c>
    </row>
    <row r="36967">
      <c r="A36967" s="17"/>
      <c r="H36967" s="18"/>
      <c r="K36967" s="18" t="s">
        <v>316</v>
      </c>
    </row>
    <row r="36968">
      <c r="A36968" s="17"/>
      <c r="H36968" s="18"/>
      <c r="K36968" s="18" t="s">
        <v>316</v>
      </c>
    </row>
    <row r="36969">
      <c r="A36969" s="17"/>
      <c r="H36969" s="18"/>
      <c r="K36969" s="18" t="s">
        <v>316</v>
      </c>
    </row>
    <row r="36970">
      <c r="A36970" s="17"/>
      <c r="H36970" s="18"/>
      <c r="K36970" s="18" t="s">
        <v>316</v>
      </c>
    </row>
    <row r="36971">
      <c r="A36971" s="17"/>
      <c r="H36971" s="18"/>
      <c r="K36971" s="18" t="s">
        <v>316</v>
      </c>
    </row>
    <row r="36972">
      <c r="A36972" s="17"/>
      <c r="H36972" s="18"/>
      <c r="K36972" s="18" t="s">
        <v>316</v>
      </c>
    </row>
    <row r="36973">
      <c r="A36973" s="17"/>
      <c r="H36973" s="18"/>
      <c r="K36973" s="18" t="s">
        <v>316</v>
      </c>
    </row>
    <row r="36974">
      <c r="A36974" s="17"/>
      <c r="H36974" s="18"/>
      <c r="K36974" s="18" t="s">
        <v>316</v>
      </c>
    </row>
    <row r="36975">
      <c r="A36975" s="17"/>
      <c r="H36975" s="18"/>
      <c r="K36975" s="18" t="s">
        <v>316</v>
      </c>
    </row>
    <row r="36976">
      <c r="A36976" s="17"/>
      <c r="H36976" s="18"/>
      <c r="K36976" s="18" t="s">
        <v>316</v>
      </c>
    </row>
    <row r="36977">
      <c r="A36977" s="17"/>
      <c r="H36977" s="18"/>
      <c r="K36977" s="18" t="s">
        <v>316</v>
      </c>
    </row>
    <row r="36978">
      <c r="A36978" s="17"/>
      <c r="H36978" s="18"/>
      <c r="K36978" s="18" t="s">
        <v>316</v>
      </c>
    </row>
    <row r="36979">
      <c r="A36979" s="17"/>
      <c r="H36979" s="18"/>
      <c r="K36979" s="18" t="s">
        <v>316</v>
      </c>
    </row>
    <row r="36980">
      <c r="A36980" s="17"/>
      <c r="H36980" s="18"/>
      <c r="K36980" s="18" t="s">
        <v>316</v>
      </c>
    </row>
    <row r="36981">
      <c r="A36981" s="17"/>
      <c r="H36981" s="18"/>
      <c r="K36981" s="18" t="s">
        <v>316</v>
      </c>
    </row>
    <row r="36982">
      <c r="A36982" s="17"/>
      <c r="H36982" s="18"/>
      <c r="K36982" s="18" t="s">
        <v>316</v>
      </c>
    </row>
    <row r="36983">
      <c r="A36983" s="17"/>
      <c r="H36983" s="18"/>
      <c r="K36983" s="18" t="s">
        <v>316</v>
      </c>
    </row>
    <row r="36984">
      <c r="A36984" s="17"/>
      <c r="H36984" s="18"/>
      <c r="K36984" s="18" t="s">
        <v>316</v>
      </c>
    </row>
    <row r="36985">
      <c r="A36985" s="17"/>
      <c r="H36985" s="18"/>
      <c r="K36985" s="18" t="s">
        <v>316</v>
      </c>
    </row>
    <row r="36986">
      <c r="A36986" s="17"/>
      <c r="H36986" s="18"/>
      <c r="K36986" s="18" t="s">
        <v>316</v>
      </c>
    </row>
    <row r="36987">
      <c r="A36987" s="17"/>
      <c r="H36987" s="18"/>
      <c r="K36987" s="18" t="s">
        <v>316</v>
      </c>
    </row>
    <row r="36988">
      <c r="A36988" s="17"/>
      <c r="H36988" s="18"/>
      <c r="K36988" s="18" t="s">
        <v>316</v>
      </c>
    </row>
    <row r="36989">
      <c r="A36989" s="17"/>
      <c r="H36989" s="18"/>
      <c r="K36989" s="18" t="s">
        <v>316</v>
      </c>
    </row>
    <row r="36990">
      <c r="A36990" s="17"/>
      <c r="H36990" s="18"/>
      <c r="K36990" s="18" t="s">
        <v>316</v>
      </c>
    </row>
    <row r="36991">
      <c r="A36991" s="17"/>
      <c r="H36991" s="18"/>
      <c r="K36991" s="18" t="s">
        <v>316</v>
      </c>
    </row>
    <row r="36992">
      <c r="A36992" s="17"/>
      <c r="H36992" s="18"/>
      <c r="K36992" s="18" t="s">
        <v>316</v>
      </c>
    </row>
    <row r="36993">
      <c r="A36993" s="17"/>
      <c r="H36993" s="18"/>
      <c r="K36993" s="18" t="s">
        <v>316</v>
      </c>
    </row>
    <row r="36994">
      <c r="A36994" s="17"/>
      <c r="H36994" s="18"/>
      <c r="K36994" s="18" t="s">
        <v>316</v>
      </c>
    </row>
    <row r="36995">
      <c r="A36995" s="17"/>
      <c r="H36995" s="18"/>
      <c r="K36995" s="18" t="s">
        <v>316</v>
      </c>
    </row>
    <row r="36996">
      <c r="A36996" s="17"/>
      <c r="H36996" s="18"/>
      <c r="K36996" s="18" t="s">
        <v>316</v>
      </c>
    </row>
    <row r="36997">
      <c r="A36997" s="17"/>
      <c r="H36997" s="18"/>
      <c r="K36997" s="18" t="s">
        <v>316</v>
      </c>
    </row>
    <row r="36998">
      <c r="A36998" s="17"/>
      <c r="H36998" s="18"/>
      <c r="K36998" s="18" t="s">
        <v>316</v>
      </c>
    </row>
    <row r="36999">
      <c r="A36999" s="17"/>
      <c r="H36999" s="18"/>
      <c r="K36999" s="18" t="s">
        <v>316</v>
      </c>
    </row>
    <row r="37000">
      <c r="A37000" s="17"/>
      <c r="H37000" s="18"/>
      <c r="K37000" s="18" t="s">
        <v>316</v>
      </c>
    </row>
    <row r="37001">
      <c r="A37001" s="17"/>
      <c r="H37001" s="18"/>
      <c r="K37001" s="18" t="s">
        <v>316</v>
      </c>
    </row>
    <row r="37002">
      <c r="A37002" s="17"/>
      <c r="H37002" s="18"/>
      <c r="K37002" s="18" t="s">
        <v>316</v>
      </c>
    </row>
    <row r="37003">
      <c r="A37003" s="17"/>
      <c r="H37003" s="18"/>
      <c r="K37003" s="18" t="s">
        <v>316</v>
      </c>
    </row>
    <row r="37004">
      <c r="A37004" s="17"/>
      <c r="H37004" s="18"/>
      <c r="K37004" s="18" t="s">
        <v>316</v>
      </c>
    </row>
    <row r="37005">
      <c r="A37005" s="17"/>
      <c r="H37005" s="18"/>
      <c r="K37005" s="18" t="s">
        <v>316</v>
      </c>
    </row>
    <row r="37006">
      <c r="A37006" s="17"/>
      <c r="H37006" s="18"/>
      <c r="K37006" s="18" t="s">
        <v>316</v>
      </c>
    </row>
    <row r="37007">
      <c r="A37007" s="17"/>
      <c r="H37007" s="18"/>
      <c r="K37007" s="18" t="s">
        <v>316</v>
      </c>
    </row>
    <row r="37008">
      <c r="A37008" s="17"/>
      <c r="H37008" s="18"/>
      <c r="K37008" s="18" t="s">
        <v>316</v>
      </c>
    </row>
    <row r="37009">
      <c r="A37009" s="17"/>
      <c r="H37009" s="18"/>
      <c r="K37009" s="18" t="s">
        <v>316</v>
      </c>
    </row>
    <row r="37010">
      <c r="A37010" s="17"/>
      <c r="H37010" s="18"/>
      <c r="K37010" s="18" t="s">
        <v>316</v>
      </c>
    </row>
    <row r="37011">
      <c r="A37011" s="17"/>
      <c r="H37011" s="18"/>
      <c r="K37011" s="18" t="s">
        <v>316</v>
      </c>
    </row>
    <row r="37012">
      <c r="A37012" s="17"/>
      <c r="H37012" s="18"/>
      <c r="K37012" s="18" t="s">
        <v>316</v>
      </c>
    </row>
    <row r="37013">
      <c r="A37013" s="17"/>
      <c r="H37013" s="18"/>
      <c r="K37013" s="18" t="s">
        <v>316</v>
      </c>
    </row>
    <row r="37014">
      <c r="A37014" s="17"/>
      <c r="H37014" s="18"/>
      <c r="K37014" s="18" t="s">
        <v>316</v>
      </c>
    </row>
    <row r="37015">
      <c r="A37015" s="17"/>
      <c r="H37015" s="18"/>
      <c r="K37015" s="18" t="s">
        <v>316</v>
      </c>
    </row>
    <row r="37016">
      <c r="A37016" s="17"/>
      <c r="H37016" s="18"/>
      <c r="K37016" s="18" t="s">
        <v>316</v>
      </c>
    </row>
    <row r="37017">
      <c r="A37017" s="17"/>
      <c r="H37017" s="18"/>
      <c r="K37017" s="18" t="s">
        <v>316</v>
      </c>
    </row>
    <row r="37018">
      <c r="A37018" s="17"/>
      <c r="H37018" s="18"/>
      <c r="K37018" s="18" t="s">
        <v>316</v>
      </c>
    </row>
    <row r="37019">
      <c r="A37019" s="17"/>
      <c r="H37019" s="18"/>
      <c r="K37019" s="18" t="s">
        <v>316</v>
      </c>
    </row>
    <row r="37020">
      <c r="A37020" s="17"/>
      <c r="H37020" s="18"/>
      <c r="K37020" s="18" t="s">
        <v>316</v>
      </c>
    </row>
    <row r="37021">
      <c r="A37021" s="17"/>
      <c r="H37021" s="18"/>
      <c r="K37021" s="18" t="s">
        <v>316</v>
      </c>
    </row>
    <row r="37022">
      <c r="A37022" s="17"/>
      <c r="H37022" s="18"/>
      <c r="K37022" s="18" t="s">
        <v>316</v>
      </c>
    </row>
    <row r="37023">
      <c r="A37023" s="17"/>
      <c r="H37023" s="18"/>
      <c r="K37023" s="18" t="s">
        <v>316</v>
      </c>
    </row>
    <row r="37024">
      <c r="A37024" s="17"/>
      <c r="H37024" s="18"/>
      <c r="K37024" s="18" t="s">
        <v>316</v>
      </c>
    </row>
    <row r="37025">
      <c r="A37025" s="17"/>
      <c r="H37025" s="18"/>
      <c r="K37025" s="18" t="s">
        <v>316</v>
      </c>
    </row>
    <row r="37026">
      <c r="A37026" s="17"/>
      <c r="H37026" s="18"/>
      <c r="K37026" s="18" t="s">
        <v>316</v>
      </c>
    </row>
    <row r="37027">
      <c r="A37027" s="17"/>
      <c r="H37027" s="18"/>
      <c r="K37027" s="18" t="s">
        <v>316</v>
      </c>
    </row>
    <row r="37028">
      <c r="A37028" s="17"/>
      <c r="H37028" s="18"/>
      <c r="K37028" s="18" t="s">
        <v>316</v>
      </c>
    </row>
    <row r="37029">
      <c r="A37029" s="17"/>
      <c r="H37029" s="18"/>
      <c r="K37029" s="18" t="s">
        <v>316</v>
      </c>
    </row>
    <row r="37030">
      <c r="A37030" s="17"/>
      <c r="H37030" s="18"/>
      <c r="K37030" s="18" t="s">
        <v>316</v>
      </c>
    </row>
    <row r="37031">
      <c r="A37031" s="17"/>
      <c r="H37031" s="18"/>
      <c r="K37031" s="18" t="s">
        <v>316</v>
      </c>
    </row>
    <row r="37032">
      <c r="A37032" s="17"/>
      <c r="H37032" s="18"/>
      <c r="K37032" s="18" t="s">
        <v>316</v>
      </c>
    </row>
    <row r="37033">
      <c r="A37033" s="17"/>
      <c r="H37033" s="18"/>
      <c r="K37033" s="18" t="s">
        <v>316</v>
      </c>
    </row>
    <row r="37034">
      <c r="A37034" s="17"/>
      <c r="H37034" s="18"/>
      <c r="K37034" s="18" t="s">
        <v>316</v>
      </c>
    </row>
    <row r="37035">
      <c r="A37035" s="17"/>
      <c r="H37035" s="18"/>
      <c r="K37035" s="18" t="s">
        <v>316</v>
      </c>
    </row>
    <row r="37036">
      <c r="A37036" s="17"/>
      <c r="H37036" s="18"/>
      <c r="K37036" s="18" t="s">
        <v>316</v>
      </c>
    </row>
    <row r="37037">
      <c r="A37037" s="17"/>
      <c r="H37037" s="18"/>
      <c r="K37037" s="18" t="s">
        <v>316</v>
      </c>
    </row>
    <row r="37038">
      <c r="A37038" s="17"/>
      <c r="H37038" s="18"/>
      <c r="K37038" s="18" t="s">
        <v>316</v>
      </c>
    </row>
    <row r="37039">
      <c r="A37039" s="17"/>
      <c r="H37039" s="18"/>
      <c r="K37039" s="18" t="s">
        <v>316</v>
      </c>
    </row>
    <row r="37040">
      <c r="A37040" s="17"/>
      <c r="H37040" s="18"/>
      <c r="K37040" s="18" t="s">
        <v>316</v>
      </c>
    </row>
    <row r="37041">
      <c r="A37041" s="17"/>
      <c r="H37041" s="18"/>
      <c r="K37041" s="18" t="s">
        <v>316</v>
      </c>
    </row>
    <row r="37042">
      <c r="A37042" s="17"/>
      <c r="H37042" s="18"/>
      <c r="K37042" s="18" t="s">
        <v>316</v>
      </c>
    </row>
    <row r="37043">
      <c r="A37043" s="17"/>
      <c r="H37043" s="18"/>
      <c r="K37043" s="18" t="s">
        <v>316</v>
      </c>
    </row>
    <row r="37044">
      <c r="A37044" s="17"/>
      <c r="H37044" s="18"/>
      <c r="K37044" s="18" t="s">
        <v>316</v>
      </c>
    </row>
    <row r="37045">
      <c r="A37045" s="17"/>
      <c r="H37045" s="18"/>
      <c r="K37045" s="18" t="s">
        <v>316</v>
      </c>
    </row>
    <row r="37046">
      <c r="A37046" s="17"/>
      <c r="H37046" s="18"/>
      <c r="K37046" s="18" t="s">
        <v>316</v>
      </c>
    </row>
    <row r="37047">
      <c r="A37047" s="17"/>
      <c r="H37047" s="18"/>
      <c r="K37047" s="18" t="s">
        <v>316</v>
      </c>
    </row>
    <row r="37048">
      <c r="A37048" s="17"/>
      <c r="H37048" s="18"/>
      <c r="K37048" s="18" t="s">
        <v>316</v>
      </c>
    </row>
    <row r="37049">
      <c r="A37049" s="17"/>
      <c r="H37049" s="18"/>
      <c r="K37049" s="18" t="s">
        <v>316</v>
      </c>
    </row>
    <row r="37050">
      <c r="A37050" s="17"/>
      <c r="H37050" s="18"/>
      <c r="K37050" s="18" t="s">
        <v>316</v>
      </c>
    </row>
    <row r="37051">
      <c r="A37051" s="17"/>
      <c r="H37051" s="18"/>
      <c r="K37051" s="18" t="s">
        <v>316</v>
      </c>
    </row>
    <row r="37052">
      <c r="A37052" s="17"/>
      <c r="H37052" s="18"/>
      <c r="K37052" s="18" t="s">
        <v>316</v>
      </c>
    </row>
    <row r="37053">
      <c r="A37053" s="17"/>
      <c r="H37053" s="18"/>
      <c r="K37053" s="18" t="s">
        <v>316</v>
      </c>
    </row>
    <row r="37054">
      <c r="A37054" s="17"/>
      <c r="H37054" s="18"/>
      <c r="K37054" s="18" t="s">
        <v>316</v>
      </c>
    </row>
    <row r="37055">
      <c r="A37055" s="17"/>
      <c r="H37055" s="18"/>
      <c r="K37055" s="18" t="s">
        <v>316</v>
      </c>
    </row>
    <row r="37056">
      <c r="A37056" s="17"/>
      <c r="H37056" s="18"/>
      <c r="K37056" s="18" t="s">
        <v>316</v>
      </c>
    </row>
    <row r="37057">
      <c r="A37057" s="17"/>
      <c r="H37057" s="18"/>
      <c r="K37057" s="18" t="s">
        <v>316</v>
      </c>
    </row>
    <row r="37058">
      <c r="A37058" s="17"/>
      <c r="H37058" s="18"/>
      <c r="K37058" s="18" t="s">
        <v>316</v>
      </c>
    </row>
    <row r="37059">
      <c r="A37059" s="17"/>
      <c r="H37059" s="18"/>
      <c r="K37059" s="18" t="s">
        <v>316</v>
      </c>
    </row>
    <row r="37060">
      <c r="A37060" s="17"/>
      <c r="H37060" s="18"/>
      <c r="K37060" s="18" t="s">
        <v>316</v>
      </c>
    </row>
    <row r="37061">
      <c r="A37061" s="17"/>
      <c r="H37061" s="18"/>
      <c r="K37061" s="18" t="s">
        <v>316</v>
      </c>
    </row>
    <row r="37062">
      <c r="A37062" s="17"/>
      <c r="H37062" s="18"/>
      <c r="K37062" s="18" t="s">
        <v>316</v>
      </c>
    </row>
    <row r="37063">
      <c r="A37063" s="17"/>
      <c r="H37063" s="18"/>
      <c r="K37063" s="18" t="s">
        <v>316</v>
      </c>
    </row>
    <row r="37064">
      <c r="A37064" s="17"/>
      <c r="H37064" s="18"/>
      <c r="K37064" s="18" t="s">
        <v>316</v>
      </c>
    </row>
    <row r="37065">
      <c r="A37065" s="17"/>
      <c r="H37065" s="18"/>
      <c r="K37065" s="18" t="s">
        <v>316</v>
      </c>
    </row>
    <row r="37066">
      <c r="A37066" s="17"/>
      <c r="H37066" s="18"/>
      <c r="K37066" s="18" t="s">
        <v>316</v>
      </c>
    </row>
    <row r="37067">
      <c r="A37067" s="17"/>
      <c r="H37067" s="18"/>
      <c r="K37067" s="18" t="s">
        <v>316</v>
      </c>
    </row>
    <row r="37068">
      <c r="A37068" s="17"/>
      <c r="H37068" s="18"/>
      <c r="K37068" s="18" t="s">
        <v>316</v>
      </c>
    </row>
    <row r="37069">
      <c r="A37069" s="17"/>
      <c r="H37069" s="18"/>
      <c r="K37069" s="18" t="s">
        <v>316</v>
      </c>
    </row>
    <row r="37070">
      <c r="A37070" s="17"/>
      <c r="H37070" s="18"/>
      <c r="K37070" s="18" t="s">
        <v>316</v>
      </c>
    </row>
    <row r="37071">
      <c r="A37071" s="17"/>
      <c r="H37071" s="18"/>
      <c r="K37071" s="18" t="s">
        <v>316</v>
      </c>
    </row>
    <row r="37072">
      <c r="A37072" s="17"/>
      <c r="H37072" s="18"/>
      <c r="K37072" s="18" t="s">
        <v>316</v>
      </c>
    </row>
    <row r="37073">
      <c r="A37073" s="17"/>
      <c r="H37073" s="18"/>
      <c r="K37073" s="18" t="s">
        <v>316</v>
      </c>
    </row>
    <row r="37074">
      <c r="A37074" s="17"/>
      <c r="H37074" s="18"/>
      <c r="K37074" s="18" t="s">
        <v>316</v>
      </c>
    </row>
    <row r="37075">
      <c r="A37075" s="17"/>
      <c r="H37075" s="18"/>
      <c r="K37075" s="18" t="s">
        <v>316</v>
      </c>
    </row>
    <row r="37076">
      <c r="A37076" s="17"/>
      <c r="H37076" s="18"/>
      <c r="K37076" s="18" t="s">
        <v>316</v>
      </c>
    </row>
    <row r="37077">
      <c r="A37077" s="17"/>
      <c r="H37077" s="18"/>
      <c r="K37077" s="18" t="s">
        <v>316</v>
      </c>
    </row>
    <row r="37078">
      <c r="A37078" s="17"/>
      <c r="H37078" s="18"/>
      <c r="K37078" s="18" t="s">
        <v>316</v>
      </c>
    </row>
    <row r="37079">
      <c r="A37079" s="17"/>
      <c r="H37079" s="18"/>
      <c r="K37079" s="18" t="s">
        <v>316</v>
      </c>
    </row>
    <row r="37080">
      <c r="A37080" s="17"/>
      <c r="H37080" s="18"/>
      <c r="K37080" s="18" t="s">
        <v>316</v>
      </c>
    </row>
    <row r="37081">
      <c r="A37081" s="17"/>
      <c r="H37081" s="18"/>
      <c r="K37081" s="18" t="s">
        <v>316</v>
      </c>
    </row>
    <row r="37082">
      <c r="A37082" s="17"/>
      <c r="H37082" s="18"/>
      <c r="K37082" s="18" t="s">
        <v>316</v>
      </c>
    </row>
    <row r="37083">
      <c r="A37083" s="17"/>
      <c r="H37083" s="18"/>
      <c r="K37083" s="18" t="s">
        <v>316</v>
      </c>
    </row>
    <row r="37084">
      <c r="A37084" s="17"/>
      <c r="H37084" s="18"/>
      <c r="K37084" s="18" t="s">
        <v>316</v>
      </c>
    </row>
    <row r="37085">
      <c r="A37085" s="17"/>
      <c r="H37085" s="18"/>
      <c r="K37085" s="18" t="s">
        <v>316</v>
      </c>
    </row>
    <row r="37086">
      <c r="A37086" s="17"/>
      <c r="H37086" s="18"/>
      <c r="K37086" s="18" t="s">
        <v>316</v>
      </c>
    </row>
    <row r="37087">
      <c r="A37087" s="17"/>
      <c r="H37087" s="18"/>
      <c r="K37087" s="18" t="s">
        <v>316</v>
      </c>
    </row>
    <row r="37088">
      <c r="A37088" s="17"/>
      <c r="H37088" s="18"/>
      <c r="K37088" s="18" t="s">
        <v>316</v>
      </c>
    </row>
    <row r="37089">
      <c r="A37089" s="17"/>
      <c r="H37089" s="18"/>
      <c r="K37089" s="18" t="s">
        <v>316</v>
      </c>
    </row>
    <row r="37090">
      <c r="A37090" s="17"/>
      <c r="H37090" s="18"/>
      <c r="K37090" s="18" t="s">
        <v>316</v>
      </c>
    </row>
    <row r="37091">
      <c r="A37091" s="17"/>
      <c r="H37091" s="18"/>
      <c r="K37091" s="18" t="s">
        <v>316</v>
      </c>
    </row>
    <row r="37092">
      <c r="A37092" s="17"/>
      <c r="H37092" s="18"/>
      <c r="K37092" s="18" t="s">
        <v>316</v>
      </c>
    </row>
    <row r="37093">
      <c r="A37093" s="17"/>
      <c r="H37093" s="18"/>
      <c r="K37093" s="18" t="s">
        <v>316</v>
      </c>
    </row>
    <row r="37094">
      <c r="A37094" s="17"/>
      <c r="H37094" s="18"/>
      <c r="K37094" s="18" t="s">
        <v>316</v>
      </c>
    </row>
    <row r="37095">
      <c r="A37095" s="17"/>
      <c r="H37095" s="18"/>
      <c r="K37095" s="18" t="s">
        <v>316</v>
      </c>
    </row>
    <row r="37096">
      <c r="A37096" s="17"/>
      <c r="H37096" s="18"/>
      <c r="K37096" s="18" t="s">
        <v>316</v>
      </c>
    </row>
    <row r="37097">
      <c r="A37097" s="17"/>
      <c r="H37097" s="18"/>
      <c r="K37097" s="18" t="s">
        <v>316</v>
      </c>
    </row>
    <row r="37098">
      <c r="A37098" s="17"/>
      <c r="H37098" s="18"/>
      <c r="K37098" s="18" t="s">
        <v>316</v>
      </c>
    </row>
    <row r="37099">
      <c r="A37099" s="17"/>
      <c r="H37099" s="18"/>
      <c r="K37099" s="18" t="s">
        <v>316</v>
      </c>
    </row>
    <row r="37100">
      <c r="A37100" s="17"/>
      <c r="H37100" s="18"/>
      <c r="K37100" s="18" t="s">
        <v>316</v>
      </c>
    </row>
    <row r="37101">
      <c r="A37101" s="17"/>
      <c r="H37101" s="18"/>
      <c r="K37101" s="18" t="s">
        <v>316</v>
      </c>
    </row>
    <row r="37102">
      <c r="A37102" s="17"/>
      <c r="H37102" s="18"/>
      <c r="K37102" s="18" t="s">
        <v>316</v>
      </c>
    </row>
    <row r="37103">
      <c r="A37103" s="17"/>
      <c r="H37103" s="18"/>
      <c r="K37103" s="18" t="s">
        <v>316</v>
      </c>
    </row>
    <row r="37104">
      <c r="A37104" s="17"/>
      <c r="H37104" s="18"/>
      <c r="K37104" s="18" t="s">
        <v>316</v>
      </c>
    </row>
    <row r="37105">
      <c r="A37105" s="17"/>
      <c r="H37105" s="18"/>
      <c r="K37105" s="18" t="s">
        <v>316</v>
      </c>
    </row>
    <row r="37106">
      <c r="A37106" s="17"/>
      <c r="H37106" s="18"/>
      <c r="K37106" s="18" t="s">
        <v>316</v>
      </c>
    </row>
    <row r="37107">
      <c r="A37107" s="17"/>
      <c r="H37107" s="18"/>
      <c r="K37107" s="18" t="s">
        <v>316</v>
      </c>
    </row>
    <row r="37108">
      <c r="A37108" s="17"/>
      <c r="H37108" s="18"/>
      <c r="K37108" s="18" t="s">
        <v>316</v>
      </c>
    </row>
    <row r="37109">
      <c r="A37109" s="17"/>
      <c r="H37109" s="18"/>
      <c r="K37109" s="18" t="s">
        <v>316</v>
      </c>
    </row>
    <row r="37110">
      <c r="A37110" s="17"/>
      <c r="H37110" s="18"/>
      <c r="K37110" s="18" t="s">
        <v>316</v>
      </c>
    </row>
    <row r="37111">
      <c r="A37111" s="17"/>
      <c r="H37111" s="18"/>
      <c r="K37111" s="18" t="s">
        <v>316</v>
      </c>
    </row>
    <row r="37112">
      <c r="A37112" s="17"/>
      <c r="H37112" s="18"/>
      <c r="K37112" s="18" t="s">
        <v>316</v>
      </c>
    </row>
    <row r="37113">
      <c r="A37113" s="17"/>
      <c r="H37113" s="18"/>
      <c r="K37113" s="18" t="s">
        <v>316</v>
      </c>
    </row>
    <row r="37114">
      <c r="A37114" s="17"/>
      <c r="H37114" s="18"/>
      <c r="K37114" s="18" t="s">
        <v>316</v>
      </c>
    </row>
    <row r="37115">
      <c r="A37115" s="17"/>
      <c r="H37115" s="18"/>
      <c r="K37115" s="18" t="s">
        <v>316</v>
      </c>
    </row>
    <row r="37116">
      <c r="A37116" s="17"/>
      <c r="H37116" s="18"/>
      <c r="K37116" s="18" t="s">
        <v>316</v>
      </c>
    </row>
    <row r="37117">
      <c r="A37117" s="17"/>
      <c r="H37117" s="18"/>
      <c r="K37117" s="18" t="s">
        <v>316</v>
      </c>
    </row>
    <row r="37118">
      <c r="A37118" s="17"/>
      <c r="H37118" s="18"/>
      <c r="K37118" s="18" t="s">
        <v>316</v>
      </c>
    </row>
    <row r="37119">
      <c r="A37119" s="17"/>
      <c r="H37119" s="18"/>
      <c r="K37119" s="18" t="s">
        <v>316</v>
      </c>
    </row>
    <row r="37120">
      <c r="A37120" s="17"/>
      <c r="H37120" s="18"/>
      <c r="K37120" s="18" t="s">
        <v>316</v>
      </c>
    </row>
    <row r="37121">
      <c r="A37121" s="17"/>
      <c r="H37121" s="18"/>
      <c r="K37121" s="18" t="s">
        <v>316</v>
      </c>
    </row>
    <row r="37122">
      <c r="A37122" s="17"/>
      <c r="H37122" s="18"/>
      <c r="K37122" s="18" t="s">
        <v>316</v>
      </c>
    </row>
    <row r="37123">
      <c r="A37123" s="17"/>
      <c r="H37123" s="18"/>
      <c r="K37123" s="18" t="s">
        <v>316</v>
      </c>
    </row>
    <row r="37124">
      <c r="A37124" s="17"/>
      <c r="H37124" s="18"/>
      <c r="K37124" s="18" t="s">
        <v>316</v>
      </c>
    </row>
    <row r="37125">
      <c r="A37125" s="17"/>
      <c r="H37125" s="18"/>
      <c r="K37125" s="18" t="s">
        <v>316</v>
      </c>
    </row>
    <row r="37126">
      <c r="A37126" s="17"/>
      <c r="H37126" s="18"/>
      <c r="K37126" s="18" t="s">
        <v>316</v>
      </c>
    </row>
    <row r="37127">
      <c r="A37127" s="17"/>
      <c r="H37127" s="18"/>
      <c r="K37127" s="18" t="s">
        <v>316</v>
      </c>
    </row>
    <row r="37128">
      <c r="A37128" s="17"/>
      <c r="H37128" s="18"/>
      <c r="K37128" s="18" t="s">
        <v>316</v>
      </c>
    </row>
    <row r="37129">
      <c r="A37129" s="17"/>
      <c r="H37129" s="18"/>
      <c r="K37129" s="18" t="s">
        <v>316</v>
      </c>
    </row>
    <row r="37130">
      <c r="A37130" s="17"/>
      <c r="H37130" s="18"/>
      <c r="K37130" s="18" t="s">
        <v>316</v>
      </c>
    </row>
    <row r="37131">
      <c r="A37131" s="17"/>
      <c r="H37131" s="18"/>
      <c r="K37131" s="18" t="s">
        <v>316</v>
      </c>
    </row>
    <row r="37132">
      <c r="A37132" s="17"/>
      <c r="H37132" s="18"/>
      <c r="K37132" s="18" t="s">
        <v>316</v>
      </c>
    </row>
    <row r="37133">
      <c r="A37133" s="17"/>
      <c r="H37133" s="18"/>
      <c r="K37133" s="18" t="s">
        <v>316</v>
      </c>
    </row>
    <row r="37134">
      <c r="A37134" s="17"/>
      <c r="H37134" s="18"/>
      <c r="K37134" s="18" t="s">
        <v>316</v>
      </c>
    </row>
    <row r="37135">
      <c r="A37135" s="17"/>
      <c r="H37135" s="18"/>
      <c r="K37135" s="18" t="s">
        <v>316</v>
      </c>
    </row>
    <row r="37136">
      <c r="A37136" s="17"/>
      <c r="H37136" s="18"/>
      <c r="K37136" s="18" t="s">
        <v>316</v>
      </c>
    </row>
    <row r="37137">
      <c r="A37137" s="17"/>
      <c r="H37137" s="18"/>
      <c r="K37137" s="18" t="s">
        <v>316</v>
      </c>
    </row>
    <row r="37138">
      <c r="A37138" s="17"/>
      <c r="H37138" s="18"/>
      <c r="K37138" s="18" t="s">
        <v>316</v>
      </c>
    </row>
    <row r="37139">
      <c r="A37139" s="17"/>
      <c r="H37139" s="18"/>
      <c r="K37139" s="18" t="s">
        <v>316</v>
      </c>
    </row>
    <row r="37140">
      <c r="A37140" s="17"/>
      <c r="H37140" s="18"/>
      <c r="K37140" s="18" t="s">
        <v>316</v>
      </c>
    </row>
    <row r="37141">
      <c r="A37141" s="17"/>
      <c r="H37141" s="18"/>
      <c r="K37141" s="18" t="s">
        <v>316</v>
      </c>
    </row>
    <row r="37142">
      <c r="A37142" s="17"/>
      <c r="H37142" s="18"/>
      <c r="K37142" s="18" t="s">
        <v>316</v>
      </c>
    </row>
    <row r="37143">
      <c r="A37143" s="17"/>
      <c r="H37143" s="18"/>
      <c r="K37143" s="18" t="s">
        <v>316</v>
      </c>
    </row>
    <row r="37144">
      <c r="A37144" s="17"/>
      <c r="H37144" s="18"/>
      <c r="K37144" s="18" t="s">
        <v>316</v>
      </c>
    </row>
    <row r="37145">
      <c r="A37145" s="17"/>
      <c r="H37145" s="18"/>
      <c r="K37145" s="18" t="s">
        <v>316</v>
      </c>
    </row>
    <row r="37146">
      <c r="A37146" s="17"/>
      <c r="H37146" s="18"/>
      <c r="K37146" s="18" t="s">
        <v>316</v>
      </c>
    </row>
    <row r="37147">
      <c r="A37147" s="17"/>
      <c r="H37147" s="18"/>
      <c r="K37147" s="18" t="s">
        <v>316</v>
      </c>
    </row>
    <row r="37148">
      <c r="A37148" s="17"/>
      <c r="H37148" s="18"/>
      <c r="K37148" s="18" t="s">
        <v>316</v>
      </c>
    </row>
    <row r="37149">
      <c r="A37149" s="17"/>
      <c r="H37149" s="18"/>
      <c r="K37149" s="18" t="s">
        <v>316</v>
      </c>
    </row>
    <row r="37150">
      <c r="A37150" s="17"/>
      <c r="H37150" s="18"/>
      <c r="K37150" s="18" t="s">
        <v>316</v>
      </c>
    </row>
    <row r="37151">
      <c r="A37151" s="17"/>
      <c r="H37151" s="18"/>
      <c r="K37151" s="18" t="s">
        <v>316</v>
      </c>
    </row>
    <row r="37152">
      <c r="A37152" s="17"/>
      <c r="H37152" s="18"/>
      <c r="K37152" s="18" t="s">
        <v>316</v>
      </c>
    </row>
    <row r="37153">
      <c r="A37153" s="17"/>
      <c r="H37153" s="18"/>
      <c r="K37153" s="18" t="s">
        <v>316</v>
      </c>
    </row>
    <row r="37154">
      <c r="A37154" s="17"/>
      <c r="H37154" s="18"/>
      <c r="K37154" s="18" t="s">
        <v>316</v>
      </c>
    </row>
    <row r="37155">
      <c r="A37155" s="17"/>
      <c r="H37155" s="18"/>
      <c r="K37155" s="18" t="s">
        <v>316</v>
      </c>
    </row>
    <row r="37156">
      <c r="A37156" s="17"/>
      <c r="H37156" s="18"/>
      <c r="K37156" s="18" t="s">
        <v>316</v>
      </c>
    </row>
    <row r="37157">
      <c r="A37157" s="17"/>
      <c r="H37157" s="18"/>
      <c r="K37157" s="18" t="s">
        <v>316</v>
      </c>
    </row>
    <row r="37158">
      <c r="A37158" s="17"/>
      <c r="H37158" s="18"/>
      <c r="K37158" s="18" t="s">
        <v>316</v>
      </c>
    </row>
    <row r="37159">
      <c r="A37159" s="17"/>
      <c r="H37159" s="18"/>
      <c r="K37159" s="18" t="s">
        <v>316</v>
      </c>
    </row>
    <row r="37160">
      <c r="A37160" s="17"/>
      <c r="H37160" s="18"/>
      <c r="K37160" s="18" t="s">
        <v>316</v>
      </c>
    </row>
    <row r="37161">
      <c r="A37161" s="17"/>
      <c r="H37161" s="18"/>
      <c r="K37161" s="18" t="s">
        <v>316</v>
      </c>
    </row>
    <row r="37162">
      <c r="A37162" s="17"/>
      <c r="H37162" s="18"/>
      <c r="K37162" s="18" t="s">
        <v>316</v>
      </c>
    </row>
    <row r="37163">
      <c r="A37163" s="17"/>
      <c r="H37163" s="18"/>
      <c r="K37163" s="18" t="s">
        <v>316</v>
      </c>
    </row>
    <row r="37164">
      <c r="A37164" s="17"/>
      <c r="H37164" s="18"/>
      <c r="K37164" s="18" t="s">
        <v>316</v>
      </c>
    </row>
    <row r="37165">
      <c r="A37165" s="17"/>
      <c r="H37165" s="18"/>
      <c r="K37165" s="18" t="s">
        <v>316</v>
      </c>
    </row>
    <row r="37166">
      <c r="A37166" s="17"/>
      <c r="H37166" s="18"/>
      <c r="K37166" s="18" t="s">
        <v>316</v>
      </c>
    </row>
    <row r="37167">
      <c r="A37167" s="17"/>
      <c r="H37167" s="18"/>
      <c r="K37167" s="18" t="s">
        <v>316</v>
      </c>
    </row>
    <row r="37168">
      <c r="A37168" s="17"/>
      <c r="H37168" s="18"/>
      <c r="K37168" s="18" t="s">
        <v>316</v>
      </c>
    </row>
    <row r="37169">
      <c r="A37169" s="17"/>
      <c r="H37169" s="18"/>
      <c r="K37169" s="18" t="s">
        <v>316</v>
      </c>
    </row>
    <row r="37170">
      <c r="A37170" s="17"/>
      <c r="H37170" s="18"/>
      <c r="K37170" s="18" t="s">
        <v>316</v>
      </c>
    </row>
    <row r="37171">
      <c r="A37171" s="17"/>
      <c r="H37171" s="18"/>
      <c r="K37171" s="18" t="s">
        <v>316</v>
      </c>
    </row>
    <row r="37172">
      <c r="A37172" s="17"/>
      <c r="H37172" s="18"/>
      <c r="K37172" s="18" t="s">
        <v>316</v>
      </c>
    </row>
    <row r="37173">
      <c r="A37173" s="17"/>
      <c r="H37173" s="18"/>
      <c r="K37173" s="18" t="s">
        <v>316</v>
      </c>
    </row>
    <row r="37174">
      <c r="A37174" s="17"/>
      <c r="H37174" s="18"/>
      <c r="K37174" s="18" t="s">
        <v>316</v>
      </c>
    </row>
    <row r="37175">
      <c r="A37175" s="17"/>
      <c r="H37175" s="18"/>
      <c r="K37175" s="18" t="s">
        <v>316</v>
      </c>
    </row>
    <row r="37176">
      <c r="A37176" s="17"/>
      <c r="H37176" s="18"/>
      <c r="K37176" s="18" t="s">
        <v>316</v>
      </c>
    </row>
    <row r="37177">
      <c r="A37177" s="17"/>
      <c r="H37177" s="18"/>
      <c r="K37177" s="18" t="s">
        <v>316</v>
      </c>
    </row>
    <row r="37178">
      <c r="A37178" s="17"/>
      <c r="H37178" s="18"/>
      <c r="K37178" s="18" t="s">
        <v>316</v>
      </c>
    </row>
    <row r="37179">
      <c r="A37179" s="17"/>
      <c r="H37179" s="18"/>
      <c r="K37179" s="18" t="s">
        <v>316</v>
      </c>
    </row>
    <row r="37180">
      <c r="A37180" s="17"/>
      <c r="H37180" s="18"/>
      <c r="K37180" s="18" t="s">
        <v>316</v>
      </c>
    </row>
    <row r="37181">
      <c r="A37181" s="17"/>
      <c r="H37181" s="18"/>
      <c r="K37181" s="18" t="s">
        <v>316</v>
      </c>
    </row>
    <row r="37182">
      <c r="A37182" s="17"/>
      <c r="H37182" s="18"/>
      <c r="K37182" s="18" t="s">
        <v>316</v>
      </c>
    </row>
    <row r="37183">
      <c r="A37183" s="17"/>
      <c r="H37183" s="18"/>
      <c r="K37183" s="18" t="s">
        <v>316</v>
      </c>
    </row>
    <row r="37184">
      <c r="A37184" s="17"/>
      <c r="H37184" s="18"/>
      <c r="K37184" s="18" t="s">
        <v>316</v>
      </c>
    </row>
    <row r="37185">
      <c r="A37185" s="17"/>
      <c r="H37185" s="18"/>
      <c r="K37185" s="18" t="s">
        <v>316</v>
      </c>
    </row>
    <row r="37186">
      <c r="A37186" s="17"/>
      <c r="H37186" s="18"/>
      <c r="K37186" s="18" t="s">
        <v>316</v>
      </c>
    </row>
    <row r="37187">
      <c r="A37187" s="17"/>
      <c r="H37187" s="18"/>
      <c r="K37187" s="18" t="s">
        <v>316</v>
      </c>
    </row>
    <row r="37188">
      <c r="A37188" s="17"/>
      <c r="H37188" s="18"/>
      <c r="K37188" s="18" t="s">
        <v>316</v>
      </c>
    </row>
    <row r="37189">
      <c r="A37189" s="17"/>
      <c r="H37189" s="18"/>
      <c r="K37189" s="18" t="s">
        <v>316</v>
      </c>
    </row>
    <row r="37190">
      <c r="A37190" s="17"/>
      <c r="H37190" s="18"/>
      <c r="K37190" s="18" t="s">
        <v>316</v>
      </c>
    </row>
    <row r="37191">
      <c r="A37191" s="17"/>
      <c r="H37191" s="18"/>
      <c r="K37191" s="18" t="s">
        <v>316</v>
      </c>
    </row>
    <row r="37192">
      <c r="A37192" s="17"/>
      <c r="H37192" s="18"/>
      <c r="K37192" s="18" t="s">
        <v>316</v>
      </c>
    </row>
    <row r="37193">
      <c r="A37193" s="17"/>
      <c r="H37193" s="18"/>
      <c r="K37193" s="18" t="s">
        <v>316</v>
      </c>
    </row>
    <row r="37194">
      <c r="A37194" s="17"/>
      <c r="H37194" s="18"/>
      <c r="K37194" s="18" t="s">
        <v>316</v>
      </c>
    </row>
    <row r="37195">
      <c r="A37195" s="17"/>
      <c r="H37195" s="18"/>
      <c r="K37195" s="18" t="s">
        <v>316</v>
      </c>
    </row>
    <row r="37196">
      <c r="A37196" s="17"/>
      <c r="H37196" s="18"/>
      <c r="K37196" s="18" t="s">
        <v>316</v>
      </c>
    </row>
    <row r="37197">
      <c r="A37197" s="17"/>
      <c r="H37197" s="18"/>
      <c r="K37197" s="18" t="s">
        <v>316</v>
      </c>
    </row>
    <row r="37198">
      <c r="A37198" s="17"/>
      <c r="H37198" s="18"/>
      <c r="K37198" s="18" t="s">
        <v>316</v>
      </c>
    </row>
    <row r="37199">
      <c r="A37199" s="17"/>
      <c r="H37199" s="18"/>
      <c r="K37199" s="18" t="s">
        <v>316</v>
      </c>
    </row>
    <row r="37200">
      <c r="A37200" s="17"/>
      <c r="H37200" s="18"/>
      <c r="K37200" s="18" t="s">
        <v>316</v>
      </c>
    </row>
    <row r="37201">
      <c r="A37201" s="17"/>
      <c r="H37201" s="18"/>
      <c r="K37201" s="18" t="s">
        <v>316</v>
      </c>
    </row>
    <row r="37202">
      <c r="A37202" s="17"/>
      <c r="H37202" s="18"/>
      <c r="K37202" s="18" t="s">
        <v>316</v>
      </c>
    </row>
    <row r="37203">
      <c r="A37203" s="17"/>
      <c r="H37203" s="18"/>
      <c r="K37203" s="18" t="s">
        <v>316</v>
      </c>
    </row>
    <row r="37204">
      <c r="A37204" s="17"/>
      <c r="H37204" s="18"/>
      <c r="K37204" s="18" t="s">
        <v>316</v>
      </c>
    </row>
    <row r="37205">
      <c r="A37205" s="17"/>
      <c r="H37205" s="18"/>
      <c r="K37205" s="18" t="s">
        <v>316</v>
      </c>
    </row>
    <row r="37206">
      <c r="A37206" s="17"/>
      <c r="H37206" s="18"/>
      <c r="K37206" s="18" t="s">
        <v>316</v>
      </c>
    </row>
    <row r="37207">
      <c r="A37207" s="17"/>
      <c r="H37207" s="18"/>
      <c r="K37207" s="18" t="s">
        <v>316</v>
      </c>
    </row>
    <row r="37208">
      <c r="A37208" s="17"/>
      <c r="H37208" s="18"/>
      <c r="K37208" s="18" t="s">
        <v>316</v>
      </c>
    </row>
    <row r="37209">
      <c r="A37209" s="17"/>
      <c r="H37209" s="18"/>
      <c r="K37209" s="18" t="s">
        <v>316</v>
      </c>
    </row>
    <row r="37210">
      <c r="A37210" s="17"/>
      <c r="H37210" s="18"/>
      <c r="K37210" s="18" t="s">
        <v>316</v>
      </c>
    </row>
    <row r="37211">
      <c r="A37211" s="17"/>
      <c r="H37211" s="18"/>
      <c r="K37211" s="18" t="s">
        <v>316</v>
      </c>
    </row>
    <row r="37212">
      <c r="A37212" s="17"/>
      <c r="H37212" s="18"/>
      <c r="K37212" s="18" t="s">
        <v>316</v>
      </c>
    </row>
    <row r="37213">
      <c r="A37213" s="17"/>
      <c r="H37213" s="18"/>
      <c r="K37213" s="18" t="s">
        <v>316</v>
      </c>
    </row>
    <row r="37214">
      <c r="A37214" s="17"/>
      <c r="H37214" s="18"/>
      <c r="K37214" s="18" t="s">
        <v>316</v>
      </c>
    </row>
    <row r="37215">
      <c r="A37215" s="17"/>
      <c r="H37215" s="18"/>
      <c r="K37215" s="18" t="s">
        <v>316</v>
      </c>
    </row>
    <row r="37216">
      <c r="A37216" s="17"/>
      <c r="H37216" s="18"/>
      <c r="K37216" s="18" t="s">
        <v>316</v>
      </c>
    </row>
    <row r="37217">
      <c r="A37217" s="17"/>
      <c r="H37217" s="18"/>
      <c r="K37217" s="18" t="s">
        <v>316</v>
      </c>
    </row>
    <row r="37218">
      <c r="A37218" s="17"/>
      <c r="H37218" s="18"/>
      <c r="K37218" s="18" t="s">
        <v>316</v>
      </c>
    </row>
    <row r="37219">
      <c r="A37219" s="17"/>
      <c r="H37219" s="18"/>
      <c r="K37219" s="18" t="s">
        <v>316</v>
      </c>
    </row>
    <row r="37220">
      <c r="A37220" s="17"/>
      <c r="H37220" s="18"/>
      <c r="K37220" s="18" t="s">
        <v>316</v>
      </c>
    </row>
    <row r="37221">
      <c r="A37221" s="17"/>
      <c r="H37221" s="18"/>
      <c r="K37221" s="18" t="s">
        <v>316</v>
      </c>
    </row>
    <row r="37222">
      <c r="A37222" s="17"/>
      <c r="H37222" s="18"/>
      <c r="K37222" s="18" t="s">
        <v>316</v>
      </c>
    </row>
    <row r="37223">
      <c r="A37223" s="17"/>
      <c r="H37223" s="18"/>
      <c r="K37223" s="18" t="s">
        <v>316</v>
      </c>
    </row>
    <row r="37224">
      <c r="A37224" s="17"/>
      <c r="H37224" s="18"/>
      <c r="K37224" s="18" t="s">
        <v>316</v>
      </c>
    </row>
    <row r="37225">
      <c r="A37225" s="17"/>
      <c r="H37225" s="18"/>
      <c r="K37225" s="18" t="s">
        <v>316</v>
      </c>
    </row>
    <row r="37226">
      <c r="A37226" s="17"/>
      <c r="H37226" s="18"/>
      <c r="K37226" s="18" t="s">
        <v>316</v>
      </c>
    </row>
    <row r="37227">
      <c r="A37227" s="17"/>
      <c r="H37227" s="18"/>
      <c r="K37227" s="18" t="s">
        <v>316</v>
      </c>
    </row>
    <row r="37228">
      <c r="A37228" s="17"/>
      <c r="H37228" s="18"/>
      <c r="K37228" s="18" t="s">
        <v>316</v>
      </c>
    </row>
    <row r="37229">
      <c r="A37229" s="17"/>
      <c r="H37229" s="18"/>
      <c r="K37229" s="18" t="s">
        <v>316</v>
      </c>
    </row>
    <row r="37230">
      <c r="A37230" s="17"/>
      <c r="H37230" s="18"/>
      <c r="K37230" s="18" t="s">
        <v>316</v>
      </c>
    </row>
    <row r="37231">
      <c r="A37231" s="17"/>
      <c r="H37231" s="18"/>
      <c r="K37231" s="18" t="s">
        <v>316</v>
      </c>
    </row>
    <row r="37232">
      <c r="A37232" s="17"/>
      <c r="H37232" s="18"/>
      <c r="K37232" s="18" t="s">
        <v>316</v>
      </c>
    </row>
    <row r="37233">
      <c r="A37233" s="17"/>
      <c r="H37233" s="18"/>
      <c r="K37233" s="18" t="s">
        <v>316</v>
      </c>
    </row>
    <row r="37234">
      <c r="A37234" s="17"/>
      <c r="H37234" s="18"/>
      <c r="K37234" s="18" t="s">
        <v>316</v>
      </c>
    </row>
    <row r="37235">
      <c r="A37235" s="17"/>
      <c r="H37235" s="18"/>
      <c r="K37235" s="18" t="s">
        <v>316</v>
      </c>
    </row>
    <row r="37236">
      <c r="A37236" s="17"/>
      <c r="H37236" s="18"/>
      <c r="K37236" s="18" t="s">
        <v>316</v>
      </c>
    </row>
    <row r="37237">
      <c r="A37237" s="17"/>
      <c r="H37237" s="18"/>
      <c r="K37237" s="18" t="s">
        <v>316</v>
      </c>
    </row>
    <row r="37238">
      <c r="A37238" s="17"/>
      <c r="H37238" s="18"/>
      <c r="K37238" s="18" t="s">
        <v>316</v>
      </c>
    </row>
    <row r="37239">
      <c r="A37239" s="17"/>
      <c r="H37239" s="18"/>
      <c r="K37239" s="18" t="s">
        <v>316</v>
      </c>
    </row>
    <row r="37240">
      <c r="A37240" s="17"/>
      <c r="H37240" s="18"/>
      <c r="K37240" s="18" t="s">
        <v>316</v>
      </c>
    </row>
    <row r="37241">
      <c r="A37241" s="17"/>
      <c r="H37241" s="18"/>
      <c r="K37241" s="18" t="s">
        <v>316</v>
      </c>
    </row>
    <row r="37242">
      <c r="A37242" s="17"/>
      <c r="H37242" s="18"/>
      <c r="K37242" s="18" t="s">
        <v>316</v>
      </c>
    </row>
    <row r="37243">
      <c r="A37243" s="17"/>
      <c r="H37243" s="18"/>
      <c r="K37243" s="18" t="s">
        <v>316</v>
      </c>
    </row>
    <row r="37244">
      <c r="A37244" s="17"/>
      <c r="H37244" s="18"/>
      <c r="K37244" s="18" t="s">
        <v>316</v>
      </c>
    </row>
    <row r="37245">
      <c r="A37245" s="17"/>
      <c r="H37245" s="18"/>
      <c r="K37245" s="18" t="s">
        <v>316</v>
      </c>
    </row>
    <row r="37246">
      <c r="A37246" s="17"/>
      <c r="H37246" s="18"/>
      <c r="K37246" s="18" t="s">
        <v>316</v>
      </c>
    </row>
    <row r="37247">
      <c r="A37247" s="17"/>
      <c r="H37247" s="18"/>
      <c r="K37247" s="18" t="s">
        <v>316</v>
      </c>
    </row>
    <row r="37248">
      <c r="A37248" s="17"/>
      <c r="H37248" s="18"/>
      <c r="K37248" s="18" t="s">
        <v>316</v>
      </c>
    </row>
    <row r="37249">
      <c r="A37249" s="17"/>
      <c r="H37249" s="18"/>
      <c r="K37249" s="18" t="s">
        <v>316</v>
      </c>
    </row>
    <row r="37250">
      <c r="A37250" s="17"/>
      <c r="H37250" s="18"/>
      <c r="K37250" s="18" t="s">
        <v>316</v>
      </c>
    </row>
    <row r="37251">
      <c r="A37251" s="17"/>
      <c r="H37251" s="18"/>
      <c r="K37251" s="18" t="s">
        <v>316</v>
      </c>
    </row>
    <row r="37252">
      <c r="A37252" s="17"/>
      <c r="H37252" s="18"/>
      <c r="K37252" s="18" t="s">
        <v>316</v>
      </c>
    </row>
    <row r="37253">
      <c r="A37253" s="17"/>
      <c r="H37253" s="18"/>
      <c r="K37253" s="18" t="s">
        <v>316</v>
      </c>
    </row>
    <row r="37254">
      <c r="A37254" s="17"/>
      <c r="H37254" s="18"/>
      <c r="K37254" s="18" t="s">
        <v>316</v>
      </c>
    </row>
    <row r="37255">
      <c r="A37255" s="17"/>
      <c r="H37255" s="18"/>
      <c r="K37255" s="18" t="s">
        <v>316</v>
      </c>
    </row>
    <row r="37256">
      <c r="A37256" s="17"/>
      <c r="H37256" s="18"/>
      <c r="K37256" s="18" t="s">
        <v>316</v>
      </c>
    </row>
    <row r="37257">
      <c r="A37257" s="17"/>
      <c r="H37257" s="18"/>
      <c r="K37257" s="18" t="s">
        <v>316</v>
      </c>
    </row>
    <row r="37258">
      <c r="A37258" s="17"/>
      <c r="H37258" s="18"/>
      <c r="K37258" s="18" t="s">
        <v>316</v>
      </c>
    </row>
    <row r="37259">
      <c r="A37259" s="17"/>
      <c r="H37259" s="18"/>
      <c r="K37259" s="18" t="s">
        <v>316</v>
      </c>
    </row>
    <row r="37260">
      <c r="A37260" s="17"/>
      <c r="H37260" s="18"/>
      <c r="K37260" s="18" t="s">
        <v>316</v>
      </c>
    </row>
    <row r="37261">
      <c r="A37261" s="17"/>
      <c r="H37261" s="18"/>
      <c r="K37261" s="18" t="s">
        <v>316</v>
      </c>
    </row>
    <row r="37262">
      <c r="A37262" s="17"/>
      <c r="H37262" s="18"/>
      <c r="K37262" s="18" t="s">
        <v>316</v>
      </c>
    </row>
    <row r="37263">
      <c r="A37263" s="17"/>
      <c r="H37263" s="18"/>
      <c r="K37263" s="18" t="s">
        <v>316</v>
      </c>
    </row>
    <row r="37264">
      <c r="A37264" s="17"/>
      <c r="H37264" s="18"/>
      <c r="K37264" s="18" t="s">
        <v>316</v>
      </c>
    </row>
    <row r="37265">
      <c r="A37265" s="17"/>
      <c r="H37265" s="18"/>
      <c r="K37265" s="18" t="s">
        <v>316</v>
      </c>
    </row>
    <row r="37266">
      <c r="A37266" s="17"/>
      <c r="H37266" s="18"/>
      <c r="K37266" s="18" t="s">
        <v>316</v>
      </c>
    </row>
    <row r="37267">
      <c r="A37267" s="17"/>
      <c r="H37267" s="18"/>
      <c r="K37267" s="18" t="s">
        <v>316</v>
      </c>
    </row>
    <row r="37268">
      <c r="A37268" s="17"/>
      <c r="H37268" s="18"/>
      <c r="K37268" s="18" t="s">
        <v>316</v>
      </c>
    </row>
    <row r="37269">
      <c r="A37269" s="17"/>
      <c r="H37269" s="18"/>
      <c r="K37269" s="18" t="s">
        <v>316</v>
      </c>
    </row>
    <row r="37270">
      <c r="A37270" s="17"/>
      <c r="H37270" s="18"/>
      <c r="K37270" s="18" t="s">
        <v>316</v>
      </c>
    </row>
    <row r="37271">
      <c r="A37271" s="17"/>
      <c r="H37271" s="18"/>
      <c r="K37271" s="18" t="s">
        <v>316</v>
      </c>
    </row>
    <row r="37272">
      <c r="A37272" s="17"/>
      <c r="H37272" s="18"/>
      <c r="K37272" s="18" t="s">
        <v>316</v>
      </c>
    </row>
    <row r="37273">
      <c r="A37273" s="17"/>
      <c r="H37273" s="18"/>
      <c r="K37273" s="18" t="s">
        <v>316</v>
      </c>
    </row>
    <row r="37274">
      <c r="A37274" s="17"/>
      <c r="H37274" s="18"/>
      <c r="K37274" s="18" t="s">
        <v>316</v>
      </c>
    </row>
    <row r="37275">
      <c r="A37275" s="17"/>
      <c r="H37275" s="18"/>
      <c r="K37275" s="18" t="s">
        <v>316</v>
      </c>
    </row>
    <row r="37276">
      <c r="A37276" s="17"/>
      <c r="H37276" s="18"/>
      <c r="K37276" s="18" t="s">
        <v>316</v>
      </c>
    </row>
    <row r="37277">
      <c r="A37277" s="17"/>
      <c r="H37277" s="18"/>
      <c r="K37277" s="18" t="s">
        <v>316</v>
      </c>
    </row>
    <row r="37278">
      <c r="A37278" s="17"/>
      <c r="H37278" s="18"/>
      <c r="K37278" s="18" t="s">
        <v>316</v>
      </c>
    </row>
    <row r="37279">
      <c r="A37279" s="17"/>
      <c r="H37279" s="18"/>
      <c r="K37279" s="18" t="s">
        <v>316</v>
      </c>
    </row>
    <row r="37280">
      <c r="A37280" s="17"/>
      <c r="H37280" s="18"/>
      <c r="K37280" s="18" t="s">
        <v>316</v>
      </c>
    </row>
    <row r="37281">
      <c r="A37281" s="17"/>
      <c r="H37281" s="18"/>
      <c r="K37281" s="18" t="s">
        <v>316</v>
      </c>
    </row>
    <row r="37282">
      <c r="A37282" s="17"/>
      <c r="H37282" s="18"/>
      <c r="K37282" s="18" t="s">
        <v>316</v>
      </c>
    </row>
    <row r="37283">
      <c r="A37283" s="17"/>
      <c r="H37283" s="18"/>
      <c r="K37283" s="18" t="s">
        <v>316</v>
      </c>
    </row>
    <row r="37284">
      <c r="A37284" s="17"/>
      <c r="H37284" s="18"/>
      <c r="K37284" s="18" t="s">
        <v>316</v>
      </c>
    </row>
    <row r="37285">
      <c r="A37285" s="17"/>
      <c r="H37285" s="18"/>
      <c r="K37285" s="18" t="s">
        <v>316</v>
      </c>
    </row>
    <row r="37286">
      <c r="A37286" s="17"/>
      <c r="H37286" s="18"/>
      <c r="K37286" s="18" t="s">
        <v>316</v>
      </c>
    </row>
    <row r="37287">
      <c r="A37287" s="17"/>
      <c r="H37287" s="18"/>
      <c r="K37287" s="18" t="s">
        <v>316</v>
      </c>
    </row>
    <row r="37288">
      <c r="A37288" s="17"/>
      <c r="H37288" s="18"/>
      <c r="K37288" s="18" t="s">
        <v>316</v>
      </c>
    </row>
    <row r="37289">
      <c r="A37289" s="17"/>
      <c r="H37289" s="18"/>
      <c r="K37289" s="18" t="s">
        <v>316</v>
      </c>
    </row>
    <row r="37290">
      <c r="A37290" s="17"/>
      <c r="H37290" s="18"/>
      <c r="K37290" s="18" t="s">
        <v>316</v>
      </c>
    </row>
    <row r="37291">
      <c r="A37291" s="17"/>
      <c r="H37291" s="18"/>
      <c r="K37291" s="18" t="s">
        <v>316</v>
      </c>
    </row>
    <row r="37292">
      <c r="A37292" s="17"/>
      <c r="H37292" s="18"/>
      <c r="K37292" s="18" t="s">
        <v>316</v>
      </c>
    </row>
    <row r="37293">
      <c r="A37293" s="17"/>
      <c r="H37293" s="18"/>
      <c r="K37293" s="18" t="s">
        <v>316</v>
      </c>
    </row>
    <row r="37294">
      <c r="A37294" s="17"/>
      <c r="H37294" s="18"/>
      <c r="K37294" s="18" t="s">
        <v>316</v>
      </c>
    </row>
    <row r="37295">
      <c r="A37295" s="17"/>
      <c r="H37295" s="18"/>
      <c r="K37295" s="18" t="s">
        <v>316</v>
      </c>
    </row>
    <row r="37296">
      <c r="A37296" s="17"/>
      <c r="H37296" s="18"/>
      <c r="K37296" s="18" t="s">
        <v>316</v>
      </c>
    </row>
    <row r="37297">
      <c r="A37297" s="17"/>
      <c r="H37297" s="18"/>
      <c r="K37297" s="18" t="s">
        <v>316</v>
      </c>
    </row>
    <row r="37298">
      <c r="A37298" s="17"/>
      <c r="H37298" s="18"/>
      <c r="K37298" s="18" t="s">
        <v>316</v>
      </c>
    </row>
    <row r="37299">
      <c r="A37299" s="17"/>
      <c r="H37299" s="18"/>
      <c r="K37299" s="18" t="s">
        <v>316</v>
      </c>
    </row>
    <row r="37300">
      <c r="A37300" s="17"/>
      <c r="H37300" s="18"/>
      <c r="K37300" s="18" t="s">
        <v>316</v>
      </c>
    </row>
    <row r="37301">
      <c r="A37301" s="17"/>
      <c r="H37301" s="18"/>
      <c r="K37301" s="18" t="s">
        <v>316</v>
      </c>
    </row>
    <row r="37302">
      <c r="A37302" s="17"/>
      <c r="H37302" s="18"/>
      <c r="K37302" s="18" t="s">
        <v>316</v>
      </c>
    </row>
    <row r="37303">
      <c r="A37303" s="17"/>
      <c r="H37303" s="18"/>
      <c r="K37303" s="18" t="s">
        <v>316</v>
      </c>
    </row>
    <row r="37304">
      <c r="A37304" s="17"/>
      <c r="H37304" s="18"/>
      <c r="K37304" s="18" t="s">
        <v>316</v>
      </c>
    </row>
    <row r="37305">
      <c r="A37305" s="17"/>
      <c r="H37305" s="18"/>
      <c r="K37305" s="18" t="s">
        <v>316</v>
      </c>
    </row>
    <row r="37306">
      <c r="A37306" s="17"/>
      <c r="H37306" s="18"/>
      <c r="K37306" s="18" t="s">
        <v>316</v>
      </c>
    </row>
    <row r="37307">
      <c r="A37307" s="17"/>
      <c r="H37307" s="18"/>
      <c r="K37307" s="18" t="s">
        <v>316</v>
      </c>
    </row>
    <row r="37308">
      <c r="A37308" s="17"/>
      <c r="H37308" s="18"/>
      <c r="K37308" s="18" t="s">
        <v>316</v>
      </c>
    </row>
    <row r="37309">
      <c r="A37309" s="17"/>
      <c r="H37309" s="18"/>
      <c r="K37309" s="18" t="s">
        <v>316</v>
      </c>
    </row>
    <row r="37310">
      <c r="A37310" s="17"/>
      <c r="H37310" s="18"/>
      <c r="K37310" s="18" t="s">
        <v>316</v>
      </c>
    </row>
    <row r="37311">
      <c r="A37311" s="17"/>
      <c r="H37311" s="18"/>
      <c r="K37311" s="18" t="s">
        <v>316</v>
      </c>
    </row>
    <row r="37312">
      <c r="A37312" s="17"/>
      <c r="H37312" s="18"/>
      <c r="K37312" s="18" t="s">
        <v>316</v>
      </c>
    </row>
    <row r="37313">
      <c r="A37313" s="17"/>
      <c r="H37313" s="18"/>
      <c r="K37313" s="18" t="s">
        <v>316</v>
      </c>
    </row>
    <row r="37314">
      <c r="A37314" s="17"/>
      <c r="H37314" s="18"/>
      <c r="K37314" s="18" t="s">
        <v>316</v>
      </c>
    </row>
    <row r="37315">
      <c r="A37315" s="17"/>
      <c r="H37315" s="18"/>
      <c r="K37315" s="18" t="s">
        <v>316</v>
      </c>
    </row>
    <row r="37316">
      <c r="A37316" s="17"/>
      <c r="H37316" s="18"/>
      <c r="K37316" s="18" t="s">
        <v>316</v>
      </c>
    </row>
    <row r="37317">
      <c r="A37317" s="17"/>
      <c r="H37317" s="18"/>
      <c r="K37317" s="18" t="s">
        <v>316</v>
      </c>
    </row>
    <row r="37318">
      <c r="A37318" s="17"/>
      <c r="H37318" s="18"/>
      <c r="K37318" s="18" t="s">
        <v>316</v>
      </c>
    </row>
    <row r="37319">
      <c r="A37319" s="17"/>
      <c r="H37319" s="18"/>
      <c r="K37319" s="18" t="s">
        <v>316</v>
      </c>
    </row>
    <row r="37320">
      <c r="A37320" s="17"/>
      <c r="H37320" s="18"/>
      <c r="K37320" s="18" t="s">
        <v>316</v>
      </c>
    </row>
    <row r="37321">
      <c r="A37321" s="17"/>
      <c r="H37321" s="18"/>
      <c r="K37321" s="18" t="s">
        <v>316</v>
      </c>
    </row>
    <row r="37322">
      <c r="A37322" s="17"/>
      <c r="H37322" s="18"/>
      <c r="K37322" s="18" t="s">
        <v>316</v>
      </c>
    </row>
    <row r="37323">
      <c r="A37323" s="17"/>
      <c r="H37323" s="18"/>
      <c r="K37323" s="18" t="s">
        <v>316</v>
      </c>
    </row>
    <row r="37324">
      <c r="A37324" s="17"/>
      <c r="H37324" s="18"/>
      <c r="K37324" s="18" t="s">
        <v>316</v>
      </c>
    </row>
    <row r="37325">
      <c r="A37325" s="17"/>
      <c r="H37325" s="18"/>
      <c r="K37325" s="18" t="s">
        <v>316</v>
      </c>
    </row>
    <row r="37326">
      <c r="A37326" s="17"/>
      <c r="H37326" s="18"/>
      <c r="K37326" s="18" t="s">
        <v>316</v>
      </c>
    </row>
    <row r="37327">
      <c r="A37327" s="17"/>
      <c r="H37327" s="18"/>
      <c r="K37327" s="18" t="s">
        <v>316</v>
      </c>
    </row>
    <row r="37328">
      <c r="A37328" s="17"/>
      <c r="H37328" s="18"/>
      <c r="K37328" s="18" t="s">
        <v>316</v>
      </c>
    </row>
    <row r="37329">
      <c r="A37329" s="17"/>
      <c r="H37329" s="18"/>
      <c r="K37329" s="18" t="s">
        <v>316</v>
      </c>
    </row>
    <row r="37330">
      <c r="A37330" s="17"/>
      <c r="H37330" s="18"/>
      <c r="K37330" s="18" t="s">
        <v>316</v>
      </c>
    </row>
    <row r="37331">
      <c r="A37331" s="17"/>
      <c r="H37331" s="18"/>
      <c r="K37331" s="18" t="s">
        <v>316</v>
      </c>
    </row>
    <row r="37332">
      <c r="A37332" s="17"/>
      <c r="H37332" s="18"/>
      <c r="K37332" s="18" t="s">
        <v>316</v>
      </c>
    </row>
    <row r="37333">
      <c r="A37333" s="17"/>
      <c r="H37333" s="18"/>
      <c r="K37333" s="18" t="s">
        <v>316</v>
      </c>
    </row>
    <row r="37334">
      <c r="A37334" s="17"/>
      <c r="H37334" s="18"/>
      <c r="K37334" s="18" t="s">
        <v>316</v>
      </c>
    </row>
    <row r="37335">
      <c r="A37335" s="17"/>
      <c r="H37335" s="18"/>
      <c r="K37335" s="18" t="s">
        <v>316</v>
      </c>
    </row>
    <row r="37336">
      <c r="A37336" s="17"/>
      <c r="H37336" s="18"/>
      <c r="K37336" s="18" t="s">
        <v>316</v>
      </c>
    </row>
    <row r="37337">
      <c r="A37337" s="17"/>
      <c r="H37337" s="18"/>
      <c r="K37337" s="18" t="s">
        <v>316</v>
      </c>
    </row>
    <row r="37338">
      <c r="A37338" s="17"/>
      <c r="H37338" s="18"/>
      <c r="K37338" s="18" t="s">
        <v>316</v>
      </c>
    </row>
    <row r="37339">
      <c r="A37339" s="17"/>
      <c r="H37339" s="18"/>
      <c r="K37339" s="18" t="s">
        <v>316</v>
      </c>
    </row>
    <row r="37340">
      <c r="A37340" s="17"/>
      <c r="H37340" s="18"/>
      <c r="K37340" s="18" t="s">
        <v>316</v>
      </c>
    </row>
    <row r="37341">
      <c r="A37341" s="17"/>
      <c r="H37341" s="18"/>
      <c r="K37341" s="18" t="s">
        <v>316</v>
      </c>
    </row>
    <row r="37342">
      <c r="A37342" s="17"/>
      <c r="H37342" s="18"/>
      <c r="K37342" s="18" t="s">
        <v>316</v>
      </c>
    </row>
    <row r="37343">
      <c r="A37343" s="17"/>
      <c r="H37343" s="18"/>
      <c r="K37343" s="18" t="s">
        <v>316</v>
      </c>
    </row>
    <row r="37344">
      <c r="A37344" s="17"/>
      <c r="H37344" s="18"/>
      <c r="K37344" s="18" t="s">
        <v>316</v>
      </c>
    </row>
    <row r="37345">
      <c r="A37345" s="17"/>
      <c r="H37345" s="18"/>
      <c r="K37345" s="18" t="s">
        <v>316</v>
      </c>
    </row>
    <row r="37346">
      <c r="A37346" s="17"/>
      <c r="H37346" s="18"/>
      <c r="K37346" s="18" t="s">
        <v>316</v>
      </c>
    </row>
    <row r="37347">
      <c r="A37347" s="17"/>
      <c r="H37347" s="18"/>
      <c r="K37347" s="18" t="s">
        <v>316</v>
      </c>
    </row>
    <row r="37348">
      <c r="A37348" s="17"/>
      <c r="H37348" s="18"/>
      <c r="K37348" s="18" t="s">
        <v>316</v>
      </c>
    </row>
    <row r="37349">
      <c r="A37349" s="17"/>
      <c r="H37349" s="18"/>
      <c r="K37349" s="18" t="s">
        <v>316</v>
      </c>
    </row>
    <row r="37350">
      <c r="A37350" s="17"/>
      <c r="H37350" s="18"/>
      <c r="K37350" s="18" t="s">
        <v>316</v>
      </c>
    </row>
    <row r="37351">
      <c r="A37351" s="17"/>
      <c r="H37351" s="18"/>
      <c r="K37351" s="18" t="s">
        <v>316</v>
      </c>
    </row>
    <row r="37352">
      <c r="A37352" s="17"/>
      <c r="H37352" s="18"/>
      <c r="K37352" s="18" t="s">
        <v>316</v>
      </c>
    </row>
    <row r="37353">
      <c r="A37353" s="17"/>
      <c r="H37353" s="18"/>
      <c r="K37353" s="18" t="s">
        <v>316</v>
      </c>
    </row>
    <row r="37354">
      <c r="A37354" s="17"/>
      <c r="H37354" s="18"/>
      <c r="K37354" s="18" t="s">
        <v>316</v>
      </c>
    </row>
    <row r="37355">
      <c r="A37355" s="17"/>
      <c r="H37355" s="18"/>
      <c r="K37355" s="18" t="s">
        <v>316</v>
      </c>
    </row>
    <row r="37356">
      <c r="A37356" s="17"/>
      <c r="H37356" s="18"/>
      <c r="K37356" s="18" t="s">
        <v>316</v>
      </c>
    </row>
    <row r="37357">
      <c r="A37357" s="17"/>
      <c r="H37357" s="18"/>
      <c r="K37357" s="18" t="s">
        <v>316</v>
      </c>
    </row>
    <row r="37358">
      <c r="A37358" s="17"/>
      <c r="H37358" s="18"/>
      <c r="K37358" s="18" t="s">
        <v>316</v>
      </c>
    </row>
    <row r="37359">
      <c r="A37359" s="17"/>
      <c r="H37359" s="18"/>
      <c r="K37359" s="18" t="s">
        <v>316</v>
      </c>
    </row>
    <row r="37360">
      <c r="A37360" s="17"/>
      <c r="H37360" s="18"/>
      <c r="K37360" s="18" t="s">
        <v>316</v>
      </c>
    </row>
    <row r="37361">
      <c r="A37361" s="17"/>
      <c r="H37361" s="18"/>
      <c r="K37361" s="18" t="s">
        <v>316</v>
      </c>
    </row>
    <row r="37362">
      <c r="A37362" s="17"/>
      <c r="H37362" s="18"/>
      <c r="K37362" s="18" t="s">
        <v>316</v>
      </c>
    </row>
    <row r="37363">
      <c r="A37363" s="17"/>
      <c r="H37363" s="18"/>
      <c r="K37363" s="18" t="s">
        <v>316</v>
      </c>
    </row>
    <row r="37364">
      <c r="A37364" s="17"/>
      <c r="H37364" s="18"/>
      <c r="K37364" s="18" t="s">
        <v>316</v>
      </c>
    </row>
    <row r="37365">
      <c r="A37365" s="17"/>
      <c r="H37365" s="18"/>
      <c r="K37365" s="18" t="s">
        <v>316</v>
      </c>
    </row>
    <row r="37366">
      <c r="A37366" s="17"/>
      <c r="H37366" s="18"/>
      <c r="K37366" s="18" t="s">
        <v>316</v>
      </c>
    </row>
    <row r="37367">
      <c r="A37367" s="17"/>
      <c r="H37367" s="18"/>
      <c r="K37367" s="18" t="s">
        <v>316</v>
      </c>
    </row>
    <row r="37368">
      <c r="A37368" s="17"/>
      <c r="H37368" s="18"/>
      <c r="K37368" s="18" t="s">
        <v>316</v>
      </c>
    </row>
    <row r="37369">
      <c r="A37369" s="17"/>
      <c r="H37369" s="18"/>
      <c r="K37369" s="18" t="s">
        <v>316</v>
      </c>
    </row>
    <row r="37370">
      <c r="A37370" s="17"/>
      <c r="H37370" s="18"/>
      <c r="K37370" s="18" t="s">
        <v>316</v>
      </c>
    </row>
    <row r="37371">
      <c r="A37371" s="17"/>
      <c r="H37371" s="18"/>
      <c r="K37371" s="18" t="s">
        <v>316</v>
      </c>
    </row>
    <row r="37372">
      <c r="A37372" s="17"/>
      <c r="H37372" s="18"/>
      <c r="K37372" s="18" t="s">
        <v>316</v>
      </c>
    </row>
    <row r="37373">
      <c r="A37373" s="17"/>
      <c r="H37373" s="18"/>
      <c r="K37373" s="18" t="s">
        <v>316</v>
      </c>
    </row>
    <row r="37374">
      <c r="A37374" s="17"/>
      <c r="H37374" s="18"/>
      <c r="K37374" s="18" t="s">
        <v>316</v>
      </c>
    </row>
    <row r="37375">
      <c r="A37375" s="17"/>
      <c r="H37375" s="18"/>
      <c r="K37375" s="18" t="s">
        <v>316</v>
      </c>
    </row>
    <row r="37376">
      <c r="A37376" s="17"/>
      <c r="H37376" s="18"/>
      <c r="K37376" s="18" t="s">
        <v>316</v>
      </c>
    </row>
    <row r="37377">
      <c r="A37377" s="17"/>
      <c r="H37377" s="18"/>
      <c r="K37377" s="18" t="s">
        <v>316</v>
      </c>
    </row>
    <row r="37378">
      <c r="A37378" s="17"/>
      <c r="H37378" s="18"/>
      <c r="K37378" s="18" t="s">
        <v>316</v>
      </c>
    </row>
    <row r="37379">
      <c r="A37379" s="17"/>
      <c r="H37379" s="18"/>
      <c r="K37379" s="18" t="s">
        <v>316</v>
      </c>
    </row>
    <row r="37380">
      <c r="A37380" s="17"/>
      <c r="H37380" s="18"/>
      <c r="K37380" s="18" t="s">
        <v>316</v>
      </c>
    </row>
    <row r="37381">
      <c r="A37381" s="17"/>
      <c r="H37381" s="18"/>
      <c r="K37381" s="18" t="s">
        <v>316</v>
      </c>
    </row>
    <row r="37382">
      <c r="A37382" s="17"/>
      <c r="H37382" s="18"/>
      <c r="K37382" s="18" t="s">
        <v>316</v>
      </c>
    </row>
    <row r="37383">
      <c r="A37383" s="17"/>
      <c r="H37383" s="18"/>
      <c r="K37383" s="18" t="s">
        <v>316</v>
      </c>
    </row>
    <row r="37384">
      <c r="A37384" s="17"/>
      <c r="H37384" s="18"/>
      <c r="K37384" s="18" t="s">
        <v>316</v>
      </c>
    </row>
    <row r="37385">
      <c r="A37385" s="17"/>
      <c r="H37385" s="18"/>
      <c r="K37385" s="18" t="s">
        <v>316</v>
      </c>
    </row>
    <row r="37386">
      <c r="A37386" s="17"/>
      <c r="H37386" s="18"/>
      <c r="K37386" s="18" t="s">
        <v>316</v>
      </c>
    </row>
    <row r="37387">
      <c r="A37387" s="17"/>
      <c r="H37387" s="18"/>
      <c r="K37387" s="18" t="s">
        <v>316</v>
      </c>
    </row>
    <row r="37388">
      <c r="A37388" s="17"/>
      <c r="H37388" s="18"/>
      <c r="K37388" s="18" t="s">
        <v>316</v>
      </c>
    </row>
    <row r="37389">
      <c r="A37389" s="17"/>
      <c r="H37389" s="18"/>
      <c r="K37389" s="18" t="s">
        <v>316</v>
      </c>
    </row>
    <row r="37390">
      <c r="A37390" s="17"/>
      <c r="H37390" s="18"/>
      <c r="K37390" s="18" t="s">
        <v>316</v>
      </c>
    </row>
    <row r="37391">
      <c r="A37391" s="17"/>
      <c r="H37391" s="18"/>
      <c r="K37391" s="18" t="s">
        <v>316</v>
      </c>
    </row>
    <row r="37392">
      <c r="A37392" s="17"/>
      <c r="H37392" s="18"/>
      <c r="K37392" s="18" t="s">
        <v>316</v>
      </c>
    </row>
    <row r="37393">
      <c r="A37393" s="17"/>
      <c r="H37393" s="18"/>
      <c r="K37393" s="18" t="s">
        <v>316</v>
      </c>
    </row>
    <row r="37394">
      <c r="A37394" s="17"/>
      <c r="H37394" s="18"/>
      <c r="K37394" s="18" t="s">
        <v>316</v>
      </c>
    </row>
    <row r="37395">
      <c r="A37395" s="17"/>
      <c r="H37395" s="18"/>
      <c r="K37395" s="18" t="s">
        <v>316</v>
      </c>
    </row>
    <row r="37396">
      <c r="A37396" s="17"/>
      <c r="H37396" s="18"/>
      <c r="K37396" s="18" t="s">
        <v>316</v>
      </c>
    </row>
    <row r="37397">
      <c r="A37397" s="17"/>
      <c r="H37397" s="18"/>
      <c r="K37397" s="18" t="s">
        <v>316</v>
      </c>
    </row>
    <row r="37398">
      <c r="A37398" s="17"/>
      <c r="H37398" s="18"/>
      <c r="K37398" s="18" t="s">
        <v>316</v>
      </c>
    </row>
    <row r="37399">
      <c r="A37399" s="17"/>
      <c r="H37399" s="18"/>
      <c r="K37399" s="18" t="s">
        <v>316</v>
      </c>
    </row>
    <row r="37400">
      <c r="A37400" s="17"/>
      <c r="H37400" s="18"/>
      <c r="K37400" s="18" t="s">
        <v>316</v>
      </c>
    </row>
    <row r="37401">
      <c r="A37401" s="17"/>
      <c r="H37401" s="18"/>
      <c r="K37401" s="18" t="s">
        <v>316</v>
      </c>
    </row>
    <row r="37402">
      <c r="A37402" s="17"/>
      <c r="H37402" s="18"/>
      <c r="K37402" s="18" t="s">
        <v>316</v>
      </c>
    </row>
    <row r="37403">
      <c r="A37403" s="17"/>
      <c r="H37403" s="18"/>
      <c r="K37403" s="18" t="s">
        <v>316</v>
      </c>
    </row>
    <row r="37404">
      <c r="A37404" s="17"/>
      <c r="H37404" s="18"/>
      <c r="K37404" s="18" t="s">
        <v>316</v>
      </c>
    </row>
    <row r="37405">
      <c r="A37405" s="17"/>
      <c r="H37405" s="18"/>
      <c r="K37405" s="18" t="s">
        <v>316</v>
      </c>
    </row>
    <row r="37406">
      <c r="A37406" s="17"/>
      <c r="H37406" s="18"/>
      <c r="K37406" s="18" t="s">
        <v>316</v>
      </c>
    </row>
    <row r="37407">
      <c r="A37407" s="17"/>
      <c r="H37407" s="18"/>
      <c r="K37407" s="18" t="s">
        <v>316</v>
      </c>
    </row>
    <row r="37408">
      <c r="A37408" s="17"/>
      <c r="H37408" s="18"/>
      <c r="K37408" s="18" t="s">
        <v>316</v>
      </c>
    </row>
    <row r="37409">
      <c r="A37409" s="17"/>
      <c r="H37409" s="18"/>
      <c r="K37409" s="18" t="s">
        <v>316</v>
      </c>
    </row>
    <row r="37410">
      <c r="A37410" s="17"/>
      <c r="H37410" s="18"/>
      <c r="K37410" s="18" t="s">
        <v>316</v>
      </c>
    </row>
    <row r="37411">
      <c r="A37411" s="17"/>
      <c r="H37411" s="18"/>
      <c r="K37411" s="18" t="s">
        <v>316</v>
      </c>
    </row>
    <row r="37412">
      <c r="A37412" s="17"/>
      <c r="H37412" s="18"/>
      <c r="K37412" s="18" t="s">
        <v>316</v>
      </c>
    </row>
    <row r="37413">
      <c r="A37413" s="17"/>
      <c r="H37413" s="18"/>
      <c r="K37413" s="18" t="s">
        <v>316</v>
      </c>
    </row>
    <row r="37414">
      <c r="A37414" s="17"/>
      <c r="H37414" s="18"/>
      <c r="K37414" s="18" t="s">
        <v>316</v>
      </c>
    </row>
    <row r="37415">
      <c r="A37415" s="17"/>
      <c r="H37415" s="18"/>
      <c r="K37415" s="18" t="s">
        <v>316</v>
      </c>
    </row>
    <row r="37416">
      <c r="A37416" s="17"/>
      <c r="H37416" s="18"/>
      <c r="K37416" s="18" t="s">
        <v>316</v>
      </c>
    </row>
    <row r="37417">
      <c r="A37417" s="17"/>
      <c r="H37417" s="18"/>
      <c r="K37417" s="18" t="s">
        <v>316</v>
      </c>
    </row>
    <row r="37418">
      <c r="A37418" s="17"/>
      <c r="H37418" s="18"/>
      <c r="K37418" s="18" t="s">
        <v>316</v>
      </c>
    </row>
    <row r="37419">
      <c r="A37419" s="17"/>
      <c r="H37419" s="18"/>
      <c r="K37419" s="18" t="s">
        <v>316</v>
      </c>
    </row>
    <row r="37420">
      <c r="A37420" s="17"/>
      <c r="H37420" s="18"/>
      <c r="K37420" s="18" t="s">
        <v>316</v>
      </c>
    </row>
    <row r="37421">
      <c r="A37421" s="17"/>
      <c r="H37421" s="18"/>
      <c r="K37421" s="18" t="s">
        <v>316</v>
      </c>
    </row>
    <row r="37422">
      <c r="A37422" s="17"/>
      <c r="H37422" s="18"/>
      <c r="K37422" s="18" t="s">
        <v>316</v>
      </c>
    </row>
    <row r="37423">
      <c r="A37423" s="17"/>
      <c r="H37423" s="18"/>
      <c r="K37423" s="18" t="s">
        <v>316</v>
      </c>
    </row>
    <row r="37424">
      <c r="A37424" s="17"/>
      <c r="H37424" s="18"/>
      <c r="K37424" s="18" t="s">
        <v>316</v>
      </c>
    </row>
    <row r="37425">
      <c r="A37425" s="17"/>
      <c r="H37425" s="18"/>
      <c r="K37425" s="18" t="s">
        <v>316</v>
      </c>
    </row>
    <row r="37426">
      <c r="A37426" s="17"/>
      <c r="H37426" s="18"/>
      <c r="K37426" s="18" t="s">
        <v>316</v>
      </c>
    </row>
    <row r="37427">
      <c r="A37427" s="17"/>
      <c r="H37427" s="18"/>
      <c r="K37427" s="18" t="s">
        <v>316</v>
      </c>
    </row>
    <row r="37428">
      <c r="A37428" s="17"/>
      <c r="H37428" s="18"/>
      <c r="K37428" s="18" t="s">
        <v>316</v>
      </c>
    </row>
    <row r="37429">
      <c r="A37429" s="17"/>
      <c r="H37429" s="18"/>
      <c r="K37429" s="18" t="s">
        <v>316</v>
      </c>
    </row>
    <row r="37430">
      <c r="A37430" s="17"/>
      <c r="H37430" s="18"/>
      <c r="K37430" s="18" t="s">
        <v>316</v>
      </c>
    </row>
    <row r="37431">
      <c r="A37431" s="17"/>
      <c r="H37431" s="18"/>
      <c r="K37431" s="18" t="s">
        <v>316</v>
      </c>
    </row>
    <row r="37432">
      <c r="A37432" s="17"/>
      <c r="H37432" s="18"/>
      <c r="K37432" s="18" t="s">
        <v>316</v>
      </c>
    </row>
    <row r="37433">
      <c r="A37433" s="17"/>
      <c r="H37433" s="18"/>
      <c r="K37433" s="18" t="s">
        <v>316</v>
      </c>
    </row>
    <row r="37434">
      <c r="A37434" s="17"/>
      <c r="H37434" s="18"/>
      <c r="K37434" s="18" t="s">
        <v>316</v>
      </c>
    </row>
    <row r="37435">
      <c r="A37435" s="17"/>
      <c r="H37435" s="18"/>
      <c r="K37435" s="18" t="s">
        <v>316</v>
      </c>
    </row>
    <row r="37436">
      <c r="A37436" s="17"/>
      <c r="H37436" s="18"/>
      <c r="K37436" s="18" t="s">
        <v>316</v>
      </c>
    </row>
    <row r="37437">
      <c r="A37437" s="17"/>
      <c r="H37437" s="18"/>
      <c r="K37437" s="18" t="s">
        <v>316</v>
      </c>
    </row>
    <row r="37438">
      <c r="A37438" s="17"/>
      <c r="H37438" s="18"/>
      <c r="K37438" s="18" t="s">
        <v>316</v>
      </c>
    </row>
    <row r="37439">
      <c r="A37439" s="17"/>
      <c r="H37439" s="18"/>
      <c r="K37439" s="18" t="s">
        <v>316</v>
      </c>
    </row>
    <row r="37440">
      <c r="A37440" s="17"/>
      <c r="H37440" s="18"/>
      <c r="K37440" s="18" t="s">
        <v>316</v>
      </c>
    </row>
    <row r="37441">
      <c r="A37441" s="17"/>
      <c r="H37441" s="18"/>
      <c r="K37441" s="18" t="s">
        <v>316</v>
      </c>
    </row>
    <row r="37442">
      <c r="A37442" s="17"/>
      <c r="H37442" s="18"/>
      <c r="K37442" s="18" t="s">
        <v>316</v>
      </c>
    </row>
    <row r="37443">
      <c r="A37443" s="17"/>
      <c r="H37443" s="18"/>
      <c r="K37443" s="18" t="s">
        <v>316</v>
      </c>
    </row>
    <row r="37444">
      <c r="A37444" s="17"/>
      <c r="H37444" s="18"/>
      <c r="K37444" s="18" t="s">
        <v>316</v>
      </c>
    </row>
    <row r="37445">
      <c r="A37445" s="17"/>
      <c r="H37445" s="18"/>
      <c r="K37445" s="18" t="s">
        <v>316</v>
      </c>
    </row>
    <row r="37446">
      <c r="A37446" s="17"/>
      <c r="H37446" s="18"/>
      <c r="K37446" s="18" t="s">
        <v>316</v>
      </c>
    </row>
    <row r="37447">
      <c r="A37447" s="17"/>
      <c r="H37447" s="18"/>
      <c r="K37447" s="18" t="s">
        <v>316</v>
      </c>
    </row>
    <row r="37448">
      <c r="A37448" s="17"/>
      <c r="H37448" s="18"/>
      <c r="K37448" s="18" t="s">
        <v>316</v>
      </c>
    </row>
    <row r="37449">
      <c r="A37449" s="17"/>
      <c r="H37449" s="18"/>
      <c r="K37449" s="18" t="s">
        <v>316</v>
      </c>
    </row>
    <row r="37450">
      <c r="A37450" s="17"/>
      <c r="H37450" s="18"/>
      <c r="K37450" s="18" t="s">
        <v>316</v>
      </c>
    </row>
    <row r="37451">
      <c r="A37451" s="17"/>
      <c r="H37451" s="18"/>
      <c r="K37451" s="18" t="s">
        <v>316</v>
      </c>
    </row>
    <row r="37452">
      <c r="A37452" s="17"/>
      <c r="H37452" s="18"/>
      <c r="K37452" s="18" t="s">
        <v>316</v>
      </c>
    </row>
    <row r="37453">
      <c r="A37453" s="17"/>
      <c r="H37453" s="18"/>
      <c r="K37453" s="18" t="s">
        <v>316</v>
      </c>
    </row>
    <row r="37454">
      <c r="A37454" s="17"/>
      <c r="H37454" s="18"/>
      <c r="K37454" s="18" t="s">
        <v>316</v>
      </c>
    </row>
    <row r="37455">
      <c r="A37455" s="17"/>
      <c r="H37455" s="18"/>
      <c r="K37455" s="18" t="s">
        <v>316</v>
      </c>
    </row>
    <row r="37456">
      <c r="A37456" s="17"/>
      <c r="H37456" s="18"/>
      <c r="K37456" s="18" t="s">
        <v>316</v>
      </c>
    </row>
    <row r="37457">
      <c r="A37457" s="17"/>
      <c r="H37457" s="18"/>
      <c r="K37457" s="18" t="s">
        <v>316</v>
      </c>
    </row>
    <row r="37458">
      <c r="A37458" s="17"/>
      <c r="H37458" s="18"/>
      <c r="K37458" s="18" t="s">
        <v>316</v>
      </c>
    </row>
    <row r="37459">
      <c r="A37459" s="17"/>
      <c r="H37459" s="18"/>
      <c r="K37459" s="18" t="s">
        <v>316</v>
      </c>
    </row>
    <row r="37460">
      <c r="A37460" s="17"/>
      <c r="H37460" s="18"/>
      <c r="K37460" s="18" t="s">
        <v>316</v>
      </c>
    </row>
    <row r="37461">
      <c r="A37461" s="17"/>
      <c r="H37461" s="18"/>
      <c r="K37461" s="18" t="s">
        <v>316</v>
      </c>
    </row>
    <row r="37462">
      <c r="A37462" s="17"/>
      <c r="H37462" s="18"/>
      <c r="K37462" s="18" t="s">
        <v>316</v>
      </c>
    </row>
    <row r="37463">
      <c r="A37463" s="17"/>
      <c r="H37463" s="18"/>
      <c r="K37463" s="18" t="s">
        <v>316</v>
      </c>
    </row>
    <row r="37464">
      <c r="A37464" s="17"/>
      <c r="H37464" s="18"/>
      <c r="K37464" s="18" t="s">
        <v>316</v>
      </c>
    </row>
    <row r="37465">
      <c r="A37465" s="17"/>
      <c r="H37465" s="18"/>
      <c r="K37465" s="18" t="s">
        <v>316</v>
      </c>
    </row>
    <row r="37466">
      <c r="A37466" s="17"/>
      <c r="H37466" s="18"/>
      <c r="K37466" s="18" t="s">
        <v>316</v>
      </c>
    </row>
    <row r="37467">
      <c r="A37467" s="17"/>
      <c r="H37467" s="18"/>
      <c r="K37467" s="18" t="s">
        <v>316</v>
      </c>
    </row>
    <row r="37468">
      <c r="A37468" s="17"/>
      <c r="H37468" s="18"/>
      <c r="K37468" s="18" t="s">
        <v>316</v>
      </c>
    </row>
    <row r="37469">
      <c r="A37469" s="17"/>
      <c r="H37469" s="18"/>
      <c r="K37469" s="18" t="s">
        <v>316</v>
      </c>
    </row>
    <row r="37470">
      <c r="A37470" s="17"/>
      <c r="H37470" s="18"/>
      <c r="K37470" s="18" t="s">
        <v>316</v>
      </c>
    </row>
    <row r="37471">
      <c r="A37471" s="17"/>
      <c r="H37471" s="18"/>
      <c r="K37471" s="18" t="s">
        <v>316</v>
      </c>
    </row>
    <row r="37472">
      <c r="A37472" s="17"/>
      <c r="H37472" s="18"/>
      <c r="K37472" s="18" t="s">
        <v>316</v>
      </c>
    </row>
    <row r="37473">
      <c r="A37473" s="17"/>
      <c r="H37473" s="18"/>
      <c r="K37473" s="18" t="s">
        <v>316</v>
      </c>
    </row>
    <row r="37474">
      <c r="A37474" s="17"/>
      <c r="H37474" s="18"/>
      <c r="K37474" s="18" t="s">
        <v>316</v>
      </c>
    </row>
    <row r="37475">
      <c r="A37475" s="17"/>
      <c r="H37475" s="18"/>
      <c r="K37475" s="18" t="s">
        <v>316</v>
      </c>
    </row>
    <row r="37476">
      <c r="A37476" s="17"/>
      <c r="H37476" s="18"/>
      <c r="K37476" s="18" t="s">
        <v>316</v>
      </c>
    </row>
    <row r="37477">
      <c r="A37477" s="17"/>
      <c r="H37477" s="18"/>
      <c r="K37477" s="18" t="s">
        <v>316</v>
      </c>
    </row>
    <row r="37478">
      <c r="A37478" s="17"/>
      <c r="H37478" s="18"/>
      <c r="K37478" s="18" t="s">
        <v>316</v>
      </c>
    </row>
    <row r="37479">
      <c r="A37479" s="17"/>
      <c r="H37479" s="18"/>
      <c r="K37479" s="18" t="s">
        <v>316</v>
      </c>
    </row>
    <row r="37480">
      <c r="A37480" s="17"/>
      <c r="H37480" s="18"/>
      <c r="K37480" s="18" t="s">
        <v>316</v>
      </c>
    </row>
    <row r="37481">
      <c r="A37481" s="17"/>
      <c r="H37481" s="18"/>
      <c r="K37481" s="18" t="s">
        <v>316</v>
      </c>
    </row>
    <row r="37482">
      <c r="A37482" s="17"/>
      <c r="H37482" s="18"/>
      <c r="K37482" s="18" t="s">
        <v>316</v>
      </c>
    </row>
    <row r="37483">
      <c r="A37483" s="17"/>
      <c r="H37483" s="18"/>
      <c r="K37483" s="18" t="s">
        <v>316</v>
      </c>
    </row>
    <row r="37484">
      <c r="A37484" s="17"/>
      <c r="H37484" s="18"/>
      <c r="K37484" s="18" t="s">
        <v>316</v>
      </c>
    </row>
    <row r="37485">
      <c r="A37485" s="17"/>
      <c r="H37485" s="18"/>
      <c r="K37485" s="18" t="s">
        <v>316</v>
      </c>
    </row>
    <row r="37486">
      <c r="A37486" s="17"/>
      <c r="H37486" s="18"/>
      <c r="K37486" s="18" t="s">
        <v>316</v>
      </c>
    </row>
    <row r="37487">
      <c r="A37487" s="17"/>
      <c r="H37487" s="18"/>
      <c r="K37487" s="18" t="s">
        <v>316</v>
      </c>
    </row>
    <row r="37488">
      <c r="A37488" s="17"/>
      <c r="H37488" s="18"/>
      <c r="K37488" s="18" t="s">
        <v>316</v>
      </c>
    </row>
    <row r="37489">
      <c r="A37489" s="17"/>
      <c r="H37489" s="18"/>
      <c r="K37489" s="18" t="s">
        <v>316</v>
      </c>
    </row>
    <row r="37490">
      <c r="A37490" s="17"/>
      <c r="H37490" s="18"/>
      <c r="K37490" s="18" t="s">
        <v>316</v>
      </c>
    </row>
    <row r="37491">
      <c r="A37491" s="17"/>
      <c r="H37491" s="18"/>
      <c r="K37491" s="18" t="s">
        <v>316</v>
      </c>
    </row>
    <row r="37492">
      <c r="A37492" s="17"/>
      <c r="H37492" s="18"/>
      <c r="K37492" s="18" t="s">
        <v>316</v>
      </c>
    </row>
    <row r="37493">
      <c r="A37493" s="17"/>
      <c r="H37493" s="18"/>
      <c r="K37493" s="18" t="s">
        <v>316</v>
      </c>
    </row>
    <row r="37494">
      <c r="A37494" s="17"/>
      <c r="H37494" s="18"/>
      <c r="K37494" s="18" t="s">
        <v>316</v>
      </c>
    </row>
    <row r="37495">
      <c r="A37495" s="17"/>
      <c r="H37495" s="18"/>
      <c r="K37495" s="18" t="s">
        <v>316</v>
      </c>
    </row>
    <row r="37496">
      <c r="A37496" s="17"/>
      <c r="H37496" s="18"/>
      <c r="K37496" s="18" t="s">
        <v>316</v>
      </c>
    </row>
    <row r="37497">
      <c r="A37497" s="17"/>
      <c r="H37497" s="18"/>
      <c r="K37497" s="18" t="s">
        <v>316</v>
      </c>
    </row>
    <row r="37498">
      <c r="A37498" s="17"/>
      <c r="H37498" s="18"/>
      <c r="K37498" s="18" t="s">
        <v>316</v>
      </c>
    </row>
    <row r="37499">
      <c r="A37499" s="17"/>
      <c r="H37499" s="18"/>
      <c r="K37499" s="18" t="s">
        <v>316</v>
      </c>
    </row>
    <row r="37500">
      <c r="A37500" s="17"/>
      <c r="H37500" s="18"/>
      <c r="K37500" s="18" t="s">
        <v>316</v>
      </c>
    </row>
    <row r="37501">
      <c r="A37501" s="17"/>
      <c r="H37501" s="18"/>
      <c r="K37501" s="18" t="s">
        <v>316</v>
      </c>
    </row>
    <row r="37502">
      <c r="A37502" s="17"/>
      <c r="H37502" s="18"/>
      <c r="K37502" s="18" t="s">
        <v>316</v>
      </c>
    </row>
    <row r="37503">
      <c r="A37503" s="17"/>
      <c r="H37503" s="18"/>
      <c r="K37503" s="18" t="s">
        <v>316</v>
      </c>
    </row>
    <row r="37504">
      <c r="A37504" s="17"/>
      <c r="H37504" s="18"/>
      <c r="K37504" s="18" t="s">
        <v>316</v>
      </c>
    </row>
    <row r="37505">
      <c r="A37505" s="17"/>
      <c r="H37505" s="18"/>
      <c r="K37505" s="18" t="s">
        <v>316</v>
      </c>
    </row>
    <row r="37506">
      <c r="A37506" s="17"/>
      <c r="H37506" s="18"/>
      <c r="K37506" s="18" t="s">
        <v>316</v>
      </c>
    </row>
    <row r="37507">
      <c r="A37507" s="17"/>
      <c r="H37507" s="18"/>
      <c r="K37507" s="18" t="s">
        <v>316</v>
      </c>
    </row>
    <row r="37508">
      <c r="A37508" s="17"/>
      <c r="H37508" s="18"/>
      <c r="K37508" s="18" t="s">
        <v>316</v>
      </c>
    </row>
    <row r="37509">
      <c r="A37509" s="17"/>
      <c r="H37509" s="18"/>
      <c r="K37509" s="18" t="s">
        <v>316</v>
      </c>
    </row>
    <row r="37510">
      <c r="A37510" s="17"/>
      <c r="H37510" s="18"/>
      <c r="K37510" s="18" t="s">
        <v>316</v>
      </c>
    </row>
    <row r="37511">
      <c r="A37511" s="17"/>
      <c r="H37511" s="18"/>
      <c r="K37511" s="18" t="s">
        <v>316</v>
      </c>
    </row>
    <row r="37512">
      <c r="A37512" s="17"/>
      <c r="H37512" s="18"/>
      <c r="K37512" s="18" t="s">
        <v>316</v>
      </c>
    </row>
    <row r="37513">
      <c r="A37513" s="17"/>
      <c r="H37513" s="18"/>
      <c r="K37513" s="18" t="s">
        <v>316</v>
      </c>
    </row>
    <row r="37514">
      <c r="A37514" s="17"/>
      <c r="H37514" s="18"/>
      <c r="K37514" s="18" t="s">
        <v>316</v>
      </c>
    </row>
    <row r="37515">
      <c r="A37515" s="17"/>
      <c r="H37515" s="18"/>
      <c r="K37515" s="18" t="s">
        <v>316</v>
      </c>
    </row>
    <row r="37516">
      <c r="A37516" s="17"/>
      <c r="H37516" s="18"/>
      <c r="K37516" s="18" t="s">
        <v>316</v>
      </c>
    </row>
    <row r="37517">
      <c r="A37517" s="17"/>
      <c r="H37517" s="18"/>
      <c r="K37517" s="18" t="s">
        <v>316</v>
      </c>
    </row>
    <row r="37518">
      <c r="A37518" s="17"/>
      <c r="H37518" s="18"/>
      <c r="K37518" s="18" t="s">
        <v>316</v>
      </c>
    </row>
    <row r="37519">
      <c r="A37519" s="17"/>
      <c r="H37519" s="18"/>
      <c r="K37519" s="18" t="s">
        <v>316</v>
      </c>
    </row>
    <row r="37520">
      <c r="A37520" s="17"/>
      <c r="H37520" s="18"/>
      <c r="K37520" s="18" t="s">
        <v>316</v>
      </c>
    </row>
    <row r="37521">
      <c r="A37521" s="17"/>
      <c r="H37521" s="18"/>
      <c r="K37521" s="18" t="s">
        <v>316</v>
      </c>
    </row>
    <row r="37522">
      <c r="A37522" s="17"/>
      <c r="H37522" s="18"/>
      <c r="K37522" s="18" t="s">
        <v>316</v>
      </c>
    </row>
    <row r="37523">
      <c r="A37523" s="17"/>
      <c r="H37523" s="18"/>
      <c r="K37523" s="18" t="s">
        <v>316</v>
      </c>
    </row>
    <row r="37524">
      <c r="A37524" s="17"/>
      <c r="H37524" s="18"/>
      <c r="K37524" s="18" t="s">
        <v>316</v>
      </c>
    </row>
    <row r="37525">
      <c r="A37525" s="17"/>
      <c r="H37525" s="18"/>
      <c r="K37525" s="18" t="s">
        <v>316</v>
      </c>
    </row>
    <row r="37526">
      <c r="A37526" s="17"/>
      <c r="H37526" s="18"/>
      <c r="K37526" s="18" t="s">
        <v>316</v>
      </c>
    </row>
    <row r="37527">
      <c r="A37527" s="17"/>
      <c r="H37527" s="18"/>
      <c r="K37527" s="18" t="s">
        <v>316</v>
      </c>
    </row>
    <row r="37528">
      <c r="A37528" s="17"/>
      <c r="H37528" s="18"/>
      <c r="K37528" s="18" t="s">
        <v>316</v>
      </c>
    </row>
    <row r="37529">
      <c r="A37529" s="17"/>
      <c r="H37529" s="18"/>
      <c r="K37529" s="18" t="s">
        <v>316</v>
      </c>
    </row>
    <row r="37530">
      <c r="A37530" s="17"/>
      <c r="H37530" s="18"/>
      <c r="K37530" s="18" t="s">
        <v>316</v>
      </c>
    </row>
    <row r="37531">
      <c r="A37531" s="17"/>
      <c r="H37531" s="18"/>
      <c r="K37531" s="18" t="s">
        <v>316</v>
      </c>
    </row>
    <row r="37532">
      <c r="A37532" s="17"/>
      <c r="H37532" s="18"/>
      <c r="K37532" s="18" t="s">
        <v>316</v>
      </c>
    </row>
    <row r="37533">
      <c r="A37533" s="17"/>
      <c r="H37533" s="18"/>
      <c r="K37533" s="18" t="s">
        <v>316</v>
      </c>
    </row>
    <row r="37534">
      <c r="A37534" s="17"/>
      <c r="H37534" s="18"/>
      <c r="K37534" s="18" t="s">
        <v>316</v>
      </c>
    </row>
    <row r="37535">
      <c r="A37535" s="17"/>
      <c r="H37535" s="18"/>
      <c r="K37535" s="18" t="s">
        <v>316</v>
      </c>
    </row>
    <row r="37536">
      <c r="A37536" s="17"/>
      <c r="H37536" s="18"/>
      <c r="K37536" s="18" t="s">
        <v>316</v>
      </c>
    </row>
    <row r="37537">
      <c r="A37537" s="17"/>
      <c r="H37537" s="18"/>
      <c r="K37537" s="18" t="s">
        <v>316</v>
      </c>
    </row>
    <row r="37538">
      <c r="A37538" s="17"/>
      <c r="H37538" s="18"/>
      <c r="K37538" s="18" t="s">
        <v>316</v>
      </c>
    </row>
    <row r="37539">
      <c r="A37539" s="17"/>
      <c r="H37539" s="18"/>
      <c r="K37539" s="18" t="s">
        <v>316</v>
      </c>
    </row>
    <row r="37540">
      <c r="A37540" s="17"/>
      <c r="H37540" s="18"/>
      <c r="K37540" s="18" t="s">
        <v>316</v>
      </c>
    </row>
    <row r="37541">
      <c r="A37541" s="17"/>
      <c r="H37541" s="18"/>
      <c r="K37541" s="18" t="s">
        <v>316</v>
      </c>
    </row>
    <row r="37542">
      <c r="A37542" s="17"/>
      <c r="H37542" s="18"/>
      <c r="K37542" s="18" t="s">
        <v>316</v>
      </c>
    </row>
    <row r="37543">
      <c r="A37543" s="17"/>
      <c r="H37543" s="18"/>
      <c r="K37543" s="18" t="s">
        <v>316</v>
      </c>
    </row>
    <row r="37544">
      <c r="A37544" s="17"/>
      <c r="H37544" s="18"/>
      <c r="K37544" s="18" t="s">
        <v>316</v>
      </c>
    </row>
    <row r="37545">
      <c r="A37545" s="17"/>
      <c r="H37545" s="18"/>
      <c r="K37545" s="18" t="s">
        <v>316</v>
      </c>
    </row>
    <row r="37546">
      <c r="A37546" s="17"/>
      <c r="H37546" s="18"/>
      <c r="K37546" s="18" t="s">
        <v>316</v>
      </c>
    </row>
    <row r="37547">
      <c r="A37547" s="17"/>
      <c r="H37547" s="18"/>
      <c r="K37547" s="18" t="s">
        <v>316</v>
      </c>
    </row>
    <row r="37548">
      <c r="A37548" s="17"/>
      <c r="H37548" s="18"/>
      <c r="K37548" s="18" t="s">
        <v>316</v>
      </c>
    </row>
    <row r="37549">
      <c r="A37549" s="17"/>
      <c r="H37549" s="18"/>
      <c r="K37549" s="18" t="s">
        <v>316</v>
      </c>
    </row>
    <row r="37550">
      <c r="A37550" s="17"/>
      <c r="H37550" s="18"/>
      <c r="K37550" s="18" t="s">
        <v>316</v>
      </c>
    </row>
    <row r="37551">
      <c r="A37551" s="17"/>
      <c r="H37551" s="18"/>
      <c r="K37551" s="18" t="s">
        <v>316</v>
      </c>
    </row>
    <row r="37552">
      <c r="A37552" s="17"/>
      <c r="H37552" s="18"/>
      <c r="K37552" s="18" t="s">
        <v>316</v>
      </c>
    </row>
    <row r="37553">
      <c r="A37553" s="17"/>
      <c r="H37553" s="18"/>
      <c r="K37553" s="18" t="s">
        <v>316</v>
      </c>
    </row>
    <row r="37554">
      <c r="A37554" s="17"/>
      <c r="H37554" s="18"/>
      <c r="K37554" s="18" t="s">
        <v>316</v>
      </c>
    </row>
    <row r="37555">
      <c r="A37555" s="17"/>
      <c r="H37555" s="18"/>
      <c r="K37555" s="18" t="s">
        <v>316</v>
      </c>
    </row>
    <row r="37556">
      <c r="A37556" s="17"/>
      <c r="H37556" s="18"/>
      <c r="K37556" s="18" t="s">
        <v>316</v>
      </c>
    </row>
    <row r="37557">
      <c r="A37557" s="17"/>
      <c r="H37557" s="18"/>
      <c r="K37557" s="18" t="s">
        <v>316</v>
      </c>
    </row>
    <row r="37558">
      <c r="A37558" s="17"/>
      <c r="H37558" s="18"/>
      <c r="K37558" s="18" t="s">
        <v>316</v>
      </c>
    </row>
    <row r="37559">
      <c r="A37559" s="17"/>
      <c r="H37559" s="18"/>
      <c r="K37559" s="18" t="s">
        <v>316</v>
      </c>
    </row>
    <row r="37560">
      <c r="A37560" s="17"/>
      <c r="H37560" s="18"/>
      <c r="K37560" s="18" t="s">
        <v>316</v>
      </c>
    </row>
    <row r="37561">
      <c r="A37561" s="17"/>
      <c r="H37561" s="18"/>
      <c r="K37561" s="18" t="s">
        <v>316</v>
      </c>
    </row>
    <row r="37562">
      <c r="A37562" s="17"/>
      <c r="H37562" s="18"/>
      <c r="K37562" s="18" t="s">
        <v>316</v>
      </c>
    </row>
    <row r="37563">
      <c r="A37563" s="17"/>
      <c r="H37563" s="18"/>
      <c r="K37563" s="18" t="s">
        <v>316</v>
      </c>
    </row>
    <row r="37564">
      <c r="A37564" s="17"/>
      <c r="H37564" s="18"/>
      <c r="K37564" s="18" t="s">
        <v>316</v>
      </c>
    </row>
    <row r="37565">
      <c r="A37565" s="17"/>
      <c r="H37565" s="18"/>
      <c r="K37565" s="18" t="s">
        <v>316</v>
      </c>
    </row>
    <row r="37566">
      <c r="A37566" s="17"/>
      <c r="H37566" s="18"/>
      <c r="K37566" s="18" t="s">
        <v>316</v>
      </c>
    </row>
    <row r="37567">
      <c r="A37567" s="17"/>
      <c r="H37567" s="18"/>
      <c r="K37567" s="18" t="s">
        <v>316</v>
      </c>
    </row>
    <row r="37568">
      <c r="A37568" s="17"/>
      <c r="H37568" s="18"/>
      <c r="K37568" s="18" t="s">
        <v>316</v>
      </c>
    </row>
    <row r="37569">
      <c r="A37569" s="17"/>
      <c r="H37569" s="18"/>
      <c r="K37569" s="18" t="s">
        <v>316</v>
      </c>
    </row>
    <row r="37570">
      <c r="A37570" s="17"/>
      <c r="H37570" s="18"/>
      <c r="K37570" s="18" t="s">
        <v>316</v>
      </c>
    </row>
    <row r="37571">
      <c r="A37571" s="17"/>
      <c r="H37571" s="18"/>
      <c r="K37571" s="18" t="s">
        <v>316</v>
      </c>
    </row>
    <row r="37572">
      <c r="A37572" s="17"/>
      <c r="H37572" s="18"/>
      <c r="K37572" s="18" t="s">
        <v>316</v>
      </c>
    </row>
    <row r="37573">
      <c r="A37573" s="17"/>
      <c r="H37573" s="18"/>
      <c r="K37573" s="18" t="s">
        <v>316</v>
      </c>
    </row>
    <row r="37574">
      <c r="A37574" s="17"/>
      <c r="H37574" s="18"/>
      <c r="K37574" s="18" t="s">
        <v>316</v>
      </c>
    </row>
    <row r="37575">
      <c r="A37575" s="17"/>
      <c r="H37575" s="18"/>
      <c r="K37575" s="18" t="s">
        <v>316</v>
      </c>
    </row>
    <row r="37576">
      <c r="A37576" s="17"/>
      <c r="H37576" s="18"/>
      <c r="K37576" s="18" t="s">
        <v>316</v>
      </c>
    </row>
    <row r="37577">
      <c r="A37577" s="17"/>
      <c r="H37577" s="18"/>
      <c r="K37577" s="18" t="s">
        <v>316</v>
      </c>
    </row>
    <row r="37578">
      <c r="A37578" s="17"/>
      <c r="H37578" s="18"/>
      <c r="K37578" s="18" t="s">
        <v>316</v>
      </c>
    </row>
    <row r="37579">
      <c r="A37579" s="17"/>
      <c r="H37579" s="18"/>
      <c r="K37579" s="18" t="s">
        <v>316</v>
      </c>
    </row>
    <row r="37580">
      <c r="A37580" s="17"/>
      <c r="H37580" s="18"/>
      <c r="K37580" s="18" t="s">
        <v>316</v>
      </c>
    </row>
    <row r="37581">
      <c r="A37581" s="17"/>
      <c r="H37581" s="18"/>
      <c r="K37581" s="18" t="s">
        <v>316</v>
      </c>
    </row>
    <row r="37582">
      <c r="A37582" s="17"/>
      <c r="H37582" s="18"/>
      <c r="K37582" s="18" t="s">
        <v>316</v>
      </c>
    </row>
    <row r="37583">
      <c r="A37583" s="17"/>
      <c r="H37583" s="18"/>
      <c r="K37583" s="18" t="s">
        <v>316</v>
      </c>
    </row>
    <row r="37584">
      <c r="A37584" s="17"/>
      <c r="H37584" s="18"/>
      <c r="K37584" s="18" t="s">
        <v>316</v>
      </c>
    </row>
    <row r="37585">
      <c r="A37585" s="17"/>
      <c r="H37585" s="18"/>
      <c r="K37585" s="18" t="s">
        <v>316</v>
      </c>
    </row>
    <row r="37586">
      <c r="A37586" s="17"/>
      <c r="H37586" s="18"/>
      <c r="K37586" s="18" t="s">
        <v>316</v>
      </c>
    </row>
    <row r="37587">
      <c r="A37587" s="17"/>
      <c r="H37587" s="18"/>
      <c r="K37587" s="18" t="s">
        <v>316</v>
      </c>
    </row>
    <row r="37588">
      <c r="A37588" s="17"/>
      <c r="H37588" s="18"/>
      <c r="K37588" s="18" t="s">
        <v>316</v>
      </c>
    </row>
    <row r="37589">
      <c r="A37589" s="17"/>
      <c r="H37589" s="18"/>
      <c r="K37589" s="18" t="s">
        <v>316</v>
      </c>
    </row>
    <row r="37590">
      <c r="A37590" s="17"/>
      <c r="H37590" s="18"/>
      <c r="K37590" s="18" t="s">
        <v>316</v>
      </c>
    </row>
    <row r="37591">
      <c r="A37591" s="17"/>
      <c r="H37591" s="18"/>
      <c r="K37591" s="18" t="s">
        <v>316</v>
      </c>
    </row>
    <row r="37592">
      <c r="A37592" s="17"/>
      <c r="H37592" s="18"/>
      <c r="K37592" s="18" t="s">
        <v>316</v>
      </c>
    </row>
    <row r="37593">
      <c r="A37593" s="17"/>
      <c r="H37593" s="18"/>
      <c r="K37593" s="18" t="s">
        <v>316</v>
      </c>
    </row>
    <row r="37594">
      <c r="A37594" s="17"/>
      <c r="H37594" s="18"/>
      <c r="K37594" s="18" t="s">
        <v>316</v>
      </c>
    </row>
    <row r="37595">
      <c r="A37595" s="17"/>
      <c r="H37595" s="18"/>
      <c r="K37595" s="18" t="s">
        <v>316</v>
      </c>
    </row>
    <row r="37596">
      <c r="A37596" s="17"/>
      <c r="H37596" s="18"/>
      <c r="K37596" s="18" t="s">
        <v>316</v>
      </c>
    </row>
    <row r="37597">
      <c r="A37597" s="17"/>
      <c r="H37597" s="18"/>
      <c r="K37597" s="18" t="s">
        <v>316</v>
      </c>
    </row>
    <row r="37598">
      <c r="A37598" s="17"/>
      <c r="H37598" s="18"/>
      <c r="K37598" s="18" t="s">
        <v>316</v>
      </c>
    </row>
    <row r="37599">
      <c r="A37599" s="17"/>
      <c r="H37599" s="18"/>
      <c r="K37599" s="18" t="s">
        <v>316</v>
      </c>
    </row>
    <row r="37600">
      <c r="A37600" s="17"/>
      <c r="H37600" s="18"/>
      <c r="K37600" s="18" t="s">
        <v>316</v>
      </c>
    </row>
    <row r="37601">
      <c r="A37601" s="17"/>
      <c r="H37601" s="18"/>
      <c r="K37601" s="18" t="s">
        <v>316</v>
      </c>
    </row>
    <row r="37602">
      <c r="A37602" s="17"/>
      <c r="H37602" s="18"/>
      <c r="K37602" s="18" t="s">
        <v>316</v>
      </c>
    </row>
    <row r="37603">
      <c r="A37603" s="17"/>
      <c r="H37603" s="18"/>
      <c r="K37603" s="18" t="s">
        <v>316</v>
      </c>
    </row>
    <row r="37604">
      <c r="A37604" s="17"/>
      <c r="H37604" s="18"/>
      <c r="K37604" s="18" t="s">
        <v>316</v>
      </c>
    </row>
    <row r="37605">
      <c r="A37605" s="17"/>
      <c r="H37605" s="18"/>
      <c r="K37605" s="18" t="s">
        <v>316</v>
      </c>
    </row>
    <row r="37606">
      <c r="A37606" s="17"/>
      <c r="H37606" s="18"/>
      <c r="K37606" s="18" t="s">
        <v>316</v>
      </c>
    </row>
    <row r="37607">
      <c r="A37607" s="17"/>
      <c r="H37607" s="18"/>
      <c r="K37607" s="18" t="s">
        <v>316</v>
      </c>
    </row>
    <row r="37608">
      <c r="A37608" s="17"/>
      <c r="H37608" s="18"/>
      <c r="K37608" s="18" t="s">
        <v>316</v>
      </c>
    </row>
    <row r="37609">
      <c r="A37609" s="17"/>
      <c r="H37609" s="18"/>
      <c r="K37609" s="18" t="s">
        <v>316</v>
      </c>
    </row>
    <row r="37610">
      <c r="A37610" s="17"/>
      <c r="H37610" s="18"/>
      <c r="K37610" s="18" t="s">
        <v>316</v>
      </c>
    </row>
    <row r="37611">
      <c r="A37611" s="17"/>
      <c r="H37611" s="18"/>
      <c r="K37611" s="18" t="s">
        <v>316</v>
      </c>
    </row>
    <row r="37612">
      <c r="A37612" s="17"/>
      <c r="H37612" s="18"/>
      <c r="K37612" s="18" t="s">
        <v>316</v>
      </c>
    </row>
    <row r="37613">
      <c r="A37613" s="17"/>
      <c r="H37613" s="18"/>
      <c r="K37613" s="18" t="s">
        <v>316</v>
      </c>
    </row>
    <row r="37614">
      <c r="A37614" s="17"/>
      <c r="H37614" s="18"/>
      <c r="K37614" s="18" t="s">
        <v>316</v>
      </c>
    </row>
    <row r="37615">
      <c r="A37615" s="17"/>
      <c r="H37615" s="18"/>
      <c r="K37615" s="18" t="s">
        <v>316</v>
      </c>
    </row>
    <row r="37616">
      <c r="A37616" s="17"/>
      <c r="H37616" s="18"/>
      <c r="K37616" s="18" t="s">
        <v>316</v>
      </c>
    </row>
    <row r="37617">
      <c r="A37617" s="17"/>
      <c r="H37617" s="18"/>
      <c r="K37617" s="18" t="s">
        <v>316</v>
      </c>
    </row>
    <row r="37618">
      <c r="A37618" s="17"/>
      <c r="H37618" s="18"/>
      <c r="K37618" s="18" t="s">
        <v>316</v>
      </c>
    </row>
    <row r="37619">
      <c r="A37619" s="17"/>
      <c r="H37619" s="18"/>
      <c r="K37619" s="18" t="s">
        <v>316</v>
      </c>
    </row>
    <row r="37620">
      <c r="A37620" s="17"/>
      <c r="H37620" s="18"/>
      <c r="K37620" s="18" t="s">
        <v>316</v>
      </c>
    </row>
    <row r="37621">
      <c r="A37621" s="17"/>
      <c r="H37621" s="18"/>
      <c r="K37621" s="18" t="s">
        <v>316</v>
      </c>
    </row>
    <row r="37622">
      <c r="A37622" s="17"/>
      <c r="H37622" s="18"/>
      <c r="K37622" s="18" t="s">
        <v>316</v>
      </c>
    </row>
    <row r="37623">
      <c r="A37623" s="17"/>
      <c r="H37623" s="18"/>
      <c r="K37623" s="18" t="s">
        <v>316</v>
      </c>
    </row>
    <row r="37624">
      <c r="A37624" s="17"/>
      <c r="H37624" s="18"/>
      <c r="K37624" s="18" t="s">
        <v>316</v>
      </c>
    </row>
    <row r="37625">
      <c r="A37625" s="17"/>
      <c r="H37625" s="18"/>
      <c r="K37625" s="18" t="s">
        <v>316</v>
      </c>
    </row>
    <row r="37626">
      <c r="A37626" s="17"/>
      <c r="H37626" s="18"/>
      <c r="K37626" s="18" t="s">
        <v>316</v>
      </c>
    </row>
    <row r="37627">
      <c r="A37627" s="17"/>
      <c r="H37627" s="18"/>
      <c r="K37627" s="18" t="s">
        <v>316</v>
      </c>
    </row>
    <row r="37628">
      <c r="A37628" s="17"/>
      <c r="H37628" s="18"/>
      <c r="K37628" s="18" t="s">
        <v>316</v>
      </c>
    </row>
    <row r="37629">
      <c r="A37629" s="17"/>
      <c r="H37629" s="18"/>
      <c r="K37629" s="18" t="s">
        <v>316</v>
      </c>
    </row>
    <row r="37630">
      <c r="A37630" s="17"/>
      <c r="H37630" s="18"/>
      <c r="K37630" s="18" t="s">
        <v>316</v>
      </c>
    </row>
    <row r="37631">
      <c r="A37631" s="17"/>
      <c r="H37631" s="18"/>
      <c r="K37631" s="18" t="s">
        <v>316</v>
      </c>
    </row>
    <row r="37632">
      <c r="A37632" s="17"/>
      <c r="H37632" s="18"/>
      <c r="K37632" s="18" t="s">
        <v>316</v>
      </c>
    </row>
    <row r="37633">
      <c r="A37633" s="17"/>
      <c r="H37633" s="18"/>
      <c r="K37633" s="18" t="s">
        <v>316</v>
      </c>
    </row>
    <row r="37634">
      <c r="A37634" s="17"/>
      <c r="H37634" s="18"/>
      <c r="K37634" s="18" t="s">
        <v>316</v>
      </c>
    </row>
    <row r="37635">
      <c r="A37635" s="17"/>
      <c r="H37635" s="18"/>
      <c r="K37635" s="18" t="s">
        <v>316</v>
      </c>
    </row>
    <row r="37636">
      <c r="A37636" s="17"/>
      <c r="H37636" s="18"/>
      <c r="K37636" s="18" t="s">
        <v>316</v>
      </c>
    </row>
    <row r="37637">
      <c r="A37637" s="17"/>
      <c r="H37637" s="18"/>
      <c r="K37637" s="18" t="s">
        <v>316</v>
      </c>
    </row>
    <row r="37638">
      <c r="A37638" s="17"/>
      <c r="H37638" s="18"/>
      <c r="K37638" s="18" t="s">
        <v>316</v>
      </c>
    </row>
    <row r="37639">
      <c r="A37639" s="17"/>
      <c r="H37639" s="18"/>
      <c r="K37639" s="18" t="s">
        <v>316</v>
      </c>
    </row>
    <row r="37640">
      <c r="A37640" s="17"/>
      <c r="H37640" s="18"/>
      <c r="K37640" s="18" t="s">
        <v>316</v>
      </c>
    </row>
    <row r="37641">
      <c r="A37641" s="17"/>
      <c r="H37641" s="18"/>
      <c r="K37641" s="18" t="s">
        <v>316</v>
      </c>
    </row>
    <row r="37642">
      <c r="A37642" s="17"/>
      <c r="H37642" s="18"/>
      <c r="K37642" s="18" t="s">
        <v>316</v>
      </c>
    </row>
    <row r="37643">
      <c r="A37643" s="17"/>
      <c r="H37643" s="18"/>
      <c r="K37643" s="18" t="s">
        <v>316</v>
      </c>
    </row>
    <row r="37644">
      <c r="A37644" s="17"/>
      <c r="H37644" s="18"/>
      <c r="K37644" s="18" t="s">
        <v>316</v>
      </c>
    </row>
    <row r="37645">
      <c r="A37645" s="17"/>
      <c r="H37645" s="18"/>
      <c r="K37645" s="18" t="s">
        <v>316</v>
      </c>
    </row>
    <row r="37646">
      <c r="A37646" s="17"/>
      <c r="H37646" s="18"/>
      <c r="K37646" s="18" t="s">
        <v>316</v>
      </c>
    </row>
    <row r="37647">
      <c r="A37647" s="17"/>
      <c r="H37647" s="18"/>
      <c r="K37647" s="18" t="s">
        <v>316</v>
      </c>
    </row>
    <row r="37648">
      <c r="A37648" s="17"/>
      <c r="H37648" s="18"/>
      <c r="K37648" s="18" t="s">
        <v>316</v>
      </c>
    </row>
    <row r="37649">
      <c r="A37649" s="17"/>
      <c r="H37649" s="18"/>
      <c r="K37649" s="18" t="s">
        <v>316</v>
      </c>
    </row>
    <row r="37650">
      <c r="A37650" s="17"/>
      <c r="H37650" s="18"/>
      <c r="K37650" s="18" t="s">
        <v>316</v>
      </c>
    </row>
    <row r="37651">
      <c r="A37651" s="17"/>
      <c r="H37651" s="18"/>
      <c r="K37651" s="18" t="s">
        <v>316</v>
      </c>
    </row>
    <row r="37652">
      <c r="A37652" s="17"/>
      <c r="H37652" s="18"/>
      <c r="K37652" s="18" t="s">
        <v>316</v>
      </c>
    </row>
    <row r="37653">
      <c r="A37653" s="17"/>
      <c r="H37653" s="18"/>
      <c r="K37653" s="18" t="s">
        <v>316</v>
      </c>
    </row>
    <row r="37654">
      <c r="A37654" s="17"/>
      <c r="H37654" s="18"/>
      <c r="K37654" s="18" t="s">
        <v>316</v>
      </c>
    </row>
    <row r="37655">
      <c r="A37655" s="17"/>
      <c r="H37655" s="18"/>
      <c r="K37655" s="18" t="s">
        <v>316</v>
      </c>
    </row>
    <row r="37656">
      <c r="A37656" s="17"/>
      <c r="H37656" s="18"/>
      <c r="K37656" s="18" t="s">
        <v>316</v>
      </c>
    </row>
    <row r="37657">
      <c r="A37657" s="17"/>
      <c r="H37657" s="18"/>
      <c r="K37657" s="18" t="s">
        <v>316</v>
      </c>
    </row>
    <row r="37658">
      <c r="A37658" s="17"/>
      <c r="H37658" s="18"/>
      <c r="K37658" s="18" t="s">
        <v>316</v>
      </c>
    </row>
    <row r="37659">
      <c r="A37659" s="17"/>
      <c r="H37659" s="18"/>
      <c r="K37659" s="18" t="s">
        <v>316</v>
      </c>
    </row>
    <row r="37660">
      <c r="A37660" s="17"/>
      <c r="H37660" s="18"/>
      <c r="K37660" s="18" t="s">
        <v>316</v>
      </c>
    </row>
    <row r="37661">
      <c r="A37661" s="17"/>
      <c r="H37661" s="18"/>
      <c r="K37661" s="18" t="s">
        <v>316</v>
      </c>
    </row>
    <row r="37662">
      <c r="A37662" s="17"/>
      <c r="H37662" s="18"/>
      <c r="K37662" s="18" t="s">
        <v>316</v>
      </c>
    </row>
    <row r="37663">
      <c r="A37663" s="17"/>
      <c r="H37663" s="18"/>
      <c r="K37663" s="18" t="s">
        <v>316</v>
      </c>
    </row>
    <row r="37664">
      <c r="A37664" s="17"/>
      <c r="H37664" s="18"/>
      <c r="K37664" s="18" t="s">
        <v>316</v>
      </c>
    </row>
    <row r="37665">
      <c r="A37665" s="17"/>
      <c r="H37665" s="18"/>
      <c r="K37665" s="18" t="s">
        <v>316</v>
      </c>
    </row>
    <row r="37666">
      <c r="A37666" s="17"/>
      <c r="H37666" s="18"/>
      <c r="K37666" s="18" t="s">
        <v>316</v>
      </c>
    </row>
    <row r="37667">
      <c r="A37667" s="17"/>
      <c r="H37667" s="18"/>
      <c r="K37667" s="18" t="s">
        <v>316</v>
      </c>
    </row>
    <row r="37668">
      <c r="A37668" s="17"/>
      <c r="H37668" s="18"/>
      <c r="K37668" s="18" t="s">
        <v>316</v>
      </c>
    </row>
    <row r="37669">
      <c r="A37669" s="17"/>
      <c r="H37669" s="18"/>
      <c r="K37669" s="18" t="s">
        <v>316</v>
      </c>
    </row>
    <row r="37670">
      <c r="A37670" s="17"/>
      <c r="H37670" s="18"/>
      <c r="K37670" s="18" t="s">
        <v>316</v>
      </c>
    </row>
    <row r="37671">
      <c r="A37671" s="17"/>
      <c r="H37671" s="18"/>
      <c r="K37671" s="18" t="s">
        <v>316</v>
      </c>
    </row>
    <row r="37672">
      <c r="A37672" s="17"/>
      <c r="H37672" s="18"/>
      <c r="K37672" s="18" t="s">
        <v>316</v>
      </c>
    </row>
    <row r="37673">
      <c r="A37673" s="17"/>
      <c r="H37673" s="18"/>
      <c r="K37673" s="18" t="s">
        <v>316</v>
      </c>
    </row>
    <row r="37674">
      <c r="A37674" s="17"/>
      <c r="H37674" s="18"/>
      <c r="K37674" s="18" t="s">
        <v>316</v>
      </c>
    </row>
    <row r="37675">
      <c r="A37675" s="17"/>
      <c r="H37675" s="18"/>
      <c r="K37675" s="18" t="s">
        <v>316</v>
      </c>
    </row>
    <row r="37676">
      <c r="A37676" s="17"/>
      <c r="H37676" s="18"/>
      <c r="K37676" s="18" t="s">
        <v>316</v>
      </c>
    </row>
    <row r="37677">
      <c r="A37677" s="17"/>
      <c r="H37677" s="18"/>
      <c r="K37677" s="18" t="s">
        <v>316</v>
      </c>
    </row>
    <row r="37678">
      <c r="A37678" s="17"/>
      <c r="H37678" s="18"/>
      <c r="K37678" s="18" t="s">
        <v>316</v>
      </c>
    </row>
    <row r="37679">
      <c r="A37679" s="17"/>
      <c r="H37679" s="18"/>
      <c r="K37679" s="18" t="s">
        <v>316</v>
      </c>
    </row>
    <row r="37680">
      <c r="A37680" s="17"/>
      <c r="H37680" s="18"/>
      <c r="K37680" s="18" t="s">
        <v>316</v>
      </c>
    </row>
    <row r="37681">
      <c r="A37681" s="17"/>
      <c r="H37681" s="18"/>
      <c r="K37681" s="18" t="s">
        <v>316</v>
      </c>
    </row>
    <row r="37682">
      <c r="A37682" s="17"/>
      <c r="H37682" s="18"/>
      <c r="K37682" s="18" t="s">
        <v>316</v>
      </c>
    </row>
    <row r="37683">
      <c r="A37683" s="17"/>
      <c r="H37683" s="18"/>
      <c r="K37683" s="18" t="s">
        <v>316</v>
      </c>
    </row>
    <row r="37684">
      <c r="A37684" s="17"/>
      <c r="H37684" s="18"/>
      <c r="K37684" s="18" t="s">
        <v>316</v>
      </c>
    </row>
    <row r="37685">
      <c r="A37685" s="17"/>
      <c r="H37685" s="18"/>
      <c r="K37685" s="18" t="s">
        <v>316</v>
      </c>
    </row>
    <row r="37686">
      <c r="A37686" s="17"/>
      <c r="H37686" s="18"/>
      <c r="K37686" s="18" t="s">
        <v>316</v>
      </c>
    </row>
    <row r="37687">
      <c r="A37687" s="17"/>
      <c r="H37687" s="18"/>
      <c r="K37687" s="18" t="s">
        <v>316</v>
      </c>
    </row>
    <row r="37688">
      <c r="A37688" s="17"/>
      <c r="H37688" s="18"/>
      <c r="K37688" s="18" t="s">
        <v>316</v>
      </c>
    </row>
    <row r="37689">
      <c r="A37689" s="17"/>
      <c r="H37689" s="18"/>
      <c r="K37689" s="18" t="s">
        <v>316</v>
      </c>
    </row>
    <row r="37690">
      <c r="A37690" s="17"/>
      <c r="H37690" s="18"/>
      <c r="K37690" s="18" t="s">
        <v>316</v>
      </c>
    </row>
    <row r="37691">
      <c r="A37691" s="17"/>
      <c r="H37691" s="18"/>
      <c r="K37691" s="18" t="s">
        <v>316</v>
      </c>
    </row>
    <row r="37692">
      <c r="A37692" s="17"/>
      <c r="H37692" s="18"/>
      <c r="K37692" s="18" t="s">
        <v>316</v>
      </c>
    </row>
    <row r="37693">
      <c r="A37693" s="17"/>
      <c r="H37693" s="18"/>
      <c r="K37693" s="18" t="s">
        <v>316</v>
      </c>
    </row>
    <row r="37694">
      <c r="A37694" s="17"/>
      <c r="H37694" s="18"/>
      <c r="K37694" s="18" t="s">
        <v>316</v>
      </c>
    </row>
    <row r="37695">
      <c r="A37695" s="17"/>
      <c r="H37695" s="18"/>
      <c r="K37695" s="18" t="s">
        <v>316</v>
      </c>
    </row>
    <row r="37696">
      <c r="A37696" s="17"/>
      <c r="H37696" s="18"/>
      <c r="K37696" s="18" t="s">
        <v>316</v>
      </c>
    </row>
    <row r="37697">
      <c r="A37697" s="17"/>
      <c r="H37697" s="18"/>
      <c r="K37697" s="18" t="s">
        <v>316</v>
      </c>
    </row>
    <row r="37698">
      <c r="A37698" s="17"/>
      <c r="H37698" s="18"/>
      <c r="K37698" s="18" t="s">
        <v>316</v>
      </c>
    </row>
    <row r="37699">
      <c r="A37699" s="17"/>
      <c r="H37699" s="18"/>
      <c r="K37699" s="18" t="s">
        <v>316</v>
      </c>
    </row>
    <row r="37700">
      <c r="A37700" s="17"/>
      <c r="H37700" s="18"/>
      <c r="K37700" s="18" t="s">
        <v>316</v>
      </c>
    </row>
    <row r="37701">
      <c r="A37701" s="17"/>
      <c r="H37701" s="18"/>
      <c r="K37701" s="18" t="s">
        <v>316</v>
      </c>
    </row>
    <row r="37702">
      <c r="A37702" s="17"/>
      <c r="H37702" s="18"/>
      <c r="K37702" s="18" t="s">
        <v>316</v>
      </c>
    </row>
    <row r="37703">
      <c r="A37703" s="17"/>
      <c r="H37703" s="18"/>
      <c r="K37703" s="18" t="s">
        <v>316</v>
      </c>
    </row>
    <row r="37704">
      <c r="A37704" s="17"/>
      <c r="H37704" s="18"/>
      <c r="K37704" s="18" t="s">
        <v>316</v>
      </c>
    </row>
    <row r="37705">
      <c r="A37705" s="17"/>
      <c r="H37705" s="18"/>
      <c r="K37705" s="18" t="s">
        <v>316</v>
      </c>
    </row>
    <row r="37706">
      <c r="A37706" s="17"/>
      <c r="H37706" s="18"/>
      <c r="K37706" s="18" t="s">
        <v>316</v>
      </c>
    </row>
    <row r="37707">
      <c r="A37707" s="17"/>
      <c r="H37707" s="18"/>
      <c r="K37707" s="18" t="s">
        <v>316</v>
      </c>
    </row>
    <row r="37708">
      <c r="A37708" s="17"/>
      <c r="H37708" s="18"/>
      <c r="K37708" s="18" t="s">
        <v>316</v>
      </c>
    </row>
    <row r="37709">
      <c r="A37709" s="17"/>
      <c r="H37709" s="18"/>
      <c r="K37709" s="18" t="s">
        <v>316</v>
      </c>
    </row>
    <row r="37710">
      <c r="A37710" s="17"/>
      <c r="H37710" s="18"/>
      <c r="K37710" s="18" t="s">
        <v>316</v>
      </c>
    </row>
    <row r="37711">
      <c r="A37711" s="17"/>
      <c r="H37711" s="18"/>
      <c r="K37711" s="18" t="s">
        <v>316</v>
      </c>
    </row>
    <row r="37712">
      <c r="A37712" s="17"/>
      <c r="H37712" s="18"/>
      <c r="K37712" s="18" t="s">
        <v>316</v>
      </c>
    </row>
    <row r="37713">
      <c r="A37713" s="17"/>
      <c r="H37713" s="18"/>
      <c r="K37713" s="18" t="s">
        <v>316</v>
      </c>
    </row>
    <row r="37714">
      <c r="A37714" s="17"/>
      <c r="H37714" s="18"/>
      <c r="K37714" s="18" t="s">
        <v>316</v>
      </c>
    </row>
    <row r="37715">
      <c r="A37715" s="17"/>
      <c r="H37715" s="18"/>
      <c r="K37715" s="18" t="s">
        <v>316</v>
      </c>
    </row>
    <row r="37716">
      <c r="A37716" s="17"/>
      <c r="H37716" s="18"/>
      <c r="K37716" s="18" t="s">
        <v>316</v>
      </c>
    </row>
    <row r="37717">
      <c r="A37717" s="17"/>
      <c r="H37717" s="18"/>
      <c r="K37717" s="18" t="s">
        <v>316</v>
      </c>
    </row>
    <row r="37718">
      <c r="A37718" s="17"/>
      <c r="H37718" s="18"/>
      <c r="K37718" s="18" t="s">
        <v>316</v>
      </c>
    </row>
    <row r="37719">
      <c r="A37719" s="17"/>
      <c r="H37719" s="18"/>
      <c r="K37719" s="18" t="s">
        <v>316</v>
      </c>
    </row>
    <row r="37720">
      <c r="A37720" s="17"/>
      <c r="H37720" s="18"/>
      <c r="K37720" s="18" t="s">
        <v>316</v>
      </c>
    </row>
    <row r="37721">
      <c r="A37721" s="17"/>
      <c r="H37721" s="18"/>
      <c r="K37721" s="18" t="s">
        <v>316</v>
      </c>
    </row>
    <row r="37722">
      <c r="A37722" s="17"/>
      <c r="H37722" s="18"/>
      <c r="K37722" s="18" t="s">
        <v>316</v>
      </c>
    </row>
    <row r="37723">
      <c r="A37723" s="17"/>
      <c r="H37723" s="18"/>
      <c r="K37723" s="18" t="s">
        <v>316</v>
      </c>
    </row>
    <row r="37724">
      <c r="A37724" s="17"/>
      <c r="H37724" s="18"/>
      <c r="K37724" s="18" t="s">
        <v>316</v>
      </c>
    </row>
    <row r="37725">
      <c r="A37725" s="17"/>
      <c r="H37725" s="18"/>
      <c r="K37725" s="18" t="s">
        <v>316</v>
      </c>
    </row>
    <row r="37726">
      <c r="A37726" s="17"/>
      <c r="H37726" s="18"/>
      <c r="K37726" s="18" t="s">
        <v>316</v>
      </c>
    </row>
    <row r="37727">
      <c r="A37727" s="17"/>
      <c r="H37727" s="18"/>
      <c r="K37727" s="18" t="s">
        <v>316</v>
      </c>
    </row>
    <row r="37728">
      <c r="A37728" s="17"/>
      <c r="H37728" s="18"/>
      <c r="K37728" s="18" t="s">
        <v>316</v>
      </c>
    </row>
    <row r="37729">
      <c r="A37729" s="17"/>
      <c r="H37729" s="18"/>
      <c r="K37729" s="18" t="s">
        <v>316</v>
      </c>
    </row>
    <row r="37730">
      <c r="A37730" s="17"/>
      <c r="H37730" s="18"/>
      <c r="K37730" s="18" t="s">
        <v>316</v>
      </c>
    </row>
    <row r="37731">
      <c r="A37731" s="17"/>
      <c r="H37731" s="18"/>
      <c r="K37731" s="18" t="s">
        <v>316</v>
      </c>
    </row>
    <row r="37732">
      <c r="A37732" s="17"/>
      <c r="H37732" s="18"/>
      <c r="K37732" s="18" t="s">
        <v>316</v>
      </c>
    </row>
    <row r="37733">
      <c r="A37733" s="17"/>
      <c r="H37733" s="18"/>
      <c r="K37733" s="18" t="s">
        <v>316</v>
      </c>
    </row>
    <row r="37734">
      <c r="A37734" s="17"/>
      <c r="H37734" s="18"/>
      <c r="K37734" s="18" t="s">
        <v>316</v>
      </c>
    </row>
    <row r="37735">
      <c r="A37735" s="17"/>
      <c r="H37735" s="18"/>
      <c r="K37735" s="18" t="s">
        <v>316</v>
      </c>
    </row>
    <row r="37736">
      <c r="A37736" s="17"/>
      <c r="H37736" s="18"/>
      <c r="K37736" s="18" t="s">
        <v>316</v>
      </c>
    </row>
    <row r="37737">
      <c r="A37737" s="17"/>
      <c r="H37737" s="18"/>
      <c r="K37737" s="18" t="s">
        <v>316</v>
      </c>
    </row>
    <row r="37738">
      <c r="A37738" s="17"/>
      <c r="H37738" s="18"/>
      <c r="K37738" s="18" t="s">
        <v>316</v>
      </c>
    </row>
    <row r="37739">
      <c r="A37739" s="17"/>
      <c r="H37739" s="18"/>
      <c r="K37739" s="18" t="s">
        <v>316</v>
      </c>
    </row>
    <row r="37740">
      <c r="A37740" s="17"/>
      <c r="H37740" s="18"/>
      <c r="K37740" s="18" t="s">
        <v>316</v>
      </c>
    </row>
    <row r="37741">
      <c r="A37741" s="17"/>
      <c r="H37741" s="18"/>
      <c r="K37741" s="18" t="s">
        <v>316</v>
      </c>
    </row>
    <row r="37742">
      <c r="A37742" s="17"/>
      <c r="H37742" s="18"/>
      <c r="K37742" s="18" t="s">
        <v>316</v>
      </c>
    </row>
    <row r="37743">
      <c r="A37743" s="17"/>
      <c r="H37743" s="18"/>
      <c r="K37743" s="18" t="s">
        <v>316</v>
      </c>
    </row>
    <row r="37744">
      <c r="A37744" s="17"/>
      <c r="H37744" s="18"/>
      <c r="K37744" s="18" t="s">
        <v>316</v>
      </c>
    </row>
    <row r="37745">
      <c r="A37745" s="17"/>
      <c r="H37745" s="18"/>
      <c r="K37745" s="18" t="s">
        <v>316</v>
      </c>
    </row>
    <row r="37746">
      <c r="A37746" s="17"/>
      <c r="H37746" s="18"/>
      <c r="K37746" s="18" t="s">
        <v>316</v>
      </c>
    </row>
    <row r="37747">
      <c r="A37747" s="17"/>
      <c r="H37747" s="18"/>
      <c r="K37747" s="18" t="s">
        <v>316</v>
      </c>
    </row>
    <row r="37748">
      <c r="A37748" s="17"/>
      <c r="H37748" s="18"/>
      <c r="K37748" s="18" t="s">
        <v>316</v>
      </c>
    </row>
    <row r="37749">
      <c r="A37749" s="17"/>
      <c r="H37749" s="18"/>
      <c r="K37749" s="18" t="s">
        <v>316</v>
      </c>
    </row>
    <row r="37750">
      <c r="A37750" s="17"/>
      <c r="H37750" s="18"/>
      <c r="K37750" s="18" t="s">
        <v>316</v>
      </c>
    </row>
    <row r="37751">
      <c r="A37751" s="17"/>
      <c r="H37751" s="18"/>
      <c r="K37751" s="18" t="s">
        <v>316</v>
      </c>
    </row>
    <row r="37752">
      <c r="A37752" s="17"/>
      <c r="H37752" s="18"/>
      <c r="K37752" s="18" t="s">
        <v>316</v>
      </c>
    </row>
    <row r="37753">
      <c r="A37753" s="17"/>
      <c r="H37753" s="18"/>
      <c r="K37753" s="18" t="s">
        <v>316</v>
      </c>
    </row>
    <row r="37754">
      <c r="A37754" s="17"/>
      <c r="H37754" s="18"/>
      <c r="K37754" s="18" t="s">
        <v>316</v>
      </c>
    </row>
    <row r="37755">
      <c r="A37755" s="17"/>
      <c r="H37755" s="18"/>
      <c r="K37755" s="18" t="s">
        <v>316</v>
      </c>
    </row>
    <row r="37756">
      <c r="A37756" s="17"/>
      <c r="H37756" s="18"/>
      <c r="K37756" s="18" t="s">
        <v>316</v>
      </c>
    </row>
    <row r="37757">
      <c r="A37757" s="17"/>
      <c r="H37757" s="18"/>
      <c r="K37757" s="18" t="s">
        <v>316</v>
      </c>
    </row>
    <row r="37758">
      <c r="A37758" s="17"/>
      <c r="H37758" s="18"/>
      <c r="K37758" s="18" t="s">
        <v>316</v>
      </c>
    </row>
    <row r="37759">
      <c r="A37759" s="17"/>
      <c r="H37759" s="18"/>
      <c r="K37759" s="18" t="s">
        <v>316</v>
      </c>
    </row>
    <row r="37760">
      <c r="A37760" s="17"/>
      <c r="H37760" s="18"/>
      <c r="K37760" s="18" t="s">
        <v>316</v>
      </c>
    </row>
    <row r="37761">
      <c r="A37761" s="17"/>
      <c r="H37761" s="18"/>
      <c r="K37761" s="18" t="s">
        <v>316</v>
      </c>
    </row>
    <row r="37762">
      <c r="A37762" s="17"/>
      <c r="H37762" s="18"/>
      <c r="K37762" s="18" t="s">
        <v>316</v>
      </c>
    </row>
    <row r="37763">
      <c r="A37763" s="17"/>
      <c r="H37763" s="18"/>
      <c r="K37763" s="18" t="s">
        <v>316</v>
      </c>
    </row>
    <row r="37764">
      <c r="A37764" s="17"/>
      <c r="H37764" s="18"/>
      <c r="K37764" s="18" t="s">
        <v>316</v>
      </c>
    </row>
    <row r="37765">
      <c r="A37765" s="17"/>
      <c r="H37765" s="18"/>
      <c r="K37765" s="18" t="s">
        <v>316</v>
      </c>
    </row>
    <row r="37766">
      <c r="A37766" s="17"/>
      <c r="H37766" s="18"/>
      <c r="K37766" s="18" t="s">
        <v>316</v>
      </c>
    </row>
    <row r="37767">
      <c r="A37767" s="17"/>
      <c r="H37767" s="18"/>
      <c r="K37767" s="18" t="s">
        <v>316</v>
      </c>
    </row>
    <row r="37768">
      <c r="A37768" s="17"/>
      <c r="H37768" s="18"/>
      <c r="K37768" s="18" t="s">
        <v>316</v>
      </c>
    </row>
    <row r="37769">
      <c r="A37769" s="17"/>
      <c r="H37769" s="18"/>
      <c r="K37769" s="18" t="s">
        <v>316</v>
      </c>
    </row>
    <row r="37770">
      <c r="A37770" s="17"/>
      <c r="H37770" s="18"/>
      <c r="K37770" s="18" t="s">
        <v>316</v>
      </c>
    </row>
    <row r="37771">
      <c r="A37771" s="17"/>
      <c r="H37771" s="18"/>
      <c r="K37771" s="18" t="s">
        <v>316</v>
      </c>
    </row>
    <row r="37772">
      <c r="A37772" s="17"/>
      <c r="H37772" s="18"/>
      <c r="K37772" s="18" t="s">
        <v>316</v>
      </c>
    </row>
    <row r="37773">
      <c r="A37773" s="17"/>
      <c r="H37773" s="18"/>
      <c r="K37773" s="18" t="s">
        <v>316</v>
      </c>
    </row>
    <row r="37774">
      <c r="A37774" s="17"/>
      <c r="H37774" s="18"/>
      <c r="K37774" s="18" t="s">
        <v>316</v>
      </c>
    </row>
    <row r="37775">
      <c r="A37775" s="17"/>
      <c r="H37775" s="18"/>
      <c r="K37775" s="18" t="s">
        <v>316</v>
      </c>
    </row>
    <row r="37776">
      <c r="A37776" s="17"/>
      <c r="H37776" s="18"/>
      <c r="K37776" s="18" t="s">
        <v>316</v>
      </c>
    </row>
    <row r="37777">
      <c r="A37777" s="17"/>
      <c r="H37777" s="18"/>
      <c r="K37777" s="18" t="s">
        <v>316</v>
      </c>
    </row>
    <row r="37778">
      <c r="A37778" s="17"/>
      <c r="H37778" s="18"/>
      <c r="K37778" s="18" t="s">
        <v>316</v>
      </c>
    </row>
    <row r="37779">
      <c r="A37779" s="17"/>
      <c r="H37779" s="18"/>
      <c r="K37779" s="18" t="s">
        <v>316</v>
      </c>
    </row>
    <row r="37780">
      <c r="A37780" s="17"/>
      <c r="H37780" s="18"/>
      <c r="K37780" s="18" t="s">
        <v>316</v>
      </c>
    </row>
    <row r="37781">
      <c r="A37781" s="17"/>
      <c r="H37781" s="18"/>
      <c r="K37781" s="18" t="s">
        <v>316</v>
      </c>
    </row>
    <row r="37782">
      <c r="A37782" s="17"/>
      <c r="H37782" s="18"/>
      <c r="K37782" s="18" t="s">
        <v>316</v>
      </c>
    </row>
    <row r="37783">
      <c r="A37783" s="17"/>
      <c r="H37783" s="18"/>
      <c r="K37783" s="18" t="s">
        <v>316</v>
      </c>
    </row>
    <row r="37784">
      <c r="A37784" s="17"/>
      <c r="H37784" s="18"/>
      <c r="K37784" s="18" t="s">
        <v>316</v>
      </c>
    </row>
    <row r="37785">
      <c r="A37785" s="17"/>
      <c r="H37785" s="18"/>
      <c r="K37785" s="18" t="s">
        <v>316</v>
      </c>
    </row>
    <row r="37786">
      <c r="A37786" s="17"/>
      <c r="H37786" s="18"/>
      <c r="K37786" s="18" t="s">
        <v>316</v>
      </c>
    </row>
    <row r="37787">
      <c r="A37787" s="17"/>
      <c r="H37787" s="18"/>
      <c r="K37787" s="18" t="s">
        <v>316</v>
      </c>
    </row>
    <row r="37788">
      <c r="A37788" s="17"/>
      <c r="H37788" s="18"/>
      <c r="K37788" s="18" t="s">
        <v>316</v>
      </c>
    </row>
    <row r="37789">
      <c r="A37789" s="17"/>
      <c r="H37789" s="18"/>
      <c r="K37789" s="18" t="s">
        <v>316</v>
      </c>
    </row>
    <row r="37790">
      <c r="A37790" s="17"/>
      <c r="H37790" s="18"/>
      <c r="K37790" s="18" t="s">
        <v>316</v>
      </c>
    </row>
    <row r="37791">
      <c r="A37791" s="17"/>
      <c r="H37791" s="18"/>
      <c r="K37791" s="18" t="s">
        <v>316</v>
      </c>
    </row>
    <row r="37792">
      <c r="A37792" s="17"/>
      <c r="H37792" s="18"/>
      <c r="K37792" s="18" t="s">
        <v>316</v>
      </c>
    </row>
    <row r="37793">
      <c r="A37793" s="17"/>
      <c r="H37793" s="18"/>
      <c r="K37793" s="18" t="s">
        <v>316</v>
      </c>
    </row>
    <row r="37794">
      <c r="A37794" s="17"/>
      <c r="H37794" s="18"/>
      <c r="K37794" s="18" t="s">
        <v>316</v>
      </c>
    </row>
    <row r="37795">
      <c r="A37795" s="17"/>
      <c r="H37795" s="18"/>
      <c r="K37795" s="18" t="s">
        <v>316</v>
      </c>
    </row>
    <row r="37796">
      <c r="A37796" s="17"/>
      <c r="H37796" s="18"/>
      <c r="K37796" s="18" t="s">
        <v>316</v>
      </c>
    </row>
    <row r="37797">
      <c r="A37797" s="17"/>
      <c r="H37797" s="18"/>
      <c r="K37797" s="18" t="s">
        <v>316</v>
      </c>
    </row>
    <row r="37798">
      <c r="A37798" s="17"/>
      <c r="H37798" s="18"/>
      <c r="K37798" s="18" t="s">
        <v>316</v>
      </c>
    </row>
    <row r="37799">
      <c r="A37799" s="17"/>
      <c r="H37799" s="18"/>
      <c r="K37799" s="18" t="s">
        <v>316</v>
      </c>
    </row>
    <row r="37800">
      <c r="A37800" s="17"/>
      <c r="H37800" s="18"/>
      <c r="K37800" s="18" t="s">
        <v>316</v>
      </c>
    </row>
    <row r="37801">
      <c r="A37801" s="17"/>
      <c r="H37801" s="18"/>
      <c r="K37801" s="18" t="s">
        <v>316</v>
      </c>
    </row>
    <row r="37802">
      <c r="A37802" s="17"/>
      <c r="H37802" s="18"/>
      <c r="K37802" s="18" t="s">
        <v>316</v>
      </c>
    </row>
    <row r="37803">
      <c r="A37803" s="17"/>
      <c r="H37803" s="18"/>
      <c r="K37803" s="18" t="s">
        <v>316</v>
      </c>
    </row>
    <row r="37804">
      <c r="A37804" s="17"/>
      <c r="H37804" s="18"/>
      <c r="K37804" s="18" t="s">
        <v>316</v>
      </c>
    </row>
    <row r="37805">
      <c r="A37805" s="17"/>
      <c r="H37805" s="18"/>
      <c r="K37805" s="18" t="s">
        <v>316</v>
      </c>
    </row>
    <row r="37806">
      <c r="A37806" s="17"/>
      <c r="H37806" s="18"/>
      <c r="K37806" s="18" t="s">
        <v>316</v>
      </c>
    </row>
    <row r="37807">
      <c r="A37807" s="17"/>
      <c r="H37807" s="18"/>
      <c r="K37807" s="18" t="s">
        <v>316</v>
      </c>
    </row>
    <row r="37808">
      <c r="A37808" s="17"/>
      <c r="H37808" s="18"/>
      <c r="K37808" s="18" t="s">
        <v>316</v>
      </c>
    </row>
    <row r="37809">
      <c r="A37809" s="17"/>
      <c r="H37809" s="18"/>
      <c r="K37809" s="18" t="s">
        <v>316</v>
      </c>
    </row>
    <row r="37810">
      <c r="A37810" s="17"/>
      <c r="H37810" s="18"/>
      <c r="K37810" s="18" t="s">
        <v>316</v>
      </c>
    </row>
    <row r="37811">
      <c r="A37811" s="17"/>
      <c r="H37811" s="18"/>
      <c r="K37811" s="18" t="s">
        <v>316</v>
      </c>
    </row>
    <row r="37812">
      <c r="A37812" s="17"/>
      <c r="H37812" s="18"/>
      <c r="K37812" s="18" t="s">
        <v>316</v>
      </c>
    </row>
    <row r="37813">
      <c r="A37813" s="17"/>
      <c r="H37813" s="18"/>
      <c r="K37813" s="18" t="s">
        <v>316</v>
      </c>
    </row>
    <row r="37814">
      <c r="A37814" s="17"/>
      <c r="H37814" s="18"/>
      <c r="K37814" s="18" t="s">
        <v>316</v>
      </c>
    </row>
    <row r="37815">
      <c r="A37815" s="17"/>
      <c r="H37815" s="18"/>
      <c r="K37815" s="18" t="s">
        <v>316</v>
      </c>
    </row>
    <row r="37816">
      <c r="A37816" s="17"/>
      <c r="H37816" s="18"/>
      <c r="K37816" s="18" t="s">
        <v>316</v>
      </c>
    </row>
    <row r="37817">
      <c r="A37817" s="17"/>
      <c r="H37817" s="18"/>
      <c r="K37817" s="18" t="s">
        <v>316</v>
      </c>
    </row>
    <row r="37818">
      <c r="A37818" s="17"/>
      <c r="H37818" s="18"/>
      <c r="K37818" s="18" t="s">
        <v>316</v>
      </c>
    </row>
    <row r="37819">
      <c r="A37819" s="17"/>
      <c r="H37819" s="18"/>
      <c r="K37819" s="18" t="s">
        <v>316</v>
      </c>
    </row>
    <row r="37820">
      <c r="A37820" s="17"/>
      <c r="H37820" s="18"/>
      <c r="K37820" s="18" t="s">
        <v>316</v>
      </c>
    </row>
    <row r="37821">
      <c r="A37821" s="17"/>
      <c r="H37821" s="18"/>
      <c r="K37821" s="18" t="s">
        <v>316</v>
      </c>
    </row>
    <row r="37822">
      <c r="A37822" s="17"/>
      <c r="H37822" s="18"/>
      <c r="K37822" s="18" t="s">
        <v>316</v>
      </c>
    </row>
    <row r="37823">
      <c r="A37823" s="17"/>
      <c r="H37823" s="18"/>
      <c r="K37823" s="18" t="s">
        <v>316</v>
      </c>
    </row>
    <row r="37824">
      <c r="A37824" s="17"/>
      <c r="H37824" s="18"/>
      <c r="K37824" s="18" t="s">
        <v>316</v>
      </c>
    </row>
    <row r="37825">
      <c r="A37825" s="17"/>
      <c r="H37825" s="18"/>
      <c r="K37825" s="18" t="s">
        <v>316</v>
      </c>
    </row>
    <row r="37826">
      <c r="A37826" s="17"/>
      <c r="H37826" s="18"/>
      <c r="K37826" s="18" t="s">
        <v>316</v>
      </c>
    </row>
    <row r="37827">
      <c r="A37827" s="17"/>
      <c r="H37827" s="18"/>
      <c r="K37827" s="18" t="s">
        <v>316</v>
      </c>
    </row>
    <row r="37828">
      <c r="A37828" s="17"/>
      <c r="H37828" s="18"/>
      <c r="K37828" s="18" t="s">
        <v>316</v>
      </c>
    </row>
    <row r="37829">
      <c r="A37829" s="17"/>
      <c r="H37829" s="18"/>
      <c r="K37829" s="18" t="s">
        <v>316</v>
      </c>
    </row>
    <row r="37830">
      <c r="A37830" s="17"/>
      <c r="H37830" s="18"/>
      <c r="K37830" s="18" t="s">
        <v>316</v>
      </c>
    </row>
    <row r="37831">
      <c r="A37831" s="17"/>
      <c r="H37831" s="18"/>
      <c r="K37831" s="18" t="s">
        <v>316</v>
      </c>
    </row>
    <row r="37832">
      <c r="A37832" s="17"/>
      <c r="H37832" s="18"/>
      <c r="K37832" s="18" t="s">
        <v>316</v>
      </c>
    </row>
    <row r="37833">
      <c r="A37833" s="17"/>
      <c r="H37833" s="18"/>
      <c r="K37833" s="18" t="s">
        <v>316</v>
      </c>
    </row>
    <row r="37834">
      <c r="A37834" s="17"/>
      <c r="H37834" s="18"/>
      <c r="K37834" s="18" t="s">
        <v>316</v>
      </c>
    </row>
    <row r="37835">
      <c r="A37835" s="17"/>
      <c r="H37835" s="18"/>
      <c r="K37835" s="18" t="s">
        <v>316</v>
      </c>
    </row>
    <row r="37836">
      <c r="A37836" s="17"/>
      <c r="H37836" s="18"/>
      <c r="K37836" s="18" t="s">
        <v>316</v>
      </c>
    </row>
    <row r="37837">
      <c r="A37837" s="17"/>
      <c r="H37837" s="18"/>
      <c r="K37837" s="18" t="s">
        <v>316</v>
      </c>
    </row>
    <row r="37838">
      <c r="A37838" s="17"/>
      <c r="H37838" s="18"/>
      <c r="K37838" s="18" t="s">
        <v>316</v>
      </c>
    </row>
    <row r="37839">
      <c r="A37839" s="17"/>
      <c r="H37839" s="18"/>
      <c r="K37839" s="18" t="s">
        <v>316</v>
      </c>
    </row>
    <row r="37840">
      <c r="A37840" s="17"/>
      <c r="H37840" s="18"/>
      <c r="K37840" s="18" t="s">
        <v>316</v>
      </c>
    </row>
    <row r="37841">
      <c r="A37841" s="17"/>
      <c r="H37841" s="18"/>
      <c r="K37841" s="18" t="s">
        <v>316</v>
      </c>
    </row>
    <row r="37842">
      <c r="A37842" s="17"/>
      <c r="H37842" s="18"/>
      <c r="K37842" s="18" t="s">
        <v>316</v>
      </c>
    </row>
    <row r="37843">
      <c r="A37843" s="17"/>
      <c r="H37843" s="18"/>
      <c r="K37843" s="18" t="s">
        <v>316</v>
      </c>
    </row>
    <row r="37844">
      <c r="A37844" s="17"/>
      <c r="H37844" s="18"/>
      <c r="K37844" s="18" t="s">
        <v>316</v>
      </c>
    </row>
    <row r="37845">
      <c r="A37845" s="17"/>
      <c r="H37845" s="18"/>
      <c r="K37845" s="18" t="s">
        <v>316</v>
      </c>
    </row>
    <row r="37846">
      <c r="A37846" s="17"/>
      <c r="H37846" s="18"/>
      <c r="K37846" s="18" t="s">
        <v>316</v>
      </c>
    </row>
    <row r="37847">
      <c r="A37847" s="17"/>
      <c r="H37847" s="18"/>
      <c r="K37847" s="18" t="s">
        <v>316</v>
      </c>
    </row>
    <row r="37848">
      <c r="A37848" s="17"/>
      <c r="H37848" s="18"/>
      <c r="K37848" s="18" t="s">
        <v>316</v>
      </c>
    </row>
    <row r="37849">
      <c r="A37849" s="17"/>
      <c r="H37849" s="18"/>
      <c r="K37849" s="18" t="s">
        <v>316</v>
      </c>
    </row>
    <row r="37850">
      <c r="A37850" s="17"/>
      <c r="H37850" s="18"/>
      <c r="K37850" s="18" t="s">
        <v>316</v>
      </c>
    </row>
    <row r="37851">
      <c r="A37851" s="17"/>
      <c r="H37851" s="18"/>
      <c r="K37851" s="18" t="s">
        <v>316</v>
      </c>
    </row>
    <row r="37852">
      <c r="A37852" s="17"/>
      <c r="H37852" s="18"/>
      <c r="K37852" s="18" t="s">
        <v>316</v>
      </c>
    </row>
    <row r="37853">
      <c r="A37853" s="17"/>
      <c r="H37853" s="18"/>
      <c r="K37853" s="18" t="s">
        <v>316</v>
      </c>
    </row>
    <row r="37854">
      <c r="A37854" s="17"/>
      <c r="H37854" s="18"/>
      <c r="K37854" s="18" t="s">
        <v>316</v>
      </c>
    </row>
    <row r="37855">
      <c r="A37855" s="17"/>
      <c r="H37855" s="18"/>
      <c r="K37855" s="18" t="s">
        <v>316</v>
      </c>
    </row>
    <row r="37856">
      <c r="A37856" s="17"/>
      <c r="H37856" s="18"/>
      <c r="K37856" s="18" t="s">
        <v>316</v>
      </c>
    </row>
    <row r="37857">
      <c r="A37857" s="17"/>
      <c r="H37857" s="18"/>
      <c r="K37857" s="18" t="s">
        <v>316</v>
      </c>
    </row>
    <row r="37858">
      <c r="A37858" s="17"/>
      <c r="H37858" s="18"/>
      <c r="K37858" s="18" t="s">
        <v>316</v>
      </c>
    </row>
    <row r="37859">
      <c r="A37859" s="17"/>
      <c r="H37859" s="18"/>
      <c r="K37859" s="18" t="s">
        <v>316</v>
      </c>
    </row>
    <row r="37860">
      <c r="A37860" s="17"/>
      <c r="H37860" s="18"/>
      <c r="K37860" s="18" t="s">
        <v>316</v>
      </c>
    </row>
    <row r="37861">
      <c r="A37861" s="17"/>
      <c r="H37861" s="18"/>
      <c r="K37861" s="18" t="s">
        <v>316</v>
      </c>
    </row>
    <row r="37862">
      <c r="A37862" s="17"/>
      <c r="H37862" s="18"/>
      <c r="K37862" s="18" t="s">
        <v>316</v>
      </c>
    </row>
    <row r="37863">
      <c r="A37863" s="17"/>
      <c r="H37863" s="18"/>
      <c r="K37863" s="18" t="s">
        <v>316</v>
      </c>
    </row>
    <row r="37864">
      <c r="A37864" s="17"/>
      <c r="H37864" s="18"/>
      <c r="K37864" s="18" t="s">
        <v>316</v>
      </c>
    </row>
    <row r="37865">
      <c r="A37865" s="17"/>
      <c r="H37865" s="18"/>
      <c r="K37865" s="18" t="s">
        <v>316</v>
      </c>
    </row>
    <row r="37866">
      <c r="A37866" s="17"/>
      <c r="H37866" s="18"/>
      <c r="K37866" s="18" t="s">
        <v>316</v>
      </c>
    </row>
    <row r="37867">
      <c r="A37867" s="17"/>
      <c r="H37867" s="18"/>
      <c r="K37867" s="18" t="s">
        <v>316</v>
      </c>
    </row>
    <row r="37868">
      <c r="A37868" s="17"/>
      <c r="H37868" s="18"/>
      <c r="K37868" s="18" t="s">
        <v>316</v>
      </c>
    </row>
    <row r="37869">
      <c r="A37869" s="17"/>
      <c r="H37869" s="18"/>
      <c r="K37869" s="18" t="s">
        <v>316</v>
      </c>
    </row>
    <row r="37870">
      <c r="A37870" s="17"/>
      <c r="H37870" s="18"/>
      <c r="K37870" s="18" t="s">
        <v>316</v>
      </c>
    </row>
    <row r="37871">
      <c r="A37871" s="17"/>
      <c r="H37871" s="18"/>
      <c r="K37871" s="18" t="s">
        <v>316</v>
      </c>
    </row>
    <row r="37872">
      <c r="A37872" s="17"/>
      <c r="H37872" s="18"/>
      <c r="K37872" s="18" t="s">
        <v>316</v>
      </c>
    </row>
    <row r="37873">
      <c r="A37873" s="17"/>
      <c r="H37873" s="18"/>
      <c r="K37873" s="18" t="s">
        <v>316</v>
      </c>
    </row>
    <row r="37874">
      <c r="A37874" s="17"/>
      <c r="H37874" s="18"/>
      <c r="K37874" s="18" t="s">
        <v>316</v>
      </c>
    </row>
    <row r="37875">
      <c r="A37875" s="17"/>
      <c r="H37875" s="18"/>
      <c r="K37875" s="18" t="s">
        <v>316</v>
      </c>
    </row>
    <row r="37876">
      <c r="A37876" s="17"/>
      <c r="H37876" s="18"/>
      <c r="K37876" s="18" t="s">
        <v>316</v>
      </c>
    </row>
    <row r="37877">
      <c r="A37877" s="17"/>
      <c r="H37877" s="18"/>
      <c r="K37877" s="18" t="s">
        <v>316</v>
      </c>
    </row>
    <row r="37878">
      <c r="A37878" s="17"/>
      <c r="H37878" s="18"/>
      <c r="K37878" s="18" t="s">
        <v>316</v>
      </c>
    </row>
    <row r="37879">
      <c r="A37879" s="17"/>
      <c r="H37879" s="18"/>
      <c r="K37879" s="18" t="s">
        <v>316</v>
      </c>
    </row>
    <row r="37880">
      <c r="A37880" s="17"/>
      <c r="H37880" s="18"/>
      <c r="K37880" s="18" t="s">
        <v>316</v>
      </c>
    </row>
    <row r="37881">
      <c r="A37881" s="17"/>
      <c r="H37881" s="18"/>
      <c r="K37881" s="18" t="s">
        <v>316</v>
      </c>
    </row>
    <row r="37882">
      <c r="A37882" s="17"/>
      <c r="H37882" s="18"/>
      <c r="K37882" s="18" t="s">
        <v>316</v>
      </c>
    </row>
    <row r="37883">
      <c r="A37883" s="17"/>
      <c r="H37883" s="18"/>
      <c r="K37883" s="18" t="s">
        <v>316</v>
      </c>
    </row>
    <row r="37884">
      <c r="A37884" s="17"/>
      <c r="H37884" s="18"/>
      <c r="K37884" s="18" t="s">
        <v>316</v>
      </c>
    </row>
    <row r="37885">
      <c r="A37885" s="17"/>
      <c r="H37885" s="18"/>
      <c r="K37885" s="18" t="s">
        <v>316</v>
      </c>
    </row>
    <row r="37886">
      <c r="A37886" s="17"/>
      <c r="H37886" s="18"/>
      <c r="K37886" s="18" t="s">
        <v>316</v>
      </c>
    </row>
    <row r="37887">
      <c r="A37887" s="17"/>
      <c r="H37887" s="18"/>
      <c r="K37887" s="18" t="s">
        <v>316</v>
      </c>
    </row>
    <row r="37888">
      <c r="A37888" s="17"/>
      <c r="H37888" s="18"/>
      <c r="K37888" s="18" t="s">
        <v>316</v>
      </c>
    </row>
    <row r="37889">
      <c r="A37889" s="17"/>
      <c r="H37889" s="18"/>
      <c r="K37889" s="18" t="s">
        <v>316</v>
      </c>
    </row>
    <row r="37890">
      <c r="A37890" s="17"/>
      <c r="H37890" s="18"/>
      <c r="K37890" s="18" t="s">
        <v>316</v>
      </c>
    </row>
    <row r="37891">
      <c r="A37891" s="17"/>
      <c r="H37891" s="18"/>
      <c r="K37891" s="18" t="s">
        <v>316</v>
      </c>
    </row>
    <row r="37892">
      <c r="A37892" s="17"/>
      <c r="H37892" s="18"/>
      <c r="K37892" s="18" t="s">
        <v>316</v>
      </c>
    </row>
    <row r="37893">
      <c r="A37893" s="17"/>
      <c r="H37893" s="18"/>
      <c r="K37893" s="18" t="s">
        <v>316</v>
      </c>
    </row>
    <row r="37894">
      <c r="A37894" s="17"/>
      <c r="H37894" s="18"/>
      <c r="K37894" s="18" t="s">
        <v>316</v>
      </c>
    </row>
    <row r="37895">
      <c r="A37895" s="17"/>
      <c r="H37895" s="18"/>
      <c r="K37895" s="18" t="s">
        <v>316</v>
      </c>
    </row>
    <row r="37896">
      <c r="A37896" s="17"/>
      <c r="H37896" s="18"/>
      <c r="K37896" s="18" t="s">
        <v>316</v>
      </c>
    </row>
    <row r="37897">
      <c r="A37897" s="17"/>
      <c r="H37897" s="18"/>
      <c r="K37897" s="18" t="s">
        <v>316</v>
      </c>
    </row>
    <row r="37898">
      <c r="A37898" s="17"/>
      <c r="H37898" s="18"/>
      <c r="K37898" s="18" t="s">
        <v>316</v>
      </c>
    </row>
    <row r="37899">
      <c r="A37899" s="17"/>
      <c r="H37899" s="18"/>
      <c r="K37899" s="18" t="s">
        <v>316</v>
      </c>
    </row>
    <row r="37900">
      <c r="A37900" s="17"/>
      <c r="H37900" s="18"/>
      <c r="K37900" s="18" t="s">
        <v>316</v>
      </c>
    </row>
    <row r="37901">
      <c r="A37901" s="17"/>
      <c r="H37901" s="18"/>
      <c r="K37901" s="18" t="s">
        <v>316</v>
      </c>
    </row>
    <row r="37902">
      <c r="A37902" s="17"/>
      <c r="H37902" s="18"/>
      <c r="K37902" s="18" t="s">
        <v>316</v>
      </c>
    </row>
    <row r="37903">
      <c r="A37903" s="17"/>
      <c r="H37903" s="18"/>
      <c r="K37903" s="18" t="s">
        <v>316</v>
      </c>
    </row>
    <row r="37904">
      <c r="A37904" s="17"/>
      <c r="H37904" s="18"/>
      <c r="K37904" s="18" t="s">
        <v>316</v>
      </c>
    </row>
    <row r="37905">
      <c r="A37905" s="17"/>
      <c r="H37905" s="18"/>
      <c r="K37905" s="18" t="s">
        <v>316</v>
      </c>
    </row>
    <row r="37906">
      <c r="A37906" s="17"/>
      <c r="H37906" s="18"/>
      <c r="K37906" s="18" t="s">
        <v>316</v>
      </c>
    </row>
    <row r="37907">
      <c r="A37907" s="17"/>
      <c r="H37907" s="18"/>
      <c r="K37907" s="18" t="s">
        <v>316</v>
      </c>
    </row>
    <row r="37908">
      <c r="A37908" s="17"/>
      <c r="H37908" s="18"/>
      <c r="K37908" s="18" t="s">
        <v>316</v>
      </c>
    </row>
    <row r="37909">
      <c r="A37909" s="17"/>
      <c r="H37909" s="18"/>
      <c r="K37909" s="18" t="s">
        <v>316</v>
      </c>
    </row>
    <row r="37910">
      <c r="A37910" s="17"/>
      <c r="H37910" s="18"/>
      <c r="K37910" s="18" t="s">
        <v>316</v>
      </c>
    </row>
    <row r="37911">
      <c r="A37911" s="17"/>
      <c r="H37911" s="18"/>
      <c r="K37911" s="18" t="s">
        <v>316</v>
      </c>
    </row>
    <row r="37912">
      <c r="A37912" s="17"/>
      <c r="H37912" s="18"/>
      <c r="K37912" s="18" t="s">
        <v>316</v>
      </c>
    </row>
    <row r="37913">
      <c r="A37913" s="17"/>
      <c r="H37913" s="18"/>
      <c r="K37913" s="18" t="s">
        <v>316</v>
      </c>
    </row>
    <row r="37914">
      <c r="A37914" s="17"/>
      <c r="H37914" s="18"/>
      <c r="K37914" s="18" t="s">
        <v>316</v>
      </c>
    </row>
    <row r="37915">
      <c r="A37915" s="17"/>
      <c r="H37915" s="18"/>
      <c r="K37915" s="18" t="s">
        <v>316</v>
      </c>
    </row>
    <row r="37916">
      <c r="A37916" s="17"/>
      <c r="H37916" s="18"/>
      <c r="K37916" s="18" t="s">
        <v>316</v>
      </c>
    </row>
    <row r="37917">
      <c r="A37917" s="17"/>
      <c r="H37917" s="18"/>
      <c r="K37917" s="18" t="s">
        <v>316</v>
      </c>
    </row>
    <row r="37918">
      <c r="A37918" s="17"/>
      <c r="H37918" s="18"/>
      <c r="K37918" s="18" t="s">
        <v>316</v>
      </c>
    </row>
    <row r="37919">
      <c r="A37919" s="17"/>
      <c r="H37919" s="18"/>
      <c r="K37919" s="18" t="s">
        <v>316</v>
      </c>
    </row>
    <row r="37920">
      <c r="A37920" s="17"/>
      <c r="H37920" s="18"/>
      <c r="K37920" s="18" t="s">
        <v>316</v>
      </c>
    </row>
    <row r="37921">
      <c r="A37921" s="17"/>
      <c r="H37921" s="18"/>
      <c r="K37921" s="18" t="s">
        <v>316</v>
      </c>
    </row>
    <row r="37922">
      <c r="A37922" s="17"/>
      <c r="H37922" s="18"/>
      <c r="K37922" s="18" t="s">
        <v>316</v>
      </c>
    </row>
    <row r="37923">
      <c r="A37923" s="17"/>
      <c r="H37923" s="18"/>
      <c r="K37923" s="18" t="s">
        <v>316</v>
      </c>
    </row>
    <row r="37924">
      <c r="A37924" s="17"/>
      <c r="H37924" s="18"/>
      <c r="K37924" s="18" t="s">
        <v>316</v>
      </c>
    </row>
    <row r="37925">
      <c r="A37925" s="17"/>
      <c r="H37925" s="18"/>
      <c r="K37925" s="18" t="s">
        <v>316</v>
      </c>
    </row>
    <row r="37926">
      <c r="A37926" s="17"/>
      <c r="H37926" s="18"/>
      <c r="K37926" s="18" t="s">
        <v>316</v>
      </c>
    </row>
    <row r="37927">
      <c r="A37927" s="17"/>
      <c r="H37927" s="18"/>
      <c r="K37927" s="18" t="s">
        <v>316</v>
      </c>
    </row>
    <row r="37928">
      <c r="A37928" s="17"/>
      <c r="H37928" s="18"/>
      <c r="K37928" s="18" t="s">
        <v>316</v>
      </c>
    </row>
    <row r="37929">
      <c r="A37929" s="17"/>
      <c r="H37929" s="18"/>
      <c r="K37929" s="18" t="s">
        <v>316</v>
      </c>
    </row>
    <row r="37930">
      <c r="A37930" s="17"/>
      <c r="H37930" s="18"/>
      <c r="K37930" s="18" t="s">
        <v>316</v>
      </c>
    </row>
    <row r="37931">
      <c r="A37931" s="17"/>
      <c r="H37931" s="18"/>
      <c r="K37931" s="18" t="s">
        <v>316</v>
      </c>
    </row>
    <row r="37932">
      <c r="A37932" s="17"/>
      <c r="H37932" s="18"/>
      <c r="K37932" s="18" t="s">
        <v>316</v>
      </c>
    </row>
    <row r="37933">
      <c r="A37933" s="17"/>
      <c r="H37933" s="18"/>
      <c r="K37933" s="18" t="s">
        <v>316</v>
      </c>
    </row>
    <row r="37934">
      <c r="A37934" s="17"/>
      <c r="H37934" s="18"/>
      <c r="K37934" s="18" t="s">
        <v>316</v>
      </c>
    </row>
    <row r="37935">
      <c r="A37935" s="17"/>
      <c r="H37935" s="18"/>
      <c r="K37935" s="18" t="s">
        <v>316</v>
      </c>
    </row>
    <row r="37936">
      <c r="A37936" s="17"/>
      <c r="H37936" s="18"/>
      <c r="K37936" s="18" t="s">
        <v>316</v>
      </c>
    </row>
    <row r="37937">
      <c r="A37937" s="17"/>
      <c r="H37937" s="18"/>
      <c r="K37937" s="18" t="s">
        <v>316</v>
      </c>
    </row>
    <row r="37938">
      <c r="A37938" s="17"/>
      <c r="H37938" s="18"/>
      <c r="K37938" s="18" t="s">
        <v>316</v>
      </c>
    </row>
    <row r="37939">
      <c r="A37939" s="17"/>
      <c r="H37939" s="18"/>
      <c r="K37939" s="18" t="s">
        <v>316</v>
      </c>
    </row>
    <row r="37940">
      <c r="A37940" s="17"/>
      <c r="H37940" s="18"/>
      <c r="K37940" s="18" t="s">
        <v>316</v>
      </c>
    </row>
    <row r="37941">
      <c r="A37941" s="17"/>
      <c r="H37941" s="18"/>
      <c r="K37941" s="18" t="s">
        <v>316</v>
      </c>
    </row>
    <row r="37942">
      <c r="A37942" s="17"/>
      <c r="H37942" s="18"/>
      <c r="K37942" s="18" t="s">
        <v>316</v>
      </c>
    </row>
    <row r="37943">
      <c r="A37943" s="17"/>
      <c r="H37943" s="18"/>
      <c r="K37943" s="18" t="s">
        <v>316</v>
      </c>
    </row>
    <row r="37944">
      <c r="A37944" s="17"/>
      <c r="H37944" s="18"/>
      <c r="K37944" s="18" t="s">
        <v>316</v>
      </c>
    </row>
    <row r="37945">
      <c r="A37945" s="17"/>
      <c r="H37945" s="18"/>
      <c r="K37945" s="18" t="s">
        <v>316</v>
      </c>
    </row>
    <row r="37946">
      <c r="A37946" s="17"/>
      <c r="H37946" s="18"/>
      <c r="K37946" s="18" t="s">
        <v>316</v>
      </c>
    </row>
    <row r="37947">
      <c r="A37947" s="17"/>
      <c r="H37947" s="18"/>
      <c r="K37947" s="18" t="s">
        <v>316</v>
      </c>
    </row>
    <row r="37948">
      <c r="A37948" s="17"/>
      <c r="H37948" s="18"/>
      <c r="K37948" s="18" t="s">
        <v>316</v>
      </c>
    </row>
    <row r="37949">
      <c r="A37949" s="17"/>
      <c r="H37949" s="18"/>
      <c r="K37949" s="18" t="s">
        <v>316</v>
      </c>
    </row>
    <row r="37950">
      <c r="A37950" s="17"/>
      <c r="H37950" s="18"/>
      <c r="K37950" s="18" t="s">
        <v>316</v>
      </c>
    </row>
    <row r="37951">
      <c r="A37951" s="17"/>
      <c r="H37951" s="18"/>
      <c r="K37951" s="18" t="s">
        <v>316</v>
      </c>
    </row>
    <row r="37952">
      <c r="A37952" s="17"/>
      <c r="H37952" s="18"/>
      <c r="K37952" s="18" t="s">
        <v>316</v>
      </c>
    </row>
    <row r="37953">
      <c r="A37953" s="17"/>
      <c r="H37953" s="18"/>
      <c r="K37953" s="18" t="s">
        <v>316</v>
      </c>
    </row>
    <row r="37954">
      <c r="A37954" s="17"/>
      <c r="H37954" s="18"/>
      <c r="K37954" s="18" t="s">
        <v>316</v>
      </c>
    </row>
    <row r="37955">
      <c r="A37955" s="17"/>
      <c r="H37955" s="18"/>
      <c r="K37955" s="18" t="s">
        <v>316</v>
      </c>
    </row>
    <row r="37956">
      <c r="A37956" s="17"/>
      <c r="H37956" s="18"/>
      <c r="K37956" s="18" t="s">
        <v>316</v>
      </c>
    </row>
    <row r="37957">
      <c r="A37957" s="17"/>
      <c r="H37957" s="18"/>
      <c r="K37957" s="18" t="s">
        <v>316</v>
      </c>
    </row>
    <row r="37958">
      <c r="A37958" s="17"/>
      <c r="H37958" s="18"/>
      <c r="K37958" s="18" t="s">
        <v>316</v>
      </c>
    </row>
    <row r="37959">
      <c r="A37959" s="17"/>
      <c r="H37959" s="18"/>
      <c r="K37959" s="18" t="s">
        <v>316</v>
      </c>
    </row>
    <row r="37960">
      <c r="A37960" s="17"/>
      <c r="H37960" s="18"/>
      <c r="K37960" s="18" t="s">
        <v>316</v>
      </c>
    </row>
    <row r="37961">
      <c r="A37961" s="17"/>
      <c r="H37961" s="18"/>
      <c r="K37961" s="18" t="s">
        <v>316</v>
      </c>
    </row>
    <row r="37962">
      <c r="A37962" s="17"/>
      <c r="H37962" s="18"/>
      <c r="K37962" s="18" t="s">
        <v>316</v>
      </c>
    </row>
    <row r="37963">
      <c r="A37963" s="17"/>
      <c r="H37963" s="18"/>
      <c r="K37963" s="18" t="s">
        <v>316</v>
      </c>
    </row>
    <row r="37964">
      <c r="A37964" s="17"/>
      <c r="H37964" s="18"/>
      <c r="K37964" s="18" t="s">
        <v>316</v>
      </c>
    </row>
    <row r="37965">
      <c r="A37965" s="17"/>
      <c r="H37965" s="18"/>
      <c r="K37965" s="18" t="s">
        <v>316</v>
      </c>
    </row>
    <row r="37966">
      <c r="A37966" s="17"/>
      <c r="H37966" s="18"/>
      <c r="K37966" s="18" t="s">
        <v>316</v>
      </c>
    </row>
    <row r="37967">
      <c r="A37967" s="17"/>
      <c r="H37967" s="18"/>
      <c r="K37967" s="18" t="s">
        <v>316</v>
      </c>
    </row>
    <row r="37968">
      <c r="A37968" s="17"/>
      <c r="H37968" s="18"/>
      <c r="K37968" s="18" t="s">
        <v>316</v>
      </c>
    </row>
    <row r="37969">
      <c r="A37969" s="17"/>
      <c r="H37969" s="18"/>
      <c r="K37969" s="18" t="s">
        <v>316</v>
      </c>
    </row>
    <row r="37970">
      <c r="A37970" s="17"/>
      <c r="H37970" s="18"/>
      <c r="K37970" s="18" t="s">
        <v>316</v>
      </c>
    </row>
    <row r="37971">
      <c r="A37971" s="17"/>
      <c r="H37971" s="18"/>
      <c r="K37971" s="18" t="s">
        <v>316</v>
      </c>
    </row>
    <row r="37972">
      <c r="A37972" s="17"/>
      <c r="H37972" s="18"/>
      <c r="K37972" s="18" t="s">
        <v>316</v>
      </c>
    </row>
    <row r="37973">
      <c r="A37973" s="17"/>
      <c r="H37973" s="18"/>
      <c r="K37973" s="18" t="s">
        <v>316</v>
      </c>
    </row>
    <row r="37974">
      <c r="A37974" s="17"/>
      <c r="H37974" s="18"/>
      <c r="K37974" s="18" t="s">
        <v>316</v>
      </c>
    </row>
    <row r="37975">
      <c r="A37975" s="17"/>
      <c r="H37975" s="18"/>
      <c r="K37975" s="18" t="s">
        <v>316</v>
      </c>
    </row>
    <row r="37976">
      <c r="A37976" s="17"/>
      <c r="H37976" s="18"/>
      <c r="K37976" s="18" t="s">
        <v>316</v>
      </c>
    </row>
    <row r="37977">
      <c r="A37977" s="17"/>
      <c r="H37977" s="18"/>
      <c r="K37977" s="18" t="s">
        <v>316</v>
      </c>
    </row>
    <row r="37978">
      <c r="A37978" s="17"/>
      <c r="H37978" s="18"/>
      <c r="K37978" s="18" t="s">
        <v>316</v>
      </c>
    </row>
    <row r="37979">
      <c r="A37979" s="17"/>
      <c r="H37979" s="18"/>
      <c r="K37979" s="18" t="s">
        <v>316</v>
      </c>
    </row>
    <row r="37980">
      <c r="A37980" s="17"/>
      <c r="H37980" s="18"/>
      <c r="K37980" s="18" t="s">
        <v>316</v>
      </c>
    </row>
    <row r="37981">
      <c r="A37981" s="17"/>
      <c r="H37981" s="18"/>
      <c r="K37981" s="18" t="s">
        <v>316</v>
      </c>
    </row>
    <row r="37982">
      <c r="A37982" s="17"/>
      <c r="H37982" s="18"/>
      <c r="K37982" s="18" t="s">
        <v>316</v>
      </c>
    </row>
    <row r="37983">
      <c r="A37983" s="17"/>
      <c r="H37983" s="18"/>
      <c r="K37983" s="18" t="s">
        <v>316</v>
      </c>
    </row>
    <row r="37984">
      <c r="A37984" s="17"/>
      <c r="H37984" s="18"/>
      <c r="K37984" s="18" t="s">
        <v>316</v>
      </c>
    </row>
    <row r="37985">
      <c r="A37985" s="17"/>
      <c r="H37985" s="18"/>
      <c r="K37985" s="18" t="s">
        <v>316</v>
      </c>
    </row>
    <row r="37986">
      <c r="A37986" s="17"/>
      <c r="H37986" s="18"/>
      <c r="K37986" s="18" t="s">
        <v>316</v>
      </c>
    </row>
    <row r="37987">
      <c r="A37987" s="17"/>
      <c r="H37987" s="18"/>
      <c r="K37987" s="18" t="s">
        <v>316</v>
      </c>
    </row>
    <row r="37988">
      <c r="A37988" s="17"/>
      <c r="H37988" s="18"/>
      <c r="K37988" s="18" t="s">
        <v>316</v>
      </c>
    </row>
    <row r="37989">
      <c r="A37989" s="17"/>
      <c r="H37989" s="18"/>
      <c r="K37989" s="18" t="s">
        <v>316</v>
      </c>
    </row>
    <row r="37990">
      <c r="A37990" s="17"/>
      <c r="H37990" s="18"/>
      <c r="K37990" s="18" t="s">
        <v>316</v>
      </c>
    </row>
    <row r="37991">
      <c r="A37991" s="17"/>
      <c r="H37991" s="18"/>
      <c r="K37991" s="18" t="s">
        <v>316</v>
      </c>
    </row>
    <row r="37992">
      <c r="A37992" s="17"/>
      <c r="H37992" s="18"/>
      <c r="K37992" s="18" t="s">
        <v>316</v>
      </c>
    </row>
    <row r="37993">
      <c r="A37993" s="17"/>
      <c r="H37993" s="18"/>
      <c r="K37993" s="18" t="s">
        <v>316</v>
      </c>
    </row>
    <row r="37994">
      <c r="A37994" s="17"/>
      <c r="H37994" s="18"/>
      <c r="K37994" s="18" t="s">
        <v>316</v>
      </c>
    </row>
    <row r="37995">
      <c r="A37995" s="17"/>
      <c r="H37995" s="18"/>
      <c r="K37995" s="18" t="s">
        <v>316</v>
      </c>
    </row>
    <row r="37996">
      <c r="A37996" s="17"/>
      <c r="H37996" s="18"/>
      <c r="K37996" s="18" t="s">
        <v>316</v>
      </c>
    </row>
    <row r="37997">
      <c r="A37997" s="17"/>
      <c r="H37997" s="18"/>
      <c r="K37997" s="18" t="s">
        <v>316</v>
      </c>
    </row>
    <row r="37998">
      <c r="A37998" s="17"/>
      <c r="H37998" s="18"/>
      <c r="K37998" s="18" t="s">
        <v>316</v>
      </c>
    </row>
    <row r="37999">
      <c r="A37999" s="17"/>
      <c r="H37999" s="18"/>
      <c r="K37999" s="18" t="s">
        <v>316</v>
      </c>
    </row>
    <row r="38000">
      <c r="A38000" s="17"/>
      <c r="H38000" s="18"/>
      <c r="K38000" s="18" t="s">
        <v>316</v>
      </c>
    </row>
    <row r="38001">
      <c r="A38001" s="17"/>
      <c r="H38001" s="18"/>
      <c r="K38001" s="18" t="s">
        <v>316</v>
      </c>
    </row>
    <row r="38002">
      <c r="A38002" s="17"/>
      <c r="H38002" s="18"/>
      <c r="K38002" s="18" t="s">
        <v>316</v>
      </c>
    </row>
    <row r="38003">
      <c r="A38003" s="17"/>
      <c r="H38003" s="18"/>
      <c r="K38003" s="18" t="s">
        <v>316</v>
      </c>
    </row>
    <row r="38004">
      <c r="A38004" s="17"/>
      <c r="H38004" s="18"/>
      <c r="K38004" s="18" t="s">
        <v>316</v>
      </c>
    </row>
    <row r="38005">
      <c r="A38005" s="17"/>
      <c r="H38005" s="18"/>
      <c r="K38005" s="18" t="s">
        <v>316</v>
      </c>
    </row>
    <row r="38006">
      <c r="A38006" s="17"/>
      <c r="H38006" s="18"/>
      <c r="K38006" s="18" t="s">
        <v>316</v>
      </c>
    </row>
    <row r="38007">
      <c r="A38007" s="17"/>
      <c r="H38007" s="18"/>
      <c r="K38007" s="18" t="s">
        <v>316</v>
      </c>
    </row>
    <row r="38008">
      <c r="A38008" s="17"/>
      <c r="H38008" s="18"/>
      <c r="K38008" s="18" t="s">
        <v>316</v>
      </c>
    </row>
    <row r="38009">
      <c r="A38009" s="17"/>
      <c r="H38009" s="18"/>
      <c r="K38009" s="18" t="s">
        <v>316</v>
      </c>
    </row>
    <row r="38010">
      <c r="A38010" s="17"/>
      <c r="H38010" s="18"/>
      <c r="K38010" s="18" t="s">
        <v>316</v>
      </c>
    </row>
    <row r="38011">
      <c r="A38011" s="17"/>
      <c r="H38011" s="18"/>
      <c r="K38011" s="18" t="s">
        <v>316</v>
      </c>
    </row>
    <row r="38012">
      <c r="A38012" s="17"/>
      <c r="H38012" s="18"/>
      <c r="K38012" s="18" t="s">
        <v>316</v>
      </c>
    </row>
    <row r="38013">
      <c r="A38013" s="17"/>
      <c r="H38013" s="18"/>
      <c r="K38013" s="18" t="s">
        <v>316</v>
      </c>
    </row>
    <row r="38014">
      <c r="A38014" s="17"/>
      <c r="H38014" s="18"/>
      <c r="K38014" s="18" t="s">
        <v>316</v>
      </c>
    </row>
    <row r="38015">
      <c r="A38015" s="17"/>
      <c r="H38015" s="18"/>
      <c r="K38015" s="18" t="s">
        <v>316</v>
      </c>
    </row>
    <row r="38016">
      <c r="A38016" s="17"/>
      <c r="H38016" s="18"/>
      <c r="K38016" s="18" t="s">
        <v>316</v>
      </c>
    </row>
    <row r="38017">
      <c r="A38017" s="17"/>
      <c r="H38017" s="18"/>
      <c r="K38017" s="18" t="s">
        <v>316</v>
      </c>
    </row>
    <row r="38018">
      <c r="A38018" s="17"/>
      <c r="H38018" s="18"/>
      <c r="K38018" s="18" t="s">
        <v>316</v>
      </c>
    </row>
    <row r="38019">
      <c r="A38019" s="17"/>
      <c r="H38019" s="18"/>
      <c r="K38019" s="18" t="s">
        <v>316</v>
      </c>
    </row>
    <row r="38020">
      <c r="A38020" s="17"/>
      <c r="H38020" s="18"/>
      <c r="K38020" s="18" t="s">
        <v>316</v>
      </c>
    </row>
    <row r="38021">
      <c r="A38021" s="17"/>
      <c r="H38021" s="18"/>
      <c r="K38021" s="18" t="s">
        <v>316</v>
      </c>
    </row>
    <row r="38022">
      <c r="A38022" s="17"/>
      <c r="H38022" s="18"/>
      <c r="K38022" s="18" t="s">
        <v>316</v>
      </c>
    </row>
    <row r="38023">
      <c r="A38023" s="17"/>
      <c r="H38023" s="18"/>
      <c r="K38023" s="18" t="s">
        <v>316</v>
      </c>
    </row>
    <row r="38024">
      <c r="A38024" s="17"/>
      <c r="H38024" s="18"/>
      <c r="K38024" s="18" t="s">
        <v>316</v>
      </c>
    </row>
    <row r="38025">
      <c r="A38025" s="17"/>
      <c r="H38025" s="18"/>
      <c r="K38025" s="18" t="s">
        <v>316</v>
      </c>
    </row>
    <row r="38026">
      <c r="A38026" s="17"/>
      <c r="H38026" s="18"/>
      <c r="K38026" s="18" t="s">
        <v>316</v>
      </c>
    </row>
    <row r="38027">
      <c r="A38027" s="17"/>
      <c r="H38027" s="18"/>
      <c r="K38027" s="18" t="s">
        <v>316</v>
      </c>
    </row>
    <row r="38028">
      <c r="A38028" s="17"/>
      <c r="H38028" s="18"/>
      <c r="K38028" s="18" t="s">
        <v>316</v>
      </c>
    </row>
    <row r="38029">
      <c r="A38029" s="17"/>
      <c r="H38029" s="18"/>
      <c r="K38029" s="18" t="s">
        <v>316</v>
      </c>
    </row>
    <row r="38030">
      <c r="A38030" s="17"/>
      <c r="H38030" s="18"/>
      <c r="K38030" s="18" t="s">
        <v>316</v>
      </c>
    </row>
    <row r="38031">
      <c r="A38031" s="17"/>
      <c r="H38031" s="18"/>
      <c r="K38031" s="18" t="s">
        <v>316</v>
      </c>
    </row>
    <row r="38032">
      <c r="A38032" s="17"/>
      <c r="H38032" s="18"/>
      <c r="K38032" s="18" t="s">
        <v>316</v>
      </c>
    </row>
    <row r="38033">
      <c r="A38033" s="17"/>
      <c r="H38033" s="18"/>
      <c r="K38033" s="18" t="s">
        <v>316</v>
      </c>
    </row>
    <row r="38034">
      <c r="A38034" s="17"/>
      <c r="H38034" s="18"/>
      <c r="K38034" s="18" t="s">
        <v>316</v>
      </c>
    </row>
    <row r="38035">
      <c r="A38035" s="17"/>
      <c r="H38035" s="18"/>
      <c r="K38035" s="18" t="s">
        <v>316</v>
      </c>
    </row>
    <row r="38036">
      <c r="A38036" s="17"/>
      <c r="H38036" s="18"/>
      <c r="K38036" s="18" t="s">
        <v>316</v>
      </c>
    </row>
    <row r="38037">
      <c r="A38037" s="17"/>
      <c r="H38037" s="18"/>
      <c r="K38037" s="18" t="s">
        <v>316</v>
      </c>
    </row>
    <row r="38038">
      <c r="A38038" s="17"/>
      <c r="H38038" s="18"/>
      <c r="K38038" s="18" t="s">
        <v>316</v>
      </c>
    </row>
    <row r="38039">
      <c r="A38039" s="17"/>
      <c r="H38039" s="18"/>
      <c r="K38039" s="18" t="s">
        <v>316</v>
      </c>
    </row>
    <row r="38040">
      <c r="A38040" s="17"/>
      <c r="H38040" s="18"/>
      <c r="K38040" s="18" t="s">
        <v>316</v>
      </c>
    </row>
    <row r="38041">
      <c r="A38041" s="17"/>
      <c r="H38041" s="18"/>
      <c r="K38041" s="18" t="s">
        <v>316</v>
      </c>
    </row>
    <row r="38042">
      <c r="A38042" s="17"/>
      <c r="H38042" s="18"/>
      <c r="K38042" s="18" t="s">
        <v>316</v>
      </c>
    </row>
    <row r="38043">
      <c r="A38043" s="17"/>
      <c r="H38043" s="18"/>
      <c r="K38043" s="18" t="s">
        <v>316</v>
      </c>
    </row>
    <row r="38044">
      <c r="A38044" s="17"/>
      <c r="H38044" s="18"/>
      <c r="K38044" s="18" t="s">
        <v>316</v>
      </c>
    </row>
    <row r="38045">
      <c r="A38045" s="17"/>
      <c r="H38045" s="18"/>
      <c r="K38045" s="18" t="s">
        <v>316</v>
      </c>
    </row>
    <row r="38046">
      <c r="A38046" s="17"/>
      <c r="H38046" s="18"/>
      <c r="K38046" s="18" t="s">
        <v>316</v>
      </c>
    </row>
    <row r="38047">
      <c r="A38047" s="17"/>
      <c r="H38047" s="18"/>
      <c r="K38047" s="18" t="s">
        <v>316</v>
      </c>
    </row>
    <row r="38048">
      <c r="A38048" s="17"/>
      <c r="H38048" s="18"/>
      <c r="K38048" s="18" t="s">
        <v>316</v>
      </c>
    </row>
    <row r="38049">
      <c r="A38049" s="17"/>
      <c r="H38049" s="18"/>
      <c r="K38049" s="18" t="s">
        <v>316</v>
      </c>
    </row>
    <row r="38050">
      <c r="A38050" s="17"/>
      <c r="H38050" s="18"/>
      <c r="K38050" s="18" t="s">
        <v>316</v>
      </c>
    </row>
    <row r="38051">
      <c r="A38051" s="17"/>
      <c r="H38051" s="18"/>
      <c r="K38051" s="18" t="s">
        <v>316</v>
      </c>
    </row>
    <row r="38052">
      <c r="A38052" s="17"/>
      <c r="H38052" s="18"/>
      <c r="K38052" s="18" t="s">
        <v>316</v>
      </c>
    </row>
    <row r="38053">
      <c r="A38053" s="17"/>
      <c r="H38053" s="18"/>
      <c r="K38053" s="18" t="s">
        <v>316</v>
      </c>
    </row>
    <row r="38054">
      <c r="A38054" s="17"/>
      <c r="H38054" s="18"/>
      <c r="K38054" s="18" t="s">
        <v>316</v>
      </c>
    </row>
    <row r="38055">
      <c r="A38055" s="17"/>
      <c r="H38055" s="18"/>
      <c r="K38055" s="18" t="s">
        <v>316</v>
      </c>
    </row>
    <row r="38056">
      <c r="A38056" s="17"/>
      <c r="H38056" s="18"/>
      <c r="K38056" s="18" t="s">
        <v>316</v>
      </c>
    </row>
    <row r="38057">
      <c r="A38057" s="17"/>
      <c r="H38057" s="18"/>
      <c r="K38057" s="18" t="s">
        <v>316</v>
      </c>
    </row>
    <row r="38058">
      <c r="A38058" s="17"/>
      <c r="H38058" s="18"/>
      <c r="K38058" s="18" t="s">
        <v>316</v>
      </c>
    </row>
    <row r="38059">
      <c r="A38059" s="17"/>
      <c r="H38059" s="18"/>
      <c r="K38059" s="18" t="s">
        <v>316</v>
      </c>
    </row>
    <row r="38060">
      <c r="A38060" s="17"/>
      <c r="H38060" s="18"/>
      <c r="K38060" s="18" t="s">
        <v>316</v>
      </c>
    </row>
    <row r="38061">
      <c r="A38061" s="17"/>
      <c r="H38061" s="18"/>
      <c r="K38061" s="18" t="s">
        <v>316</v>
      </c>
    </row>
    <row r="38062">
      <c r="A38062" s="17"/>
      <c r="H38062" s="18"/>
      <c r="K38062" s="18" t="s">
        <v>316</v>
      </c>
    </row>
    <row r="38063">
      <c r="A38063" s="17"/>
      <c r="H38063" s="18"/>
      <c r="K38063" s="18" t="s">
        <v>316</v>
      </c>
    </row>
    <row r="38064">
      <c r="A38064" s="17"/>
      <c r="H38064" s="18"/>
      <c r="K38064" s="18" t="s">
        <v>316</v>
      </c>
    </row>
    <row r="38065">
      <c r="A38065" s="17"/>
      <c r="H38065" s="18"/>
      <c r="K38065" s="18" t="s">
        <v>316</v>
      </c>
    </row>
    <row r="38066">
      <c r="A38066" s="17"/>
      <c r="H38066" s="18"/>
      <c r="K38066" s="18" t="s">
        <v>316</v>
      </c>
    </row>
    <row r="38067">
      <c r="A38067" s="17"/>
      <c r="H38067" s="18"/>
      <c r="K38067" s="18" t="s">
        <v>316</v>
      </c>
    </row>
    <row r="38068">
      <c r="A38068" s="17"/>
      <c r="H38068" s="18"/>
      <c r="K38068" s="18" t="s">
        <v>316</v>
      </c>
    </row>
    <row r="38069">
      <c r="A38069" s="17"/>
      <c r="H38069" s="18"/>
      <c r="K38069" s="18" t="s">
        <v>316</v>
      </c>
    </row>
    <row r="38070">
      <c r="A38070" s="17"/>
      <c r="H38070" s="18"/>
      <c r="K38070" s="18" t="s">
        <v>316</v>
      </c>
    </row>
    <row r="38071">
      <c r="A38071" s="17"/>
      <c r="H38071" s="18"/>
      <c r="K38071" s="18" t="s">
        <v>316</v>
      </c>
    </row>
    <row r="38072">
      <c r="A38072" s="17"/>
      <c r="H38072" s="18"/>
      <c r="K38072" s="18" t="s">
        <v>316</v>
      </c>
    </row>
    <row r="38073">
      <c r="A38073" s="17"/>
      <c r="H38073" s="18"/>
      <c r="K38073" s="18" t="s">
        <v>316</v>
      </c>
    </row>
    <row r="38074">
      <c r="A38074" s="17"/>
      <c r="H38074" s="18"/>
      <c r="K38074" s="18" t="s">
        <v>316</v>
      </c>
    </row>
    <row r="38075">
      <c r="A38075" s="17"/>
      <c r="H38075" s="18"/>
      <c r="K38075" s="18" t="s">
        <v>316</v>
      </c>
    </row>
    <row r="38076">
      <c r="A38076" s="17"/>
      <c r="H38076" s="18"/>
      <c r="K38076" s="18" t="s">
        <v>316</v>
      </c>
    </row>
    <row r="38077">
      <c r="A38077" s="17"/>
      <c r="H38077" s="18"/>
      <c r="K38077" s="18" t="s">
        <v>316</v>
      </c>
    </row>
    <row r="38078">
      <c r="A38078" s="17"/>
      <c r="H38078" s="18"/>
      <c r="K38078" s="18" t="s">
        <v>316</v>
      </c>
    </row>
    <row r="38079">
      <c r="A38079" s="17"/>
      <c r="H38079" s="18"/>
      <c r="K38079" s="18" t="s">
        <v>316</v>
      </c>
    </row>
    <row r="38080">
      <c r="A38080" s="17"/>
      <c r="H38080" s="18"/>
      <c r="K38080" s="18" t="s">
        <v>316</v>
      </c>
    </row>
    <row r="38081">
      <c r="A38081" s="17"/>
      <c r="H38081" s="18"/>
      <c r="K38081" s="18" t="s">
        <v>316</v>
      </c>
    </row>
    <row r="38082">
      <c r="A38082" s="17"/>
      <c r="H38082" s="18"/>
      <c r="K38082" s="18" t="s">
        <v>316</v>
      </c>
    </row>
    <row r="38083">
      <c r="A38083" s="17"/>
      <c r="H38083" s="18"/>
      <c r="K38083" s="18" t="s">
        <v>316</v>
      </c>
    </row>
    <row r="38084">
      <c r="A38084" s="17"/>
      <c r="H38084" s="18"/>
      <c r="K38084" s="18" t="s">
        <v>316</v>
      </c>
    </row>
    <row r="38085">
      <c r="A38085" s="17"/>
      <c r="H38085" s="18"/>
      <c r="K38085" s="18" t="s">
        <v>316</v>
      </c>
    </row>
    <row r="38086">
      <c r="A38086" s="17"/>
      <c r="H38086" s="18"/>
      <c r="K38086" s="18" t="s">
        <v>316</v>
      </c>
    </row>
    <row r="38087">
      <c r="A38087" s="17"/>
      <c r="H38087" s="18"/>
      <c r="K38087" s="18" t="s">
        <v>316</v>
      </c>
    </row>
    <row r="38088">
      <c r="A38088" s="17"/>
      <c r="H38088" s="18"/>
      <c r="K38088" s="18" t="s">
        <v>316</v>
      </c>
    </row>
    <row r="38089">
      <c r="A38089" s="17"/>
      <c r="H38089" s="18"/>
      <c r="K38089" s="18" t="s">
        <v>316</v>
      </c>
    </row>
    <row r="38090">
      <c r="A38090" s="17"/>
      <c r="H38090" s="18"/>
      <c r="K38090" s="18" t="s">
        <v>316</v>
      </c>
    </row>
    <row r="38091">
      <c r="A38091" s="17"/>
      <c r="H38091" s="18"/>
      <c r="K38091" s="18" t="s">
        <v>316</v>
      </c>
    </row>
    <row r="38092">
      <c r="A38092" s="17"/>
      <c r="H38092" s="18"/>
      <c r="K38092" s="18" t="s">
        <v>316</v>
      </c>
    </row>
    <row r="38093">
      <c r="A38093" s="17"/>
      <c r="H38093" s="18"/>
      <c r="K38093" s="18" t="s">
        <v>316</v>
      </c>
    </row>
    <row r="38094">
      <c r="A38094" s="17"/>
      <c r="H38094" s="18"/>
      <c r="K38094" s="18" t="s">
        <v>316</v>
      </c>
    </row>
    <row r="38095">
      <c r="A38095" s="17"/>
      <c r="H38095" s="18"/>
      <c r="K38095" s="18" t="s">
        <v>316</v>
      </c>
    </row>
    <row r="38096">
      <c r="A38096" s="17"/>
      <c r="H38096" s="18"/>
      <c r="K38096" s="18" t="s">
        <v>316</v>
      </c>
    </row>
    <row r="38097">
      <c r="A38097" s="17"/>
      <c r="H38097" s="18"/>
      <c r="K38097" s="18" t="s">
        <v>316</v>
      </c>
    </row>
    <row r="38098">
      <c r="A38098" s="17"/>
      <c r="H38098" s="18"/>
      <c r="K38098" s="18" t="s">
        <v>316</v>
      </c>
    </row>
    <row r="38099">
      <c r="A38099" s="17"/>
      <c r="H38099" s="18"/>
      <c r="K38099" s="18" t="s">
        <v>316</v>
      </c>
    </row>
    <row r="38100">
      <c r="A38100" s="17"/>
      <c r="H38100" s="18"/>
      <c r="K38100" s="18" t="s">
        <v>316</v>
      </c>
    </row>
    <row r="38101">
      <c r="A38101" s="17"/>
      <c r="H38101" s="18"/>
      <c r="K38101" s="18" t="s">
        <v>316</v>
      </c>
    </row>
    <row r="38102">
      <c r="A38102" s="17"/>
      <c r="H38102" s="18"/>
      <c r="K38102" s="18" t="s">
        <v>316</v>
      </c>
    </row>
    <row r="38103">
      <c r="A38103" s="17"/>
      <c r="H38103" s="18"/>
      <c r="K38103" s="18" t="s">
        <v>316</v>
      </c>
    </row>
    <row r="38104">
      <c r="A38104" s="17"/>
      <c r="H38104" s="18"/>
      <c r="K38104" s="18" t="s">
        <v>316</v>
      </c>
    </row>
    <row r="38105">
      <c r="A38105" s="17"/>
      <c r="H38105" s="18"/>
      <c r="K38105" s="18" t="s">
        <v>316</v>
      </c>
    </row>
    <row r="38106">
      <c r="A38106" s="17"/>
      <c r="H38106" s="18"/>
      <c r="K38106" s="18" t="s">
        <v>316</v>
      </c>
    </row>
    <row r="38107">
      <c r="A38107" s="17"/>
      <c r="H38107" s="18"/>
      <c r="K38107" s="18" t="s">
        <v>316</v>
      </c>
    </row>
    <row r="38108">
      <c r="A38108" s="17"/>
      <c r="H38108" s="18"/>
      <c r="K38108" s="18" t="s">
        <v>316</v>
      </c>
    </row>
    <row r="38109">
      <c r="A38109" s="17"/>
      <c r="H38109" s="18"/>
      <c r="K38109" s="18" t="s">
        <v>316</v>
      </c>
    </row>
    <row r="38110">
      <c r="A38110" s="17"/>
      <c r="H38110" s="18"/>
      <c r="K38110" s="18" t="s">
        <v>316</v>
      </c>
    </row>
    <row r="38111">
      <c r="A38111" s="17"/>
      <c r="H38111" s="18"/>
      <c r="K38111" s="18" t="s">
        <v>316</v>
      </c>
    </row>
    <row r="38112">
      <c r="A38112" s="17"/>
      <c r="H38112" s="18"/>
      <c r="K38112" s="18" t="s">
        <v>316</v>
      </c>
    </row>
    <row r="38113">
      <c r="A38113" s="17"/>
      <c r="H38113" s="18"/>
      <c r="K38113" s="18" t="s">
        <v>316</v>
      </c>
    </row>
    <row r="38114">
      <c r="A38114" s="17"/>
      <c r="H38114" s="18"/>
      <c r="K38114" s="18" t="s">
        <v>316</v>
      </c>
    </row>
    <row r="38115">
      <c r="A38115" s="17"/>
      <c r="H38115" s="18"/>
      <c r="K38115" s="18" t="s">
        <v>316</v>
      </c>
    </row>
    <row r="38116">
      <c r="A38116" s="17"/>
      <c r="H38116" s="18"/>
      <c r="K38116" s="18" t="s">
        <v>316</v>
      </c>
    </row>
    <row r="38117">
      <c r="A38117" s="17"/>
      <c r="H38117" s="18"/>
      <c r="K38117" s="18" t="s">
        <v>316</v>
      </c>
    </row>
    <row r="38118">
      <c r="A38118" s="17"/>
      <c r="H38118" s="18"/>
      <c r="K38118" s="18" t="s">
        <v>316</v>
      </c>
    </row>
    <row r="38119">
      <c r="A38119" s="17"/>
      <c r="H38119" s="18"/>
      <c r="K38119" s="18" t="s">
        <v>316</v>
      </c>
    </row>
    <row r="38120">
      <c r="A38120" s="17"/>
      <c r="H38120" s="18"/>
      <c r="K38120" s="18" t="s">
        <v>316</v>
      </c>
    </row>
    <row r="38121">
      <c r="A38121" s="17"/>
      <c r="H38121" s="18"/>
      <c r="K38121" s="18" t="s">
        <v>316</v>
      </c>
    </row>
    <row r="38122">
      <c r="A38122" s="17"/>
      <c r="H38122" s="18"/>
      <c r="K38122" s="18" t="s">
        <v>316</v>
      </c>
    </row>
    <row r="38123">
      <c r="A38123" s="17"/>
      <c r="H38123" s="18"/>
      <c r="K38123" s="18" t="s">
        <v>316</v>
      </c>
    </row>
    <row r="38124">
      <c r="A38124" s="17"/>
      <c r="H38124" s="18"/>
      <c r="K38124" s="18" t="s">
        <v>316</v>
      </c>
    </row>
    <row r="38125">
      <c r="A38125" s="17"/>
      <c r="H38125" s="18"/>
      <c r="K38125" s="18" t="s">
        <v>316</v>
      </c>
    </row>
    <row r="38126">
      <c r="A38126" s="17"/>
      <c r="H38126" s="18"/>
      <c r="K38126" s="18" t="s">
        <v>316</v>
      </c>
    </row>
    <row r="38127">
      <c r="A38127" s="17"/>
      <c r="H38127" s="18"/>
      <c r="K38127" s="18" t="s">
        <v>316</v>
      </c>
    </row>
    <row r="38128">
      <c r="A38128" s="17"/>
      <c r="H38128" s="18"/>
      <c r="K38128" s="18" t="s">
        <v>316</v>
      </c>
    </row>
    <row r="38129">
      <c r="A38129" s="17"/>
      <c r="H38129" s="18"/>
      <c r="K38129" s="18" t="s">
        <v>316</v>
      </c>
    </row>
    <row r="38130">
      <c r="A38130" s="17"/>
      <c r="H38130" s="18"/>
      <c r="K38130" s="18" t="s">
        <v>316</v>
      </c>
    </row>
    <row r="38131">
      <c r="A38131" s="17"/>
      <c r="H38131" s="18"/>
      <c r="K38131" s="18" t="s">
        <v>316</v>
      </c>
    </row>
    <row r="38132">
      <c r="A38132" s="17"/>
      <c r="H38132" s="18"/>
      <c r="K38132" s="18" t="s">
        <v>316</v>
      </c>
    </row>
    <row r="38133">
      <c r="A38133" s="17"/>
      <c r="H38133" s="18"/>
      <c r="K38133" s="18" t="s">
        <v>316</v>
      </c>
    </row>
    <row r="38134">
      <c r="A38134" s="17"/>
      <c r="H38134" s="18"/>
      <c r="K38134" s="18" t="s">
        <v>316</v>
      </c>
    </row>
    <row r="38135">
      <c r="A38135" s="17"/>
      <c r="H38135" s="18"/>
      <c r="K38135" s="18" t="s">
        <v>316</v>
      </c>
    </row>
    <row r="38136">
      <c r="A38136" s="17"/>
      <c r="H38136" s="18"/>
      <c r="K38136" s="18" t="s">
        <v>316</v>
      </c>
    </row>
    <row r="38137">
      <c r="A38137" s="17"/>
      <c r="H38137" s="18"/>
      <c r="K38137" s="18" t="s">
        <v>316</v>
      </c>
    </row>
    <row r="38138">
      <c r="A38138" s="17"/>
      <c r="H38138" s="18"/>
      <c r="K38138" s="18" t="s">
        <v>316</v>
      </c>
    </row>
    <row r="38139">
      <c r="A38139" s="17"/>
      <c r="H38139" s="18"/>
      <c r="K38139" s="18" t="s">
        <v>316</v>
      </c>
    </row>
    <row r="38140">
      <c r="A38140" s="17"/>
      <c r="H38140" s="18"/>
      <c r="K38140" s="18" t="s">
        <v>316</v>
      </c>
    </row>
    <row r="38141">
      <c r="A38141" s="17"/>
      <c r="H38141" s="18"/>
      <c r="K38141" s="18" t="s">
        <v>316</v>
      </c>
    </row>
    <row r="38142">
      <c r="A38142" s="17"/>
      <c r="H38142" s="18"/>
      <c r="K38142" s="18" t="s">
        <v>316</v>
      </c>
    </row>
    <row r="38143">
      <c r="A38143" s="17"/>
      <c r="H38143" s="18"/>
      <c r="K38143" s="18" t="s">
        <v>316</v>
      </c>
    </row>
    <row r="38144">
      <c r="A38144" s="17"/>
      <c r="H38144" s="18"/>
      <c r="K38144" s="18" t="s">
        <v>316</v>
      </c>
    </row>
    <row r="38145">
      <c r="A38145" s="17"/>
      <c r="H38145" s="18"/>
      <c r="K38145" s="18" t="s">
        <v>316</v>
      </c>
    </row>
    <row r="38146">
      <c r="A38146" s="17"/>
      <c r="H38146" s="18"/>
      <c r="K38146" s="18" t="s">
        <v>316</v>
      </c>
    </row>
    <row r="38147">
      <c r="A38147" s="17"/>
      <c r="H38147" s="18"/>
      <c r="K38147" s="18" t="s">
        <v>316</v>
      </c>
    </row>
    <row r="38148">
      <c r="A38148" s="17"/>
      <c r="H38148" s="18"/>
      <c r="K38148" s="18" t="s">
        <v>316</v>
      </c>
    </row>
    <row r="38149">
      <c r="A38149" s="17"/>
      <c r="H38149" s="18"/>
      <c r="K38149" s="18" t="s">
        <v>316</v>
      </c>
    </row>
    <row r="38150">
      <c r="A38150" s="17"/>
      <c r="H38150" s="18"/>
      <c r="K38150" s="18" t="s">
        <v>316</v>
      </c>
    </row>
    <row r="38151">
      <c r="A38151" s="17"/>
      <c r="H38151" s="18"/>
      <c r="K38151" s="18" t="s">
        <v>316</v>
      </c>
    </row>
    <row r="38152">
      <c r="A38152" s="17"/>
      <c r="H38152" s="18"/>
      <c r="K38152" s="18" t="s">
        <v>316</v>
      </c>
    </row>
    <row r="38153">
      <c r="A38153" s="17"/>
      <c r="H38153" s="18"/>
      <c r="K38153" s="18" t="s">
        <v>316</v>
      </c>
    </row>
    <row r="38154">
      <c r="A38154" s="17"/>
      <c r="H38154" s="18"/>
      <c r="K38154" s="18" t="s">
        <v>316</v>
      </c>
    </row>
    <row r="38155">
      <c r="A38155" s="17"/>
      <c r="H38155" s="18"/>
      <c r="K38155" s="18" t="s">
        <v>316</v>
      </c>
    </row>
    <row r="38156">
      <c r="A38156" s="17"/>
      <c r="H38156" s="18"/>
      <c r="K38156" s="18" t="s">
        <v>316</v>
      </c>
    </row>
    <row r="38157">
      <c r="A38157" s="17"/>
      <c r="H38157" s="18"/>
      <c r="K38157" s="18" t="s">
        <v>316</v>
      </c>
    </row>
    <row r="38158">
      <c r="A38158" s="17"/>
      <c r="H38158" s="18"/>
      <c r="K38158" s="18" t="s">
        <v>316</v>
      </c>
    </row>
    <row r="38159">
      <c r="A38159" s="17"/>
      <c r="H38159" s="18"/>
      <c r="K38159" s="18" t="s">
        <v>316</v>
      </c>
    </row>
    <row r="38160">
      <c r="A38160" s="17"/>
      <c r="H38160" s="18"/>
      <c r="K38160" s="18" t="s">
        <v>316</v>
      </c>
    </row>
    <row r="38161">
      <c r="A38161" s="17"/>
      <c r="H38161" s="18"/>
      <c r="K38161" s="18" t="s">
        <v>316</v>
      </c>
    </row>
    <row r="38162">
      <c r="A38162" s="17"/>
      <c r="H38162" s="18"/>
      <c r="K38162" s="18" t="s">
        <v>316</v>
      </c>
    </row>
    <row r="38163">
      <c r="A38163" s="17"/>
      <c r="H38163" s="18"/>
      <c r="K38163" s="18" t="s">
        <v>316</v>
      </c>
    </row>
    <row r="38164">
      <c r="A38164" s="17"/>
      <c r="H38164" s="18"/>
      <c r="K38164" s="18" t="s">
        <v>316</v>
      </c>
    </row>
    <row r="38165">
      <c r="A38165" s="17"/>
      <c r="H38165" s="18"/>
      <c r="K38165" s="18" t="s">
        <v>316</v>
      </c>
    </row>
    <row r="38166">
      <c r="A38166" s="17"/>
      <c r="H38166" s="18"/>
      <c r="K38166" s="18" t="s">
        <v>316</v>
      </c>
    </row>
    <row r="38167">
      <c r="A38167" s="17"/>
      <c r="H38167" s="18"/>
      <c r="K38167" s="18" t="s">
        <v>316</v>
      </c>
    </row>
    <row r="38168">
      <c r="A38168" s="17"/>
      <c r="H38168" s="18"/>
      <c r="K38168" s="18" t="s">
        <v>316</v>
      </c>
    </row>
    <row r="38169">
      <c r="A38169" s="17"/>
      <c r="H38169" s="18"/>
      <c r="K38169" s="18" t="s">
        <v>316</v>
      </c>
    </row>
    <row r="38170">
      <c r="A38170" s="17"/>
      <c r="H38170" s="18"/>
      <c r="K38170" s="18" t="s">
        <v>316</v>
      </c>
    </row>
    <row r="38171">
      <c r="A38171" s="17"/>
      <c r="H38171" s="18"/>
      <c r="K38171" s="18" t="s">
        <v>316</v>
      </c>
    </row>
    <row r="38172">
      <c r="A38172" s="17"/>
      <c r="H38172" s="18"/>
      <c r="K38172" s="18" t="s">
        <v>316</v>
      </c>
    </row>
    <row r="38173">
      <c r="A38173" s="17"/>
      <c r="H38173" s="18"/>
      <c r="K38173" s="18" t="s">
        <v>316</v>
      </c>
    </row>
    <row r="38174">
      <c r="A38174" s="17"/>
      <c r="H38174" s="18"/>
      <c r="K38174" s="18" t="s">
        <v>316</v>
      </c>
    </row>
    <row r="38175">
      <c r="A38175" s="17"/>
      <c r="H38175" s="18"/>
      <c r="K38175" s="18" t="s">
        <v>316</v>
      </c>
    </row>
    <row r="38176">
      <c r="A38176" s="17"/>
      <c r="H38176" s="18"/>
      <c r="K38176" s="18" t="s">
        <v>316</v>
      </c>
    </row>
    <row r="38177">
      <c r="A38177" s="17"/>
      <c r="H38177" s="18"/>
      <c r="K38177" s="18" t="s">
        <v>316</v>
      </c>
    </row>
    <row r="38178">
      <c r="A38178" s="17"/>
      <c r="H38178" s="18"/>
      <c r="K38178" s="18" t="s">
        <v>316</v>
      </c>
    </row>
    <row r="38179">
      <c r="A38179" s="17"/>
      <c r="H38179" s="18"/>
      <c r="K38179" s="18" t="s">
        <v>316</v>
      </c>
    </row>
    <row r="38180">
      <c r="A38180" s="17"/>
      <c r="H38180" s="18"/>
      <c r="K38180" s="18" t="s">
        <v>316</v>
      </c>
    </row>
    <row r="38181">
      <c r="A38181" s="17"/>
      <c r="H38181" s="18"/>
      <c r="K38181" s="18" t="s">
        <v>316</v>
      </c>
    </row>
    <row r="38182">
      <c r="A38182" s="17"/>
      <c r="H38182" s="18"/>
      <c r="K38182" s="18" t="s">
        <v>316</v>
      </c>
    </row>
    <row r="38183">
      <c r="A38183" s="17"/>
      <c r="H38183" s="18"/>
      <c r="K38183" s="18" t="s">
        <v>316</v>
      </c>
    </row>
    <row r="38184">
      <c r="A38184" s="17"/>
      <c r="H38184" s="18"/>
      <c r="K38184" s="18" t="s">
        <v>316</v>
      </c>
    </row>
    <row r="38185">
      <c r="A38185" s="17"/>
      <c r="H38185" s="18"/>
      <c r="K38185" s="18" t="s">
        <v>316</v>
      </c>
    </row>
    <row r="38186">
      <c r="A38186" s="17"/>
      <c r="H38186" s="18"/>
      <c r="K38186" s="18" t="s">
        <v>316</v>
      </c>
    </row>
    <row r="38187">
      <c r="A38187" s="17"/>
      <c r="H38187" s="18"/>
      <c r="K38187" s="18" t="s">
        <v>316</v>
      </c>
    </row>
    <row r="38188">
      <c r="A38188" s="17"/>
      <c r="H38188" s="18"/>
      <c r="K38188" s="18" t="s">
        <v>316</v>
      </c>
    </row>
    <row r="38189">
      <c r="A38189" s="17"/>
      <c r="H38189" s="18"/>
      <c r="K38189" s="18" t="s">
        <v>316</v>
      </c>
    </row>
    <row r="38190">
      <c r="A38190" s="17"/>
      <c r="H38190" s="18"/>
      <c r="K38190" s="18" t="s">
        <v>316</v>
      </c>
    </row>
    <row r="38191">
      <c r="A38191" s="17"/>
      <c r="H38191" s="18"/>
      <c r="K38191" s="18" t="s">
        <v>316</v>
      </c>
    </row>
    <row r="38192">
      <c r="A38192" s="17"/>
      <c r="H38192" s="18"/>
      <c r="K38192" s="18" t="s">
        <v>316</v>
      </c>
    </row>
    <row r="38193">
      <c r="A38193" s="17"/>
      <c r="H38193" s="18"/>
      <c r="K38193" s="18" t="s">
        <v>316</v>
      </c>
    </row>
    <row r="38194">
      <c r="A38194" s="17"/>
      <c r="H38194" s="18"/>
      <c r="K38194" s="18" t="s">
        <v>316</v>
      </c>
    </row>
    <row r="38195">
      <c r="A38195" s="17"/>
      <c r="H38195" s="18"/>
      <c r="K38195" s="18" t="s">
        <v>316</v>
      </c>
    </row>
    <row r="38196">
      <c r="A38196" s="17"/>
      <c r="H38196" s="18"/>
      <c r="K38196" s="18" t="s">
        <v>316</v>
      </c>
    </row>
    <row r="38197">
      <c r="A38197" s="17"/>
      <c r="H38197" s="18"/>
      <c r="K38197" s="18" t="s">
        <v>316</v>
      </c>
    </row>
    <row r="38198">
      <c r="A38198" s="17"/>
      <c r="H38198" s="18"/>
      <c r="K38198" s="18" t="s">
        <v>316</v>
      </c>
    </row>
    <row r="38199">
      <c r="A38199" s="17"/>
      <c r="H38199" s="18"/>
      <c r="K38199" s="18" t="s">
        <v>316</v>
      </c>
    </row>
    <row r="38200">
      <c r="A38200" s="17"/>
      <c r="H38200" s="18"/>
      <c r="K38200" s="18" t="s">
        <v>316</v>
      </c>
    </row>
    <row r="38201">
      <c r="A38201" s="17"/>
      <c r="H38201" s="18"/>
      <c r="K38201" s="18" t="s">
        <v>316</v>
      </c>
    </row>
    <row r="38202">
      <c r="A38202" s="17"/>
      <c r="H38202" s="18"/>
      <c r="K38202" s="18" t="s">
        <v>316</v>
      </c>
    </row>
    <row r="38203">
      <c r="A38203" s="17"/>
      <c r="H38203" s="18"/>
      <c r="K38203" s="18" t="s">
        <v>316</v>
      </c>
    </row>
    <row r="38204">
      <c r="A38204" s="17"/>
      <c r="H38204" s="18"/>
      <c r="K38204" s="18" t="s">
        <v>316</v>
      </c>
    </row>
    <row r="38205">
      <c r="A38205" s="17"/>
      <c r="H38205" s="18"/>
      <c r="K38205" s="18" t="s">
        <v>316</v>
      </c>
    </row>
    <row r="38206">
      <c r="A38206" s="17"/>
      <c r="H38206" s="18"/>
      <c r="K38206" s="18" t="s">
        <v>316</v>
      </c>
    </row>
    <row r="38207">
      <c r="A38207" s="17"/>
      <c r="H38207" s="18"/>
      <c r="K38207" s="18" t="s">
        <v>316</v>
      </c>
    </row>
    <row r="38208">
      <c r="A38208" s="17"/>
      <c r="H38208" s="18"/>
      <c r="K38208" s="18" t="s">
        <v>316</v>
      </c>
    </row>
    <row r="38209">
      <c r="A38209" s="17"/>
      <c r="H38209" s="18"/>
      <c r="K38209" s="18" t="s">
        <v>316</v>
      </c>
    </row>
    <row r="38210">
      <c r="A38210" s="17"/>
      <c r="H38210" s="18"/>
      <c r="K38210" s="18" t="s">
        <v>316</v>
      </c>
    </row>
    <row r="38211">
      <c r="A38211" s="17"/>
      <c r="H38211" s="18"/>
      <c r="K38211" s="18" t="s">
        <v>316</v>
      </c>
    </row>
    <row r="38212">
      <c r="A38212" s="17"/>
      <c r="H38212" s="18"/>
      <c r="K38212" s="18" t="s">
        <v>316</v>
      </c>
    </row>
    <row r="38213">
      <c r="A38213" s="17"/>
      <c r="H38213" s="18"/>
      <c r="K38213" s="18" t="s">
        <v>316</v>
      </c>
    </row>
    <row r="38214">
      <c r="A38214" s="17"/>
      <c r="H38214" s="18"/>
      <c r="K38214" s="18" t="s">
        <v>316</v>
      </c>
    </row>
    <row r="38215">
      <c r="A38215" s="17"/>
      <c r="H38215" s="18"/>
      <c r="K38215" s="18" t="s">
        <v>316</v>
      </c>
    </row>
    <row r="38216">
      <c r="A38216" s="17"/>
      <c r="H38216" s="18"/>
      <c r="K38216" s="18" t="s">
        <v>316</v>
      </c>
    </row>
    <row r="38217">
      <c r="A38217" s="17"/>
      <c r="H38217" s="18"/>
      <c r="K38217" s="18" t="s">
        <v>316</v>
      </c>
    </row>
    <row r="38218">
      <c r="A38218" s="17"/>
      <c r="H38218" s="18"/>
      <c r="K38218" s="18" t="s">
        <v>316</v>
      </c>
    </row>
    <row r="38219">
      <c r="A38219" s="17"/>
      <c r="H38219" s="18"/>
      <c r="K38219" s="18" t="s">
        <v>316</v>
      </c>
    </row>
    <row r="38220">
      <c r="A38220" s="17"/>
      <c r="H38220" s="18"/>
      <c r="K38220" s="18" t="s">
        <v>316</v>
      </c>
    </row>
    <row r="38221">
      <c r="A38221" s="17"/>
      <c r="H38221" s="18"/>
      <c r="K38221" s="18" t="s">
        <v>316</v>
      </c>
    </row>
    <row r="38222">
      <c r="A38222" s="17"/>
      <c r="H38222" s="18"/>
      <c r="K38222" s="18" t="s">
        <v>316</v>
      </c>
    </row>
    <row r="38223">
      <c r="A38223" s="17"/>
      <c r="H38223" s="18"/>
      <c r="K38223" s="18" t="s">
        <v>316</v>
      </c>
    </row>
    <row r="38224">
      <c r="A38224" s="17"/>
      <c r="H38224" s="18"/>
      <c r="K38224" s="18" t="s">
        <v>316</v>
      </c>
    </row>
    <row r="38225">
      <c r="A38225" s="17"/>
      <c r="H38225" s="18"/>
      <c r="K38225" s="18" t="s">
        <v>316</v>
      </c>
    </row>
    <row r="38226">
      <c r="A38226" s="17"/>
      <c r="H38226" s="18"/>
      <c r="K38226" s="18" t="s">
        <v>316</v>
      </c>
    </row>
    <row r="38227">
      <c r="A38227" s="17"/>
      <c r="H38227" s="18"/>
      <c r="K38227" s="18" t="s">
        <v>316</v>
      </c>
    </row>
    <row r="38228">
      <c r="A38228" s="17"/>
      <c r="H38228" s="18"/>
      <c r="K38228" s="18" t="s">
        <v>316</v>
      </c>
    </row>
    <row r="38229">
      <c r="A38229" s="17"/>
      <c r="H38229" s="18"/>
      <c r="K38229" s="18" t="s">
        <v>316</v>
      </c>
    </row>
    <row r="38230">
      <c r="A38230" s="17"/>
      <c r="H38230" s="18"/>
      <c r="K38230" s="18" t="s">
        <v>316</v>
      </c>
    </row>
    <row r="38231">
      <c r="A38231" s="17"/>
      <c r="H38231" s="18"/>
      <c r="K38231" s="18" t="s">
        <v>316</v>
      </c>
    </row>
    <row r="38232">
      <c r="A38232" s="17"/>
      <c r="H38232" s="18"/>
      <c r="K38232" s="18" t="s">
        <v>316</v>
      </c>
    </row>
    <row r="38233">
      <c r="A38233" s="17"/>
      <c r="H38233" s="18"/>
      <c r="K38233" s="18" t="s">
        <v>316</v>
      </c>
    </row>
    <row r="38234">
      <c r="A38234" s="17"/>
      <c r="H38234" s="18"/>
      <c r="K38234" s="18" t="s">
        <v>316</v>
      </c>
    </row>
    <row r="38235">
      <c r="A38235" s="17"/>
      <c r="H38235" s="18"/>
      <c r="K38235" s="18" t="s">
        <v>316</v>
      </c>
    </row>
    <row r="38236">
      <c r="A38236" s="17"/>
      <c r="H38236" s="18"/>
      <c r="K38236" s="18" t="s">
        <v>316</v>
      </c>
    </row>
    <row r="38237">
      <c r="A38237" s="17"/>
      <c r="H38237" s="18"/>
      <c r="K38237" s="18" t="s">
        <v>316</v>
      </c>
    </row>
    <row r="38238">
      <c r="A38238" s="17"/>
      <c r="H38238" s="18"/>
      <c r="K38238" s="18" t="s">
        <v>316</v>
      </c>
    </row>
    <row r="38239">
      <c r="A38239" s="17"/>
      <c r="H38239" s="18"/>
      <c r="K38239" s="18" t="s">
        <v>316</v>
      </c>
    </row>
    <row r="38240">
      <c r="A38240" s="17"/>
      <c r="H38240" s="18"/>
      <c r="K38240" s="18" t="s">
        <v>316</v>
      </c>
    </row>
    <row r="38241">
      <c r="A38241" s="17"/>
      <c r="H38241" s="18"/>
      <c r="K38241" s="18" t="s">
        <v>316</v>
      </c>
    </row>
    <row r="38242">
      <c r="A38242" s="17"/>
      <c r="H38242" s="18"/>
      <c r="K38242" s="18" t="s">
        <v>316</v>
      </c>
    </row>
    <row r="38243">
      <c r="A38243" s="17"/>
      <c r="H38243" s="18"/>
      <c r="K38243" s="18" t="s">
        <v>316</v>
      </c>
    </row>
    <row r="38244">
      <c r="A38244" s="17"/>
      <c r="H38244" s="18"/>
      <c r="K38244" s="18" t="s">
        <v>316</v>
      </c>
    </row>
    <row r="38245">
      <c r="A38245" s="17"/>
      <c r="H38245" s="18"/>
      <c r="K38245" s="18" t="s">
        <v>316</v>
      </c>
    </row>
    <row r="38246">
      <c r="A38246" s="17"/>
      <c r="H38246" s="18"/>
      <c r="K38246" s="18" t="s">
        <v>316</v>
      </c>
    </row>
    <row r="38247">
      <c r="A38247" s="17"/>
      <c r="H38247" s="18"/>
      <c r="K38247" s="18" t="s">
        <v>316</v>
      </c>
    </row>
    <row r="38248">
      <c r="A38248" s="17"/>
      <c r="H38248" s="18"/>
      <c r="K38248" s="18" t="s">
        <v>316</v>
      </c>
    </row>
    <row r="38249">
      <c r="A38249" s="17"/>
      <c r="H38249" s="18"/>
      <c r="K38249" s="18" t="s">
        <v>316</v>
      </c>
    </row>
    <row r="38250">
      <c r="A38250" s="17"/>
      <c r="H38250" s="18"/>
      <c r="K38250" s="18" t="s">
        <v>316</v>
      </c>
    </row>
    <row r="38251">
      <c r="A38251" s="17"/>
      <c r="H38251" s="18"/>
      <c r="K38251" s="18" t="s">
        <v>316</v>
      </c>
    </row>
    <row r="38252">
      <c r="A38252" s="17"/>
      <c r="H38252" s="18"/>
      <c r="K38252" s="18" t="s">
        <v>316</v>
      </c>
    </row>
    <row r="38253">
      <c r="A38253" s="17"/>
      <c r="H38253" s="18"/>
      <c r="K38253" s="18" t="s">
        <v>316</v>
      </c>
    </row>
    <row r="38254">
      <c r="A38254" s="17"/>
      <c r="H38254" s="18"/>
      <c r="K38254" s="18" t="s">
        <v>316</v>
      </c>
    </row>
    <row r="38255">
      <c r="A38255" s="17"/>
      <c r="H38255" s="18"/>
      <c r="K38255" s="18" t="s">
        <v>316</v>
      </c>
    </row>
    <row r="38256">
      <c r="A38256" s="17"/>
      <c r="H38256" s="18"/>
      <c r="K38256" s="18" t="s">
        <v>316</v>
      </c>
    </row>
    <row r="38257">
      <c r="A38257" s="17"/>
      <c r="H38257" s="18"/>
      <c r="K38257" s="18" t="s">
        <v>316</v>
      </c>
    </row>
    <row r="38258">
      <c r="A38258" s="17"/>
      <c r="H38258" s="18"/>
      <c r="K38258" s="18" t="s">
        <v>316</v>
      </c>
    </row>
    <row r="38259">
      <c r="A38259" s="17"/>
      <c r="H38259" s="18"/>
      <c r="K38259" s="18" t="s">
        <v>316</v>
      </c>
    </row>
    <row r="38260">
      <c r="A38260" s="17"/>
      <c r="H38260" s="18"/>
      <c r="K38260" s="18" t="s">
        <v>316</v>
      </c>
    </row>
    <row r="38261">
      <c r="A38261" s="17"/>
      <c r="H38261" s="18"/>
      <c r="K38261" s="18" t="s">
        <v>316</v>
      </c>
    </row>
    <row r="38262">
      <c r="A38262" s="17"/>
      <c r="H38262" s="18"/>
      <c r="K38262" s="18" t="s">
        <v>316</v>
      </c>
    </row>
    <row r="38263">
      <c r="A38263" s="17"/>
      <c r="H38263" s="18"/>
      <c r="K38263" s="18" t="s">
        <v>316</v>
      </c>
    </row>
    <row r="38264">
      <c r="A38264" s="17"/>
      <c r="H38264" s="18"/>
      <c r="K38264" s="18" t="s">
        <v>316</v>
      </c>
    </row>
    <row r="38265">
      <c r="A38265" s="17"/>
      <c r="H38265" s="18"/>
      <c r="K38265" s="18" t="s">
        <v>316</v>
      </c>
    </row>
    <row r="38266">
      <c r="A38266" s="17"/>
      <c r="H38266" s="18"/>
      <c r="K38266" s="18" t="s">
        <v>316</v>
      </c>
    </row>
    <row r="38267">
      <c r="A38267" s="17"/>
      <c r="H38267" s="18"/>
      <c r="K38267" s="18" t="s">
        <v>316</v>
      </c>
    </row>
    <row r="38268">
      <c r="A38268" s="17"/>
      <c r="H38268" s="18"/>
      <c r="K38268" s="18" t="s">
        <v>316</v>
      </c>
    </row>
    <row r="38269">
      <c r="A38269" s="17"/>
      <c r="H38269" s="18"/>
      <c r="K38269" s="18" t="s">
        <v>316</v>
      </c>
    </row>
    <row r="38270">
      <c r="A38270" s="17"/>
      <c r="H38270" s="18"/>
      <c r="K38270" s="18" t="s">
        <v>316</v>
      </c>
    </row>
    <row r="38271">
      <c r="A38271" s="17"/>
      <c r="H38271" s="18"/>
      <c r="K38271" s="18" t="s">
        <v>316</v>
      </c>
    </row>
    <row r="38272">
      <c r="A38272" s="17"/>
      <c r="H38272" s="18"/>
      <c r="K38272" s="18" t="s">
        <v>316</v>
      </c>
    </row>
    <row r="38273">
      <c r="A38273" s="17"/>
      <c r="H38273" s="18"/>
      <c r="K38273" s="18" t="s">
        <v>316</v>
      </c>
    </row>
    <row r="38274">
      <c r="A38274" s="17"/>
      <c r="H38274" s="18"/>
      <c r="K38274" s="18" t="s">
        <v>316</v>
      </c>
    </row>
    <row r="38275">
      <c r="A38275" s="17"/>
      <c r="H38275" s="18"/>
      <c r="K38275" s="18" t="s">
        <v>316</v>
      </c>
    </row>
    <row r="38276">
      <c r="A38276" s="17"/>
      <c r="H38276" s="18"/>
      <c r="K38276" s="18" t="s">
        <v>316</v>
      </c>
    </row>
    <row r="38277">
      <c r="A38277" s="17"/>
      <c r="H38277" s="18"/>
      <c r="K38277" s="18" t="s">
        <v>316</v>
      </c>
    </row>
    <row r="38278">
      <c r="A38278" s="17"/>
      <c r="H38278" s="18"/>
      <c r="K38278" s="18" t="s">
        <v>316</v>
      </c>
    </row>
    <row r="38279">
      <c r="A38279" s="17"/>
      <c r="H38279" s="18"/>
      <c r="K38279" s="18" t="s">
        <v>316</v>
      </c>
    </row>
    <row r="38280">
      <c r="A38280" s="17"/>
      <c r="H38280" s="18"/>
      <c r="K38280" s="18" t="s">
        <v>316</v>
      </c>
    </row>
    <row r="38281">
      <c r="A38281" s="17"/>
      <c r="H38281" s="18"/>
      <c r="K38281" s="18" t="s">
        <v>316</v>
      </c>
    </row>
    <row r="38282">
      <c r="A38282" s="17"/>
      <c r="H38282" s="18"/>
      <c r="K38282" s="18" t="s">
        <v>316</v>
      </c>
    </row>
    <row r="38283">
      <c r="A38283" s="17"/>
      <c r="H38283" s="18"/>
      <c r="K38283" s="18" t="s">
        <v>316</v>
      </c>
    </row>
    <row r="38284">
      <c r="A38284" s="17"/>
      <c r="H38284" s="18"/>
      <c r="K38284" s="18" t="s">
        <v>316</v>
      </c>
    </row>
    <row r="38285">
      <c r="A38285" s="17"/>
      <c r="H38285" s="18"/>
      <c r="K38285" s="18" t="s">
        <v>316</v>
      </c>
    </row>
    <row r="38286">
      <c r="A38286" s="17"/>
      <c r="H38286" s="18"/>
      <c r="K38286" s="18" t="s">
        <v>316</v>
      </c>
    </row>
    <row r="38287">
      <c r="A38287" s="17"/>
      <c r="H38287" s="18"/>
      <c r="K38287" s="18" t="s">
        <v>316</v>
      </c>
    </row>
    <row r="38288">
      <c r="A38288" s="17"/>
      <c r="H38288" s="18"/>
      <c r="K38288" s="18" t="s">
        <v>316</v>
      </c>
    </row>
    <row r="38289">
      <c r="A38289" s="17"/>
      <c r="H38289" s="18"/>
      <c r="K38289" s="18" t="s">
        <v>316</v>
      </c>
    </row>
    <row r="38290">
      <c r="A38290" s="17"/>
      <c r="H38290" s="18"/>
      <c r="K38290" s="18" t="s">
        <v>316</v>
      </c>
    </row>
    <row r="38291">
      <c r="A38291" s="17"/>
      <c r="H38291" s="18"/>
      <c r="K38291" s="18" t="s">
        <v>316</v>
      </c>
    </row>
    <row r="38292">
      <c r="A38292" s="17"/>
      <c r="H38292" s="18"/>
      <c r="K38292" s="18" t="s">
        <v>316</v>
      </c>
    </row>
    <row r="38293">
      <c r="A38293" s="17"/>
      <c r="H38293" s="18"/>
      <c r="K38293" s="18" t="s">
        <v>316</v>
      </c>
    </row>
    <row r="38294">
      <c r="A38294" s="17"/>
      <c r="H38294" s="18"/>
      <c r="K38294" s="18" t="s">
        <v>316</v>
      </c>
    </row>
    <row r="38295">
      <c r="A38295" s="17"/>
      <c r="H38295" s="18"/>
      <c r="K38295" s="18" t="s">
        <v>316</v>
      </c>
    </row>
    <row r="38296">
      <c r="A38296" s="17"/>
      <c r="H38296" s="18"/>
      <c r="K38296" s="18" t="s">
        <v>316</v>
      </c>
    </row>
    <row r="38297">
      <c r="A38297" s="17"/>
      <c r="H38297" s="18"/>
      <c r="K38297" s="18" t="s">
        <v>316</v>
      </c>
    </row>
    <row r="38298">
      <c r="A38298" s="17"/>
      <c r="H38298" s="18"/>
      <c r="K38298" s="18" t="s">
        <v>316</v>
      </c>
    </row>
    <row r="38299">
      <c r="A38299" s="17"/>
      <c r="H38299" s="18"/>
      <c r="K38299" s="18" t="s">
        <v>316</v>
      </c>
    </row>
    <row r="38300">
      <c r="A38300" s="17"/>
      <c r="H38300" s="18"/>
      <c r="K38300" s="18" t="s">
        <v>316</v>
      </c>
    </row>
    <row r="38301">
      <c r="A38301" s="17"/>
      <c r="H38301" s="18"/>
      <c r="K38301" s="18" t="s">
        <v>316</v>
      </c>
    </row>
    <row r="38302">
      <c r="A38302" s="17"/>
      <c r="H38302" s="18"/>
      <c r="K38302" s="18" t="s">
        <v>316</v>
      </c>
    </row>
    <row r="38303">
      <c r="A38303" s="17"/>
      <c r="H38303" s="18"/>
      <c r="K38303" s="18" t="s">
        <v>316</v>
      </c>
    </row>
    <row r="38304">
      <c r="A38304" s="17"/>
      <c r="H38304" s="18"/>
      <c r="K38304" s="18" t="s">
        <v>316</v>
      </c>
    </row>
    <row r="38305">
      <c r="A38305" s="17"/>
      <c r="H38305" s="18"/>
      <c r="K38305" s="18" t="s">
        <v>316</v>
      </c>
    </row>
    <row r="38306">
      <c r="A38306" s="17"/>
      <c r="H38306" s="18"/>
      <c r="K38306" s="18" t="s">
        <v>316</v>
      </c>
    </row>
    <row r="38307">
      <c r="A38307" s="17"/>
      <c r="H38307" s="18"/>
      <c r="K38307" s="18" t="s">
        <v>316</v>
      </c>
    </row>
    <row r="38308">
      <c r="A38308" s="17"/>
      <c r="H38308" s="18"/>
      <c r="K38308" s="18" t="s">
        <v>316</v>
      </c>
    </row>
    <row r="38309">
      <c r="A38309" s="17"/>
      <c r="H38309" s="18"/>
      <c r="K38309" s="18" t="s">
        <v>316</v>
      </c>
    </row>
    <row r="38310">
      <c r="A38310" s="17"/>
      <c r="H38310" s="18"/>
      <c r="K38310" s="18" t="s">
        <v>316</v>
      </c>
    </row>
    <row r="38311">
      <c r="A38311" s="17"/>
      <c r="H38311" s="18"/>
      <c r="K38311" s="18" t="s">
        <v>316</v>
      </c>
    </row>
    <row r="38312">
      <c r="A38312" s="17"/>
      <c r="H38312" s="18"/>
      <c r="K38312" s="18" t="s">
        <v>316</v>
      </c>
    </row>
    <row r="38313">
      <c r="A38313" s="17"/>
      <c r="H38313" s="18"/>
      <c r="K38313" s="18" t="s">
        <v>316</v>
      </c>
    </row>
    <row r="38314">
      <c r="A38314" s="17"/>
      <c r="H38314" s="18"/>
      <c r="K38314" s="18" t="s">
        <v>316</v>
      </c>
    </row>
    <row r="38315">
      <c r="A38315" s="17"/>
      <c r="H38315" s="18"/>
      <c r="K38315" s="18" t="s">
        <v>316</v>
      </c>
    </row>
    <row r="38316">
      <c r="A38316" s="17"/>
      <c r="H38316" s="18"/>
      <c r="K38316" s="18" t="s">
        <v>316</v>
      </c>
    </row>
    <row r="38317">
      <c r="A38317" s="17"/>
      <c r="H38317" s="18"/>
      <c r="K38317" s="18" t="s">
        <v>316</v>
      </c>
    </row>
    <row r="38318">
      <c r="A38318" s="17"/>
      <c r="H38318" s="18"/>
      <c r="K38318" s="18" t="s">
        <v>316</v>
      </c>
    </row>
    <row r="38319">
      <c r="A38319" s="17"/>
      <c r="H38319" s="18"/>
      <c r="K38319" s="18" t="s">
        <v>316</v>
      </c>
    </row>
    <row r="38320">
      <c r="A38320" s="17"/>
      <c r="H38320" s="18"/>
      <c r="K38320" s="18" t="s">
        <v>316</v>
      </c>
    </row>
    <row r="38321">
      <c r="A38321" s="17"/>
      <c r="H38321" s="18"/>
      <c r="K38321" s="18" t="s">
        <v>316</v>
      </c>
    </row>
    <row r="38322">
      <c r="A38322" s="17"/>
      <c r="H38322" s="18"/>
      <c r="K38322" s="18" t="s">
        <v>316</v>
      </c>
    </row>
    <row r="38323">
      <c r="A38323" s="17"/>
      <c r="H38323" s="18"/>
      <c r="K38323" s="18" t="s">
        <v>316</v>
      </c>
    </row>
    <row r="38324">
      <c r="A38324" s="17"/>
      <c r="H38324" s="18"/>
      <c r="K38324" s="18" t="s">
        <v>316</v>
      </c>
    </row>
    <row r="38325">
      <c r="A38325" s="17"/>
      <c r="H38325" s="18"/>
      <c r="K38325" s="18" t="s">
        <v>316</v>
      </c>
    </row>
    <row r="38326">
      <c r="A38326" s="17"/>
      <c r="H38326" s="18"/>
      <c r="K38326" s="18" t="s">
        <v>316</v>
      </c>
    </row>
    <row r="38327">
      <c r="A38327" s="17"/>
      <c r="H38327" s="18"/>
      <c r="K38327" s="18" t="s">
        <v>316</v>
      </c>
    </row>
    <row r="38328">
      <c r="A38328" s="17"/>
      <c r="H38328" s="18"/>
      <c r="K38328" s="18" t="s">
        <v>316</v>
      </c>
    </row>
    <row r="38329">
      <c r="A38329" s="17"/>
      <c r="H38329" s="18"/>
      <c r="K38329" s="18" t="s">
        <v>316</v>
      </c>
    </row>
    <row r="38330">
      <c r="A38330" s="17"/>
      <c r="H38330" s="18"/>
      <c r="K38330" s="18" t="s">
        <v>316</v>
      </c>
    </row>
    <row r="38331">
      <c r="A38331" s="17"/>
      <c r="H38331" s="18"/>
      <c r="K38331" s="18" t="s">
        <v>316</v>
      </c>
    </row>
    <row r="38332">
      <c r="A38332" s="17"/>
      <c r="H38332" s="18"/>
      <c r="K38332" s="18" t="s">
        <v>316</v>
      </c>
    </row>
    <row r="38333">
      <c r="A38333" s="17"/>
      <c r="H38333" s="18"/>
      <c r="K38333" s="18" t="s">
        <v>316</v>
      </c>
    </row>
    <row r="38334">
      <c r="A38334" s="17"/>
      <c r="H38334" s="18"/>
      <c r="K38334" s="18" t="s">
        <v>316</v>
      </c>
    </row>
    <row r="38335">
      <c r="A38335" s="17"/>
      <c r="H38335" s="18"/>
      <c r="K38335" s="18" t="s">
        <v>316</v>
      </c>
    </row>
    <row r="38336">
      <c r="A38336" s="17"/>
      <c r="H38336" s="18"/>
      <c r="K38336" s="18" t="s">
        <v>316</v>
      </c>
    </row>
    <row r="38337">
      <c r="A38337" s="17"/>
      <c r="H38337" s="18"/>
      <c r="K38337" s="18" t="s">
        <v>316</v>
      </c>
    </row>
    <row r="38338">
      <c r="A38338" s="17"/>
      <c r="H38338" s="18"/>
      <c r="K38338" s="18" t="s">
        <v>316</v>
      </c>
    </row>
    <row r="38339">
      <c r="A38339" s="17"/>
      <c r="H38339" s="18"/>
      <c r="K38339" s="18" t="s">
        <v>316</v>
      </c>
    </row>
    <row r="38340">
      <c r="A38340" s="17"/>
      <c r="H38340" s="18"/>
      <c r="K38340" s="18" t="s">
        <v>316</v>
      </c>
    </row>
    <row r="38341">
      <c r="A38341" s="17"/>
      <c r="H38341" s="18"/>
      <c r="K38341" s="18" t="s">
        <v>316</v>
      </c>
    </row>
    <row r="38342">
      <c r="A38342" s="17"/>
      <c r="H38342" s="18"/>
      <c r="K38342" s="18" t="s">
        <v>316</v>
      </c>
    </row>
    <row r="38343">
      <c r="A38343" s="17"/>
      <c r="H38343" s="18"/>
      <c r="K38343" s="18" t="s">
        <v>316</v>
      </c>
    </row>
    <row r="38344">
      <c r="A38344" s="17"/>
      <c r="H38344" s="18"/>
      <c r="K38344" s="18" t="s">
        <v>316</v>
      </c>
    </row>
    <row r="38345">
      <c r="A38345" s="17"/>
      <c r="H38345" s="18"/>
      <c r="K38345" s="18" t="s">
        <v>316</v>
      </c>
    </row>
    <row r="38346">
      <c r="A38346" s="17"/>
      <c r="H38346" s="18"/>
      <c r="K38346" s="18" t="s">
        <v>316</v>
      </c>
    </row>
    <row r="38347">
      <c r="A38347" s="17"/>
      <c r="H38347" s="18"/>
      <c r="K38347" s="18" t="s">
        <v>316</v>
      </c>
    </row>
    <row r="38348">
      <c r="A38348" s="17"/>
      <c r="H38348" s="18"/>
      <c r="K38348" s="18" t="s">
        <v>316</v>
      </c>
    </row>
    <row r="38349">
      <c r="A38349" s="17"/>
      <c r="H38349" s="18"/>
      <c r="K38349" s="18" t="s">
        <v>316</v>
      </c>
    </row>
    <row r="38350">
      <c r="A38350" s="17"/>
      <c r="H38350" s="18"/>
      <c r="K38350" s="18" t="s">
        <v>316</v>
      </c>
    </row>
    <row r="38351">
      <c r="A38351" s="17"/>
      <c r="H38351" s="18"/>
      <c r="K38351" s="18" t="s">
        <v>316</v>
      </c>
    </row>
    <row r="38352">
      <c r="A38352" s="17"/>
      <c r="H38352" s="18"/>
      <c r="K38352" s="18" t="s">
        <v>316</v>
      </c>
    </row>
    <row r="38353">
      <c r="A38353" s="17"/>
      <c r="H38353" s="18"/>
      <c r="K38353" s="18" t="s">
        <v>316</v>
      </c>
    </row>
    <row r="38354">
      <c r="A38354" s="17"/>
      <c r="H38354" s="18"/>
      <c r="K38354" s="18" t="s">
        <v>316</v>
      </c>
    </row>
    <row r="38355">
      <c r="A38355" s="17"/>
      <c r="H38355" s="18"/>
      <c r="K38355" s="18" t="s">
        <v>316</v>
      </c>
    </row>
    <row r="38356">
      <c r="A38356" s="17"/>
      <c r="H38356" s="18"/>
      <c r="K38356" s="18" t="s">
        <v>316</v>
      </c>
    </row>
    <row r="38357">
      <c r="A38357" s="17"/>
      <c r="H38357" s="18"/>
      <c r="K38357" s="18" t="s">
        <v>316</v>
      </c>
    </row>
    <row r="38358">
      <c r="A38358" s="17"/>
      <c r="H38358" s="18"/>
      <c r="K38358" s="18" t="s">
        <v>316</v>
      </c>
    </row>
    <row r="38359">
      <c r="A38359" s="17"/>
      <c r="H38359" s="18"/>
      <c r="K38359" s="18" t="s">
        <v>316</v>
      </c>
    </row>
    <row r="38360">
      <c r="A38360" s="17"/>
      <c r="H38360" s="18"/>
      <c r="K38360" s="18" t="s">
        <v>316</v>
      </c>
    </row>
    <row r="38361">
      <c r="A38361" s="17"/>
      <c r="H38361" s="18"/>
      <c r="K38361" s="18" t="s">
        <v>316</v>
      </c>
    </row>
    <row r="38362">
      <c r="A38362" s="17"/>
      <c r="H38362" s="18"/>
      <c r="K38362" s="18" t="s">
        <v>316</v>
      </c>
    </row>
    <row r="38363">
      <c r="A38363" s="17"/>
      <c r="H38363" s="18"/>
      <c r="K38363" s="18" t="s">
        <v>316</v>
      </c>
    </row>
    <row r="38364">
      <c r="A38364" s="17"/>
      <c r="H38364" s="18"/>
      <c r="K38364" s="18" t="s">
        <v>316</v>
      </c>
    </row>
    <row r="38365">
      <c r="A38365" s="17"/>
      <c r="H38365" s="18"/>
      <c r="K38365" s="18" t="s">
        <v>316</v>
      </c>
    </row>
    <row r="38366">
      <c r="A38366" s="17"/>
      <c r="H38366" s="18"/>
      <c r="K38366" s="18" t="s">
        <v>316</v>
      </c>
    </row>
    <row r="38367">
      <c r="A38367" s="17"/>
      <c r="H38367" s="18"/>
      <c r="K38367" s="18" t="s">
        <v>316</v>
      </c>
    </row>
    <row r="38368">
      <c r="A38368" s="17"/>
      <c r="H38368" s="18"/>
      <c r="K38368" s="18" t="s">
        <v>316</v>
      </c>
    </row>
    <row r="38369">
      <c r="A38369" s="17"/>
      <c r="H38369" s="18"/>
      <c r="K38369" s="18" t="s">
        <v>316</v>
      </c>
    </row>
    <row r="38370">
      <c r="A38370" s="17"/>
      <c r="H38370" s="18"/>
      <c r="K38370" s="18" t="s">
        <v>316</v>
      </c>
    </row>
    <row r="38371">
      <c r="A38371" s="17"/>
      <c r="H38371" s="18"/>
      <c r="K38371" s="18" t="s">
        <v>316</v>
      </c>
    </row>
    <row r="38372">
      <c r="A38372" s="17"/>
      <c r="H38372" s="18"/>
      <c r="K38372" s="18" t="s">
        <v>316</v>
      </c>
    </row>
    <row r="38373">
      <c r="A38373" s="17"/>
      <c r="H38373" s="18"/>
      <c r="K38373" s="18" t="s">
        <v>316</v>
      </c>
    </row>
    <row r="38374">
      <c r="A38374" s="17"/>
      <c r="H38374" s="18"/>
      <c r="K38374" s="18" t="s">
        <v>316</v>
      </c>
    </row>
    <row r="38375">
      <c r="A38375" s="17"/>
      <c r="H38375" s="18"/>
      <c r="K38375" s="18" t="s">
        <v>316</v>
      </c>
    </row>
    <row r="38376">
      <c r="A38376" s="17"/>
      <c r="H38376" s="18"/>
      <c r="K38376" s="18" t="s">
        <v>316</v>
      </c>
    </row>
    <row r="38377">
      <c r="A38377" s="17"/>
      <c r="H38377" s="18"/>
      <c r="K38377" s="18" t="s">
        <v>316</v>
      </c>
    </row>
    <row r="38378">
      <c r="A38378" s="17"/>
      <c r="H38378" s="18"/>
      <c r="K38378" s="18" t="s">
        <v>316</v>
      </c>
    </row>
    <row r="38379">
      <c r="A38379" s="17"/>
      <c r="H38379" s="18"/>
      <c r="K38379" s="18" t="s">
        <v>316</v>
      </c>
    </row>
    <row r="38380">
      <c r="A38380" s="17"/>
      <c r="H38380" s="18"/>
      <c r="K38380" s="18" t="s">
        <v>316</v>
      </c>
    </row>
    <row r="38381">
      <c r="A38381" s="17"/>
      <c r="H38381" s="18"/>
      <c r="K38381" s="18" t="s">
        <v>316</v>
      </c>
    </row>
    <row r="38382">
      <c r="A38382" s="17"/>
      <c r="H38382" s="18"/>
      <c r="K38382" s="18" t="s">
        <v>316</v>
      </c>
    </row>
    <row r="38383">
      <c r="A38383" s="17"/>
      <c r="H38383" s="18"/>
      <c r="K38383" s="18" t="s">
        <v>316</v>
      </c>
    </row>
    <row r="38384">
      <c r="A38384" s="17"/>
      <c r="H38384" s="18"/>
      <c r="K38384" s="18" t="s">
        <v>316</v>
      </c>
    </row>
    <row r="38385">
      <c r="A38385" s="17"/>
      <c r="H38385" s="18"/>
      <c r="K38385" s="18" t="s">
        <v>316</v>
      </c>
    </row>
    <row r="38386">
      <c r="A38386" s="17"/>
      <c r="H38386" s="18"/>
      <c r="K38386" s="18" t="s">
        <v>316</v>
      </c>
    </row>
    <row r="38387">
      <c r="A38387" s="17"/>
      <c r="H38387" s="18"/>
      <c r="K38387" s="18" t="s">
        <v>316</v>
      </c>
    </row>
    <row r="38388">
      <c r="A38388" s="17"/>
      <c r="H38388" s="18"/>
      <c r="K38388" s="18" t="s">
        <v>316</v>
      </c>
    </row>
    <row r="38389">
      <c r="A38389" s="17"/>
      <c r="H38389" s="18"/>
      <c r="K38389" s="18" t="s">
        <v>316</v>
      </c>
    </row>
    <row r="38390">
      <c r="A38390" s="17"/>
      <c r="H38390" s="18"/>
      <c r="K38390" s="18" t="s">
        <v>316</v>
      </c>
    </row>
    <row r="38391">
      <c r="A38391" s="17"/>
      <c r="H38391" s="18"/>
      <c r="K38391" s="18" t="s">
        <v>316</v>
      </c>
    </row>
    <row r="38392">
      <c r="A38392" s="17"/>
      <c r="H38392" s="18"/>
      <c r="K38392" s="18" t="s">
        <v>316</v>
      </c>
    </row>
    <row r="38393">
      <c r="A38393" s="17"/>
      <c r="H38393" s="18"/>
      <c r="K38393" s="18" t="s">
        <v>316</v>
      </c>
    </row>
    <row r="38394">
      <c r="A38394" s="17"/>
      <c r="H38394" s="18"/>
      <c r="K38394" s="18" t="s">
        <v>316</v>
      </c>
    </row>
    <row r="38395">
      <c r="A38395" s="17"/>
      <c r="H38395" s="18"/>
      <c r="K38395" s="18" t="s">
        <v>316</v>
      </c>
    </row>
    <row r="38396">
      <c r="A38396" s="17"/>
      <c r="H38396" s="18"/>
      <c r="K38396" s="18" t="s">
        <v>316</v>
      </c>
    </row>
    <row r="38397">
      <c r="A38397" s="17"/>
      <c r="H38397" s="18"/>
      <c r="K38397" s="18" t="s">
        <v>316</v>
      </c>
    </row>
    <row r="38398">
      <c r="A38398" s="17"/>
      <c r="H38398" s="18"/>
      <c r="K38398" s="18" t="s">
        <v>316</v>
      </c>
    </row>
    <row r="38399">
      <c r="A38399" s="17"/>
      <c r="H38399" s="18"/>
      <c r="K38399" s="18" t="s">
        <v>316</v>
      </c>
    </row>
    <row r="38400">
      <c r="A38400" s="17"/>
      <c r="H38400" s="18"/>
      <c r="K38400" s="18" t="s">
        <v>316</v>
      </c>
    </row>
    <row r="38401">
      <c r="A38401" s="17"/>
      <c r="H38401" s="18"/>
      <c r="K38401" s="18" t="s">
        <v>316</v>
      </c>
    </row>
    <row r="38402">
      <c r="A38402" s="17"/>
      <c r="H38402" s="18"/>
      <c r="K38402" s="18" t="s">
        <v>316</v>
      </c>
    </row>
    <row r="38403">
      <c r="A38403" s="17"/>
      <c r="H38403" s="18"/>
      <c r="K38403" s="18" t="s">
        <v>316</v>
      </c>
    </row>
    <row r="38404">
      <c r="A38404" s="17"/>
      <c r="H38404" s="18"/>
      <c r="K38404" s="18" t="s">
        <v>316</v>
      </c>
    </row>
    <row r="38405">
      <c r="A38405" s="17"/>
      <c r="H38405" s="18"/>
      <c r="K38405" s="18" t="s">
        <v>316</v>
      </c>
    </row>
    <row r="38406">
      <c r="A38406" s="17"/>
      <c r="H38406" s="18"/>
      <c r="K38406" s="18" t="s">
        <v>316</v>
      </c>
    </row>
    <row r="38407">
      <c r="A38407" s="17"/>
      <c r="H38407" s="18"/>
      <c r="K38407" s="18" t="s">
        <v>316</v>
      </c>
    </row>
    <row r="38408">
      <c r="A38408" s="17"/>
      <c r="H38408" s="18"/>
      <c r="K38408" s="18" t="s">
        <v>316</v>
      </c>
    </row>
    <row r="38409">
      <c r="A38409" s="17"/>
      <c r="H38409" s="18"/>
      <c r="K38409" s="18" t="s">
        <v>316</v>
      </c>
    </row>
    <row r="38410">
      <c r="A38410" s="17"/>
      <c r="H38410" s="18"/>
      <c r="K38410" s="18" t="s">
        <v>316</v>
      </c>
    </row>
    <row r="38411">
      <c r="A38411" s="17"/>
      <c r="H38411" s="18"/>
      <c r="K38411" s="18" t="s">
        <v>316</v>
      </c>
    </row>
    <row r="38412">
      <c r="A38412" s="17"/>
      <c r="H38412" s="18"/>
      <c r="K38412" s="18" t="s">
        <v>316</v>
      </c>
    </row>
    <row r="38413">
      <c r="A38413" s="17"/>
      <c r="H38413" s="18"/>
      <c r="K38413" s="18" t="s">
        <v>316</v>
      </c>
    </row>
    <row r="38414">
      <c r="A38414" s="17"/>
      <c r="H38414" s="18"/>
      <c r="K38414" s="18" t="s">
        <v>316</v>
      </c>
    </row>
    <row r="38415">
      <c r="A38415" s="17"/>
      <c r="H38415" s="18"/>
      <c r="K38415" s="18" t="s">
        <v>316</v>
      </c>
    </row>
    <row r="38416">
      <c r="A38416" s="17"/>
      <c r="H38416" s="18"/>
      <c r="K38416" s="18" t="s">
        <v>316</v>
      </c>
    </row>
    <row r="38417">
      <c r="A38417" s="17"/>
      <c r="H38417" s="18"/>
      <c r="K38417" s="18" t="s">
        <v>316</v>
      </c>
    </row>
    <row r="38418">
      <c r="A38418" s="17"/>
      <c r="H38418" s="18"/>
      <c r="K38418" s="18" t="s">
        <v>316</v>
      </c>
    </row>
    <row r="38419">
      <c r="A38419" s="17"/>
      <c r="H38419" s="18"/>
      <c r="K38419" s="18" t="s">
        <v>316</v>
      </c>
    </row>
    <row r="38420">
      <c r="A38420" s="17"/>
      <c r="H38420" s="18"/>
      <c r="K38420" s="18" t="s">
        <v>316</v>
      </c>
    </row>
    <row r="38421">
      <c r="A38421" s="17"/>
      <c r="H38421" s="18"/>
      <c r="K38421" s="18" t="s">
        <v>316</v>
      </c>
    </row>
    <row r="38422">
      <c r="A38422" s="17"/>
      <c r="H38422" s="18"/>
      <c r="K38422" s="18" t="s">
        <v>316</v>
      </c>
    </row>
    <row r="38423">
      <c r="A38423" s="17"/>
      <c r="H38423" s="18"/>
      <c r="K38423" s="18" t="s">
        <v>316</v>
      </c>
    </row>
    <row r="38424">
      <c r="A38424" s="17"/>
      <c r="H38424" s="18"/>
      <c r="K38424" s="18" t="s">
        <v>316</v>
      </c>
    </row>
    <row r="38425">
      <c r="A38425" s="17"/>
      <c r="H38425" s="18"/>
      <c r="K38425" s="18" t="s">
        <v>316</v>
      </c>
    </row>
    <row r="38426">
      <c r="A38426" s="17"/>
      <c r="H38426" s="18"/>
      <c r="K38426" s="18" t="s">
        <v>316</v>
      </c>
    </row>
    <row r="38427">
      <c r="A38427" s="17"/>
      <c r="H38427" s="18"/>
      <c r="K38427" s="18" t="s">
        <v>316</v>
      </c>
    </row>
    <row r="38428">
      <c r="A38428" s="17"/>
      <c r="H38428" s="18"/>
      <c r="K38428" s="18" t="s">
        <v>316</v>
      </c>
    </row>
    <row r="38429">
      <c r="A38429" s="17"/>
      <c r="H38429" s="18"/>
      <c r="K38429" s="18" t="s">
        <v>316</v>
      </c>
    </row>
    <row r="38430">
      <c r="A38430" s="17"/>
      <c r="H38430" s="18"/>
      <c r="K38430" s="18" t="s">
        <v>316</v>
      </c>
    </row>
    <row r="38431">
      <c r="A38431" s="17"/>
      <c r="H38431" s="18"/>
      <c r="K38431" s="18" t="s">
        <v>316</v>
      </c>
    </row>
    <row r="38432">
      <c r="A38432" s="17"/>
      <c r="H38432" s="18"/>
      <c r="K38432" s="18" t="s">
        <v>316</v>
      </c>
    </row>
    <row r="38433">
      <c r="A38433" s="17"/>
      <c r="H38433" s="18"/>
      <c r="K38433" s="18" t="s">
        <v>316</v>
      </c>
    </row>
    <row r="38434">
      <c r="A38434" s="17"/>
      <c r="H38434" s="18"/>
      <c r="K38434" s="18" t="s">
        <v>316</v>
      </c>
    </row>
    <row r="38435">
      <c r="A38435" s="17"/>
      <c r="H38435" s="18"/>
      <c r="K38435" s="18" t="s">
        <v>316</v>
      </c>
    </row>
    <row r="38436">
      <c r="A38436" s="17"/>
      <c r="H38436" s="18"/>
      <c r="K38436" s="18" t="s">
        <v>316</v>
      </c>
    </row>
    <row r="38437">
      <c r="A38437" s="17"/>
      <c r="H38437" s="18"/>
      <c r="K38437" s="18" t="s">
        <v>316</v>
      </c>
    </row>
    <row r="38438">
      <c r="A38438" s="17"/>
      <c r="H38438" s="18"/>
      <c r="K38438" s="18" t="s">
        <v>316</v>
      </c>
    </row>
    <row r="38439">
      <c r="A38439" s="17"/>
      <c r="H38439" s="18"/>
      <c r="K38439" s="18" t="s">
        <v>316</v>
      </c>
    </row>
    <row r="38440">
      <c r="A38440" s="17"/>
      <c r="H38440" s="18"/>
      <c r="K38440" s="18" t="s">
        <v>316</v>
      </c>
    </row>
    <row r="38441">
      <c r="A38441" s="17"/>
      <c r="H38441" s="18"/>
      <c r="K38441" s="18" t="s">
        <v>316</v>
      </c>
    </row>
    <row r="38442">
      <c r="A38442" s="17"/>
      <c r="H38442" s="18"/>
      <c r="K38442" s="18" t="s">
        <v>316</v>
      </c>
    </row>
    <row r="38443">
      <c r="A38443" s="17"/>
      <c r="H38443" s="18"/>
      <c r="K38443" s="18" t="s">
        <v>316</v>
      </c>
    </row>
    <row r="38444">
      <c r="A38444" s="17"/>
      <c r="H38444" s="18"/>
      <c r="K38444" s="18" t="s">
        <v>316</v>
      </c>
    </row>
    <row r="38445">
      <c r="A38445" s="17"/>
      <c r="H38445" s="18"/>
      <c r="K38445" s="18" t="s">
        <v>316</v>
      </c>
    </row>
    <row r="38446">
      <c r="A38446" s="17"/>
      <c r="H38446" s="18"/>
      <c r="K38446" s="18" t="s">
        <v>316</v>
      </c>
    </row>
    <row r="38447">
      <c r="A38447" s="17"/>
      <c r="H38447" s="18"/>
      <c r="K38447" s="18" t="s">
        <v>316</v>
      </c>
    </row>
    <row r="38448">
      <c r="A38448" s="17"/>
      <c r="H38448" s="18"/>
      <c r="K38448" s="18" t="s">
        <v>316</v>
      </c>
    </row>
    <row r="38449">
      <c r="A38449" s="17"/>
      <c r="H38449" s="18"/>
      <c r="K38449" s="18" t="s">
        <v>316</v>
      </c>
    </row>
    <row r="38450">
      <c r="A38450" s="17"/>
      <c r="H38450" s="18"/>
      <c r="K38450" s="18" t="s">
        <v>316</v>
      </c>
    </row>
    <row r="38451">
      <c r="A38451" s="17"/>
      <c r="H38451" s="18"/>
      <c r="K38451" s="18" t="s">
        <v>316</v>
      </c>
    </row>
    <row r="38452">
      <c r="A38452" s="17"/>
      <c r="H38452" s="18"/>
      <c r="K38452" s="18" t="s">
        <v>316</v>
      </c>
    </row>
    <row r="38453">
      <c r="A38453" s="17"/>
      <c r="H38453" s="18"/>
      <c r="K38453" s="18" t="s">
        <v>316</v>
      </c>
    </row>
    <row r="38454">
      <c r="A38454" s="17"/>
      <c r="H38454" s="18"/>
      <c r="K38454" s="18" t="s">
        <v>316</v>
      </c>
    </row>
    <row r="38455">
      <c r="A38455" s="17"/>
      <c r="H38455" s="18"/>
      <c r="K38455" s="18" t="s">
        <v>316</v>
      </c>
    </row>
    <row r="38456">
      <c r="A38456" s="17"/>
      <c r="H38456" s="18"/>
      <c r="K38456" s="18" t="s">
        <v>316</v>
      </c>
    </row>
    <row r="38457">
      <c r="A38457" s="17"/>
      <c r="H38457" s="18"/>
      <c r="K38457" s="18" t="s">
        <v>316</v>
      </c>
    </row>
    <row r="38458">
      <c r="A38458" s="17"/>
      <c r="H38458" s="18"/>
      <c r="K38458" s="18" t="s">
        <v>316</v>
      </c>
    </row>
    <row r="38459">
      <c r="A38459" s="17"/>
      <c r="H38459" s="18"/>
      <c r="K38459" s="18" t="s">
        <v>316</v>
      </c>
    </row>
    <row r="38460">
      <c r="A38460" s="17"/>
      <c r="H38460" s="18"/>
      <c r="K38460" s="18" t="s">
        <v>316</v>
      </c>
    </row>
    <row r="38461">
      <c r="A38461" s="17"/>
      <c r="H38461" s="18"/>
      <c r="K38461" s="18" t="s">
        <v>316</v>
      </c>
    </row>
    <row r="38462">
      <c r="A38462" s="17"/>
      <c r="H38462" s="18"/>
      <c r="K38462" s="18" t="s">
        <v>316</v>
      </c>
    </row>
    <row r="38463">
      <c r="A38463" s="17"/>
      <c r="H38463" s="18"/>
      <c r="K38463" s="18" t="s">
        <v>316</v>
      </c>
    </row>
    <row r="38464">
      <c r="A38464" s="17"/>
      <c r="H38464" s="18"/>
      <c r="K38464" s="18" t="s">
        <v>316</v>
      </c>
    </row>
    <row r="38465">
      <c r="A38465" s="17"/>
      <c r="H38465" s="18"/>
      <c r="K38465" s="18" t="s">
        <v>316</v>
      </c>
    </row>
    <row r="38466">
      <c r="A38466" s="17"/>
      <c r="H38466" s="18"/>
      <c r="K38466" s="18" t="s">
        <v>316</v>
      </c>
    </row>
    <row r="38467">
      <c r="A38467" s="17"/>
      <c r="H38467" s="18"/>
      <c r="K38467" s="18" t="s">
        <v>316</v>
      </c>
    </row>
    <row r="38468">
      <c r="A38468" s="17"/>
      <c r="H38468" s="18"/>
      <c r="K38468" s="18" t="s">
        <v>316</v>
      </c>
    </row>
    <row r="38469">
      <c r="A38469" s="17"/>
      <c r="H38469" s="18"/>
      <c r="K38469" s="18" t="s">
        <v>316</v>
      </c>
    </row>
    <row r="38470">
      <c r="A38470" s="17"/>
      <c r="H38470" s="18"/>
      <c r="K38470" s="18" t="s">
        <v>316</v>
      </c>
    </row>
    <row r="38471">
      <c r="A38471" s="17"/>
      <c r="H38471" s="18"/>
      <c r="K38471" s="18" t="s">
        <v>316</v>
      </c>
    </row>
    <row r="38472">
      <c r="A38472" s="17"/>
      <c r="H38472" s="18"/>
      <c r="K38472" s="18" t="s">
        <v>316</v>
      </c>
    </row>
    <row r="38473">
      <c r="A38473" s="17"/>
      <c r="H38473" s="18"/>
      <c r="K38473" s="18" t="s">
        <v>316</v>
      </c>
    </row>
    <row r="38474">
      <c r="A38474" s="17"/>
      <c r="H38474" s="18"/>
      <c r="K38474" s="18" t="s">
        <v>316</v>
      </c>
    </row>
    <row r="38475">
      <c r="A38475" s="17"/>
      <c r="H38475" s="18"/>
      <c r="K38475" s="18" t="s">
        <v>316</v>
      </c>
    </row>
    <row r="38476">
      <c r="A38476" s="17"/>
      <c r="H38476" s="18"/>
      <c r="K38476" s="18" t="s">
        <v>316</v>
      </c>
    </row>
    <row r="38477">
      <c r="A38477" s="17"/>
      <c r="H38477" s="18"/>
      <c r="K38477" s="18" t="s">
        <v>316</v>
      </c>
    </row>
    <row r="38478">
      <c r="A38478" s="17"/>
      <c r="H38478" s="18"/>
      <c r="K38478" s="18" t="s">
        <v>316</v>
      </c>
    </row>
    <row r="38479">
      <c r="A38479" s="17"/>
      <c r="H38479" s="18"/>
      <c r="K38479" s="18" t="s">
        <v>316</v>
      </c>
    </row>
    <row r="38480">
      <c r="A38480" s="17"/>
      <c r="H38480" s="18"/>
      <c r="K38480" s="18" t="s">
        <v>316</v>
      </c>
    </row>
    <row r="38481">
      <c r="A38481" s="17"/>
      <c r="H38481" s="18"/>
      <c r="K38481" s="18" t="s">
        <v>316</v>
      </c>
    </row>
    <row r="38482">
      <c r="A38482" s="17"/>
      <c r="H38482" s="18"/>
      <c r="K38482" s="18" t="s">
        <v>316</v>
      </c>
    </row>
    <row r="38483">
      <c r="A38483" s="17"/>
      <c r="H38483" s="18"/>
      <c r="K38483" s="18" t="s">
        <v>316</v>
      </c>
    </row>
    <row r="38484">
      <c r="A38484" s="17"/>
      <c r="H38484" s="18"/>
      <c r="K38484" s="18" t="s">
        <v>316</v>
      </c>
    </row>
    <row r="38485">
      <c r="A38485" s="17"/>
      <c r="H38485" s="18"/>
      <c r="K38485" s="18" t="s">
        <v>316</v>
      </c>
    </row>
    <row r="38486">
      <c r="A38486" s="17"/>
      <c r="H38486" s="18"/>
      <c r="K38486" s="18" t="s">
        <v>316</v>
      </c>
    </row>
    <row r="38487">
      <c r="A38487" s="17"/>
      <c r="H38487" s="18"/>
      <c r="K38487" s="18" t="s">
        <v>316</v>
      </c>
    </row>
    <row r="38488">
      <c r="A38488" s="17"/>
      <c r="H38488" s="18"/>
      <c r="K38488" s="18" t="s">
        <v>316</v>
      </c>
    </row>
    <row r="38489">
      <c r="A38489" s="17"/>
      <c r="H38489" s="18"/>
      <c r="K38489" s="18" t="s">
        <v>316</v>
      </c>
    </row>
    <row r="38490">
      <c r="A38490" s="17"/>
      <c r="H38490" s="18"/>
      <c r="K38490" s="18" t="s">
        <v>316</v>
      </c>
    </row>
    <row r="38491">
      <c r="A38491" s="17"/>
      <c r="H38491" s="18"/>
      <c r="K38491" s="18" t="s">
        <v>316</v>
      </c>
    </row>
    <row r="38492">
      <c r="A38492" s="17"/>
      <c r="H38492" s="18"/>
      <c r="K38492" s="18" t="s">
        <v>316</v>
      </c>
    </row>
    <row r="38493">
      <c r="A38493" s="17"/>
      <c r="H38493" s="18"/>
      <c r="K38493" s="18" t="s">
        <v>316</v>
      </c>
    </row>
    <row r="38494">
      <c r="A38494" s="17"/>
      <c r="H38494" s="18"/>
      <c r="K38494" s="18" t="s">
        <v>316</v>
      </c>
    </row>
    <row r="38495">
      <c r="A38495" s="17"/>
      <c r="H38495" s="18"/>
      <c r="K38495" s="18" t="s">
        <v>316</v>
      </c>
    </row>
    <row r="38496">
      <c r="A38496" s="17"/>
      <c r="H38496" s="18"/>
      <c r="K38496" s="18" t="s">
        <v>316</v>
      </c>
    </row>
    <row r="38497">
      <c r="A38497" s="17"/>
      <c r="H38497" s="18"/>
      <c r="K38497" s="18" t="s">
        <v>316</v>
      </c>
    </row>
    <row r="38498">
      <c r="A38498" s="17"/>
      <c r="H38498" s="18"/>
      <c r="K38498" s="18" t="s">
        <v>316</v>
      </c>
    </row>
    <row r="38499">
      <c r="A38499" s="17"/>
      <c r="H38499" s="18"/>
      <c r="K38499" s="18" t="s">
        <v>316</v>
      </c>
    </row>
    <row r="38500">
      <c r="A38500" s="17"/>
      <c r="H38500" s="18"/>
      <c r="K38500" s="18" t="s">
        <v>316</v>
      </c>
    </row>
    <row r="38501">
      <c r="A38501" s="17"/>
      <c r="H38501" s="18"/>
      <c r="K38501" s="18" t="s">
        <v>316</v>
      </c>
    </row>
    <row r="38502">
      <c r="A38502" s="17"/>
      <c r="H38502" s="18"/>
      <c r="K38502" s="18" t="s">
        <v>316</v>
      </c>
    </row>
    <row r="38503">
      <c r="A38503" s="17"/>
      <c r="H38503" s="18"/>
      <c r="K38503" s="18" t="s">
        <v>316</v>
      </c>
    </row>
    <row r="38504">
      <c r="A38504" s="17"/>
      <c r="H38504" s="18"/>
      <c r="K38504" s="18" t="s">
        <v>316</v>
      </c>
    </row>
    <row r="38505">
      <c r="A38505" s="17"/>
      <c r="H38505" s="18"/>
      <c r="K38505" s="18" t="s">
        <v>316</v>
      </c>
    </row>
    <row r="38506">
      <c r="A38506" s="17"/>
      <c r="H38506" s="18"/>
      <c r="K38506" s="18" t="s">
        <v>316</v>
      </c>
    </row>
    <row r="38507">
      <c r="A38507" s="17"/>
      <c r="H38507" s="18"/>
      <c r="K38507" s="18" t="s">
        <v>316</v>
      </c>
    </row>
    <row r="38508">
      <c r="A38508" s="17"/>
      <c r="H38508" s="18"/>
      <c r="K38508" s="18" t="s">
        <v>316</v>
      </c>
    </row>
    <row r="38509">
      <c r="A38509" s="17"/>
      <c r="H38509" s="18"/>
      <c r="K38509" s="18" t="s">
        <v>316</v>
      </c>
    </row>
    <row r="38510">
      <c r="A38510" s="17"/>
      <c r="H38510" s="18"/>
      <c r="K38510" s="18" t="s">
        <v>316</v>
      </c>
    </row>
    <row r="38511">
      <c r="A38511" s="17"/>
      <c r="H38511" s="18"/>
      <c r="K38511" s="18" t="s">
        <v>316</v>
      </c>
    </row>
    <row r="38512">
      <c r="A38512" s="17"/>
      <c r="H38512" s="18"/>
      <c r="K38512" s="18" t="s">
        <v>316</v>
      </c>
    </row>
    <row r="38513">
      <c r="A38513" s="17"/>
      <c r="H38513" s="18"/>
      <c r="K38513" s="18" t="s">
        <v>316</v>
      </c>
    </row>
    <row r="38514">
      <c r="A38514" s="17"/>
      <c r="H38514" s="18"/>
      <c r="K38514" s="18" t="s">
        <v>316</v>
      </c>
    </row>
    <row r="38515">
      <c r="A38515" s="17"/>
      <c r="H38515" s="18"/>
      <c r="K38515" s="18" t="s">
        <v>316</v>
      </c>
    </row>
    <row r="38516">
      <c r="A38516" s="17"/>
      <c r="H38516" s="18"/>
      <c r="K38516" s="18" t="s">
        <v>316</v>
      </c>
    </row>
    <row r="38517">
      <c r="A38517" s="17"/>
      <c r="H38517" s="18"/>
      <c r="K38517" s="18" t="s">
        <v>316</v>
      </c>
    </row>
    <row r="38518">
      <c r="A38518" s="17"/>
      <c r="H38518" s="18"/>
      <c r="K38518" s="18" t="s">
        <v>316</v>
      </c>
    </row>
    <row r="38519">
      <c r="A38519" s="17"/>
      <c r="H38519" s="18"/>
      <c r="K38519" s="18" t="s">
        <v>316</v>
      </c>
    </row>
    <row r="38520">
      <c r="A38520" s="17"/>
      <c r="H38520" s="18"/>
      <c r="K38520" s="18" t="s">
        <v>316</v>
      </c>
    </row>
    <row r="38521">
      <c r="A38521" s="17"/>
      <c r="H38521" s="18"/>
      <c r="K38521" s="18" t="s">
        <v>316</v>
      </c>
    </row>
    <row r="38522">
      <c r="A38522" s="17"/>
      <c r="H38522" s="18"/>
      <c r="K38522" s="18" t="s">
        <v>316</v>
      </c>
    </row>
    <row r="38523">
      <c r="A38523" s="17"/>
      <c r="H38523" s="18"/>
      <c r="K38523" s="18" t="s">
        <v>316</v>
      </c>
    </row>
    <row r="38524">
      <c r="A38524" s="17"/>
      <c r="H38524" s="18"/>
      <c r="K38524" s="18" t="s">
        <v>316</v>
      </c>
    </row>
    <row r="38525">
      <c r="A38525" s="17"/>
      <c r="H38525" s="18"/>
      <c r="K38525" s="18" t="s">
        <v>316</v>
      </c>
    </row>
    <row r="38526">
      <c r="A38526" s="17"/>
      <c r="H38526" s="18"/>
      <c r="K38526" s="18" t="s">
        <v>316</v>
      </c>
    </row>
    <row r="38527">
      <c r="A38527" s="17"/>
      <c r="H38527" s="18"/>
      <c r="K38527" s="18" t="s">
        <v>316</v>
      </c>
    </row>
    <row r="38528">
      <c r="A38528" s="17"/>
      <c r="H38528" s="18"/>
      <c r="K38528" s="18" t="s">
        <v>316</v>
      </c>
    </row>
    <row r="38529">
      <c r="A38529" s="17"/>
      <c r="H38529" s="18"/>
      <c r="K38529" s="18" t="s">
        <v>316</v>
      </c>
    </row>
    <row r="38530">
      <c r="A38530" s="17"/>
      <c r="H38530" s="18"/>
      <c r="K38530" s="18" t="s">
        <v>316</v>
      </c>
    </row>
    <row r="38531">
      <c r="A38531" s="17"/>
      <c r="H38531" s="18"/>
      <c r="K38531" s="18" t="s">
        <v>316</v>
      </c>
    </row>
    <row r="38532">
      <c r="A38532" s="17"/>
      <c r="H38532" s="18"/>
      <c r="K38532" s="18" t="s">
        <v>316</v>
      </c>
    </row>
    <row r="38533">
      <c r="A38533" s="17"/>
      <c r="H38533" s="18"/>
      <c r="K38533" s="18" t="s">
        <v>316</v>
      </c>
    </row>
    <row r="38534">
      <c r="A38534" s="17"/>
      <c r="H38534" s="18"/>
      <c r="K38534" s="18" t="s">
        <v>316</v>
      </c>
    </row>
    <row r="38535">
      <c r="A38535" s="17"/>
      <c r="H38535" s="18"/>
      <c r="K38535" s="18" t="s">
        <v>316</v>
      </c>
    </row>
    <row r="38536">
      <c r="A38536" s="17"/>
      <c r="H38536" s="18"/>
      <c r="K38536" s="18" t="s">
        <v>316</v>
      </c>
    </row>
    <row r="38537">
      <c r="A38537" s="17"/>
      <c r="H38537" s="18"/>
      <c r="K38537" s="18" t="s">
        <v>316</v>
      </c>
    </row>
    <row r="38538">
      <c r="A38538" s="17"/>
      <c r="H38538" s="18"/>
      <c r="K38538" s="18" t="s">
        <v>316</v>
      </c>
    </row>
    <row r="38539">
      <c r="A38539" s="17"/>
      <c r="H38539" s="18"/>
      <c r="K38539" s="18" t="s">
        <v>316</v>
      </c>
    </row>
    <row r="38540">
      <c r="A38540" s="17"/>
      <c r="H38540" s="18"/>
      <c r="K38540" s="18" t="s">
        <v>316</v>
      </c>
    </row>
    <row r="38541">
      <c r="A38541" s="17"/>
      <c r="H38541" s="18"/>
      <c r="K38541" s="18" t="s">
        <v>316</v>
      </c>
    </row>
    <row r="38542">
      <c r="A38542" s="17"/>
      <c r="H38542" s="18"/>
      <c r="K38542" s="18" t="s">
        <v>316</v>
      </c>
    </row>
    <row r="38543">
      <c r="A38543" s="17"/>
      <c r="H38543" s="18"/>
      <c r="K38543" s="18" t="s">
        <v>316</v>
      </c>
    </row>
    <row r="38544">
      <c r="A38544" s="17"/>
      <c r="H38544" s="18"/>
      <c r="K38544" s="18" t="s">
        <v>316</v>
      </c>
    </row>
    <row r="38545">
      <c r="A38545" s="17"/>
      <c r="H38545" s="18"/>
      <c r="K38545" s="18" t="s">
        <v>316</v>
      </c>
    </row>
    <row r="38546">
      <c r="A38546" s="17"/>
      <c r="H38546" s="18"/>
      <c r="K38546" s="18" t="s">
        <v>316</v>
      </c>
    </row>
    <row r="38547">
      <c r="A38547" s="17"/>
      <c r="H38547" s="18"/>
      <c r="K38547" s="18" t="s">
        <v>316</v>
      </c>
    </row>
    <row r="38548">
      <c r="A38548" s="17"/>
      <c r="H38548" s="18"/>
      <c r="K38548" s="18" t="s">
        <v>316</v>
      </c>
    </row>
    <row r="38549">
      <c r="A38549" s="17"/>
      <c r="H38549" s="18"/>
      <c r="K38549" s="18" t="s">
        <v>316</v>
      </c>
    </row>
    <row r="38550">
      <c r="A38550" s="17"/>
      <c r="H38550" s="18"/>
      <c r="K38550" s="18" t="s">
        <v>316</v>
      </c>
    </row>
    <row r="38551">
      <c r="A38551" s="17"/>
      <c r="H38551" s="18"/>
      <c r="K38551" s="18" t="s">
        <v>316</v>
      </c>
    </row>
    <row r="38552">
      <c r="A38552" s="17"/>
      <c r="H38552" s="18"/>
      <c r="K38552" s="18" t="s">
        <v>316</v>
      </c>
    </row>
    <row r="38553">
      <c r="A38553" s="17"/>
      <c r="H38553" s="18"/>
      <c r="K38553" s="18" t="s">
        <v>316</v>
      </c>
    </row>
    <row r="38554">
      <c r="A38554" s="17"/>
      <c r="H38554" s="18"/>
      <c r="K38554" s="18" t="s">
        <v>316</v>
      </c>
    </row>
    <row r="38555">
      <c r="A38555" s="17"/>
      <c r="H38555" s="18"/>
      <c r="K38555" s="18" t="s">
        <v>316</v>
      </c>
    </row>
    <row r="38556">
      <c r="A38556" s="17"/>
      <c r="H38556" s="18"/>
      <c r="K38556" s="18" t="s">
        <v>316</v>
      </c>
    </row>
    <row r="38557">
      <c r="A38557" s="17"/>
      <c r="H38557" s="18"/>
      <c r="K38557" s="18" t="s">
        <v>316</v>
      </c>
    </row>
    <row r="38558">
      <c r="A38558" s="17"/>
      <c r="H38558" s="18"/>
      <c r="K38558" s="18" t="s">
        <v>316</v>
      </c>
    </row>
    <row r="38559">
      <c r="A38559" s="17"/>
      <c r="H38559" s="18"/>
      <c r="K38559" s="18" t="s">
        <v>316</v>
      </c>
    </row>
    <row r="38560">
      <c r="A38560" s="17"/>
      <c r="H38560" s="18"/>
      <c r="K38560" s="18" t="s">
        <v>316</v>
      </c>
    </row>
    <row r="38561">
      <c r="A38561" s="17"/>
      <c r="H38561" s="18"/>
      <c r="K38561" s="18" t="s">
        <v>316</v>
      </c>
    </row>
    <row r="38562">
      <c r="A38562" s="17"/>
      <c r="H38562" s="18"/>
      <c r="K38562" s="18" t="s">
        <v>316</v>
      </c>
    </row>
    <row r="38563">
      <c r="A38563" s="17"/>
      <c r="H38563" s="18"/>
      <c r="K38563" s="18" t="s">
        <v>316</v>
      </c>
    </row>
    <row r="38564">
      <c r="A38564" s="17"/>
      <c r="H38564" s="18"/>
      <c r="K38564" s="18" t="s">
        <v>316</v>
      </c>
    </row>
    <row r="38565">
      <c r="A38565" s="17"/>
      <c r="H38565" s="18"/>
      <c r="K38565" s="18" t="s">
        <v>316</v>
      </c>
    </row>
    <row r="38566">
      <c r="A38566" s="17"/>
      <c r="H38566" s="18"/>
      <c r="K38566" s="18" t="s">
        <v>316</v>
      </c>
    </row>
    <row r="38567">
      <c r="A38567" s="17"/>
      <c r="H38567" s="18"/>
      <c r="K38567" s="18" t="s">
        <v>316</v>
      </c>
    </row>
    <row r="38568">
      <c r="A38568" s="17"/>
      <c r="H38568" s="18"/>
      <c r="K38568" s="18" t="s">
        <v>316</v>
      </c>
    </row>
    <row r="38569">
      <c r="A38569" s="17"/>
      <c r="H38569" s="18"/>
      <c r="K38569" s="18" t="s">
        <v>316</v>
      </c>
    </row>
    <row r="38570">
      <c r="A38570" s="17"/>
      <c r="H38570" s="18"/>
      <c r="K38570" s="18" t="s">
        <v>316</v>
      </c>
    </row>
    <row r="38571">
      <c r="A38571" s="17"/>
      <c r="H38571" s="18"/>
      <c r="K38571" s="18" t="s">
        <v>316</v>
      </c>
    </row>
    <row r="38572">
      <c r="A38572" s="17"/>
      <c r="H38572" s="18"/>
      <c r="K38572" s="18" t="s">
        <v>316</v>
      </c>
    </row>
    <row r="38573">
      <c r="A38573" s="17"/>
      <c r="H38573" s="18"/>
      <c r="K38573" s="18" t="s">
        <v>316</v>
      </c>
    </row>
    <row r="38574">
      <c r="A38574" s="17"/>
      <c r="H38574" s="18"/>
      <c r="K38574" s="18" t="s">
        <v>316</v>
      </c>
    </row>
    <row r="38575">
      <c r="A38575" s="17"/>
      <c r="H38575" s="18"/>
      <c r="K38575" s="18" t="s">
        <v>316</v>
      </c>
    </row>
    <row r="38576">
      <c r="A38576" s="17"/>
      <c r="H38576" s="18"/>
      <c r="K38576" s="18" t="s">
        <v>316</v>
      </c>
    </row>
    <row r="38577">
      <c r="A38577" s="17"/>
      <c r="H38577" s="18"/>
      <c r="K38577" s="18" t="s">
        <v>316</v>
      </c>
    </row>
    <row r="38578">
      <c r="A38578" s="17"/>
      <c r="H38578" s="18"/>
      <c r="K38578" s="18" t="s">
        <v>316</v>
      </c>
    </row>
    <row r="38579">
      <c r="A38579" s="17"/>
      <c r="H38579" s="18"/>
      <c r="K38579" s="18" t="s">
        <v>316</v>
      </c>
    </row>
    <row r="38580">
      <c r="A38580" s="17"/>
      <c r="H38580" s="18"/>
      <c r="K38580" s="18" t="s">
        <v>316</v>
      </c>
    </row>
    <row r="38581">
      <c r="A38581" s="17"/>
      <c r="H38581" s="18"/>
      <c r="K38581" s="18" t="s">
        <v>316</v>
      </c>
    </row>
    <row r="38582">
      <c r="A38582" s="17"/>
      <c r="H38582" s="18"/>
      <c r="K38582" s="18" t="s">
        <v>316</v>
      </c>
    </row>
    <row r="38583">
      <c r="A38583" s="17"/>
      <c r="H38583" s="18"/>
      <c r="K38583" s="18" t="s">
        <v>316</v>
      </c>
    </row>
    <row r="38584">
      <c r="A38584" s="17"/>
      <c r="H38584" s="18"/>
      <c r="K38584" s="18" t="s">
        <v>316</v>
      </c>
    </row>
    <row r="38585">
      <c r="A38585" s="17"/>
      <c r="H38585" s="18"/>
      <c r="K38585" s="18" t="s">
        <v>316</v>
      </c>
    </row>
    <row r="38586">
      <c r="A38586" s="17"/>
      <c r="H38586" s="18"/>
      <c r="K38586" s="18" t="s">
        <v>316</v>
      </c>
    </row>
    <row r="38587">
      <c r="A38587" s="17"/>
      <c r="H38587" s="18"/>
      <c r="K38587" s="18" t="s">
        <v>316</v>
      </c>
    </row>
    <row r="38588">
      <c r="A38588" s="17"/>
      <c r="H38588" s="18"/>
      <c r="K38588" s="18" t="s">
        <v>316</v>
      </c>
    </row>
    <row r="38589">
      <c r="A38589" s="17"/>
      <c r="H38589" s="18"/>
      <c r="K38589" s="18" t="s">
        <v>316</v>
      </c>
    </row>
    <row r="38590">
      <c r="A38590" s="17"/>
      <c r="H38590" s="18"/>
      <c r="K38590" s="18" t="s">
        <v>316</v>
      </c>
    </row>
    <row r="38591">
      <c r="A38591" s="17"/>
      <c r="H38591" s="18"/>
      <c r="K38591" s="18" t="s">
        <v>316</v>
      </c>
    </row>
    <row r="38592">
      <c r="A38592" s="17"/>
      <c r="H38592" s="18"/>
      <c r="K38592" s="18" t="s">
        <v>316</v>
      </c>
    </row>
    <row r="38593">
      <c r="A38593" s="17"/>
      <c r="H38593" s="18"/>
      <c r="K38593" s="18" t="s">
        <v>316</v>
      </c>
    </row>
    <row r="38594">
      <c r="A38594" s="17"/>
      <c r="H38594" s="18"/>
      <c r="K38594" s="18" t="s">
        <v>316</v>
      </c>
    </row>
    <row r="38595">
      <c r="A38595" s="17"/>
      <c r="H38595" s="18"/>
      <c r="K38595" s="18" t="s">
        <v>316</v>
      </c>
    </row>
    <row r="38596">
      <c r="A38596" s="17"/>
      <c r="H38596" s="18"/>
      <c r="K38596" s="18" t="s">
        <v>316</v>
      </c>
    </row>
    <row r="38597">
      <c r="A38597" s="17"/>
      <c r="H38597" s="18"/>
      <c r="K38597" s="18" t="s">
        <v>316</v>
      </c>
    </row>
    <row r="38598">
      <c r="A38598" s="17"/>
      <c r="H38598" s="18"/>
      <c r="K38598" s="18" t="s">
        <v>316</v>
      </c>
    </row>
    <row r="38599">
      <c r="A38599" s="17"/>
      <c r="H38599" s="18"/>
      <c r="K38599" s="18" t="s">
        <v>316</v>
      </c>
    </row>
    <row r="38600">
      <c r="A38600" s="17"/>
      <c r="H38600" s="18"/>
      <c r="K38600" s="18" t="s">
        <v>316</v>
      </c>
    </row>
    <row r="38601">
      <c r="A38601" s="17"/>
      <c r="H38601" s="18"/>
      <c r="K38601" s="18" t="s">
        <v>316</v>
      </c>
    </row>
    <row r="38602">
      <c r="A38602" s="17"/>
      <c r="H38602" s="18"/>
      <c r="K38602" s="18" t="s">
        <v>316</v>
      </c>
    </row>
    <row r="38603">
      <c r="A38603" s="17"/>
      <c r="H38603" s="18"/>
      <c r="K38603" s="18" t="s">
        <v>316</v>
      </c>
    </row>
    <row r="38604">
      <c r="A38604" s="17"/>
      <c r="H38604" s="18"/>
      <c r="K38604" s="18" t="s">
        <v>316</v>
      </c>
    </row>
    <row r="38605">
      <c r="A38605" s="17"/>
      <c r="H38605" s="18"/>
      <c r="K38605" s="18" t="s">
        <v>316</v>
      </c>
    </row>
    <row r="38606">
      <c r="A38606" s="17"/>
      <c r="H38606" s="18"/>
      <c r="K38606" s="18" t="s">
        <v>316</v>
      </c>
    </row>
    <row r="38607">
      <c r="A38607" s="17"/>
      <c r="H38607" s="18"/>
      <c r="K38607" s="18" t="s">
        <v>316</v>
      </c>
    </row>
    <row r="38608">
      <c r="A38608" s="17"/>
      <c r="H38608" s="18"/>
      <c r="K38608" s="18" t="s">
        <v>316</v>
      </c>
    </row>
    <row r="38609">
      <c r="A38609" s="17"/>
      <c r="H38609" s="18"/>
      <c r="K38609" s="18" t="s">
        <v>316</v>
      </c>
    </row>
    <row r="38610">
      <c r="A38610" s="17"/>
      <c r="H38610" s="18"/>
      <c r="K38610" s="18" t="s">
        <v>316</v>
      </c>
    </row>
    <row r="38611">
      <c r="A38611" s="17"/>
      <c r="H38611" s="18"/>
      <c r="K38611" s="18" t="s">
        <v>316</v>
      </c>
    </row>
    <row r="38612">
      <c r="A38612" s="17"/>
      <c r="H38612" s="18"/>
      <c r="K38612" s="18" t="s">
        <v>316</v>
      </c>
    </row>
    <row r="38613">
      <c r="A38613" s="17"/>
      <c r="H38613" s="18"/>
      <c r="K38613" s="18" t="s">
        <v>316</v>
      </c>
    </row>
    <row r="38614">
      <c r="A38614" s="17"/>
      <c r="H38614" s="18"/>
      <c r="K38614" s="18" t="s">
        <v>316</v>
      </c>
    </row>
    <row r="38615">
      <c r="A38615" s="17"/>
      <c r="H38615" s="18"/>
      <c r="K38615" s="18" t="s">
        <v>316</v>
      </c>
    </row>
    <row r="38616">
      <c r="A38616" s="17"/>
      <c r="H38616" s="18"/>
      <c r="K38616" s="18" t="s">
        <v>316</v>
      </c>
    </row>
    <row r="38617">
      <c r="A38617" s="17"/>
      <c r="H38617" s="18"/>
      <c r="K38617" s="18" t="s">
        <v>316</v>
      </c>
    </row>
    <row r="38618">
      <c r="A38618" s="17"/>
      <c r="H38618" s="18"/>
      <c r="K38618" s="18" t="s">
        <v>316</v>
      </c>
    </row>
    <row r="38619">
      <c r="A38619" s="17"/>
      <c r="H38619" s="18"/>
      <c r="K38619" s="18" t="s">
        <v>316</v>
      </c>
    </row>
    <row r="38620">
      <c r="A38620" s="17"/>
      <c r="H38620" s="18"/>
      <c r="K38620" s="18" t="s">
        <v>316</v>
      </c>
    </row>
    <row r="38621">
      <c r="A38621" s="17"/>
      <c r="H38621" s="18"/>
      <c r="K38621" s="18" t="s">
        <v>316</v>
      </c>
    </row>
    <row r="38622">
      <c r="A38622" s="17"/>
      <c r="H38622" s="18"/>
      <c r="K38622" s="18" t="s">
        <v>316</v>
      </c>
    </row>
    <row r="38623">
      <c r="A38623" s="17"/>
      <c r="H38623" s="18"/>
      <c r="K38623" s="18" t="s">
        <v>316</v>
      </c>
    </row>
    <row r="38624">
      <c r="A38624" s="17"/>
      <c r="H38624" s="18"/>
      <c r="K38624" s="18" t="s">
        <v>316</v>
      </c>
    </row>
    <row r="38625">
      <c r="A38625" s="17"/>
      <c r="H38625" s="18"/>
      <c r="K38625" s="18" t="s">
        <v>316</v>
      </c>
    </row>
    <row r="38626">
      <c r="A38626" s="17"/>
      <c r="H38626" s="18"/>
      <c r="K38626" s="18" t="s">
        <v>316</v>
      </c>
    </row>
    <row r="38627">
      <c r="A38627" s="17"/>
      <c r="H38627" s="18"/>
      <c r="K38627" s="18" t="s">
        <v>316</v>
      </c>
    </row>
    <row r="38628">
      <c r="A38628" s="17"/>
      <c r="H38628" s="18"/>
      <c r="K38628" s="18" t="s">
        <v>316</v>
      </c>
    </row>
    <row r="38629">
      <c r="A38629" s="17"/>
      <c r="H38629" s="18"/>
      <c r="K38629" s="18" t="s">
        <v>316</v>
      </c>
    </row>
    <row r="38630">
      <c r="A38630" s="17"/>
      <c r="H38630" s="18"/>
      <c r="K38630" s="18" t="s">
        <v>316</v>
      </c>
    </row>
    <row r="38631">
      <c r="A38631" s="17"/>
      <c r="H38631" s="18"/>
      <c r="K38631" s="18" t="s">
        <v>316</v>
      </c>
    </row>
    <row r="38632">
      <c r="A38632" s="17"/>
      <c r="H38632" s="18"/>
      <c r="K38632" s="18" t="s">
        <v>316</v>
      </c>
    </row>
    <row r="38633">
      <c r="A38633" s="17"/>
      <c r="H38633" s="18"/>
      <c r="K38633" s="18" t="s">
        <v>316</v>
      </c>
    </row>
    <row r="38634">
      <c r="A38634" s="17"/>
      <c r="H38634" s="18"/>
      <c r="K38634" s="18" t="s">
        <v>316</v>
      </c>
    </row>
    <row r="38635">
      <c r="A38635" s="17"/>
      <c r="H38635" s="18"/>
      <c r="K38635" s="18" t="s">
        <v>316</v>
      </c>
    </row>
    <row r="38636">
      <c r="A38636" s="17"/>
      <c r="H38636" s="18"/>
      <c r="K38636" s="18" t="s">
        <v>316</v>
      </c>
    </row>
    <row r="38637">
      <c r="A38637" s="17"/>
      <c r="H38637" s="18"/>
      <c r="K38637" s="18" t="s">
        <v>316</v>
      </c>
    </row>
    <row r="38638">
      <c r="A38638" s="17"/>
      <c r="H38638" s="18"/>
      <c r="K38638" s="18" t="s">
        <v>316</v>
      </c>
    </row>
    <row r="38639">
      <c r="A38639" s="17"/>
      <c r="H38639" s="18"/>
      <c r="K38639" s="18" t="s">
        <v>316</v>
      </c>
    </row>
    <row r="38640">
      <c r="A38640" s="17"/>
      <c r="H38640" s="18"/>
      <c r="K38640" s="18" t="s">
        <v>316</v>
      </c>
    </row>
    <row r="38641">
      <c r="A38641" s="17"/>
      <c r="H38641" s="18"/>
      <c r="K38641" s="18" t="s">
        <v>316</v>
      </c>
    </row>
    <row r="38642">
      <c r="A38642" s="17"/>
      <c r="H38642" s="18"/>
      <c r="K38642" s="18" t="s">
        <v>316</v>
      </c>
    </row>
    <row r="38643">
      <c r="A38643" s="17"/>
      <c r="H38643" s="18"/>
      <c r="K38643" s="18" t="s">
        <v>316</v>
      </c>
    </row>
    <row r="38644">
      <c r="A38644" s="17"/>
      <c r="H38644" s="18"/>
      <c r="K38644" s="18" t="s">
        <v>316</v>
      </c>
    </row>
    <row r="38645">
      <c r="A38645" s="17"/>
      <c r="H38645" s="18"/>
      <c r="K38645" s="18" t="s">
        <v>316</v>
      </c>
    </row>
    <row r="38646">
      <c r="A38646" s="17"/>
      <c r="H38646" s="18"/>
      <c r="K38646" s="18" t="s">
        <v>316</v>
      </c>
    </row>
    <row r="38647">
      <c r="A38647" s="17"/>
      <c r="H38647" s="18"/>
      <c r="K38647" s="18" t="s">
        <v>316</v>
      </c>
    </row>
    <row r="38648">
      <c r="A38648" s="17"/>
      <c r="H38648" s="18"/>
      <c r="K38648" s="18" t="s">
        <v>316</v>
      </c>
    </row>
    <row r="38649">
      <c r="A38649" s="17"/>
      <c r="H38649" s="18"/>
      <c r="K38649" s="18" t="s">
        <v>316</v>
      </c>
    </row>
    <row r="38650">
      <c r="A38650" s="17"/>
      <c r="H38650" s="18"/>
      <c r="K38650" s="18" t="s">
        <v>316</v>
      </c>
    </row>
    <row r="38651">
      <c r="A38651" s="17"/>
      <c r="H38651" s="18"/>
      <c r="K38651" s="18" t="s">
        <v>316</v>
      </c>
    </row>
    <row r="38652">
      <c r="A38652" s="17"/>
      <c r="H38652" s="18"/>
      <c r="K38652" s="18" t="s">
        <v>316</v>
      </c>
    </row>
    <row r="38653">
      <c r="A38653" s="17"/>
      <c r="H38653" s="18"/>
      <c r="K38653" s="18" t="s">
        <v>316</v>
      </c>
    </row>
    <row r="38654">
      <c r="A38654" s="17"/>
      <c r="H38654" s="18"/>
      <c r="K38654" s="18" t="s">
        <v>316</v>
      </c>
    </row>
    <row r="38655">
      <c r="A38655" s="17"/>
      <c r="H38655" s="18"/>
      <c r="K38655" s="18" t="s">
        <v>316</v>
      </c>
    </row>
    <row r="38656">
      <c r="A38656" s="17"/>
      <c r="H38656" s="18"/>
      <c r="K38656" s="18" t="s">
        <v>316</v>
      </c>
    </row>
    <row r="38657">
      <c r="A38657" s="17"/>
      <c r="H38657" s="18"/>
      <c r="K38657" s="18" t="s">
        <v>316</v>
      </c>
    </row>
    <row r="38658">
      <c r="A38658" s="17"/>
      <c r="H38658" s="18"/>
      <c r="K38658" s="18" t="s">
        <v>316</v>
      </c>
    </row>
    <row r="38659">
      <c r="A38659" s="17"/>
      <c r="H38659" s="18"/>
      <c r="K38659" s="18" t="s">
        <v>316</v>
      </c>
    </row>
    <row r="38660">
      <c r="A38660" s="17"/>
      <c r="H38660" s="18"/>
      <c r="K38660" s="18" t="s">
        <v>316</v>
      </c>
    </row>
    <row r="38661">
      <c r="A38661" s="17"/>
      <c r="H38661" s="18"/>
      <c r="K38661" s="18" t="s">
        <v>316</v>
      </c>
    </row>
    <row r="38662">
      <c r="A38662" s="17"/>
      <c r="H38662" s="18"/>
      <c r="K38662" s="18" t="s">
        <v>316</v>
      </c>
    </row>
    <row r="38663">
      <c r="A38663" s="17"/>
      <c r="H38663" s="18"/>
      <c r="K38663" s="18" t="s">
        <v>316</v>
      </c>
    </row>
    <row r="38664">
      <c r="A38664" s="17"/>
      <c r="H38664" s="18"/>
      <c r="K38664" s="18" t="s">
        <v>316</v>
      </c>
    </row>
    <row r="38665">
      <c r="A38665" s="17"/>
      <c r="H38665" s="18"/>
      <c r="K38665" s="18" t="s">
        <v>316</v>
      </c>
    </row>
    <row r="38666">
      <c r="A38666" s="17"/>
      <c r="H38666" s="18"/>
      <c r="K38666" s="18" t="s">
        <v>316</v>
      </c>
    </row>
    <row r="38667">
      <c r="A38667" s="17"/>
      <c r="H38667" s="18"/>
      <c r="K38667" s="18" t="s">
        <v>316</v>
      </c>
    </row>
    <row r="38668">
      <c r="A38668" s="17"/>
      <c r="H38668" s="18"/>
      <c r="K38668" s="18" t="s">
        <v>316</v>
      </c>
    </row>
    <row r="38669">
      <c r="A38669" s="17"/>
      <c r="H38669" s="18"/>
      <c r="K38669" s="18" t="s">
        <v>316</v>
      </c>
    </row>
    <row r="38670">
      <c r="A38670" s="17"/>
      <c r="H38670" s="18"/>
      <c r="K38670" s="18" t="s">
        <v>316</v>
      </c>
    </row>
    <row r="38671">
      <c r="A38671" s="17"/>
      <c r="H38671" s="18"/>
      <c r="K38671" s="18" t="s">
        <v>316</v>
      </c>
    </row>
    <row r="38672">
      <c r="A38672" s="17"/>
      <c r="H38672" s="18"/>
      <c r="K38672" s="18" t="s">
        <v>316</v>
      </c>
    </row>
    <row r="38673">
      <c r="A38673" s="17"/>
      <c r="H38673" s="18"/>
      <c r="K38673" s="18" t="s">
        <v>316</v>
      </c>
    </row>
    <row r="38674">
      <c r="A38674" s="17"/>
      <c r="H38674" s="18"/>
      <c r="K38674" s="18" t="s">
        <v>316</v>
      </c>
    </row>
    <row r="38675">
      <c r="A38675" s="17"/>
      <c r="H38675" s="18"/>
      <c r="K38675" s="18" t="s">
        <v>316</v>
      </c>
    </row>
    <row r="38676">
      <c r="A38676" s="17"/>
      <c r="H38676" s="18"/>
      <c r="K38676" s="18" t="s">
        <v>316</v>
      </c>
    </row>
    <row r="38677">
      <c r="A38677" s="17"/>
      <c r="H38677" s="18"/>
      <c r="K38677" s="18" t="s">
        <v>316</v>
      </c>
    </row>
    <row r="38678">
      <c r="A38678" s="17"/>
      <c r="H38678" s="18"/>
      <c r="K38678" s="18" t="s">
        <v>316</v>
      </c>
    </row>
    <row r="38679">
      <c r="A38679" s="17"/>
      <c r="H38679" s="18"/>
      <c r="K38679" s="18" t="s">
        <v>316</v>
      </c>
    </row>
    <row r="38680">
      <c r="A38680" s="17"/>
      <c r="H38680" s="18"/>
      <c r="K38680" s="18" t="s">
        <v>316</v>
      </c>
    </row>
    <row r="38681">
      <c r="A38681" s="17"/>
      <c r="H38681" s="18"/>
      <c r="K38681" s="18" t="s">
        <v>316</v>
      </c>
    </row>
    <row r="38682">
      <c r="A38682" s="17"/>
      <c r="H38682" s="18"/>
      <c r="K38682" s="18" t="s">
        <v>316</v>
      </c>
    </row>
    <row r="38683">
      <c r="A38683" s="17"/>
      <c r="H38683" s="18"/>
      <c r="K38683" s="18" t="s">
        <v>316</v>
      </c>
    </row>
    <row r="38684">
      <c r="A38684" s="17"/>
      <c r="H38684" s="18"/>
      <c r="K38684" s="18" t="s">
        <v>316</v>
      </c>
    </row>
    <row r="38685">
      <c r="A38685" s="17"/>
      <c r="H38685" s="18"/>
      <c r="K38685" s="18" t="s">
        <v>316</v>
      </c>
    </row>
    <row r="38686">
      <c r="A38686" s="17"/>
      <c r="H38686" s="18"/>
      <c r="K38686" s="18" t="s">
        <v>316</v>
      </c>
    </row>
    <row r="38687">
      <c r="A38687" s="17"/>
      <c r="H38687" s="18"/>
      <c r="K38687" s="18" t="s">
        <v>316</v>
      </c>
    </row>
    <row r="38688">
      <c r="A38688" s="17"/>
      <c r="H38688" s="18"/>
      <c r="K38688" s="18" t="s">
        <v>316</v>
      </c>
    </row>
    <row r="38689">
      <c r="A38689" s="17"/>
      <c r="H38689" s="18"/>
      <c r="K38689" s="18" t="s">
        <v>316</v>
      </c>
    </row>
    <row r="38690">
      <c r="A38690" s="17"/>
      <c r="H38690" s="18"/>
      <c r="K38690" s="18" t="s">
        <v>316</v>
      </c>
    </row>
    <row r="38691">
      <c r="A38691" s="17"/>
      <c r="H38691" s="18"/>
      <c r="K38691" s="18" t="s">
        <v>316</v>
      </c>
    </row>
    <row r="38692">
      <c r="A38692" s="17"/>
      <c r="H38692" s="18"/>
      <c r="K38692" s="18" t="s">
        <v>316</v>
      </c>
    </row>
    <row r="38693">
      <c r="A38693" s="17"/>
      <c r="H38693" s="18"/>
      <c r="K38693" s="18" t="s">
        <v>316</v>
      </c>
    </row>
    <row r="38694">
      <c r="A38694" s="17"/>
      <c r="H38694" s="18"/>
      <c r="K38694" s="18" t="s">
        <v>316</v>
      </c>
    </row>
    <row r="38695">
      <c r="A38695" s="17"/>
      <c r="H38695" s="18"/>
      <c r="K38695" s="18" t="s">
        <v>316</v>
      </c>
    </row>
    <row r="38696">
      <c r="A38696" s="17"/>
      <c r="H38696" s="18"/>
      <c r="K38696" s="18" t="s">
        <v>316</v>
      </c>
    </row>
    <row r="38697">
      <c r="A38697" s="17"/>
      <c r="H38697" s="18"/>
      <c r="K38697" s="18" t="s">
        <v>316</v>
      </c>
    </row>
    <row r="38698">
      <c r="A38698" s="17"/>
      <c r="H38698" s="18"/>
      <c r="K38698" s="18" t="s">
        <v>316</v>
      </c>
    </row>
    <row r="38699">
      <c r="A38699" s="17"/>
      <c r="H38699" s="18"/>
      <c r="K38699" s="18" t="s">
        <v>316</v>
      </c>
    </row>
    <row r="38700">
      <c r="A38700" s="17"/>
      <c r="H38700" s="18"/>
      <c r="K38700" s="18" t="s">
        <v>316</v>
      </c>
    </row>
    <row r="38701">
      <c r="A38701" s="17"/>
      <c r="H38701" s="18"/>
      <c r="K38701" s="18" t="s">
        <v>316</v>
      </c>
    </row>
    <row r="38702">
      <c r="A38702" s="17"/>
      <c r="H38702" s="18"/>
      <c r="K38702" s="18" t="s">
        <v>316</v>
      </c>
    </row>
    <row r="38703">
      <c r="A38703" s="17"/>
      <c r="H38703" s="18"/>
      <c r="K38703" s="18" t="s">
        <v>316</v>
      </c>
    </row>
    <row r="38704">
      <c r="A38704" s="17"/>
      <c r="H38704" s="18"/>
      <c r="K38704" s="18" t="s">
        <v>316</v>
      </c>
    </row>
    <row r="38705">
      <c r="A38705" s="17"/>
      <c r="H38705" s="18"/>
      <c r="K38705" s="18" t="s">
        <v>316</v>
      </c>
    </row>
    <row r="38706">
      <c r="A38706" s="17"/>
      <c r="H38706" s="18"/>
      <c r="K38706" s="18" t="s">
        <v>316</v>
      </c>
    </row>
    <row r="38707">
      <c r="A38707" s="17"/>
      <c r="H38707" s="18"/>
      <c r="K38707" s="18" t="s">
        <v>316</v>
      </c>
    </row>
    <row r="38708">
      <c r="A38708" s="17"/>
      <c r="H38708" s="18"/>
      <c r="K38708" s="18" t="s">
        <v>316</v>
      </c>
    </row>
    <row r="38709">
      <c r="A38709" s="17"/>
      <c r="H38709" s="18"/>
      <c r="K38709" s="18" t="s">
        <v>316</v>
      </c>
    </row>
    <row r="38710">
      <c r="A38710" s="17"/>
      <c r="H38710" s="18"/>
      <c r="K38710" s="18" t="s">
        <v>316</v>
      </c>
    </row>
    <row r="38711">
      <c r="A38711" s="17"/>
      <c r="H38711" s="18"/>
      <c r="K38711" s="18" t="s">
        <v>316</v>
      </c>
    </row>
    <row r="38712">
      <c r="A38712" s="17"/>
      <c r="H38712" s="18"/>
      <c r="K38712" s="18" t="s">
        <v>316</v>
      </c>
    </row>
    <row r="38713">
      <c r="A38713" s="17"/>
      <c r="H38713" s="18"/>
      <c r="K38713" s="18" t="s">
        <v>316</v>
      </c>
    </row>
    <row r="38714">
      <c r="A38714" s="17"/>
      <c r="H38714" s="18"/>
      <c r="K38714" s="18" t="s">
        <v>316</v>
      </c>
    </row>
    <row r="38715">
      <c r="A38715" s="17"/>
      <c r="H38715" s="18"/>
      <c r="K38715" s="18" t="s">
        <v>316</v>
      </c>
    </row>
    <row r="38716">
      <c r="A38716" s="17"/>
      <c r="H38716" s="18"/>
      <c r="K38716" s="18" t="s">
        <v>316</v>
      </c>
    </row>
    <row r="38717">
      <c r="A38717" s="17"/>
      <c r="H38717" s="18"/>
      <c r="K38717" s="18" t="s">
        <v>316</v>
      </c>
    </row>
    <row r="38718">
      <c r="A38718" s="17"/>
      <c r="H38718" s="18"/>
      <c r="K38718" s="18" t="s">
        <v>316</v>
      </c>
    </row>
    <row r="38719">
      <c r="A38719" s="17"/>
      <c r="H38719" s="18"/>
      <c r="K38719" s="18" t="s">
        <v>316</v>
      </c>
    </row>
    <row r="38720">
      <c r="A38720" s="17"/>
      <c r="H38720" s="18"/>
      <c r="K38720" s="18" t="s">
        <v>316</v>
      </c>
    </row>
    <row r="38721">
      <c r="A38721" s="17"/>
      <c r="H38721" s="18"/>
      <c r="K38721" s="18" t="s">
        <v>316</v>
      </c>
    </row>
    <row r="38722">
      <c r="A38722" s="17"/>
      <c r="H38722" s="18"/>
      <c r="K38722" s="18" t="s">
        <v>316</v>
      </c>
    </row>
    <row r="38723">
      <c r="A38723" s="17"/>
      <c r="H38723" s="18"/>
      <c r="K38723" s="18" t="s">
        <v>316</v>
      </c>
    </row>
    <row r="38724">
      <c r="A38724" s="17"/>
      <c r="H38724" s="18"/>
      <c r="K38724" s="18" t="s">
        <v>316</v>
      </c>
    </row>
    <row r="38725">
      <c r="A38725" s="17"/>
      <c r="H38725" s="18"/>
      <c r="K38725" s="18" t="s">
        <v>316</v>
      </c>
    </row>
    <row r="38726">
      <c r="A38726" s="17"/>
      <c r="H38726" s="18"/>
      <c r="K38726" s="18" t="s">
        <v>316</v>
      </c>
    </row>
    <row r="38727">
      <c r="A38727" s="17"/>
      <c r="H38727" s="18"/>
      <c r="K38727" s="18" t="s">
        <v>316</v>
      </c>
    </row>
    <row r="38728">
      <c r="A38728" s="17"/>
      <c r="H38728" s="18"/>
      <c r="K38728" s="18" t="s">
        <v>316</v>
      </c>
    </row>
    <row r="38729">
      <c r="A38729" s="17"/>
      <c r="H38729" s="18"/>
      <c r="K38729" s="18" t="s">
        <v>316</v>
      </c>
    </row>
    <row r="38730">
      <c r="A38730" s="17"/>
      <c r="H38730" s="18"/>
      <c r="K38730" s="18" t="s">
        <v>316</v>
      </c>
    </row>
    <row r="38731">
      <c r="A38731" s="17"/>
      <c r="H38731" s="18"/>
      <c r="K38731" s="18" t="s">
        <v>316</v>
      </c>
    </row>
    <row r="38732">
      <c r="A38732" s="17"/>
      <c r="H38732" s="18"/>
      <c r="K38732" s="18" t="s">
        <v>316</v>
      </c>
    </row>
    <row r="38733">
      <c r="A38733" s="17"/>
      <c r="H38733" s="18"/>
      <c r="K38733" s="18" t="s">
        <v>316</v>
      </c>
    </row>
    <row r="38734">
      <c r="A38734" s="17"/>
      <c r="H38734" s="18"/>
      <c r="K38734" s="18" t="s">
        <v>316</v>
      </c>
    </row>
    <row r="38735">
      <c r="A38735" s="17"/>
      <c r="H38735" s="18"/>
      <c r="K38735" s="18" t="s">
        <v>316</v>
      </c>
    </row>
    <row r="38736">
      <c r="A38736" s="17"/>
      <c r="H38736" s="18"/>
      <c r="K38736" s="18" t="s">
        <v>316</v>
      </c>
    </row>
    <row r="38737">
      <c r="A38737" s="17"/>
      <c r="H38737" s="18"/>
      <c r="K38737" s="18" t="s">
        <v>316</v>
      </c>
    </row>
    <row r="38738">
      <c r="A38738" s="17"/>
      <c r="H38738" s="18"/>
      <c r="K38738" s="18" t="s">
        <v>316</v>
      </c>
    </row>
    <row r="38739">
      <c r="A38739" s="17"/>
      <c r="H38739" s="18"/>
      <c r="K38739" s="18" t="s">
        <v>316</v>
      </c>
    </row>
    <row r="38740">
      <c r="A38740" s="17"/>
      <c r="H38740" s="18"/>
      <c r="K38740" s="18" t="s">
        <v>316</v>
      </c>
    </row>
    <row r="38741">
      <c r="A38741" s="17"/>
      <c r="H38741" s="18"/>
      <c r="K38741" s="18" t="s">
        <v>316</v>
      </c>
    </row>
    <row r="38742">
      <c r="A38742" s="17"/>
      <c r="H38742" s="18"/>
      <c r="K38742" s="18" t="s">
        <v>316</v>
      </c>
    </row>
    <row r="38743">
      <c r="A38743" s="17"/>
      <c r="H38743" s="18"/>
      <c r="K38743" s="18" t="s">
        <v>316</v>
      </c>
    </row>
    <row r="38744">
      <c r="A38744" s="17"/>
      <c r="H38744" s="18"/>
      <c r="K38744" s="18" t="s">
        <v>316</v>
      </c>
    </row>
    <row r="38745">
      <c r="A38745" s="17"/>
      <c r="H38745" s="18"/>
      <c r="K38745" s="18" t="s">
        <v>316</v>
      </c>
    </row>
    <row r="38746">
      <c r="A38746" s="17"/>
      <c r="H38746" s="18"/>
      <c r="K38746" s="18" t="s">
        <v>316</v>
      </c>
    </row>
    <row r="38747">
      <c r="A38747" s="17"/>
      <c r="H38747" s="18"/>
      <c r="K38747" s="18" t="s">
        <v>316</v>
      </c>
    </row>
    <row r="38748">
      <c r="A38748" s="17"/>
      <c r="H38748" s="18"/>
      <c r="K38748" s="18" t="s">
        <v>316</v>
      </c>
    </row>
    <row r="38749">
      <c r="A38749" s="17"/>
      <c r="H38749" s="18"/>
      <c r="K38749" s="18" t="s">
        <v>316</v>
      </c>
    </row>
    <row r="38750">
      <c r="A38750" s="17"/>
      <c r="H38750" s="18"/>
      <c r="K38750" s="18" t="s">
        <v>316</v>
      </c>
    </row>
    <row r="38751">
      <c r="A38751" s="17"/>
      <c r="H38751" s="18"/>
      <c r="K38751" s="18" t="s">
        <v>316</v>
      </c>
    </row>
    <row r="38752">
      <c r="A38752" s="17"/>
      <c r="H38752" s="18"/>
      <c r="K38752" s="18" t="s">
        <v>316</v>
      </c>
    </row>
    <row r="38753">
      <c r="A38753" s="17"/>
      <c r="H38753" s="18"/>
      <c r="K38753" s="18" t="s">
        <v>316</v>
      </c>
    </row>
    <row r="38754">
      <c r="A38754" s="17"/>
      <c r="H38754" s="18"/>
      <c r="K38754" s="18" t="s">
        <v>316</v>
      </c>
    </row>
    <row r="38755">
      <c r="A38755" s="17"/>
      <c r="H38755" s="18"/>
      <c r="K38755" s="18" t="s">
        <v>316</v>
      </c>
    </row>
    <row r="38756">
      <c r="A38756" s="17"/>
      <c r="H38756" s="18"/>
      <c r="K38756" s="18" t="s">
        <v>316</v>
      </c>
    </row>
    <row r="38757">
      <c r="A38757" s="17"/>
      <c r="H38757" s="18"/>
      <c r="K38757" s="18" t="s">
        <v>316</v>
      </c>
    </row>
    <row r="38758">
      <c r="A38758" s="17"/>
      <c r="H38758" s="18"/>
      <c r="K38758" s="18" t="s">
        <v>316</v>
      </c>
    </row>
    <row r="38759">
      <c r="A38759" s="17"/>
      <c r="H38759" s="18"/>
      <c r="K38759" s="18" t="s">
        <v>316</v>
      </c>
    </row>
    <row r="38760">
      <c r="A38760" s="17"/>
      <c r="H38760" s="18"/>
      <c r="K38760" s="18" t="s">
        <v>316</v>
      </c>
    </row>
    <row r="38761">
      <c r="A38761" s="17"/>
      <c r="H38761" s="18"/>
      <c r="K38761" s="18" t="s">
        <v>316</v>
      </c>
    </row>
    <row r="38762">
      <c r="A38762" s="17"/>
      <c r="H38762" s="18"/>
      <c r="K38762" s="18" t="s">
        <v>316</v>
      </c>
    </row>
    <row r="38763">
      <c r="A38763" s="17"/>
      <c r="H38763" s="18"/>
      <c r="K38763" s="18" t="s">
        <v>316</v>
      </c>
    </row>
    <row r="38764">
      <c r="A38764" s="17"/>
      <c r="H38764" s="18"/>
      <c r="K38764" s="18" t="s">
        <v>316</v>
      </c>
    </row>
    <row r="38765">
      <c r="A38765" s="17"/>
      <c r="H38765" s="18"/>
      <c r="K38765" s="18" t="s">
        <v>316</v>
      </c>
    </row>
    <row r="38766">
      <c r="A38766" s="17"/>
      <c r="H38766" s="18"/>
      <c r="K38766" s="18" t="s">
        <v>316</v>
      </c>
    </row>
    <row r="38767">
      <c r="A38767" s="17"/>
      <c r="H38767" s="18"/>
      <c r="K38767" s="18" t="s">
        <v>316</v>
      </c>
    </row>
    <row r="38768">
      <c r="A38768" s="17"/>
      <c r="H38768" s="18"/>
      <c r="K38768" s="18" t="s">
        <v>316</v>
      </c>
    </row>
    <row r="38769">
      <c r="A38769" s="17"/>
      <c r="H38769" s="18"/>
      <c r="K38769" s="18" t="s">
        <v>316</v>
      </c>
    </row>
    <row r="38770">
      <c r="A38770" s="17"/>
      <c r="H38770" s="18"/>
      <c r="K38770" s="18" t="s">
        <v>316</v>
      </c>
    </row>
    <row r="38771">
      <c r="A38771" s="17"/>
      <c r="H38771" s="18"/>
      <c r="K38771" s="18" t="s">
        <v>316</v>
      </c>
    </row>
    <row r="38772">
      <c r="A38772" s="17"/>
      <c r="H38772" s="18"/>
      <c r="K38772" s="18" t="s">
        <v>316</v>
      </c>
    </row>
    <row r="38773">
      <c r="A38773" s="17"/>
      <c r="H38773" s="18"/>
      <c r="K38773" s="18" t="s">
        <v>316</v>
      </c>
    </row>
    <row r="38774">
      <c r="A38774" s="17"/>
      <c r="H38774" s="18"/>
      <c r="K38774" s="18" t="s">
        <v>316</v>
      </c>
    </row>
    <row r="38775">
      <c r="A38775" s="17"/>
      <c r="H38775" s="18"/>
      <c r="K38775" s="18" t="s">
        <v>316</v>
      </c>
    </row>
    <row r="38776">
      <c r="A38776" s="17"/>
      <c r="H38776" s="18"/>
      <c r="K38776" s="18" t="s">
        <v>316</v>
      </c>
    </row>
    <row r="38777">
      <c r="A38777" s="17"/>
      <c r="H38777" s="18"/>
      <c r="K38777" s="18" t="s">
        <v>316</v>
      </c>
    </row>
    <row r="38778">
      <c r="A38778" s="17"/>
      <c r="H38778" s="18"/>
      <c r="K38778" s="18" t="s">
        <v>316</v>
      </c>
    </row>
    <row r="38779">
      <c r="A38779" s="17"/>
      <c r="H38779" s="18"/>
      <c r="K38779" s="18" t="s">
        <v>316</v>
      </c>
    </row>
    <row r="38780">
      <c r="A38780" s="17"/>
      <c r="H38780" s="18"/>
      <c r="K38780" s="18" t="s">
        <v>316</v>
      </c>
    </row>
    <row r="38781">
      <c r="A38781" s="17"/>
      <c r="H38781" s="18"/>
      <c r="K38781" s="18" t="s">
        <v>316</v>
      </c>
    </row>
    <row r="38782">
      <c r="A38782" s="17"/>
      <c r="H38782" s="18"/>
      <c r="K38782" s="18" t="s">
        <v>316</v>
      </c>
    </row>
    <row r="38783">
      <c r="A38783" s="17"/>
      <c r="H38783" s="18"/>
      <c r="K38783" s="18" t="s">
        <v>316</v>
      </c>
    </row>
    <row r="38784">
      <c r="A38784" s="17"/>
      <c r="H38784" s="18"/>
      <c r="K38784" s="18" t="s">
        <v>316</v>
      </c>
    </row>
    <row r="38785">
      <c r="A38785" s="17"/>
      <c r="H38785" s="18"/>
      <c r="K38785" s="18" t="s">
        <v>316</v>
      </c>
    </row>
    <row r="38786">
      <c r="A38786" s="17"/>
      <c r="H38786" s="18"/>
      <c r="K38786" s="18" t="s">
        <v>316</v>
      </c>
    </row>
    <row r="38787">
      <c r="A38787" s="17"/>
      <c r="H38787" s="18"/>
      <c r="K38787" s="18" t="s">
        <v>316</v>
      </c>
    </row>
    <row r="38788">
      <c r="A38788" s="17"/>
      <c r="H38788" s="18"/>
      <c r="K38788" s="18" t="s">
        <v>316</v>
      </c>
    </row>
    <row r="38789">
      <c r="A38789" s="17"/>
      <c r="H38789" s="18"/>
      <c r="K38789" s="18" t="s">
        <v>316</v>
      </c>
    </row>
    <row r="38790">
      <c r="A38790" s="17"/>
      <c r="H38790" s="18"/>
      <c r="K38790" s="18" t="s">
        <v>316</v>
      </c>
    </row>
    <row r="38791">
      <c r="A38791" s="17"/>
      <c r="H38791" s="18"/>
      <c r="K38791" s="18" t="s">
        <v>316</v>
      </c>
    </row>
    <row r="38792">
      <c r="A38792" s="17"/>
      <c r="H38792" s="18"/>
      <c r="K38792" s="18" t="s">
        <v>316</v>
      </c>
    </row>
    <row r="38793">
      <c r="A38793" s="17"/>
      <c r="H38793" s="18"/>
      <c r="K38793" s="18" t="s">
        <v>316</v>
      </c>
    </row>
    <row r="38794">
      <c r="A38794" s="17"/>
      <c r="H38794" s="18"/>
      <c r="K38794" s="18" t="s">
        <v>316</v>
      </c>
    </row>
    <row r="38795">
      <c r="A38795" s="17"/>
      <c r="H38795" s="18"/>
      <c r="K38795" s="18" t="s">
        <v>316</v>
      </c>
    </row>
    <row r="38796">
      <c r="A38796" s="17"/>
      <c r="H38796" s="18"/>
      <c r="K38796" s="18" t="s">
        <v>316</v>
      </c>
    </row>
    <row r="38797">
      <c r="A38797" s="17"/>
      <c r="H38797" s="18"/>
      <c r="K38797" s="18" t="s">
        <v>316</v>
      </c>
    </row>
    <row r="38798">
      <c r="A38798" s="17"/>
      <c r="H38798" s="18"/>
      <c r="K38798" s="18" t="s">
        <v>316</v>
      </c>
    </row>
    <row r="38799">
      <c r="A38799" s="17"/>
      <c r="H38799" s="18"/>
      <c r="K38799" s="18" t="s">
        <v>316</v>
      </c>
    </row>
    <row r="38800">
      <c r="A38800" s="17"/>
      <c r="H38800" s="18"/>
      <c r="K38800" s="18" t="s">
        <v>316</v>
      </c>
    </row>
    <row r="38801">
      <c r="A38801" s="17"/>
      <c r="H38801" s="18"/>
      <c r="K38801" s="18" t="s">
        <v>316</v>
      </c>
    </row>
    <row r="38802">
      <c r="A38802" s="17"/>
      <c r="H38802" s="18"/>
      <c r="K38802" s="18" t="s">
        <v>316</v>
      </c>
    </row>
    <row r="38803">
      <c r="A38803" s="17"/>
      <c r="H38803" s="18"/>
      <c r="K38803" s="18" t="s">
        <v>316</v>
      </c>
    </row>
    <row r="38804">
      <c r="A38804" s="17"/>
      <c r="H38804" s="18"/>
      <c r="K38804" s="18" t="s">
        <v>316</v>
      </c>
    </row>
    <row r="38805">
      <c r="A38805" s="17"/>
      <c r="H38805" s="18"/>
      <c r="K38805" s="18" t="s">
        <v>316</v>
      </c>
    </row>
    <row r="38806">
      <c r="A38806" s="17"/>
      <c r="H38806" s="18"/>
      <c r="K38806" s="18" t="s">
        <v>316</v>
      </c>
    </row>
    <row r="38807">
      <c r="A38807" s="17"/>
      <c r="H38807" s="18"/>
      <c r="K38807" s="18" t="s">
        <v>316</v>
      </c>
    </row>
    <row r="38808">
      <c r="A38808" s="17"/>
      <c r="H38808" s="18"/>
      <c r="K38808" s="18" t="s">
        <v>316</v>
      </c>
    </row>
    <row r="38809">
      <c r="A38809" s="17"/>
      <c r="H38809" s="18"/>
      <c r="K38809" s="18" t="s">
        <v>316</v>
      </c>
    </row>
    <row r="38810">
      <c r="A38810" s="17"/>
      <c r="H38810" s="18"/>
      <c r="K38810" s="18" t="s">
        <v>316</v>
      </c>
    </row>
    <row r="38811">
      <c r="A38811" s="17"/>
      <c r="H38811" s="18"/>
      <c r="K38811" s="18" t="s">
        <v>316</v>
      </c>
    </row>
    <row r="38812">
      <c r="A38812" s="17"/>
      <c r="H38812" s="18"/>
      <c r="K38812" s="18" t="s">
        <v>316</v>
      </c>
    </row>
    <row r="38813">
      <c r="A38813" s="17"/>
      <c r="H38813" s="18"/>
      <c r="K38813" s="18" t="s">
        <v>316</v>
      </c>
    </row>
    <row r="38814">
      <c r="A38814" s="17"/>
      <c r="H38814" s="18"/>
      <c r="K38814" s="18" t="s">
        <v>316</v>
      </c>
    </row>
    <row r="38815">
      <c r="A38815" s="17"/>
      <c r="H38815" s="18"/>
      <c r="K38815" s="18" t="s">
        <v>316</v>
      </c>
    </row>
    <row r="38816">
      <c r="A38816" s="17"/>
      <c r="H38816" s="18"/>
      <c r="K38816" s="18" t="s">
        <v>316</v>
      </c>
    </row>
    <row r="38817">
      <c r="A38817" s="17"/>
      <c r="H38817" s="18"/>
      <c r="K38817" s="18" t="s">
        <v>316</v>
      </c>
    </row>
    <row r="38818">
      <c r="A38818" s="17"/>
      <c r="H38818" s="18"/>
      <c r="K38818" s="18" t="s">
        <v>316</v>
      </c>
    </row>
    <row r="38819">
      <c r="A38819" s="17"/>
      <c r="H38819" s="18"/>
      <c r="K38819" s="18" t="s">
        <v>316</v>
      </c>
    </row>
    <row r="38820">
      <c r="A38820" s="17"/>
      <c r="H38820" s="18"/>
      <c r="K38820" s="18" t="s">
        <v>316</v>
      </c>
    </row>
    <row r="38821">
      <c r="A38821" s="17"/>
      <c r="H38821" s="18"/>
      <c r="K38821" s="18" t="s">
        <v>316</v>
      </c>
    </row>
    <row r="38822">
      <c r="A38822" s="17"/>
      <c r="H38822" s="18"/>
      <c r="K38822" s="18" t="s">
        <v>316</v>
      </c>
    </row>
    <row r="38823">
      <c r="A38823" s="17"/>
      <c r="H38823" s="18"/>
      <c r="K38823" s="18" t="s">
        <v>316</v>
      </c>
    </row>
    <row r="38824">
      <c r="A38824" s="17"/>
      <c r="H38824" s="18"/>
      <c r="K38824" s="18" t="s">
        <v>316</v>
      </c>
    </row>
    <row r="38825">
      <c r="A38825" s="17"/>
      <c r="H38825" s="18"/>
      <c r="K38825" s="18" t="s">
        <v>316</v>
      </c>
    </row>
    <row r="38826">
      <c r="A38826" s="17"/>
      <c r="H38826" s="18"/>
      <c r="K38826" s="18" t="s">
        <v>316</v>
      </c>
    </row>
    <row r="38827">
      <c r="A38827" s="17"/>
      <c r="H38827" s="18"/>
      <c r="K38827" s="18" t="s">
        <v>316</v>
      </c>
    </row>
    <row r="38828">
      <c r="A38828" s="17"/>
      <c r="H38828" s="18"/>
      <c r="K38828" s="18" t="s">
        <v>316</v>
      </c>
    </row>
    <row r="38829">
      <c r="A38829" s="17"/>
      <c r="H38829" s="18"/>
      <c r="K38829" s="18" t="s">
        <v>316</v>
      </c>
    </row>
    <row r="38830">
      <c r="A38830" s="17"/>
      <c r="H38830" s="18"/>
      <c r="K38830" s="18" t="s">
        <v>316</v>
      </c>
    </row>
    <row r="38831">
      <c r="A38831" s="17"/>
      <c r="H38831" s="18"/>
      <c r="K38831" s="18" t="s">
        <v>316</v>
      </c>
    </row>
    <row r="38832">
      <c r="A38832" s="17"/>
      <c r="H38832" s="18"/>
      <c r="K38832" s="18" t="s">
        <v>316</v>
      </c>
    </row>
    <row r="38833">
      <c r="A38833" s="17"/>
      <c r="H38833" s="18"/>
      <c r="K38833" s="18" t="s">
        <v>316</v>
      </c>
    </row>
    <row r="38834">
      <c r="A38834" s="17"/>
      <c r="H38834" s="18"/>
      <c r="K38834" s="18" t="s">
        <v>316</v>
      </c>
    </row>
    <row r="38835">
      <c r="A38835" s="17"/>
      <c r="H38835" s="18"/>
      <c r="K38835" s="18" t="s">
        <v>316</v>
      </c>
    </row>
    <row r="38836">
      <c r="A38836" s="17"/>
      <c r="H38836" s="18"/>
      <c r="K38836" s="18" t="s">
        <v>316</v>
      </c>
    </row>
    <row r="38837">
      <c r="A38837" s="17"/>
      <c r="H38837" s="18"/>
      <c r="K38837" s="18" t="s">
        <v>316</v>
      </c>
    </row>
    <row r="38838">
      <c r="A38838" s="17"/>
      <c r="H38838" s="18"/>
      <c r="K38838" s="18" t="s">
        <v>316</v>
      </c>
    </row>
    <row r="38839">
      <c r="A38839" s="17"/>
      <c r="H38839" s="18"/>
      <c r="K38839" s="18" t="s">
        <v>316</v>
      </c>
    </row>
    <row r="38840">
      <c r="A38840" s="17"/>
      <c r="H38840" s="18"/>
      <c r="K38840" s="18" t="s">
        <v>316</v>
      </c>
    </row>
    <row r="38841">
      <c r="A38841" s="17"/>
      <c r="H38841" s="18"/>
      <c r="K38841" s="18" t="s">
        <v>316</v>
      </c>
    </row>
    <row r="38842">
      <c r="A38842" s="17"/>
      <c r="H38842" s="18"/>
      <c r="K38842" s="18" t="s">
        <v>316</v>
      </c>
    </row>
    <row r="38843">
      <c r="A38843" s="17"/>
      <c r="H38843" s="18"/>
      <c r="K38843" s="18" t="s">
        <v>316</v>
      </c>
    </row>
    <row r="38844">
      <c r="A38844" s="17"/>
      <c r="H38844" s="18"/>
      <c r="K38844" s="18" t="s">
        <v>316</v>
      </c>
    </row>
    <row r="38845">
      <c r="A38845" s="17"/>
      <c r="H38845" s="18"/>
      <c r="K38845" s="18" t="s">
        <v>316</v>
      </c>
    </row>
    <row r="38846">
      <c r="A38846" s="17"/>
      <c r="H38846" s="18"/>
      <c r="K38846" s="18" t="s">
        <v>316</v>
      </c>
    </row>
    <row r="38847">
      <c r="A38847" s="17"/>
      <c r="H38847" s="18"/>
      <c r="K38847" s="18" t="s">
        <v>316</v>
      </c>
    </row>
    <row r="38848">
      <c r="A38848" s="17"/>
      <c r="H38848" s="18"/>
      <c r="K38848" s="18" t="s">
        <v>316</v>
      </c>
    </row>
    <row r="38849">
      <c r="A38849" s="17"/>
      <c r="H38849" s="18"/>
      <c r="K38849" s="18" t="s">
        <v>316</v>
      </c>
    </row>
    <row r="38850">
      <c r="A38850" s="17"/>
      <c r="H38850" s="18"/>
      <c r="K38850" s="18" t="s">
        <v>316</v>
      </c>
    </row>
    <row r="38851">
      <c r="A38851" s="17"/>
      <c r="H38851" s="18"/>
      <c r="K38851" s="18" t="s">
        <v>316</v>
      </c>
    </row>
    <row r="38852">
      <c r="A38852" s="17"/>
      <c r="H38852" s="18"/>
      <c r="K38852" s="18" t="s">
        <v>316</v>
      </c>
    </row>
    <row r="38853">
      <c r="A38853" s="17"/>
      <c r="H38853" s="18"/>
      <c r="K38853" s="18" t="s">
        <v>316</v>
      </c>
    </row>
    <row r="38854">
      <c r="A38854" s="17"/>
      <c r="H38854" s="18"/>
      <c r="K38854" s="18" t="s">
        <v>316</v>
      </c>
    </row>
    <row r="38855">
      <c r="A38855" s="17"/>
      <c r="H38855" s="18"/>
      <c r="K38855" s="18" t="s">
        <v>316</v>
      </c>
    </row>
    <row r="38856">
      <c r="A38856" s="17"/>
      <c r="H38856" s="18"/>
      <c r="K38856" s="18" t="s">
        <v>316</v>
      </c>
    </row>
    <row r="38857">
      <c r="A38857" s="17"/>
      <c r="H38857" s="18"/>
      <c r="K38857" s="18" t="s">
        <v>316</v>
      </c>
    </row>
    <row r="38858">
      <c r="A38858" s="17"/>
      <c r="H38858" s="18"/>
      <c r="K38858" s="18" t="s">
        <v>316</v>
      </c>
    </row>
    <row r="38859">
      <c r="A38859" s="17"/>
      <c r="H38859" s="18"/>
      <c r="K38859" s="18" t="s">
        <v>316</v>
      </c>
    </row>
    <row r="38860">
      <c r="A38860" s="17"/>
      <c r="H38860" s="18"/>
      <c r="K38860" s="18" t="s">
        <v>316</v>
      </c>
    </row>
    <row r="38861">
      <c r="A38861" s="17"/>
      <c r="H38861" s="18"/>
      <c r="K38861" s="18" t="s">
        <v>316</v>
      </c>
    </row>
    <row r="38862">
      <c r="A38862" s="17"/>
      <c r="H38862" s="18"/>
      <c r="K38862" s="18" t="s">
        <v>316</v>
      </c>
    </row>
    <row r="38863">
      <c r="A38863" s="17"/>
      <c r="H38863" s="18"/>
      <c r="K38863" s="18" t="s">
        <v>316</v>
      </c>
    </row>
    <row r="38864">
      <c r="A38864" s="17"/>
      <c r="H38864" s="18"/>
      <c r="K38864" s="18" t="s">
        <v>316</v>
      </c>
    </row>
    <row r="38865">
      <c r="A38865" s="17"/>
      <c r="H38865" s="18"/>
      <c r="K38865" s="18" t="s">
        <v>316</v>
      </c>
    </row>
    <row r="38866">
      <c r="A38866" s="17"/>
      <c r="H38866" s="18"/>
      <c r="K38866" s="18" t="s">
        <v>316</v>
      </c>
    </row>
    <row r="38867">
      <c r="A38867" s="17"/>
      <c r="H38867" s="18"/>
      <c r="K38867" s="18" t="s">
        <v>316</v>
      </c>
    </row>
    <row r="38868">
      <c r="A38868" s="17"/>
      <c r="H38868" s="18"/>
      <c r="K38868" s="18" t="s">
        <v>316</v>
      </c>
    </row>
    <row r="38869">
      <c r="A38869" s="17"/>
      <c r="H38869" s="18"/>
      <c r="K38869" s="18" t="s">
        <v>316</v>
      </c>
    </row>
    <row r="38870">
      <c r="A38870" s="17"/>
      <c r="H38870" s="18"/>
      <c r="K38870" s="18" t="s">
        <v>316</v>
      </c>
    </row>
    <row r="38871">
      <c r="A38871" s="17"/>
      <c r="H38871" s="18"/>
      <c r="K38871" s="18" t="s">
        <v>316</v>
      </c>
    </row>
    <row r="38872">
      <c r="A38872" s="17"/>
      <c r="H38872" s="18"/>
      <c r="K38872" s="18" t="s">
        <v>316</v>
      </c>
    </row>
    <row r="38873">
      <c r="A38873" s="17"/>
      <c r="H38873" s="18"/>
      <c r="K38873" s="18" t="s">
        <v>316</v>
      </c>
    </row>
    <row r="38874">
      <c r="A38874" s="17"/>
      <c r="H38874" s="18"/>
      <c r="K38874" s="18" t="s">
        <v>316</v>
      </c>
    </row>
    <row r="38875">
      <c r="A38875" s="17"/>
      <c r="H38875" s="18"/>
      <c r="K38875" s="18" t="s">
        <v>316</v>
      </c>
    </row>
    <row r="38876">
      <c r="A38876" s="17"/>
      <c r="H38876" s="18"/>
      <c r="K38876" s="18" t="s">
        <v>316</v>
      </c>
    </row>
    <row r="38877">
      <c r="A38877" s="17"/>
      <c r="H38877" s="18"/>
      <c r="K38877" s="18" t="s">
        <v>316</v>
      </c>
    </row>
    <row r="38878">
      <c r="A38878" s="17"/>
      <c r="H38878" s="18"/>
      <c r="K38878" s="18" t="s">
        <v>316</v>
      </c>
    </row>
    <row r="38879">
      <c r="A38879" s="17"/>
      <c r="H38879" s="18"/>
      <c r="K38879" s="18" t="s">
        <v>316</v>
      </c>
    </row>
    <row r="38880">
      <c r="A38880" s="17"/>
      <c r="H38880" s="18"/>
      <c r="K38880" s="18" t="s">
        <v>316</v>
      </c>
    </row>
    <row r="38881">
      <c r="A38881" s="17"/>
      <c r="H38881" s="18"/>
      <c r="K38881" s="18" t="s">
        <v>316</v>
      </c>
    </row>
    <row r="38882">
      <c r="A38882" s="17"/>
      <c r="H38882" s="18"/>
      <c r="K38882" s="18" t="s">
        <v>316</v>
      </c>
    </row>
    <row r="38883">
      <c r="A38883" s="17"/>
      <c r="H38883" s="18"/>
      <c r="K38883" s="18" t="s">
        <v>316</v>
      </c>
    </row>
    <row r="38884">
      <c r="A38884" s="17"/>
      <c r="H38884" s="18"/>
      <c r="K38884" s="18" t="s">
        <v>316</v>
      </c>
    </row>
    <row r="38885">
      <c r="A38885" s="17"/>
      <c r="H38885" s="18"/>
      <c r="K38885" s="18" t="s">
        <v>316</v>
      </c>
    </row>
    <row r="38886">
      <c r="A38886" s="17"/>
      <c r="H38886" s="18"/>
      <c r="K38886" s="18" t="s">
        <v>316</v>
      </c>
    </row>
    <row r="38887">
      <c r="A38887" s="17"/>
      <c r="H38887" s="18"/>
      <c r="K38887" s="18" t="s">
        <v>316</v>
      </c>
    </row>
    <row r="38888">
      <c r="A38888" s="17"/>
      <c r="H38888" s="18"/>
      <c r="K38888" s="18" t="s">
        <v>316</v>
      </c>
    </row>
    <row r="38889">
      <c r="A38889" s="17"/>
      <c r="H38889" s="18"/>
      <c r="K38889" s="18" t="s">
        <v>316</v>
      </c>
    </row>
    <row r="38890">
      <c r="A38890" s="17"/>
      <c r="H38890" s="18"/>
      <c r="K38890" s="18" t="s">
        <v>316</v>
      </c>
    </row>
    <row r="38891">
      <c r="A38891" s="17"/>
      <c r="H38891" s="18"/>
      <c r="K38891" s="18" t="s">
        <v>316</v>
      </c>
    </row>
    <row r="38892">
      <c r="A38892" s="17"/>
      <c r="H38892" s="18"/>
      <c r="K38892" s="18" t="s">
        <v>316</v>
      </c>
    </row>
    <row r="38893">
      <c r="A38893" s="17"/>
      <c r="H38893" s="18"/>
      <c r="K38893" s="18" t="s">
        <v>316</v>
      </c>
    </row>
    <row r="38894">
      <c r="A38894" s="17"/>
      <c r="H38894" s="18"/>
      <c r="K38894" s="18" t="s">
        <v>316</v>
      </c>
    </row>
    <row r="38895">
      <c r="A38895" s="17"/>
      <c r="H38895" s="18"/>
      <c r="K38895" s="18" t="s">
        <v>316</v>
      </c>
    </row>
    <row r="38896">
      <c r="A38896" s="17"/>
      <c r="H38896" s="18"/>
      <c r="K38896" s="18" t="s">
        <v>316</v>
      </c>
    </row>
    <row r="38897">
      <c r="A38897" s="17"/>
      <c r="H38897" s="18"/>
      <c r="K38897" s="18" t="s">
        <v>316</v>
      </c>
    </row>
    <row r="38898">
      <c r="A38898" s="17"/>
      <c r="H38898" s="18"/>
      <c r="K38898" s="18" t="s">
        <v>316</v>
      </c>
    </row>
    <row r="38899">
      <c r="A38899" s="17"/>
      <c r="H38899" s="18"/>
      <c r="K38899" s="18" t="s">
        <v>316</v>
      </c>
    </row>
    <row r="38900">
      <c r="A38900" s="17"/>
      <c r="H38900" s="18"/>
      <c r="K38900" s="18" t="s">
        <v>316</v>
      </c>
    </row>
    <row r="38901">
      <c r="A38901" s="17"/>
      <c r="H38901" s="18"/>
      <c r="K38901" s="18" t="s">
        <v>316</v>
      </c>
    </row>
    <row r="38902">
      <c r="A38902" s="17"/>
      <c r="H38902" s="18"/>
      <c r="K38902" s="18" t="s">
        <v>316</v>
      </c>
    </row>
    <row r="38903">
      <c r="A38903" s="17"/>
      <c r="H38903" s="18"/>
      <c r="K38903" s="18" t="s">
        <v>316</v>
      </c>
    </row>
    <row r="38904">
      <c r="A38904" s="17"/>
      <c r="H38904" s="18"/>
      <c r="K38904" s="18" t="s">
        <v>316</v>
      </c>
    </row>
    <row r="38905">
      <c r="A38905" s="17"/>
      <c r="H38905" s="18"/>
      <c r="K38905" s="18" t="s">
        <v>316</v>
      </c>
    </row>
    <row r="38906">
      <c r="A38906" s="17"/>
      <c r="H38906" s="18"/>
      <c r="K38906" s="18" t="s">
        <v>316</v>
      </c>
    </row>
    <row r="38907">
      <c r="A38907" s="17"/>
      <c r="H38907" s="18"/>
      <c r="K38907" s="18" t="s">
        <v>316</v>
      </c>
    </row>
    <row r="38908">
      <c r="A38908" s="17"/>
      <c r="H38908" s="18"/>
      <c r="K38908" s="18" t="s">
        <v>316</v>
      </c>
    </row>
    <row r="38909">
      <c r="A38909" s="17"/>
      <c r="H38909" s="18"/>
      <c r="K38909" s="18" t="s">
        <v>316</v>
      </c>
    </row>
    <row r="38910">
      <c r="A38910" s="17"/>
      <c r="H38910" s="18"/>
      <c r="K38910" s="18" t="s">
        <v>316</v>
      </c>
    </row>
    <row r="38911">
      <c r="A38911" s="17"/>
      <c r="H38911" s="18"/>
      <c r="K38911" s="18" t="s">
        <v>316</v>
      </c>
    </row>
    <row r="38912">
      <c r="A38912" s="17"/>
      <c r="H38912" s="18"/>
      <c r="K38912" s="18" t="s">
        <v>316</v>
      </c>
    </row>
    <row r="38913">
      <c r="A38913" s="17"/>
      <c r="H38913" s="18"/>
      <c r="K38913" s="18" t="s">
        <v>316</v>
      </c>
    </row>
    <row r="38914">
      <c r="A38914" s="17"/>
      <c r="H38914" s="18"/>
      <c r="K38914" s="18" t="s">
        <v>316</v>
      </c>
    </row>
    <row r="38915">
      <c r="A38915" s="17"/>
      <c r="H38915" s="18"/>
      <c r="K38915" s="18" t="s">
        <v>316</v>
      </c>
    </row>
    <row r="38916">
      <c r="A38916" s="17"/>
      <c r="H38916" s="18"/>
      <c r="K38916" s="18" t="s">
        <v>316</v>
      </c>
    </row>
    <row r="38917">
      <c r="A38917" s="17"/>
      <c r="H38917" s="18"/>
      <c r="K38917" s="18" t="s">
        <v>316</v>
      </c>
    </row>
    <row r="38918">
      <c r="A38918" s="17"/>
      <c r="H38918" s="18"/>
      <c r="K38918" s="18" t="s">
        <v>316</v>
      </c>
    </row>
    <row r="38919">
      <c r="A38919" s="17"/>
      <c r="H38919" s="18"/>
      <c r="K38919" s="18" t="s">
        <v>316</v>
      </c>
    </row>
    <row r="38920">
      <c r="A38920" s="17"/>
      <c r="H38920" s="18"/>
      <c r="K38920" s="18" t="s">
        <v>316</v>
      </c>
    </row>
    <row r="38921">
      <c r="A38921" s="17"/>
      <c r="H38921" s="18"/>
      <c r="K38921" s="18" t="s">
        <v>316</v>
      </c>
    </row>
    <row r="38922">
      <c r="A38922" s="17"/>
      <c r="H38922" s="18"/>
      <c r="K38922" s="18" t="s">
        <v>316</v>
      </c>
    </row>
    <row r="38923">
      <c r="A38923" s="17"/>
      <c r="H38923" s="18"/>
      <c r="K38923" s="18" t="s">
        <v>316</v>
      </c>
    </row>
    <row r="38924">
      <c r="A38924" s="17"/>
      <c r="H38924" s="18"/>
      <c r="K38924" s="18" t="s">
        <v>316</v>
      </c>
    </row>
    <row r="38925">
      <c r="A38925" s="17"/>
      <c r="H38925" s="18"/>
      <c r="K38925" s="18" t="s">
        <v>316</v>
      </c>
    </row>
    <row r="38926">
      <c r="A38926" s="17"/>
      <c r="H38926" s="18"/>
      <c r="K38926" s="18" t="s">
        <v>316</v>
      </c>
    </row>
    <row r="38927">
      <c r="A38927" s="17"/>
      <c r="H38927" s="18"/>
      <c r="K38927" s="18" t="s">
        <v>316</v>
      </c>
    </row>
    <row r="38928">
      <c r="A38928" s="17"/>
      <c r="H38928" s="18"/>
      <c r="K38928" s="18" t="s">
        <v>316</v>
      </c>
    </row>
    <row r="38929">
      <c r="A38929" s="17"/>
      <c r="H38929" s="18"/>
      <c r="K38929" s="18" t="s">
        <v>316</v>
      </c>
    </row>
    <row r="38930">
      <c r="A38930" s="17"/>
      <c r="H38930" s="18"/>
      <c r="K38930" s="18" t="s">
        <v>316</v>
      </c>
    </row>
    <row r="38931">
      <c r="A38931" s="17"/>
      <c r="H38931" s="18"/>
      <c r="K38931" s="18" t="s">
        <v>316</v>
      </c>
    </row>
    <row r="38932">
      <c r="A38932" s="17"/>
      <c r="H38932" s="18"/>
      <c r="K38932" s="18" t="s">
        <v>316</v>
      </c>
    </row>
    <row r="38933">
      <c r="A38933" s="17"/>
      <c r="H38933" s="18"/>
      <c r="K38933" s="18" t="s">
        <v>316</v>
      </c>
    </row>
    <row r="38934">
      <c r="A38934" s="17"/>
      <c r="H38934" s="18"/>
      <c r="K38934" s="18" t="s">
        <v>316</v>
      </c>
    </row>
    <row r="38935">
      <c r="A38935" s="17"/>
      <c r="H38935" s="18"/>
      <c r="K38935" s="18" t="s">
        <v>316</v>
      </c>
    </row>
    <row r="38936">
      <c r="A38936" s="17"/>
      <c r="H38936" s="18"/>
      <c r="K38936" s="18" t="s">
        <v>316</v>
      </c>
    </row>
    <row r="38937">
      <c r="A38937" s="17"/>
      <c r="H38937" s="18"/>
      <c r="K38937" s="18" t="s">
        <v>316</v>
      </c>
    </row>
    <row r="38938">
      <c r="A38938" s="17"/>
      <c r="H38938" s="18"/>
      <c r="K38938" s="18" t="s">
        <v>316</v>
      </c>
    </row>
    <row r="38939">
      <c r="A38939" s="17"/>
      <c r="H38939" s="18"/>
      <c r="K38939" s="18" t="s">
        <v>316</v>
      </c>
    </row>
    <row r="38940">
      <c r="A38940" s="17"/>
      <c r="H38940" s="18"/>
      <c r="K38940" s="18" t="s">
        <v>316</v>
      </c>
    </row>
    <row r="38941">
      <c r="A38941" s="17"/>
      <c r="H38941" s="18"/>
      <c r="K38941" s="18" t="s">
        <v>316</v>
      </c>
    </row>
    <row r="38942">
      <c r="A38942" s="17"/>
      <c r="H38942" s="18"/>
      <c r="K38942" s="18" t="s">
        <v>316</v>
      </c>
    </row>
    <row r="38943">
      <c r="A38943" s="17"/>
      <c r="H38943" s="18"/>
      <c r="K38943" s="18" t="s">
        <v>316</v>
      </c>
    </row>
    <row r="38944">
      <c r="A38944" s="17"/>
      <c r="H38944" s="18"/>
      <c r="K38944" s="18" t="s">
        <v>316</v>
      </c>
    </row>
    <row r="38945">
      <c r="A38945" s="17"/>
      <c r="H38945" s="18"/>
      <c r="K38945" s="18" t="s">
        <v>316</v>
      </c>
    </row>
    <row r="38946">
      <c r="A38946" s="17"/>
      <c r="H38946" s="18"/>
      <c r="K38946" s="18" t="s">
        <v>316</v>
      </c>
    </row>
    <row r="38947">
      <c r="A38947" s="17"/>
      <c r="H38947" s="18"/>
      <c r="K38947" s="18" t="s">
        <v>316</v>
      </c>
    </row>
    <row r="38948">
      <c r="A38948" s="17"/>
      <c r="H38948" s="18"/>
      <c r="K38948" s="18" t="s">
        <v>316</v>
      </c>
    </row>
    <row r="38949">
      <c r="A38949" s="17"/>
      <c r="H38949" s="18"/>
      <c r="K38949" s="18" t="s">
        <v>316</v>
      </c>
    </row>
    <row r="38950">
      <c r="A38950" s="17"/>
      <c r="H38950" s="18"/>
      <c r="K38950" s="18" t="s">
        <v>316</v>
      </c>
    </row>
    <row r="38951">
      <c r="A38951" s="17"/>
      <c r="H38951" s="18"/>
      <c r="K38951" s="18" t="s">
        <v>316</v>
      </c>
    </row>
    <row r="38952">
      <c r="A38952" s="17"/>
      <c r="H38952" s="18"/>
      <c r="K38952" s="18" t="s">
        <v>316</v>
      </c>
    </row>
    <row r="38953">
      <c r="A38953" s="17"/>
      <c r="H38953" s="18"/>
      <c r="K38953" s="18" t="s">
        <v>316</v>
      </c>
    </row>
    <row r="38954">
      <c r="A38954" s="17"/>
      <c r="H38954" s="18"/>
      <c r="K38954" s="18" t="s">
        <v>316</v>
      </c>
    </row>
    <row r="38955">
      <c r="A38955" s="17"/>
      <c r="H38955" s="18"/>
      <c r="K38955" s="18" t="s">
        <v>316</v>
      </c>
    </row>
    <row r="38956">
      <c r="A38956" s="17"/>
      <c r="H38956" s="18"/>
      <c r="K38956" s="18" t="s">
        <v>316</v>
      </c>
    </row>
    <row r="38957">
      <c r="A38957" s="17"/>
      <c r="H38957" s="18"/>
      <c r="K38957" s="18" t="s">
        <v>316</v>
      </c>
    </row>
    <row r="38958">
      <c r="A38958" s="17"/>
      <c r="H38958" s="18"/>
      <c r="K38958" s="18" t="s">
        <v>316</v>
      </c>
    </row>
    <row r="38959">
      <c r="A38959" s="17"/>
      <c r="H38959" s="18"/>
      <c r="K38959" s="18" t="s">
        <v>316</v>
      </c>
    </row>
    <row r="38960">
      <c r="A38960" s="17"/>
      <c r="H38960" s="18"/>
      <c r="K38960" s="18" t="s">
        <v>316</v>
      </c>
    </row>
    <row r="38961">
      <c r="A38961" s="17"/>
      <c r="H38961" s="18"/>
      <c r="K38961" s="18" t="s">
        <v>316</v>
      </c>
    </row>
    <row r="38962">
      <c r="A38962" s="17"/>
      <c r="H38962" s="18"/>
      <c r="K38962" s="18" t="s">
        <v>316</v>
      </c>
    </row>
    <row r="38963">
      <c r="A38963" s="17"/>
      <c r="H38963" s="18"/>
      <c r="K38963" s="18" t="s">
        <v>316</v>
      </c>
    </row>
    <row r="38964">
      <c r="A38964" s="17"/>
      <c r="H38964" s="18"/>
      <c r="K38964" s="18" t="s">
        <v>316</v>
      </c>
    </row>
    <row r="38965">
      <c r="A38965" s="17"/>
      <c r="H38965" s="18"/>
      <c r="K38965" s="18" t="s">
        <v>316</v>
      </c>
    </row>
    <row r="38966">
      <c r="A38966" s="17"/>
      <c r="H38966" s="18"/>
      <c r="K38966" s="18" t="s">
        <v>316</v>
      </c>
    </row>
    <row r="38967">
      <c r="A38967" s="17"/>
      <c r="H38967" s="18"/>
      <c r="K38967" s="18" t="s">
        <v>316</v>
      </c>
    </row>
    <row r="38968">
      <c r="A38968" s="17"/>
      <c r="H38968" s="18"/>
      <c r="K38968" s="18" t="s">
        <v>316</v>
      </c>
    </row>
    <row r="38969">
      <c r="A38969" s="17"/>
      <c r="H38969" s="18"/>
      <c r="K38969" s="18" t="s">
        <v>316</v>
      </c>
    </row>
    <row r="38970">
      <c r="A38970" s="17"/>
      <c r="H38970" s="18"/>
      <c r="K38970" s="18" t="s">
        <v>316</v>
      </c>
    </row>
    <row r="38971">
      <c r="A38971" s="17"/>
      <c r="H38971" s="18"/>
      <c r="K38971" s="18" t="s">
        <v>316</v>
      </c>
    </row>
    <row r="38972">
      <c r="A38972" s="17"/>
      <c r="H38972" s="18"/>
      <c r="K38972" s="18" t="s">
        <v>316</v>
      </c>
    </row>
    <row r="38973">
      <c r="A38973" s="17"/>
      <c r="H38973" s="18"/>
      <c r="K38973" s="18" t="s">
        <v>316</v>
      </c>
    </row>
    <row r="38974">
      <c r="A38974" s="17"/>
      <c r="H38974" s="18"/>
      <c r="K38974" s="18" t="s">
        <v>316</v>
      </c>
    </row>
    <row r="38975">
      <c r="A38975" s="17"/>
      <c r="H38975" s="18"/>
      <c r="K38975" s="18" t="s">
        <v>316</v>
      </c>
    </row>
    <row r="38976">
      <c r="A38976" s="17"/>
      <c r="H38976" s="18"/>
      <c r="K38976" s="18" t="s">
        <v>316</v>
      </c>
    </row>
    <row r="38977">
      <c r="A38977" s="17"/>
      <c r="H38977" s="18"/>
      <c r="K38977" s="18" t="s">
        <v>316</v>
      </c>
    </row>
    <row r="38978">
      <c r="A38978" s="17"/>
      <c r="H38978" s="18"/>
      <c r="K38978" s="18" t="s">
        <v>316</v>
      </c>
    </row>
    <row r="38979">
      <c r="A38979" s="17"/>
      <c r="H38979" s="18"/>
      <c r="K38979" s="18" t="s">
        <v>316</v>
      </c>
    </row>
    <row r="38980">
      <c r="A38980" s="17"/>
      <c r="H38980" s="18"/>
      <c r="K38980" s="18" t="s">
        <v>316</v>
      </c>
    </row>
    <row r="38981">
      <c r="A38981" s="17"/>
      <c r="H38981" s="18"/>
      <c r="K38981" s="18" t="s">
        <v>316</v>
      </c>
    </row>
    <row r="38982">
      <c r="A38982" s="17"/>
      <c r="H38982" s="18"/>
      <c r="K38982" s="18" t="s">
        <v>316</v>
      </c>
    </row>
    <row r="38983">
      <c r="A38983" s="17"/>
      <c r="H38983" s="18"/>
      <c r="K38983" s="18" t="s">
        <v>316</v>
      </c>
    </row>
    <row r="38984">
      <c r="A38984" s="17"/>
      <c r="H38984" s="18"/>
      <c r="K38984" s="18" t="s">
        <v>316</v>
      </c>
    </row>
    <row r="38985">
      <c r="A38985" s="17"/>
      <c r="H38985" s="18"/>
      <c r="K38985" s="18" t="s">
        <v>316</v>
      </c>
    </row>
    <row r="38986">
      <c r="A38986" s="17"/>
      <c r="H38986" s="18"/>
      <c r="K38986" s="18" t="s">
        <v>316</v>
      </c>
    </row>
    <row r="38987">
      <c r="A38987" s="17"/>
      <c r="H38987" s="18"/>
      <c r="K38987" s="18" t="s">
        <v>316</v>
      </c>
    </row>
    <row r="38988">
      <c r="A38988" s="17"/>
      <c r="H38988" s="18"/>
      <c r="K38988" s="18" t="s">
        <v>316</v>
      </c>
    </row>
    <row r="38989">
      <c r="A38989" s="17"/>
      <c r="H38989" s="18"/>
      <c r="K38989" s="18" t="s">
        <v>316</v>
      </c>
    </row>
    <row r="38990">
      <c r="A38990" s="17"/>
      <c r="H38990" s="18"/>
      <c r="K38990" s="18" t="s">
        <v>316</v>
      </c>
    </row>
    <row r="38991">
      <c r="A38991" s="17"/>
      <c r="H38991" s="18"/>
      <c r="K38991" s="18" t="s">
        <v>316</v>
      </c>
    </row>
    <row r="38992">
      <c r="A38992" s="17"/>
      <c r="H38992" s="18"/>
      <c r="K38992" s="18" t="s">
        <v>316</v>
      </c>
    </row>
    <row r="38993">
      <c r="A38993" s="17"/>
      <c r="H38993" s="18"/>
      <c r="K38993" s="18" t="s">
        <v>316</v>
      </c>
    </row>
    <row r="38994">
      <c r="A38994" s="17"/>
      <c r="H38994" s="18"/>
      <c r="K38994" s="18" t="s">
        <v>316</v>
      </c>
    </row>
    <row r="38995">
      <c r="A38995" s="17"/>
      <c r="H38995" s="18"/>
      <c r="K38995" s="18" t="s">
        <v>316</v>
      </c>
    </row>
    <row r="38996">
      <c r="A38996" s="17"/>
      <c r="H38996" s="18"/>
      <c r="K38996" s="18" t="s">
        <v>316</v>
      </c>
    </row>
    <row r="38997">
      <c r="A38997" s="17"/>
      <c r="H38997" s="18"/>
      <c r="K38997" s="18" t="s">
        <v>316</v>
      </c>
    </row>
    <row r="38998">
      <c r="A38998" s="17"/>
      <c r="H38998" s="18"/>
      <c r="K38998" s="18" t="s">
        <v>316</v>
      </c>
    </row>
    <row r="38999">
      <c r="A38999" s="17"/>
      <c r="H38999" s="18"/>
      <c r="K38999" s="18" t="s">
        <v>316</v>
      </c>
    </row>
    <row r="39000">
      <c r="A39000" s="17"/>
      <c r="H39000" s="18"/>
      <c r="K39000" s="18" t="s">
        <v>316</v>
      </c>
    </row>
    <row r="39001">
      <c r="A39001" s="17"/>
      <c r="H39001" s="18"/>
      <c r="K39001" s="18" t="s">
        <v>316</v>
      </c>
    </row>
    <row r="39002">
      <c r="A39002" s="17"/>
      <c r="H39002" s="18"/>
      <c r="K39002" s="18" t="s">
        <v>316</v>
      </c>
    </row>
    <row r="39003">
      <c r="A39003" s="17"/>
      <c r="H39003" s="18"/>
      <c r="K39003" s="18" t="s">
        <v>316</v>
      </c>
    </row>
    <row r="39004">
      <c r="A39004" s="17"/>
      <c r="H39004" s="18"/>
      <c r="K39004" s="18" t="s">
        <v>316</v>
      </c>
    </row>
    <row r="39005">
      <c r="A39005" s="17"/>
      <c r="H39005" s="18"/>
      <c r="K39005" s="18" t="s">
        <v>316</v>
      </c>
    </row>
    <row r="39006">
      <c r="A39006" s="17"/>
      <c r="H39006" s="18"/>
      <c r="K39006" s="18" t="s">
        <v>316</v>
      </c>
    </row>
    <row r="39007">
      <c r="A39007" s="17"/>
      <c r="H39007" s="18"/>
      <c r="K39007" s="18" t="s">
        <v>316</v>
      </c>
    </row>
    <row r="39008">
      <c r="A39008" s="17"/>
      <c r="H39008" s="18"/>
      <c r="K39008" s="18" t="s">
        <v>316</v>
      </c>
    </row>
    <row r="39009">
      <c r="A39009" s="17"/>
      <c r="H39009" s="18"/>
      <c r="K39009" s="18" t="s">
        <v>316</v>
      </c>
    </row>
    <row r="39010">
      <c r="A39010" s="17"/>
      <c r="H39010" s="18"/>
      <c r="K39010" s="18" t="s">
        <v>316</v>
      </c>
    </row>
    <row r="39011">
      <c r="A39011" s="17"/>
      <c r="H39011" s="18"/>
      <c r="K39011" s="18" t="s">
        <v>316</v>
      </c>
    </row>
    <row r="39012">
      <c r="A39012" s="17"/>
      <c r="H39012" s="18"/>
      <c r="K39012" s="18" t="s">
        <v>316</v>
      </c>
    </row>
    <row r="39013">
      <c r="A39013" s="17"/>
      <c r="H39013" s="18"/>
      <c r="K39013" s="18" t="s">
        <v>316</v>
      </c>
    </row>
    <row r="39014">
      <c r="A39014" s="17"/>
      <c r="H39014" s="18"/>
      <c r="K39014" s="18" t="s">
        <v>316</v>
      </c>
    </row>
    <row r="39015">
      <c r="A39015" s="17"/>
      <c r="H39015" s="18"/>
      <c r="K39015" s="18" t="s">
        <v>316</v>
      </c>
    </row>
    <row r="39016">
      <c r="A39016" s="17"/>
      <c r="H39016" s="18"/>
      <c r="K39016" s="18" t="s">
        <v>316</v>
      </c>
    </row>
    <row r="39017">
      <c r="A39017" s="17"/>
      <c r="H39017" s="18"/>
      <c r="K39017" s="18" t="s">
        <v>316</v>
      </c>
    </row>
    <row r="39018">
      <c r="A39018" s="17"/>
      <c r="H39018" s="18"/>
      <c r="K39018" s="18" t="s">
        <v>316</v>
      </c>
    </row>
    <row r="39019">
      <c r="A39019" s="17"/>
      <c r="H39019" s="18"/>
      <c r="K39019" s="18" t="s">
        <v>316</v>
      </c>
    </row>
    <row r="39020">
      <c r="A39020" s="17"/>
      <c r="H39020" s="18"/>
      <c r="K39020" s="18" t="s">
        <v>316</v>
      </c>
    </row>
    <row r="39021">
      <c r="A39021" s="17"/>
      <c r="H39021" s="18"/>
      <c r="K39021" s="18" t="s">
        <v>316</v>
      </c>
    </row>
    <row r="39022">
      <c r="A39022" s="17"/>
      <c r="H39022" s="18"/>
      <c r="K39022" s="18" t="s">
        <v>316</v>
      </c>
    </row>
    <row r="39023">
      <c r="A39023" s="17"/>
      <c r="H39023" s="18"/>
      <c r="K39023" s="18" t="s">
        <v>316</v>
      </c>
    </row>
    <row r="39024">
      <c r="A39024" s="17"/>
      <c r="H39024" s="18"/>
      <c r="K39024" s="18" t="s">
        <v>316</v>
      </c>
    </row>
    <row r="39025">
      <c r="A39025" s="17"/>
      <c r="H39025" s="18"/>
      <c r="K39025" s="18" t="s">
        <v>316</v>
      </c>
    </row>
    <row r="39026">
      <c r="A39026" s="17"/>
      <c r="H39026" s="18"/>
      <c r="K39026" s="18" t="s">
        <v>316</v>
      </c>
    </row>
    <row r="39027">
      <c r="A39027" s="17"/>
      <c r="H39027" s="18"/>
      <c r="K39027" s="18" t="s">
        <v>316</v>
      </c>
    </row>
    <row r="39028">
      <c r="A39028" s="17"/>
      <c r="H39028" s="18"/>
      <c r="K39028" s="18" t="s">
        <v>316</v>
      </c>
    </row>
    <row r="39029">
      <c r="A39029" s="17"/>
      <c r="H39029" s="18"/>
      <c r="K39029" s="18" t="s">
        <v>316</v>
      </c>
    </row>
    <row r="39030">
      <c r="A39030" s="17"/>
      <c r="H39030" s="18"/>
      <c r="K39030" s="18" t="s">
        <v>316</v>
      </c>
    </row>
    <row r="39031">
      <c r="A39031" s="17"/>
      <c r="H39031" s="18"/>
      <c r="K39031" s="18" t="s">
        <v>316</v>
      </c>
    </row>
    <row r="39032">
      <c r="A39032" s="17"/>
      <c r="H39032" s="18"/>
      <c r="K39032" s="18" t="s">
        <v>316</v>
      </c>
    </row>
    <row r="39033">
      <c r="A39033" s="17"/>
      <c r="H39033" s="18"/>
      <c r="K39033" s="18" t="s">
        <v>316</v>
      </c>
    </row>
    <row r="39034">
      <c r="A39034" s="17"/>
      <c r="H39034" s="18"/>
      <c r="K39034" s="18" t="s">
        <v>316</v>
      </c>
    </row>
    <row r="39035">
      <c r="A39035" s="17"/>
      <c r="H39035" s="18"/>
      <c r="K39035" s="18" t="s">
        <v>316</v>
      </c>
    </row>
    <row r="39036">
      <c r="A39036" s="17"/>
      <c r="H39036" s="18"/>
      <c r="K39036" s="18" t="s">
        <v>316</v>
      </c>
    </row>
    <row r="39037">
      <c r="A39037" s="17"/>
      <c r="H39037" s="18"/>
      <c r="K39037" s="18" t="s">
        <v>316</v>
      </c>
    </row>
    <row r="39038">
      <c r="A39038" s="17"/>
      <c r="H39038" s="18"/>
      <c r="K39038" s="18" t="s">
        <v>316</v>
      </c>
    </row>
    <row r="39039">
      <c r="A39039" s="17"/>
      <c r="H39039" s="18"/>
      <c r="K39039" s="18" t="s">
        <v>316</v>
      </c>
    </row>
    <row r="39040">
      <c r="A39040" s="17"/>
      <c r="H39040" s="18"/>
      <c r="K39040" s="18" t="s">
        <v>316</v>
      </c>
    </row>
    <row r="39041">
      <c r="A39041" s="17"/>
      <c r="H39041" s="18"/>
      <c r="K39041" s="18" t="s">
        <v>316</v>
      </c>
    </row>
    <row r="39042">
      <c r="A39042" s="17"/>
      <c r="H39042" s="18"/>
      <c r="K39042" s="18" t="s">
        <v>316</v>
      </c>
    </row>
    <row r="39043">
      <c r="A39043" s="17"/>
      <c r="H39043" s="18"/>
      <c r="K39043" s="18" t="s">
        <v>316</v>
      </c>
    </row>
    <row r="39044">
      <c r="A39044" s="17"/>
      <c r="H39044" s="18"/>
      <c r="K39044" s="18" t="s">
        <v>316</v>
      </c>
    </row>
    <row r="39045">
      <c r="A39045" s="17"/>
      <c r="H39045" s="18"/>
      <c r="K39045" s="18" t="s">
        <v>316</v>
      </c>
    </row>
    <row r="39046">
      <c r="A39046" s="17"/>
      <c r="H39046" s="18"/>
      <c r="K39046" s="18" t="s">
        <v>316</v>
      </c>
    </row>
    <row r="39047">
      <c r="A39047" s="17"/>
      <c r="H39047" s="18"/>
      <c r="K39047" s="18" t="s">
        <v>316</v>
      </c>
    </row>
    <row r="39048">
      <c r="A39048" s="17"/>
      <c r="H39048" s="18"/>
      <c r="K39048" s="18" t="s">
        <v>316</v>
      </c>
    </row>
    <row r="39049">
      <c r="A39049" s="17"/>
      <c r="H39049" s="18"/>
      <c r="K39049" s="18" t="s">
        <v>316</v>
      </c>
    </row>
    <row r="39050">
      <c r="A39050" s="17"/>
      <c r="H39050" s="18"/>
      <c r="K39050" s="18" t="s">
        <v>316</v>
      </c>
    </row>
    <row r="39051">
      <c r="A39051" s="17"/>
      <c r="H39051" s="18"/>
      <c r="K39051" s="18" t="s">
        <v>316</v>
      </c>
    </row>
    <row r="39052">
      <c r="A39052" s="17"/>
      <c r="H39052" s="18"/>
      <c r="K39052" s="18" t="s">
        <v>316</v>
      </c>
    </row>
    <row r="39053">
      <c r="A39053" s="17"/>
      <c r="H39053" s="18"/>
      <c r="K39053" s="18" t="s">
        <v>316</v>
      </c>
    </row>
    <row r="39054">
      <c r="A39054" s="17"/>
      <c r="H39054" s="18"/>
      <c r="K39054" s="18" t="s">
        <v>316</v>
      </c>
    </row>
    <row r="39055">
      <c r="A39055" s="17"/>
      <c r="H39055" s="18"/>
      <c r="K39055" s="18" t="s">
        <v>316</v>
      </c>
    </row>
    <row r="39056">
      <c r="A39056" s="17"/>
      <c r="H39056" s="18"/>
      <c r="K39056" s="18" t="s">
        <v>316</v>
      </c>
    </row>
    <row r="39057">
      <c r="A39057" s="17"/>
      <c r="H39057" s="18"/>
      <c r="K39057" s="18" t="s">
        <v>316</v>
      </c>
    </row>
    <row r="39058">
      <c r="A39058" s="17"/>
      <c r="H39058" s="18"/>
      <c r="K39058" s="18" t="s">
        <v>316</v>
      </c>
    </row>
    <row r="39059">
      <c r="A39059" s="17"/>
      <c r="H39059" s="18"/>
      <c r="K39059" s="18" t="s">
        <v>316</v>
      </c>
    </row>
    <row r="39060">
      <c r="A39060" s="17"/>
      <c r="H39060" s="18"/>
      <c r="K39060" s="18" t="s">
        <v>316</v>
      </c>
    </row>
    <row r="39061">
      <c r="A39061" s="17"/>
      <c r="H39061" s="18"/>
      <c r="K39061" s="18" t="s">
        <v>316</v>
      </c>
    </row>
    <row r="39062">
      <c r="A39062" s="17"/>
      <c r="H39062" s="18"/>
      <c r="K39062" s="18" t="s">
        <v>316</v>
      </c>
    </row>
    <row r="39063">
      <c r="A39063" s="17"/>
      <c r="H39063" s="18"/>
      <c r="K39063" s="18" t="s">
        <v>316</v>
      </c>
    </row>
    <row r="39064">
      <c r="A39064" s="17"/>
      <c r="H39064" s="18"/>
      <c r="K39064" s="18" t="s">
        <v>316</v>
      </c>
    </row>
    <row r="39065">
      <c r="A39065" s="17"/>
      <c r="H39065" s="18"/>
      <c r="K39065" s="18" t="s">
        <v>316</v>
      </c>
    </row>
    <row r="39066">
      <c r="A39066" s="17"/>
      <c r="H39066" s="18"/>
      <c r="K39066" s="18" t="s">
        <v>316</v>
      </c>
    </row>
    <row r="39067">
      <c r="A39067" s="17"/>
      <c r="H39067" s="18"/>
      <c r="K39067" s="18" t="s">
        <v>316</v>
      </c>
    </row>
    <row r="39068">
      <c r="A39068" s="17"/>
      <c r="H39068" s="18"/>
      <c r="K39068" s="18" t="s">
        <v>316</v>
      </c>
    </row>
    <row r="39069">
      <c r="A39069" s="17"/>
      <c r="H39069" s="18"/>
      <c r="K39069" s="18" t="s">
        <v>316</v>
      </c>
    </row>
    <row r="39070">
      <c r="A39070" s="17"/>
      <c r="H39070" s="18"/>
      <c r="K39070" s="18" t="s">
        <v>316</v>
      </c>
    </row>
    <row r="39071">
      <c r="A39071" s="17"/>
      <c r="H39071" s="18"/>
      <c r="K39071" s="18" t="s">
        <v>316</v>
      </c>
    </row>
    <row r="39072">
      <c r="A39072" s="17"/>
      <c r="H39072" s="18"/>
      <c r="K39072" s="18" t="s">
        <v>316</v>
      </c>
    </row>
    <row r="39073">
      <c r="A39073" s="17"/>
      <c r="H39073" s="18"/>
      <c r="K39073" s="18" t="s">
        <v>316</v>
      </c>
    </row>
    <row r="39074">
      <c r="A39074" s="17"/>
      <c r="H39074" s="18"/>
      <c r="K39074" s="18" t="s">
        <v>316</v>
      </c>
    </row>
    <row r="39075">
      <c r="A39075" s="17"/>
      <c r="H39075" s="18"/>
      <c r="K39075" s="18" t="s">
        <v>316</v>
      </c>
    </row>
    <row r="39076">
      <c r="A39076" s="17"/>
      <c r="H39076" s="18"/>
      <c r="K39076" s="18" t="s">
        <v>316</v>
      </c>
    </row>
    <row r="39077">
      <c r="A39077" s="17"/>
      <c r="H39077" s="18"/>
      <c r="K39077" s="18" t="s">
        <v>316</v>
      </c>
    </row>
    <row r="39078">
      <c r="A39078" s="17"/>
      <c r="H39078" s="18"/>
      <c r="K39078" s="18" t="s">
        <v>316</v>
      </c>
    </row>
    <row r="39079">
      <c r="A39079" s="17"/>
      <c r="H39079" s="18"/>
      <c r="K39079" s="18" t="s">
        <v>316</v>
      </c>
    </row>
    <row r="39080">
      <c r="A39080" s="17"/>
      <c r="H39080" s="18"/>
      <c r="K39080" s="18" t="s">
        <v>316</v>
      </c>
    </row>
    <row r="39081">
      <c r="A39081" s="17"/>
      <c r="H39081" s="18"/>
      <c r="K39081" s="18" t="s">
        <v>316</v>
      </c>
    </row>
    <row r="39082">
      <c r="A39082" s="17"/>
      <c r="H39082" s="18"/>
      <c r="K39082" s="18" t="s">
        <v>316</v>
      </c>
    </row>
    <row r="39083">
      <c r="A39083" s="17"/>
      <c r="H39083" s="18"/>
      <c r="K39083" s="18" t="s">
        <v>316</v>
      </c>
    </row>
    <row r="39084">
      <c r="A39084" s="17"/>
      <c r="H39084" s="18"/>
      <c r="K39084" s="18" t="s">
        <v>316</v>
      </c>
    </row>
    <row r="39085">
      <c r="A39085" s="17"/>
      <c r="H39085" s="18"/>
      <c r="K39085" s="18" t="s">
        <v>316</v>
      </c>
    </row>
    <row r="39086">
      <c r="A39086" s="17"/>
      <c r="H39086" s="18"/>
      <c r="K39086" s="18" t="s">
        <v>316</v>
      </c>
    </row>
    <row r="39087">
      <c r="A39087" s="17"/>
      <c r="H39087" s="18"/>
      <c r="K39087" s="18" t="s">
        <v>316</v>
      </c>
    </row>
    <row r="39088">
      <c r="A39088" s="17"/>
      <c r="H39088" s="18"/>
      <c r="K39088" s="18" t="s">
        <v>316</v>
      </c>
    </row>
    <row r="39089">
      <c r="A39089" s="17"/>
      <c r="H39089" s="18"/>
      <c r="K39089" s="18" t="s">
        <v>316</v>
      </c>
    </row>
    <row r="39090">
      <c r="A39090" s="17"/>
      <c r="H39090" s="18"/>
      <c r="K39090" s="18" t="s">
        <v>316</v>
      </c>
    </row>
    <row r="39091">
      <c r="A39091" s="17"/>
      <c r="H39091" s="18"/>
      <c r="K39091" s="18" t="s">
        <v>316</v>
      </c>
    </row>
    <row r="39092">
      <c r="A39092" s="17"/>
      <c r="H39092" s="18"/>
      <c r="K39092" s="18" t="s">
        <v>316</v>
      </c>
    </row>
    <row r="39093">
      <c r="A39093" s="17"/>
      <c r="H39093" s="18"/>
      <c r="K39093" s="18" t="s">
        <v>316</v>
      </c>
    </row>
    <row r="39094">
      <c r="A39094" s="17"/>
      <c r="H39094" s="18"/>
      <c r="K39094" s="18" t="s">
        <v>316</v>
      </c>
    </row>
    <row r="39095">
      <c r="A39095" s="17"/>
      <c r="H39095" s="18"/>
      <c r="K39095" s="18" t="s">
        <v>316</v>
      </c>
    </row>
    <row r="39096">
      <c r="A39096" s="17"/>
      <c r="H39096" s="18"/>
      <c r="K39096" s="18" t="s">
        <v>316</v>
      </c>
    </row>
    <row r="39097">
      <c r="A39097" s="17"/>
      <c r="H39097" s="18"/>
      <c r="K39097" s="18" t="s">
        <v>316</v>
      </c>
    </row>
    <row r="39098">
      <c r="A39098" s="17"/>
      <c r="H39098" s="18"/>
      <c r="K39098" s="18" t="s">
        <v>316</v>
      </c>
    </row>
    <row r="39099">
      <c r="A39099" s="17"/>
      <c r="H39099" s="18"/>
      <c r="K39099" s="18" t="s">
        <v>316</v>
      </c>
    </row>
    <row r="39100">
      <c r="A39100" s="17"/>
      <c r="H39100" s="18"/>
      <c r="K39100" s="18" t="s">
        <v>316</v>
      </c>
    </row>
    <row r="39101">
      <c r="A39101" s="17"/>
      <c r="H39101" s="18"/>
      <c r="K39101" s="18" t="s">
        <v>316</v>
      </c>
    </row>
    <row r="39102">
      <c r="A39102" s="17"/>
      <c r="H39102" s="18"/>
      <c r="K39102" s="18" t="s">
        <v>316</v>
      </c>
    </row>
    <row r="39103">
      <c r="A39103" s="17"/>
      <c r="H39103" s="18"/>
      <c r="K39103" s="18" t="s">
        <v>316</v>
      </c>
    </row>
    <row r="39104">
      <c r="A39104" s="17"/>
      <c r="H39104" s="18"/>
      <c r="K39104" s="18" t="s">
        <v>316</v>
      </c>
    </row>
    <row r="39105">
      <c r="A39105" s="17"/>
      <c r="H39105" s="18"/>
      <c r="K39105" s="18" t="s">
        <v>316</v>
      </c>
    </row>
    <row r="39106">
      <c r="A39106" s="17"/>
      <c r="H39106" s="18"/>
      <c r="K39106" s="18" t="s">
        <v>316</v>
      </c>
    </row>
    <row r="39107">
      <c r="A39107" s="17"/>
      <c r="H39107" s="18"/>
      <c r="K39107" s="18" t="s">
        <v>316</v>
      </c>
    </row>
    <row r="39108">
      <c r="A39108" s="17"/>
      <c r="H39108" s="18"/>
      <c r="K39108" s="18" t="s">
        <v>316</v>
      </c>
    </row>
    <row r="39109">
      <c r="A39109" s="17"/>
      <c r="H39109" s="18"/>
      <c r="K39109" s="18" t="s">
        <v>316</v>
      </c>
    </row>
    <row r="39110">
      <c r="A39110" s="17"/>
      <c r="H39110" s="18"/>
      <c r="K39110" s="18" t="s">
        <v>316</v>
      </c>
    </row>
    <row r="39111">
      <c r="A39111" s="17"/>
      <c r="H39111" s="18"/>
      <c r="K39111" s="18" t="s">
        <v>316</v>
      </c>
    </row>
    <row r="39112">
      <c r="A39112" s="17"/>
      <c r="H39112" s="18"/>
      <c r="K39112" s="18" t="s">
        <v>316</v>
      </c>
    </row>
    <row r="39113">
      <c r="A39113" s="17"/>
      <c r="H39113" s="18"/>
      <c r="K39113" s="18" t="s">
        <v>316</v>
      </c>
    </row>
    <row r="39114">
      <c r="A39114" s="17"/>
      <c r="H39114" s="18"/>
      <c r="K39114" s="18" t="s">
        <v>316</v>
      </c>
    </row>
    <row r="39115">
      <c r="A39115" s="17"/>
      <c r="H39115" s="18"/>
      <c r="K39115" s="18" t="s">
        <v>316</v>
      </c>
    </row>
    <row r="39116">
      <c r="A39116" s="17"/>
      <c r="H39116" s="18"/>
      <c r="K39116" s="18" t="s">
        <v>316</v>
      </c>
    </row>
    <row r="39117">
      <c r="A39117" s="17"/>
      <c r="H39117" s="18"/>
      <c r="K39117" s="18" t="s">
        <v>316</v>
      </c>
    </row>
    <row r="39118">
      <c r="A39118" s="17"/>
      <c r="H39118" s="18"/>
      <c r="K39118" s="18" t="s">
        <v>316</v>
      </c>
    </row>
    <row r="39119">
      <c r="A39119" s="17"/>
      <c r="H39119" s="18"/>
      <c r="K39119" s="18" t="s">
        <v>316</v>
      </c>
    </row>
    <row r="39120">
      <c r="A39120" s="17"/>
      <c r="H39120" s="18"/>
      <c r="K39120" s="18" t="s">
        <v>316</v>
      </c>
    </row>
    <row r="39121">
      <c r="A39121" s="17"/>
      <c r="H39121" s="18"/>
      <c r="K39121" s="18" t="s">
        <v>316</v>
      </c>
    </row>
    <row r="39122">
      <c r="A39122" s="17"/>
      <c r="H39122" s="18"/>
      <c r="K39122" s="18" t="s">
        <v>316</v>
      </c>
    </row>
    <row r="39123">
      <c r="A39123" s="17"/>
      <c r="H39123" s="18"/>
      <c r="K39123" s="18" t="s">
        <v>316</v>
      </c>
    </row>
    <row r="39124">
      <c r="A39124" s="17"/>
      <c r="H39124" s="18"/>
      <c r="K39124" s="18" t="s">
        <v>316</v>
      </c>
    </row>
    <row r="39125">
      <c r="A39125" s="17"/>
      <c r="H39125" s="18"/>
      <c r="K39125" s="18" t="s">
        <v>316</v>
      </c>
    </row>
    <row r="39126">
      <c r="A39126" s="17"/>
      <c r="H39126" s="18"/>
      <c r="K39126" s="18" t="s">
        <v>316</v>
      </c>
    </row>
    <row r="39127">
      <c r="A39127" s="17"/>
      <c r="H39127" s="18"/>
      <c r="K39127" s="18" t="s">
        <v>316</v>
      </c>
    </row>
    <row r="39128">
      <c r="A39128" s="17"/>
      <c r="H39128" s="18"/>
      <c r="K39128" s="18" t="s">
        <v>316</v>
      </c>
    </row>
    <row r="39129">
      <c r="A39129" s="17"/>
      <c r="H39129" s="18"/>
      <c r="K39129" s="18" t="s">
        <v>316</v>
      </c>
    </row>
    <row r="39130">
      <c r="A39130" s="17"/>
      <c r="H39130" s="18"/>
      <c r="K39130" s="18" t="s">
        <v>316</v>
      </c>
    </row>
    <row r="39131">
      <c r="A39131" s="17"/>
      <c r="H39131" s="18"/>
      <c r="K39131" s="18" t="s">
        <v>316</v>
      </c>
    </row>
    <row r="39132">
      <c r="A39132" s="17"/>
      <c r="H39132" s="18"/>
      <c r="K39132" s="18" t="s">
        <v>316</v>
      </c>
    </row>
    <row r="39133">
      <c r="A39133" s="17"/>
      <c r="H39133" s="18"/>
      <c r="K39133" s="18" t="s">
        <v>316</v>
      </c>
    </row>
    <row r="39134">
      <c r="A39134" s="17"/>
      <c r="H39134" s="18"/>
      <c r="K39134" s="18" t="s">
        <v>316</v>
      </c>
    </row>
    <row r="39135">
      <c r="A39135" s="17"/>
      <c r="H39135" s="18"/>
      <c r="K39135" s="18" t="s">
        <v>316</v>
      </c>
    </row>
    <row r="39136">
      <c r="A39136" s="17"/>
      <c r="H39136" s="18"/>
      <c r="K39136" s="18" t="s">
        <v>316</v>
      </c>
    </row>
    <row r="39137">
      <c r="A39137" s="17"/>
      <c r="H39137" s="18"/>
      <c r="K39137" s="18" t="s">
        <v>316</v>
      </c>
    </row>
    <row r="39138">
      <c r="A39138" s="17"/>
      <c r="H39138" s="18"/>
      <c r="K39138" s="18" t="s">
        <v>316</v>
      </c>
    </row>
    <row r="39139">
      <c r="A39139" s="17"/>
      <c r="H39139" s="18"/>
      <c r="K39139" s="18" t="s">
        <v>316</v>
      </c>
    </row>
    <row r="39140">
      <c r="A39140" s="17"/>
      <c r="H39140" s="18"/>
      <c r="K39140" s="18" t="s">
        <v>316</v>
      </c>
    </row>
    <row r="39141">
      <c r="A39141" s="17"/>
      <c r="H39141" s="18"/>
      <c r="K39141" s="18" t="s">
        <v>316</v>
      </c>
    </row>
    <row r="39142">
      <c r="A39142" s="17"/>
      <c r="H39142" s="18"/>
      <c r="K39142" s="18" t="s">
        <v>316</v>
      </c>
    </row>
    <row r="39143">
      <c r="A39143" s="17"/>
      <c r="H39143" s="18"/>
      <c r="K39143" s="18" t="s">
        <v>316</v>
      </c>
    </row>
    <row r="39144">
      <c r="A39144" s="17"/>
      <c r="H39144" s="18"/>
      <c r="K39144" s="18" t="s">
        <v>316</v>
      </c>
    </row>
    <row r="39145">
      <c r="A39145" s="17"/>
      <c r="H39145" s="18"/>
      <c r="K39145" s="18" t="s">
        <v>316</v>
      </c>
    </row>
    <row r="39146">
      <c r="A39146" s="17"/>
      <c r="H39146" s="18"/>
      <c r="K39146" s="18" t="s">
        <v>316</v>
      </c>
    </row>
    <row r="39147">
      <c r="A39147" s="17"/>
      <c r="H39147" s="18"/>
      <c r="K39147" s="18" t="s">
        <v>316</v>
      </c>
    </row>
    <row r="39148">
      <c r="A39148" s="17"/>
      <c r="H39148" s="18"/>
      <c r="K39148" s="18" t="s">
        <v>316</v>
      </c>
    </row>
    <row r="39149">
      <c r="A39149" s="17"/>
      <c r="H39149" s="18"/>
      <c r="K39149" s="18" t="s">
        <v>316</v>
      </c>
    </row>
    <row r="39150">
      <c r="A39150" s="17"/>
      <c r="H39150" s="18"/>
      <c r="K39150" s="18" t="s">
        <v>316</v>
      </c>
    </row>
    <row r="39151">
      <c r="A39151" s="17"/>
      <c r="H39151" s="18"/>
      <c r="K39151" s="18" t="s">
        <v>316</v>
      </c>
    </row>
    <row r="39152">
      <c r="A39152" s="17"/>
      <c r="H39152" s="18"/>
      <c r="K39152" s="18" t="s">
        <v>316</v>
      </c>
    </row>
    <row r="39153">
      <c r="A39153" s="17"/>
      <c r="H39153" s="18"/>
      <c r="K39153" s="18" t="s">
        <v>316</v>
      </c>
    </row>
    <row r="39154">
      <c r="A39154" s="17"/>
      <c r="H39154" s="18"/>
      <c r="K39154" s="18" t="s">
        <v>316</v>
      </c>
    </row>
    <row r="39155">
      <c r="A39155" s="17"/>
      <c r="H39155" s="18"/>
      <c r="K39155" s="18" t="s">
        <v>316</v>
      </c>
    </row>
    <row r="39156">
      <c r="A39156" s="17"/>
      <c r="H39156" s="18"/>
      <c r="K39156" s="18" t="s">
        <v>316</v>
      </c>
    </row>
    <row r="39157">
      <c r="A39157" s="17"/>
      <c r="H39157" s="18"/>
      <c r="K39157" s="18" t="s">
        <v>316</v>
      </c>
    </row>
    <row r="39158">
      <c r="A39158" s="17"/>
      <c r="H39158" s="18"/>
      <c r="K39158" s="18" t="s">
        <v>316</v>
      </c>
    </row>
    <row r="39159">
      <c r="A39159" s="17"/>
      <c r="H39159" s="18"/>
      <c r="K39159" s="18" t="s">
        <v>316</v>
      </c>
    </row>
    <row r="39160">
      <c r="A39160" s="17"/>
      <c r="H39160" s="18"/>
      <c r="K39160" s="18" t="s">
        <v>316</v>
      </c>
    </row>
    <row r="39161">
      <c r="A39161" s="17"/>
      <c r="H39161" s="18"/>
      <c r="K39161" s="18" t="s">
        <v>316</v>
      </c>
    </row>
    <row r="39162">
      <c r="A39162" s="17"/>
      <c r="H39162" s="18"/>
      <c r="K39162" s="18" t="s">
        <v>316</v>
      </c>
    </row>
    <row r="39163">
      <c r="A39163" s="17"/>
      <c r="H39163" s="18"/>
      <c r="K39163" s="18" t="s">
        <v>316</v>
      </c>
    </row>
    <row r="39164">
      <c r="A39164" s="17"/>
      <c r="H39164" s="18"/>
      <c r="K39164" s="18" t="s">
        <v>316</v>
      </c>
    </row>
    <row r="39165">
      <c r="A39165" s="17"/>
      <c r="H39165" s="18"/>
      <c r="K39165" s="18" t="s">
        <v>316</v>
      </c>
    </row>
    <row r="39166">
      <c r="A39166" s="17"/>
      <c r="H39166" s="18"/>
      <c r="K39166" s="18" t="s">
        <v>316</v>
      </c>
    </row>
    <row r="39167">
      <c r="A39167" s="17"/>
      <c r="H39167" s="18"/>
      <c r="K39167" s="18" t="s">
        <v>316</v>
      </c>
    </row>
    <row r="39168">
      <c r="A39168" s="17"/>
      <c r="H39168" s="18"/>
      <c r="K39168" s="18" t="s">
        <v>316</v>
      </c>
    </row>
    <row r="39169">
      <c r="A39169" s="17"/>
      <c r="H39169" s="18"/>
      <c r="K39169" s="18" t="s">
        <v>316</v>
      </c>
    </row>
    <row r="39170">
      <c r="A39170" s="17"/>
      <c r="H39170" s="18"/>
      <c r="K39170" s="18" t="s">
        <v>316</v>
      </c>
    </row>
    <row r="39171">
      <c r="A39171" s="17"/>
      <c r="H39171" s="18"/>
      <c r="K39171" s="18" t="s">
        <v>316</v>
      </c>
    </row>
    <row r="39172">
      <c r="A39172" s="17"/>
      <c r="H39172" s="18"/>
      <c r="K39172" s="18" t="s">
        <v>316</v>
      </c>
    </row>
    <row r="39173">
      <c r="A39173" s="17"/>
      <c r="H39173" s="18"/>
      <c r="K39173" s="18" t="s">
        <v>316</v>
      </c>
    </row>
    <row r="39174">
      <c r="A39174" s="17"/>
      <c r="H39174" s="18"/>
      <c r="K39174" s="18" t="s">
        <v>316</v>
      </c>
    </row>
    <row r="39175">
      <c r="A39175" s="17"/>
      <c r="H39175" s="18"/>
      <c r="K39175" s="18" t="s">
        <v>316</v>
      </c>
    </row>
    <row r="39176">
      <c r="A39176" s="17"/>
      <c r="H39176" s="18"/>
      <c r="K39176" s="18" t="s">
        <v>316</v>
      </c>
    </row>
    <row r="39177">
      <c r="A39177" s="17"/>
      <c r="H39177" s="18"/>
      <c r="K39177" s="18" t="s">
        <v>316</v>
      </c>
    </row>
    <row r="39178">
      <c r="A39178" s="17"/>
      <c r="H39178" s="18"/>
      <c r="K39178" s="18" t="s">
        <v>316</v>
      </c>
    </row>
    <row r="39179">
      <c r="A39179" s="17"/>
      <c r="H39179" s="18"/>
      <c r="K39179" s="18" t="s">
        <v>316</v>
      </c>
    </row>
    <row r="39180">
      <c r="A39180" s="17"/>
      <c r="H39180" s="18"/>
      <c r="K39180" s="18" t="s">
        <v>316</v>
      </c>
    </row>
    <row r="39181">
      <c r="A39181" s="17"/>
      <c r="H39181" s="18"/>
      <c r="K39181" s="18" t="s">
        <v>316</v>
      </c>
    </row>
    <row r="39182">
      <c r="A39182" s="17"/>
      <c r="H39182" s="18"/>
      <c r="K39182" s="18" t="s">
        <v>316</v>
      </c>
    </row>
    <row r="39183">
      <c r="A39183" s="17"/>
      <c r="H39183" s="18"/>
      <c r="K39183" s="18" t="s">
        <v>316</v>
      </c>
    </row>
    <row r="39184">
      <c r="A39184" s="17"/>
      <c r="H39184" s="18"/>
      <c r="K39184" s="18" t="s">
        <v>316</v>
      </c>
    </row>
    <row r="39185">
      <c r="A39185" s="17"/>
      <c r="H39185" s="18"/>
      <c r="K39185" s="18" t="s">
        <v>316</v>
      </c>
    </row>
    <row r="39186">
      <c r="A39186" s="17"/>
      <c r="H39186" s="18"/>
      <c r="K39186" s="18" t="s">
        <v>316</v>
      </c>
    </row>
    <row r="39187">
      <c r="A39187" s="17"/>
      <c r="H39187" s="18"/>
      <c r="K39187" s="18" t="s">
        <v>316</v>
      </c>
    </row>
    <row r="39188">
      <c r="A39188" s="17"/>
      <c r="H39188" s="18"/>
      <c r="K39188" s="18" t="s">
        <v>316</v>
      </c>
    </row>
    <row r="39189">
      <c r="A39189" s="17"/>
      <c r="H39189" s="18"/>
      <c r="K39189" s="18" t="s">
        <v>316</v>
      </c>
    </row>
    <row r="39190">
      <c r="A39190" s="17"/>
      <c r="H39190" s="18"/>
      <c r="K39190" s="18" t="s">
        <v>316</v>
      </c>
    </row>
    <row r="39191">
      <c r="A39191" s="17"/>
      <c r="H39191" s="18"/>
      <c r="K39191" s="18" t="s">
        <v>316</v>
      </c>
    </row>
    <row r="39192">
      <c r="A39192" s="17"/>
      <c r="H39192" s="18"/>
      <c r="K39192" s="18" t="s">
        <v>316</v>
      </c>
    </row>
    <row r="39193">
      <c r="A39193" s="17"/>
      <c r="H39193" s="18"/>
      <c r="K39193" s="18" t="s">
        <v>316</v>
      </c>
    </row>
    <row r="39194">
      <c r="A39194" s="17"/>
      <c r="H39194" s="18"/>
      <c r="K39194" s="18" t="s">
        <v>316</v>
      </c>
    </row>
    <row r="39195">
      <c r="A39195" s="17"/>
      <c r="H39195" s="18"/>
      <c r="K39195" s="18" t="s">
        <v>316</v>
      </c>
    </row>
    <row r="39196">
      <c r="A39196" s="17"/>
      <c r="H39196" s="18"/>
      <c r="K39196" s="18" t="s">
        <v>316</v>
      </c>
    </row>
    <row r="39197">
      <c r="A39197" s="17"/>
      <c r="H39197" s="18"/>
      <c r="K39197" s="18" t="s">
        <v>316</v>
      </c>
    </row>
    <row r="39198">
      <c r="A39198" s="17"/>
      <c r="H39198" s="18"/>
      <c r="K39198" s="18" t="s">
        <v>316</v>
      </c>
    </row>
    <row r="39199">
      <c r="A39199" s="17"/>
      <c r="H39199" s="18"/>
      <c r="K39199" s="18" t="s">
        <v>316</v>
      </c>
    </row>
    <row r="39200">
      <c r="A39200" s="17"/>
      <c r="H39200" s="18"/>
      <c r="K39200" s="18" t="s">
        <v>316</v>
      </c>
    </row>
    <row r="39201">
      <c r="A39201" s="17"/>
      <c r="H39201" s="18"/>
      <c r="K39201" s="18" t="s">
        <v>316</v>
      </c>
    </row>
    <row r="39202">
      <c r="A39202" s="17"/>
      <c r="H39202" s="18"/>
      <c r="K39202" s="18" t="s">
        <v>316</v>
      </c>
    </row>
    <row r="39203">
      <c r="A39203" s="17"/>
      <c r="H39203" s="18"/>
      <c r="K39203" s="18" t="s">
        <v>316</v>
      </c>
    </row>
    <row r="39204">
      <c r="A39204" s="17"/>
      <c r="H39204" s="18"/>
      <c r="K39204" s="18" t="s">
        <v>316</v>
      </c>
    </row>
    <row r="39205">
      <c r="A39205" s="17"/>
      <c r="H39205" s="18"/>
      <c r="K39205" s="18" t="s">
        <v>316</v>
      </c>
    </row>
    <row r="39206">
      <c r="A39206" s="17"/>
      <c r="H39206" s="18"/>
      <c r="K39206" s="18" t="s">
        <v>316</v>
      </c>
    </row>
    <row r="39207">
      <c r="A39207" s="17"/>
      <c r="H39207" s="18"/>
      <c r="K39207" s="18" t="s">
        <v>316</v>
      </c>
    </row>
    <row r="39208">
      <c r="A39208" s="17"/>
      <c r="H39208" s="18"/>
      <c r="K39208" s="18" t="s">
        <v>316</v>
      </c>
    </row>
    <row r="39209">
      <c r="A39209" s="17"/>
      <c r="H39209" s="18"/>
      <c r="K39209" s="18" t="s">
        <v>316</v>
      </c>
    </row>
    <row r="39210">
      <c r="A39210" s="17"/>
      <c r="H39210" s="18"/>
      <c r="K39210" s="18" t="s">
        <v>316</v>
      </c>
    </row>
    <row r="39211">
      <c r="A39211" s="17"/>
      <c r="H39211" s="18"/>
      <c r="K39211" s="18" t="s">
        <v>316</v>
      </c>
    </row>
    <row r="39212">
      <c r="A39212" s="17"/>
      <c r="H39212" s="18"/>
      <c r="K39212" s="18" t="s">
        <v>316</v>
      </c>
    </row>
    <row r="39213">
      <c r="A39213" s="17"/>
      <c r="H39213" s="18"/>
      <c r="K39213" s="18" t="s">
        <v>316</v>
      </c>
    </row>
    <row r="39214">
      <c r="A39214" s="17"/>
      <c r="H39214" s="18"/>
      <c r="K39214" s="18" t="s">
        <v>316</v>
      </c>
    </row>
    <row r="39215">
      <c r="A39215" s="17"/>
      <c r="H39215" s="18"/>
      <c r="K39215" s="18" t="s">
        <v>316</v>
      </c>
    </row>
    <row r="39216">
      <c r="A39216" s="17"/>
      <c r="H39216" s="18"/>
      <c r="K39216" s="18" t="s">
        <v>316</v>
      </c>
    </row>
    <row r="39217">
      <c r="A39217" s="17"/>
      <c r="H39217" s="18"/>
      <c r="K39217" s="18" t="s">
        <v>316</v>
      </c>
    </row>
    <row r="39218">
      <c r="A39218" s="17"/>
      <c r="H39218" s="18"/>
      <c r="K39218" s="18" t="s">
        <v>316</v>
      </c>
    </row>
    <row r="39219">
      <c r="A39219" s="17"/>
      <c r="H39219" s="18"/>
      <c r="K39219" s="18" t="s">
        <v>316</v>
      </c>
    </row>
    <row r="39220">
      <c r="A39220" s="17"/>
      <c r="H39220" s="18"/>
      <c r="K39220" s="18" t="s">
        <v>316</v>
      </c>
    </row>
    <row r="39221">
      <c r="A39221" s="17"/>
      <c r="H39221" s="18"/>
      <c r="K39221" s="18" t="s">
        <v>316</v>
      </c>
    </row>
    <row r="39222">
      <c r="A39222" s="17"/>
      <c r="H39222" s="18"/>
      <c r="K39222" s="18" t="s">
        <v>316</v>
      </c>
    </row>
    <row r="39223">
      <c r="A39223" s="17"/>
      <c r="H39223" s="18"/>
      <c r="K39223" s="18" t="s">
        <v>316</v>
      </c>
    </row>
    <row r="39224">
      <c r="A39224" s="17"/>
      <c r="H39224" s="18"/>
      <c r="K39224" s="18" t="s">
        <v>316</v>
      </c>
    </row>
    <row r="39225">
      <c r="A39225" s="17"/>
      <c r="H39225" s="18"/>
      <c r="K39225" s="18" t="s">
        <v>316</v>
      </c>
    </row>
    <row r="39226">
      <c r="A39226" s="17"/>
      <c r="H39226" s="18"/>
      <c r="K39226" s="18" t="s">
        <v>316</v>
      </c>
    </row>
    <row r="39227">
      <c r="A39227" s="17"/>
      <c r="H39227" s="18"/>
      <c r="K39227" s="18" t="s">
        <v>316</v>
      </c>
    </row>
    <row r="39228">
      <c r="A39228" s="17"/>
      <c r="H39228" s="18"/>
      <c r="K39228" s="18" t="s">
        <v>316</v>
      </c>
    </row>
    <row r="39229">
      <c r="A39229" s="17"/>
      <c r="H39229" s="18"/>
      <c r="K39229" s="18" t="s">
        <v>316</v>
      </c>
    </row>
    <row r="39230">
      <c r="A39230" s="17"/>
      <c r="H39230" s="18"/>
      <c r="K39230" s="18" t="s">
        <v>316</v>
      </c>
    </row>
    <row r="39231">
      <c r="A39231" s="17"/>
      <c r="H39231" s="18"/>
      <c r="K39231" s="18" t="s">
        <v>316</v>
      </c>
    </row>
    <row r="39232">
      <c r="A39232" s="17"/>
      <c r="H39232" s="18"/>
      <c r="K39232" s="18" t="s">
        <v>316</v>
      </c>
    </row>
    <row r="39233">
      <c r="A39233" s="17"/>
      <c r="H39233" s="18"/>
      <c r="K39233" s="18" t="s">
        <v>316</v>
      </c>
    </row>
    <row r="39234">
      <c r="A39234" s="17"/>
      <c r="H39234" s="18"/>
      <c r="K39234" s="18" t="s">
        <v>316</v>
      </c>
    </row>
    <row r="39235">
      <c r="A39235" s="17"/>
      <c r="H39235" s="18"/>
      <c r="K39235" s="18" t="s">
        <v>316</v>
      </c>
    </row>
    <row r="39236">
      <c r="A39236" s="17"/>
      <c r="H39236" s="18"/>
      <c r="K39236" s="18" t="s">
        <v>316</v>
      </c>
    </row>
    <row r="39237">
      <c r="A39237" s="17"/>
      <c r="H39237" s="18"/>
      <c r="K39237" s="18" t="s">
        <v>316</v>
      </c>
    </row>
    <row r="39238">
      <c r="A39238" s="17"/>
      <c r="H39238" s="18"/>
      <c r="K39238" s="18" t="s">
        <v>316</v>
      </c>
    </row>
    <row r="39239">
      <c r="A39239" s="17"/>
      <c r="H39239" s="18"/>
      <c r="K39239" s="18" t="s">
        <v>316</v>
      </c>
    </row>
    <row r="39240">
      <c r="A39240" s="17"/>
      <c r="H39240" s="18"/>
      <c r="K39240" s="18" t="s">
        <v>316</v>
      </c>
    </row>
    <row r="39241">
      <c r="A39241" s="17"/>
      <c r="H39241" s="18"/>
      <c r="K39241" s="18" t="s">
        <v>316</v>
      </c>
    </row>
    <row r="39242">
      <c r="A39242" s="17"/>
      <c r="H39242" s="18"/>
      <c r="K39242" s="18" t="s">
        <v>316</v>
      </c>
    </row>
    <row r="39243">
      <c r="A39243" s="17"/>
      <c r="H39243" s="18"/>
      <c r="K39243" s="18" t="s">
        <v>316</v>
      </c>
    </row>
    <row r="39244">
      <c r="A39244" s="17"/>
      <c r="H39244" s="18"/>
      <c r="K39244" s="18" t="s">
        <v>316</v>
      </c>
    </row>
    <row r="39245">
      <c r="A39245" s="17"/>
      <c r="H39245" s="18"/>
      <c r="K39245" s="18" t="s">
        <v>316</v>
      </c>
    </row>
    <row r="39246">
      <c r="A39246" s="17"/>
      <c r="H39246" s="18"/>
      <c r="K39246" s="18" t="s">
        <v>316</v>
      </c>
    </row>
    <row r="39247">
      <c r="A39247" s="17"/>
      <c r="H39247" s="18"/>
      <c r="K39247" s="18" t="s">
        <v>316</v>
      </c>
    </row>
    <row r="39248">
      <c r="A39248" s="17"/>
      <c r="H39248" s="18"/>
      <c r="K39248" s="18" t="s">
        <v>316</v>
      </c>
    </row>
    <row r="39249">
      <c r="A39249" s="17"/>
      <c r="H39249" s="18"/>
      <c r="K39249" s="18" t="s">
        <v>316</v>
      </c>
    </row>
    <row r="39250">
      <c r="A39250" s="17"/>
      <c r="H39250" s="18"/>
      <c r="K39250" s="18" t="s">
        <v>316</v>
      </c>
    </row>
    <row r="39251">
      <c r="A39251" s="17"/>
      <c r="H39251" s="18"/>
      <c r="K39251" s="18" t="s">
        <v>316</v>
      </c>
    </row>
    <row r="39252">
      <c r="A39252" s="17"/>
      <c r="H39252" s="18"/>
      <c r="K39252" s="18" t="s">
        <v>316</v>
      </c>
    </row>
    <row r="39253">
      <c r="A39253" s="17"/>
      <c r="H39253" s="18"/>
      <c r="K39253" s="18" t="s">
        <v>316</v>
      </c>
    </row>
    <row r="39254">
      <c r="A39254" s="17"/>
      <c r="H39254" s="18"/>
      <c r="K39254" s="18" t="s">
        <v>316</v>
      </c>
    </row>
    <row r="39255">
      <c r="A39255" s="17"/>
      <c r="H39255" s="18"/>
      <c r="K39255" s="18" t="s">
        <v>316</v>
      </c>
    </row>
    <row r="39256">
      <c r="A39256" s="17"/>
      <c r="H39256" s="18"/>
      <c r="K39256" s="18" t="s">
        <v>316</v>
      </c>
    </row>
    <row r="39257">
      <c r="A39257" s="17"/>
      <c r="H39257" s="18"/>
      <c r="K39257" s="18" t="s">
        <v>316</v>
      </c>
    </row>
    <row r="39258">
      <c r="A39258" s="17"/>
      <c r="H39258" s="18"/>
      <c r="K39258" s="18" t="s">
        <v>316</v>
      </c>
    </row>
    <row r="39259">
      <c r="A39259" s="17"/>
      <c r="H39259" s="18"/>
      <c r="K39259" s="18" t="s">
        <v>316</v>
      </c>
    </row>
    <row r="39260">
      <c r="A39260" s="17"/>
      <c r="H39260" s="18"/>
      <c r="K39260" s="18" t="s">
        <v>316</v>
      </c>
    </row>
    <row r="39261">
      <c r="A39261" s="17"/>
      <c r="H39261" s="18"/>
      <c r="K39261" s="18" t="s">
        <v>316</v>
      </c>
    </row>
    <row r="39262">
      <c r="A39262" s="17"/>
      <c r="H39262" s="18"/>
      <c r="K39262" s="18" t="s">
        <v>316</v>
      </c>
    </row>
    <row r="39263">
      <c r="A39263" s="17"/>
      <c r="H39263" s="18"/>
      <c r="K39263" s="18" t="s">
        <v>316</v>
      </c>
    </row>
    <row r="39264">
      <c r="A39264" s="17"/>
      <c r="H39264" s="18"/>
      <c r="K39264" s="18" t="s">
        <v>316</v>
      </c>
    </row>
    <row r="39265">
      <c r="A39265" s="17"/>
      <c r="H39265" s="18"/>
      <c r="K39265" s="18" t="s">
        <v>316</v>
      </c>
    </row>
    <row r="39266">
      <c r="A39266" s="17"/>
      <c r="H39266" s="18"/>
      <c r="K39266" s="18" t="s">
        <v>316</v>
      </c>
    </row>
    <row r="39267">
      <c r="A39267" s="17"/>
      <c r="H39267" s="18"/>
      <c r="K39267" s="18" t="s">
        <v>316</v>
      </c>
    </row>
    <row r="39268">
      <c r="A39268" s="17"/>
      <c r="H39268" s="18"/>
      <c r="K39268" s="18" t="s">
        <v>316</v>
      </c>
    </row>
    <row r="39269">
      <c r="A39269" s="17"/>
      <c r="H39269" s="18"/>
      <c r="K39269" s="18" t="s">
        <v>316</v>
      </c>
    </row>
    <row r="39270">
      <c r="A39270" s="17"/>
      <c r="H39270" s="18"/>
      <c r="K39270" s="18" t="s">
        <v>316</v>
      </c>
    </row>
    <row r="39271">
      <c r="A39271" s="17"/>
      <c r="H39271" s="18"/>
      <c r="K39271" s="18" t="s">
        <v>316</v>
      </c>
    </row>
    <row r="39272">
      <c r="A39272" s="17"/>
      <c r="H39272" s="18"/>
      <c r="K39272" s="18" t="s">
        <v>316</v>
      </c>
    </row>
    <row r="39273">
      <c r="A39273" s="17"/>
      <c r="H39273" s="18"/>
      <c r="K39273" s="18" t="s">
        <v>316</v>
      </c>
    </row>
    <row r="39274">
      <c r="A39274" s="17"/>
      <c r="H39274" s="18"/>
      <c r="K39274" s="18" t="s">
        <v>316</v>
      </c>
    </row>
    <row r="39275">
      <c r="A39275" s="17"/>
      <c r="H39275" s="18"/>
      <c r="K39275" s="18" t="s">
        <v>316</v>
      </c>
    </row>
    <row r="39276">
      <c r="A39276" s="17"/>
      <c r="H39276" s="18"/>
      <c r="K39276" s="18" t="s">
        <v>316</v>
      </c>
    </row>
    <row r="39277">
      <c r="A39277" s="17"/>
      <c r="H39277" s="18"/>
      <c r="K39277" s="18" t="s">
        <v>316</v>
      </c>
    </row>
    <row r="39278">
      <c r="A39278" s="17"/>
      <c r="H39278" s="18"/>
      <c r="K39278" s="18" t="s">
        <v>316</v>
      </c>
    </row>
    <row r="39279">
      <c r="A39279" s="17"/>
      <c r="H39279" s="18"/>
      <c r="K39279" s="18" t="s">
        <v>316</v>
      </c>
    </row>
    <row r="39280">
      <c r="A39280" s="17"/>
      <c r="H39280" s="18"/>
      <c r="K39280" s="18" t="s">
        <v>316</v>
      </c>
    </row>
    <row r="39281">
      <c r="A39281" s="17"/>
      <c r="H39281" s="18"/>
      <c r="K39281" s="18" t="s">
        <v>316</v>
      </c>
    </row>
    <row r="39282">
      <c r="A39282" s="17"/>
      <c r="H39282" s="18"/>
      <c r="K39282" s="18" t="s">
        <v>316</v>
      </c>
    </row>
    <row r="39283">
      <c r="A39283" s="17"/>
      <c r="H39283" s="18"/>
      <c r="K39283" s="18" t="s">
        <v>316</v>
      </c>
    </row>
    <row r="39284">
      <c r="A39284" s="17"/>
      <c r="H39284" s="18"/>
      <c r="K39284" s="18" t="s">
        <v>316</v>
      </c>
    </row>
    <row r="39285">
      <c r="A39285" s="17"/>
      <c r="H39285" s="18"/>
      <c r="K39285" s="18" t="s">
        <v>316</v>
      </c>
    </row>
    <row r="39286">
      <c r="A39286" s="17"/>
      <c r="H39286" s="18"/>
      <c r="K39286" s="18" t="s">
        <v>316</v>
      </c>
    </row>
    <row r="39287">
      <c r="A39287" s="17"/>
      <c r="H39287" s="18"/>
      <c r="K39287" s="18" t="s">
        <v>316</v>
      </c>
    </row>
    <row r="39288">
      <c r="A39288" s="17"/>
      <c r="H39288" s="18"/>
      <c r="K39288" s="18" t="s">
        <v>316</v>
      </c>
    </row>
    <row r="39289">
      <c r="A39289" s="17"/>
      <c r="H39289" s="18"/>
      <c r="K39289" s="18" t="s">
        <v>316</v>
      </c>
    </row>
    <row r="39290">
      <c r="A39290" s="17"/>
      <c r="H39290" s="18"/>
      <c r="K39290" s="18" t="s">
        <v>316</v>
      </c>
    </row>
    <row r="39291">
      <c r="A39291" s="17"/>
      <c r="H39291" s="18"/>
      <c r="K39291" s="18" t="s">
        <v>316</v>
      </c>
    </row>
    <row r="39292">
      <c r="A39292" s="17"/>
      <c r="H39292" s="18"/>
      <c r="K39292" s="18" t="s">
        <v>316</v>
      </c>
    </row>
    <row r="39293">
      <c r="A39293" s="17"/>
      <c r="H39293" s="18"/>
      <c r="K39293" s="18" t="s">
        <v>316</v>
      </c>
    </row>
    <row r="39294">
      <c r="A39294" s="17"/>
      <c r="H39294" s="18"/>
      <c r="K39294" s="18" t="s">
        <v>316</v>
      </c>
    </row>
    <row r="39295">
      <c r="A39295" s="17"/>
      <c r="H39295" s="18"/>
      <c r="K39295" s="18" t="s">
        <v>316</v>
      </c>
    </row>
    <row r="39296">
      <c r="A39296" s="17"/>
      <c r="H39296" s="18"/>
      <c r="K39296" s="18" t="s">
        <v>316</v>
      </c>
    </row>
    <row r="39297">
      <c r="A39297" s="17"/>
      <c r="H39297" s="18"/>
      <c r="K39297" s="18" t="s">
        <v>316</v>
      </c>
    </row>
    <row r="39298">
      <c r="A39298" s="17"/>
      <c r="H39298" s="18"/>
      <c r="K39298" s="18" t="s">
        <v>316</v>
      </c>
    </row>
    <row r="39299">
      <c r="A39299" s="17"/>
      <c r="H39299" s="18"/>
      <c r="K39299" s="18" t="s">
        <v>316</v>
      </c>
    </row>
    <row r="39300">
      <c r="A39300" s="17"/>
      <c r="H39300" s="18"/>
      <c r="K39300" s="18" t="s">
        <v>316</v>
      </c>
    </row>
    <row r="39301">
      <c r="A39301" s="17"/>
      <c r="H39301" s="18"/>
      <c r="K39301" s="18" t="s">
        <v>316</v>
      </c>
    </row>
    <row r="39302">
      <c r="A39302" s="17"/>
      <c r="H39302" s="18"/>
      <c r="K39302" s="18" t="s">
        <v>316</v>
      </c>
    </row>
    <row r="39303">
      <c r="A39303" s="17"/>
      <c r="H39303" s="18"/>
      <c r="K39303" s="18" t="s">
        <v>316</v>
      </c>
    </row>
    <row r="39304">
      <c r="A39304" s="17"/>
      <c r="H39304" s="18"/>
      <c r="K39304" s="18" t="s">
        <v>316</v>
      </c>
    </row>
    <row r="39305">
      <c r="A39305" s="17"/>
      <c r="H39305" s="18"/>
      <c r="K39305" s="18" t="s">
        <v>316</v>
      </c>
    </row>
    <row r="39306">
      <c r="A39306" s="17"/>
      <c r="H39306" s="18"/>
      <c r="K39306" s="18" t="s">
        <v>316</v>
      </c>
    </row>
    <row r="39307">
      <c r="A39307" s="17"/>
      <c r="H39307" s="18"/>
      <c r="K39307" s="18" t="s">
        <v>316</v>
      </c>
    </row>
    <row r="39308">
      <c r="A39308" s="17"/>
      <c r="H39308" s="18"/>
      <c r="K39308" s="18" t="s">
        <v>316</v>
      </c>
    </row>
    <row r="39309">
      <c r="A39309" s="17"/>
      <c r="H39309" s="18"/>
      <c r="K39309" s="18" t="s">
        <v>316</v>
      </c>
    </row>
    <row r="39310">
      <c r="A39310" s="17"/>
      <c r="H39310" s="18"/>
      <c r="K39310" s="18" t="s">
        <v>316</v>
      </c>
    </row>
    <row r="39311">
      <c r="A39311" s="17"/>
      <c r="H39311" s="18"/>
      <c r="K39311" s="18" t="s">
        <v>316</v>
      </c>
    </row>
    <row r="39312">
      <c r="A39312" s="17"/>
      <c r="H39312" s="18"/>
      <c r="K39312" s="18" t="s">
        <v>316</v>
      </c>
    </row>
    <row r="39313">
      <c r="A39313" s="17"/>
      <c r="H39313" s="18"/>
      <c r="K39313" s="18" t="s">
        <v>316</v>
      </c>
    </row>
    <row r="39314">
      <c r="A39314" s="17"/>
      <c r="H39314" s="18"/>
      <c r="K39314" s="18" t="s">
        <v>316</v>
      </c>
    </row>
    <row r="39315">
      <c r="A39315" s="17"/>
      <c r="H39315" s="18"/>
      <c r="K39315" s="18" t="s">
        <v>316</v>
      </c>
    </row>
    <row r="39316">
      <c r="A39316" s="17"/>
      <c r="H39316" s="18"/>
      <c r="K39316" s="18" t="s">
        <v>316</v>
      </c>
    </row>
    <row r="39317">
      <c r="A39317" s="17"/>
      <c r="H39317" s="18"/>
      <c r="K39317" s="18" t="s">
        <v>316</v>
      </c>
    </row>
    <row r="39318">
      <c r="A39318" s="17"/>
      <c r="H39318" s="18"/>
      <c r="K39318" s="18" t="s">
        <v>316</v>
      </c>
    </row>
    <row r="39319">
      <c r="A39319" s="17"/>
      <c r="H39319" s="18"/>
      <c r="K39319" s="18" t="s">
        <v>316</v>
      </c>
    </row>
    <row r="39320">
      <c r="A39320" s="17"/>
      <c r="H39320" s="18"/>
      <c r="K39320" s="18" t="s">
        <v>316</v>
      </c>
    </row>
    <row r="39321">
      <c r="A39321" s="17"/>
      <c r="H39321" s="18"/>
      <c r="K39321" s="18" t="s">
        <v>316</v>
      </c>
    </row>
    <row r="39322">
      <c r="A39322" s="17"/>
      <c r="H39322" s="18"/>
      <c r="K39322" s="18" t="s">
        <v>316</v>
      </c>
    </row>
    <row r="39323">
      <c r="A39323" s="17"/>
      <c r="H39323" s="18"/>
      <c r="K39323" s="18" t="s">
        <v>316</v>
      </c>
    </row>
    <row r="39324">
      <c r="A39324" s="17"/>
      <c r="H39324" s="18"/>
      <c r="K39324" s="18" t="s">
        <v>316</v>
      </c>
    </row>
    <row r="39325">
      <c r="A39325" s="17"/>
      <c r="H39325" s="18"/>
      <c r="K39325" s="18" t="s">
        <v>316</v>
      </c>
    </row>
    <row r="39326">
      <c r="A39326" s="17"/>
      <c r="H39326" s="18"/>
      <c r="K39326" s="18" t="s">
        <v>316</v>
      </c>
    </row>
    <row r="39327">
      <c r="A39327" s="17"/>
      <c r="H39327" s="18"/>
      <c r="K39327" s="18" t="s">
        <v>316</v>
      </c>
    </row>
    <row r="39328">
      <c r="A39328" s="17"/>
      <c r="H39328" s="18"/>
      <c r="K39328" s="18" t="s">
        <v>316</v>
      </c>
    </row>
    <row r="39329">
      <c r="A39329" s="17"/>
      <c r="H39329" s="18"/>
      <c r="K39329" s="18" t="s">
        <v>316</v>
      </c>
    </row>
    <row r="39330">
      <c r="A39330" s="17"/>
      <c r="H39330" s="18"/>
      <c r="K39330" s="18" t="s">
        <v>316</v>
      </c>
    </row>
    <row r="39331">
      <c r="A39331" s="17"/>
      <c r="H39331" s="18"/>
      <c r="K39331" s="18" t="s">
        <v>316</v>
      </c>
    </row>
    <row r="39332">
      <c r="A39332" s="17"/>
      <c r="H39332" s="18"/>
      <c r="K39332" s="18" t="s">
        <v>316</v>
      </c>
    </row>
    <row r="39333">
      <c r="A39333" s="17"/>
      <c r="H39333" s="18"/>
      <c r="K39333" s="18" t="s">
        <v>316</v>
      </c>
    </row>
    <row r="39334">
      <c r="A39334" s="17"/>
      <c r="H39334" s="18"/>
      <c r="K39334" s="18" t="s">
        <v>316</v>
      </c>
    </row>
    <row r="39335">
      <c r="A39335" s="17"/>
      <c r="H39335" s="18"/>
      <c r="K39335" s="18" t="s">
        <v>316</v>
      </c>
    </row>
    <row r="39336">
      <c r="A39336" s="17"/>
      <c r="H39336" s="18"/>
      <c r="K39336" s="18" t="s">
        <v>316</v>
      </c>
    </row>
    <row r="39337">
      <c r="A39337" s="17"/>
      <c r="H39337" s="18"/>
      <c r="K39337" s="18" t="s">
        <v>316</v>
      </c>
    </row>
    <row r="39338">
      <c r="A39338" s="17"/>
      <c r="H39338" s="18"/>
      <c r="K39338" s="18" t="s">
        <v>316</v>
      </c>
    </row>
    <row r="39339">
      <c r="A39339" s="17"/>
      <c r="H39339" s="18"/>
      <c r="K39339" s="18" t="s">
        <v>316</v>
      </c>
    </row>
    <row r="39340">
      <c r="A39340" s="17"/>
      <c r="H39340" s="18"/>
      <c r="K39340" s="18" t="s">
        <v>316</v>
      </c>
    </row>
    <row r="39341">
      <c r="A39341" s="17"/>
      <c r="H39341" s="18"/>
      <c r="K39341" s="18" t="s">
        <v>316</v>
      </c>
    </row>
    <row r="39342">
      <c r="A39342" s="17"/>
      <c r="H39342" s="18"/>
      <c r="K39342" s="18" t="s">
        <v>316</v>
      </c>
    </row>
    <row r="39343">
      <c r="A39343" s="17"/>
      <c r="H39343" s="18"/>
      <c r="K39343" s="18" t="s">
        <v>316</v>
      </c>
    </row>
    <row r="39344">
      <c r="A39344" s="17"/>
      <c r="H39344" s="18"/>
      <c r="K39344" s="18" t="s">
        <v>316</v>
      </c>
    </row>
    <row r="39345">
      <c r="A39345" s="17"/>
      <c r="H39345" s="18"/>
      <c r="K39345" s="18" t="s">
        <v>316</v>
      </c>
    </row>
    <row r="39346">
      <c r="A39346" s="17"/>
      <c r="H39346" s="18"/>
      <c r="K39346" s="18" t="s">
        <v>316</v>
      </c>
    </row>
    <row r="39347">
      <c r="A39347" s="17"/>
      <c r="H39347" s="18"/>
      <c r="K39347" s="18" t="s">
        <v>316</v>
      </c>
    </row>
    <row r="39348">
      <c r="A39348" s="17"/>
      <c r="H39348" s="18"/>
      <c r="K39348" s="18" t="s">
        <v>316</v>
      </c>
    </row>
    <row r="39349">
      <c r="A39349" s="17"/>
      <c r="H39349" s="18"/>
      <c r="K39349" s="18" t="s">
        <v>316</v>
      </c>
    </row>
    <row r="39350">
      <c r="A39350" s="17"/>
      <c r="H39350" s="18"/>
      <c r="K39350" s="18" t="s">
        <v>316</v>
      </c>
    </row>
    <row r="39351">
      <c r="A39351" s="17"/>
      <c r="H39351" s="18"/>
      <c r="K39351" s="18" t="s">
        <v>316</v>
      </c>
    </row>
    <row r="39352">
      <c r="A39352" s="17"/>
      <c r="H39352" s="18"/>
      <c r="K39352" s="18" t="s">
        <v>316</v>
      </c>
    </row>
    <row r="39353">
      <c r="A39353" s="17"/>
      <c r="H39353" s="18"/>
      <c r="K39353" s="18" t="s">
        <v>316</v>
      </c>
    </row>
    <row r="39354">
      <c r="A39354" s="17"/>
      <c r="H39354" s="18"/>
      <c r="K39354" s="18" t="s">
        <v>316</v>
      </c>
    </row>
    <row r="39355">
      <c r="A39355" s="17"/>
      <c r="H39355" s="18"/>
      <c r="K39355" s="18" t="s">
        <v>316</v>
      </c>
    </row>
    <row r="39356">
      <c r="A39356" s="17"/>
      <c r="H39356" s="18"/>
      <c r="K39356" s="18" t="s">
        <v>316</v>
      </c>
    </row>
    <row r="39357">
      <c r="A39357" s="17"/>
      <c r="H39357" s="18"/>
      <c r="K39357" s="18" t="s">
        <v>316</v>
      </c>
    </row>
    <row r="39358">
      <c r="A39358" s="17"/>
      <c r="H39358" s="18"/>
      <c r="K39358" s="18" t="s">
        <v>316</v>
      </c>
    </row>
    <row r="39359">
      <c r="A39359" s="17"/>
      <c r="H39359" s="18"/>
      <c r="K39359" s="18" t="s">
        <v>316</v>
      </c>
    </row>
    <row r="39360">
      <c r="A39360" s="17"/>
      <c r="H39360" s="18"/>
      <c r="K39360" s="18" t="s">
        <v>316</v>
      </c>
    </row>
    <row r="39361">
      <c r="A39361" s="17"/>
      <c r="H39361" s="18"/>
      <c r="K39361" s="18" t="s">
        <v>316</v>
      </c>
    </row>
    <row r="39362">
      <c r="A39362" s="17"/>
      <c r="H39362" s="18"/>
      <c r="K39362" s="18" t="s">
        <v>316</v>
      </c>
    </row>
    <row r="39363">
      <c r="A39363" s="17"/>
      <c r="H39363" s="18"/>
      <c r="K39363" s="18" t="s">
        <v>316</v>
      </c>
    </row>
    <row r="39364">
      <c r="A39364" s="17"/>
      <c r="H39364" s="18"/>
      <c r="K39364" s="18" t="s">
        <v>316</v>
      </c>
    </row>
    <row r="39365">
      <c r="A39365" s="17"/>
      <c r="H39365" s="18"/>
      <c r="K39365" s="18" t="s">
        <v>316</v>
      </c>
    </row>
    <row r="39366">
      <c r="A39366" s="17"/>
      <c r="H39366" s="18"/>
      <c r="K39366" s="18" t="s">
        <v>316</v>
      </c>
    </row>
    <row r="39367">
      <c r="A39367" s="17"/>
      <c r="H39367" s="18"/>
      <c r="K39367" s="18" t="s">
        <v>316</v>
      </c>
    </row>
    <row r="39368">
      <c r="A39368" s="17"/>
      <c r="H39368" s="18"/>
      <c r="K39368" s="18" t="s">
        <v>316</v>
      </c>
    </row>
    <row r="39369">
      <c r="A39369" s="17"/>
      <c r="H39369" s="18"/>
      <c r="K39369" s="18" t="s">
        <v>316</v>
      </c>
    </row>
    <row r="39370">
      <c r="A39370" s="17"/>
      <c r="H39370" s="18"/>
      <c r="K39370" s="18" t="s">
        <v>316</v>
      </c>
    </row>
    <row r="39371">
      <c r="A39371" s="17"/>
      <c r="H39371" s="18"/>
      <c r="K39371" s="18" t="s">
        <v>316</v>
      </c>
    </row>
    <row r="39372">
      <c r="A39372" s="17"/>
      <c r="H39372" s="18"/>
      <c r="K39372" s="18" t="s">
        <v>316</v>
      </c>
    </row>
    <row r="39373">
      <c r="A39373" s="17"/>
      <c r="H39373" s="18"/>
      <c r="K39373" s="18" t="s">
        <v>316</v>
      </c>
    </row>
    <row r="39374">
      <c r="A39374" s="17"/>
      <c r="H39374" s="18"/>
      <c r="K39374" s="18" t="s">
        <v>316</v>
      </c>
    </row>
    <row r="39375">
      <c r="A39375" s="17"/>
      <c r="H39375" s="18"/>
      <c r="K39375" s="18" t="s">
        <v>316</v>
      </c>
    </row>
    <row r="39376">
      <c r="A39376" s="17"/>
      <c r="H39376" s="18"/>
      <c r="K39376" s="18" t="s">
        <v>316</v>
      </c>
    </row>
    <row r="39377">
      <c r="A39377" s="17"/>
      <c r="H39377" s="18"/>
      <c r="K39377" s="18" t="s">
        <v>316</v>
      </c>
    </row>
    <row r="39378">
      <c r="A39378" s="17"/>
      <c r="H39378" s="18"/>
      <c r="K39378" s="18" t="s">
        <v>316</v>
      </c>
    </row>
    <row r="39379">
      <c r="A39379" s="17"/>
      <c r="H39379" s="18"/>
      <c r="K39379" s="18" t="s">
        <v>316</v>
      </c>
    </row>
    <row r="39380">
      <c r="A39380" s="17"/>
      <c r="H39380" s="18"/>
      <c r="K39380" s="18" t="s">
        <v>316</v>
      </c>
    </row>
    <row r="39381">
      <c r="A39381" s="17"/>
      <c r="H39381" s="18"/>
      <c r="K39381" s="18" t="s">
        <v>316</v>
      </c>
    </row>
    <row r="39382">
      <c r="A39382" s="17"/>
      <c r="H39382" s="18"/>
      <c r="K39382" s="18" t="s">
        <v>316</v>
      </c>
    </row>
    <row r="39383">
      <c r="A39383" s="17"/>
      <c r="H39383" s="18"/>
      <c r="K39383" s="18" t="s">
        <v>316</v>
      </c>
    </row>
    <row r="39384">
      <c r="A39384" s="17"/>
      <c r="H39384" s="18"/>
      <c r="K39384" s="18" t="s">
        <v>316</v>
      </c>
    </row>
    <row r="39385">
      <c r="A39385" s="17"/>
      <c r="H39385" s="18"/>
      <c r="K39385" s="18" t="s">
        <v>316</v>
      </c>
    </row>
    <row r="39386">
      <c r="A39386" s="17"/>
      <c r="H39386" s="18"/>
      <c r="K39386" s="18" t="s">
        <v>316</v>
      </c>
    </row>
    <row r="39387">
      <c r="A39387" s="17"/>
      <c r="H39387" s="18"/>
      <c r="K39387" s="18" t="s">
        <v>316</v>
      </c>
    </row>
    <row r="39388">
      <c r="A39388" s="17"/>
      <c r="H39388" s="18"/>
      <c r="K39388" s="18" t="s">
        <v>316</v>
      </c>
    </row>
    <row r="39389">
      <c r="A39389" s="17"/>
      <c r="H39389" s="18"/>
      <c r="K39389" s="18" t="s">
        <v>316</v>
      </c>
    </row>
    <row r="39390">
      <c r="A39390" s="17"/>
      <c r="H39390" s="18"/>
      <c r="K39390" s="18" t="s">
        <v>316</v>
      </c>
    </row>
    <row r="39391">
      <c r="A39391" s="17"/>
      <c r="H39391" s="18"/>
      <c r="K39391" s="18" t="s">
        <v>316</v>
      </c>
    </row>
    <row r="39392">
      <c r="A39392" s="17"/>
      <c r="H39392" s="18"/>
      <c r="K39392" s="18" t="s">
        <v>316</v>
      </c>
    </row>
    <row r="39393">
      <c r="A39393" s="17"/>
      <c r="H39393" s="18"/>
      <c r="K39393" s="18" t="s">
        <v>316</v>
      </c>
    </row>
    <row r="39394">
      <c r="A39394" s="17"/>
      <c r="H39394" s="18"/>
      <c r="K39394" s="18" t="s">
        <v>316</v>
      </c>
    </row>
    <row r="39395">
      <c r="A39395" s="17"/>
      <c r="H39395" s="18"/>
      <c r="K39395" s="18" t="s">
        <v>316</v>
      </c>
    </row>
    <row r="39396">
      <c r="A39396" s="17"/>
      <c r="H39396" s="18"/>
      <c r="K39396" s="18" t="s">
        <v>316</v>
      </c>
    </row>
    <row r="39397">
      <c r="A39397" s="17"/>
      <c r="H39397" s="18"/>
      <c r="K39397" s="18" t="s">
        <v>316</v>
      </c>
    </row>
    <row r="39398">
      <c r="A39398" s="17"/>
      <c r="H39398" s="18"/>
      <c r="K39398" s="18" t="s">
        <v>316</v>
      </c>
    </row>
    <row r="39399">
      <c r="A39399" s="17"/>
      <c r="H39399" s="18"/>
      <c r="K39399" s="18" t="s">
        <v>316</v>
      </c>
    </row>
    <row r="39400">
      <c r="A39400" s="17"/>
      <c r="H39400" s="18"/>
      <c r="K39400" s="18" t="s">
        <v>316</v>
      </c>
    </row>
    <row r="39401">
      <c r="A39401" s="17"/>
      <c r="H39401" s="18"/>
      <c r="K39401" s="18" t="s">
        <v>316</v>
      </c>
    </row>
    <row r="39402">
      <c r="A39402" s="17"/>
      <c r="H39402" s="18"/>
      <c r="K39402" s="18" t="s">
        <v>316</v>
      </c>
    </row>
    <row r="39403">
      <c r="A39403" s="17"/>
      <c r="H39403" s="18"/>
      <c r="K39403" s="18" t="s">
        <v>316</v>
      </c>
    </row>
    <row r="39404">
      <c r="A39404" s="17"/>
      <c r="H39404" s="18"/>
      <c r="K39404" s="18" t="s">
        <v>316</v>
      </c>
    </row>
    <row r="39405">
      <c r="A39405" s="17"/>
      <c r="H39405" s="18"/>
      <c r="K39405" s="18" t="s">
        <v>316</v>
      </c>
    </row>
    <row r="39406">
      <c r="A39406" s="17"/>
      <c r="H39406" s="18"/>
      <c r="K39406" s="18" t="s">
        <v>316</v>
      </c>
    </row>
    <row r="39407">
      <c r="A39407" s="17"/>
      <c r="H39407" s="18"/>
      <c r="K39407" s="18" t="s">
        <v>316</v>
      </c>
    </row>
    <row r="39408">
      <c r="A39408" s="17"/>
      <c r="H39408" s="18"/>
      <c r="K39408" s="18" t="s">
        <v>316</v>
      </c>
    </row>
    <row r="39409">
      <c r="A39409" s="17"/>
      <c r="H39409" s="18"/>
      <c r="K39409" s="18" t="s">
        <v>316</v>
      </c>
    </row>
    <row r="39410">
      <c r="A39410" s="17"/>
      <c r="H39410" s="18"/>
      <c r="K39410" s="18" t="s">
        <v>316</v>
      </c>
    </row>
    <row r="39411">
      <c r="A39411" s="17"/>
      <c r="H39411" s="18"/>
      <c r="K39411" s="18" t="s">
        <v>316</v>
      </c>
    </row>
    <row r="39412">
      <c r="A39412" s="17"/>
      <c r="H39412" s="18"/>
      <c r="K39412" s="18" t="s">
        <v>316</v>
      </c>
    </row>
    <row r="39413">
      <c r="A39413" s="17"/>
      <c r="H39413" s="18"/>
      <c r="K39413" s="18" t="s">
        <v>316</v>
      </c>
    </row>
    <row r="39414">
      <c r="A39414" s="17"/>
      <c r="H39414" s="18"/>
      <c r="K39414" s="18" t="s">
        <v>316</v>
      </c>
    </row>
    <row r="39415">
      <c r="A39415" s="17"/>
      <c r="H39415" s="18"/>
      <c r="K39415" s="18" t="s">
        <v>316</v>
      </c>
    </row>
    <row r="39416">
      <c r="A39416" s="17"/>
      <c r="H39416" s="18"/>
      <c r="K39416" s="18" t="s">
        <v>316</v>
      </c>
    </row>
    <row r="39417">
      <c r="A39417" s="17"/>
      <c r="H39417" s="18"/>
      <c r="K39417" s="18" t="s">
        <v>316</v>
      </c>
    </row>
    <row r="39418">
      <c r="A39418" s="17"/>
      <c r="H39418" s="18"/>
      <c r="K39418" s="18" t="s">
        <v>316</v>
      </c>
    </row>
    <row r="39419">
      <c r="A39419" s="17"/>
      <c r="H39419" s="18"/>
      <c r="K39419" s="18" t="s">
        <v>316</v>
      </c>
    </row>
    <row r="39420">
      <c r="A39420" s="17"/>
      <c r="H39420" s="18"/>
      <c r="K39420" s="18" t="s">
        <v>316</v>
      </c>
    </row>
    <row r="39421">
      <c r="A39421" s="17"/>
      <c r="H39421" s="18"/>
      <c r="K39421" s="18" t="s">
        <v>316</v>
      </c>
    </row>
    <row r="39422">
      <c r="A39422" s="17"/>
      <c r="H39422" s="18"/>
      <c r="K39422" s="18" t="s">
        <v>316</v>
      </c>
    </row>
    <row r="39423">
      <c r="A39423" s="17"/>
      <c r="H39423" s="18"/>
      <c r="K39423" s="18" t="s">
        <v>316</v>
      </c>
    </row>
    <row r="39424">
      <c r="A39424" s="17"/>
      <c r="H39424" s="18"/>
      <c r="K39424" s="18" t="s">
        <v>316</v>
      </c>
    </row>
    <row r="39425">
      <c r="A39425" s="17"/>
      <c r="H39425" s="18"/>
      <c r="K39425" s="18" t="s">
        <v>316</v>
      </c>
    </row>
    <row r="39426">
      <c r="A39426" s="17"/>
      <c r="H39426" s="18"/>
      <c r="K39426" s="18" t="s">
        <v>316</v>
      </c>
    </row>
    <row r="39427">
      <c r="A39427" s="17"/>
      <c r="H39427" s="18"/>
      <c r="K39427" s="18" t="s">
        <v>316</v>
      </c>
    </row>
    <row r="39428">
      <c r="A39428" s="17"/>
      <c r="H39428" s="18"/>
      <c r="K39428" s="18" t="s">
        <v>316</v>
      </c>
    </row>
    <row r="39429">
      <c r="A39429" s="17"/>
      <c r="H39429" s="18"/>
      <c r="K39429" s="18" t="s">
        <v>316</v>
      </c>
    </row>
    <row r="39430">
      <c r="A39430" s="17"/>
      <c r="H39430" s="18"/>
      <c r="K39430" s="18" t="s">
        <v>316</v>
      </c>
    </row>
    <row r="39431">
      <c r="A39431" s="17"/>
      <c r="H39431" s="18"/>
      <c r="K39431" s="18" t="s">
        <v>316</v>
      </c>
    </row>
    <row r="39432">
      <c r="A39432" s="17"/>
      <c r="H39432" s="18"/>
      <c r="K39432" s="18" t="s">
        <v>316</v>
      </c>
    </row>
    <row r="39433">
      <c r="A39433" s="17"/>
      <c r="H39433" s="18"/>
      <c r="K39433" s="18" t="s">
        <v>316</v>
      </c>
    </row>
    <row r="39434">
      <c r="A39434" s="17"/>
      <c r="H39434" s="18"/>
      <c r="K39434" s="18" t="s">
        <v>316</v>
      </c>
    </row>
    <row r="39435">
      <c r="A39435" s="17"/>
      <c r="H39435" s="18"/>
      <c r="K39435" s="18" t="s">
        <v>316</v>
      </c>
    </row>
    <row r="39436">
      <c r="A39436" s="17"/>
      <c r="H39436" s="18"/>
      <c r="K39436" s="18" t="s">
        <v>316</v>
      </c>
    </row>
    <row r="39437">
      <c r="A39437" s="17"/>
      <c r="H39437" s="18"/>
      <c r="K39437" s="18" t="s">
        <v>316</v>
      </c>
    </row>
    <row r="39438">
      <c r="A39438" s="17"/>
      <c r="H39438" s="18"/>
      <c r="K39438" s="18" t="s">
        <v>316</v>
      </c>
    </row>
    <row r="39439">
      <c r="A39439" s="17"/>
      <c r="H39439" s="18"/>
      <c r="K39439" s="18" t="s">
        <v>316</v>
      </c>
    </row>
    <row r="39440">
      <c r="A39440" s="17"/>
      <c r="H39440" s="18"/>
      <c r="K39440" s="18" t="s">
        <v>316</v>
      </c>
    </row>
    <row r="39441">
      <c r="A39441" s="17"/>
      <c r="H39441" s="18"/>
      <c r="K39441" s="18" t="s">
        <v>316</v>
      </c>
    </row>
    <row r="39442">
      <c r="A39442" s="17"/>
      <c r="H39442" s="18"/>
      <c r="K39442" s="18" t="s">
        <v>316</v>
      </c>
    </row>
    <row r="39443">
      <c r="A39443" s="17"/>
      <c r="H39443" s="18"/>
      <c r="K39443" s="18" t="s">
        <v>316</v>
      </c>
    </row>
    <row r="39444">
      <c r="A39444" s="17"/>
      <c r="H39444" s="18"/>
      <c r="K39444" s="18" t="s">
        <v>316</v>
      </c>
    </row>
    <row r="39445">
      <c r="A39445" s="17"/>
      <c r="H39445" s="18"/>
      <c r="K39445" s="18" t="s">
        <v>316</v>
      </c>
    </row>
    <row r="39446">
      <c r="A39446" s="17"/>
      <c r="H39446" s="18"/>
      <c r="K39446" s="18" t="s">
        <v>316</v>
      </c>
    </row>
    <row r="39447">
      <c r="A39447" s="17"/>
      <c r="H39447" s="18"/>
      <c r="K39447" s="18" t="s">
        <v>316</v>
      </c>
    </row>
    <row r="39448">
      <c r="A39448" s="17"/>
      <c r="H39448" s="18"/>
      <c r="K39448" s="18" t="s">
        <v>316</v>
      </c>
    </row>
    <row r="39449">
      <c r="A39449" s="17"/>
      <c r="H39449" s="18"/>
      <c r="K39449" s="18" t="s">
        <v>316</v>
      </c>
    </row>
    <row r="39450">
      <c r="A39450" s="17"/>
      <c r="H39450" s="18"/>
      <c r="K39450" s="18" t="s">
        <v>316</v>
      </c>
    </row>
    <row r="39451">
      <c r="A39451" s="17"/>
      <c r="H39451" s="18"/>
      <c r="K39451" s="18" t="s">
        <v>316</v>
      </c>
    </row>
    <row r="39452">
      <c r="A39452" s="17"/>
      <c r="H39452" s="18"/>
      <c r="K39452" s="18" t="s">
        <v>316</v>
      </c>
    </row>
    <row r="39453">
      <c r="A39453" s="17"/>
      <c r="H39453" s="18"/>
      <c r="K39453" s="18" t="s">
        <v>316</v>
      </c>
    </row>
    <row r="39454">
      <c r="A39454" s="17"/>
      <c r="H39454" s="18"/>
      <c r="K39454" s="18" t="s">
        <v>316</v>
      </c>
    </row>
    <row r="39455">
      <c r="A39455" s="17"/>
      <c r="H39455" s="18"/>
      <c r="K39455" s="18" t="s">
        <v>316</v>
      </c>
    </row>
    <row r="39456">
      <c r="A39456" s="17"/>
      <c r="H39456" s="18"/>
      <c r="K39456" s="18" t="s">
        <v>316</v>
      </c>
    </row>
    <row r="39457">
      <c r="A39457" s="17"/>
      <c r="H39457" s="18"/>
      <c r="K39457" s="18" t="s">
        <v>316</v>
      </c>
    </row>
    <row r="39458">
      <c r="A39458" s="17"/>
      <c r="H39458" s="18"/>
      <c r="K39458" s="18" t="s">
        <v>316</v>
      </c>
    </row>
    <row r="39459">
      <c r="A39459" s="17"/>
      <c r="H39459" s="18"/>
      <c r="K39459" s="18" t="s">
        <v>316</v>
      </c>
    </row>
    <row r="39460">
      <c r="A39460" s="17"/>
      <c r="H39460" s="18"/>
      <c r="K39460" s="18" t="s">
        <v>316</v>
      </c>
    </row>
    <row r="39461">
      <c r="A39461" s="17"/>
      <c r="H39461" s="18"/>
      <c r="K39461" s="18" t="s">
        <v>316</v>
      </c>
    </row>
    <row r="39462">
      <c r="A39462" s="17"/>
      <c r="H39462" s="18"/>
      <c r="K39462" s="18" t="s">
        <v>316</v>
      </c>
    </row>
    <row r="39463">
      <c r="A39463" s="17"/>
      <c r="H39463" s="18"/>
      <c r="K39463" s="18" t="s">
        <v>316</v>
      </c>
    </row>
    <row r="39464">
      <c r="A39464" s="17"/>
      <c r="H39464" s="18"/>
      <c r="K39464" s="18" t="s">
        <v>316</v>
      </c>
    </row>
    <row r="39465">
      <c r="A39465" s="17"/>
      <c r="H39465" s="18"/>
      <c r="K39465" s="18" t="s">
        <v>316</v>
      </c>
    </row>
    <row r="39466">
      <c r="A39466" s="17"/>
      <c r="H39466" s="18"/>
      <c r="K39466" s="18" t="s">
        <v>316</v>
      </c>
    </row>
    <row r="39467">
      <c r="A39467" s="17"/>
      <c r="H39467" s="18"/>
      <c r="K39467" s="18" t="s">
        <v>316</v>
      </c>
    </row>
    <row r="39468">
      <c r="A39468" s="17"/>
      <c r="H39468" s="18"/>
      <c r="K39468" s="18" t="s">
        <v>316</v>
      </c>
    </row>
    <row r="39469">
      <c r="A39469" s="17"/>
      <c r="H39469" s="18"/>
      <c r="K39469" s="18" t="s">
        <v>316</v>
      </c>
    </row>
    <row r="39470">
      <c r="A39470" s="17"/>
      <c r="H39470" s="18"/>
      <c r="K39470" s="18" t="s">
        <v>316</v>
      </c>
    </row>
    <row r="39471">
      <c r="A39471" s="17"/>
      <c r="H39471" s="18"/>
      <c r="K39471" s="18" t="s">
        <v>316</v>
      </c>
    </row>
    <row r="39472">
      <c r="A39472" s="17"/>
      <c r="H39472" s="18"/>
      <c r="K39472" s="18" t="s">
        <v>316</v>
      </c>
    </row>
    <row r="39473">
      <c r="A39473" s="17"/>
      <c r="H39473" s="18"/>
      <c r="K39473" s="18" t="s">
        <v>316</v>
      </c>
    </row>
    <row r="39474">
      <c r="A39474" s="17"/>
      <c r="H39474" s="18"/>
      <c r="K39474" s="18" t="s">
        <v>316</v>
      </c>
    </row>
    <row r="39475">
      <c r="A39475" s="17"/>
      <c r="H39475" s="18"/>
      <c r="K39475" s="18" t="s">
        <v>316</v>
      </c>
    </row>
    <row r="39476">
      <c r="A39476" s="17"/>
      <c r="H39476" s="18"/>
      <c r="K39476" s="18" t="s">
        <v>316</v>
      </c>
    </row>
    <row r="39477">
      <c r="A39477" s="17"/>
      <c r="H39477" s="18"/>
      <c r="K39477" s="18" t="s">
        <v>316</v>
      </c>
    </row>
    <row r="39478">
      <c r="A39478" s="17"/>
      <c r="H39478" s="18"/>
      <c r="K39478" s="18" t="s">
        <v>316</v>
      </c>
    </row>
    <row r="39479">
      <c r="A39479" s="17"/>
      <c r="H39479" s="18"/>
      <c r="K39479" s="18" t="s">
        <v>316</v>
      </c>
    </row>
    <row r="39480">
      <c r="A39480" s="17"/>
      <c r="H39480" s="18"/>
      <c r="K39480" s="18" t="s">
        <v>316</v>
      </c>
    </row>
    <row r="39481">
      <c r="A39481" s="17"/>
      <c r="H39481" s="18"/>
      <c r="K39481" s="18" t="s">
        <v>316</v>
      </c>
    </row>
    <row r="39482">
      <c r="A39482" s="17"/>
      <c r="H39482" s="18"/>
      <c r="K39482" s="18" t="s">
        <v>316</v>
      </c>
    </row>
    <row r="39483">
      <c r="A39483" s="17"/>
      <c r="H39483" s="18"/>
      <c r="K39483" s="18" t="s">
        <v>316</v>
      </c>
    </row>
    <row r="39484">
      <c r="A39484" s="17"/>
      <c r="H39484" s="18"/>
      <c r="K39484" s="18" t="s">
        <v>316</v>
      </c>
    </row>
    <row r="39485">
      <c r="A39485" s="17"/>
      <c r="H39485" s="18"/>
      <c r="K39485" s="18" t="s">
        <v>316</v>
      </c>
    </row>
    <row r="39486">
      <c r="A39486" s="17"/>
      <c r="H39486" s="18"/>
      <c r="K39486" s="18" t="s">
        <v>316</v>
      </c>
    </row>
    <row r="39487">
      <c r="A39487" s="17"/>
      <c r="H39487" s="18"/>
      <c r="K39487" s="18" t="s">
        <v>316</v>
      </c>
    </row>
    <row r="39488">
      <c r="A39488" s="17"/>
      <c r="H39488" s="18"/>
      <c r="K39488" s="18" t="s">
        <v>316</v>
      </c>
    </row>
    <row r="39489">
      <c r="A39489" s="17"/>
      <c r="H39489" s="18"/>
      <c r="K39489" s="18" t="s">
        <v>316</v>
      </c>
    </row>
    <row r="39490">
      <c r="A39490" s="17"/>
      <c r="H39490" s="18"/>
      <c r="K39490" s="18" t="s">
        <v>316</v>
      </c>
    </row>
    <row r="39491">
      <c r="A39491" s="17"/>
      <c r="H39491" s="18"/>
      <c r="K39491" s="18" t="s">
        <v>316</v>
      </c>
    </row>
    <row r="39492">
      <c r="A39492" s="17"/>
      <c r="H39492" s="18"/>
      <c r="K39492" s="18" t="s">
        <v>316</v>
      </c>
    </row>
    <row r="39493">
      <c r="A39493" s="17"/>
      <c r="H39493" s="18"/>
      <c r="K39493" s="18" t="s">
        <v>316</v>
      </c>
    </row>
    <row r="39494">
      <c r="A39494" s="17"/>
      <c r="H39494" s="18"/>
      <c r="K39494" s="18" t="s">
        <v>316</v>
      </c>
    </row>
    <row r="39495">
      <c r="A39495" s="17"/>
      <c r="H39495" s="18"/>
      <c r="K39495" s="18" t="s">
        <v>316</v>
      </c>
    </row>
    <row r="39496">
      <c r="A39496" s="17"/>
      <c r="H39496" s="18"/>
      <c r="K39496" s="18" t="s">
        <v>316</v>
      </c>
    </row>
    <row r="39497">
      <c r="A39497" s="17"/>
      <c r="H39497" s="18"/>
      <c r="K39497" s="18" t="s">
        <v>316</v>
      </c>
    </row>
    <row r="39498">
      <c r="A39498" s="17"/>
      <c r="H39498" s="18"/>
      <c r="K39498" s="18" t="s">
        <v>316</v>
      </c>
    </row>
    <row r="39499">
      <c r="A39499" s="17"/>
      <c r="H39499" s="18"/>
      <c r="K39499" s="18" t="s">
        <v>316</v>
      </c>
    </row>
    <row r="39500">
      <c r="A39500" s="17"/>
      <c r="H39500" s="18"/>
      <c r="K39500" s="18" t="s">
        <v>316</v>
      </c>
    </row>
    <row r="39501">
      <c r="A39501" s="17"/>
      <c r="H39501" s="18"/>
      <c r="K39501" s="18" t="s">
        <v>316</v>
      </c>
    </row>
    <row r="39502">
      <c r="A39502" s="17"/>
      <c r="H39502" s="18"/>
      <c r="K39502" s="18" t="s">
        <v>316</v>
      </c>
    </row>
    <row r="39503">
      <c r="A39503" s="17"/>
      <c r="H39503" s="18"/>
      <c r="K39503" s="18" t="s">
        <v>316</v>
      </c>
    </row>
    <row r="39504">
      <c r="A39504" s="17"/>
      <c r="H39504" s="18"/>
      <c r="K39504" s="18" t="s">
        <v>316</v>
      </c>
    </row>
    <row r="39505">
      <c r="A39505" s="17"/>
      <c r="H39505" s="18"/>
      <c r="K39505" s="18" t="s">
        <v>316</v>
      </c>
    </row>
    <row r="39506">
      <c r="A39506" s="17"/>
      <c r="H39506" s="18"/>
      <c r="K39506" s="18" t="s">
        <v>316</v>
      </c>
    </row>
    <row r="39507">
      <c r="A39507" s="17"/>
      <c r="H39507" s="18"/>
      <c r="K39507" s="18" t="s">
        <v>316</v>
      </c>
    </row>
    <row r="39508">
      <c r="A39508" s="17"/>
      <c r="H39508" s="18"/>
      <c r="K39508" s="18" t="s">
        <v>316</v>
      </c>
    </row>
    <row r="39509">
      <c r="A39509" s="17"/>
      <c r="H39509" s="18"/>
      <c r="K39509" s="18" t="s">
        <v>316</v>
      </c>
    </row>
    <row r="39510">
      <c r="A39510" s="17"/>
      <c r="H39510" s="18"/>
      <c r="K39510" s="18" t="s">
        <v>316</v>
      </c>
    </row>
    <row r="39511">
      <c r="A39511" s="17"/>
      <c r="H39511" s="18"/>
      <c r="K39511" s="18" t="s">
        <v>316</v>
      </c>
    </row>
    <row r="39512">
      <c r="A39512" s="17"/>
      <c r="H39512" s="18"/>
      <c r="K39512" s="18" t="s">
        <v>316</v>
      </c>
    </row>
    <row r="39513">
      <c r="A39513" s="17"/>
      <c r="H39513" s="18"/>
      <c r="K39513" s="18" t="s">
        <v>316</v>
      </c>
    </row>
    <row r="39514">
      <c r="A39514" s="17"/>
      <c r="H39514" s="18"/>
      <c r="K39514" s="18" t="s">
        <v>316</v>
      </c>
    </row>
    <row r="39515">
      <c r="A39515" s="17"/>
      <c r="H39515" s="18"/>
      <c r="K39515" s="18" t="s">
        <v>316</v>
      </c>
    </row>
    <row r="39516">
      <c r="A39516" s="17"/>
      <c r="H39516" s="18"/>
      <c r="K39516" s="18" t="s">
        <v>316</v>
      </c>
    </row>
    <row r="39517">
      <c r="A39517" s="17"/>
      <c r="H39517" s="18"/>
      <c r="K39517" s="18" t="s">
        <v>316</v>
      </c>
    </row>
    <row r="39518">
      <c r="A39518" s="17"/>
      <c r="H39518" s="18"/>
      <c r="K39518" s="18" t="s">
        <v>316</v>
      </c>
    </row>
    <row r="39519">
      <c r="A39519" s="17"/>
      <c r="H39519" s="18"/>
      <c r="K39519" s="18" t="s">
        <v>316</v>
      </c>
    </row>
    <row r="39520">
      <c r="A39520" s="17"/>
      <c r="H39520" s="18"/>
      <c r="K39520" s="18" t="s">
        <v>316</v>
      </c>
    </row>
    <row r="39521">
      <c r="A39521" s="17"/>
      <c r="H39521" s="18"/>
      <c r="K39521" s="18" t="s">
        <v>316</v>
      </c>
    </row>
    <row r="39522">
      <c r="A39522" s="17"/>
      <c r="H39522" s="18"/>
      <c r="K39522" s="18" t="s">
        <v>316</v>
      </c>
    </row>
    <row r="39523">
      <c r="A39523" s="17"/>
      <c r="H39523" s="18"/>
      <c r="K39523" s="18" t="s">
        <v>316</v>
      </c>
    </row>
    <row r="39524">
      <c r="A39524" s="17"/>
      <c r="H39524" s="18"/>
      <c r="K39524" s="18" t="s">
        <v>316</v>
      </c>
    </row>
    <row r="39525">
      <c r="A39525" s="17"/>
      <c r="H39525" s="18"/>
      <c r="K39525" s="18" t="s">
        <v>316</v>
      </c>
    </row>
    <row r="39526">
      <c r="A39526" s="17"/>
      <c r="H39526" s="18"/>
      <c r="K39526" s="18" t="s">
        <v>316</v>
      </c>
    </row>
    <row r="39527">
      <c r="A39527" s="17"/>
      <c r="H39527" s="18"/>
      <c r="K39527" s="18" t="s">
        <v>316</v>
      </c>
    </row>
    <row r="39528">
      <c r="A39528" s="17"/>
      <c r="H39528" s="18"/>
      <c r="K39528" s="18" t="s">
        <v>316</v>
      </c>
    </row>
    <row r="39529">
      <c r="A39529" s="17"/>
      <c r="H39529" s="18"/>
      <c r="K39529" s="18" t="s">
        <v>316</v>
      </c>
    </row>
    <row r="39530">
      <c r="A39530" s="17"/>
      <c r="H39530" s="18"/>
      <c r="K39530" s="18" t="s">
        <v>316</v>
      </c>
    </row>
    <row r="39531">
      <c r="A39531" s="17"/>
      <c r="H39531" s="18"/>
      <c r="K39531" s="18" t="s">
        <v>316</v>
      </c>
    </row>
    <row r="39532">
      <c r="A39532" s="17"/>
      <c r="H39532" s="18"/>
      <c r="K39532" s="18" t="s">
        <v>316</v>
      </c>
    </row>
    <row r="39533">
      <c r="A39533" s="17"/>
      <c r="H39533" s="18"/>
      <c r="K39533" s="18" t="s">
        <v>316</v>
      </c>
    </row>
    <row r="39534">
      <c r="A39534" s="17"/>
      <c r="H39534" s="18"/>
      <c r="K39534" s="18" t="s">
        <v>316</v>
      </c>
    </row>
    <row r="39535">
      <c r="A39535" s="17"/>
      <c r="H39535" s="18"/>
      <c r="K39535" s="18" t="s">
        <v>316</v>
      </c>
    </row>
    <row r="39536">
      <c r="A39536" s="17"/>
      <c r="H39536" s="18"/>
      <c r="K39536" s="18" t="s">
        <v>316</v>
      </c>
    </row>
    <row r="39537">
      <c r="A39537" s="17"/>
      <c r="H39537" s="18"/>
      <c r="K39537" s="18" t="s">
        <v>316</v>
      </c>
    </row>
    <row r="39538">
      <c r="A39538" s="17"/>
      <c r="H39538" s="18"/>
      <c r="K39538" s="18" t="s">
        <v>316</v>
      </c>
    </row>
    <row r="39539">
      <c r="A39539" s="17"/>
      <c r="H39539" s="18"/>
      <c r="K39539" s="18" t="s">
        <v>316</v>
      </c>
    </row>
    <row r="39540">
      <c r="A39540" s="17"/>
      <c r="H39540" s="18"/>
      <c r="K39540" s="18" t="s">
        <v>316</v>
      </c>
    </row>
    <row r="39541">
      <c r="A39541" s="17"/>
      <c r="H39541" s="18"/>
      <c r="K39541" s="18" t="s">
        <v>316</v>
      </c>
    </row>
    <row r="39542">
      <c r="A39542" s="17"/>
      <c r="H39542" s="18"/>
      <c r="K39542" s="18" t="s">
        <v>316</v>
      </c>
    </row>
    <row r="39543">
      <c r="A39543" s="17"/>
      <c r="H39543" s="18"/>
      <c r="K39543" s="18" t="s">
        <v>316</v>
      </c>
    </row>
    <row r="39544">
      <c r="A39544" s="17"/>
      <c r="H39544" s="18"/>
      <c r="K39544" s="18" t="s">
        <v>316</v>
      </c>
    </row>
    <row r="39545">
      <c r="A39545" s="17"/>
      <c r="H39545" s="18"/>
      <c r="K39545" s="18" t="s">
        <v>316</v>
      </c>
    </row>
    <row r="39546">
      <c r="A39546" s="17"/>
      <c r="H39546" s="18"/>
      <c r="K39546" s="18" t="s">
        <v>316</v>
      </c>
    </row>
    <row r="39547">
      <c r="A39547" s="17"/>
      <c r="H39547" s="18"/>
      <c r="K39547" s="18" t="s">
        <v>316</v>
      </c>
    </row>
    <row r="39548">
      <c r="A39548" s="17"/>
      <c r="H39548" s="18"/>
      <c r="K39548" s="18" t="s">
        <v>316</v>
      </c>
    </row>
    <row r="39549">
      <c r="A39549" s="17"/>
      <c r="H39549" s="18"/>
      <c r="K39549" s="18" t="s">
        <v>316</v>
      </c>
    </row>
    <row r="39550">
      <c r="A39550" s="17"/>
      <c r="H39550" s="18"/>
      <c r="K39550" s="18" t="s">
        <v>316</v>
      </c>
    </row>
    <row r="39551">
      <c r="A39551" s="17"/>
      <c r="H39551" s="18"/>
      <c r="K39551" s="18" t="s">
        <v>316</v>
      </c>
    </row>
    <row r="39552">
      <c r="A39552" s="17"/>
      <c r="H39552" s="18"/>
      <c r="K39552" s="18" t="s">
        <v>316</v>
      </c>
    </row>
    <row r="39553">
      <c r="A39553" s="17"/>
      <c r="H39553" s="18"/>
      <c r="K39553" s="18" t="s">
        <v>316</v>
      </c>
    </row>
    <row r="39554">
      <c r="A39554" s="17"/>
      <c r="H39554" s="18"/>
      <c r="K39554" s="18" t="s">
        <v>316</v>
      </c>
    </row>
    <row r="39555">
      <c r="A39555" s="17"/>
      <c r="H39555" s="18"/>
      <c r="K39555" s="18" t="s">
        <v>316</v>
      </c>
    </row>
    <row r="39556">
      <c r="A39556" s="17"/>
      <c r="H39556" s="18"/>
      <c r="K39556" s="18" t="s">
        <v>316</v>
      </c>
    </row>
    <row r="39557">
      <c r="A39557" s="17"/>
      <c r="H39557" s="18"/>
      <c r="K39557" s="18" t="s">
        <v>316</v>
      </c>
    </row>
    <row r="39558">
      <c r="A39558" s="17"/>
      <c r="H39558" s="18"/>
      <c r="K39558" s="18" t="s">
        <v>316</v>
      </c>
    </row>
    <row r="39559">
      <c r="A39559" s="17"/>
      <c r="H39559" s="18"/>
      <c r="K39559" s="18" t="s">
        <v>316</v>
      </c>
    </row>
    <row r="39560">
      <c r="A39560" s="17"/>
      <c r="H39560" s="18"/>
      <c r="K39560" s="18" t="s">
        <v>316</v>
      </c>
    </row>
    <row r="39561">
      <c r="A39561" s="17"/>
      <c r="H39561" s="18"/>
      <c r="K39561" s="18" t="s">
        <v>316</v>
      </c>
    </row>
    <row r="39562">
      <c r="A39562" s="17"/>
      <c r="H39562" s="18"/>
      <c r="K39562" s="18" t="s">
        <v>316</v>
      </c>
    </row>
    <row r="39563">
      <c r="A39563" s="17"/>
      <c r="H39563" s="18"/>
      <c r="K39563" s="18" t="s">
        <v>316</v>
      </c>
    </row>
    <row r="39564">
      <c r="A39564" s="17"/>
      <c r="H39564" s="18"/>
      <c r="K39564" s="18" t="s">
        <v>316</v>
      </c>
    </row>
    <row r="39565">
      <c r="A39565" s="17"/>
      <c r="H39565" s="18"/>
      <c r="K39565" s="18" t="s">
        <v>316</v>
      </c>
    </row>
    <row r="39566">
      <c r="A39566" s="17"/>
      <c r="H39566" s="18"/>
      <c r="K39566" s="18" t="s">
        <v>316</v>
      </c>
    </row>
    <row r="39567">
      <c r="A39567" s="17"/>
      <c r="H39567" s="18"/>
      <c r="K39567" s="18" t="s">
        <v>316</v>
      </c>
    </row>
    <row r="39568">
      <c r="A39568" s="17"/>
      <c r="H39568" s="18"/>
      <c r="K39568" s="18" t="s">
        <v>316</v>
      </c>
    </row>
    <row r="39569">
      <c r="A39569" s="17"/>
      <c r="H39569" s="18"/>
      <c r="K39569" s="18" t="s">
        <v>316</v>
      </c>
    </row>
    <row r="39570">
      <c r="A39570" s="17"/>
      <c r="H39570" s="18"/>
      <c r="K39570" s="18" t="s">
        <v>316</v>
      </c>
    </row>
    <row r="39571">
      <c r="A39571" s="17"/>
      <c r="H39571" s="18"/>
      <c r="K39571" s="18" t="s">
        <v>316</v>
      </c>
    </row>
    <row r="39572">
      <c r="A39572" s="17"/>
      <c r="H39572" s="18"/>
      <c r="K39572" s="18" t="s">
        <v>316</v>
      </c>
    </row>
    <row r="39573">
      <c r="A39573" s="17"/>
      <c r="H39573" s="18"/>
      <c r="K39573" s="18" t="s">
        <v>316</v>
      </c>
    </row>
    <row r="39574">
      <c r="A39574" s="17"/>
      <c r="H39574" s="18"/>
      <c r="K39574" s="18" t="s">
        <v>316</v>
      </c>
    </row>
    <row r="39575">
      <c r="A39575" s="17"/>
      <c r="H39575" s="18"/>
      <c r="K39575" s="18" t="s">
        <v>316</v>
      </c>
    </row>
    <row r="39576">
      <c r="A39576" s="17"/>
      <c r="H39576" s="18"/>
      <c r="K39576" s="18" t="s">
        <v>316</v>
      </c>
    </row>
    <row r="39577">
      <c r="A39577" s="17"/>
      <c r="H39577" s="18"/>
      <c r="K39577" s="18" t="s">
        <v>316</v>
      </c>
    </row>
    <row r="39578">
      <c r="A39578" s="17"/>
      <c r="H39578" s="18"/>
      <c r="K39578" s="18" t="s">
        <v>316</v>
      </c>
    </row>
    <row r="39579">
      <c r="A39579" s="17"/>
      <c r="H39579" s="18"/>
      <c r="K39579" s="18" t="s">
        <v>316</v>
      </c>
    </row>
    <row r="39580">
      <c r="A39580" s="17"/>
      <c r="H39580" s="18"/>
      <c r="K39580" s="18" t="s">
        <v>316</v>
      </c>
    </row>
    <row r="39581">
      <c r="A39581" s="17"/>
      <c r="H39581" s="18"/>
      <c r="K39581" s="18" t="s">
        <v>316</v>
      </c>
    </row>
    <row r="39582">
      <c r="A39582" s="17"/>
      <c r="H39582" s="18"/>
      <c r="K39582" s="18" t="s">
        <v>316</v>
      </c>
    </row>
    <row r="39583">
      <c r="A39583" s="17"/>
      <c r="H39583" s="18"/>
      <c r="K39583" s="18" t="s">
        <v>316</v>
      </c>
    </row>
    <row r="39584">
      <c r="A39584" s="17"/>
      <c r="H39584" s="18"/>
      <c r="K39584" s="18" t="s">
        <v>316</v>
      </c>
    </row>
    <row r="39585">
      <c r="A39585" s="17"/>
      <c r="H39585" s="18"/>
      <c r="K39585" s="18" t="s">
        <v>316</v>
      </c>
    </row>
    <row r="39586">
      <c r="A39586" s="17"/>
      <c r="H39586" s="18"/>
      <c r="K39586" s="18" t="s">
        <v>316</v>
      </c>
    </row>
    <row r="39587">
      <c r="A39587" s="17"/>
      <c r="H39587" s="18"/>
      <c r="K39587" s="18" t="s">
        <v>316</v>
      </c>
    </row>
    <row r="39588">
      <c r="A39588" s="17"/>
      <c r="H39588" s="18"/>
      <c r="K39588" s="18" t="s">
        <v>316</v>
      </c>
    </row>
    <row r="39589">
      <c r="A39589" s="17"/>
      <c r="H39589" s="18"/>
      <c r="K39589" s="18" t="s">
        <v>316</v>
      </c>
    </row>
    <row r="39590">
      <c r="A39590" s="17"/>
      <c r="H39590" s="18"/>
      <c r="K39590" s="18" t="s">
        <v>316</v>
      </c>
    </row>
    <row r="39591">
      <c r="A39591" s="17"/>
      <c r="H39591" s="18"/>
      <c r="K39591" s="18" t="s">
        <v>316</v>
      </c>
    </row>
    <row r="39592">
      <c r="A39592" s="17"/>
      <c r="H39592" s="18"/>
      <c r="K39592" s="18" t="s">
        <v>316</v>
      </c>
    </row>
    <row r="39593">
      <c r="A39593" s="17"/>
      <c r="H39593" s="18"/>
      <c r="K39593" s="18" t="s">
        <v>316</v>
      </c>
    </row>
    <row r="39594">
      <c r="A39594" s="17"/>
      <c r="H39594" s="18"/>
      <c r="K39594" s="18" t="s">
        <v>316</v>
      </c>
    </row>
    <row r="39595">
      <c r="A39595" s="17"/>
      <c r="H39595" s="18"/>
      <c r="K39595" s="18" t="s">
        <v>316</v>
      </c>
    </row>
    <row r="39596">
      <c r="A39596" s="17"/>
      <c r="H39596" s="18"/>
      <c r="K39596" s="18" t="s">
        <v>316</v>
      </c>
    </row>
    <row r="39597">
      <c r="A39597" s="17"/>
      <c r="H39597" s="18"/>
      <c r="K39597" s="18" t="s">
        <v>316</v>
      </c>
    </row>
    <row r="39598">
      <c r="A39598" s="17"/>
      <c r="H39598" s="18"/>
      <c r="K39598" s="18" t="s">
        <v>316</v>
      </c>
    </row>
    <row r="39599">
      <c r="A39599" s="17"/>
      <c r="H39599" s="18"/>
      <c r="K39599" s="18" t="s">
        <v>316</v>
      </c>
    </row>
    <row r="39600">
      <c r="A39600" s="17"/>
      <c r="H39600" s="18"/>
      <c r="K39600" s="18" t="s">
        <v>316</v>
      </c>
    </row>
    <row r="39601">
      <c r="A39601" s="17"/>
      <c r="H39601" s="18"/>
      <c r="K39601" s="18" t="s">
        <v>316</v>
      </c>
    </row>
    <row r="39602">
      <c r="A39602" s="17"/>
      <c r="H39602" s="18"/>
      <c r="K39602" s="18" t="s">
        <v>316</v>
      </c>
    </row>
    <row r="39603">
      <c r="A39603" s="17"/>
      <c r="H39603" s="18"/>
      <c r="K39603" s="18" t="s">
        <v>316</v>
      </c>
    </row>
    <row r="39604">
      <c r="A39604" s="17"/>
      <c r="H39604" s="18"/>
      <c r="K39604" s="18" t="s">
        <v>316</v>
      </c>
    </row>
    <row r="39605">
      <c r="A39605" s="17"/>
      <c r="H39605" s="18"/>
      <c r="K39605" s="18" t="s">
        <v>316</v>
      </c>
    </row>
    <row r="39606">
      <c r="A39606" s="17"/>
      <c r="H39606" s="18"/>
      <c r="K39606" s="18" t="s">
        <v>316</v>
      </c>
    </row>
    <row r="39607">
      <c r="A39607" s="17"/>
      <c r="H39607" s="18"/>
      <c r="K39607" s="18" t="s">
        <v>316</v>
      </c>
    </row>
    <row r="39608">
      <c r="A39608" s="17"/>
      <c r="H39608" s="18"/>
      <c r="K39608" s="18" t="s">
        <v>316</v>
      </c>
    </row>
    <row r="39609">
      <c r="A39609" s="17"/>
      <c r="H39609" s="18"/>
      <c r="K39609" s="18" t="s">
        <v>316</v>
      </c>
    </row>
    <row r="39610">
      <c r="A39610" s="17"/>
      <c r="H39610" s="18"/>
      <c r="K39610" s="18" t="s">
        <v>316</v>
      </c>
    </row>
    <row r="39611">
      <c r="A39611" s="17"/>
      <c r="H39611" s="18"/>
      <c r="K39611" s="18" t="s">
        <v>316</v>
      </c>
    </row>
    <row r="39612">
      <c r="A39612" s="17"/>
      <c r="H39612" s="18"/>
      <c r="K39612" s="18" t="s">
        <v>316</v>
      </c>
    </row>
    <row r="39613">
      <c r="A39613" s="17"/>
      <c r="H39613" s="18"/>
      <c r="K39613" s="18" t="s">
        <v>316</v>
      </c>
    </row>
    <row r="39614">
      <c r="A39614" s="17"/>
      <c r="H39614" s="18"/>
      <c r="K39614" s="18" t="s">
        <v>316</v>
      </c>
    </row>
    <row r="39615">
      <c r="A39615" s="17"/>
      <c r="H39615" s="18"/>
      <c r="K39615" s="18" t="s">
        <v>316</v>
      </c>
    </row>
    <row r="39616">
      <c r="A39616" s="17"/>
      <c r="H39616" s="18"/>
      <c r="K39616" s="18" t="s">
        <v>316</v>
      </c>
    </row>
    <row r="39617">
      <c r="A39617" s="17"/>
      <c r="H39617" s="18"/>
      <c r="K39617" s="18" t="s">
        <v>316</v>
      </c>
    </row>
    <row r="39618">
      <c r="A39618" s="17"/>
      <c r="H39618" s="18"/>
      <c r="K39618" s="18" t="s">
        <v>316</v>
      </c>
    </row>
    <row r="39619">
      <c r="A39619" s="17"/>
      <c r="H39619" s="18"/>
      <c r="K39619" s="18" t="s">
        <v>316</v>
      </c>
    </row>
    <row r="39620">
      <c r="A39620" s="17"/>
      <c r="H39620" s="18"/>
      <c r="K39620" s="18" t="s">
        <v>316</v>
      </c>
    </row>
    <row r="39621">
      <c r="A39621" s="17"/>
      <c r="H39621" s="18"/>
      <c r="K39621" s="18" t="s">
        <v>316</v>
      </c>
    </row>
    <row r="39622">
      <c r="A39622" s="17"/>
      <c r="H39622" s="18"/>
      <c r="K39622" s="18" t="s">
        <v>316</v>
      </c>
    </row>
    <row r="39623">
      <c r="A39623" s="17"/>
      <c r="H39623" s="18"/>
      <c r="K39623" s="18" t="s">
        <v>316</v>
      </c>
    </row>
    <row r="39624">
      <c r="A39624" s="17"/>
      <c r="H39624" s="18"/>
      <c r="K39624" s="18" t="s">
        <v>316</v>
      </c>
    </row>
    <row r="39625">
      <c r="A39625" s="17"/>
      <c r="H39625" s="18"/>
      <c r="K39625" s="18" t="s">
        <v>316</v>
      </c>
    </row>
    <row r="39626">
      <c r="A39626" s="17"/>
      <c r="H39626" s="18"/>
      <c r="K39626" s="18" t="s">
        <v>316</v>
      </c>
    </row>
    <row r="39627">
      <c r="A39627" s="17"/>
      <c r="H39627" s="18"/>
      <c r="K39627" s="18" t="s">
        <v>316</v>
      </c>
    </row>
    <row r="39628">
      <c r="A39628" s="17"/>
      <c r="H39628" s="18"/>
      <c r="K39628" s="18" t="s">
        <v>316</v>
      </c>
    </row>
    <row r="39629">
      <c r="A39629" s="17"/>
      <c r="H39629" s="18"/>
      <c r="K39629" s="18" t="s">
        <v>316</v>
      </c>
    </row>
    <row r="39630">
      <c r="A39630" s="17"/>
      <c r="H39630" s="18"/>
      <c r="K39630" s="18" t="s">
        <v>316</v>
      </c>
    </row>
    <row r="39631">
      <c r="A39631" s="17"/>
      <c r="H39631" s="18"/>
      <c r="K39631" s="18" t="s">
        <v>316</v>
      </c>
    </row>
    <row r="39632">
      <c r="A39632" s="17"/>
      <c r="H39632" s="18"/>
      <c r="K39632" s="18" t="s">
        <v>316</v>
      </c>
    </row>
    <row r="39633">
      <c r="A39633" s="17"/>
      <c r="H39633" s="18"/>
      <c r="K39633" s="18" t="s">
        <v>316</v>
      </c>
    </row>
    <row r="39634">
      <c r="A39634" s="17"/>
      <c r="H39634" s="18"/>
      <c r="K39634" s="18" t="s">
        <v>316</v>
      </c>
    </row>
    <row r="39635">
      <c r="A39635" s="17"/>
      <c r="H39635" s="18"/>
      <c r="K39635" s="18" t="s">
        <v>316</v>
      </c>
    </row>
    <row r="39636">
      <c r="A39636" s="17"/>
      <c r="H39636" s="18"/>
      <c r="K39636" s="18" t="s">
        <v>316</v>
      </c>
    </row>
    <row r="39637">
      <c r="A39637" s="17"/>
      <c r="H39637" s="18"/>
      <c r="K39637" s="18" t="s">
        <v>316</v>
      </c>
    </row>
    <row r="39638">
      <c r="A39638" s="17"/>
      <c r="H39638" s="18"/>
      <c r="K39638" s="18" t="s">
        <v>316</v>
      </c>
    </row>
    <row r="39639">
      <c r="A39639" s="17"/>
      <c r="H39639" s="18"/>
      <c r="K39639" s="18" t="s">
        <v>316</v>
      </c>
    </row>
    <row r="39640">
      <c r="A39640" s="17"/>
      <c r="H39640" s="18"/>
      <c r="K39640" s="18" t="s">
        <v>316</v>
      </c>
    </row>
    <row r="39641">
      <c r="A39641" s="17"/>
      <c r="H39641" s="18"/>
      <c r="K39641" s="18" t="s">
        <v>316</v>
      </c>
    </row>
    <row r="39642">
      <c r="A39642" s="17"/>
      <c r="H39642" s="18"/>
      <c r="K39642" s="18" t="s">
        <v>316</v>
      </c>
    </row>
    <row r="39643">
      <c r="A39643" s="17"/>
      <c r="H39643" s="18"/>
      <c r="K39643" s="18" t="s">
        <v>316</v>
      </c>
    </row>
    <row r="39644">
      <c r="A39644" s="17"/>
      <c r="H39644" s="18"/>
      <c r="K39644" s="18" t="s">
        <v>316</v>
      </c>
    </row>
    <row r="39645">
      <c r="A39645" s="17"/>
      <c r="H39645" s="18"/>
      <c r="K39645" s="18" t="s">
        <v>316</v>
      </c>
    </row>
    <row r="39646">
      <c r="A39646" s="17"/>
      <c r="H39646" s="18"/>
      <c r="K39646" s="18" t="s">
        <v>316</v>
      </c>
    </row>
    <row r="39647">
      <c r="A39647" s="17"/>
      <c r="H39647" s="18"/>
      <c r="K39647" s="18" t="s">
        <v>316</v>
      </c>
    </row>
    <row r="39648">
      <c r="A39648" s="17"/>
      <c r="H39648" s="18"/>
      <c r="K39648" s="18" t="s">
        <v>316</v>
      </c>
    </row>
    <row r="39649">
      <c r="A39649" s="17"/>
      <c r="H39649" s="18"/>
      <c r="K39649" s="18" t="s">
        <v>316</v>
      </c>
    </row>
    <row r="39650">
      <c r="A39650" s="17"/>
      <c r="H39650" s="18"/>
      <c r="K39650" s="18" t="s">
        <v>316</v>
      </c>
    </row>
    <row r="39651">
      <c r="A39651" s="17"/>
      <c r="H39651" s="18"/>
      <c r="K39651" s="18" t="s">
        <v>316</v>
      </c>
    </row>
    <row r="39652">
      <c r="A39652" s="17"/>
      <c r="H39652" s="18"/>
      <c r="K39652" s="18" t="s">
        <v>316</v>
      </c>
    </row>
    <row r="39653">
      <c r="A39653" s="17"/>
      <c r="H39653" s="18"/>
      <c r="K39653" s="18" t="s">
        <v>316</v>
      </c>
    </row>
    <row r="39654">
      <c r="A39654" s="17"/>
      <c r="H39654" s="18"/>
      <c r="K39654" s="18" t="s">
        <v>316</v>
      </c>
    </row>
    <row r="39655">
      <c r="A39655" s="17"/>
      <c r="H39655" s="18"/>
      <c r="K39655" s="18" t="s">
        <v>316</v>
      </c>
    </row>
    <row r="39656">
      <c r="A39656" s="17"/>
      <c r="H39656" s="18"/>
      <c r="K39656" s="18" t="s">
        <v>316</v>
      </c>
    </row>
    <row r="39657">
      <c r="A39657" s="17"/>
      <c r="H39657" s="18"/>
      <c r="K39657" s="18" t="s">
        <v>316</v>
      </c>
    </row>
    <row r="39658">
      <c r="A39658" s="17"/>
      <c r="H39658" s="18"/>
      <c r="K39658" s="18" t="s">
        <v>316</v>
      </c>
    </row>
    <row r="39659">
      <c r="A39659" s="17"/>
      <c r="H39659" s="18"/>
      <c r="K39659" s="18" t="s">
        <v>316</v>
      </c>
    </row>
    <row r="39660">
      <c r="A39660" s="17"/>
      <c r="H39660" s="18"/>
      <c r="K39660" s="18" t="s">
        <v>316</v>
      </c>
    </row>
    <row r="39661">
      <c r="A39661" s="17"/>
      <c r="H39661" s="18"/>
      <c r="K39661" s="18" t="s">
        <v>316</v>
      </c>
    </row>
    <row r="39662">
      <c r="A39662" s="17"/>
      <c r="H39662" s="18"/>
      <c r="K39662" s="18" t="s">
        <v>316</v>
      </c>
    </row>
    <row r="39663">
      <c r="A39663" s="17"/>
      <c r="H39663" s="18"/>
      <c r="K39663" s="18" t="s">
        <v>316</v>
      </c>
    </row>
    <row r="39664">
      <c r="A39664" s="17"/>
      <c r="H39664" s="18"/>
      <c r="K39664" s="18" t="s">
        <v>316</v>
      </c>
    </row>
    <row r="39665">
      <c r="A39665" s="17"/>
      <c r="H39665" s="18"/>
      <c r="K39665" s="18" t="s">
        <v>316</v>
      </c>
    </row>
    <row r="39666">
      <c r="A39666" s="17"/>
      <c r="H39666" s="18"/>
      <c r="K39666" s="18" t="s">
        <v>316</v>
      </c>
    </row>
    <row r="39667">
      <c r="A39667" s="17"/>
      <c r="H39667" s="18"/>
      <c r="K39667" s="18" t="s">
        <v>316</v>
      </c>
    </row>
    <row r="39668">
      <c r="A39668" s="17"/>
      <c r="H39668" s="18"/>
      <c r="K39668" s="18" t="s">
        <v>316</v>
      </c>
    </row>
    <row r="39669">
      <c r="A39669" s="17"/>
      <c r="H39669" s="18"/>
      <c r="K39669" s="18" t="s">
        <v>316</v>
      </c>
    </row>
    <row r="39670">
      <c r="A39670" s="17"/>
      <c r="H39670" s="18"/>
      <c r="K39670" s="18" t="s">
        <v>316</v>
      </c>
    </row>
    <row r="39671">
      <c r="A39671" s="17"/>
      <c r="H39671" s="18"/>
      <c r="K39671" s="18" t="s">
        <v>316</v>
      </c>
    </row>
    <row r="39672">
      <c r="A39672" s="17"/>
      <c r="H39672" s="18"/>
      <c r="K39672" s="18" t="s">
        <v>316</v>
      </c>
    </row>
    <row r="39673">
      <c r="A39673" s="17"/>
      <c r="H39673" s="18"/>
      <c r="K39673" s="18" t="s">
        <v>316</v>
      </c>
    </row>
    <row r="39674">
      <c r="A39674" s="17"/>
      <c r="H39674" s="18"/>
      <c r="K39674" s="18" t="s">
        <v>316</v>
      </c>
    </row>
    <row r="39675">
      <c r="A39675" s="17"/>
      <c r="H39675" s="18"/>
      <c r="K39675" s="18" t="s">
        <v>316</v>
      </c>
    </row>
    <row r="39676">
      <c r="A39676" s="17"/>
      <c r="H39676" s="18"/>
      <c r="K39676" s="18" t="s">
        <v>316</v>
      </c>
    </row>
    <row r="39677">
      <c r="A39677" s="17"/>
      <c r="H39677" s="18"/>
      <c r="K39677" s="18" t="s">
        <v>316</v>
      </c>
    </row>
    <row r="39678">
      <c r="A39678" s="17"/>
      <c r="H39678" s="18"/>
      <c r="K39678" s="18" t="s">
        <v>316</v>
      </c>
    </row>
    <row r="39679">
      <c r="A39679" s="17"/>
      <c r="H39679" s="18"/>
      <c r="K39679" s="18" t="s">
        <v>316</v>
      </c>
    </row>
    <row r="39680">
      <c r="A39680" s="17"/>
      <c r="H39680" s="18"/>
      <c r="K39680" s="18" t="s">
        <v>316</v>
      </c>
    </row>
    <row r="39681">
      <c r="A39681" s="17"/>
      <c r="H39681" s="18"/>
      <c r="K39681" s="18" t="s">
        <v>316</v>
      </c>
    </row>
    <row r="39682">
      <c r="A39682" s="17"/>
      <c r="H39682" s="18"/>
      <c r="K39682" s="18" t="s">
        <v>316</v>
      </c>
    </row>
    <row r="39683">
      <c r="A39683" s="17"/>
      <c r="H39683" s="18"/>
      <c r="K39683" s="18" t="s">
        <v>316</v>
      </c>
    </row>
    <row r="39684">
      <c r="A39684" s="17"/>
      <c r="H39684" s="18"/>
      <c r="K39684" s="18" t="s">
        <v>316</v>
      </c>
    </row>
    <row r="39685">
      <c r="A39685" s="17"/>
      <c r="H39685" s="18"/>
      <c r="K39685" s="18" t="s">
        <v>316</v>
      </c>
    </row>
    <row r="39686">
      <c r="A39686" s="17"/>
      <c r="H39686" s="18"/>
      <c r="K39686" s="18" t="s">
        <v>316</v>
      </c>
    </row>
    <row r="39687">
      <c r="A39687" s="17"/>
      <c r="H39687" s="18"/>
      <c r="K39687" s="18" t="s">
        <v>316</v>
      </c>
    </row>
    <row r="39688">
      <c r="A39688" s="17"/>
      <c r="H39688" s="18"/>
      <c r="K39688" s="18" t="s">
        <v>316</v>
      </c>
    </row>
    <row r="39689">
      <c r="A39689" s="17"/>
      <c r="H39689" s="18"/>
      <c r="K39689" s="18" t="s">
        <v>316</v>
      </c>
    </row>
    <row r="39690">
      <c r="A39690" s="17"/>
      <c r="H39690" s="18"/>
      <c r="K39690" s="18" t="s">
        <v>316</v>
      </c>
    </row>
    <row r="39691">
      <c r="A39691" s="17"/>
      <c r="H39691" s="18"/>
      <c r="K39691" s="18" t="s">
        <v>316</v>
      </c>
    </row>
    <row r="39692">
      <c r="A39692" s="17"/>
      <c r="H39692" s="18"/>
      <c r="K39692" s="18" t="s">
        <v>316</v>
      </c>
    </row>
    <row r="39693">
      <c r="A39693" s="17"/>
      <c r="H39693" s="18"/>
      <c r="K39693" s="18" t="s">
        <v>316</v>
      </c>
    </row>
    <row r="39694">
      <c r="A39694" s="17"/>
      <c r="H39694" s="18"/>
      <c r="K39694" s="18" t="s">
        <v>316</v>
      </c>
    </row>
    <row r="39695">
      <c r="A39695" s="17"/>
      <c r="H39695" s="18"/>
      <c r="K39695" s="18" t="s">
        <v>316</v>
      </c>
    </row>
    <row r="39696">
      <c r="A39696" s="17"/>
      <c r="H39696" s="18"/>
      <c r="K39696" s="18" t="s">
        <v>316</v>
      </c>
    </row>
    <row r="39697">
      <c r="A39697" s="17"/>
      <c r="H39697" s="18"/>
      <c r="K39697" s="18" t="s">
        <v>316</v>
      </c>
    </row>
    <row r="39698">
      <c r="A39698" s="17"/>
      <c r="H39698" s="18"/>
      <c r="K39698" s="18" t="s">
        <v>316</v>
      </c>
    </row>
    <row r="39699">
      <c r="A39699" s="17"/>
      <c r="H39699" s="18"/>
      <c r="K39699" s="18" t="s">
        <v>316</v>
      </c>
    </row>
    <row r="39700">
      <c r="A39700" s="17"/>
      <c r="H39700" s="18"/>
      <c r="K39700" s="18" t="s">
        <v>316</v>
      </c>
    </row>
    <row r="39701">
      <c r="A39701" s="17"/>
      <c r="H39701" s="18"/>
      <c r="K39701" s="18" t="s">
        <v>316</v>
      </c>
    </row>
    <row r="39702">
      <c r="A39702" s="17"/>
      <c r="H39702" s="18"/>
      <c r="K39702" s="18" t="s">
        <v>316</v>
      </c>
    </row>
    <row r="39703">
      <c r="A39703" s="17"/>
      <c r="H39703" s="18"/>
      <c r="K39703" s="18" t="s">
        <v>316</v>
      </c>
    </row>
    <row r="39704">
      <c r="A39704" s="17"/>
      <c r="H39704" s="18"/>
      <c r="K39704" s="18" t="s">
        <v>316</v>
      </c>
    </row>
    <row r="39705">
      <c r="A39705" s="17"/>
      <c r="H39705" s="18"/>
      <c r="K39705" s="18" t="s">
        <v>316</v>
      </c>
    </row>
    <row r="39706">
      <c r="A39706" s="17"/>
      <c r="H39706" s="18"/>
      <c r="K39706" s="18" t="s">
        <v>316</v>
      </c>
    </row>
    <row r="39707">
      <c r="A39707" s="17"/>
      <c r="H39707" s="18"/>
      <c r="K39707" s="18" t="s">
        <v>316</v>
      </c>
    </row>
    <row r="39708">
      <c r="A39708" s="17"/>
      <c r="H39708" s="18"/>
      <c r="K39708" s="18" t="s">
        <v>316</v>
      </c>
    </row>
    <row r="39709">
      <c r="A39709" s="17"/>
      <c r="H39709" s="18"/>
      <c r="K39709" s="18" t="s">
        <v>316</v>
      </c>
    </row>
    <row r="39710">
      <c r="A39710" s="17"/>
      <c r="H39710" s="18"/>
      <c r="K39710" s="18" t="s">
        <v>316</v>
      </c>
    </row>
    <row r="39711">
      <c r="A39711" s="17"/>
      <c r="H39711" s="18"/>
      <c r="K39711" s="18" t="s">
        <v>316</v>
      </c>
    </row>
    <row r="39712">
      <c r="A39712" s="17"/>
      <c r="H39712" s="18"/>
      <c r="K39712" s="18" t="s">
        <v>316</v>
      </c>
    </row>
    <row r="39713">
      <c r="A39713" s="17"/>
      <c r="H39713" s="18"/>
      <c r="K39713" s="18" t="s">
        <v>316</v>
      </c>
    </row>
    <row r="39714">
      <c r="A39714" s="17"/>
      <c r="H39714" s="18"/>
      <c r="K39714" s="18" t="s">
        <v>316</v>
      </c>
    </row>
    <row r="39715">
      <c r="A39715" s="17"/>
      <c r="H39715" s="18"/>
      <c r="K39715" s="18" t="s">
        <v>316</v>
      </c>
    </row>
    <row r="39716">
      <c r="A39716" s="17"/>
      <c r="H39716" s="18"/>
      <c r="K39716" s="18" t="s">
        <v>316</v>
      </c>
    </row>
    <row r="39717">
      <c r="A39717" s="17"/>
      <c r="H39717" s="18"/>
      <c r="K39717" s="18" t="s">
        <v>316</v>
      </c>
    </row>
    <row r="39718">
      <c r="A39718" s="17"/>
      <c r="H39718" s="18"/>
      <c r="K39718" s="18" t="s">
        <v>316</v>
      </c>
    </row>
    <row r="39719">
      <c r="A39719" s="17"/>
      <c r="H39719" s="18"/>
      <c r="K39719" s="18" t="s">
        <v>316</v>
      </c>
    </row>
    <row r="39720">
      <c r="A39720" s="17"/>
      <c r="H39720" s="18"/>
      <c r="K39720" s="18" t="s">
        <v>316</v>
      </c>
    </row>
    <row r="39721">
      <c r="A39721" s="17"/>
      <c r="H39721" s="18"/>
      <c r="K39721" s="18" t="s">
        <v>316</v>
      </c>
    </row>
    <row r="39722">
      <c r="A39722" s="17"/>
      <c r="H39722" s="18"/>
      <c r="K39722" s="18" t="s">
        <v>316</v>
      </c>
    </row>
    <row r="39723">
      <c r="A39723" s="17"/>
      <c r="H39723" s="18"/>
      <c r="K39723" s="18" t="s">
        <v>316</v>
      </c>
    </row>
    <row r="39724">
      <c r="A39724" s="17"/>
      <c r="H39724" s="18"/>
      <c r="K39724" s="18" t="s">
        <v>316</v>
      </c>
    </row>
    <row r="39725">
      <c r="A39725" s="17"/>
      <c r="H39725" s="18"/>
      <c r="K39725" s="18" t="s">
        <v>316</v>
      </c>
    </row>
    <row r="39726">
      <c r="A39726" s="17"/>
      <c r="H39726" s="18"/>
      <c r="K39726" s="18" t="s">
        <v>316</v>
      </c>
    </row>
    <row r="39727">
      <c r="A39727" s="17"/>
      <c r="H39727" s="18"/>
      <c r="K39727" s="18" t="s">
        <v>316</v>
      </c>
    </row>
    <row r="39728">
      <c r="A39728" s="17"/>
      <c r="H39728" s="18"/>
      <c r="K39728" s="18" t="s">
        <v>316</v>
      </c>
    </row>
    <row r="39729">
      <c r="A39729" s="17"/>
      <c r="H39729" s="18"/>
      <c r="K39729" s="18" t="s">
        <v>316</v>
      </c>
    </row>
    <row r="39730">
      <c r="A39730" s="17"/>
      <c r="H39730" s="18"/>
      <c r="K39730" s="18" t="s">
        <v>316</v>
      </c>
    </row>
    <row r="39731">
      <c r="A39731" s="17"/>
      <c r="H39731" s="18"/>
      <c r="K39731" s="18" t="s">
        <v>316</v>
      </c>
    </row>
    <row r="39732">
      <c r="A39732" s="17"/>
      <c r="H39732" s="18"/>
      <c r="K39732" s="18" t="s">
        <v>316</v>
      </c>
    </row>
    <row r="39733">
      <c r="A39733" s="17"/>
      <c r="H39733" s="18"/>
      <c r="K39733" s="18" t="s">
        <v>316</v>
      </c>
    </row>
    <row r="39734">
      <c r="A39734" s="17"/>
      <c r="H39734" s="18"/>
      <c r="K39734" s="18" t="s">
        <v>316</v>
      </c>
    </row>
    <row r="39735">
      <c r="A39735" s="17"/>
      <c r="H39735" s="18"/>
      <c r="K39735" s="18" t="s">
        <v>316</v>
      </c>
    </row>
    <row r="39736">
      <c r="A39736" s="17"/>
      <c r="H39736" s="18"/>
      <c r="K39736" s="18" t="s">
        <v>316</v>
      </c>
    </row>
    <row r="39737">
      <c r="A39737" s="17"/>
      <c r="H39737" s="18"/>
      <c r="K39737" s="18" t="s">
        <v>316</v>
      </c>
    </row>
    <row r="39738">
      <c r="A39738" s="17"/>
      <c r="H39738" s="18"/>
      <c r="K39738" s="18" t="s">
        <v>316</v>
      </c>
    </row>
    <row r="39739">
      <c r="A39739" s="17"/>
      <c r="H39739" s="18"/>
      <c r="K39739" s="18" t="s">
        <v>316</v>
      </c>
    </row>
    <row r="39740">
      <c r="A39740" s="17"/>
      <c r="H39740" s="18"/>
      <c r="K39740" s="18" t="s">
        <v>316</v>
      </c>
    </row>
    <row r="39741">
      <c r="A39741" s="17"/>
      <c r="H39741" s="18"/>
      <c r="K39741" s="18" t="s">
        <v>316</v>
      </c>
    </row>
    <row r="39742">
      <c r="A39742" s="17"/>
      <c r="H39742" s="18"/>
      <c r="K39742" s="18" t="s">
        <v>316</v>
      </c>
    </row>
    <row r="39743">
      <c r="A39743" s="17"/>
      <c r="H39743" s="18"/>
      <c r="K39743" s="18" t="s">
        <v>316</v>
      </c>
    </row>
    <row r="39744">
      <c r="A39744" s="17"/>
      <c r="H39744" s="18"/>
      <c r="K39744" s="18" t="s">
        <v>316</v>
      </c>
    </row>
    <row r="39745">
      <c r="A39745" s="17"/>
      <c r="H39745" s="18"/>
      <c r="K39745" s="18" t="s">
        <v>316</v>
      </c>
    </row>
    <row r="39746">
      <c r="A39746" s="17"/>
      <c r="H39746" s="18"/>
      <c r="K39746" s="18" t="s">
        <v>316</v>
      </c>
    </row>
    <row r="39747">
      <c r="A39747" s="17"/>
      <c r="H39747" s="18"/>
      <c r="K39747" s="18" t="s">
        <v>316</v>
      </c>
    </row>
    <row r="39748">
      <c r="A39748" s="17"/>
      <c r="H39748" s="18"/>
      <c r="K39748" s="18" t="s">
        <v>316</v>
      </c>
    </row>
    <row r="39749">
      <c r="A39749" s="17"/>
      <c r="H39749" s="18"/>
      <c r="K39749" s="18" t="s">
        <v>316</v>
      </c>
    </row>
    <row r="39750">
      <c r="A39750" s="17"/>
      <c r="H39750" s="18"/>
      <c r="K39750" s="18" t="s">
        <v>316</v>
      </c>
    </row>
    <row r="39751">
      <c r="A39751" s="17"/>
      <c r="H39751" s="18"/>
      <c r="K39751" s="18" t="s">
        <v>316</v>
      </c>
    </row>
    <row r="39752">
      <c r="A39752" s="17"/>
      <c r="H39752" s="18"/>
      <c r="K39752" s="18" t="s">
        <v>316</v>
      </c>
    </row>
    <row r="39753">
      <c r="A39753" s="17"/>
      <c r="H39753" s="18"/>
      <c r="K39753" s="18" t="s">
        <v>316</v>
      </c>
    </row>
    <row r="39754">
      <c r="A39754" s="17"/>
      <c r="H39754" s="18"/>
      <c r="K39754" s="18" t="s">
        <v>316</v>
      </c>
    </row>
    <row r="39755">
      <c r="A39755" s="17"/>
      <c r="H39755" s="18"/>
      <c r="K39755" s="18" t="s">
        <v>316</v>
      </c>
    </row>
    <row r="39756">
      <c r="A39756" s="17"/>
      <c r="H39756" s="18"/>
      <c r="K39756" s="18" t="s">
        <v>316</v>
      </c>
    </row>
    <row r="39757">
      <c r="A39757" s="17"/>
      <c r="H39757" s="18"/>
      <c r="K39757" s="18" t="s">
        <v>316</v>
      </c>
    </row>
    <row r="39758">
      <c r="A39758" s="17"/>
      <c r="H39758" s="18"/>
      <c r="K39758" s="18" t="s">
        <v>316</v>
      </c>
    </row>
    <row r="39759">
      <c r="A39759" s="17"/>
      <c r="H39759" s="18"/>
      <c r="K39759" s="18" t="s">
        <v>316</v>
      </c>
    </row>
    <row r="39760">
      <c r="A39760" s="17"/>
      <c r="H39760" s="18"/>
      <c r="K39760" s="18" t="s">
        <v>316</v>
      </c>
    </row>
    <row r="39761">
      <c r="A39761" s="17"/>
      <c r="H39761" s="18"/>
      <c r="K39761" s="18" t="s">
        <v>316</v>
      </c>
    </row>
    <row r="39762">
      <c r="A39762" s="17"/>
      <c r="H39762" s="18"/>
      <c r="K39762" s="18" t="s">
        <v>316</v>
      </c>
    </row>
    <row r="39763">
      <c r="A39763" s="17"/>
      <c r="H39763" s="18"/>
      <c r="K39763" s="18" t="s">
        <v>316</v>
      </c>
    </row>
    <row r="39764">
      <c r="A39764" s="17"/>
      <c r="H39764" s="18"/>
      <c r="K39764" s="18" t="s">
        <v>316</v>
      </c>
    </row>
    <row r="39765">
      <c r="A39765" s="17"/>
      <c r="H39765" s="18"/>
      <c r="K39765" s="18" t="s">
        <v>316</v>
      </c>
    </row>
    <row r="39766">
      <c r="A39766" s="17"/>
      <c r="H39766" s="18"/>
      <c r="K39766" s="18" t="s">
        <v>316</v>
      </c>
    </row>
    <row r="39767">
      <c r="A39767" s="17"/>
      <c r="H39767" s="18"/>
      <c r="K39767" s="18" t="s">
        <v>316</v>
      </c>
    </row>
    <row r="39768">
      <c r="A39768" s="17"/>
      <c r="H39768" s="18"/>
      <c r="K39768" s="18" t="s">
        <v>316</v>
      </c>
    </row>
    <row r="39769">
      <c r="A39769" s="17"/>
      <c r="H39769" s="18"/>
      <c r="K39769" s="18" t="s">
        <v>316</v>
      </c>
    </row>
    <row r="39770">
      <c r="A39770" s="17"/>
      <c r="H39770" s="18"/>
      <c r="K39770" s="18" t="s">
        <v>316</v>
      </c>
    </row>
    <row r="39771">
      <c r="A39771" s="17"/>
      <c r="H39771" s="18"/>
      <c r="K39771" s="18" t="s">
        <v>316</v>
      </c>
    </row>
    <row r="39772">
      <c r="A39772" s="17"/>
      <c r="H39772" s="18"/>
      <c r="K39772" s="18" t="s">
        <v>316</v>
      </c>
    </row>
    <row r="39773">
      <c r="A39773" s="17"/>
      <c r="H39773" s="18"/>
      <c r="K39773" s="18" t="s">
        <v>316</v>
      </c>
    </row>
    <row r="39774">
      <c r="A39774" s="17"/>
      <c r="H39774" s="18"/>
      <c r="K39774" s="18" t="s">
        <v>316</v>
      </c>
    </row>
    <row r="39775">
      <c r="A39775" s="17"/>
      <c r="H39775" s="18"/>
      <c r="K39775" s="18" t="s">
        <v>316</v>
      </c>
    </row>
    <row r="39776">
      <c r="A39776" s="17"/>
      <c r="H39776" s="18"/>
      <c r="K39776" s="18" t="s">
        <v>316</v>
      </c>
    </row>
    <row r="39777">
      <c r="A39777" s="17"/>
      <c r="H39777" s="18"/>
      <c r="K39777" s="18" t="s">
        <v>316</v>
      </c>
    </row>
    <row r="39778">
      <c r="A39778" s="17"/>
      <c r="H39778" s="18"/>
      <c r="K39778" s="18" t="s">
        <v>316</v>
      </c>
    </row>
    <row r="39779">
      <c r="A39779" s="17"/>
      <c r="H39779" s="18"/>
      <c r="K39779" s="18" t="s">
        <v>316</v>
      </c>
    </row>
    <row r="39780">
      <c r="A39780" s="17"/>
      <c r="H39780" s="18"/>
      <c r="K39780" s="18" t="s">
        <v>316</v>
      </c>
    </row>
    <row r="39781">
      <c r="A39781" s="17"/>
      <c r="H39781" s="18"/>
      <c r="K39781" s="18" t="s">
        <v>316</v>
      </c>
    </row>
    <row r="39782">
      <c r="A39782" s="17"/>
      <c r="H39782" s="18"/>
      <c r="K39782" s="18" t="s">
        <v>316</v>
      </c>
    </row>
    <row r="39783">
      <c r="A39783" s="17"/>
      <c r="H39783" s="18"/>
      <c r="K39783" s="18" t="s">
        <v>316</v>
      </c>
    </row>
    <row r="39784">
      <c r="A39784" s="17"/>
      <c r="H39784" s="18"/>
      <c r="K39784" s="18" t="s">
        <v>316</v>
      </c>
    </row>
    <row r="39785">
      <c r="A39785" s="17"/>
      <c r="H39785" s="18"/>
      <c r="K39785" s="18" t="s">
        <v>316</v>
      </c>
    </row>
    <row r="39786">
      <c r="A39786" s="17"/>
      <c r="H39786" s="18"/>
      <c r="K39786" s="18" t="s">
        <v>316</v>
      </c>
    </row>
    <row r="39787">
      <c r="A39787" s="17"/>
      <c r="H39787" s="18"/>
      <c r="K39787" s="18" t="s">
        <v>316</v>
      </c>
    </row>
    <row r="39788">
      <c r="A39788" s="17"/>
      <c r="H39788" s="18"/>
      <c r="K39788" s="18" t="s">
        <v>316</v>
      </c>
    </row>
    <row r="39789">
      <c r="A39789" s="17"/>
      <c r="H39789" s="18"/>
      <c r="K39789" s="18" t="s">
        <v>316</v>
      </c>
    </row>
    <row r="39790">
      <c r="A39790" s="17"/>
      <c r="H39790" s="18"/>
      <c r="K39790" s="18" t="s">
        <v>316</v>
      </c>
    </row>
    <row r="39791">
      <c r="A39791" s="17"/>
      <c r="H39791" s="18"/>
      <c r="K39791" s="18" t="s">
        <v>316</v>
      </c>
    </row>
    <row r="39792">
      <c r="A39792" s="17"/>
      <c r="H39792" s="18"/>
      <c r="K39792" s="18" t="s">
        <v>316</v>
      </c>
    </row>
    <row r="39793">
      <c r="A39793" s="17"/>
      <c r="H39793" s="18"/>
      <c r="K39793" s="18" t="s">
        <v>316</v>
      </c>
    </row>
    <row r="39794">
      <c r="A39794" s="17"/>
      <c r="H39794" s="18"/>
      <c r="K39794" s="18" t="s">
        <v>316</v>
      </c>
    </row>
    <row r="39795">
      <c r="A39795" s="17"/>
      <c r="H39795" s="18"/>
      <c r="K39795" s="18" t="s">
        <v>316</v>
      </c>
    </row>
    <row r="39796">
      <c r="A39796" s="17"/>
      <c r="H39796" s="18"/>
      <c r="K39796" s="18" t="s">
        <v>316</v>
      </c>
    </row>
    <row r="39797">
      <c r="A39797" s="17"/>
      <c r="H39797" s="18"/>
      <c r="K39797" s="18" t="s">
        <v>316</v>
      </c>
    </row>
    <row r="39798">
      <c r="A39798" s="17"/>
      <c r="H39798" s="18"/>
      <c r="K39798" s="18" t="s">
        <v>316</v>
      </c>
    </row>
    <row r="39799">
      <c r="A39799" s="17"/>
      <c r="H39799" s="18"/>
      <c r="K39799" s="18" t="s">
        <v>316</v>
      </c>
    </row>
    <row r="39800">
      <c r="A39800" s="17"/>
      <c r="H39800" s="18"/>
      <c r="K39800" s="18" t="s">
        <v>316</v>
      </c>
    </row>
    <row r="39801">
      <c r="A39801" s="17"/>
      <c r="H39801" s="18"/>
      <c r="K39801" s="18" t="s">
        <v>316</v>
      </c>
    </row>
    <row r="39802">
      <c r="A39802" s="17"/>
      <c r="H39802" s="18"/>
      <c r="K39802" s="18" t="s">
        <v>316</v>
      </c>
    </row>
    <row r="39803">
      <c r="A39803" s="17"/>
      <c r="H39803" s="18"/>
      <c r="K39803" s="18" t="s">
        <v>316</v>
      </c>
    </row>
    <row r="39804">
      <c r="A39804" s="17"/>
      <c r="H39804" s="18"/>
      <c r="K39804" s="18" t="s">
        <v>316</v>
      </c>
    </row>
    <row r="39805">
      <c r="A39805" s="17"/>
      <c r="H39805" s="18"/>
      <c r="K39805" s="18" t="s">
        <v>316</v>
      </c>
    </row>
    <row r="39806">
      <c r="A39806" s="17"/>
      <c r="H39806" s="18"/>
      <c r="K39806" s="18" t="s">
        <v>316</v>
      </c>
    </row>
    <row r="39807">
      <c r="A39807" s="17"/>
      <c r="H39807" s="18"/>
      <c r="K39807" s="18" t="s">
        <v>316</v>
      </c>
    </row>
    <row r="39808">
      <c r="A39808" s="17"/>
      <c r="H39808" s="18"/>
      <c r="K39808" s="18" t="s">
        <v>316</v>
      </c>
    </row>
    <row r="39809">
      <c r="A39809" s="17"/>
      <c r="H39809" s="18"/>
      <c r="K39809" s="18" t="s">
        <v>316</v>
      </c>
    </row>
    <row r="39810">
      <c r="A39810" s="17"/>
      <c r="H39810" s="18"/>
      <c r="K39810" s="18" t="s">
        <v>316</v>
      </c>
    </row>
    <row r="39811">
      <c r="A39811" s="17"/>
      <c r="H39811" s="18"/>
      <c r="K39811" s="18" t="s">
        <v>316</v>
      </c>
    </row>
    <row r="39812">
      <c r="A39812" s="17"/>
      <c r="H39812" s="18"/>
      <c r="K39812" s="18" t="s">
        <v>316</v>
      </c>
    </row>
    <row r="39813">
      <c r="A39813" s="17"/>
      <c r="H39813" s="18"/>
      <c r="K39813" s="18" t="s">
        <v>316</v>
      </c>
    </row>
    <row r="39814">
      <c r="A39814" s="17"/>
      <c r="H39814" s="18"/>
      <c r="K39814" s="18" t="s">
        <v>316</v>
      </c>
    </row>
    <row r="39815">
      <c r="A39815" s="17"/>
      <c r="H39815" s="18"/>
      <c r="K39815" s="18" t="s">
        <v>316</v>
      </c>
    </row>
    <row r="39816">
      <c r="A39816" s="17"/>
      <c r="H39816" s="18"/>
      <c r="K39816" s="18" t="s">
        <v>316</v>
      </c>
    </row>
    <row r="39817">
      <c r="A39817" s="17"/>
      <c r="H39817" s="18"/>
      <c r="K39817" s="18" t="s">
        <v>316</v>
      </c>
    </row>
    <row r="39818">
      <c r="A39818" s="17"/>
      <c r="H39818" s="18"/>
      <c r="K39818" s="18" t="s">
        <v>316</v>
      </c>
    </row>
    <row r="39819">
      <c r="A39819" s="17"/>
      <c r="H39819" s="18"/>
      <c r="K39819" s="18" t="s">
        <v>316</v>
      </c>
    </row>
    <row r="39820">
      <c r="A39820" s="17"/>
      <c r="H39820" s="18"/>
      <c r="K39820" s="18" t="s">
        <v>316</v>
      </c>
    </row>
    <row r="39821">
      <c r="A39821" s="17"/>
      <c r="H39821" s="18"/>
      <c r="K39821" s="18" t="s">
        <v>316</v>
      </c>
    </row>
    <row r="39822">
      <c r="A39822" s="17"/>
      <c r="H39822" s="18"/>
      <c r="K39822" s="18" t="s">
        <v>316</v>
      </c>
    </row>
    <row r="39823">
      <c r="A39823" s="17"/>
      <c r="H39823" s="18"/>
      <c r="K39823" s="18" t="s">
        <v>316</v>
      </c>
    </row>
    <row r="39824">
      <c r="A39824" s="17"/>
      <c r="H39824" s="18"/>
      <c r="K39824" s="18" t="s">
        <v>316</v>
      </c>
    </row>
    <row r="39825">
      <c r="A39825" s="17"/>
      <c r="H39825" s="18"/>
      <c r="K39825" s="18" t="s">
        <v>316</v>
      </c>
    </row>
    <row r="39826">
      <c r="A39826" s="17"/>
      <c r="H39826" s="18"/>
      <c r="K39826" s="18" t="s">
        <v>316</v>
      </c>
    </row>
    <row r="39827">
      <c r="A39827" s="17"/>
      <c r="H39827" s="18"/>
      <c r="K39827" s="18" t="s">
        <v>316</v>
      </c>
    </row>
    <row r="39828">
      <c r="A39828" s="17"/>
      <c r="H39828" s="18"/>
      <c r="K39828" s="18" t="s">
        <v>316</v>
      </c>
    </row>
    <row r="39829">
      <c r="A39829" s="17"/>
      <c r="H39829" s="18"/>
      <c r="K39829" s="18" t="s">
        <v>316</v>
      </c>
    </row>
    <row r="39830">
      <c r="A39830" s="17"/>
      <c r="H39830" s="18"/>
      <c r="K39830" s="18" t="s">
        <v>316</v>
      </c>
    </row>
    <row r="39831">
      <c r="A39831" s="17"/>
      <c r="H39831" s="18"/>
      <c r="K39831" s="18" t="s">
        <v>316</v>
      </c>
    </row>
    <row r="39832">
      <c r="A39832" s="17"/>
      <c r="H39832" s="18"/>
      <c r="K39832" s="18" t="s">
        <v>316</v>
      </c>
    </row>
    <row r="39833">
      <c r="A39833" s="17"/>
      <c r="H39833" s="18"/>
      <c r="K39833" s="18" t="s">
        <v>316</v>
      </c>
    </row>
    <row r="39834">
      <c r="A39834" s="17"/>
      <c r="H39834" s="18"/>
      <c r="K39834" s="18" t="s">
        <v>316</v>
      </c>
    </row>
    <row r="39835">
      <c r="A39835" s="17"/>
      <c r="H39835" s="18"/>
      <c r="K39835" s="18" t="s">
        <v>316</v>
      </c>
    </row>
    <row r="39836">
      <c r="A39836" s="17"/>
      <c r="H39836" s="18"/>
      <c r="K39836" s="18" t="s">
        <v>316</v>
      </c>
    </row>
    <row r="39837">
      <c r="A39837" s="17"/>
      <c r="H39837" s="18"/>
      <c r="K39837" s="18" t="s">
        <v>316</v>
      </c>
    </row>
    <row r="39838">
      <c r="A39838" s="17"/>
      <c r="H39838" s="18"/>
      <c r="K39838" s="18" t="s">
        <v>316</v>
      </c>
    </row>
    <row r="39839">
      <c r="A39839" s="17"/>
      <c r="H39839" s="18"/>
      <c r="K39839" s="18" t="s">
        <v>316</v>
      </c>
    </row>
    <row r="39840">
      <c r="A39840" s="17"/>
      <c r="H39840" s="18"/>
      <c r="K39840" s="18" t="s">
        <v>316</v>
      </c>
    </row>
    <row r="39841">
      <c r="A39841" s="17"/>
      <c r="H39841" s="18"/>
      <c r="K39841" s="18" t="s">
        <v>316</v>
      </c>
    </row>
    <row r="39842">
      <c r="A39842" s="17"/>
      <c r="H39842" s="18"/>
      <c r="K39842" s="18" t="s">
        <v>316</v>
      </c>
    </row>
    <row r="39843">
      <c r="A39843" s="17"/>
      <c r="H39843" s="18"/>
      <c r="K39843" s="18" t="s">
        <v>316</v>
      </c>
    </row>
    <row r="39844">
      <c r="A39844" s="17"/>
      <c r="H39844" s="18"/>
      <c r="K39844" s="18" t="s">
        <v>316</v>
      </c>
    </row>
    <row r="39845">
      <c r="A39845" s="17"/>
      <c r="H39845" s="18"/>
      <c r="K39845" s="18" t="s">
        <v>316</v>
      </c>
    </row>
    <row r="39846">
      <c r="A39846" s="17"/>
      <c r="H39846" s="18"/>
      <c r="K39846" s="18" t="s">
        <v>316</v>
      </c>
    </row>
    <row r="39847">
      <c r="A39847" s="17"/>
      <c r="H39847" s="18"/>
      <c r="K39847" s="18" t="s">
        <v>316</v>
      </c>
    </row>
    <row r="39848">
      <c r="A39848" s="17"/>
      <c r="H39848" s="18"/>
      <c r="K39848" s="18" t="s">
        <v>316</v>
      </c>
    </row>
    <row r="39849">
      <c r="A39849" s="17"/>
      <c r="H39849" s="18"/>
      <c r="K39849" s="18" t="s">
        <v>316</v>
      </c>
    </row>
    <row r="39850">
      <c r="A39850" s="17"/>
      <c r="H39850" s="18"/>
      <c r="K39850" s="18" t="s">
        <v>316</v>
      </c>
    </row>
    <row r="39851">
      <c r="A39851" s="17"/>
      <c r="H39851" s="18"/>
      <c r="K39851" s="18" t="s">
        <v>316</v>
      </c>
    </row>
    <row r="39852">
      <c r="A39852" s="17"/>
      <c r="H39852" s="18"/>
      <c r="K39852" s="18" t="s">
        <v>316</v>
      </c>
    </row>
    <row r="39853">
      <c r="A39853" s="17"/>
      <c r="H39853" s="18"/>
      <c r="K39853" s="18" t="s">
        <v>316</v>
      </c>
    </row>
    <row r="39854">
      <c r="A39854" s="17"/>
      <c r="H39854" s="18"/>
      <c r="K39854" s="18" t="s">
        <v>316</v>
      </c>
    </row>
    <row r="39855">
      <c r="A39855" s="17"/>
      <c r="H39855" s="18"/>
      <c r="K39855" s="18" t="s">
        <v>316</v>
      </c>
    </row>
    <row r="39856">
      <c r="A39856" s="17"/>
      <c r="H39856" s="18"/>
      <c r="K39856" s="18" t="s">
        <v>316</v>
      </c>
    </row>
    <row r="39857">
      <c r="A39857" s="17"/>
      <c r="H39857" s="18"/>
      <c r="K39857" s="18" t="s">
        <v>316</v>
      </c>
    </row>
    <row r="39858">
      <c r="A39858" s="17"/>
      <c r="H39858" s="18"/>
      <c r="K39858" s="18" t="s">
        <v>316</v>
      </c>
    </row>
    <row r="39859">
      <c r="A39859" s="17"/>
      <c r="H39859" s="18"/>
      <c r="K39859" s="18" t="s">
        <v>316</v>
      </c>
    </row>
    <row r="39860">
      <c r="A39860" s="17"/>
      <c r="H39860" s="18"/>
      <c r="K39860" s="18" t="s">
        <v>316</v>
      </c>
    </row>
    <row r="39861">
      <c r="A39861" s="17"/>
      <c r="H39861" s="18"/>
      <c r="K39861" s="18" t="s">
        <v>316</v>
      </c>
    </row>
    <row r="39862">
      <c r="A39862" s="17"/>
      <c r="H39862" s="18"/>
      <c r="K39862" s="18" t="s">
        <v>316</v>
      </c>
    </row>
    <row r="39863">
      <c r="A39863" s="17"/>
      <c r="H39863" s="18"/>
      <c r="K39863" s="18" t="s">
        <v>316</v>
      </c>
    </row>
    <row r="39864">
      <c r="A39864" s="17"/>
      <c r="H39864" s="18"/>
      <c r="K39864" s="18" t="s">
        <v>316</v>
      </c>
    </row>
    <row r="39865">
      <c r="A39865" s="17"/>
      <c r="H39865" s="18"/>
      <c r="K39865" s="18" t="s">
        <v>316</v>
      </c>
    </row>
    <row r="39866">
      <c r="A39866" s="17"/>
      <c r="H39866" s="18"/>
      <c r="K39866" s="18" t="s">
        <v>316</v>
      </c>
    </row>
    <row r="39867">
      <c r="A39867" s="17"/>
      <c r="H39867" s="18"/>
      <c r="K39867" s="18" t="s">
        <v>316</v>
      </c>
    </row>
    <row r="39868">
      <c r="A39868" s="17"/>
      <c r="H39868" s="18"/>
      <c r="K39868" s="18" t="s">
        <v>316</v>
      </c>
    </row>
    <row r="39869">
      <c r="A39869" s="17"/>
      <c r="H39869" s="18"/>
      <c r="K39869" s="18" t="s">
        <v>316</v>
      </c>
    </row>
    <row r="39870">
      <c r="A39870" s="17"/>
      <c r="H39870" s="18"/>
      <c r="K39870" s="18" t="s">
        <v>316</v>
      </c>
    </row>
    <row r="39871">
      <c r="A39871" s="17"/>
      <c r="H39871" s="18"/>
      <c r="K39871" s="18" t="s">
        <v>316</v>
      </c>
    </row>
    <row r="39872">
      <c r="A39872" s="17"/>
      <c r="H39872" s="18"/>
      <c r="K39872" s="18" t="s">
        <v>316</v>
      </c>
    </row>
    <row r="39873">
      <c r="A39873" s="17"/>
      <c r="H39873" s="18"/>
      <c r="K39873" s="18" t="s">
        <v>316</v>
      </c>
    </row>
    <row r="39874">
      <c r="A39874" s="17"/>
      <c r="H39874" s="18"/>
      <c r="K39874" s="18" t="s">
        <v>316</v>
      </c>
    </row>
    <row r="39875">
      <c r="A39875" s="17"/>
      <c r="H39875" s="18"/>
      <c r="K39875" s="18" t="s">
        <v>316</v>
      </c>
    </row>
    <row r="39876">
      <c r="A39876" s="17"/>
      <c r="H39876" s="18"/>
      <c r="K39876" s="18" t="s">
        <v>316</v>
      </c>
    </row>
    <row r="39877">
      <c r="A39877" s="17"/>
      <c r="H39877" s="18"/>
      <c r="K39877" s="18" t="s">
        <v>316</v>
      </c>
    </row>
    <row r="39878">
      <c r="A39878" s="17"/>
      <c r="H39878" s="18"/>
      <c r="K39878" s="18" t="s">
        <v>316</v>
      </c>
    </row>
    <row r="39879">
      <c r="A39879" s="17"/>
      <c r="H39879" s="18"/>
      <c r="K39879" s="18" t="s">
        <v>316</v>
      </c>
    </row>
    <row r="39880">
      <c r="A39880" s="17"/>
      <c r="H39880" s="18"/>
      <c r="K39880" s="18" t="s">
        <v>316</v>
      </c>
    </row>
    <row r="39881">
      <c r="A39881" s="17"/>
      <c r="H39881" s="18"/>
      <c r="K39881" s="18" t="s">
        <v>316</v>
      </c>
    </row>
    <row r="39882">
      <c r="A39882" s="17"/>
      <c r="H39882" s="18"/>
      <c r="K39882" s="18" t="s">
        <v>316</v>
      </c>
    </row>
    <row r="39883">
      <c r="A39883" s="17"/>
      <c r="H39883" s="18"/>
      <c r="K39883" s="18" t="s">
        <v>316</v>
      </c>
    </row>
    <row r="39884">
      <c r="A39884" s="17"/>
      <c r="H39884" s="18"/>
      <c r="K39884" s="18" t="s">
        <v>316</v>
      </c>
    </row>
    <row r="39885">
      <c r="A39885" s="17"/>
      <c r="H39885" s="18"/>
      <c r="K39885" s="18" t="s">
        <v>316</v>
      </c>
    </row>
    <row r="39886">
      <c r="A39886" s="17"/>
      <c r="H39886" s="18"/>
      <c r="K39886" s="18" t="s">
        <v>316</v>
      </c>
    </row>
    <row r="39887">
      <c r="A39887" s="17"/>
      <c r="H39887" s="18"/>
      <c r="K39887" s="18" t="s">
        <v>316</v>
      </c>
    </row>
    <row r="39888">
      <c r="A39888" s="17"/>
      <c r="H39888" s="18"/>
      <c r="K39888" s="18" t="s">
        <v>316</v>
      </c>
    </row>
    <row r="39889">
      <c r="A39889" s="17"/>
      <c r="H39889" s="18"/>
      <c r="K39889" s="18" t="s">
        <v>316</v>
      </c>
    </row>
    <row r="39890">
      <c r="A39890" s="17"/>
      <c r="H39890" s="18"/>
      <c r="K39890" s="18" t="s">
        <v>316</v>
      </c>
    </row>
    <row r="39891">
      <c r="A39891" s="17"/>
      <c r="H39891" s="18"/>
      <c r="K39891" s="18" t="s">
        <v>316</v>
      </c>
    </row>
    <row r="39892">
      <c r="A39892" s="17"/>
      <c r="H39892" s="18"/>
      <c r="K39892" s="18" t="s">
        <v>316</v>
      </c>
    </row>
    <row r="39893">
      <c r="A39893" s="17"/>
      <c r="H39893" s="18"/>
      <c r="K39893" s="18" t="s">
        <v>316</v>
      </c>
    </row>
    <row r="39894">
      <c r="A39894" s="17"/>
      <c r="H39894" s="18"/>
      <c r="K39894" s="18" t="s">
        <v>316</v>
      </c>
    </row>
    <row r="39895">
      <c r="A39895" s="17"/>
      <c r="H39895" s="18"/>
      <c r="K39895" s="18" t="s">
        <v>316</v>
      </c>
    </row>
    <row r="39896">
      <c r="A39896" s="17"/>
      <c r="H39896" s="18"/>
      <c r="K39896" s="18" t="s">
        <v>316</v>
      </c>
    </row>
    <row r="39897">
      <c r="A39897" s="17"/>
      <c r="H39897" s="18"/>
      <c r="K39897" s="18" t="s">
        <v>316</v>
      </c>
    </row>
    <row r="39898">
      <c r="A39898" s="17"/>
      <c r="H39898" s="18"/>
      <c r="K39898" s="18" t="s">
        <v>316</v>
      </c>
    </row>
    <row r="39899">
      <c r="A39899" s="17"/>
      <c r="H39899" s="18"/>
      <c r="K39899" s="18" t="s">
        <v>316</v>
      </c>
    </row>
    <row r="39900">
      <c r="A39900" s="17"/>
      <c r="H39900" s="18"/>
      <c r="K39900" s="18" t="s">
        <v>316</v>
      </c>
    </row>
    <row r="39901">
      <c r="A39901" s="17"/>
      <c r="H39901" s="18"/>
      <c r="K39901" s="18" t="s">
        <v>316</v>
      </c>
    </row>
    <row r="39902">
      <c r="A39902" s="17"/>
      <c r="H39902" s="18"/>
      <c r="K39902" s="18" t="s">
        <v>316</v>
      </c>
    </row>
    <row r="39903">
      <c r="A39903" s="17"/>
      <c r="H39903" s="18"/>
      <c r="K39903" s="18" t="s">
        <v>316</v>
      </c>
    </row>
    <row r="39904">
      <c r="A39904" s="17"/>
      <c r="H39904" s="18"/>
      <c r="K39904" s="18" t="s">
        <v>316</v>
      </c>
    </row>
    <row r="39905">
      <c r="A39905" s="17"/>
      <c r="H39905" s="18"/>
      <c r="K39905" s="18" t="s">
        <v>316</v>
      </c>
    </row>
    <row r="39906">
      <c r="A39906" s="17"/>
      <c r="H39906" s="18"/>
      <c r="K39906" s="18" t="s">
        <v>316</v>
      </c>
    </row>
    <row r="39907">
      <c r="A39907" s="17"/>
      <c r="H39907" s="18"/>
      <c r="K39907" s="18" t="s">
        <v>316</v>
      </c>
    </row>
    <row r="39908">
      <c r="A39908" s="17"/>
      <c r="H39908" s="18"/>
      <c r="K39908" s="18" t="s">
        <v>316</v>
      </c>
    </row>
    <row r="39909">
      <c r="A39909" s="17"/>
      <c r="H39909" s="18"/>
      <c r="K39909" s="18" t="s">
        <v>316</v>
      </c>
    </row>
    <row r="39910">
      <c r="A39910" s="17"/>
      <c r="H39910" s="18"/>
      <c r="K39910" s="18" t="s">
        <v>316</v>
      </c>
    </row>
    <row r="39911">
      <c r="A39911" s="17"/>
      <c r="H39911" s="18"/>
      <c r="K39911" s="18" t="s">
        <v>316</v>
      </c>
    </row>
    <row r="39912">
      <c r="A39912" s="17"/>
      <c r="H39912" s="18"/>
      <c r="K39912" s="18" t="s">
        <v>316</v>
      </c>
    </row>
    <row r="39913">
      <c r="A39913" s="17"/>
      <c r="H39913" s="18"/>
      <c r="K39913" s="18" t="s">
        <v>316</v>
      </c>
    </row>
    <row r="39914">
      <c r="A39914" s="17"/>
      <c r="H39914" s="18"/>
      <c r="K39914" s="18" t="s">
        <v>316</v>
      </c>
    </row>
    <row r="39915">
      <c r="A39915" s="17"/>
      <c r="H39915" s="18"/>
      <c r="K39915" s="18" t="s">
        <v>316</v>
      </c>
    </row>
    <row r="39916">
      <c r="A39916" s="17"/>
      <c r="H39916" s="18"/>
      <c r="K39916" s="18" t="s">
        <v>316</v>
      </c>
    </row>
    <row r="39917">
      <c r="A39917" s="17"/>
      <c r="H39917" s="18"/>
      <c r="K39917" s="18" t="s">
        <v>316</v>
      </c>
    </row>
    <row r="39918">
      <c r="A39918" s="17"/>
      <c r="H39918" s="18"/>
      <c r="K39918" s="18" t="s">
        <v>316</v>
      </c>
    </row>
    <row r="39919">
      <c r="A39919" s="17"/>
      <c r="H39919" s="18"/>
      <c r="K39919" s="18" t="s">
        <v>316</v>
      </c>
    </row>
    <row r="39920">
      <c r="A39920" s="17"/>
      <c r="H39920" s="18"/>
      <c r="K39920" s="18" t="s">
        <v>316</v>
      </c>
    </row>
    <row r="39921">
      <c r="A39921" s="17"/>
      <c r="H39921" s="18"/>
      <c r="K39921" s="18" t="s">
        <v>316</v>
      </c>
    </row>
    <row r="39922">
      <c r="A39922" s="17"/>
      <c r="H39922" s="18"/>
      <c r="K39922" s="18" t="s">
        <v>316</v>
      </c>
    </row>
    <row r="39923">
      <c r="A39923" s="17"/>
      <c r="H39923" s="18"/>
      <c r="K39923" s="18" t="s">
        <v>316</v>
      </c>
    </row>
    <row r="39924">
      <c r="A39924" s="17"/>
      <c r="H39924" s="18"/>
      <c r="K39924" s="18" t="s">
        <v>316</v>
      </c>
    </row>
    <row r="39925">
      <c r="A39925" s="17"/>
      <c r="H39925" s="18"/>
      <c r="K39925" s="18" t="s">
        <v>316</v>
      </c>
    </row>
    <row r="39926">
      <c r="A39926" s="17"/>
      <c r="H39926" s="18"/>
      <c r="K39926" s="18" t="s">
        <v>316</v>
      </c>
    </row>
    <row r="39927">
      <c r="A39927" s="17"/>
      <c r="H39927" s="18"/>
      <c r="K39927" s="18" t="s">
        <v>316</v>
      </c>
    </row>
    <row r="39928">
      <c r="A39928" s="17"/>
      <c r="H39928" s="18"/>
      <c r="K39928" s="18" t="s">
        <v>316</v>
      </c>
    </row>
    <row r="39929">
      <c r="A39929" s="17"/>
      <c r="H39929" s="18"/>
      <c r="K39929" s="18" t="s">
        <v>316</v>
      </c>
    </row>
    <row r="39930">
      <c r="A39930" s="17"/>
      <c r="H39930" s="18"/>
      <c r="K39930" s="18" t="s">
        <v>316</v>
      </c>
    </row>
    <row r="39931">
      <c r="A39931" s="17"/>
      <c r="H39931" s="18"/>
      <c r="K39931" s="18" t="s">
        <v>316</v>
      </c>
    </row>
    <row r="39932">
      <c r="A39932" s="17"/>
      <c r="H39932" s="18"/>
      <c r="K39932" s="18" t="s">
        <v>316</v>
      </c>
    </row>
    <row r="39933">
      <c r="A39933" s="17"/>
      <c r="H39933" s="18"/>
      <c r="K39933" s="18" t="s">
        <v>316</v>
      </c>
    </row>
    <row r="39934">
      <c r="A39934" s="17"/>
      <c r="H39934" s="18"/>
      <c r="K39934" s="18" t="s">
        <v>316</v>
      </c>
    </row>
    <row r="39935">
      <c r="A39935" s="17"/>
      <c r="H39935" s="18"/>
      <c r="K39935" s="18" t="s">
        <v>316</v>
      </c>
    </row>
    <row r="39936">
      <c r="A39936" s="17"/>
      <c r="H39936" s="18"/>
      <c r="K39936" s="18" t="s">
        <v>316</v>
      </c>
    </row>
    <row r="39937">
      <c r="A39937" s="17"/>
      <c r="H39937" s="18"/>
      <c r="K39937" s="18" t="s">
        <v>316</v>
      </c>
    </row>
    <row r="39938">
      <c r="A39938" s="17"/>
      <c r="H39938" s="18"/>
      <c r="K39938" s="18" t="s">
        <v>316</v>
      </c>
    </row>
    <row r="39939">
      <c r="A39939" s="17"/>
      <c r="H39939" s="18"/>
      <c r="K39939" s="18" t="s">
        <v>316</v>
      </c>
    </row>
    <row r="39940">
      <c r="A39940" s="17"/>
      <c r="H39940" s="18"/>
      <c r="K39940" s="18" t="s">
        <v>316</v>
      </c>
    </row>
    <row r="39941">
      <c r="A39941" s="17"/>
      <c r="H39941" s="18"/>
      <c r="K39941" s="18" t="s">
        <v>316</v>
      </c>
    </row>
    <row r="39942">
      <c r="A39942" s="17"/>
      <c r="H39942" s="18"/>
      <c r="K39942" s="18" t="s">
        <v>316</v>
      </c>
    </row>
    <row r="39943">
      <c r="A39943" s="17"/>
      <c r="H39943" s="18"/>
      <c r="K39943" s="18" t="s">
        <v>316</v>
      </c>
    </row>
    <row r="39944">
      <c r="A39944" s="17"/>
      <c r="H39944" s="18"/>
      <c r="K39944" s="18" t="s">
        <v>316</v>
      </c>
    </row>
    <row r="39945">
      <c r="A39945" s="17"/>
      <c r="H39945" s="18"/>
      <c r="K39945" s="18" t="s">
        <v>316</v>
      </c>
    </row>
    <row r="39946">
      <c r="A39946" s="17"/>
      <c r="H39946" s="18"/>
      <c r="K39946" s="18" t="s">
        <v>316</v>
      </c>
    </row>
    <row r="39947">
      <c r="A39947" s="17"/>
      <c r="H39947" s="18"/>
      <c r="K39947" s="18" t="s">
        <v>316</v>
      </c>
    </row>
    <row r="39948">
      <c r="A39948" s="17"/>
      <c r="H39948" s="18"/>
      <c r="K39948" s="18" t="s">
        <v>316</v>
      </c>
    </row>
    <row r="39949">
      <c r="A39949" s="17"/>
      <c r="H39949" s="18"/>
      <c r="K39949" s="18" t="s">
        <v>316</v>
      </c>
    </row>
    <row r="39950">
      <c r="A39950" s="17"/>
      <c r="H39950" s="18"/>
      <c r="K39950" s="18" t="s">
        <v>316</v>
      </c>
    </row>
    <row r="39951">
      <c r="A39951" s="17"/>
      <c r="H39951" s="18"/>
      <c r="K39951" s="18" t="s">
        <v>316</v>
      </c>
    </row>
    <row r="39952">
      <c r="A39952" s="17"/>
      <c r="H39952" s="18"/>
      <c r="K39952" s="18" t="s">
        <v>316</v>
      </c>
    </row>
    <row r="39953">
      <c r="A39953" s="17"/>
      <c r="H39953" s="18"/>
      <c r="K39953" s="18" t="s">
        <v>316</v>
      </c>
    </row>
    <row r="39954">
      <c r="A39954" s="17"/>
      <c r="H39954" s="18"/>
      <c r="K39954" s="18" t="s">
        <v>316</v>
      </c>
    </row>
    <row r="39955">
      <c r="A39955" s="17"/>
      <c r="H39955" s="18"/>
      <c r="K39955" s="18" t="s">
        <v>316</v>
      </c>
    </row>
    <row r="39956">
      <c r="A39956" s="17"/>
      <c r="H39956" s="18"/>
      <c r="K39956" s="18" t="s">
        <v>316</v>
      </c>
    </row>
    <row r="39957">
      <c r="A39957" s="17"/>
      <c r="H39957" s="18"/>
      <c r="K39957" s="18" t="s">
        <v>316</v>
      </c>
    </row>
    <row r="39958">
      <c r="A39958" s="17"/>
      <c r="H39958" s="18"/>
      <c r="K39958" s="18" t="s">
        <v>316</v>
      </c>
    </row>
    <row r="39959">
      <c r="A39959" s="17"/>
      <c r="H39959" s="18"/>
      <c r="K39959" s="18" t="s">
        <v>316</v>
      </c>
    </row>
    <row r="39960">
      <c r="A39960" s="17"/>
      <c r="H39960" s="18"/>
      <c r="K39960" s="18" t="s">
        <v>316</v>
      </c>
    </row>
    <row r="39961">
      <c r="A39961" s="17"/>
      <c r="H39961" s="18"/>
      <c r="K39961" s="18" t="s">
        <v>316</v>
      </c>
    </row>
    <row r="39962">
      <c r="A39962" s="17"/>
      <c r="H39962" s="18"/>
      <c r="K39962" s="18" t="s">
        <v>316</v>
      </c>
    </row>
    <row r="39963">
      <c r="A39963" s="17"/>
      <c r="H39963" s="18"/>
      <c r="K39963" s="18" t="s">
        <v>316</v>
      </c>
    </row>
    <row r="39964">
      <c r="A39964" s="17"/>
      <c r="H39964" s="18"/>
      <c r="K39964" s="18" t="s">
        <v>316</v>
      </c>
    </row>
    <row r="39965">
      <c r="A39965" s="17"/>
      <c r="H39965" s="18"/>
      <c r="K39965" s="18" t="s">
        <v>316</v>
      </c>
    </row>
    <row r="39966">
      <c r="A39966" s="17"/>
      <c r="H39966" s="18"/>
      <c r="K39966" s="18" t="s">
        <v>316</v>
      </c>
    </row>
    <row r="39967">
      <c r="A39967" s="17"/>
      <c r="H39967" s="18"/>
      <c r="K39967" s="18" t="s">
        <v>316</v>
      </c>
    </row>
    <row r="39968">
      <c r="A39968" s="17"/>
      <c r="H39968" s="18"/>
      <c r="K39968" s="18" t="s">
        <v>316</v>
      </c>
    </row>
    <row r="39969">
      <c r="A39969" s="17"/>
      <c r="H39969" s="18"/>
      <c r="K39969" s="18" t="s">
        <v>316</v>
      </c>
    </row>
    <row r="39970">
      <c r="A39970" s="17"/>
      <c r="H39970" s="18"/>
      <c r="K39970" s="18" t="s">
        <v>316</v>
      </c>
    </row>
    <row r="39971">
      <c r="A39971" s="17"/>
      <c r="H39971" s="18"/>
      <c r="K39971" s="18" t="s">
        <v>316</v>
      </c>
    </row>
    <row r="39972">
      <c r="A39972" s="17"/>
      <c r="H39972" s="18"/>
      <c r="K39972" s="18" t="s">
        <v>316</v>
      </c>
    </row>
    <row r="39973">
      <c r="A39973" s="17"/>
      <c r="H39973" s="18"/>
      <c r="K39973" s="18" t="s">
        <v>316</v>
      </c>
    </row>
    <row r="39974">
      <c r="A39974" s="17"/>
      <c r="H39974" s="18"/>
      <c r="K39974" s="18" t="s">
        <v>316</v>
      </c>
    </row>
    <row r="39975">
      <c r="A39975" s="17"/>
      <c r="H39975" s="18"/>
      <c r="K39975" s="18" t="s">
        <v>316</v>
      </c>
    </row>
    <row r="39976">
      <c r="A39976" s="17"/>
      <c r="H39976" s="18"/>
      <c r="K39976" s="18" t="s">
        <v>316</v>
      </c>
    </row>
    <row r="39977">
      <c r="A39977" s="17"/>
      <c r="H39977" s="18"/>
      <c r="K39977" s="18" t="s">
        <v>316</v>
      </c>
    </row>
    <row r="39978">
      <c r="A39978" s="17"/>
      <c r="H39978" s="18"/>
      <c r="K39978" s="18" t="s">
        <v>316</v>
      </c>
    </row>
    <row r="39979">
      <c r="A39979" s="17"/>
      <c r="H39979" s="18"/>
      <c r="K39979" s="18" t="s">
        <v>316</v>
      </c>
    </row>
    <row r="39980">
      <c r="A39980" s="17"/>
      <c r="H39980" s="18"/>
      <c r="K39980" s="18" t="s">
        <v>316</v>
      </c>
    </row>
    <row r="39981">
      <c r="A39981" s="17"/>
      <c r="H39981" s="18"/>
      <c r="K39981" s="18" t="s">
        <v>316</v>
      </c>
    </row>
    <row r="39982">
      <c r="A39982" s="17"/>
      <c r="H39982" s="18"/>
      <c r="K39982" s="18" t="s">
        <v>316</v>
      </c>
    </row>
    <row r="39983">
      <c r="A39983" s="17"/>
      <c r="H39983" s="18"/>
      <c r="K39983" s="18" t="s">
        <v>316</v>
      </c>
    </row>
    <row r="39984">
      <c r="A39984" s="17"/>
      <c r="H39984" s="18"/>
      <c r="K39984" s="18" t="s">
        <v>316</v>
      </c>
    </row>
    <row r="39985">
      <c r="A39985" s="17"/>
      <c r="H39985" s="18"/>
      <c r="K39985" s="18" t="s">
        <v>316</v>
      </c>
    </row>
    <row r="39986">
      <c r="A39986" s="17"/>
      <c r="H39986" s="18"/>
      <c r="K39986" s="18" t="s">
        <v>316</v>
      </c>
    </row>
    <row r="39987">
      <c r="A39987" s="17"/>
      <c r="H39987" s="18"/>
      <c r="K39987" s="18" t="s">
        <v>316</v>
      </c>
    </row>
    <row r="39988">
      <c r="A39988" s="17"/>
      <c r="H39988" s="18"/>
      <c r="K39988" s="18" t="s">
        <v>316</v>
      </c>
    </row>
    <row r="39989">
      <c r="A39989" s="17"/>
      <c r="H39989" s="18"/>
      <c r="K39989" s="18" t="s">
        <v>316</v>
      </c>
    </row>
    <row r="39990">
      <c r="A39990" s="17"/>
      <c r="H39990" s="18"/>
      <c r="K39990" s="18" t="s">
        <v>316</v>
      </c>
    </row>
    <row r="39991">
      <c r="A39991" s="17"/>
      <c r="H39991" s="18"/>
      <c r="K39991" s="18" t="s">
        <v>316</v>
      </c>
    </row>
    <row r="39992">
      <c r="A39992" s="17"/>
      <c r="H39992" s="18"/>
      <c r="K39992" s="18" t="s">
        <v>316</v>
      </c>
    </row>
    <row r="39993">
      <c r="A39993" s="17"/>
      <c r="H39993" s="18"/>
      <c r="K39993" s="18" t="s">
        <v>316</v>
      </c>
    </row>
    <row r="39994">
      <c r="A39994" s="17"/>
      <c r="H39994" s="18"/>
      <c r="K39994" s="18" t="s">
        <v>316</v>
      </c>
    </row>
    <row r="39995">
      <c r="A39995" s="17"/>
      <c r="H39995" s="18"/>
      <c r="K39995" s="18" t="s">
        <v>316</v>
      </c>
    </row>
    <row r="39996">
      <c r="A39996" s="17"/>
      <c r="H39996" s="18"/>
      <c r="K39996" s="18" t="s">
        <v>316</v>
      </c>
    </row>
    <row r="39997">
      <c r="A39997" s="17"/>
      <c r="H39997" s="18"/>
      <c r="K39997" s="18" t="s">
        <v>316</v>
      </c>
    </row>
    <row r="39998">
      <c r="A39998" s="17"/>
      <c r="H39998" s="18"/>
      <c r="K39998" s="18" t="s">
        <v>316</v>
      </c>
    </row>
    <row r="39999">
      <c r="A39999" s="17"/>
      <c r="H39999" s="18"/>
      <c r="K39999" s="18" t="s">
        <v>316</v>
      </c>
    </row>
    <row r="40000">
      <c r="A40000" s="17"/>
      <c r="H40000" s="18"/>
      <c r="K40000" s="18" t="s">
        <v>316</v>
      </c>
    </row>
    <row r="40001">
      <c r="A40001" s="17"/>
      <c r="H40001" s="18"/>
      <c r="K40001" s="18" t="s">
        <v>316</v>
      </c>
    </row>
    <row r="40002">
      <c r="A40002" s="17"/>
      <c r="H40002" s="18"/>
      <c r="K40002" s="18" t="s">
        <v>316</v>
      </c>
    </row>
    <row r="40003">
      <c r="A40003" s="17"/>
      <c r="H40003" s="18"/>
      <c r="K40003" s="18" t="s">
        <v>316</v>
      </c>
    </row>
    <row r="40004">
      <c r="A40004" s="17"/>
      <c r="H40004" s="18"/>
      <c r="K40004" s="18" t="s">
        <v>316</v>
      </c>
    </row>
    <row r="40005">
      <c r="A40005" s="17"/>
      <c r="H40005" s="18"/>
      <c r="K40005" s="18" t="s">
        <v>316</v>
      </c>
    </row>
    <row r="40006">
      <c r="A40006" s="17"/>
      <c r="H40006" s="18"/>
      <c r="K40006" s="18" t="s">
        <v>316</v>
      </c>
    </row>
    <row r="40007">
      <c r="A40007" s="17"/>
      <c r="H40007" s="18"/>
      <c r="K40007" s="18" t="s">
        <v>316</v>
      </c>
    </row>
    <row r="40008">
      <c r="A40008" s="17"/>
      <c r="H40008" s="18"/>
      <c r="K40008" s="18" t="s">
        <v>316</v>
      </c>
    </row>
    <row r="40009">
      <c r="A40009" s="17"/>
      <c r="H40009" s="18"/>
      <c r="K40009" s="18" t="s">
        <v>316</v>
      </c>
    </row>
    <row r="40010">
      <c r="A40010" s="17"/>
      <c r="H40010" s="18"/>
      <c r="K40010" s="18" t="s">
        <v>316</v>
      </c>
    </row>
    <row r="40011">
      <c r="A40011" s="17"/>
      <c r="H40011" s="18"/>
      <c r="K40011" s="18" t="s">
        <v>316</v>
      </c>
    </row>
    <row r="40012">
      <c r="A40012" s="17"/>
      <c r="H40012" s="18"/>
      <c r="K40012" s="18" t="s">
        <v>316</v>
      </c>
    </row>
    <row r="40013">
      <c r="A40013" s="17"/>
      <c r="H40013" s="18"/>
      <c r="K40013" s="18" t="s">
        <v>316</v>
      </c>
    </row>
    <row r="40014">
      <c r="A40014" s="17"/>
      <c r="H40014" s="18"/>
      <c r="K40014" s="18" t="s">
        <v>316</v>
      </c>
    </row>
    <row r="40015">
      <c r="A40015" s="17"/>
      <c r="H40015" s="18"/>
      <c r="K40015" s="18" t="s">
        <v>316</v>
      </c>
    </row>
    <row r="40016">
      <c r="A40016" s="17"/>
      <c r="H40016" s="18"/>
      <c r="K40016" s="18" t="s">
        <v>316</v>
      </c>
    </row>
    <row r="40017">
      <c r="A40017" s="17"/>
      <c r="H40017" s="18"/>
      <c r="K40017" s="18" t="s">
        <v>316</v>
      </c>
    </row>
    <row r="40018">
      <c r="A40018" s="17"/>
      <c r="H40018" s="18"/>
      <c r="K40018" s="18" t="s">
        <v>316</v>
      </c>
    </row>
    <row r="40019">
      <c r="A40019" s="17"/>
      <c r="H40019" s="18"/>
      <c r="K40019" s="18" t="s">
        <v>316</v>
      </c>
    </row>
    <row r="40020">
      <c r="A40020" s="17"/>
      <c r="H40020" s="18"/>
      <c r="K40020" s="18" t="s">
        <v>316</v>
      </c>
    </row>
    <row r="40021">
      <c r="A40021" s="17"/>
      <c r="H40021" s="18"/>
      <c r="K40021" s="18" t="s">
        <v>316</v>
      </c>
    </row>
    <row r="40022">
      <c r="A40022" s="17"/>
      <c r="H40022" s="18"/>
      <c r="K40022" s="18" t="s">
        <v>316</v>
      </c>
    </row>
    <row r="40023">
      <c r="A40023" s="17"/>
      <c r="H40023" s="18"/>
      <c r="K40023" s="18" t="s">
        <v>316</v>
      </c>
    </row>
    <row r="40024">
      <c r="A40024" s="17"/>
      <c r="H40024" s="18"/>
      <c r="K40024" s="18" t="s">
        <v>316</v>
      </c>
    </row>
    <row r="40025">
      <c r="A40025" s="17"/>
      <c r="H40025" s="18"/>
      <c r="K40025" s="18" t="s">
        <v>316</v>
      </c>
    </row>
    <row r="40026">
      <c r="A40026" s="17"/>
      <c r="H40026" s="18"/>
      <c r="K40026" s="18" t="s">
        <v>316</v>
      </c>
    </row>
    <row r="40027">
      <c r="A40027" s="17"/>
      <c r="H40027" s="18"/>
      <c r="K40027" s="18" t="s">
        <v>316</v>
      </c>
    </row>
    <row r="40028">
      <c r="A40028" s="17"/>
      <c r="H40028" s="18"/>
      <c r="K40028" s="18" t="s">
        <v>316</v>
      </c>
    </row>
    <row r="40029">
      <c r="A40029" s="17"/>
      <c r="H40029" s="18"/>
      <c r="K40029" s="18" t="s">
        <v>316</v>
      </c>
    </row>
    <row r="40030">
      <c r="A40030" s="17"/>
      <c r="H40030" s="18"/>
      <c r="K40030" s="18" t="s">
        <v>316</v>
      </c>
    </row>
    <row r="40031">
      <c r="A40031" s="17"/>
      <c r="H40031" s="18"/>
      <c r="K40031" s="18" t="s">
        <v>316</v>
      </c>
    </row>
    <row r="40032">
      <c r="A40032" s="17"/>
      <c r="H40032" s="18"/>
      <c r="K40032" s="18" t="s">
        <v>316</v>
      </c>
    </row>
    <row r="40033">
      <c r="A40033" s="17"/>
      <c r="H40033" s="18"/>
      <c r="K40033" s="18" t="s">
        <v>316</v>
      </c>
    </row>
    <row r="40034">
      <c r="A40034" s="17"/>
      <c r="H40034" s="18"/>
      <c r="K40034" s="18" t="s">
        <v>316</v>
      </c>
    </row>
    <row r="40035">
      <c r="A40035" s="17"/>
      <c r="H40035" s="18"/>
      <c r="K40035" s="18" t="s">
        <v>316</v>
      </c>
    </row>
    <row r="40036">
      <c r="A40036" s="17"/>
      <c r="H40036" s="18"/>
      <c r="K40036" s="18" t="s">
        <v>316</v>
      </c>
    </row>
    <row r="40037">
      <c r="A40037" s="17"/>
      <c r="H40037" s="18"/>
      <c r="K40037" s="18" t="s">
        <v>316</v>
      </c>
    </row>
    <row r="40038">
      <c r="A40038" s="17"/>
      <c r="H40038" s="18"/>
      <c r="K40038" s="18" t="s">
        <v>316</v>
      </c>
    </row>
    <row r="40039">
      <c r="A40039" s="17"/>
      <c r="H40039" s="18"/>
      <c r="K40039" s="18" t="s">
        <v>316</v>
      </c>
    </row>
    <row r="40040">
      <c r="A40040" s="17"/>
      <c r="H40040" s="18"/>
      <c r="K40040" s="18" t="s">
        <v>316</v>
      </c>
    </row>
    <row r="40041">
      <c r="A40041" s="17"/>
      <c r="H40041" s="18"/>
      <c r="K40041" s="18" t="s">
        <v>316</v>
      </c>
    </row>
    <row r="40042">
      <c r="A40042" s="17"/>
      <c r="H40042" s="18"/>
      <c r="K40042" s="18" t="s">
        <v>316</v>
      </c>
    </row>
    <row r="40043">
      <c r="A40043" s="17"/>
      <c r="H40043" s="18"/>
      <c r="K40043" s="18" t="s">
        <v>316</v>
      </c>
    </row>
    <row r="40044">
      <c r="A40044" s="17"/>
      <c r="H40044" s="18"/>
      <c r="K40044" s="18" t="s">
        <v>316</v>
      </c>
    </row>
    <row r="40045">
      <c r="A40045" s="17"/>
      <c r="H40045" s="18"/>
      <c r="K40045" s="18" t="s">
        <v>316</v>
      </c>
    </row>
    <row r="40046">
      <c r="A40046" s="17"/>
      <c r="H40046" s="18"/>
      <c r="K40046" s="18" t="s">
        <v>316</v>
      </c>
    </row>
    <row r="40047">
      <c r="A40047" s="17"/>
      <c r="H40047" s="18"/>
      <c r="K40047" s="18" t="s">
        <v>316</v>
      </c>
    </row>
    <row r="40048">
      <c r="A40048" s="17"/>
      <c r="H40048" s="18"/>
      <c r="K40048" s="18" t="s">
        <v>316</v>
      </c>
    </row>
    <row r="40049">
      <c r="A40049" s="17"/>
      <c r="H40049" s="18"/>
      <c r="K40049" s="18" t="s">
        <v>316</v>
      </c>
    </row>
    <row r="40050">
      <c r="A40050" s="17"/>
      <c r="H40050" s="18"/>
      <c r="K40050" s="18" t="s">
        <v>316</v>
      </c>
    </row>
    <row r="40051">
      <c r="A40051" s="17"/>
      <c r="H40051" s="18"/>
      <c r="K40051" s="18" t="s">
        <v>316</v>
      </c>
    </row>
    <row r="40052">
      <c r="A40052" s="17"/>
      <c r="H40052" s="18"/>
      <c r="K40052" s="18" t="s">
        <v>316</v>
      </c>
    </row>
    <row r="40053">
      <c r="A40053" s="17"/>
      <c r="H40053" s="18"/>
      <c r="K40053" s="18" t="s">
        <v>316</v>
      </c>
    </row>
    <row r="40054">
      <c r="A40054" s="17"/>
      <c r="H40054" s="18"/>
      <c r="K40054" s="18" t="s">
        <v>316</v>
      </c>
    </row>
    <row r="40055">
      <c r="A40055" s="17"/>
      <c r="H40055" s="18"/>
      <c r="K40055" s="18" t="s">
        <v>316</v>
      </c>
    </row>
    <row r="40056">
      <c r="A40056" s="17"/>
      <c r="H40056" s="18"/>
      <c r="K40056" s="18" t="s">
        <v>316</v>
      </c>
    </row>
    <row r="40057">
      <c r="A40057" s="17"/>
      <c r="H40057" s="18"/>
      <c r="K40057" s="18" t="s">
        <v>316</v>
      </c>
    </row>
    <row r="40058">
      <c r="A40058" s="17"/>
      <c r="H40058" s="18"/>
      <c r="K40058" s="18" t="s">
        <v>316</v>
      </c>
    </row>
    <row r="40059">
      <c r="A40059" s="17"/>
      <c r="H40059" s="18"/>
      <c r="K40059" s="18" t="s">
        <v>316</v>
      </c>
    </row>
    <row r="40060">
      <c r="A40060" s="17"/>
      <c r="H40060" s="18"/>
      <c r="K40060" s="18" t="s">
        <v>316</v>
      </c>
    </row>
    <row r="40061">
      <c r="A40061" s="17"/>
      <c r="H40061" s="18"/>
      <c r="K40061" s="18" t="s">
        <v>316</v>
      </c>
    </row>
    <row r="40062">
      <c r="A40062" s="17"/>
      <c r="H40062" s="18"/>
      <c r="K40062" s="18" t="s">
        <v>316</v>
      </c>
    </row>
    <row r="40063">
      <c r="A40063" s="17"/>
      <c r="H40063" s="18"/>
      <c r="K40063" s="18" t="s">
        <v>316</v>
      </c>
    </row>
    <row r="40064">
      <c r="A40064" s="17"/>
      <c r="H40064" s="18"/>
      <c r="K40064" s="18" t="s">
        <v>316</v>
      </c>
    </row>
    <row r="40065">
      <c r="A40065" s="17"/>
      <c r="H40065" s="18"/>
      <c r="K40065" s="18" t="s">
        <v>316</v>
      </c>
    </row>
    <row r="40066">
      <c r="A40066" s="17"/>
      <c r="H40066" s="18"/>
      <c r="K40066" s="18" t="s">
        <v>316</v>
      </c>
    </row>
    <row r="40067">
      <c r="A40067" s="17"/>
      <c r="H40067" s="18"/>
      <c r="K40067" s="18" t="s">
        <v>316</v>
      </c>
    </row>
    <row r="40068">
      <c r="A40068" s="17"/>
      <c r="H40068" s="18"/>
      <c r="K40068" s="18" t="s">
        <v>316</v>
      </c>
    </row>
    <row r="40069">
      <c r="A40069" s="17"/>
      <c r="H40069" s="18"/>
      <c r="K40069" s="18" t="s">
        <v>316</v>
      </c>
    </row>
    <row r="40070">
      <c r="A40070" s="17"/>
      <c r="H40070" s="18"/>
      <c r="K40070" s="18" t="s">
        <v>316</v>
      </c>
    </row>
    <row r="40071">
      <c r="A40071" s="17"/>
      <c r="H40071" s="18"/>
      <c r="K40071" s="18" t="s">
        <v>316</v>
      </c>
    </row>
    <row r="40072">
      <c r="A40072" s="17"/>
      <c r="H40072" s="18"/>
      <c r="K40072" s="18" t="s">
        <v>316</v>
      </c>
    </row>
    <row r="40073">
      <c r="A40073" s="17"/>
      <c r="H40073" s="18"/>
      <c r="K40073" s="18" t="s">
        <v>316</v>
      </c>
    </row>
    <row r="40074">
      <c r="A40074" s="17"/>
      <c r="H40074" s="18"/>
      <c r="K40074" s="18" t="s">
        <v>316</v>
      </c>
    </row>
    <row r="40075">
      <c r="A40075" s="17"/>
      <c r="H40075" s="18"/>
      <c r="K40075" s="18" t="s">
        <v>316</v>
      </c>
    </row>
    <row r="40076">
      <c r="A40076" s="17"/>
      <c r="H40076" s="18"/>
      <c r="K40076" s="18" t="s">
        <v>316</v>
      </c>
    </row>
    <row r="40077">
      <c r="A40077" s="17"/>
      <c r="H40077" s="18"/>
      <c r="K40077" s="18" t="s">
        <v>316</v>
      </c>
    </row>
    <row r="40078">
      <c r="A40078" s="17"/>
      <c r="H40078" s="18"/>
      <c r="K40078" s="18" t="s">
        <v>316</v>
      </c>
    </row>
    <row r="40079">
      <c r="A40079" s="17"/>
      <c r="H40079" s="18"/>
      <c r="K40079" s="18" t="s">
        <v>316</v>
      </c>
    </row>
    <row r="40080">
      <c r="A40080" s="17"/>
      <c r="H40080" s="18"/>
      <c r="K40080" s="18" t="s">
        <v>316</v>
      </c>
    </row>
    <row r="40081">
      <c r="A40081" s="17"/>
      <c r="H40081" s="18"/>
      <c r="K40081" s="18" t="s">
        <v>316</v>
      </c>
    </row>
    <row r="40082">
      <c r="A40082" s="17"/>
      <c r="H40082" s="18"/>
      <c r="K40082" s="18" t="s">
        <v>316</v>
      </c>
    </row>
    <row r="40083">
      <c r="A40083" s="17"/>
      <c r="H40083" s="18"/>
      <c r="K40083" s="18" t="s">
        <v>316</v>
      </c>
    </row>
    <row r="40084">
      <c r="A40084" s="17"/>
      <c r="H40084" s="18"/>
      <c r="K40084" s="18" t="s">
        <v>316</v>
      </c>
    </row>
    <row r="40085">
      <c r="A40085" s="17"/>
      <c r="H40085" s="18"/>
      <c r="K40085" s="18" t="s">
        <v>316</v>
      </c>
    </row>
    <row r="40086">
      <c r="A40086" s="17"/>
      <c r="H40086" s="18"/>
      <c r="K40086" s="18" t="s">
        <v>316</v>
      </c>
    </row>
    <row r="40087">
      <c r="A40087" s="17"/>
      <c r="H40087" s="18"/>
      <c r="K40087" s="18" t="s">
        <v>316</v>
      </c>
    </row>
    <row r="40088">
      <c r="A40088" s="17"/>
      <c r="H40088" s="18"/>
      <c r="K40088" s="18" t="s">
        <v>316</v>
      </c>
    </row>
    <row r="40089">
      <c r="A40089" s="17"/>
      <c r="H40089" s="18"/>
      <c r="K40089" s="18" t="s">
        <v>316</v>
      </c>
    </row>
    <row r="40090">
      <c r="A40090" s="17"/>
      <c r="H40090" s="18"/>
      <c r="K40090" s="18" t="s">
        <v>316</v>
      </c>
    </row>
    <row r="40091">
      <c r="A40091" s="17"/>
      <c r="H40091" s="18"/>
      <c r="K40091" s="18" t="s">
        <v>316</v>
      </c>
    </row>
    <row r="40092">
      <c r="A40092" s="17"/>
      <c r="H40092" s="18"/>
      <c r="K40092" s="18" t="s">
        <v>316</v>
      </c>
    </row>
    <row r="40093">
      <c r="A40093" s="17"/>
      <c r="H40093" s="18"/>
      <c r="K40093" s="18" t="s">
        <v>316</v>
      </c>
    </row>
    <row r="40094">
      <c r="A40094" s="17"/>
      <c r="H40094" s="18"/>
      <c r="K40094" s="18" t="s">
        <v>316</v>
      </c>
    </row>
    <row r="40095">
      <c r="A40095" s="17"/>
      <c r="H40095" s="18"/>
      <c r="K40095" s="18" t="s">
        <v>316</v>
      </c>
    </row>
    <row r="40096">
      <c r="A40096" s="17"/>
      <c r="H40096" s="18"/>
      <c r="K40096" s="18" t="s">
        <v>316</v>
      </c>
    </row>
    <row r="40097">
      <c r="A40097" s="17"/>
      <c r="H40097" s="18"/>
      <c r="K40097" s="18" t="s">
        <v>316</v>
      </c>
    </row>
    <row r="40098">
      <c r="A40098" s="17"/>
      <c r="H40098" s="18"/>
      <c r="K40098" s="18" t="s">
        <v>316</v>
      </c>
    </row>
    <row r="40099">
      <c r="A40099" s="17"/>
      <c r="H40099" s="18"/>
      <c r="K40099" s="18" t="s">
        <v>316</v>
      </c>
    </row>
    <row r="40100">
      <c r="A40100" s="17"/>
      <c r="H40100" s="18"/>
      <c r="K40100" s="18" t="s">
        <v>316</v>
      </c>
    </row>
    <row r="40101">
      <c r="A40101" s="17"/>
      <c r="H40101" s="18"/>
      <c r="K40101" s="18" t="s">
        <v>316</v>
      </c>
    </row>
    <row r="40102">
      <c r="A40102" s="17"/>
      <c r="H40102" s="18"/>
      <c r="K40102" s="18" t="s">
        <v>316</v>
      </c>
    </row>
    <row r="40103">
      <c r="A40103" s="17"/>
      <c r="H40103" s="18"/>
      <c r="K40103" s="18" t="s">
        <v>316</v>
      </c>
    </row>
    <row r="40104">
      <c r="A40104" s="17"/>
      <c r="H40104" s="18"/>
      <c r="K40104" s="18" t="s">
        <v>316</v>
      </c>
    </row>
    <row r="40105">
      <c r="A40105" s="17"/>
      <c r="H40105" s="18"/>
      <c r="K40105" s="18" t="s">
        <v>316</v>
      </c>
    </row>
    <row r="40106">
      <c r="A40106" s="17"/>
      <c r="H40106" s="18"/>
      <c r="K40106" s="18" t="s">
        <v>316</v>
      </c>
    </row>
    <row r="40107">
      <c r="A40107" s="17"/>
      <c r="H40107" s="18"/>
      <c r="K40107" s="18" t="s">
        <v>316</v>
      </c>
    </row>
    <row r="40108">
      <c r="A40108" s="17"/>
      <c r="H40108" s="18"/>
      <c r="K40108" s="18" t="s">
        <v>316</v>
      </c>
    </row>
    <row r="40109">
      <c r="A40109" s="17"/>
      <c r="H40109" s="18"/>
      <c r="K40109" s="18" t="s">
        <v>316</v>
      </c>
    </row>
    <row r="40110">
      <c r="A40110" s="17"/>
      <c r="H40110" s="18"/>
      <c r="K40110" s="18" t="s">
        <v>316</v>
      </c>
    </row>
    <row r="40111">
      <c r="A40111" s="17"/>
      <c r="H40111" s="18"/>
      <c r="K40111" s="18" t="s">
        <v>316</v>
      </c>
    </row>
    <row r="40112">
      <c r="A40112" s="17"/>
      <c r="H40112" s="18"/>
      <c r="K40112" s="18" t="s">
        <v>316</v>
      </c>
    </row>
    <row r="40113">
      <c r="A40113" s="17"/>
      <c r="H40113" s="18"/>
      <c r="K40113" s="18" t="s">
        <v>316</v>
      </c>
    </row>
    <row r="40114">
      <c r="A40114" s="17"/>
      <c r="H40114" s="18"/>
      <c r="K40114" s="18" t="s">
        <v>316</v>
      </c>
    </row>
    <row r="40115">
      <c r="A40115" s="17"/>
      <c r="H40115" s="18"/>
      <c r="K40115" s="18" t="s">
        <v>316</v>
      </c>
    </row>
    <row r="40116">
      <c r="A40116" s="17"/>
      <c r="H40116" s="18"/>
      <c r="K40116" s="18" t="s">
        <v>316</v>
      </c>
    </row>
    <row r="40117">
      <c r="A40117" s="17"/>
      <c r="H40117" s="18"/>
      <c r="K40117" s="18" t="s">
        <v>316</v>
      </c>
    </row>
    <row r="40118">
      <c r="A40118" s="17"/>
      <c r="H40118" s="18"/>
      <c r="K40118" s="18" t="s">
        <v>316</v>
      </c>
    </row>
    <row r="40119">
      <c r="A40119" s="17"/>
      <c r="H40119" s="18"/>
      <c r="K40119" s="18" t="s">
        <v>316</v>
      </c>
    </row>
    <row r="40120">
      <c r="A40120" s="17"/>
      <c r="H40120" s="18"/>
      <c r="K40120" s="18" t="s">
        <v>316</v>
      </c>
    </row>
    <row r="40121">
      <c r="A40121" s="17"/>
      <c r="H40121" s="18"/>
      <c r="K40121" s="18" t="s">
        <v>316</v>
      </c>
    </row>
    <row r="40122">
      <c r="A40122" s="17"/>
      <c r="H40122" s="18"/>
      <c r="K40122" s="18" t="s">
        <v>316</v>
      </c>
    </row>
    <row r="40123">
      <c r="A40123" s="17"/>
      <c r="H40123" s="18"/>
      <c r="K40123" s="18" t="s">
        <v>316</v>
      </c>
    </row>
    <row r="40124">
      <c r="A40124" s="17"/>
      <c r="H40124" s="18"/>
      <c r="K40124" s="18" t="s">
        <v>316</v>
      </c>
    </row>
    <row r="40125">
      <c r="A40125" s="17"/>
      <c r="H40125" s="18"/>
      <c r="K40125" s="18" t="s">
        <v>316</v>
      </c>
    </row>
    <row r="40126">
      <c r="A40126" s="17"/>
      <c r="H40126" s="18"/>
      <c r="K40126" s="18" t="s">
        <v>316</v>
      </c>
    </row>
    <row r="40127">
      <c r="A40127" s="17"/>
      <c r="H40127" s="18"/>
      <c r="K40127" s="18" t="s">
        <v>316</v>
      </c>
    </row>
    <row r="40128">
      <c r="A40128" s="17"/>
      <c r="H40128" s="18"/>
      <c r="K40128" s="18" t="s">
        <v>316</v>
      </c>
    </row>
    <row r="40129">
      <c r="A40129" s="17"/>
      <c r="H40129" s="18"/>
      <c r="K40129" s="18" t="s">
        <v>316</v>
      </c>
    </row>
    <row r="40130">
      <c r="A40130" s="17"/>
      <c r="H40130" s="18"/>
      <c r="K40130" s="18" t="s">
        <v>316</v>
      </c>
    </row>
    <row r="40131">
      <c r="A40131" s="17"/>
      <c r="H40131" s="18"/>
      <c r="K40131" s="18" t="s">
        <v>316</v>
      </c>
    </row>
    <row r="40132">
      <c r="A40132" s="17"/>
      <c r="H40132" s="18"/>
      <c r="K40132" s="18" t="s">
        <v>316</v>
      </c>
    </row>
    <row r="40133">
      <c r="A40133" s="17"/>
      <c r="H40133" s="18"/>
      <c r="K40133" s="18" t="s">
        <v>316</v>
      </c>
    </row>
    <row r="40134">
      <c r="A40134" s="17"/>
      <c r="H40134" s="18"/>
      <c r="K40134" s="18" t="s">
        <v>316</v>
      </c>
    </row>
    <row r="40135">
      <c r="A40135" s="17"/>
      <c r="H40135" s="18"/>
      <c r="K40135" s="18" t="s">
        <v>316</v>
      </c>
    </row>
    <row r="40136">
      <c r="A40136" s="17"/>
      <c r="H40136" s="18"/>
      <c r="K40136" s="18" t="s">
        <v>316</v>
      </c>
    </row>
    <row r="40137">
      <c r="A40137" s="17"/>
      <c r="H40137" s="18"/>
      <c r="K40137" s="18" t="s">
        <v>316</v>
      </c>
    </row>
    <row r="40138">
      <c r="A40138" s="17"/>
      <c r="H40138" s="18"/>
      <c r="K40138" s="18" t="s">
        <v>316</v>
      </c>
    </row>
    <row r="40139">
      <c r="A40139" s="17"/>
      <c r="H40139" s="18"/>
      <c r="K40139" s="18" t="s">
        <v>316</v>
      </c>
    </row>
    <row r="40140">
      <c r="A40140" s="17"/>
      <c r="H40140" s="18"/>
      <c r="K40140" s="18" t="s">
        <v>316</v>
      </c>
    </row>
    <row r="40141">
      <c r="A40141" s="17"/>
      <c r="H40141" s="18"/>
      <c r="K40141" s="18" t="s">
        <v>316</v>
      </c>
    </row>
    <row r="40142">
      <c r="A40142" s="17"/>
      <c r="H40142" s="18"/>
      <c r="K40142" s="18" t="s">
        <v>316</v>
      </c>
    </row>
    <row r="40143">
      <c r="A40143" s="17"/>
      <c r="H40143" s="18"/>
      <c r="K40143" s="18" t="s">
        <v>316</v>
      </c>
    </row>
    <row r="40144">
      <c r="A40144" s="17"/>
      <c r="H40144" s="18"/>
      <c r="K40144" s="18" t="s">
        <v>316</v>
      </c>
    </row>
    <row r="40145">
      <c r="A40145" s="17"/>
      <c r="H40145" s="18"/>
      <c r="K40145" s="18" t="s">
        <v>316</v>
      </c>
    </row>
    <row r="40146">
      <c r="A40146" s="17"/>
      <c r="H40146" s="18"/>
      <c r="K40146" s="18" t="s">
        <v>316</v>
      </c>
    </row>
    <row r="40147">
      <c r="A40147" s="17"/>
      <c r="H40147" s="18"/>
      <c r="K40147" s="18" t="s">
        <v>316</v>
      </c>
    </row>
    <row r="40148">
      <c r="A40148" s="17"/>
      <c r="H40148" s="18"/>
      <c r="K40148" s="18" t="s">
        <v>316</v>
      </c>
    </row>
    <row r="40149">
      <c r="A40149" s="17"/>
      <c r="H40149" s="18"/>
      <c r="K40149" s="18" t="s">
        <v>316</v>
      </c>
    </row>
    <row r="40150">
      <c r="A40150" s="17"/>
      <c r="H40150" s="18"/>
      <c r="K40150" s="18" t="s">
        <v>316</v>
      </c>
    </row>
    <row r="40151">
      <c r="A40151" s="17"/>
      <c r="H40151" s="18"/>
      <c r="K40151" s="18" t="s">
        <v>316</v>
      </c>
    </row>
    <row r="40152">
      <c r="A40152" s="17"/>
      <c r="H40152" s="18"/>
      <c r="K40152" s="18" t="s">
        <v>316</v>
      </c>
    </row>
    <row r="40153">
      <c r="A40153" s="17"/>
      <c r="H40153" s="18"/>
      <c r="K40153" s="18" t="s">
        <v>316</v>
      </c>
    </row>
    <row r="40154">
      <c r="A40154" s="17"/>
      <c r="H40154" s="18"/>
      <c r="K40154" s="18" t="s">
        <v>316</v>
      </c>
    </row>
    <row r="40155">
      <c r="A40155" s="17"/>
      <c r="H40155" s="18"/>
      <c r="K40155" s="18" t="s">
        <v>316</v>
      </c>
    </row>
    <row r="40156">
      <c r="A40156" s="17"/>
      <c r="H40156" s="18"/>
      <c r="K40156" s="18" t="s">
        <v>316</v>
      </c>
    </row>
    <row r="40157">
      <c r="A40157" s="17"/>
      <c r="H40157" s="18"/>
      <c r="K40157" s="18" t="s">
        <v>316</v>
      </c>
    </row>
    <row r="40158">
      <c r="A40158" s="17"/>
      <c r="H40158" s="18"/>
      <c r="K40158" s="18" t="s">
        <v>316</v>
      </c>
    </row>
    <row r="40159">
      <c r="A40159" s="17"/>
      <c r="H40159" s="18"/>
      <c r="K40159" s="18" t="s">
        <v>316</v>
      </c>
    </row>
    <row r="40160">
      <c r="A40160" s="17"/>
      <c r="H40160" s="18"/>
      <c r="K40160" s="18" t="s">
        <v>316</v>
      </c>
    </row>
    <row r="40161">
      <c r="A40161" s="17"/>
      <c r="H40161" s="18"/>
      <c r="K40161" s="18" t="s">
        <v>316</v>
      </c>
    </row>
    <row r="40162">
      <c r="A40162" s="17"/>
      <c r="H40162" s="18"/>
      <c r="K40162" s="18" t="s">
        <v>316</v>
      </c>
    </row>
    <row r="40163">
      <c r="A40163" s="17"/>
      <c r="H40163" s="18"/>
      <c r="K40163" s="18" t="s">
        <v>316</v>
      </c>
    </row>
    <row r="40164">
      <c r="A40164" s="17"/>
      <c r="H40164" s="18"/>
      <c r="K40164" s="18" t="s">
        <v>316</v>
      </c>
    </row>
    <row r="40165">
      <c r="A40165" s="17"/>
      <c r="H40165" s="18"/>
      <c r="K40165" s="18" t="s">
        <v>316</v>
      </c>
    </row>
    <row r="40166">
      <c r="A40166" s="17"/>
      <c r="H40166" s="18"/>
      <c r="K40166" s="18" t="s">
        <v>316</v>
      </c>
    </row>
    <row r="40167">
      <c r="A40167" s="17"/>
      <c r="H40167" s="18"/>
      <c r="K40167" s="18" t="s">
        <v>316</v>
      </c>
    </row>
    <row r="40168">
      <c r="A40168" s="17"/>
      <c r="H40168" s="18"/>
      <c r="K40168" s="18" t="s">
        <v>316</v>
      </c>
    </row>
    <row r="40169">
      <c r="A40169" s="17"/>
      <c r="H40169" s="18"/>
      <c r="K40169" s="18" t="s">
        <v>316</v>
      </c>
    </row>
    <row r="40170">
      <c r="A40170" s="17"/>
      <c r="H40170" s="18"/>
      <c r="K40170" s="18" t="s">
        <v>316</v>
      </c>
    </row>
    <row r="40171">
      <c r="A40171" s="17"/>
      <c r="H40171" s="18"/>
      <c r="K40171" s="18" t="s">
        <v>316</v>
      </c>
    </row>
    <row r="40172">
      <c r="A40172" s="17"/>
      <c r="H40172" s="18"/>
      <c r="K40172" s="18" t="s">
        <v>316</v>
      </c>
    </row>
    <row r="40173">
      <c r="A40173" s="17"/>
      <c r="H40173" s="18"/>
      <c r="K40173" s="18" t="s">
        <v>316</v>
      </c>
    </row>
    <row r="40174">
      <c r="A40174" s="17"/>
      <c r="H40174" s="18"/>
      <c r="K40174" s="18" t="s">
        <v>316</v>
      </c>
    </row>
    <row r="40175">
      <c r="A40175" s="17"/>
      <c r="H40175" s="18"/>
      <c r="K40175" s="18" t="s">
        <v>316</v>
      </c>
    </row>
    <row r="40176">
      <c r="A40176" s="17"/>
      <c r="H40176" s="18"/>
      <c r="K40176" s="18" t="s">
        <v>316</v>
      </c>
    </row>
    <row r="40177">
      <c r="A40177" s="17"/>
      <c r="H40177" s="18"/>
      <c r="K40177" s="18" t="s">
        <v>316</v>
      </c>
    </row>
    <row r="40178">
      <c r="A40178" s="17"/>
      <c r="H40178" s="18"/>
      <c r="K40178" s="18" t="s">
        <v>316</v>
      </c>
    </row>
    <row r="40179">
      <c r="A40179" s="17"/>
      <c r="H40179" s="18"/>
      <c r="K40179" s="18" t="s">
        <v>316</v>
      </c>
    </row>
    <row r="40180">
      <c r="A40180" s="17"/>
      <c r="H40180" s="18"/>
      <c r="K40180" s="18" t="s">
        <v>316</v>
      </c>
    </row>
    <row r="40181">
      <c r="A40181" s="17"/>
      <c r="H40181" s="18"/>
      <c r="K40181" s="18" t="s">
        <v>316</v>
      </c>
    </row>
    <row r="40182">
      <c r="A40182" s="17"/>
      <c r="H40182" s="18"/>
      <c r="K40182" s="18" t="s">
        <v>316</v>
      </c>
    </row>
    <row r="40183">
      <c r="A40183" s="17"/>
      <c r="H40183" s="18"/>
      <c r="K40183" s="18" t="s">
        <v>316</v>
      </c>
    </row>
    <row r="40184">
      <c r="A40184" s="17"/>
      <c r="H40184" s="18"/>
      <c r="K40184" s="18" t="s">
        <v>316</v>
      </c>
    </row>
    <row r="40185">
      <c r="A40185" s="17"/>
      <c r="H40185" s="18"/>
      <c r="K40185" s="18" t="s">
        <v>316</v>
      </c>
    </row>
    <row r="40186">
      <c r="A40186" s="17"/>
      <c r="H40186" s="18"/>
      <c r="K40186" s="18" t="s">
        <v>316</v>
      </c>
    </row>
    <row r="40187">
      <c r="A40187" s="17"/>
      <c r="H40187" s="18"/>
      <c r="K40187" s="18" t="s">
        <v>316</v>
      </c>
    </row>
    <row r="40188">
      <c r="A40188" s="17"/>
      <c r="H40188" s="18"/>
      <c r="K40188" s="18" t="s">
        <v>316</v>
      </c>
    </row>
    <row r="40189">
      <c r="A40189" s="17"/>
      <c r="H40189" s="18"/>
      <c r="K40189" s="18" t="s">
        <v>316</v>
      </c>
    </row>
    <row r="40190">
      <c r="A40190" s="17"/>
      <c r="H40190" s="18"/>
      <c r="K40190" s="18" t="s">
        <v>316</v>
      </c>
    </row>
    <row r="40191">
      <c r="A40191" s="17"/>
      <c r="H40191" s="18"/>
      <c r="K40191" s="18" t="s">
        <v>316</v>
      </c>
    </row>
    <row r="40192">
      <c r="A40192" s="17"/>
      <c r="H40192" s="18"/>
      <c r="K40192" s="18" t="s">
        <v>316</v>
      </c>
    </row>
    <row r="40193">
      <c r="A40193" s="17"/>
      <c r="H40193" s="18"/>
      <c r="K40193" s="18" t="s">
        <v>316</v>
      </c>
    </row>
    <row r="40194">
      <c r="A40194" s="17"/>
      <c r="H40194" s="18"/>
      <c r="K40194" s="18" t="s">
        <v>316</v>
      </c>
    </row>
    <row r="40195">
      <c r="A40195" s="17"/>
      <c r="H40195" s="18"/>
      <c r="K40195" s="18" t="s">
        <v>316</v>
      </c>
    </row>
    <row r="40196">
      <c r="A40196" s="17"/>
      <c r="H40196" s="18"/>
      <c r="K40196" s="18" t="s">
        <v>316</v>
      </c>
    </row>
    <row r="40197">
      <c r="A40197" s="17"/>
      <c r="H40197" s="18"/>
      <c r="K40197" s="18" t="s">
        <v>316</v>
      </c>
    </row>
    <row r="40198">
      <c r="A40198" s="17"/>
      <c r="H40198" s="18"/>
      <c r="K40198" s="18" t="s">
        <v>316</v>
      </c>
    </row>
    <row r="40199">
      <c r="A40199" s="17"/>
      <c r="H40199" s="18"/>
      <c r="K40199" s="18" t="s">
        <v>316</v>
      </c>
    </row>
    <row r="40200">
      <c r="A40200" s="17"/>
      <c r="H40200" s="18"/>
      <c r="K40200" s="18" t="s">
        <v>316</v>
      </c>
    </row>
    <row r="40201">
      <c r="A40201" s="17"/>
      <c r="H40201" s="18"/>
      <c r="K40201" s="18" t="s">
        <v>316</v>
      </c>
    </row>
    <row r="40202">
      <c r="A40202" s="17"/>
      <c r="H40202" s="18"/>
      <c r="K40202" s="18" t="s">
        <v>316</v>
      </c>
    </row>
    <row r="40203">
      <c r="A40203" s="17"/>
      <c r="H40203" s="18"/>
      <c r="K40203" s="18" t="s">
        <v>316</v>
      </c>
    </row>
    <row r="40204">
      <c r="A40204" s="17"/>
      <c r="H40204" s="18"/>
      <c r="K40204" s="18" t="s">
        <v>316</v>
      </c>
    </row>
    <row r="40205">
      <c r="A40205" s="17"/>
      <c r="H40205" s="18"/>
      <c r="K40205" s="18" t="s">
        <v>316</v>
      </c>
    </row>
    <row r="40206">
      <c r="A40206" s="17"/>
      <c r="H40206" s="18"/>
      <c r="K40206" s="18" t="s">
        <v>316</v>
      </c>
    </row>
    <row r="40207">
      <c r="A40207" s="17"/>
      <c r="H40207" s="18"/>
      <c r="K40207" s="18" t="s">
        <v>316</v>
      </c>
    </row>
    <row r="40208">
      <c r="A40208" s="17"/>
      <c r="H40208" s="18"/>
      <c r="K40208" s="18" t="s">
        <v>316</v>
      </c>
    </row>
    <row r="40209">
      <c r="A40209" s="17"/>
      <c r="H40209" s="18"/>
      <c r="K40209" s="18" t="s">
        <v>316</v>
      </c>
    </row>
    <row r="40210">
      <c r="A40210" s="17"/>
      <c r="H40210" s="18"/>
      <c r="K40210" s="18" t="s">
        <v>316</v>
      </c>
    </row>
    <row r="40211">
      <c r="A40211" s="17"/>
      <c r="H40211" s="18"/>
      <c r="K40211" s="18" t="s">
        <v>316</v>
      </c>
    </row>
    <row r="40212">
      <c r="A40212" s="17"/>
      <c r="H40212" s="18"/>
      <c r="K40212" s="18" t="s">
        <v>316</v>
      </c>
    </row>
    <row r="40213">
      <c r="A40213" s="17"/>
      <c r="H40213" s="18"/>
      <c r="K40213" s="18" t="s">
        <v>316</v>
      </c>
    </row>
    <row r="40214">
      <c r="A40214" s="17"/>
      <c r="H40214" s="18"/>
      <c r="K40214" s="18" t="s">
        <v>316</v>
      </c>
    </row>
    <row r="40215">
      <c r="A40215" s="17"/>
      <c r="H40215" s="18"/>
      <c r="K40215" s="18" t="s">
        <v>316</v>
      </c>
    </row>
    <row r="40216">
      <c r="A40216" s="17"/>
      <c r="H40216" s="18"/>
      <c r="K40216" s="18" t="s">
        <v>316</v>
      </c>
    </row>
    <row r="40217">
      <c r="A40217" s="17"/>
      <c r="H40217" s="18"/>
      <c r="K40217" s="18" t="s">
        <v>316</v>
      </c>
    </row>
    <row r="40218">
      <c r="A40218" s="17"/>
      <c r="H40218" s="18"/>
      <c r="K40218" s="18" t="s">
        <v>316</v>
      </c>
    </row>
    <row r="40219">
      <c r="A40219" s="17"/>
      <c r="H40219" s="18"/>
      <c r="K40219" s="18" t="s">
        <v>316</v>
      </c>
    </row>
    <row r="40220">
      <c r="A40220" s="17"/>
      <c r="H40220" s="18"/>
      <c r="K40220" s="18" t="s">
        <v>316</v>
      </c>
    </row>
    <row r="40221">
      <c r="A40221" s="17"/>
      <c r="H40221" s="18"/>
      <c r="K40221" s="18" t="s">
        <v>316</v>
      </c>
    </row>
    <row r="40222">
      <c r="A40222" s="17"/>
      <c r="H40222" s="18"/>
      <c r="K40222" s="18" t="s">
        <v>316</v>
      </c>
    </row>
    <row r="40223">
      <c r="A40223" s="17"/>
      <c r="H40223" s="18"/>
      <c r="K40223" s="18" t="s">
        <v>316</v>
      </c>
    </row>
    <row r="40224">
      <c r="A40224" s="17"/>
      <c r="H40224" s="18"/>
      <c r="K40224" s="18" t="s">
        <v>316</v>
      </c>
    </row>
    <row r="40225">
      <c r="A40225" s="17"/>
      <c r="H40225" s="18"/>
      <c r="K40225" s="18" t="s">
        <v>316</v>
      </c>
    </row>
    <row r="40226">
      <c r="A40226" s="17"/>
      <c r="H40226" s="18"/>
      <c r="K40226" s="18" t="s">
        <v>316</v>
      </c>
    </row>
    <row r="40227">
      <c r="A40227" s="17"/>
      <c r="H40227" s="18"/>
      <c r="K40227" s="18" t="s">
        <v>316</v>
      </c>
    </row>
    <row r="40228">
      <c r="A40228" s="17"/>
      <c r="H40228" s="18"/>
      <c r="K40228" s="18" t="s">
        <v>316</v>
      </c>
    </row>
    <row r="40229">
      <c r="A40229" s="17"/>
      <c r="H40229" s="18"/>
      <c r="K40229" s="18" t="s">
        <v>316</v>
      </c>
    </row>
    <row r="40230">
      <c r="A40230" s="17"/>
      <c r="H40230" s="18"/>
      <c r="K40230" s="18" t="s">
        <v>316</v>
      </c>
    </row>
    <row r="40231">
      <c r="A40231" s="17"/>
      <c r="H40231" s="18"/>
      <c r="K40231" s="18" t="s">
        <v>316</v>
      </c>
    </row>
    <row r="40232">
      <c r="A40232" s="17"/>
      <c r="H40232" s="18"/>
      <c r="K40232" s="18" t="s">
        <v>316</v>
      </c>
    </row>
    <row r="40233">
      <c r="A40233" s="17"/>
      <c r="H40233" s="18"/>
      <c r="K40233" s="18" t="s">
        <v>316</v>
      </c>
    </row>
    <row r="40234">
      <c r="A40234" s="17"/>
      <c r="H40234" s="18"/>
      <c r="K40234" s="18" t="s">
        <v>316</v>
      </c>
    </row>
    <row r="40235">
      <c r="A40235" s="17"/>
      <c r="H40235" s="18"/>
      <c r="K40235" s="18" t="s">
        <v>316</v>
      </c>
    </row>
    <row r="40236">
      <c r="A40236" s="17"/>
      <c r="H40236" s="18"/>
      <c r="K40236" s="18" t="s">
        <v>316</v>
      </c>
    </row>
    <row r="40237">
      <c r="A40237" s="17"/>
      <c r="H40237" s="18"/>
      <c r="K40237" s="18" t="s">
        <v>316</v>
      </c>
    </row>
    <row r="40238">
      <c r="A40238" s="17"/>
      <c r="H40238" s="18"/>
      <c r="K40238" s="18" t="s">
        <v>316</v>
      </c>
    </row>
    <row r="40239">
      <c r="A40239" s="17"/>
      <c r="H40239" s="18"/>
      <c r="K40239" s="18" t="s">
        <v>316</v>
      </c>
    </row>
    <row r="40240">
      <c r="A40240" s="17"/>
      <c r="H40240" s="18"/>
      <c r="K40240" s="18" t="s">
        <v>316</v>
      </c>
    </row>
    <row r="40241">
      <c r="A40241" s="17"/>
      <c r="H40241" s="18"/>
      <c r="K40241" s="18" t="s">
        <v>316</v>
      </c>
    </row>
    <row r="40242">
      <c r="A40242" s="17"/>
      <c r="H40242" s="18"/>
      <c r="K40242" s="18" t="s">
        <v>316</v>
      </c>
    </row>
    <row r="40243">
      <c r="A40243" s="17"/>
      <c r="H40243" s="18"/>
      <c r="K40243" s="18" t="s">
        <v>316</v>
      </c>
    </row>
    <row r="40244">
      <c r="A40244" s="17"/>
      <c r="H40244" s="18"/>
      <c r="K40244" s="18" t="s">
        <v>316</v>
      </c>
    </row>
    <row r="40245">
      <c r="A40245" s="17"/>
      <c r="H40245" s="18"/>
      <c r="K40245" s="18" t="s">
        <v>316</v>
      </c>
    </row>
    <row r="40246">
      <c r="A40246" s="17"/>
      <c r="H40246" s="18"/>
      <c r="K40246" s="18" t="s">
        <v>316</v>
      </c>
    </row>
    <row r="40247">
      <c r="A40247" s="17"/>
      <c r="H40247" s="18"/>
      <c r="K40247" s="18" t="s">
        <v>316</v>
      </c>
    </row>
    <row r="40248">
      <c r="A40248" s="17"/>
      <c r="H40248" s="18"/>
      <c r="K40248" s="18" t="s">
        <v>316</v>
      </c>
    </row>
    <row r="40249">
      <c r="A40249" s="17"/>
      <c r="H40249" s="18"/>
      <c r="K40249" s="18" t="s">
        <v>316</v>
      </c>
    </row>
    <row r="40250">
      <c r="A40250" s="17"/>
      <c r="H40250" s="18"/>
      <c r="K40250" s="18" t="s">
        <v>316</v>
      </c>
    </row>
    <row r="40251">
      <c r="A40251" s="17"/>
      <c r="H40251" s="18"/>
      <c r="K40251" s="18" t="s">
        <v>316</v>
      </c>
    </row>
    <row r="40252">
      <c r="A40252" s="17"/>
      <c r="H40252" s="18"/>
      <c r="K40252" s="18" t="s">
        <v>316</v>
      </c>
    </row>
    <row r="40253">
      <c r="A40253" s="17"/>
      <c r="H40253" s="18"/>
      <c r="K40253" s="18" t="s">
        <v>316</v>
      </c>
    </row>
    <row r="40254">
      <c r="A40254" s="17"/>
      <c r="H40254" s="18"/>
      <c r="K40254" s="18" t="s">
        <v>316</v>
      </c>
    </row>
    <row r="40255">
      <c r="A40255" s="17"/>
      <c r="H40255" s="18"/>
      <c r="K40255" s="18" t="s">
        <v>316</v>
      </c>
    </row>
    <row r="40256">
      <c r="A40256" s="17"/>
      <c r="H40256" s="18"/>
      <c r="K40256" s="18" t="s">
        <v>316</v>
      </c>
    </row>
    <row r="40257">
      <c r="A40257" s="17"/>
      <c r="H40257" s="18"/>
      <c r="K40257" s="18" t="s">
        <v>316</v>
      </c>
    </row>
    <row r="40258">
      <c r="A40258" s="17"/>
      <c r="H40258" s="18"/>
      <c r="K40258" s="18" t="s">
        <v>316</v>
      </c>
    </row>
    <row r="40259">
      <c r="A40259" s="17"/>
      <c r="H40259" s="18"/>
      <c r="K40259" s="18" t="s">
        <v>316</v>
      </c>
    </row>
    <row r="40260">
      <c r="A40260" s="17"/>
      <c r="H40260" s="18"/>
      <c r="K40260" s="18" t="s">
        <v>316</v>
      </c>
    </row>
    <row r="40261">
      <c r="A40261" s="17"/>
      <c r="H40261" s="18"/>
      <c r="K40261" s="18" t="s">
        <v>316</v>
      </c>
    </row>
    <row r="40262">
      <c r="A40262" s="17"/>
      <c r="H40262" s="18"/>
      <c r="K40262" s="18" t="s">
        <v>316</v>
      </c>
    </row>
    <row r="40263">
      <c r="A40263" s="17"/>
      <c r="H40263" s="18"/>
      <c r="K40263" s="18" t="s">
        <v>316</v>
      </c>
    </row>
    <row r="40264">
      <c r="A40264" s="17"/>
      <c r="H40264" s="18"/>
      <c r="K40264" s="18" t="s">
        <v>316</v>
      </c>
    </row>
    <row r="40265">
      <c r="A40265" s="17"/>
      <c r="H40265" s="18"/>
      <c r="K40265" s="18" t="s">
        <v>316</v>
      </c>
    </row>
    <row r="40266">
      <c r="A40266" s="17"/>
      <c r="H40266" s="18"/>
      <c r="K40266" s="18" t="s">
        <v>316</v>
      </c>
    </row>
    <row r="40267">
      <c r="A40267" s="17"/>
      <c r="H40267" s="18"/>
      <c r="K40267" s="18" t="s">
        <v>316</v>
      </c>
    </row>
    <row r="40268">
      <c r="A40268" s="17"/>
      <c r="H40268" s="18"/>
      <c r="K40268" s="18" t="s">
        <v>316</v>
      </c>
    </row>
    <row r="40269">
      <c r="A40269" s="17"/>
      <c r="H40269" s="18"/>
      <c r="K40269" s="18" t="s">
        <v>316</v>
      </c>
    </row>
    <row r="40270">
      <c r="A40270" s="17"/>
      <c r="H40270" s="18"/>
      <c r="K40270" s="18" t="s">
        <v>316</v>
      </c>
    </row>
    <row r="40271">
      <c r="A40271" s="17"/>
      <c r="H40271" s="18"/>
      <c r="K40271" s="18" t="s">
        <v>316</v>
      </c>
    </row>
    <row r="40272">
      <c r="A40272" s="17"/>
      <c r="H40272" s="18"/>
      <c r="K40272" s="18" t="s">
        <v>316</v>
      </c>
    </row>
    <row r="40273">
      <c r="A40273" s="17"/>
      <c r="H40273" s="18"/>
      <c r="K40273" s="18" t="s">
        <v>316</v>
      </c>
    </row>
    <row r="40274">
      <c r="A40274" s="17"/>
      <c r="H40274" s="18"/>
      <c r="K40274" s="18" t="s">
        <v>316</v>
      </c>
    </row>
    <row r="40275">
      <c r="A40275" s="17"/>
      <c r="H40275" s="18"/>
      <c r="K40275" s="18" t="s">
        <v>316</v>
      </c>
    </row>
    <row r="40276">
      <c r="A40276" s="17"/>
      <c r="H40276" s="18"/>
      <c r="K40276" s="18" t="s">
        <v>316</v>
      </c>
    </row>
    <row r="40277">
      <c r="A40277" s="17"/>
      <c r="H40277" s="18"/>
      <c r="K40277" s="18" t="s">
        <v>316</v>
      </c>
    </row>
    <row r="40278">
      <c r="A40278" s="17"/>
      <c r="H40278" s="18"/>
      <c r="K40278" s="18" t="s">
        <v>316</v>
      </c>
    </row>
    <row r="40279">
      <c r="A40279" s="17"/>
      <c r="H40279" s="18"/>
      <c r="K40279" s="18" t="s">
        <v>316</v>
      </c>
    </row>
    <row r="40280">
      <c r="A40280" s="17"/>
      <c r="H40280" s="18"/>
      <c r="K40280" s="18" t="s">
        <v>316</v>
      </c>
    </row>
    <row r="40281">
      <c r="A40281" s="17"/>
      <c r="H40281" s="18"/>
      <c r="K40281" s="18" t="s">
        <v>316</v>
      </c>
    </row>
    <row r="40282">
      <c r="A40282" s="17"/>
      <c r="H40282" s="18"/>
      <c r="K40282" s="18" t="s">
        <v>316</v>
      </c>
    </row>
    <row r="40283">
      <c r="A40283" s="17"/>
      <c r="H40283" s="18"/>
      <c r="K40283" s="18" t="s">
        <v>316</v>
      </c>
    </row>
    <row r="40284">
      <c r="A40284" s="17"/>
      <c r="H40284" s="18"/>
      <c r="K40284" s="18" t="s">
        <v>316</v>
      </c>
    </row>
    <row r="40285">
      <c r="A40285" s="17"/>
      <c r="H40285" s="18"/>
      <c r="K40285" s="18" t="s">
        <v>316</v>
      </c>
    </row>
    <row r="40286">
      <c r="A40286" s="17"/>
      <c r="H40286" s="18"/>
      <c r="K40286" s="18" t="s">
        <v>316</v>
      </c>
    </row>
    <row r="40287">
      <c r="A40287" s="17"/>
      <c r="H40287" s="18"/>
      <c r="K40287" s="18" t="s">
        <v>316</v>
      </c>
    </row>
    <row r="40288">
      <c r="A40288" s="17"/>
      <c r="H40288" s="18"/>
      <c r="K40288" s="18" t="s">
        <v>316</v>
      </c>
    </row>
    <row r="40289">
      <c r="A40289" s="17"/>
      <c r="H40289" s="18"/>
      <c r="K40289" s="18" t="s">
        <v>316</v>
      </c>
    </row>
    <row r="40290">
      <c r="A40290" s="17"/>
      <c r="H40290" s="18"/>
      <c r="K40290" s="18" t="s">
        <v>316</v>
      </c>
    </row>
    <row r="40291">
      <c r="A40291" s="17"/>
      <c r="H40291" s="18"/>
      <c r="K40291" s="18" t="s">
        <v>316</v>
      </c>
    </row>
    <row r="40292">
      <c r="A40292" s="17"/>
      <c r="H40292" s="18"/>
      <c r="K40292" s="18" t="s">
        <v>316</v>
      </c>
    </row>
    <row r="40293">
      <c r="A40293" s="17"/>
      <c r="H40293" s="18"/>
      <c r="K40293" s="18" t="s">
        <v>316</v>
      </c>
    </row>
    <row r="40294">
      <c r="A40294" s="17"/>
      <c r="H40294" s="18"/>
      <c r="K40294" s="18" t="s">
        <v>316</v>
      </c>
    </row>
    <row r="40295">
      <c r="A40295" s="17"/>
      <c r="H40295" s="18"/>
      <c r="K40295" s="18" t="s">
        <v>316</v>
      </c>
    </row>
    <row r="40296">
      <c r="A40296" s="17"/>
      <c r="H40296" s="18"/>
      <c r="K40296" s="18" t="s">
        <v>316</v>
      </c>
    </row>
    <row r="40297">
      <c r="A40297" s="17"/>
      <c r="H40297" s="18"/>
      <c r="K40297" s="18" t="s">
        <v>316</v>
      </c>
    </row>
    <row r="40298">
      <c r="A40298" s="17"/>
      <c r="H40298" s="18"/>
      <c r="K40298" s="18" t="s">
        <v>316</v>
      </c>
    </row>
    <row r="40299">
      <c r="A40299" s="17"/>
      <c r="H40299" s="18"/>
      <c r="K40299" s="18" t="s">
        <v>316</v>
      </c>
    </row>
    <row r="40300">
      <c r="A40300" s="17"/>
      <c r="H40300" s="18"/>
      <c r="K40300" s="18" t="s">
        <v>316</v>
      </c>
    </row>
    <row r="40301">
      <c r="A40301" s="17"/>
      <c r="H40301" s="18"/>
      <c r="K40301" s="18" t="s">
        <v>316</v>
      </c>
    </row>
    <row r="40302">
      <c r="A40302" s="17"/>
      <c r="H40302" s="18"/>
      <c r="K40302" s="18" t="s">
        <v>316</v>
      </c>
    </row>
    <row r="40303">
      <c r="A40303" s="17"/>
      <c r="H40303" s="18"/>
      <c r="K40303" s="18" t="s">
        <v>316</v>
      </c>
    </row>
    <row r="40304">
      <c r="A40304" s="17"/>
      <c r="H40304" s="18"/>
      <c r="K40304" s="18" t="s">
        <v>316</v>
      </c>
    </row>
    <row r="40305">
      <c r="A40305" s="17"/>
      <c r="H40305" s="18"/>
      <c r="K40305" s="18" t="s">
        <v>316</v>
      </c>
    </row>
    <row r="40306">
      <c r="A40306" s="17"/>
      <c r="H40306" s="18"/>
      <c r="K40306" s="18" t="s">
        <v>316</v>
      </c>
    </row>
    <row r="40307">
      <c r="A40307" s="17"/>
      <c r="H40307" s="18"/>
      <c r="K40307" s="18" t="s">
        <v>316</v>
      </c>
    </row>
    <row r="40308">
      <c r="A40308" s="17"/>
      <c r="H40308" s="18"/>
      <c r="K40308" s="18" t="s">
        <v>316</v>
      </c>
    </row>
    <row r="40309">
      <c r="A40309" s="17"/>
      <c r="H40309" s="18"/>
      <c r="K40309" s="18" t="s">
        <v>316</v>
      </c>
    </row>
    <row r="40310">
      <c r="A40310" s="17"/>
      <c r="H40310" s="18"/>
      <c r="K40310" s="18" t="s">
        <v>316</v>
      </c>
    </row>
    <row r="40311">
      <c r="A40311" s="17"/>
      <c r="H40311" s="18"/>
      <c r="K40311" s="18" t="s">
        <v>316</v>
      </c>
    </row>
    <row r="40312">
      <c r="A40312" s="17"/>
      <c r="H40312" s="18"/>
      <c r="K40312" s="18" t="s">
        <v>316</v>
      </c>
    </row>
    <row r="40313">
      <c r="A40313" s="17"/>
      <c r="H40313" s="18"/>
      <c r="K40313" s="18" t="s">
        <v>316</v>
      </c>
    </row>
    <row r="40314">
      <c r="A40314" s="17"/>
      <c r="H40314" s="18"/>
      <c r="K40314" s="18" t="s">
        <v>316</v>
      </c>
    </row>
    <row r="40315">
      <c r="A40315" s="17"/>
      <c r="H40315" s="18"/>
      <c r="K40315" s="18" t="s">
        <v>316</v>
      </c>
    </row>
    <row r="40316">
      <c r="A40316" s="17"/>
      <c r="H40316" s="18"/>
      <c r="K40316" s="18" t="s">
        <v>316</v>
      </c>
    </row>
    <row r="40317">
      <c r="A40317" s="17"/>
      <c r="H40317" s="18"/>
      <c r="K40317" s="18" t="s">
        <v>316</v>
      </c>
    </row>
    <row r="40318">
      <c r="A40318" s="17"/>
      <c r="H40318" s="18"/>
      <c r="K40318" s="18" t="s">
        <v>316</v>
      </c>
    </row>
    <row r="40319">
      <c r="A40319" s="17"/>
      <c r="H40319" s="18"/>
      <c r="K40319" s="18" t="s">
        <v>316</v>
      </c>
    </row>
    <row r="40320">
      <c r="A40320" s="17"/>
      <c r="H40320" s="18"/>
      <c r="K40320" s="18" t="s">
        <v>316</v>
      </c>
    </row>
    <row r="40321">
      <c r="A40321" s="17"/>
      <c r="H40321" s="18"/>
      <c r="K40321" s="18" t="s">
        <v>316</v>
      </c>
    </row>
    <row r="40322">
      <c r="A40322" s="17"/>
      <c r="H40322" s="18"/>
      <c r="K40322" s="18" t="s">
        <v>316</v>
      </c>
    </row>
    <row r="40323">
      <c r="A40323" s="17"/>
      <c r="H40323" s="18"/>
      <c r="K40323" s="18" t="s">
        <v>316</v>
      </c>
    </row>
    <row r="40324">
      <c r="A40324" s="17"/>
      <c r="H40324" s="18"/>
      <c r="K40324" s="18" t="s">
        <v>316</v>
      </c>
    </row>
    <row r="40325">
      <c r="A40325" s="17"/>
      <c r="H40325" s="18"/>
      <c r="K40325" s="18" t="s">
        <v>316</v>
      </c>
    </row>
    <row r="40326">
      <c r="A40326" s="17"/>
      <c r="H40326" s="18"/>
      <c r="K40326" s="18" t="s">
        <v>316</v>
      </c>
    </row>
    <row r="40327">
      <c r="A40327" s="17"/>
      <c r="H40327" s="18"/>
      <c r="K40327" s="18" t="s">
        <v>316</v>
      </c>
    </row>
    <row r="40328">
      <c r="A40328" s="17"/>
      <c r="H40328" s="18"/>
      <c r="K40328" s="18" t="s">
        <v>316</v>
      </c>
    </row>
    <row r="40329">
      <c r="A40329" s="17"/>
      <c r="H40329" s="18"/>
      <c r="K40329" s="18" t="s">
        <v>316</v>
      </c>
    </row>
    <row r="40330">
      <c r="A40330" s="17"/>
      <c r="H40330" s="18"/>
      <c r="K40330" s="18" t="s">
        <v>316</v>
      </c>
    </row>
    <row r="40331">
      <c r="A40331" s="17"/>
      <c r="H40331" s="18"/>
      <c r="K40331" s="18" t="s">
        <v>316</v>
      </c>
    </row>
    <row r="40332">
      <c r="A40332" s="17"/>
      <c r="H40332" s="18"/>
      <c r="K40332" s="18" t="s">
        <v>316</v>
      </c>
    </row>
    <row r="40333">
      <c r="A40333" s="17"/>
      <c r="H40333" s="18"/>
      <c r="K40333" s="18" t="s">
        <v>316</v>
      </c>
    </row>
    <row r="40334">
      <c r="A40334" s="17"/>
      <c r="H40334" s="18"/>
      <c r="K40334" s="18" t="s">
        <v>316</v>
      </c>
    </row>
    <row r="40335">
      <c r="A40335" s="17"/>
      <c r="H40335" s="18"/>
      <c r="K40335" s="18" t="s">
        <v>316</v>
      </c>
    </row>
    <row r="40336">
      <c r="A40336" s="17"/>
      <c r="H40336" s="18"/>
      <c r="K40336" s="18" t="s">
        <v>316</v>
      </c>
    </row>
    <row r="40337">
      <c r="A40337" s="17"/>
      <c r="H40337" s="18"/>
      <c r="K40337" s="18" t="s">
        <v>316</v>
      </c>
    </row>
    <row r="40338">
      <c r="A40338" s="17"/>
      <c r="H40338" s="18"/>
      <c r="K40338" s="18" t="s">
        <v>316</v>
      </c>
    </row>
    <row r="40339">
      <c r="A40339" s="17"/>
      <c r="H40339" s="18"/>
      <c r="K40339" s="18" t="s">
        <v>316</v>
      </c>
    </row>
    <row r="40340">
      <c r="A40340" s="17"/>
      <c r="H40340" s="18"/>
      <c r="K40340" s="18" t="s">
        <v>316</v>
      </c>
    </row>
    <row r="40341">
      <c r="A40341" s="17"/>
      <c r="H40341" s="18"/>
      <c r="K40341" s="18" t="s">
        <v>316</v>
      </c>
    </row>
    <row r="40342">
      <c r="A40342" s="17"/>
      <c r="H40342" s="18"/>
      <c r="K40342" s="18" t="s">
        <v>316</v>
      </c>
    </row>
    <row r="40343">
      <c r="A40343" s="17"/>
      <c r="H40343" s="18"/>
      <c r="K40343" s="18" t="s">
        <v>316</v>
      </c>
    </row>
    <row r="40344">
      <c r="A40344" s="17"/>
      <c r="H40344" s="18"/>
      <c r="K40344" s="18" t="s">
        <v>316</v>
      </c>
    </row>
    <row r="40345">
      <c r="A40345" s="17"/>
      <c r="H40345" s="18"/>
      <c r="K40345" s="18" t="s">
        <v>316</v>
      </c>
    </row>
    <row r="40346">
      <c r="A40346" s="17"/>
      <c r="H40346" s="18"/>
      <c r="K40346" s="18" t="s">
        <v>316</v>
      </c>
    </row>
    <row r="40347">
      <c r="A40347" s="17"/>
      <c r="H40347" s="18"/>
      <c r="K40347" s="18" t="s">
        <v>316</v>
      </c>
    </row>
    <row r="40348">
      <c r="A40348" s="17"/>
      <c r="H40348" s="18"/>
      <c r="K40348" s="18" t="s">
        <v>316</v>
      </c>
    </row>
    <row r="40349">
      <c r="A40349" s="17"/>
      <c r="H40349" s="18"/>
      <c r="K40349" s="18" t="s">
        <v>316</v>
      </c>
    </row>
    <row r="40350">
      <c r="A40350" s="17"/>
      <c r="H40350" s="18"/>
      <c r="K40350" s="18" t="s">
        <v>316</v>
      </c>
    </row>
    <row r="40351">
      <c r="A40351" s="17"/>
      <c r="H40351" s="18"/>
      <c r="K40351" s="18" t="s">
        <v>316</v>
      </c>
    </row>
    <row r="40352">
      <c r="A40352" s="17"/>
      <c r="H40352" s="18"/>
      <c r="K40352" s="18" t="s">
        <v>316</v>
      </c>
    </row>
    <row r="40353">
      <c r="A40353" s="17"/>
      <c r="H40353" s="18"/>
      <c r="K40353" s="18" t="s">
        <v>316</v>
      </c>
    </row>
    <row r="40354">
      <c r="A40354" s="17"/>
      <c r="H40354" s="18"/>
      <c r="K40354" s="18" t="s">
        <v>316</v>
      </c>
    </row>
    <row r="40355">
      <c r="A40355" s="17"/>
      <c r="H40355" s="18"/>
      <c r="K40355" s="18" t="s">
        <v>316</v>
      </c>
    </row>
    <row r="40356">
      <c r="A40356" s="17"/>
      <c r="H40356" s="18"/>
      <c r="K40356" s="18" t="s">
        <v>316</v>
      </c>
    </row>
    <row r="40357">
      <c r="A40357" s="17"/>
      <c r="H40357" s="18"/>
      <c r="K40357" s="18" t="s">
        <v>316</v>
      </c>
    </row>
    <row r="40358">
      <c r="A40358" s="17"/>
      <c r="H40358" s="18"/>
      <c r="K40358" s="18" t="s">
        <v>316</v>
      </c>
    </row>
    <row r="40359">
      <c r="A40359" s="17"/>
      <c r="H40359" s="18"/>
      <c r="K40359" s="18" t="s">
        <v>316</v>
      </c>
    </row>
    <row r="40360">
      <c r="A40360" s="17"/>
      <c r="H40360" s="18"/>
      <c r="K40360" s="18" t="s">
        <v>316</v>
      </c>
    </row>
    <row r="40361">
      <c r="A40361" s="17"/>
      <c r="H40361" s="18"/>
      <c r="K40361" s="18" t="s">
        <v>316</v>
      </c>
    </row>
    <row r="40362">
      <c r="A40362" s="17"/>
      <c r="H40362" s="18"/>
      <c r="K40362" s="18" t="s">
        <v>316</v>
      </c>
    </row>
    <row r="40363">
      <c r="A40363" s="17"/>
      <c r="H40363" s="18"/>
      <c r="K40363" s="18" t="s">
        <v>316</v>
      </c>
    </row>
    <row r="40364">
      <c r="A40364" s="17"/>
      <c r="H40364" s="18"/>
      <c r="K40364" s="18" t="s">
        <v>316</v>
      </c>
    </row>
    <row r="40365">
      <c r="A40365" s="17"/>
      <c r="H40365" s="18"/>
      <c r="K40365" s="18" t="s">
        <v>316</v>
      </c>
    </row>
    <row r="40366">
      <c r="A40366" s="17"/>
      <c r="H40366" s="18"/>
      <c r="K40366" s="18" t="s">
        <v>316</v>
      </c>
    </row>
    <row r="40367">
      <c r="A40367" s="17"/>
      <c r="H40367" s="18"/>
      <c r="K40367" s="18" t="s">
        <v>316</v>
      </c>
    </row>
    <row r="40368">
      <c r="A40368" s="17"/>
      <c r="H40368" s="18"/>
      <c r="K40368" s="18" t="s">
        <v>316</v>
      </c>
    </row>
    <row r="40369">
      <c r="A40369" s="17"/>
      <c r="H40369" s="18"/>
      <c r="K40369" s="18" t="s">
        <v>316</v>
      </c>
    </row>
    <row r="40370">
      <c r="A40370" s="17"/>
      <c r="H40370" s="18"/>
      <c r="K40370" s="18" t="s">
        <v>316</v>
      </c>
    </row>
    <row r="40371">
      <c r="A40371" s="17"/>
      <c r="H40371" s="18"/>
      <c r="K40371" s="18" t="s">
        <v>316</v>
      </c>
    </row>
    <row r="40372">
      <c r="A40372" s="17"/>
      <c r="H40372" s="18"/>
      <c r="K40372" s="18" t="s">
        <v>316</v>
      </c>
    </row>
    <row r="40373">
      <c r="A40373" s="17"/>
      <c r="H40373" s="18"/>
      <c r="K40373" s="18" t="s">
        <v>316</v>
      </c>
    </row>
    <row r="40374">
      <c r="A40374" s="17"/>
      <c r="H40374" s="18"/>
      <c r="K40374" s="18" t="s">
        <v>316</v>
      </c>
    </row>
    <row r="40375">
      <c r="A40375" s="17"/>
      <c r="H40375" s="18"/>
      <c r="K40375" s="18" t="s">
        <v>316</v>
      </c>
    </row>
    <row r="40376">
      <c r="A40376" s="17"/>
      <c r="H40376" s="18"/>
      <c r="K40376" s="18" t="s">
        <v>316</v>
      </c>
    </row>
    <row r="40377">
      <c r="A40377" s="17"/>
      <c r="H40377" s="18"/>
      <c r="K40377" s="18" t="s">
        <v>316</v>
      </c>
    </row>
    <row r="40378">
      <c r="A40378" s="17"/>
      <c r="H40378" s="18"/>
      <c r="K40378" s="18" t="s">
        <v>316</v>
      </c>
    </row>
    <row r="40379">
      <c r="A40379" s="17"/>
      <c r="H40379" s="18"/>
      <c r="K40379" s="18" t="s">
        <v>316</v>
      </c>
    </row>
    <row r="40380">
      <c r="A40380" s="17"/>
      <c r="H40380" s="18"/>
      <c r="K40380" s="18" t="s">
        <v>316</v>
      </c>
    </row>
    <row r="40381">
      <c r="A40381" s="17"/>
      <c r="H40381" s="18"/>
      <c r="K40381" s="18" t="s">
        <v>316</v>
      </c>
    </row>
    <row r="40382">
      <c r="A40382" s="17"/>
      <c r="H40382" s="18"/>
      <c r="K40382" s="18" t="s">
        <v>316</v>
      </c>
    </row>
    <row r="40383">
      <c r="A40383" s="17"/>
      <c r="H40383" s="18"/>
      <c r="K40383" s="18" t="s">
        <v>316</v>
      </c>
    </row>
    <row r="40384">
      <c r="A40384" s="17"/>
      <c r="H40384" s="18"/>
      <c r="K40384" s="18" t="s">
        <v>316</v>
      </c>
    </row>
    <row r="40385">
      <c r="A40385" s="17"/>
      <c r="H40385" s="18"/>
      <c r="K40385" s="18" t="s">
        <v>316</v>
      </c>
    </row>
    <row r="40386">
      <c r="A40386" s="17"/>
      <c r="H40386" s="18"/>
      <c r="K40386" s="18" t="s">
        <v>316</v>
      </c>
    </row>
    <row r="40387">
      <c r="A40387" s="17"/>
      <c r="H40387" s="18"/>
      <c r="K40387" s="18" t="s">
        <v>316</v>
      </c>
    </row>
    <row r="40388">
      <c r="A40388" s="17"/>
      <c r="H40388" s="18"/>
      <c r="K40388" s="18" t="s">
        <v>316</v>
      </c>
    </row>
    <row r="40389">
      <c r="A40389" s="17"/>
      <c r="H40389" s="18"/>
      <c r="K40389" s="18" t="s">
        <v>316</v>
      </c>
    </row>
    <row r="40390">
      <c r="A40390" s="17"/>
      <c r="H40390" s="18"/>
      <c r="K40390" s="18" t="s">
        <v>316</v>
      </c>
    </row>
    <row r="40391">
      <c r="A40391" s="17"/>
      <c r="H40391" s="18"/>
      <c r="K40391" s="18" t="s">
        <v>316</v>
      </c>
    </row>
    <row r="40392">
      <c r="A40392" s="17"/>
      <c r="H40392" s="18"/>
      <c r="K40392" s="18" t="s">
        <v>316</v>
      </c>
    </row>
    <row r="40393">
      <c r="A40393" s="17"/>
      <c r="H40393" s="18"/>
      <c r="K40393" s="18" t="s">
        <v>316</v>
      </c>
    </row>
    <row r="40394">
      <c r="A40394" s="17"/>
      <c r="H40394" s="18"/>
      <c r="K40394" s="18" t="s">
        <v>316</v>
      </c>
    </row>
    <row r="40395">
      <c r="A40395" s="17"/>
      <c r="H40395" s="18"/>
      <c r="K40395" s="18" t="s">
        <v>316</v>
      </c>
    </row>
    <row r="40396">
      <c r="A40396" s="17"/>
      <c r="H40396" s="18"/>
      <c r="K40396" s="18" t="s">
        <v>316</v>
      </c>
    </row>
    <row r="40397">
      <c r="A40397" s="17"/>
      <c r="H40397" s="18"/>
      <c r="K40397" s="18" t="s">
        <v>316</v>
      </c>
    </row>
    <row r="40398">
      <c r="A40398" s="17"/>
      <c r="H40398" s="18"/>
      <c r="K40398" s="18" t="s">
        <v>316</v>
      </c>
    </row>
    <row r="40399">
      <c r="A40399" s="17"/>
      <c r="H40399" s="18"/>
      <c r="K40399" s="18" t="s">
        <v>316</v>
      </c>
    </row>
    <row r="40400">
      <c r="A40400" s="17"/>
      <c r="H40400" s="18"/>
      <c r="K40400" s="18" t="s">
        <v>316</v>
      </c>
    </row>
    <row r="40401">
      <c r="A40401" s="17"/>
      <c r="H40401" s="18"/>
      <c r="K40401" s="18" t="s">
        <v>316</v>
      </c>
    </row>
    <row r="40402">
      <c r="A40402" s="17"/>
      <c r="H40402" s="18"/>
      <c r="K40402" s="18" t="s">
        <v>316</v>
      </c>
    </row>
    <row r="40403">
      <c r="A40403" s="17"/>
      <c r="H40403" s="18"/>
      <c r="K40403" s="18" t="s">
        <v>316</v>
      </c>
    </row>
    <row r="40404">
      <c r="A40404" s="17"/>
      <c r="H40404" s="18"/>
      <c r="K40404" s="18" t="s">
        <v>316</v>
      </c>
    </row>
    <row r="40405">
      <c r="A40405" s="17"/>
      <c r="H40405" s="18"/>
      <c r="K40405" s="18" t="s">
        <v>316</v>
      </c>
    </row>
    <row r="40406">
      <c r="A40406" s="17"/>
      <c r="H40406" s="18"/>
      <c r="K40406" s="18" t="s">
        <v>316</v>
      </c>
    </row>
    <row r="40407">
      <c r="A40407" s="17"/>
      <c r="H40407" s="18"/>
      <c r="K40407" s="18" t="s">
        <v>316</v>
      </c>
    </row>
    <row r="40408">
      <c r="A40408" s="17"/>
      <c r="H40408" s="18"/>
      <c r="K40408" s="18" t="s">
        <v>316</v>
      </c>
    </row>
    <row r="40409">
      <c r="A40409" s="17"/>
      <c r="H40409" s="18"/>
      <c r="K40409" s="18" t="s">
        <v>316</v>
      </c>
    </row>
    <row r="40410">
      <c r="A40410" s="17"/>
      <c r="H40410" s="18"/>
      <c r="K40410" s="18" t="s">
        <v>316</v>
      </c>
    </row>
    <row r="40411">
      <c r="A40411" s="17"/>
      <c r="H40411" s="18"/>
      <c r="K40411" s="18" t="s">
        <v>316</v>
      </c>
    </row>
    <row r="40412">
      <c r="A40412" s="17"/>
      <c r="H40412" s="18"/>
      <c r="K40412" s="18" t="s">
        <v>316</v>
      </c>
    </row>
    <row r="40413">
      <c r="A40413" s="17"/>
      <c r="H40413" s="18"/>
      <c r="K40413" s="18" t="s">
        <v>316</v>
      </c>
    </row>
    <row r="40414">
      <c r="A40414" s="17"/>
      <c r="H40414" s="18"/>
      <c r="K40414" s="18" t="s">
        <v>316</v>
      </c>
    </row>
    <row r="40415">
      <c r="A40415" s="17"/>
      <c r="H40415" s="18"/>
      <c r="K40415" s="18" t="s">
        <v>316</v>
      </c>
    </row>
    <row r="40416">
      <c r="A40416" s="17"/>
      <c r="H40416" s="18"/>
      <c r="K40416" s="18" t="s">
        <v>316</v>
      </c>
    </row>
    <row r="40417">
      <c r="A40417" s="17"/>
      <c r="H40417" s="18"/>
      <c r="K40417" s="18" t="s">
        <v>316</v>
      </c>
    </row>
    <row r="40418">
      <c r="A40418" s="17"/>
      <c r="H40418" s="18"/>
      <c r="K40418" s="18" t="s">
        <v>316</v>
      </c>
    </row>
    <row r="40419">
      <c r="A40419" s="17"/>
      <c r="H40419" s="18"/>
      <c r="K40419" s="18" t="s">
        <v>316</v>
      </c>
    </row>
    <row r="40420">
      <c r="A40420" s="17"/>
      <c r="H40420" s="18"/>
      <c r="K40420" s="18" t="s">
        <v>316</v>
      </c>
    </row>
    <row r="40421">
      <c r="A40421" s="17"/>
      <c r="H40421" s="18"/>
      <c r="K40421" s="18" t="s">
        <v>316</v>
      </c>
    </row>
    <row r="40422">
      <c r="A40422" s="17"/>
      <c r="H40422" s="18"/>
      <c r="K40422" s="18" t="s">
        <v>316</v>
      </c>
    </row>
    <row r="40423">
      <c r="A40423" s="17"/>
      <c r="H40423" s="18"/>
      <c r="K40423" s="18" t="s">
        <v>316</v>
      </c>
    </row>
    <row r="40424">
      <c r="A40424" s="17"/>
      <c r="H40424" s="18"/>
      <c r="K40424" s="18" t="s">
        <v>316</v>
      </c>
    </row>
    <row r="40425">
      <c r="A40425" s="17"/>
      <c r="H40425" s="18"/>
      <c r="K40425" s="18" t="s">
        <v>316</v>
      </c>
    </row>
    <row r="40426">
      <c r="A40426" s="17"/>
      <c r="H40426" s="18"/>
      <c r="K40426" s="18" t="s">
        <v>316</v>
      </c>
    </row>
    <row r="40427">
      <c r="A40427" s="17"/>
      <c r="H40427" s="18"/>
      <c r="K40427" s="18" t="s">
        <v>316</v>
      </c>
    </row>
    <row r="40428">
      <c r="A40428" s="17"/>
      <c r="H40428" s="18"/>
      <c r="K40428" s="18" t="s">
        <v>316</v>
      </c>
    </row>
    <row r="40429">
      <c r="A40429" s="17"/>
      <c r="H40429" s="18"/>
      <c r="K40429" s="18" t="s">
        <v>316</v>
      </c>
    </row>
    <row r="40430">
      <c r="A40430" s="17"/>
      <c r="H40430" s="18"/>
      <c r="K40430" s="18" t="s">
        <v>316</v>
      </c>
    </row>
    <row r="40431">
      <c r="A40431" s="17"/>
      <c r="H40431" s="18"/>
      <c r="K40431" s="18" t="s">
        <v>316</v>
      </c>
    </row>
    <row r="40432">
      <c r="A40432" s="17"/>
      <c r="H40432" s="18"/>
      <c r="K40432" s="18" t="s">
        <v>316</v>
      </c>
    </row>
    <row r="40433">
      <c r="A40433" s="17"/>
      <c r="H40433" s="18"/>
      <c r="K40433" s="18" t="s">
        <v>316</v>
      </c>
    </row>
    <row r="40434">
      <c r="A40434" s="17"/>
      <c r="H40434" s="18"/>
      <c r="K40434" s="18" t="s">
        <v>316</v>
      </c>
    </row>
    <row r="40435">
      <c r="A40435" s="17"/>
      <c r="H40435" s="18"/>
      <c r="K40435" s="18" t="s">
        <v>316</v>
      </c>
    </row>
    <row r="40436">
      <c r="A40436" s="17"/>
      <c r="H40436" s="18"/>
      <c r="K40436" s="18" t="s">
        <v>316</v>
      </c>
    </row>
    <row r="40437">
      <c r="A40437" s="17"/>
      <c r="H40437" s="18"/>
      <c r="K40437" s="18" t="s">
        <v>316</v>
      </c>
    </row>
    <row r="40438">
      <c r="A40438" s="17"/>
      <c r="H40438" s="18"/>
      <c r="K40438" s="18" t="s">
        <v>316</v>
      </c>
    </row>
    <row r="40439">
      <c r="A40439" s="17"/>
      <c r="H40439" s="18"/>
      <c r="K40439" s="18" t="s">
        <v>316</v>
      </c>
    </row>
    <row r="40440">
      <c r="A40440" s="17"/>
      <c r="H40440" s="18"/>
      <c r="K40440" s="18" t="s">
        <v>316</v>
      </c>
    </row>
    <row r="40441">
      <c r="A40441" s="17"/>
      <c r="H40441" s="18"/>
      <c r="K40441" s="18" t="s">
        <v>316</v>
      </c>
    </row>
    <row r="40442">
      <c r="A40442" s="17"/>
      <c r="H40442" s="18"/>
      <c r="K40442" s="18" t="s">
        <v>316</v>
      </c>
    </row>
    <row r="40443">
      <c r="A40443" s="17"/>
      <c r="H40443" s="18"/>
      <c r="K40443" s="18" t="s">
        <v>316</v>
      </c>
    </row>
    <row r="40444">
      <c r="A40444" s="17"/>
      <c r="H40444" s="18"/>
      <c r="K40444" s="18" t="s">
        <v>316</v>
      </c>
    </row>
    <row r="40445">
      <c r="A40445" s="17"/>
      <c r="H40445" s="18"/>
      <c r="K40445" s="18" t="s">
        <v>316</v>
      </c>
    </row>
    <row r="40446">
      <c r="A40446" s="17"/>
      <c r="H40446" s="18"/>
      <c r="K40446" s="18" t="s">
        <v>316</v>
      </c>
    </row>
    <row r="40447">
      <c r="A40447" s="17"/>
      <c r="H40447" s="18"/>
      <c r="K40447" s="18" t="s">
        <v>316</v>
      </c>
    </row>
    <row r="40448">
      <c r="A40448" s="17"/>
      <c r="H40448" s="18"/>
      <c r="K40448" s="18" t="s">
        <v>316</v>
      </c>
    </row>
    <row r="40449">
      <c r="A40449" s="17"/>
      <c r="H40449" s="18"/>
      <c r="K40449" s="18" t="s">
        <v>316</v>
      </c>
    </row>
    <row r="40450">
      <c r="A40450" s="17"/>
      <c r="H40450" s="18"/>
      <c r="K40450" s="18" t="s">
        <v>316</v>
      </c>
    </row>
    <row r="40451">
      <c r="A40451" s="17"/>
      <c r="H40451" s="18"/>
      <c r="K40451" s="18" t="s">
        <v>316</v>
      </c>
    </row>
    <row r="40452">
      <c r="A40452" s="17"/>
      <c r="H40452" s="18"/>
      <c r="K40452" s="18" t="s">
        <v>316</v>
      </c>
    </row>
    <row r="40453">
      <c r="A40453" s="17"/>
      <c r="H40453" s="18"/>
      <c r="K40453" s="18" t="s">
        <v>316</v>
      </c>
    </row>
    <row r="40454">
      <c r="A40454" s="17"/>
      <c r="H40454" s="18"/>
      <c r="K40454" s="18" t="s">
        <v>316</v>
      </c>
    </row>
    <row r="40455">
      <c r="A40455" s="17"/>
      <c r="H40455" s="18"/>
      <c r="K40455" s="18" t="s">
        <v>316</v>
      </c>
    </row>
    <row r="40456">
      <c r="A40456" s="17"/>
      <c r="H40456" s="18"/>
      <c r="K40456" s="18" t="s">
        <v>316</v>
      </c>
    </row>
    <row r="40457">
      <c r="A40457" s="17"/>
      <c r="H40457" s="18"/>
      <c r="K40457" s="18" t="s">
        <v>316</v>
      </c>
    </row>
    <row r="40458">
      <c r="A40458" s="17"/>
      <c r="H40458" s="18"/>
      <c r="K40458" s="18" t="s">
        <v>316</v>
      </c>
    </row>
    <row r="40459">
      <c r="A40459" s="17"/>
      <c r="H40459" s="18"/>
      <c r="K40459" s="18" t="s">
        <v>316</v>
      </c>
    </row>
    <row r="40460">
      <c r="A40460" s="17"/>
      <c r="H40460" s="18"/>
      <c r="K40460" s="18" t="s">
        <v>316</v>
      </c>
    </row>
    <row r="40461">
      <c r="A40461" s="17"/>
      <c r="H40461" s="18"/>
      <c r="K40461" s="18" t="s">
        <v>316</v>
      </c>
    </row>
    <row r="40462">
      <c r="A40462" s="17"/>
      <c r="H40462" s="18"/>
      <c r="K40462" s="18" t="s">
        <v>316</v>
      </c>
    </row>
    <row r="40463">
      <c r="A40463" s="17"/>
      <c r="H40463" s="18"/>
      <c r="K40463" s="18" t="s">
        <v>316</v>
      </c>
    </row>
    <row r="40464">
      <c r="A40464" s="17"/>
      <c r="H40464" s="18"/>
      <c r="K40464" s="18" t="s">
        <v>316</v>
      </c>
    </row>
    <row r="40465">
      <c r="A40465" s="17"/>
      <c r="H40465" s="18"/>
      <c r="K40465" s="18" t="s">
        <v>316</v>
      </c>
    </row>
    <row r="40466">
      <c r="A40466" s="17"/>
      <c r="H40466" s="18"/>
      <c r="K40466" s="18" t="s">
        <v>316</v>
      </c>
    </row>
    <row r="40467">
      <c r="A40467" s="17"/>
      <c r="H40467" s="18"/>
      <c r="K40467" s="18" t="s">
        <v>316</v>
      </c>
    </row>
    <row r="40468">
      <c r="A40468" s="17"/>
      <c r="H40468" s="18"/>
      <c r="K40468" s="18" t="s">
        <v>316</v>
      </c>
    </row>
    <row r="40469">
      <c r="A40469" s="17"/>
      <c r="H40469" s="18"/>
      <c r="K40469" s="18" t="s">
        <v>316</v>
      </c>
    </row>
    <row r="40470">
      <c r="A40470" s="17"/>
      <c r="H40470" s="18"/>
      <c r="K40470" s="18" t="s">
        <v>316</v>
      </c>
    </row>
    <row r="40471">
      <c r="A40471" s="17"/>
      <c r="H40471" s="18"/>
      <c r="K40471" s="18" t="s">
        <v>316</v>
      </c>
    </row>
    <row r="40472">
      <c r="A40472" s="17"/>
      <c r="H40472" s="18"/>
      <c r="K40472" s="18" t="s">
        <v>316</v>
      </c>
    </row>
    <row r="40473">
      <c r="A40473" s="17"/>
      <c r="H40473" s="18"/>
      <c r="K40473" s="18" t="s">
        <v>316</v>
      </c>
    </row>
    <row r="40474">
      <c r="A40474" s="17"/>
      <c r="H40474" s="18"/>
      <c r="K40474" s="18" t="s">
        <v>316</v>
      </c>
    </row>
    <row r="40475">
      <c r="A40475" s="17"/>
      <c r="H40475" s="18"/>
      <c r="K40475" s="18" t="s">
        <v>316</v>
      </c>
    </row>
    <row r="40476">
      <c r="A40476" s="17"/>
      <c r="H40476" s="18"/>
      <c r="K40476" s="18" t="s">
        <v>316</v>
      </c>
    </row>
    <row r="40477">
      <c r="A40477" s="17"/>
      <c r="H40477" s="18"/>
      <c r="K40477" s="18" t="s">
        <v>316</v>
      </c>
    </row>
    <row r="40478">
      <c r="A40478" s="17"/>
      <c r="H40478" s="18"/>
      <c r="K40478" s="18" t="s">
        <v>316</v>
      </c>
    </row>
    <row r="40479">
      <c r="A40479" s="17"/>
      <c r="H40479" s="18"/>
      <c r="K40479" s="18" t="s">
        <v>316</v>
      </c>
    </row>
    <row r="40480">
      <c r="A40480" s="17"/>
      <c r="H40480" s="18"/>
      <c r="K40480" s="18" t="s">
        <v>316</v>
      </c>
    </row>
    <row r="40481">
      <c r="A40481" s="17"/>
      <c r="H40481" s="18"/>
      <c r="K40481" s="18" t="s">
        <v>316</v>
      </c>
    </row>
    <row r="40482">
      <c r="A40482" s="17"/>
      <c r="H40482" s="18"/>
      <c r="K40482" s="18" t="s">
        <v>316</v>
      </c>
    </row>
    <row r="40483">
      <c r="A40483" s="17"/>
      <c r="H40483" s="18"/>
      <c r="K40483" s="18" t="s">
        <v>316</v>
      </c>
    </row>
    <row r="40484">
      <c r="A40484" s="17"/>
      <c r="H40484" s="18"/>
      <c r="K40484" s="18" t="s">
        <v>316</v>
      </c>
    </row>
    <row r="40485">
      <c r="A40485" s="17"/>
      <c r="H40485" s="18"/>
      <c r="K40485" s="18" t="s">
        <v>316</v>
      </c>
    </row>
    <row r="40486">
      <c r="A40486" s="17"/>
      <c r="H40486" s="18"/>
      <c r="K40486" s="18" t="s">
        <v>316</v>
      </c>
    </row>
    <row r="40487">
      <c r="A40487" s="17"/>
      <c r="H40487" s="18"/>
      <c r="K40487" s="18" t="s">
        <v>316</v>
      </c>
    </row>
    <row r="40488">
      <c r="A40488" s="17"/>
      <c r="H40488" s="18"/>
      <c r="K40488" s="18" t="s">
        <v>316</v>
      </c>
    </row>
    <row r="40489">
      <c r="A40489" s="17"/>
      <c r="H40489" s="18"/>
      <c r="K40489" s="18" t="s">
        <v>316</v>
      </c>
    </row>
    <row r="40490">
      <c r="A40490" s="17"/>
      <c r="H40490" s="18"/>
      <c r="K40490" s="18" t="s">
        <v>316</v>
      </c>
    </row>
    <row r="40491">
      <c r="A40491" s="17"/>
      <c r="H40491" s="18"/>
      <c r="K40491" s="18" t="s">
        <v>316</v>
      </c>
    </row>
    <row r="40492">
      <c r="A40492" s="17"/>
      <c r="H40492" s="18"/>
      <c r="K40492" s="18" t="s">
        <v>316</v>
      </c>
    </row>
    <row r="40493">
      <c r="A40493" s="17"/>
      <c r="H40493" s="18"/>
      <c r="K40493" s="18" t="s">
        <v>316</v>
      </c>
    </row>
    <row r="40494">
      <c r="A40494" s="17"/>
      <c r="H40494" s="18"/>
      <c r="K40494" s="18" t="s">
        <v>316</v>
      </c>
    </row>
    <row r="40495">
      <c r="A40495" s="17"/>
      <c r="H40495" s="18"/>
      <c r="K40495" s="18" t="s">
        <v>316</v>
      </c>
    </row>
    <row r="40496">
      <c r="A40496" s="17"/>
      <c r="H40496" s="18"/>
      <c r="K40496" s="18" t="s">
        <v>316</v>
      </c>
    </row>
    <row r="40497">
      <c r="A40497" s="17"/>
      <c r="H40497" s="18"/>
      <c r="K40497" s="18" t="s">
        <v>316</v>
      </c>
    </row>
    <row r="40498">
      <c r="A40498" s="17"/>
      <c r="H40498" s="18"/>
      <c r="K40498" s="18" t="s">
        <v>316</v>
      </c>
    </row>
    <row r="40499">
      <c r="A40499" s="17"/>
      <c r="H40499" s="18"/>
      <c r="K40499" s="18" t="s">
        <v>316</v>
      </c>
    </row>
    <row r="40500">
      <c r="A40500" s="17"/>
      <c r="H40500" s="18"/>
      <c r="K40500" s="18" t="s">
        <v>316</v>
      </c>
    </row>
    <row r="40501">
      <c r="A40501" s="17"/>
      <c r="H40501" s="18"/>
      <c r="K40501" s="18" t="s">
        <v>316</v>
      </c>
    </row>
    <row r="40502">
      <c r="A40502" s="17"/>
      <c r="H40502" s="18"/>
      <c r="K40502" s="18" t="s">
        <v>316</v>
      </c>
    </row>
    <row r="40503">
      <c r="A40503" s="17"/>
      <c r="H40503" s="18"/>
      <c r="K40503" s="18" t="s">
        <v>316</v>
      </c>
    </row>
    <row r="40504">
      <c r="A40504" s="17"/>
      <c r="H40504" s="18"/>
      <c r="K40504" s="18" t="s">
        <v>316</v>
      </c>
    </row>
    <row r="40505">
      <c r="A40505" s="17"/>
      <c r="H40505" s="18"/>
      <c r="K40505" s="18" t="s">
        <v>316</v>
      </c>
    </row>
    <row r="40506">
      <c r="A40506" s="17"/>
      <c r="H40506" s="18"/>
      <c r="K40506" s="18" t="s">
        <v>316</v>
      </c>
    </row>
    <row r="40507">
      <c r="A40507" s="17"/>
      <c r="H40507" s="18"/>
      <c r="K40507" s="18" t="s">
        <v>316</v>
      </c>
    </row>
    <row r="40508">
      <c r="A40508" s="17"/>
      <c r="H40508" s="18"/>
      <c r="K40508" s="18" t="s">
        <v>316</v>
      </c>
    </row>
    <row r="40509">
      <c r="A40509" s="17"/>
      <c r="H40509" s="18"/>
      <c r="K40509" s="18" t="s">
        <v>316</v>
      </c>
    </row>
    <row r="40510">
      <c r="A40510" s="17"/>
      <c r="H40510" s="18"/>
      <c r="K40510" s="18" t="s">
        <v>316</v>
      </c>
    </row>
    <row r="40511">
      <c r="A40511" s="17"/>
      <c r="H40511" s="18"/>
      <c r="K40511" s="18" t="s">
        <v>316</v>
      </c>
    </row>
    <row r="40512">
      <c r="A40512" s="17"/>
      <c r="H40512" s="18"/>
      <c r="K40512" s="18" t="s">
        <v>316</v>
      </c>
    </row>
    <row r="40513">
      <c r="A40513" s="17"/>
      <c r="H40513" s="18"/>
      <c r="K40513" s="18" t="s">
        <v>316</v>
      </c>
    </row>
    <row r="40514">
      <c r="A40514" s="17"/>
      <c r="H40514" s="18"/>
      <c r="K40514" s="18" t="s">
        <v>316</v>
      </c>
    </row>
    <row r="40515">
      <c r="A40515" s="17"/>
      <c r="H40515" s="18"/>
      <c r="K40515" s="18" t="s">
        <v>316</v>
      </c>
    </row>
    <row r="40516">
      <c r="A40516" s="17"/>
      <c r="H40516" s="18"/>
      <c r="K40516" s="18" t="s">
        <v>316</v>
      </c>
    </row>
    <row r="40517">
      <c r="A40517" s="17"/>
      <c r="H40517" s="18"/>
      <c r="K40517" s="18" t="s">
        <v>316</v>
      </c>
    </row>
    <row r="40518">
      <c r="A40518" s="17"/>
      <c r="H40518" s="18"/>
      <c r="K40518" s="18" t="s">
        <v>316</v>
      </c>
    </row>
    <row r="40519">
      <c r="A40519" s="17"/>
      <c r="H40519" s="18"/>
      <c r="K40519" s="18" t="s">
        <v>316</v>
      </c>
    </row>
    <row r="40520">
      <c r="A40520" s="17"/>
      <c r="H40520" s="18"/>
      <c r="K40520" s="18" t="s">
        <v>316</v>
      </c>
    </row>
    <row r="40521">
      <c r="A40521" s="17"/>
      <c r="H40521" s="18"/>
      <c r="K40521" s="18" t="s">
        <v>316</v>
      </c>
    </row>
    <row r="40522">
      <c r="A40522" s="17"/>
      <c r="H40522" s="18"/>
      <c r="K40522" s="18" t="s">
        <v>316</v>
      </c>
    </row>
    <row r="40523">
      <c r="A40523" s="17"/>
      <c r="H40523" s="18"/>
      <c r="K40523" s="18" t="s">
        <v>316</v>
      </c>
    </row>
    <row r="40524">
      <c r="A40524" s="17"/>
      <c r="H40524" s="18"/>
      <c r="K40524" s="18" t="s">
        <v>316</v>
      </c>
    </row>
    <row r="40525">
      <c r="A40525" s="17"/>
      <c r="H40525" s="18"/>
      <c r="K40525" s="18" t="s">
        <v>316</v>
      </c>
    </row>
    <row r="40526">
      <c r="A40526" s="17"/>
      <c r="H40526" s="18"/>
      <c r="K40526" s="18" t="s">
        <v>316</v>
      </c>
    </row>
    <row r="40527">
      <c r="A40527" s="17"/>
      <c r="H40527" s="18"/>
      <c r="K40527" s="18" t="s">
        <v>316</v>
      </c>
    </row>
    <row r="40528">
      <c r="A40528" s="17"/>
      <c r="H40528" s="18"/>
      <c r="K40528" s="18" t="s">
        <v>316</v>
      </c>
    </row>
    <row r="40529">
      <c r="A40529" s="17"/>
      <c r="H40529" s="18"/>
      <c r="K40529" s="18" t="s">
        <v>316</v>
      </c>
    </row>
    <row r="40530">
      <c r="A40530" s="17"/>
      <c r="H40530" s="18"/>
      <c r="K40530" s="18" t="s">
        <v>316</v>
      </c>
    </row>
    <row r="40531">
      <c r="A40531" s="17"/>
      <c r="H40531" s="18"/>
      <c r="K40531" s="18" t="s">
        <v>316</v>
      </c>
    </row>
    <row r="40532">
      <c r="A40532" s="17"/>
      <c r="H40532" s="18"/>
      <c r="K40532" s="18" t="s">
        <v>316</v>
      </c>
    </row>
    <row r="40533">
      <c r="A40533" s="17"/>
      <c r="H40533" s="18"/>
      <c r="K40533" s="18" t="s">
        <v>316</v>
      </c>
    </row>
    <row r="40534">
      <c r="A40534" s="17"/>
      <c r="H40534" s="18"/>
      <c r="K40534" s="18" t="s">
        <v>316</v>
      </c>
    </row>
    <row r="40535">
      <c r="A40535" s="17"/>
      <c r="H40535" s="18"/>
      <c r="K40535" s="18" t="s">
        <v>316</v>
      </c>
    </row>
    <row r="40536">
      <c r="A40536" s="17"/>
      <c r="H40536" s="18"/>
      <c r="K40536" s="18" t="s">
        <v>316</v>
      </c>
    </row>
    <row r="40537">
      <c r="A40537" s="17"/>
      <c r="H40537" s="18"/>
      <c r="K40537" s="18" t="s">
        <v>316</v>
      </c>
    </row>
    <row r="40538">
      <c r="A40538" s="17"/>
      <c r="H40538" s="18"/>
      <c r="K40538" s="18" t="s">
        <v>316</v>
      </c>
    </row>
    <row r="40539">
      <c r="A40539" s="17"/>
      <c r="H40539" s="18"/>
      <c r="K40539" s="18" t="s">
        <v>316</v>
      </c>
    </row>
    <row r="40540">
      <c r="A40540" s="17"/>
      <c r="H40540" s="18"/>
      <c r="K40540" s="18" t="s">
        <v>316</v>
      </c>
    </row>
    <row r="40541">
      <c r="A40541" s="17"/>
      <c r="H40541" s="18"/>
      <c r="K40541" s="18" t="s">
        <v>316</v>
      </c>
    </row>
    <row r="40542">
      <c r="A40542" s="17"/>
      <c r="H40542" s="18"/>
      <c r="K40542" s="18" t="s">
        <v>316</v>
      </c>
    </row>
    <row r="40543">
      <c r="A40543" s="17"/>
      <c r="H40543" s="18"/>
      <c r="K40543" s="18" t="s">
        <v>316</v>
      </c>
    </row>
    <row r="40544">
      <c r="A40544" s="17"/>
      <c r="H40544" s="18"/>
      <c r="K40544" s="18" t="s">
        <v>316</v>
      </c>
    </row>
    <row r="40545">
      <c r="A40545" s="17"/>
      <c r="H40545" s="18"/>
      <c r="K40545" s="18" t="s">
        <v>316</v>
      </c>
    </row>
    <row r="40546">
      <c r="A40546" s="17"/>
      <c r="H40546" s="18"/>
      <c r="K40546" s="18" t="s">
        <v>316</v>
      </c>
    </row>
    <row r="40547">
      <c r="A40547" s="17"/>
      <c r="H40547" s="18"/>
      <c r="K40547" s="18" t="s">
        <v>316</v>
      </c>
    </row>
    <row r="40548">
      <c r="A40548" s="17"/>
      <c r="H40548" s="18"/>
      <c r="K40548" s="18" t="s">
        <v>316</v>
      </c>
    </row>
    <row r="40549">
      <c r="A40549" s="17"/>
      <c r="H40549" s="18"/>
      <c r="K40549" s="18" t="s">
        <v>316</v>
      </c>
    </row>
    <row r="40550">
      <c r="A40550" s="17"/>
      <c r="H40550" s="18"/>
      <c r="K40550" s="18" t="s">
        <v>316</v>
      </c>
    </row>
    <row r="40551">
      <c r="A40551" s="17"/>
      <c r="H40551" s="18"/>
      <c r="K40551" s="18" t="s">
        <v>316</v>
      </c>
    </row>
    <row r="40552">
      <c r="A40552" s="17"/>
      <c r="H40552" s="18"/>
      <c r="K40552" s="18" t="s">
        <v>316</v>
      </c>
    </row>
    <row r="40553">
      <c r="A40553" s="17"/>
      <c r="H40553" s="18"/>
      <c r="K40553" s="18" t="s">
        <v>316</v>
      </c>
    </row>
    <row r="40554">
      <c r="A40554" s="17"/>
      <c r="H40554" s="18"/>
      <c r="K40554" s="18" t="s">
        <v>316</v>
      </c>
    </row>
    <row r="40555">
      <c r="A40555" s="17"/>
      <c r="H40555" s="18"/>
      <c r="K40555" s="18" t="s">
        <v>316</v>
      </c>
    </row>
    <row r="40556">
      <c r="A40556" s="17"/>
      <c r="H40556" s="18"/>
      <c r="K40556" s="18" t="s">
        <v>316</v>
      </c>
    </row>
    <row r="40557">
      <c r="A40557" s="17"/>
      <c r="H40557" s="18"/>
      <c r="K40557" s="18" t="s">
        <v>316</v>
      </c>
    </row>
    <row r="40558">
      <c r="A40558" s="17"/>
      <c r="H40558" s="18"/>
      <c r="K40558" s="18" t="s">
        <v>316</v>
      </c>
    </row>
    <row r="40559">
      <c r="A40559" s="17"/>
      <c r="H40559" s="18"/>
      <c r="K40559" s="18" t="s">
        <v>316</v>
      </c>
    </row>
    <row r="40560">
      <c r="A40560" s="17"/>
      <c r="H40560" s="18"/>
      <c r="K40560" s="18" t="s">
        <v>316</v>
      </c>
    </row>
    <row r="40561">
      <c r="A40561" s="17"/>
      <c r="H40561" s="18"/>
      <c r="K40561" s="18" t="s">
        <v>316</v>
      </c>
    </row>
    <row r="40562">
      <c r="A40562" s="17"/>
      <c r="H40562" s="18"/>
      <c r="K40562" s="18" t="s">
        <v>316</v>
      </c>
    </row>
    <row r="40563">
      <c r="A40563" s="17"/>
      <c r="H40563" s="18"/>
      <c r="K40563" s="18" t="s">
        <v>316</v>
      </c>
    </row>
    <row r="40564">
      <c r="A40564" s="17"/>
      <c r="H40564" s="18"/>
      <c r="K40564" s="18" t="s">
        <v>316</v>
      </c>
    </row>
    <row r="40565">
      <c r="A40565" s="17"/>
      <c r="H40565" s="18"/>
      <c r="K40565" s="18" t="s">
        <v>316</v>
      </c>
    </row>
    <row r="40566">
      <c r="A40566" s="17"/>
      <c r="H40566" s="18"/>
      <c r="K40566" s="18" t="s">
        <v>316</v>
      </c>
    </row>
    <row r="40567">
      <c r="A40567" s="17"/>
      <c r="H40567" s="18"/>
      <c r="K40567" s="18" t="s">
        <v>316</v>
      </c>
    </row>
    <row r="40568">
      <c r="A40568" s="17"/>
      <c r="H40568" s="18"/>
      <c r="K40568" s="18" t="s">
        <v>316</v>
      </c>
    </row>
    <row r="40569">
      <c r="A40569" s="17"/>
      <c r="H40569" s="18"/>
      <c r="K40569" s="18" t="s">
        <v>316</v>
      </c>
    </row>
    <row r="40570">
      <c r="A40570" s="17"/>
      <c r="H40570" s="18"/>
      <c r="K40570" s="18" t="s">
        <v>316</v>
      </c>
    </row>
    <row r="40571">
      <c r="A40571" s="17"/>
      <c r="H40571" s="18"/>
      <c r="K40571" s="18" t="s">
        <v>316</v>
      </c>
    </row>
    <row r="40572">
      <c r="A40572" s="17"/>
      <c r="H40572" s="18"/>
      <c r="K40572" s="18" t="s">
        <v>316</v>
      </c>
    </row>
    <row r="40573">
      <c r="A40573" s="17"/>
      <c r="H40573" s="18"/>
      <c r="K40573" s="18" t="s">
        <v>316</v>
      </c>
    </row>
    <row r="40574">
      <c r="A40574" s="17"/>
      <c r="H40574" s="18"/>
      <c r="K40574" s="18" t="s">
        <v>316</v>
      </c>
    </row>
    <row r="40575">
      <c r="A40575" s="17"/>
      <c r="H40575" s="18"/>
      <c r="K40575" s="18" t="s">
        <v>316</v>
      </c>
    </row>
    <row r="40576">
      <c r="A40576" s="17"/>
      <c r="H40576" s="18"/>
      <c r="K40576" s="18" t="s">
        <v>316</v>
      </c>
    </row>
    <row r="40577">
      <c r="A40577" s="17"/>
      <c r="H40577" s="18"/>
      <c r="K40577" s="18" t="s">
        <v>316</v>
      </c>
    </row>
    <row r="40578">
      <c r="A40578" s="17"/>
      <c r="H40578" s="18"/>
      <c r="K40578" s="18" t="s">
        <v>316</v>
      </c>
    </row>
    <row r="40579">
      <c r="A40579" s="17"/>
      <c r="H40579" s="18"/>
      <c r="K40579" s="18" t="s">
        <v>316</v>
      </c>
    </row>
    <row r="40580">
      <c r="A40580" s="17"/>
      <c r="H40580" s="18"/>
      <c r="K40580" s="18" t="s">
        <v>316</v>
      </c>
    </row>
    <row r="40581">
      <c r="A40581" s="17"/>
      <c r="H40581" s="18"/>
      <c r="K40581" s="18" t="s">
        <v>316</v>
      </c>
    </row>
    <row r="40582">
      <c r="A40582" s="17"/>
      <c r="H40582" s="18"/>
      <c r="K40582" s="18" t="s">
        <v>316</v>
      </c>
    </row>
    <row r="40583">
      <c r="A40583" s="17"/>
      <c r="H40583" s="18"/>
      <c r="K40583" s="18" t="s">
        <v>316</v>
      </c>
    </row>
    <row r="40584">
      <c r="A40584" s="17"/>
      <c r="H40584" s="18"/>
      <c r="K40584" s="18" t="s">
        <v>316</v>
      </c>
    </row>
    <row r="40585">
      <c r="A40585" s="17"/>
      <c r="H40585" s="18"/>
      <c r="K40585" s="18" t="s">
        <v>316</v>
      </c>
    </row>
    <row r="40586">
      <c r="A40586" s="17"/>
      <c r="H40586" s="18"/>
      <c r="K40586" s="18" t="s">
        <v>316</v>
      </c>
    </row>
    <row r="40587">
      <c r="A40587" s="17"/>
      <c r="H40587" s="18"/>
      <c r="K40587" s="18" t="s">
        <v>316</v>
      </c>
    </row>
    <row r="40588">
      <c r="A40588" s="17"/>
      <c r="H40588" s="18"/>
      <c r="K40588" s="18" t="s">
        <v>316</v>
      </c>
    </row>
    <row r="40589">
      <c r="A40589" s="17"/>
      <c r="H40589" s="18"/>
      <c r="K40589" s="18" t="s">
        <v>316</v>
      </c>
    </row>
    <row r="40590">
      <c r="A40590" s="17"/>
      <c r="H40590" s="18"/>
      <c r="K40590" s="18" t="s">
        <v>316</v>
      </c>
    </row>
    <row r="40591">
      <c r="A40591" s="17"/>
      <c r="H40591" s="18"/>
      <c r="K40591" s="18" t="s">
        <v>316</v>
      </c>
    </row>
    <row r="40592">
      <c r="A40592" s="17"/>
      <c r="H40592" s="18"/>
      <c r="K40592" s="18" t="s">
        <v>316</v>
      </c>
    </row>
    <row r="40593">
      <c r="A40593" s="17"/>
      <c r="H40593" s="18"/>
      <c r="K40593" s="18" t="s">
        <v>316</v>
      </c>
    </row>
    <row r="40594">
      <c r="A40594" s="17"/>
      <c r="H40594" s="18"/>
      <c r="K40594" s="18" t="s">
        <v>316</v>
      </c>
    </row>
    <row r="40595">
      <c r="A40595" s="17"/>
      <c r="H40595" s="18"/>
      <c r="K40595" s="18" t="s">
        <v>316</v>
      </c>
    </row>
    <row r="40596">
      <c r="A40596" s="17"/>
      <c r="H40596" s="18"/>
      <c r="K40596" s="18" t="s">
        <v>316</v>
      </c>
    </row>
    <row r="40597">
      <c r="A40597" s="17"/>
      <c r="H40597" s="18"/>
      <c r="K40597" s="18" t="s">
        <v>316</v>
      </c>
    </row>
    <row r="40598">
      <c r="A40598" s="17"/>
      <c r="H40598" s="18"/>
      <c r="K40598" s="18" t="s">
        <v>316</v>
      </c>
    </row>
    <row r="40599">
      <c r="A40599" s="17"/>
      <c r="H40599" s="18"/>
      <c r="K40599" s="18" t="s">
        <v>316</v>
      </c>
    </row>
    <row r="40600">
      <c r="A40600" s="17"/>
      <c r="H40600" s="18"/>
      <c r="K40600" s="18" t="s">
        <v>316</v>
      </c>
    </row>
    <row r="40601">
      <c r="A40601" s="17"/>
      <c r="H40601" s="18"/>
      <c r="K40601" s="18" t="s">
        <v>316</v>
      </c>
    </row>
    <row r="40602">
      <c r="A40602" s="17"/>
      <c r="H40602" s="18"/>
      <c r="K40602" s="18" t="s">
        <v>316</v>
      </c>
    </row>
    <row r="40603">
      <c r="A40603" s="17"/>
      <c r="H40603" s="18"/>
      <c r="K40603" s="18" t="s">
        <v>316</v>
      </c>
    </row>
    <row r="40604">
      <c r="A40604" s="17"/>
      <c r="H40604" s="18"/>
      <c r="K40604" s="18" t="s">
        <v>316</v>
      </c>
    </row>
    <row r="40605">
      <c r="A40605" s="17"/>
      <c r="H40605" s="18"/>
      <c r="K40605" s="18" t="s">
        <v>316</v>
      </c>
    </row>
    <row r="40606">
      <c r="A40606" s="17"/>
      <c r="H40606" s="18"/>
      <c r="K40606" s="18" t="s">
        <v>316</v>
      </c>
    </row>
    <row r="40607">
      <c r="A40607" s="17"/>
      <c r="H40607" s="18"/>
      <c r="K40607" s="18" t="s">
        <v>316</v>
      </c>
    </row>
    <row r="40608">
      <c r="A40608" s="17"/>
      <c r="H40608" s="18"/>
      <c r="K40608" s="18" t="s">
        <v>316</v>
      </c>
    </row>
    <row r="40609">
      <c r="A40609" s="17"/>
      <c r="H40609" s="18"/>
      <c r="K40609" s="18" t="s">
        <v>316</v>
      </c>
    </row>
    <row r="40610">
      <c r="A40610" s="17"/>
      <c r="H40610" s="18"/>
      <c r="K40610" s="18" t="s">
        <v>316</v>
      </c>
    </row>
    <row r="40611">
      <c r="A40611" s="17"/>
      <c r="H40611" s="18"/>
      <c r="K40611" s="18" t="s">
        <v>316</v>
      </c>
    </row>
    <row r="40612">
      <c r="A40612" s="17"/>
      <c r="H40612" s="18"/>
      <c r="K40612" s="18" t="s">
        <v>316</v>
      </c>
    </row>
    <row r="40613">
      <c r="A40613" s="17"/>
      <c r="H40613" s="18"/>
      <c r="K40613" s="18" t="s">
        <v>316</v>
      </c>
    </row>
    <row r="40614">
      <c r="A40614" s="17"/>
      <c r="H40614" s="18"/>
      <c r="K40614" s="18" t="s">
        <v>316</v>
      </c>
    </row>
    <row r="40615">
      <c r="A40615" s="17"/>
      <c r="H40615" s="18"/>
      <c r="K40615" s="18" t="s">
        <v>316</v>
      </c>
    </row>
    <row r="40616">
      <c r="A40616" s="17"/>
      <c r="H40616" s="18"/>
      <c r="K40616" s="18" t="s">
        <v>316</v>
      </c>
    </row>
    <row r="40617">
      <c r="A40617" s="17"/>
      <c r="H40617" s="18"/>
      <c r="K40617" s="18" t="s">
        <v>316</v>
      </c>
    </row>
    <row r="40618">
      <c r="A40618" s="17"/>
      <c r="H40618" s="18"/>
      <c r="K40618" s="18" t="s">
        <v>316</v>
      </c>
    </row>
    <row r="40619">
      <c r="A40619" s="17"/>
      <c r="H40619" s="18"/>
      <c r="K40619" s="18" t="s">
        <v>316</v>
      </c>
    </row>
    <row r="40620">
      <c r="A40620" s="17"/>
      <c r="H40620" s="18"/>
      <c r="K40620" s="18" t="s">
        <v>316</v>
      </c>
    </row>
    <row r="40621">
      <c r="A40621" s="17"/>
      <c r="H40621" s="18"/>
      <c r="K40621" s="18" t="s">
        <v>316</v>
      </c>
    </row>
    <row r="40622">
      <c r="A40622" s="17"/>
      <c r="H40622" s="18"/>
      <c r="K40622" s="18" t="s">
        <v>316</v>
      </c>
    </row>
    <row r="40623">
      <c r="A40623" s="17"/>
      <c r="H40623" s="18"/>
      <c r="K40623" s="18" t="s">
        <v>316</v>
      </c>
    </row>
    <row r="40624">
      <c r="A40624" s="17"/>
      <c r="H40624" s="18"/>
      <c r="K40624" s="18" t="s">
        <v>316</v>
      </c>
    </row>
    <row r="40625">
      <c r="A40625" s="17"/>
      <c r="H40625" s="18"/>
      <c r="K40625" s="18" t="s">
        <v>316</v>
      </c>
    </row>
    <row r="40626">
      <c r="A40626" s="17"/>
      <c r="H40626" s="18"/>
      <c r="K40626" s="18" t="s">
        <v>316</v>
      </c>
    </row>
    <row r="40627">
      <c r="A40627" s="17"/>
      <c r="H40627" s="18"/>
      <c r="K40627" s="18" t="s">
        <v>316</v>
      </c>
    </row>
    <row r="40628">
      <c r="A40628" s="17"/>
      <c r="H40628" s="18"/>
      <c r="K40628" s="18" t="s">
        <v>316</v>
      </c>
    </row>
    <row r="40629">
      <c r="A40629" s="17"/>
      <c r="H40629" s="18"/>
      <c r="K40629" s="18" t="s">
        <v>316</v>
      </c>
    </row>
    <row r="40630">
      <c r="A40630" s="17"/>
      <c r="H40630" s="18"/>
      <c r="K40630" s="18" t="s">
        <v>316</v>
      </c>
    </row>
    <row r="40631">
      <c r="A40631" s="17"/>
      <c r="H40631" s="18"/>
      <c r="K40631" s="18" t="s">
        <v>316</v>
      </c>
    </row>
    <row r="40632">
      <c r="A40632" s="17"/>
      <c r="H40632" s="18"/>
      <c r="K40632" s="18" t="s">
        <v>316</v>
      </c>
    </row>
    <row r="40633">
      <c r="A40633" s="17"/>
      <c r="H40633" s="18"/>
      <c r="K40633" s="18" t="s">
        <v>316</v>
      </c>
    </row>
    <row r="40634">
      <c r="A40634" s="17"/>
      <c r="H40634" s="18"/>
      <c r="K40634" s="18" t="s">
        <v>316</v>
      </c>
    </row>
    <row r="40635">
      <c r="A40635" s="17"/>
      <c r="H40635" s="18"/>
      <c r="K40635" s="18" t="s">
        <v>316</v>
      </c>
    </row>
    <row r="40636">
      <c r="A40636" s="17"/>
      <c r="H40636" s="18"/>
      <c r="K40636" s="18" t="s">
        <v>316</v>
      </c>
    </row>
    <row r="40637">
      <c r="A40637" s="17"/>
      <c r="H40637" s="18"/>
      <c r="K40637" s="18" t="s">
        <v>316</v>
      </c>
    </row>
    <row r="40638">
      <c r="A40638" s="17"/>
      <c r="H40638" s="18"/>
      <c r="K40638" s="18" t="s">
        <v>316</v>
      </c>
    </row>
    <row r="40639">
      <c r="A40639" s="17"/>
      <c r="H40639" s="18"/>
      <c r="K40639" s="18" t="s">
        <v>316</v>
      </c>
    </row>
    <row r="40640">
      <c r="A40640" s="17"/>
      <c r="H40640" s="18"/>
      <c r="K40640" s="18" t="s">
        <v>316</v>
      </c>
    </row>
    <row r="40641">
      <c r="A40641" s="17"/>
      <c r="H40641" s="18"/>
      <c r="K40641" s="18" t="s">
        <v>316</v>
      </c>
    </row>
    <row r="40642">
      <c r="A40642" s="17"/>
      <c r="H40642" s="18"/>
      <c r="K40642" s="18" t="s">
        <v>316</v>
      </c>
    </row>
    <row r="40643">
      <c r="A40643" s="17"/>
      <c r="H40643" s="18"/>
      <c r="K40643" s="18" t="s">
        <v>316</v>
      </c>
    </row>
    <row r="40644">
      <c r="A40644" s="17"/>
      <c r="H40644" s="18"/>
      <c r="K40644" s="18" t="s">
        <v>316</v>
      </c>
    </row>
    <row r="40645">
      <c r="A40645" s="17"/>
      <c r="H40645" s="18"/>
      <c r="K40645" s="18" t="s">
        <v>316</v>
      </c>
    </row>
    <row r="40646">
      <c r="A40646" s="17"/>
      <c r="H40646" s="18"/>
      <c r="K40646" s="18" t="s">
        <v>316</v>
      </c>
    </row>
    <row r="40647">
      <c r="A40647" s="17"/>
      <c r="H40647" s="18"/>
      <c r="K40647" s="18" t="s">
        <v>316</v>
      </c>
    </row>
    <row r="40648">
      <c r="A40648" s="17"/>
      <c r="H40648" s="18"/>
      <c r="K40648" s="18" t="s">
        <v>316</v>
      </c>
    </row>
    <row r="40649">
      <c r="A40649" s="17"/>
      <c r="H40649" s="18"/>
      <c r="K40649" s="18" t="s">
        <v>316</v>
      </c>
    </row>
    <row r="40650">
      <c r="A40650" s="17"/>
      <c r="H40650" s="18"/>
      <c r="K40650" s="18" t="s">
        <v>316</v>
      </c>
    </row>
    <row r="40651">
      <c r="A40651" s="17"/>
      <c r="H40651" s="18"/>
      <c r="K40651" s="18" t="s">
        <v>316</v>
      </c>
    </row>
    <row r="40652">
      <c r="A40652" s="17"/>
      <c r="H40652" s="18"/>
      <c r="K40652" s="18" t="s">
        <v>316</v>
      </c>
    </row>
    <row r="40653">
      <c r="A40653" s="17"/>
      <c r="H40653" s="18"/>
      <c r="K40653" s="18" t="s">
        <v>316</v>
      </c>
    </row>
    <row r="40654">
      <c r="A40654" s="17"/>
      <c r="H40654" s="18"/>
      <c r="K40654" s="18" t="s">
        <v>316</v>
      </c>
    </row>
    <row r="40655">
      <c r="A40655" s="17"/>
      <c r="H40655" s="18"/>
      <c r="K40655" s="18" t="s">
        <v>316</v>
      </c>
    </row>
    <row r="40656">
      <c r="A40656" s="17"/>
      <c r="H40656" s="18"/>
      <c r="K40656" s="18" t="s">
        <v>316</v>
      </c>
    </row>
    <row r="40657">
      <c r="A40657" s="17"/>
      <c r="H40657" s="18"/>
      <c r="K40657" s="18" t="s">
        <v>316</v>
      </c>
    </row>
    <row r="40658">
      <c r="A40658" s="17"/>
      <c r="H40658" s="18"/>
      <c r="K40658" s="18" t="s">
        <v>316</v>
      </c>
    </row>
    <row r="40659">
      <c r="A40659" s="17"/>
      <c r="H40659" s="18"/>
      <c r="K40659" s="18" t="s">
        <v>316</v>
      </c>
    </row>
    <row r="40660">
      <c r="A40660" s="17"/>
      <c r="H40660" s="18"/>
      <c r="K40660" s="18" t="s">
        <v>316</v>
      </c>
    </row>
    <row r="40661">
      <c r="A40661" s="17"/>
      <c r="H40661" s="18"/>
      <c r="K40661" s="18" t="s">
        <v>316</v>
      </c>
    </row>
    <row r="40662">
      <c r="A40662" s="17"/>
      <c r="H40662" s="18"/>
      <c r="K40662" s="18" t="s">
        <v>316</v>
      </c>
    </row>
    <row r="40663">
      <c r="A40663" s="17"/>
      <c r="H40663" s="18"/>
      <c r="K40663" s="18" t="s">
        <v>316</v>
      </c>
    </row>
    <row r="40664">
      <c r="A40664" s="17"/>
      <c r="H40664" s="18"/>
      <c r="K40664" s="18" t="s">
        <v>316</v>
      </c>
    </row>
    <row r="40665">
      <c r="A40665" s="17"/>
      <c r="H40665" s="18"/>
      <c r="K40665" s="18" t="s">
        <v>316</v>
      </c>
    </row>
    <row r="40666">
      <c r="A40666" s="17"/>
      <c r="H40666" s="18"/>
      <c r="K40666" s="18" t="s">
        <v>316</v>
      </c>
    </row>
    <row r="40667">
      <c r="A40667" s="17"/>
      <c r="H40667" s="18"/>
      <c r="K40667" s="18" t="s">
        <v>316</v>
      </c>
    </row>
    <row r="40668">
      <c r="A40668" s="17"/>
      <c r="H40668" s="18"/>
      <c r="K40668" s="18" t="s">
        <v>316</v>
      </c>
    </row>
    <row r="40669">
      <c r="A40669" s="17"/>
      <c r="H40669" s="18"/>
      <c r="K40669" s="18" t="s">
        <v>316</v>
      </c>
    </row>
    <row r="40670">
      <c r="A40670" s="17"/>
      <c r="H40670" s="18"/>
      <c r="K40670" s="18" t="s">
        <v>316</v>
      </c>
    </row>
    <row r="40671">
      <c r="A40671" s="17"/>
      <c r="H40671" s="18"/>
      <c r="K40671" s="18" t="s">
        <v>316</v>
      </c>
    </row>
    <row r="40672">
      <c r="A40672" s="17"/>
      <c r="H40672" s="18"/>
      <c r="K40672" s="18" t="s">
        <v>316</v>
      </c>
    </row>
    <row r="40673">
      <c r="A40673" s="17"/>
      <c r="H40673" s="18"/>
      <c r="K40673" s="18" t="s">
        <v>316</v>
      </c>
    </row>
    <row r="40674">
      <c r="A40674" s="17"/>
      <c r="H40674" s="18"/>
      <c r="K40674" s="18" t="s">
        <v>316</v>
      </c>
    </row>
    <row r="40675">
      <c r="A40675" s="17"/>
      <c r="H40675" s="18"/>
      <c r="K40675" s="18" t="s">
        <v>316</v>
      </c>
    </row>
    <row r="40676">
      <c r="A40676" s="17"/>
      <c r="H40676" s="18"/>
      <c r="K40676" s="18" t="s">
        <v>316</v>
      </c>
    </row>
    <row r="40677">
      <c r="A40677" s="17"/>
      <c r="H40677" s="18"/>
      <c r="K40677" s="18" t="s">
        <v>316</v>
      </c>
    </row>
    <row r="40678">
      <c r="A40678" s="17"/>
      <c r="H40678" s="18"/>
      <c r="K40678" s="18" t="s">
        <v>316</v>
      </c>
    </row>
    <row r="40679">
      <c r="A40679" s="17"/>
      <c r="H40679" s="18"/>
      <c r="K40679" s="18" t="s">
        <v>316</v>
      </c>
    </row>
    <row r="40680">
      <c r="A40680" s="17"/>
      <c r="H40680" s="18"/>
      <c r="K40680" s="18" t="s">
        <v>316</v>
      </c>
    </row>
    <row r="40681">
      <c r="A40681" s="17"/>
      <c r="H40681" s="18"/>
      <c r="K40681" s="18" t="s">
        <v>316</v>
      </c>
    </row>
    <row r="40682">
      <c r="A40682" s="17"/>
      <c r="H40682" s="18"/>
      <c r="K40682" s="18" t="s">
        <v>316</v>
      </c>
    </row>
    <row r="40683">
      <c r="A40683" s="17"/>
      <c r="H40683" s="18"/>
      <c r="K40683" s="18" t="s">
        <v>316</v>
      </c>
    </row>
    <row r="40684">
      <c r="A40684" s="17"/>
      <c r="H40684" s="18"/>
      <c r="K40684" s="18" t="s">
        <v>316</v>
      </c>
    </row>
    <row r="40685">
      <c r="A40685" s="17"/>
      <c r="H40685" s="18"/>
      <c r="K40685" s="18" t="s">
        <v>316</v>
      </c>
    </row>
    <row r="40686">
      <c r="A40686" s="17"/>
      <c r="H40686" s="18"/>
      <c r="K40686" s="18" t="s">
        <v>316</v>
      </c>
    </row>
    <row r="40687">
      <c r="A40687" s="17"/>
      <c r="H40687" s="18"/>
      <c r="K40687" s="18" t="s">
        <v>316</v>
      </c>
    </row>
    <row r="40688">
      <c r="A40688" s="17"/>
      <c r="H40688" s="18"/>
      <c r="K40688" s="18" t="s">
        <v>316</v>
      </c>
    </row>
    <row r="40689">
      <c r="A40689" s="17"/>
      <c r="H40689" s="18"/>
      <c r="K40689" s="18" t="s">
        <v>316</v>
      </c>
    </row>
    <row r="40690">
      <c r="A40690" s="17"/>
      <c r="H40690" s="18"/>
      <c r="K40690" s="18" t="s">
        <v>316</v>
      </c>
    </row>
    <row r="40691">
      <c r="A40691" s="17"/>
      <c r="H40691" s="18"/>
      <c r="K40691" s="18" t="s">
        <v>316</v>
      </c>
    </row>
    <row r="40692">
      <c r="A40692" s="17"/>
      <c r="H40692" s="18"/>
      <c r="K40692" s="18" t="s">
        <v>316</v>
      </c>
    </row>
    <row r="40693">
      <c r="A40693" s="17"/>
      <c r="H40693" s="18"/>
      <c r="K40693" s="18" t="s">
        <v>316</v>
      </c>
    </row>
    <row r="40694">
      <c r="A40694" s="17"/>
      <c r="H40694" s="18"/>
      <c r="K40694" s="18" t="s">
        <v>316</v>
      </c>
    </row>
    <row r="40695">
      <c r="A40695" s="17"/>
      <c r="H40695" s="18"/>
      <c r="K40695" s="18" t="s">
        <v>316</v>
      </c>
    </row>
    <row r="40696">
      <c r="A40696" s="17"/>
      <c r="H40696" s="18"/>
      <c r="K40696" s="18" t="s">
        <v>316</v>
      </c>
    </row>
    <row r="40697">
      <c r="A40697" s="17"/>
      <c r="H40697" s="18"/>
      <c r="K40697" s="18" t="s">
        <v>316</v>
      </c>
    </row>
    <row r="40698">
      <c r="A40698" s="17"/>
      <c r="H40698" s="18"/>
      <c r="K40698" s="18" t="s">
        <v>316</v>
      </c>
    </row>
    <row r="40699">
      <c r="A40699" s="17"/>
      <c r="H40699" s="18"/>
      <c r="K40699" s="18" t="s">
        <v>316</v>
      </c>
    </row>
    <row r="40700">
      <c r="A40700" s="17"/>
      <c r="H40700" s="18"/>
      <c r="K40700" s="18" t="s">
        <v>316</v>
      </c>
    </row>
    <row r="40701">
      <c r="A40701" s="17"/>
      <c r="H40701" s="18"/>
      <c r="K40701" s="18" t="s">
        <v>316</v>
      </c>
    </row>
    <row r="40702">
      <c r="A40702" s="17"/>
      <c r="H40702" s="18"/>
      <c r="K40702" s="18" t="s">
        <v>316</v>
      </c>
    </row>
    <row r="40703">
      <c r="A40703" s="17"/>
      <c r="H40703" s="18"/>
      <c r="K40703" s="18" t="s">
        <v>316</v>
      </c>
    </row>
    <row r="40704">
      <c r="A40704" s="17"/>
      <c r="H40704" s="18"/>
      <c r="K40704" s="18" t="s">
        <v>316</v>
      </c>
    </row>
    <row r="40705">
      <c r="A40705" s="17"/>
      <c r="H40705" s="18"/>
      <c r="K40705" s="18" t="s">
        <v>316</v>
      </c>
    </row>
    <row r="40706">
      <c r="A40706" s="17"/>
      <c r="H40706" s="18"/>
      <c r="K40706" s="18" t="s">
        <v>316</v>
      </c>
    </row>
    <row r="40707">
      <c r="A40707" s="17"/>
      <c r="H40707" s="18"/>
      <c r="K40707" s="18" t="s">
        <v>316</v>
      </c>
    </row>
    <row r="40708">
      <c r="A40708" s="17"/>
      <c r="H40708" s="18"/>
      <c r="K40708" s="18" t="s">
        <v>316</v>
      </c>
    </row>
    <row r="40709">
      <c r="A40709" s="17"/>
      <c r="H40709" s="18"/>
      <c r="K40709" s="18" t="s">
        <v>316</v>
      </c>
    </row>
    <row r="40710">
      <c r="A40710" s="17"/>
      <c r="H40710" s="18"/>
      <c r="K40710" s="18" t="s">
        <v>316</v>
      </c>
    </row>
    <row r="40711">
      <c r="A40711" s="17"/>
      <c r="H40711" s="18"/>
      <c r="K40711" s="18" t="s">
        <v>316</v>
      </c>
    </row>
    <row r="40712">
      <c r="A40712" s="17"/>
      <c r="H40712" s="18"/>
      <c r="K40712" s="18" t="s">
        <v>316</v>
      </c>
    </row>
    <row r="40713">
      <c r="A40713" s="17"/>
      <c r="H40713" s="18"/>
      <c r="K40713" s="18" t="s">
        <v>316</v>
      </c>
    </row>
    <row r="40714">
      <c r="A40714" s="17"/>
      <c r="H40714" s="18"/>
      <c r="K40714" s="18" t="s">
        <v>316</v>
      </c>
    </row>
    <row r="40715">
      <c r="A40715" s="17"/>
      <c r="H40715" s="18"/>
      <c r="K40715" s="18" t="s">
        <v>316</v>
      </c>
    </row>
    <row r="40716">
      <c r="A40716" s="17"/>
      <c r="H40716" s="18"/>
      <c r="K40716" s="18" t="s">
        <v>316</v>
      </c>
    </row>
    <row r="40717">
      <c r="A40717" s="17"/>
      <c r="H40717" s="18"/>
      <c r="K40717" s="18" t="s">
        <v>316</v>
      </c>
    </row>
    <row r="40718">
      <c r="A40718" s="17"/>
      <c r="H40718" s="18"/>
      <c r="K40718" s="18" t="s">
        <v>316</v>
      </c>
    </row>
    <row r="40719">
      <c r="A40719" s="17"/>
      <c r="H40719" s="18"/>
      <c r="K40719" s="18" t="s">
        <v>316</v>
      </c>
    </row>
    <row r="40720">
      <c r="A40720" s="17"/>
      <c r="H40720" s="18"/>
      <c r="K40720" s="18" t="s">
        <v>316</v>
      </c>
    </row>
    <row r="40721">
      <c r="A40721" s="17"/>
      <c r="H40721" s="18"/>
      <c r="K40721" s="18" t="s">
        <v>316</v>
      </c>
    </row>
    <row r="40722">
      <c r="A40722" s="17"/>
      <c r="H40722" s="18"/>
      <c r="K40722" s="18" t="s">
        <v>316</v>
      </c>
    </row>
    <row r="40723">
      <c r="A40723" s="17"/>
      <c r="H40723" s="18"/>
      <c r="K40723" s="18" t="s">
        <v>316</v>
      </c>
    </row>
    <row r="40724">
      <c r="A40724" s="17"/>
      <c r="H40724" s="18"/>
      <c r="K40724" s="18" t="s">
        <v>316</v>
      </c>
    </row>
    <row r="40725">
      <c r="A40725" s="17"/>
      <c r="H40725" s="18"/>
      <c r="K40725" s="18" t="s">
        <v>316</v>
      </c>
    </row>
    <row r="40726">
      <c r="A40726" s="17"/>
      <c r="H40726" s="18"/>
      <c r="K40726" s="18" t="s">
        <v>316</v>
      </c>
    </row>
    <row r="40727">
      <c r="A40727" s="17"/>
      <c r="H40727" s="18"/>
      <c r="K40727" s="18" t="s">
        <v>316</v>
      </c>
    </row>
    <row r="40728">
      <c r="A40728" s="17"/>
      <c r="H40728" s="18"/>
      <c r="K40728" s="18" t="s">
        <v>316</v>
      </c>
    </row>
    <row r="40729">
      <c r="A40729" s="17"/>
      <c r="H40729" s="18"/>
      <c r="K40729" s="18" t="s">
        <v>316</v>
      </c>
    </row>
    <row r="40730">
      <c r="A40730" s="17"/>
      <c r="H40730" s="18"/>
      <c r="K40730" s="18" t="s">
        <v>316</v>
      </c>
    </row>
    <row r="40731">
      <c r="A40731" s="17"/>
      <c r="H40731" s="18"/>
      <c r="K40731" s="18" t="s">
        <v>316</v>
      </c>
    </row>
    <row r="40732">
      <c r="A40732" s="17"/>
      <c r="H40732" s="18"/>
      <c r="K40732" s="18" t="s">
        <v>316</v>
      </c>
    </row>
    <row r="40733">
      <c r="A40733" s="17"/>
      <c r="H40733" s="18"/>
      <c r="K40733" s="18" t="s">
        <v>316</v>
      </c>
    </row>
    <row r="40734">
      <c r="A40734" s="17"/>
      <c r="H40734" s="18"/>
      <c r="K40734" s="18" t="s">
        <v>316</v>
      </c>
    </row>
    <row r="40735">
      <c r="A40735" s="17"/>
      <c r="H40735" s="18"/>
      <c r="K40735" s="18" t="s">
        <v>316</v>
      </c>
    </row>
    <row r="40736">
      <c r="A40736" s="17"/>
      <c r="H40736" s="18"/>
      <c r="K40736" s="18" t="s">
        <v>316</v>
      </c>
    </row>
    <row r="40737">
      <c r="A40737" s="17"/>
      <c r="H40737" s="18"/>
      <c r="K40737" s="18" t="s">
        <v>316</v>
      </c>
    </row>
    <row r="40738">
      <c r="A40738" s="17"/>
      <c r="H40738" s="18"/>
      <c r="K40738" s="18" t="s">
        <v>316</v>
      </c>
    </row>
    <row r="40739">
      <c r="A40739" s="17"/>
      <c r="H40739" s="18"/>
      <c r="K40739" s="18" t="s">
        <v>316</v>
      </c>
    </row>
    <row r="40740">
      <c r="A40740" s="17"/>
      <c r="H40740" s="18"/>
      <c r="K40740" s="18" t="s">
        <v>316</v>
      </c>
    </row>
    <row r="40741">
      <c r="A40741" s="17"/>
      <c r="H40741" s="18"/>
      <c r="K40741" s="18" t="s">
        <v>316</v>
      </c>
    </row>
    <row r="40742">
      <c r="A40742" s="17"/>
      <c r="H40742" s="18"/>
      <c r="K40742" s="18" t="s">
        <v>316</v>
      </c>
    </row>
    <row r="40743">
      <c r="A40743" s="17"/>
      <c r="H40743" s="18"/>
      <c r="K40743" s="18" t="s">
        <v>316</v>
      </c>
    </row>
    <row r="40744">
      <c r="A40744" s="17"/>
      <c r="H40744" s="18"/>
      <c r="K40744" s="18" t="s">
        <v>316</v>
      </c>
    </row>
    <row r="40745">
      <c r="A40745" s="17"/>
      <c r="H40745" s="18"/>
      <c r="K40745" s="18" t="s">
        <v>316</v>
      </c>
    </row>
    <row r="40746">
      <c r="A40746" s="17"/>
      <c r="H40746" s="18"/>
      <c r="K40746" s="18" t="s">
        <v>316</v>
      </c>
    </row>
    <row r="40747">
      <c r="A40747" s="17"/>
      <c r="H40747" s="18"/>
      <c r="K40747" s="18" t="s">
        <v>316</v>
      </c>
    </row>
    <row r="40748">
      <c r="A40748" s="17"/>
      <c r="H40748" s="18"/>
      <c r="K40748" s="18" t="s">
        <v>316</v>
      </c>
    </row>
    <row r="40749">
      <c r="A40749" s="17"/>
      <c r="H40749" s="18"/>
      <c r="K40749" s="18" t="s">
        <v>316</v>
      </c>
    </row>
    <row r="40750">
      <c r="A40750" s="17"/>
      <c r="H40750" s="18"/>
      <c r="K40750" s="18" t="s">
        <v>316</v>
      </c>
    </row>
    <row r="40751">
      <c r="A40751" s="17"/>
      <c r="H40751" s="18"/>
      <c r="K40751" s="18" t="s">
        <v>316</v>
      </c>
    </row>
    <row r="40752">
      <c r="A40752" s="17"/>
      <c r="H40752" s="18"/>
      <c r="K40752" s="18" t="s">
        <v>316</v>
      </c>
    </row>
    <row r="40753">
      <c r="A40753" s="17"/>
      <c r="H40753" s="18"/>
      <c r="K40753" s="18" t="s">
        <v>316</v>
      </c>
    </row>
    <row r="40754">
      <c r="A40754" s="17"/>
      <c r="H40754" s="18"/>
      <c r="K40754" s="18" t="s">
        <v>316</v>
      </c>
    </row>
    <row r="40755">
      <c r="A40755" s="17"/>
      <c r="H40755" s="18"/>
      <c r="K40755" s="18" t="s">
        <v>316</v>
      </c>
    </row>
    <row r="40756">
      <c r="A40756" s="17"/>
      <c r="H40756" s="18"/>
      <c r="K40756" s="18" t="s">
        <v>316</v>
      </c>
    </row>
    <row r="40757">
      <c r="A40757" s="17"/>
      <c r="H40757" s="18"/>
      <c r="K40757" s="18" t="s">
        <v>316</v>
      </c>
    </row>
    <row r="40758">
      <c r="A40758" s="17"/>
      <c r="H40758" s="18"/>
      <c r="K40758" s="18" t="s">
        <v>316</v>
      </c>
    </row>
    <row r="40759">
      <c r="A40759" s="17"/>
      <c r="H40759" s="18"/>
      <c r="K40759" s="18" t="s">
        <v>316</v>
      </c>
    </row>
    <row r="40760">
      <c r="A40760" s="17"/>
      <c r="H40760" s="18"/>
      <c r="K40760" s="18" t="s">
        <v>316</v>
      </c>
    </row>
    <row r="40761">
      <c r="A40761" s="17"/>
      <c r="H40761" s="18"/>
      <c r="K40761" s="18" t="s">
        <v>316</v>
      </c>
    </row>
    <row r="40762">
      <c r="A40762" s="17"/>
      <c r="H40762" s="18"/>
      <c r="K40762" s="18" t="s">
        <v>316</v>
      </c>
    </row>
    <row r="40763">
      <c r="A40763" s="17"/>
      <c r="H40763" s="18"/>
      <c r="K40763" s="18" t="s">
        <v>316</v>
      </c>
    </row>
    <row r="40764">
      <c r="A40764" s="17"/>
      <c r="H40764" s="18"/>
      <c r="K40764" s="18" t="s">
        <v>316</v>
      </c>
    </row>
    <row r="40765">
      <c r="A40765" s="17"/>
      <c r="H40765" s="18"/>
      <c r="K40765" s="18" t="s">
        <v>316</v>
      </c>
    </row>
    <row r="40766">
      <c r="A40766" s="17"/>
      <c r="H40766" s="18"/>
      <c r="K40766" s="18" t="s">
        <v>316</v>
      </c>
    </row>
    <row r="40767">
      <c r="A40767" s="17"/>
      <c r="H40767" s="18"/>
      <c r="K40767" s="18" t="s">
        <v>316</v>
      </c>
    </row>
    <row r="40768">
      <c r="A40768" s="17"/>
      <c r="H40768" s="18"/>
      <c r="K40768" s="18" t="s">
        <v>316</v>
      </c>
    </row>
    <row r="40769">
      <c r="A40769" s="17"/>
      <c r="H40769" s="18"/>
      <c r="K40769" s="18" t="s">
        <v>316</v>
      </c>
    </row>
    <row r="40770">
      <c r="A40770" s="17"/>
      <c r="H40770" s="18"/>
      <c r="K40770" s="18" t="s">
        <v>316</v>
      </c>
    </row>
    <row r="40771">
      <c r="A40771" s="17"/>
      <c r="H40771" s="18"/>
      <c r="K40771" s="18" t="s">
        <v>316</v>
      </c>
    </row>
    <row r="40772">
      <c r="A40772" s="17"/>
      <c r="H40772" s="18"/>
      <c r="K40772" s="18" t="s">
        <v>316</v>
      </c>
    </row>
    <row r="40773">
      <c r="A40773" s="17"/>
      <c r="H40773" s="18"/>
      <c r="K40773" s="18" t="s">
        <v>316</v>
      </c>
    </row>
    <row r="40774">
      <c r="A40774" s="17"/>
      <c r="H40774" s="18"/>
      <c r="K40774" s="18" t="s">
        <v>316</v>
      </c>
    </row>
    <row r="40775">
      <c r="A40775" s="17"/>
      <c r="H40775" s="18"/>
      <c r="K40775" s="18" t="s">
        <v>316</v>
      </c>
    </row>
    <row r="40776">
      <c r="A40776" s="17"/>
      <c r="H40776" s="18"/>
      <c r="K40776" s="18" t="s">
        <v>316</v>
      </c>
    </row>
    <row r="40777">
      <c r="A40777" s="17"/>
      <c r="H40777" s="18"/>
      <c r="K40777" s="18" t="s">
        <v>316</v>
      </c>
    </row>
    <row r="40778">
      <c r="A40778" s="17"/>
      <c r="H40778" s="18"/>
      <c r="K40778" s="18" t="s">
        <v>316</v>
      </c>
    </row>
    <row r="40779">
      <c r="A40779" s="17"/>
      <c r="H40779" s="18"/>
      <c r="K40779" s="18" t="s">
        <v>316</v>
      </c>
    </row>
    <row r="40780">
      <c r="A40780" s="17"/>
      <c r="H40780" s="18"/>
      <c r="K40780" s="18" t="s">
        <v>316</v>
      </c>
    </row>
    <row r="40781">
      <c r="A40781" s="17"/>
      <c r="H40781" s="18"/>
      <c r="K40781" s="18" t="s">
        <v>316</v>
      </c>
    </row>
    <row r="40782">
      <c r="A40782" s="17"/>
      <c r="H40782" s="18"/>
      <c r="K40782" s="18" t="s">
        <v>316</v>
      </c>
    </row>
    <row r="40783">
      <c r="A40783" s="17"/>
      <c r="H40783" s="18"/>
      <c r="K40783" s="18" t="s">
        <v>316</v>
      </c>
    </row>
    <row r="40784">
      <c r="A40784" s="17"/>
      <c r="H40784" s="18"/>
      <c r="K40784" s="18" t="s">
        <v>316</v>
      </c>
    </row>
    <row r="40785">
      <c r="A40785" s="17"/>
      <c r="H40785" s="18"/>
      <c r="K40785" s="18" t="s">
        <v>316</v>
      </c>
    </row>
    <row r="40786">
      <c r="A40786" s="17"/>
      <c r="H40786" s="18"/>
      <c r="K40786" s="18" t="s">
        <v>316</v>
      </c>
    </row>
    <row r="40787">
      <c r="A40787" s="17"/>
      <c r="H40787" s="18"/>
      <c r="K40787" s="18" t="s">
        <v>316</v>
      </c>
    </row>
    <row r="40788">
      <c r="A40788" s="17"/>
      <c r="H40788" s="18"/>
      <c r="K40788" s="18" t="s">
        <v>316</v>
      </c>
    </row>
    <row r="40789">
      <c r="A40789" s="17"/>
      <c r="H40789" s="18"/>
      <c r="K40789" s="18" t="s">
        <v>316</v>
      </c>
    </row>
    <row r="40790">
      <c r="A40790" s="17"/>
      <c r="H40790" s="18"/>
      <c r="K40790" s="18" t="s">
        <v>316</v>
      </c>
    </row>
    <row r="40791">
      <c r="A40791" s="17"/>
      <c r="H40791" s="18"/>
      <c r="K40791" s="18" t="s">
        <v>316</v>
      </c>
    </row>
    <row r="40792">
      <c r="A40792" s="17"/>
      <c r="H40792" s="18"/>
      <c r="K40792" s="18" t="s">
        <v>316</v>
      </c>
    </row>
    <row r="40793">
      <c r="A40793" s="17"/>
      <c r="H40793" s="18"/>
      <c r="K40793" s="18" t="s">
        <v>316</v>
      </c>
    </row>
    <row r="40794">
      <c r="A40794" s="17"/>
      <c r="H40794" s="18"/>
      <c r="K40794" s="18" t="s">
        <v>316</v>
      </c>
    </row>
    <row r="40795">
      <c r="A40795" s="17"/>
      <c r="H40795" s="18"/>
      <c r="K40795" s="18" t="s">
        <v>316</v>
      </c>
    </row>
    <row r="40796">
      <c r="A40796" s="17"/>
      <c r="H40796" s="18"/>
      <c r="K40796" s="18" t="s">
        <v>316</v>
      </c>
    </row>
    <row r="40797">
      <c r="A40797" s="17"/>
      <c r="H40797" s="18"/>
      <c r="K40797" s="18" t="s">
        <v>316</v>
      </c>
    </row>
    <row r="40798">
      <c r="A40798" s="17"/>
      <c r="H40798" s="18"/>
      <c r="K40798" s="18" t="s">
        <v>316</v>
      </c>
    </row>
    <row r="40799">
      <c r="A40799" s="17"/>
      <c r="H40799" s="18"/>
      <c r="K40799" s="18" t="s">
        <v>316</v>
      </c>
    </row>
    <row r="40800">
      <c r="A40800" s="17"/>
      <c r="H40800" s="18"/>
      <c r="K40800" s="18" t="s">
        <v>316</v>
      </c>
    </row>
    <row r="40801">
      <c r="A40801" s="17"/>
      <c r="H40801" s="18"/>
      <c r="K40801" s="18" t="s">
        <v>316</v>
      </c>
    </row>
    <row r="40802">
      <c r="A40802" s="17"/>
      <c r="H40802" s="18"/>
      <c r="K40802" s="18" t="s">
        <v>316</v>
      </c>
    </row>
    <row r="40803">
      <c r="A40803" s="17"/>
      <c r="H40803" s="18"/>
      <c r="K40803" s="18" t="s">
        <v>316</v>
      </c>
    </row>
    <row r="40804">
      <c r="A40804" s="17"/>
      <c r="H40804" s="18"/>
      <c r="K40804" s="18" t="s">
        <v>316</v>
      </c>
    </row>
    <row r="40805">
      <c r="A40805" s="17"/>
      <c r="H40805" s="18"/>
      <c r="K40805" s="18" t="s">
        <v>316</v>
      </c>
    </row>
    <row r="40806">
      <c r="A40806" s="17"/>
      <c r="H40806" s="18"/>
      <c r="K40806" s="18" t="s">
        <v>316</v>
      </c>
    </row>
    <row r="40807">
      <c r="A40807" s="17"/>
      <c r="H40807" s="18"/>
      <c r="K40807" s="18" t="s">
        <v>316</v>
      </c>
    </row>
    <row r="40808">
      <c r="A40808" s="17"/>
      <c r="H40808" s="18"/>
      <c r="K40808" s="18" t="s">
        <v>316</v>
      </c>
    </row>
    <row r="40809">
      <c r="A40809" s="17"/>
      <c r="H40809" s="18"/>
      <c r="K40809" s="18" t="s">
        <v>316</v>
      </c>
    </row>
    <row r="40810">
      <c r="A40810" s="17"/>
      <c r="H40810" s="18"/>
      <c r="K40810" s="18" t="s">
        <v>316</v>
      </c>
    </row>
    <row r="40811">
      <c r="A40811" s="17"/>
      <c r="H40811" s="18"/>
      <c r="K40811" s="18" t="s">
        <v>316</v>
      </c>
    </row>
    <row r="40812">
      <c r="A40812" s="17"/>
      <c r="H40812" s="18"/>
      <c r="K40812" s="18" t="s">
        <v>316</v>
      </c>
    </row>
    <row r="40813">
      <c r="A40813" s="17"/>
      <c r="H40813" s="18"/>
      <c r="K40813" s="18" t="s">
        <v>316</v>
      </c>
    </row>
    <row r="40814">
      <c r="A40814" s="17"/>
      <c r="H40814" s="18"/>
      <c r="K40814" s="18" t="s">
        <v>316</v>
      </c>
    </row>
    <row r="40815">
      <c r="A40815" s="17"/>
      <c r="H40815" s="18"/>
      <c r="K40815" s="18" t="s">
        <v>316</v>
      </c>
    </row>
    <row r="40816">
      <c r="A40816" s="17"/>
      <c r="H40816" s="18"/>
      <c r="K40816" s="18" t="s">
        <v>316</v>
      </c>
    </row>
    <row r="40817">
      <c r="A40817" s="17"/>
      <c r="H40817" s="18"/>
      <c r="K40817" s="18" t="s">
        <v>316</v>
      </c>
    </row>
    <row r="40818">
      <c r="A40818" s="17"/>
      <c r="H40818" s="18"/>
      <c r="K40818" s="18" t="s">
        <v>316</v>
      </c>
    </row>
    <row r="40819">
      <c r="A40819" s="17"/>
      <c r="H40819" s="18"/>
      <c r="K40819" s="18" t="s">
        <v>316</v>
      </c>
    </row>
    <row r="40820">
      <c r="A40820" s="17"/>
      <c r="H40820" s="18"/>
      <c r="K40820" s="18" t="s">
        <v>316</v>
      </c>
    </row>
    <row r="40821">
      <c r="A40821" s="17"/>
      <c r="H40821" s="18"/>
      <c r="K40821" s="18" t="s">
        <v>316</v>
      </c>
    </row>
    <row r="40822">
      <c r="A40822" s="17"/>
      <c r="H40822" s="18"/>
      <c r="K40822" s="18" t="s">
        <v>316</v>
      </c>
    </row>
    <row r="40823">
      <c r="A40823" s="17"/>
      <c r="H40823" s="18"/>
      <c r="K40823" s="18" t="s">
        <v>316</v>
      </c>
    </row>
    <row r="40824">
      <c r="A40824" s="17"/>
      <c r="H40824" s="18"/>
      <c r="K40824" s="18" t="s">
        <v>316</v>
      </c>
    </row>
    <row r="40825">
      <c r="A40825" s="17"/>
      <c r="H40825" s="18"/>
      <c r="K40825" s="18" t="s">
        <v>316</v>
      </c>
    </row>
    <row r="40826">
      <c r="A40826" s="17"/>
      <c r="H40826" s="18"/>
      <c r="K40826" s="18" t="s">
        <v>316</v>
      </c>
    </row>
    <row r="40827">
      <c r="A40827" s="17"/>
      <c r="H40827" s="18"/>
      <c r="K40827" s="18" t="s">
        <v>316</v>
      </c>
    </row>
    <row r="40828">
      <c r="A40828" s="17"/>
      <c r="H40828" s="18"/>
      <c r="K40828" s="18" t="s">
        <v>316</v>
      </c>
    </row>
    <row r="40829">
      <c r="A40829" s="17"/>
      <c r="H40829" s="18"/>
      <c r="K40829" s="18" t="s">
        <v>316</v>
      </c>
    </row>
    <row r="40830">
      <c r="A40830" s="17"/>
      <c r="H40830" s="18"/>
      <c r="K40830" s="18" t="s">
        <v>316</v>
      </c>
    </row>
    <row r="40831">
      <c r="A40831" s="17"/>
      <c r="H40831" s="18"/>
      <c r="K40831" s="18" t="s">
        <v>316</v>
      </c>
    </row>
    <row r="40832">
      <c r="A40832" s="17"/>
      <c r="H40832" s="18"/>
      <c r="K40832" s="18" t="s">
        <v>316</v>
      </c>
    </row>
    <row r="40833">
      <c r="A40833" s="17"/>
      <c r="H40833" s="18"/>
      <c r="K40833" s="18" t="s">
        <v>316</v>
      </c>
    </row>
    <row r="40834">
      <c r="A40834" s="17"/>
      <c r="H40834" s="18"/>
      <c r="K40834" s="18" t="s">
        <v>316</v>
      </c>
    </row>
    <row r="40835">
      <c r="A40835" s="17"/>
      <c r="H40835" s="18"/>
      <c r="K40835" s="18" t="s">
        <v>316</v>
      </c>
    </row>
    <row r="40836">
      <c r="A40836" s="17"/>
      <c r="H40836" s="18"/>
      <c r="K40836" s="18" t="s">
        <v>316</v>
      </c>
    </row>
    <row r="40837">
      <c r="A40837" s="17"/>
      <c r="H40837" s="18"/>
      <c r="K40837" s="18" t="s">
        <v>316</v>
      </c>
    </row>
    <row r="40838">
      <c r="A40838" s="17"/>
      <c r="H40838" s="18"/>
      <c r="K40838" s="18" t="s">
        <v>316</v>
      </c>
    </row>
    <row r="40839">
      <c r="A40839" s="17"/>
      <c r="H40839" s="18"/>
      <c r="K40839" s="18" t="s">
        <v>316</v>
      </c>
    </row>
    <row r="40840">
      <c r="A40840" s="17"/>
      <c r="H40840" s="18"/>
      <c r="K40840" s="18" t="s">
        <v>316</v>
      </c>
    </row>
    <row r="40841">
      <c r="A40841" s="17"/>
      <c r="H40841" s="18"/>
      <c r="K40841" s="18" t="s">
        <v>316</v>
      </c>
    </row>
    <row r="40842">
      <c r="A40842" s="17"/>
      <c r="H40842" s="18"/>
      <c r="K40842" s="18" t="s">
        <v>316</v>
      </c>
    </row>
    <row r="40843">
      <c r="A40843" s="17"/>
      <c r="H40843" s="18"/>
      <c r="K40843" s="18" t="s">
        <v>316</v>
      </c>
    </row>
    <row r="40844">
      <c r="A40844" s="17"/>
      <c r="H40844" s="18"/>
      <c r="K40844" s="18" t="s">
        <v>316</v>
      </c>
    </row>
    <row r="40845">
      <c r="A40845" s="17"/>
      <c r="H40845" s="18"/>
      <c r="K40845" s="18" t="s">
        <v>316</v>
      </c>
    </row>
    <row r="40846">
      <c r="A40846" s="17"/>
      <c r="H40846" s="18"/>
      <c r="K40846" s="18" t="s">
        <v>316</v>
      </c>
    </row>
    <row r="40847">
      <c r="A40847" s="17"/>
      <c r="H40847" s="18"/>
      <c r="K40847" s="18" t="s">
        <v>316</v>
      </c>
    </row>
    <row r="40848">
      <c r="A40848" s="17"/>
      <c r="H40848" s="18"/>
      <c r="K40848" s="18" t="s">
        <v>316</v>
      </c>
    </row>
    <row r="40849">
      <c r="A40849" s="17"/>
      <c r="H40849" s="18"/>
      <c r="K40849" s="18" t="s">
        <v>316</v>
      </c>
    </row>
    <row r="40850">
      <c r="A40850" s="17"/>
      <c r="H40850" s="18"/>
      <c r="K40850" s="18" t="s">
        <v>316</v>
      </c>
    </row>
    <row r="40851">
      <c r="A40851" s="17"/>
      <c r="H40851" s="18"/>
      <c r="K40851" s="18" t="s">
        <v>316</v>
      </c>
    </row>
    <row r="40852">
      <c r="A40852" s="17"/>
      <c r="H40852" s="18"/>
      <c r="K40852" s="18" t="s">
        <v>316</v>
      </c>
    </row>
    <row r="40853">
      <c r="A40853" s="17"/>
      <c r="H40853" s="18"/>
      <c r="K40853" s="18" t="s">
        <v>316</v>
      </c>
    </row>
    <row r="40854">
      <c r="A40854" s="17"/>
      <c r="H40854" s="18"/>
      <c r="K40854" s="18" t="s">
        <v>316</v>
      </c>
    </row>
    <row r="40855">
      <c r="A40855" s="17"/>
      <c r="H40855" s="18"/>
      <c r="K40855" s="18" t="s">
        <v>316</v>
      </c>
    </row>
    <row r="40856">
      <c r="A40856" s="17"/>
      <c r="H40856" s="18"/>
      <c r="K40856" s="18" t="s">
        <v>316</v>
      </c>
    </row>
    <row r="40857">
      <c r="A40857" s="17"/>
      <c r="H40857" s="18"/>
      <c r="K40857" s="18" t="s">
        <v>316</v>
      </c>
    </row>
    <row r="40858">
      <c r="A40858" s="17"/>
      <c r="H40858" s="18"/>
      <c r="K40858" s="18" t="s">
        <v>316</v>
      </c>
    </row>
    <row r="40859">
      <c r="A40859" s="17"/>
      <c r="H40859" s="18"/>
      <c r="K40859" s="18" t="s">
        <v>316</v>
      </c>
    </row>
    <row r="40860">
      <c r="A40860" s="17"/>
      <c r="H40860" s="18"/>
      <c r="K40860" s="18" t="s">
        <v>316</v>
      </c>
    </row>
    <row r="40861">
      <c r="A40861" s="17"/>
      <c r="H40861" s="18"/>
      <c r="K40861" s="18" t="s">
        <v>316</v>
      </c>
    </row>
    <row r="40862">
      <c r="A40862" s="17"/>
      <c r="H40862" s="18"/>
      <c r="K40862" s="18" t="s">
        <v>316</v>
      </c>
    </row>
    <row r="40863">
      <c r="A40863" s="17"/>
      <c r="H40863" s="18"/>
      <c r="K40863" s="18" t="s">
        <v>316</v>
      </c>
    </row>
    <row r="40864">
      <c r="A40864" s="17"/>
      <c r="H40864" s="18"/>
      <c r="K40864" s="18" t="s">
        <v>316</v>
      </c>
    </row>
    <row r="40865">
      <c r="A40865" s="17"/>
      <c r="H40865" s="18"/>
      <c r="K40865" s="18" t="s">
        <v>316</v>
      </c>
    </row>
    <row r="40866">
      <c r="A40866" s="17"/>
      <c r="H40866" s="18"/>
      <c r="K40866" s="18" t="s">
        <v>316</v>
      </c>
    </row>
    <row r="40867">
      <c r="A40867" s="17"/>
      <c r="H40867" s="18"/>
      <c r="K40867" s="18" t="s">
        <v>316</v>
      </c>
    </row>
    <row r="40868">
      <c r="A40868" s="17"/>
      <c r="H40868" s="18"/>
      <c r="K40868" s="18" t="s">
        <v>316</v>
      </c>
    </row>
    <row r="40869">
      <c r="A40869" s="17"/>
      <c r="H40869" s="18"/>
      <c r="K40869" s="18" t="s">
        <v>316</v>
      </c>
    </row>
    <row r="40870">
      <c r="A40870" s="17"/>
      <c r="H40870" s="18"/>
      <c r="K40870" s="18" t="s">
        <v>316</v>
      </c>
    </row>
    <row r="40871">
      <c r="A40871" s="17"/>
      <c r="H40871" s="18"/>
      <c r="K40871" s="18" t="s">
        <v>316</v>
      </c>
    </row>
    <row r="40872">
      <c r="A40872" s="17"/>
      <c r="H40872" s="18"/>
      <c r="K40872" s="18" t="s">
        <v>316</v>
      </c>
    </row>
    <row r="40873">
      <c r="A40873" s="17"/>
      <c r="H40873" s="18"/>
      <c r="K40873" s="18" t="s">
        <v>316</v>
      </c>
    </row>
    <row r="40874">
      <c r="A40874" s="17"/>
      <c r="H40874" s="18"/>
      <c r="K40874" s="18" t="s">
        <v>316</v>
      </c>
    </row>
    <row r="40875">
      <c r="A40875" s="17"/>
      <c r="H40875" s="18"/>
      <c r="K40875" s="18" t="s">
        <v>316</v>
      </c>
    </row>
    <row r="40876">
      <c r="A40876" s="17"/>
      <c r="H40876" s="18"/>
      <c r="K40876" s="18" t="s">
        <v>316</v>
      </c>
    </row>
    <row r="40877">
      <c r="A40877" s="17"/>
      <c r="H40877" s="18"/>
      <c r="K40877" s="18" t="s">
        <v>316</v>
      </c>
    </row>
    <row r="40878">
      <c r="A40878" s="17"/>
      <c r="H40878" s="18"/>
      <c r="K40878" s="18" t="s">
        <v>316</v>
      </c>
    </row>
    <row r="40879">
      <c r="A40879" s="17"/>
      <c r="H40879" s="18"/>
      <c r="K40879" s="18" t="s">
        <v>316</v>
      </c>
    </row>
    <row r="40880">
      <c r="A40880" s="17"/>
      <c r="H40880" s="18"/>
      <c r="K40880" s="18" t="s">
        <v>316</v>
      </c>
    </row>
    <row r="40881">
      <c r="A40881" s="17"/>
      <c r="H40881" s="18"/>
      <c r="K40881" s="18" t="s">
        <v>316</v>
      </c>
    </row>
    <row r="40882">
      <c r="A40882" s="17"/>
      <c r="H40882" s="18"/>
      <c r="K40882" s="18" t="s">
        <v>316</v>
      </c>
    </row>
    <row r="40883">
      <c r="A40883" s="17"/>
      <c r="H40883" s="18"/>
      <c r="K40883" s="18" t="s">
        <v>316</v>
      </c>
    </row>
    <row r="40884">
      <c r="A40884" s="17"/>
      <c r="H40884" s="18"/>
      <c r="K40884" s="18" t="s">
        <v>316</v>
      </c>
    </row>
    <row r="40885">
      <c r="A40885" s="17"/>
      <c r="H40885" s="18"/>
      <c r="K40885" s="18" t="s">
        <v>316</v>
      </c>
    </row>
    <row r="40886">
      <c r="A40886" s="17"/>
      <c r="H40886" s="18"/>
      <c r="K40886" s="18" t="s">
        <v>316</v>
      </c>
    </row>
    <row r="40887">
      <c r="A40887" s="17"/>
      <c r="H40887" s="18"/>
      <c r="K40887" s="18" t="s">
        <v>316</v>
      </c>
    </row>
    <row r="40888">
      <c r="A40888" s="17"/>
      <c r="H40888" s="18"/>
      <c r="K40888" s="18" t="s">
        <v>316</v>
      </c>
    </row>
    <row r="40889">
      <c r="A40889" s="17"/>
      <c r="H40889" s="18"/>
      <c r="K40889" s="18" t="s">
        <v>316</v>
      </c>
    </row>
    <row r="40890">
      <c r="A40890" s="17"/>
      <c r="H40890" s="18"/>
      <c r="K40890" s="18" t="s">
        <v>316</v>
      </c>
    </row>
    <row r="40891">
      <c r="A40891" s="17"/>
      <c r="H40891" s="18"/>
      <c r="K40891" s="18" t="s">
        <v>316</v>
      </c>
    </row>
    <row r="40892">
      <c r="A40892" s="17"/>
      <c r="H40892" s="18"/>
      <c r="K40892" s="18" t="s">
        <v>316</v>
      </c>
    </row>
    <row r="40893">
      <c r="A40893" s="17"/>
      <c r="H40893" s="18"/>
      <c r="K40893" s="18" t="s">
        <v>316</v>
      </c>
    </row>
    <row r="40894">
      <c r="A40894" s="17"/>
      <c r="H40894" s="18"/>
      <c r="K40894" s="18" t="s">
        <v>316</v>
      </c>
    </row>
    <row r="40895">
      <c r="A40895" s="17"/>
      <c r="H40895" s="18"/>
      <c r="K40895" s="18" t="s">
        <v>316</v>
      </c>
    </row>
    <row r="40896">
      <c r="A40896" s="17"/>
      <c r="H40896" s="18"/>
      <c r="K40896" s="18" t="s">
        <v>316</v>
      </c>
    </row>
    <row r="40897">
      <c r="A40897" s="17"/>
      <c r="H40897" s="18"/>
      <c r="K40897" s="18" t="s">
        <v>316</v>
      </c>
    </row>
    <row r="40898">
      <c r="A40898" s="17"/>
      <c r="H40898" s="18"/>
      <c r="K40898" s="18" t="s">
        <v>316</v>
      </c>
    </row>
    <row r="40899">
      <c r="A40899" s="17"/>
      <c r="H40899" s="18"/>
      <c r="K40899" s="18" t="s">
        <v>316</v>
      </c>
    </row>
    <row r="40900">
      <c r="A40900" s="17"/>
      <c r="H40900" s="18"/>
      <c r="K40900" s="18" t="s">
        <v>316</v>
      </c>
    </row>
    <row r="40901">
      <c r="A40901" s="17"/>
      <c r="H40901" s="18"/>
      <c r="K40901" s="18" t="s">
        <v>316</v>
      </c>
    </row>
    <row r="40902">
      <c r="A40902" s="17"/>
      <c r="H40902" s="18"/>
      <c r="K40902" s="18" t="s">
        <v>316</v>
      </c>
    </row>
    <row r="40903">
      <c r="A40903" s="17"/>
      <c r="H40903" s="18"/>
      <c r="K40903" s="18" t="s">
        <v>316</v>
      </c>
    </row>
    <row r="40904">
      <c r="A40904" s="17"/>
      <c r="H40904" s="18"/>
      <c r="K40904" s="18" t="s">
        <v>316</v>
      </c>
    </row>
    <row r="40905">
      <c r="A40905" s="17"/>
      <c r="H40905" s="18"/>
      <c r="K40905" s="18" t="s">
        <v>316</v>
      </c>
    </row>
    <row r="40906">
      <c r="A40906" s="17"/>
      <c r="H40906" s="18"/>
      <c r="K40906" s="18" t="s">
        <v>316</v>
      </c>
    </row>
    <row r="40907">
      <c r="A40907" s="17"/>
      <c r="H40907" s="18"/>
      <c r="K40907" s="18" t="s">
        <v>316</v>
      </c>
    </row>
    <row r="40908">
      <c r="A40908" s="17"/>
      <c r="H40908" s="18"/>
      <c r="K40908" s="18" t="s">
        <v>316</v>
      </c>
    </row>
    <row r="40909">
      <c r="A40909" s="17"/>
      <c r="H40909" s="18"/>
      <c r="K40909" s="18" t="s">
        <v>316</v>
      </c>
    </row>
    <row r="40910">
      <c r="A40910" s="17"/>
      <c r="H40910" s="18"/>
      <c r="K40910" s="18" t="s">
        <v>316</v>
      </c>
    </row>
    <row r="40911">
      <c r="A40911" s="17"/>
      <c r="H40911" s="18"/>
      <c r="K40911" s="18" t="s">
        <v>316</v>
      </c>
    </row>
    <row r="40912">
      <c r="A40912" s="17"/>
      <c r="H40912" s="18"/>
      <c r="K40912" s="18" t="s">
        <v>316</v>
      </c>
    </row>
    <row r="40913">
      <c r="A40913" s="17"/>
      <c r="H40913" s="18"/>
      <c r="K40913" s="18" t="s">
        <v>316</v>
      </c>
    </row>
    <row r="40914">
      <c r="A40914" s="17"/>
      <c r="H40914" s="18"/>
      <c r="K40914" s="18" t="s">
        <v>316</v>
      </c>
    </row>
    <row r="40915">
      <c r="A40915" s="17"/>
      <c r="H40915" s="18"/>
      <c r="K40915" s="18" t="s">
        <v>316</v>
      </c>
    </row>
    <row r="40916">
      <c r="A40916" s="17"/>
      <c r="H40916" s="18"/>
      <c r="K40916" s="18" t="s">
        <v>316</v>
      </c>
    </row>
    <row r="40917">
      <c r="A40917" s="17"/>
      <c r="H40917" s="18"/>
      <c r="K40917" s="18" t="s">
        <v>316</v>
      </c>
    </row>
    <row r="40918">
      <c r="A40918" s="17"/>
      <c r="H40918" s="18"/>
      <c r="K40918" s="18" t="s">
        <v>316</v>
      </c>
    </row>
    <row r="40919">
      <c r="A40919" s="17"/>
      <c r="H40919" s="18"/>
      <c r="K40919" s="18" t="s">
        <v>316</v>
      </c>
    </row>
    <row r="40920">
      <c r="A40920" s="17"/>
      <c r="H40920" s="18"/>
      <c r="K40920" s="18" t="s">
        <v>316</v>
      </c>
    </row>
    <row r="40921">
      <c r="A40921" s="17"/>
      <c r="H40921" s="18"/>
      <c r="K40921" s="18" t="s">
        <v>316</v>
      </c>
    </row>
    <row r="40922">
      <c r="A40922" s="17"/>
      <c r="H40922" s="18"/>
      <c r="K40922" s="18" t="s">
        <v>316</v>
      </c>
    </row>
    <row r="40923">
      <c r="A40923" s="17"/>
      <c r="H40923" s="18"/>
      <c r="K40923" s="18" t="s">
        <v>316</v>
      </c>
    </row>
    <row r="40924">
      <c r="A40924" s="17"/>
      <c r="H40924" s="18"/>
      <c r="K40924" s="18" t="s">
        <v>316</v>
      </c>
    </row>
    <row r="40925">
      <c r="A40925" s="17"/>
      <c r="H40925" s="18"/>
      <c r="K40925" s="18" t="s">
        <v>316</v>
      </c>
    </row>
    <row r="40926">
      <c r="A40926" s="17"/>
      <c r="H40926" s="18"/>
      <c r="K40926" s="18" t="s">
        <v>316</v>
      </c>
    </row>
    <row r="40927">
      <c r="A40927" s="17"/>
      <c r="H40927" s="18"/>
      <c r="K40927" s="18" t="s">
        <v>316</v>
      </c>
    </row>
    <row r="40928">
      <c r="A40928" s="17"/>
      <c r="H40928" s="18"/>
      <c r="K40928" s="18" t="s">
        <v>316</v>
      </c>
    </row>
    <row r="40929">
      <c r="A40929" s="17"/>
      <c r="H40929" s="18"/>
      <c r="K40929" s="18" t="s">
        <v>316</v>
      </c>
    </row>
    <row r="40930">
      <c r="A40930" s="17"/>
      <c r="H40930" s="18"/>
      <c r="K40930" s="18" t="s">
        <v>316</v>
      </c>
    </row>
    <row r="40931">
      <c r="A40931" s="17"/>
      <c r="H40931" s="18"/>
      <c r="K40931" s="18" t="s">
        <v>316</v>
      </c>
    </row>
    <row r="40932">
      <c r="A40932" s="17"/>
      <c r="H40932" s="18"/>
      <c r="K40932" s="18" t="s">
        <v>316</v>
      </c>
    </row>
    <row r="40933">
      <c r="A40933" s="17"/>
      <c r="H40933" s="18"/>
      <c r="K40933" s="18" t="s">
        <v>316</v>
      </c>
    </row>
    <row r="40934">
      <c r="A40934" s="17"/>
      <c r="H40934" s="18"/>
      <c r="K40934" s="18" t="s">
        <v>316</v>
      </c>
    </row>
    <row r="40935">
      <c r="A40935" s="17"/>
      <c r="H40935" s="18"/>
      <c r="K40935" s="18" t="s">
        <v>316</v>
      </c>
    </row>
    <row r="40936">
      <c r="A40936" s="17"/>
      <c r="H40936" s="18"/>
      <c r="K40936" s="18" t="s">
        <v>316</v>
      </c>
    </row>
    <row r="40937">
      <c r="A40937" s="17"/>
      <c r="H40937" s="18"/>
      <c r="K40937" s="18" t="s">
        <v>316</v>
      </c>
    </row>
    <row r="40938">
      <c r="A40938" s="17"/>
      <c r="H40938" s="18"/>
      <c r="K40938" s="18" t="s">
        <v>316</v>
      </c>
    </row>
    <row r="40939">
      <c r="A40939" s="17"/>
      <c r="H40939" s="18"/>
      <c r="K40939" s="18" t="s">
        <v>316</v>
      </c>
    </row>
    <row r="40940">
      <c r="A40940" s="17"/>
      <c r="H40940" s="18"/>
      <c r="K40940" s="18" t="s">
        <v>316</v>
      </c>
    </row>
    <row r="40941">
      <c r="A40941" s="17"/>
      <c r="H40941" s="18"/>
      <c r="K40941" s="18" t="s">
        <v>316</v>
      </c>
    </row>
    <row r="40942">
      <c r="A40942" s="17"/>
      <c r="H40942" s="18"/>
      <c r="K40942" s="18" t="s">
        <v>316</v>
      </c>
    </row>
    <row r="40943">
      <c r="A40943" s="17"/>
      <c r="H40943" s="18"/>
      <c r="K40943" s="18" t="s">
        <v>316</v>
      </c>
    </row>
    <row r="40944">
      <c r="A40944" s="17"/>
      <c r="H40944" s="18"/>
      <c r="K40944" s="18" t="s">
        <v>316</v>
      </c>
    </row>
    <row r="40945">
      <c r="A40945" s="17"/>
      <c r="H40945" s="18"/>
      <c r="K40945" s="18" t="s">
        <v>316</v>
      </c>
    </row>
    <row r="40946">
      <c r="A40946" s="17"/>
      <c r="H40946" s="18"/>
      <c r="K40946" s="18" t="s">
        <v>316</v>
      </c>
    </row>
    <row r="40947">
      <c r="A40947" s="17"/>
      <c r="H40947" s="18"/>
      <c r="K40947" s="18" t="s">
        <v>316</v>
      </c>
    </row>
    <row r="40948">
      <c r="A40948" s="17"/>
      <c r="H40948" s="18"/>
      <c r="K40948" s="18" t="s">
        <v>316</v>
      </c>
    </row>
    <row r="40949">
      <c r="A40949" s="17"/>
      <c r="H40949" s="18"/>
      <c r="K40949" s="18" t="s">
        <v>316</v>
      </c>
    </row>
    <row r="40950">
      <c r="A40950" s="17"/>
      <c r="H40950" s="18"/>
      <c r="K40950" s="18" t="s">
        <v>316</v>
      </c>
    </row>
    <row r="40951">
      <c r="A40951" s="17"/>
      <c r="H40951" s="18"/>
      <c r="K40951" s="18" t="s">
        <v>316</v>
      </c>
    </row>
    <row r="40952">
      <c r="A40952" s="17"/>
      <c r="H40952" s="18"/>
      <c r="K40952" s="18" t="s">
        <v>316</v>
      </c>
    </row>
    <row r="40953">
      <c r="A40953" s="17"/>
      <c r="H40953" s="18"/>
      <c r="K40953" s="18" t="s">
        <v>316</v>
      </c>
    </row>
    <row r="40954">
      <c r="A40954" s="17"/>
      <c r="H40954" s="18"/>
      <c r="K40954" s="18" t="s">
        <v>316</v>
      </c>
    </row>
    <row r="40955">
      <c r="A40955" s="17"/>
      <c r="H40955" s="18"/>
      <c r="K40955" s="18" t="s">
        <v>316</v>
      </c>
    </row>
    <row r="40956">
      <c r="A40956" s="17"/>
      <c r="H40956" s="18"/>
      <c r="K40956" s="18" t="s">
        <v>316</v>
      </c>
    </row>
    <row r="40957">
      <c r="A40957" s="17"/>
      <c r="H40957" s="18"/>
      <c r="K40957" s="18" t="s">
        <v>316</v>
      </c>
    </row>
    <row r="40958">
      <c r="A40958" s="17"/>
      <c r="H40958" s="18"/>
      <c r="K40958" s="18" t="s">
        <v>316</v>
      </c>
    </row>
    <row r="40959">
      <c r="A40959" s="17"/>
      <c r="H40959" s="18"/>
      <c r="K40959" s="18" t="s">
        <v>316</v>
      </c>
    </row>
    <row r="40960">
      <c r="A40960" s="17"/>
      <c r="H40960" s="18"/>
      <c r="K40960" s="18" t="s">
        <v>316</v>
      </c>
    </row>
    <row r="40961">
      <c r="A40961" s="17"/>
      <c r="H40961" s="18"/>
      <c r="K40961" s="18" t="s">
        <v>316</v>
      </c>
    </row>
    <row r="40962">
      <c r="A40962" s="17"/>
      <c r="H40962" s="18"/>
      <c r="K40962" s="18" t="s">
        <v>316</v>
      </c>
    </row>
    <row r="40963">
      <c r="A40963" s="17"/>
      <c r="H40963" s="18"/>
      <c r="K40963" s="18" t="s">
        <v>316</v>
      </c>
    </row>
    <row r="40964">
      <c r="A40964" s="17"/>
      <c r="H40964" s="18"/>
      <c r="K40964" s="18" t="s">
        <v>316</v>
      </c>
    </row>
    <row r="40965">
      <c r="A40965" s="17"/>
      <c r="H40965" s="18"/>
      <c r="K40965" s="18" t="s">
        <v>316</v>
      </c>
    </row>
    <row r="40966">
      <c r="A40966" s="17"/>
      <c r="H40966" s="18"/>
      <c r="K40966" s="18" t="s">
        <v>316</v>
      </c>
    </row>
    <row r="40967">
      <c r="A40967" s="17"/>
      <c r="H40967" s="18"/>
      <c r="K40967" s="18" t="s">
        <v>316</v>
      </c>
    </row>
    <row r="40968">
      <c r="A40968" s="17"/>
      <c r="H40968" s="18"/>
      <c r="K40968" s="18" t="s">
        <v>316</v>
      </c>
    </row>
    <row r="40969">
      <c r="A40969" s="17"/>
      <c r="H40969" s="18"/>
      <c r="K40969" s="18" t="s">
        <v>316</v>
      </c>
    </row>
    <row r="40970">
      <c r="A40970" s="17"/>
      <c r="H40970" s="18"/>
      <c r="K40970" s="18" t="s">
        <v>316</v>
      </c>
    </row>
    <row r="40971">
      <c r="A40971" s="17"/>
      <c r="H40971" s="18"/>
      <c r="K40971" s="18" t="s">
        <v>316</v>
      </c>
    </row>
    <row r="40972">
      <c r="A40972" s="17"/>
      <c r="H40972" s="18"/>
      <c r="K40972" s="18" t="s">
        <v>316</v>
      </c>
    </row>
    <row r="40973">
      <c r="A40973" s="17"/>
      <c r="H40973" s="18"/>
      <c r="K40973" s="18" t="s">
        <v>316</v>
      </c>
    </row>
    <row r="40974">
      <c r="A40974" s="17"/>
      <c r="H40974" s="18"/>
      <c r="K40974" s="18" t="s">
        <v>316</v>
      </c>
    </row>
    <row r="40975">
      <c r="A40975" s="17"/>
      <c r="H40975" s="18"/>
      <c r="K40975" s="18" t="s">
        <v>316</v>
      </c>
    </row>
    <row r="40976">
      <c r="A40976" s="17"/>
      <c r="H40976" s="18"/>
      <c r="K40976" s="18" t="s">
        <v>316</v>
      </c>
    </row>
    <row r="40977">
      <c r="A40977" s="17"/>
      <c r="H40977" s="18"/>
      <c r="K40977" s="18" t="s">
        <v>316</v>
      </c>
    </row>
    <row r="40978">
      <c r="A40978" s="17"/>
      <c r="H40978" s="18"/>
      <c r="K40978" s="18" t="s">
        <v>316</v>
      </c>
    </row>
    <row r="40979">
      <c r="A40979" s="17"/>
      <c r="H40979" s="18"/>
      <c r="K40979" s="18" t="s">
        <v>316</v>
      </c>
    </row>
    <row r="40980">
      <c r="A40980" s="17"/>
      <c r="H40980" s="18"/>
      <c r="K40980" s="18" t="s">
        <v>316</v>
      </c>
    </row>
    <row r="40981">
      <c r="A40981" s="17"/>
      <c r="H40981" s="18"/>
      <c r="K40981" s="18" t="s">
        <v>316</v>
      </c>
    </row>
    <row r="40982">
      <c r="A40982" s="17"/>
      <c r="H40982" s="18"/>
      <c r="K40982" s="18" t="s">
        <v>316</v>
      </c>
    </row>
    <row r="40983">
      <c r="A40983" s="17"/>
      <c r="H40983" s="18"/>
      <c r="K40983" s="18" t="s">
        <v>316</v>
      </c>
    </row>
    <row r="40984">
      <c r="A40984" s="17"/>
      <c r="H40984" s="18"/>
      <c r="K40984" s="18" t="s">
        <v>316</v>
      </c>
    </row>
    <row r="40985">
      <c r="A40985" s="17"/>
      <c r="H40985" s="18"/>
      <c r="K40985" s="18" t="s">
        <v>316</v>
      </c>
    </row>
    <row r="40986">
      <c r="A40986" s="17"/>
      <c r="H40986" s="18"/>
      <c r="K40986" s="18" t="s">
        <v>316</v>
      </c>
    </row>
    <row r="40987">
      <c r="A40987" s="17"/>
      <c r="H40987" s="18"/>
      <c r="K40987" s="18" t="s">
        <v>316</v>
      </c>
    </row>
    <row r="40988">
      <c r="A40988" s="17"/>
      <c r="H40988" s="18"/>
      <c r="K40988" s="18" t="s">
        <v>316</v>
      </c>
    </row>
    <row r="40989">
      <c r="A40989" s="17"/>
      <c r="H40989" s="18"/>
      <c r="K40989" s="18" t="s">
        <v>316</v>
      </c>
    </row>
    <row r="40990">
      <c r="A40990" s="17"/>
      <c r="H40990" s="18"/>
      <c r="K40990" s="18" t="s">
        <v>316</v>
      </c>
    </row>
    <row r="40991">
      <c r="A40991" s="17"/>
      <c r="H40991" s="18"/>
      <c r="K40991" s="18" t="s">
        <v>316</v>
      </c>
    </row>
    <row r="40992">
      <c r="A40992" s="17"/>
      <c r="H40992" s="18"/>
      <c r="K40992" s="18" t="s">
        <v>316</v>
      </c>
    </row>
    <row r="40993">
      <c r="A40993" s="17"/>
      <c r="H40993" s="18"/>
      <c r="K40993" s="18" t="s">
        <v>316</v>
      </c>
    </row>
    <row r="40994">
      <c r="A40994" s="17"/>
      <c r="H40994" s="18"/>
      <c r="K40994" s="18" t="s">
        <v>316</v>
      </c>
    </row>
    <row r="40995">
      <c r="A40995" s="17"/>
      <c r="H40995" s="18"/>
      <c r="K40995" s="18" t="s">
        <v>316</v>
      </c>
    </row>
    <row r="40996">
      <c r="A40996" s="17"/>
      <c r="H40996" s="18"/>
      <c r="K40996" s="18" t="s">
        <v>316</v>
      </c>
    </row>
    <row r="40997">
      <c r="A40997" s="17"/>
      <c r="H40997" s="18"/>
      <c r="K40997" s="18" t="s">
        <v>316</v>
      </c>
    </row>
    <row r="40998">
      <c r="A40998" s="17"/>
      <c r="H40998" s="18"/>
      <c r="K40998" s="18" t="s">
        <v>316</v>
      </c>
    </row>
    <row r="40999">
      <c r="A40999" s="17"/>
      <c r="H40999" s="18"/>
      <c r="K40999" s="18" t="s">
        <v>316</v>
      </c>
    </row>
    <row r="41000">
      <c r="A41000" s="17"/>
      <c r="H41000" s="18"/>
      <c r="K41000" s="18" t="s">
        <v>316</v>
      </c>
    </row>
    <row r="41001">
      <c r="A41001" s="17"/>
      <c r="H41001" s="18"/>
      <c r="K41001" s="18" t="s">
        <v>316</v>
      </c>
    </row>
    <row r="41002">
      <c r="A41002" s="17"/>
      <c r="H41002" s="18"/>
      <c r="K41002" s="18" t="s">
        <v>316</v>
      </c>
    </row>
    <row r="41003">
      <c r="A41003" s="17"/>
      <c r="H41003" s="18"/>
      <c r="K41003" s="18" t="s">
        <v>316</v>
      </c>
    </row>
    <row r="41004">
      <c r="A41004" s="17"/>
      <c r="H41004" s="18"/>
      <c r="K41004" s="18" t="s">
        <v>316</v>
      </c>
    </row>
    <row r="41005">
      <c r="A41005" s="17"/>
      <c r="H41005" s="18"/>
      <c r="K41005" s="18" t="s">
        <v>316</v>
      </c>
    </row>
    <row r="41006">
      <c r="A41006" s="17"/>
      <c r="H41006" s="18"/>
      <c r="K41006" s="18" t="s">
        <v>316</v>
      </c>
    </row>
    <row r="41007">
      <c r="A41007" s="17"/>
      <c r="H41007" s="18"/>
      <c r="K41007" s="18" t="s">
        <v>316</v>
      </c>
    </row>
    <row r="41008">
      <c r="A41008" s="17"/>
      <c r="H41008" s="18"/>
      <c r="K41008" s="18" t="s">
        <v>316</v>
      </c>
    </row>
    <row r="41009">
      <c r="A41009" s="17"/>
      <c r="H41009" s="18"/>
      <c r="K41009" s="18" t="s">
        <v>316</v>
      </c>
    </row>
    <row r="41010">
      <c r="A41010" s="17"/>
      <c r="H41010" s="18"/>
      <c r="K41010" s="18" t="s">
        <v>316</v>
      </c>
    </row>
    <row r="41011">
      <c r="A41011" s="17"/>
      <c r="H41011" s="18"/>
      <c r="K41011" s="18" t="s">
        <v>316</v>
      </c>
    </row>
    <row r="41012">
      <c r="A41012" s="17"/>
      <c r="H41012" s="18"/>
      <c r="K41012" s="18" t="s">
        <v>316</v>
      </c>
    </row>
    <row r="41013">
      <c r="A41013" s="17"/>
      <c r="H41013" s="18"/>
      <c r="K41013" s="18" t="s">
        <v>316</v>
      </c>
    </row>
    <row r="41014">
      <c r="A41014" s="17"/>
      <c r="H41014" s="18"/>
      <c r="K41014" s="18" t="s">
        <v>316</v>
      </c>
    </row>
    <row r="41015">
      <c r="A41015" s="17"/>
      <c r="H41015" s="18"/>
      <c r="K41015" s="18" t="s">
        <v>316</v>
      </c>
    </row>
    <row r="41016">
      <c r="A41016" s="17"/>
      <c r="H41016" s="18"/>
      <c r="K41016" s="18" t="s">
        <v>316</v>
      </c>
    </row>
    <row r="41017">
      <c r="A41017" s="17"/>
      <c r="H41017" s="18"/>
      <c r="K41017" s="18" t="s">
        <v>316</v>
      </c>
    </row>
    <row r="41018">
      <c r="A41018" s="17"/>
      <c r="H41018" s="18"/>
      <c r="K41018" s="18" t="s">
        <v>316</v>
      </c>
    </row>
    <row r="41019">
      <c r="A41019" s="17"/>
      <c r="H41019" s="18"/>
      <c r="K41019" s="18" t="s">
        <v>316</v>
      </c>
    </row>
    <row r="41020">
      <c r="A41020" s="17"/>
      <c r="H41020" s="18"/>
      <c r="K41020" s="18" t="s">
        <v>316</v>
      </c>
    </row>
    <row r="41021">
      <c r="A41021" s="17"/>
      <c r="H41021" s="18"/>
      <c r="K41021" s="18" t="s">
        <v>316</v>
      </c>
    </row>
    <row r="41022">
      <c r="A41022" s="17"/>
      <c r="H41022" s="18"/>
      <c r="K41022" s="18" t="s">
        <v>316</v>
      </c>
    </row>
    <row r="41023">
      <c r="A41023" s="17"/>
      <c r="H41023" s="18"/>
      <c r="K41023" s="18" t="s">
        <v>316</v>
      </c>
    </row>
    <row r="41024">
      <c r="A41024" s="17"/>
      <c r="H41024" s="18"/>
      <c r="K41024" s="18" t="s">
        <v>316</v>
      </c>
    </row>
    <row r="41025">
      <c r="A41025" s="17"/>
      <c r="H41025" s="18"/>
      <c r="K41025" s="18" t="s">
        <v>316</v>
      </c>
    </row>
    <row r="41026">
      <c r="A41026" s="17"/>
      <c r="H41026" s="18"/>
      <c r="K41026" s="18" t="s">
        <v>316</v>
      </c>
    </row>
    <row r="41027">
      <c r="A41027" s="17"/>
      <c r="H41027" s="18"/>
      <c r="K41027" s="18" t="s">
        <v>316</v>
      </c>
    </row>
    <row r="41028">
      <c r="A41028" s="17"/>
      <c r="H41028" s="18"/>
      <c r="K41028" s="18" t="s">
        <v>316</v>
      </c>
    </row>
    <row r="41029">
      <c r="A41029" s="17"/>
      <c r="H41029" s="18"/>
      <c r="K41029" s="18" t="s">
        <v>316</v>
      </c>
    </row>
    <row r="41030">
      <c r="A41030" s="17"/>
      <c r="H41030" s="18"/>
      <c r="K41030" s="18" t="s">
        <v>316</v>
      </c>
    </row>
    <row r="41031">
      <c r="A41031" s="17"/>
      <c r="H41031" s="18"/>
      <c r="K41031" s="18" t="s">
        <v>316</v>
      </c>
    </row>
    <row r="41032">
      <c r="A41032" s="17"/>
      <c r="H41032" s="18"/>
      <c r="K41032" s="18" t="s">
        <v>316</v>
      </c>
    </row>
    <row r="41033">
      <c r="A41033" s="17"/>
      <c r="H41033" s="18"/>
      <c r="K41033" s="18" t="s">
        <v>316</v>
      </c>
    </row>
    <row r="41034">
      <c r="A41034" s="17"/>
      <c r="H41034" s="18"/>
      <c r="K41034" s="18" t="s">
        <v>316</v>
      </c>
    </row>
    <row r="41035">
      <c r="A41035" s="17"/>
      <c r="H41035" s="18"/>
      <c r="K41035" s="18" t="s">
        <v>316</v>
      </c>
    </row>
    <row r="41036">
      <c r="A41036" s="17"/>
      <c r="H41036" s="18"/>
      <c r="K41036" s="18" t="s">
        <v>316</v>
      </c>
    </row>
    <row r="41037">
      <c r="A41037" s="17"/>
      <c r="H41037" s="18"/>
      <c r="K41037" s="18" t="s">
        <v>316</v>
      </c>
    </row>
    <row r="41038">
      <c r="A41038" s="17"/>
      <c r="H41038" s="18"/>
      <c r="K41038" s="18" t="s">
        <v>316</v>
      </c>
    </row>
    <row r="41039">
      <c r="A41039" s="17"/>
      <c r="H41039" s="18"/>
      <c r="K41039" s="18" t="s">
        <v>316</v>
      </c>
    </row>
    <row r="41040">
      <c r="A41040" s="17"/>
      <c r="H41040" s="18"/>
      <c r="K41040" s="18" t="s">
        <v>316</v>
      </c>
    </row>
    <row r="41041">
      <c r="A41041" s="17"/>
      <c r="H41041" s="18"/>
      <c r="K41041" s="18" t="s">
        <v>316</v>
      </c>
    </row>
    <row r="41042">
      <c r="A41042" s="17"/>
      <c r="H41042" s="18"/>
      <c r="K41042" s="18" t="s">
        <v>316</v>
      </c>
    </row>
    <row r="41043">
      <c r="A41043" s="17"/>
      <c r="H41043" s="18"/>
      <c r="K41043" s="18" t="s">
        <v>316</v>
      </c>
    </row>
    <row r="41044">
      <c r="A41044" s="17"/>
      <c r="H41044" s="18"/>
      <c r="K41044" s="18" t="s">
        <v>316</v>
      </c>
    </row>
    <row r="41045">
      <c r="A41045" s="17"/>
      <c r="H41045" s="18"/>
      <c r="K41045" s="18" t="s">
        <v>316</v>
      </c>
    </row>
    <row r="41046">
      <c r="A41046" s="17"/>
      <c r="H41046" s="18"/>
      <c r="K41046" s="18" t="s">
        <v>316</v>
      </c>
    </row>
    <row r="41047">
      <c r="A41047" s="17"/>
      <c r="H41047" s="18"/>
      <c r="K41047" s="18" t="s">
        <v>316</v>
      </c>
    </row>
    <row r="41048">
      <c r="A41048" s="17"/>
      <c r="H41048" s="18"/>
      <c r="K41048" s="18" t="s">
        <v>316</v>
      </c>
    </row>
    <row r="41049">
      <c r="A41049" s="17"/>
      <c r="H41049" s="18"/>
      <c r="K41049" s="18" t="s">
        <v>316</v>
      </c>
    </row>
    <row r="41050">
      <c r="A41050" s="17"/>
      <c r="H41050" s="18"/>
      <c r="K41050" s="18" t="s">
        <v>316</v>
      </c>
    </row>
    <row r="41051">
      <c r="A41051" s="17"/>
      <c r="H41051" s="18"/>
      <c r="K41051" s="18" t="s">
        <v>316</v>
      </c>
    </row>
    <row r="41052">
      <c r="A41052" s="17"/>
      <c r="H41052" s="18"/>
      <c r="K41052" s="18" t="s">
        <v>316</v>
      </c>
    </row>
    <row r="41053">
      <c r="A41053" s="17"/>
      <c r="H41053" s="18"/>
      <c r="K41053" s="18" t="s">
        <v>316</v>
      </c>
    </row>
    <row r="41054">
      <c r="A41054" s="17"/>
      <c r="H41054" s="18"/>
      <c r="K41054" s="18" t="s">
        <v>316</v>
      </c>
    </row>
    <row r="41055">
      <c r="A41055" s="17"/>
      <c r="H41055" s="18"/>
      <c r="K41055" s="18" t="s">
        <v>316</v>
      </c>
    </row>
    <row r="41056">
      <c r="A41056" s="17"/>
      <c r="H41056" s="18"/>
      <c r="K41056" s="18" t="s">
        <v>316</v>
      </c>
    </row>
    <row r="41057">
      <c r="A41057" s="17"/>
      <c r="H41057" s="18"/>
      <c r="K41057" s="18" t="s">
        <v>316</v>
      </c>
    </row>
    <row r="41058">
      <c r="A41058" s="17"/>
      <c r="H41058" s="18"/>
      <c r="K41058" s="18" t="s">
        <v>316</v>
      </c>
    </row>
    <row r="41059">
      <c r="A41059" s="17"/>
      <c r="H41059" s="18"/>
      <c r="K41059" s="18" t="s">
        <v>316</v>
      </c>
    </row>
    <row r="41060">
      <c r="A41060" s="17"/>
      <c r="H41060" s="18"/>
      <c r="K41060" s="18" t="s">
        <v>316</v>
      </c>
    </row>
    <row r="41061">
      <c r="A41061" s="17"/>
      <c r="H41061" s="18"/>
      <c r="K41061" s="18" t="s">
        <v>316</v>
      </c>
    </row>
    <row r="41062">
      <c r="A41062" s="17"/>
      <c r="H41062" s="18"/>
      <c r="K41062" s="18" t="s">
        <v>316</v>
      </c>
    </row>
    <row r="41063">
      <c r="A41063" s="17"/>
      <c r="H41063" s="18"/>
      <c r="K41063" s="18" t="s">
        <v>316</v>
      </c>
    </row>
    <row r="41064">
      <c r="A41064" s="17"/>
      <c r="H41064" s="18"/>
      <c r="K41064" s="18" t="s">
        <v>316</v>
      </c>
    </row>
    <row r="41065">
      <c r="A41065" s="17"/>
      <c r="H41065" s="18"/>
      <c r="K41065" s="18" t="s">
        <v>316</v>
      </c>
    </row>
    <row r="41066">
      <c r="A41066" s="17"/>
      <c r="H41066" s="18"/>
      <c r="K41066" s="18" t="s">
        <v>316</v>
      </c>
    </row>
    <row r="41067">
      <c r="A41067" s="17"/>
      <c r="H41067" s="18"/>
      <c r="K41067" s="18" t="s">
        <v>316</v>
      </c>
    </row>
    <row r="41068">
      <c r="A41068" s="17"/>
      <c r="H41068" s="18"/>
      <c r="K41068" s="18" t="s">
        <v>316</v>
      </c>
    </row>
    <row r="41069">
      <c r="A41069" s="17"/>
      <c r="H41069" s="18"/>
      <c r="K41069" s="18" t="s">
        <v>316</v>
      </c>
    </row>
    <row r="41070">
      <c r="A41070" s="17"/>
      <c r="H41070" s="18"/>
      <c r="K41070" s="18" t="s">
        <v>316</v>
      </c>
    </row>
    <row r="41071">
      <c r="A41071" s="17"/>
      <c r="H41071" s="18"/>
      <c r="K41071" s="18" t="s">
        <v>316</v>
      </c>
    </row>
    <row r="41072">
      <c r="A41072" s="17"/>
      <c r="H41072" s="18"/>
      <c r="K41072" s="18" t="s">
        <v>316</v>
      </c>
    </row>
    <row r="41073">
      <c r="A41073" s="17"/>
      <c r="H41073" s="18"/>
      <c r="K41073" s="18" t="s">
        <v>316</v>
      </c>
    </row>
    <row r="41074">
      <c r="A41074" s="17"/>
      <c r="H41074" s="18"/>
      <c r="K41074" s="18" t="s">
        <v>316</v>
      </c>
    </row>
    <row r="41075">
      <c r="A41075" s="17"/>
      <c r="H41075" s="18"/>
      <c r="K41075" s="18" t="s">
        <v>316</v>
      </c>
    </row>
    <row r="41076">
      <c r="A41076" s="17"/>
      <c r="H41076" s="18"/>
      <c r="K41076" s="18" t="s">
        <v>316</v>
      </c>
    </row>
    <row r="41077">
      <c r="A41077" s="17"/>
      <c r="H41077" s="18"/>
      <c r="K41077" s="18" t="s">
        <v>316</v>
      </c>
    </row>
    <row r="41078">
      <c r="A41078" s="17"/>
      <c r="H41078" s="18"/>
      <c r="K41078" s="18" t="s">
        <v>316</v>
      </c>
    </row>
    <row r="41079">
      <c r="A41079" s="17"/>
      <c r="H41079" s="18"/>
      <c r="K41079" s="18" t="s">
        <v>316</v>
      </c>
    </row>
    <row r="41080">
      <c r="A41080" s="17"/>
      <c r="H41080" s="18"/>
      <c r="K41080" s="18" t="s">
        <v>316</v>
      </c>
    </row>
    <row r="41081">
      <c r="A41081" s="17"/>
      <c r="H41081" s="18"/>
      <c r="K41081" s="18" t="s">
        <v>316</v>
      </c>
    </row>
    <row r="41082">
      <c r="A41082" s="17"/>
      <c r="H41082" s="18"/>
      <c r="K41082" s="18" t="s">
        <v>316</v>
      </c>
    </row>
    <row r="41083">
      <c r="A41083" s="17"/>
      <c r="H41083" s="18"/>
      <c r="K41083" s="18" t="s">
        <v>316</v>
      </c>
    </row>
    <row r="41084">
      <c r="A41084" s="17"/>
      <c r="H41084" s="18"/>
      <c r="K41084" s="18" t="s">
        <v>316</v>
      </c>
    </row>
    <row r="41085">
      <c r="A41085" s="17"/>
      <c r="H41085" s="18"/>
      <c r="K41085" s="18" t="s">
        <v>316</v>
      </c>
    </row>
    <row r="41086">
      <c r="A41086" s="17"/>
      <c r="H41086" s="18"/>
      <c r="K41086" s="18" t="s">
        <v>316</v>
      </c>
    </row>
    <row r="41087">
      <c r="A41087" s="17"/>
      <c r="H41087" s="18"/>
      <c r="K41087" s="18" t="s">
        <v>316</v>
      </c>
    </row>
    <row r="41088">
      <c r="A41088" s="17"/>
      <c r="H41088" s="18"/>
      <c r="K41088" s="18" t="s">
        <v>316</v>
      </c>
    </row>
    <row r="41089">
      <c r="A41089" s="17"/>
      <c r="H41089" s="18"/>
      <c r="K41089" s="18" t="s">
        <v>316</v>
      </c>
    </row>
    <row r="41090">
      <c r="A41090" s="17"/>
      <c r="H41090" s="18"/>
      <c r="K41090" s="18" t="s">
        <v>316</v>
      </c>
    </row>
    <row r="41091">
      <c r="A41091" s="17"/>
      <c r="H41091" s="18"/>
      <c r="K41091" s="18" t="s">
        <v>316</v>
      </c>
    </row>
    <row r="41092">
      <c r="A41092" s="17"/>
      <c r="H41092" s="18"/>
      <c r="K41092" s="18" t="s">
        <v>316</v>
      </c>
    </row>
    <row r="41093">
      <c r="A41093" s="17"/>
      <c r="H41093" s="18"/>
      <c r="K41093" s="18" t="s">
        <v>316</v>
      </c>
    </row>
    <row r="41094">
      <c r="A41094" s="17"/>
      <c r="H41094" s="18"/>
      <c r="K41094" s="18" t="s">
        <v>316</v>
      </c>
    </row>
    <row r="41095">
      <c r="A41095" s="17"/>
      <c r="H41095" s="18"/>
      <c r="K41095" s="18" t="s">
        <v>316</v>
      </c>
    </row>
    <row r="41096">
      <c r="A41096" s="17"/>
      <c r="H41096" s="18"/>
      <c r="K41096" s="18" t="s">
        <v>316</v>
      </c>
    </row>
    <row r="41097">
      <c r="A41097" s="17"/>
      <c r="H41097" s="18"/>
      <c r="K41097" s="18" t="s">
        <v>316</v>
      </c>
    </row>
    <row r="41098">
      <c r="A41098" s="17"/>
      <c r="H41098" s="18"/>
      <c r="K41098" s="18" t="s">
        <v>316</v>
      </c>
    </row>
    <row r="41099">
      <c r="A41099" s="17"/>
      <c r="H41099" s="18"/>
      <c r="K41099" s="18" t="s">
        <v>316</v>
      </c>
    </row>
    <row r="41100">
      <c r="A41100" s="17"/>
      <c r="H41100" s="18"/>
      <c r="K41100" s="18" t="s">
        <v>316</v>
      </c>
    </row>
    <row r="41101">
      <c r="A41101" s="17"/>
      <c r="H41101" s="18"/>
      <c r="K41101" s="18" t="s">
        <v>316</v>
      </c>
    </row>
    <row r="41102">
      <c r="A41102" s="17"/>
      <c r="H41102" s="18"/>
      <c r="K41102" s="18" t="s">
        <v>316</v>
      </c>
    </row>
    <row r="41103">
      <c r="A41103" s="17"/>
      <c r="H41103" s="18"/>
      <c r="K41103" s="18" t="s">
        <v>316</v>
      </c>
    </row>
    <row r="41104">
      <c r="A41104" s="17"/>
      <c r="H41104" s="18"/>
      <c r="K41104" s="18" t="s">
        <v>316</v>
      </c>
    </row>
    <row r="41105">
      <c r="A41105" s="17"/>
      <c r="H41105" s="18"/>
      <c r="K41105" s="18" t="s">
        <v>316</v>
      </c>
    </row>
    <row r="41106">
      <c r="A41106" s="17"/>
      <c r="H41106" s="18"/>
      <c r="K41106" s="18" t="s">
        <v>316</v>
      </c>
    </row>
    <row r="41107">
      <c r="A41107" s="17"/>
      <c r="H41107" s="18"/>
      <c r="K41107" s="18" t="s">
        <v>316</v>
      </c>
    </row>
    <row r="41108">
      <c r="A41108" s="17"/>
      <c r="H41108" s="18"/>
      <c r="K41108" s="18" t="s">
        <v>316</v>
      </c>
    </row>
    <row r="41109">
      <c r="A41109" s="17"/>
      <c r="H41109" s="18"/>
      <c r="K41109" s="18" t="s">
        <v>316</v>
      </c>
    </row>
    <row r="41110">
      <c r="A41110" s="17"/>
      <c r="H41110" s="18"/>
      <c r="K41110" s="18" t="s">
        <v>316</v>
      </c>
    </row>
    <row r="41111">
      <c r="A41111" s="17"/>
      <c r="H41111" s="18"/>
      <c r="K41111" s="18" t="s">
        <v>316</v>
      </c>
    </row>
    <row r="41112">
      <c r="A41112" s="17"/>
      <c r="H41112" s="18"/>
      <c r="K41112" s="18" t="s">
        <v>316</v>
      </c>
    </row>
    <row r="41113">
      <c r="A41113" s="17"/>
      <c r="H41113" s="18"/>
      <c r="K41113" s="18" t="s">
        <v>316</v>
      </c>
    </row>
    <row r="41114">
      <c r="A41114" s="17"/>
      <c r="H41114" s="18"/>
      <c r="K41114" s="18" t="s">
        <v>316</v>
      </c>
    </row>
    <row r="41115">
      <c r="A41115" s="17"/>
      <c r="H41115" s="18"/>
      <c r="K41115" s="18" t="s">
        <v>316</v>
      </c>
    </row>
    <row r="41116">
      <c r="A41116" s="17"/>
      <c r="H41116" s="18"/>
      <c r="K41116" s="18" t="s">
        <v>316</v>
      </c>
    </row>
    <row r="41117">
      <c r="A41117" s="17"/>
      <c r="H41117" s="18"/>
      <c r="K41117" s="18" t="s">
        <v>316</v>
      </c>
    </row>
    <row r="41118">
      <c r="A41118" s="17"/>
      <c r="H41118" s="18"/>
      <c r="K41118" s="18" t="s">
        <v>316</v>
      </c>
    </row>
    <row r="41119">
      <c r="A41119" s="17"/>
      <c r="H41119" s="18"/>
      <c r="K41119" s="18" t="s">
        <v>316</v>
      </c>
    </row>
    <row r="41120">
      <c r="A41120" s="17"/>
      <c r="H41120" s="18"/>
      <c r="K41120" s="18" t="s">
        <v>316</v>
      </c>
    </row>
    <row r="41121">
      <c r="A41121" s="17"/>
      <c r="H41121" s="18"/>
      <c r="K41121" s="18" t="s">
        <v>316</v>
      </c>
    </row>
    <row r="41122">
      <c r="A41122" s="17"/>
      <c r="H41122" s="18"/>
      <c r="K41122" s="18" t="s">
        <v>316</v>
      </c>
    </row>
    <row r="41123">
      <c r="A41123" s="17"/>
      <c r="H41123" s="18"/>
      <c r="K41123" s="18" t="s">
        <v>316</v>
      </c>
    </row>
    <row r="41124">
      <c r="A41124" s="17"/>
      <c r="H41124" s="18"/>
      <c r="K41124" s="18" t="s">
        <v>316</v>
      </c>
    </row>
    <row r="41125">
      <c r="A41125" s="17"/>
      <c r="H41125" s="18"/>
      <c r="K41125" s="18" t="s">
        <v>316</v>
      </c>
    </row>
    <row r="41126">
      <c r="A41126" s="17"/>
      <c r="H41126" s="18"/>
      <c r="K41126" s="18" t="s">
        <v>316</v>
      </c>
    </row>
    <row r="41127">
      <c r="A41127" s="17"/>
      <c r="H41127" s="18"/>
      <c r="K41127" s="18" t="s">
        <v>316</v>
      </c>
    </row>
    <row r="41128">
      <c r="A41128" s="17"/>
      <c r="H41128" s="18"/>
      <c r="K41128" s="18" t="s">
        <v>316</v>
      </c>
    </row>
    <row r="41129">
      <c r="A41129" s="17"/>
      <c r="H41129" s="18"/>
      <c r="K41129" s="18" t="s">
        <v>316</v>
      </c>
    </row>
    <row r="41130">
      <c r="A41130" s="17"/>
      <c r="H41130" s="18"/>
      <c r="K41130" s="18" t="s">
        <v>316</v>
      </c>
    </row>
    <row r="41131">
      <c r="A41131" s="17"/>
      <c r="H41131" s="18"/>
      <c r="K41131" s="18" t="s">
        <v>316</v>
      </c>
    </row>
    <row r="41132">
      <c r="A41132" s="17"/>
      <c r="H41132" s="18"/>
      <c r="K41132" s="18" t="s">
        <v>316</v>
      </c>
    </row>
    <row r="41133">
      <c r="A41133" s="17"/>
      <c r="H41133" s="18"/>
      <c r="K41133" s="18" t="s">
        <v>316</v>
      </c>
    </row>
    <row r="41134">
      <c r="A41134" s="17"/>
      <c r="H41134" s="18"/>
      <c r="K41134" s="18" t="s">
        <v>316</v>
      </c>
    </row>
    <row r="41135">
      <c r="A41135" s="17"/>
      <c r="H41135" s="18"/>
      <c r="K41135" s="18" t="s">
        <v>316</v>
      </c>
    </row>
    <row r="41136">
      <c r="A41136" s="17"/>
      <c r="H41136" s="18"/>
      <c r="K41136" s="18" t="s">
        <v>316</v>
      </c>
    </row>
    <row r="41137">
      <c r="A41137" s="17"/>
      <c r="H41137" s="18"/>
      <c r="K41137" s="18" t="s">
        <v>316</v>
      </c>
    </row>
    <row r="41138">
      <c r="A41138" s="17"/>
      <c r="H41138" s="18"/>
      <c r="K41138" s="18" t="s">
        <v>316</v>
      </c>
    </row>
    <row r="41139">
      <c r="A41139" s="17"/>
      <c r="H41139" s="18"/>
      <c r="K41139" s="18" t="s">
        <v>316</v>
      </c>
    </row>
    <row r="41140">
      <c r="A41140" s="17"/>
      <c r="H41140" s="18"/>
      <c r="K41140" s="18" t="s">
        <v>316</v>
      </c>
    </row>
    <row r="41141">
      <c r="A41141" s="17"/>
      <c r="H41141" s="18"/>
      <c r="K41141" s="18" t="s">
        <v>316</v>
      </c>
    </row>
    <row r="41142">
      <c r="A41142" s="17"/>
      <c r="H41142" s="18"/>
      <c r="K41142" s="18" t="s">
        <v>316</v>
      </c>
    </row>
    <row r="41143">
      <c r="A41143" s="17"/>
      <c r="H41143" s="18"/>
      <c r="K41143" s="18" t="s">
        <v>316</v>
      </c>
    </row>
    <row r="41144">
      <c r="A41144" s="17"/>
      <c r="H41144" s="18"/>
      <c r="K41144" s="18" t="s">
        <v>316</v>
      </c>
    </row>
    <row r="41145">
      <c r="A41145" s="17"/>
      <c r="H41145" s="18"/>
      <c r="K41145" s="18" t="s">
        <v>316</v>
      </c>
    </row>
    <row r="41146">
      <c r="A41146" s="17"/>
      <c r="H41146" s="18"/>
      <c r="K41146" s="18" t="s">
        <v>316</v>
      </c>
    </row>
    <row r="41147">
      <c r="A41147" s="17"/>
      <c r="H41147" s="18"/>
      <c r="K41147" s="18" t="s">
        <v>316</v>
      </c>
    </row>
    <row r="41148">
      <c r="A41148" s="17"/>
      <c r="H41148" s="18"/>
      <c r="K41148" s="18" t="s">
        <v>316</v>
      </c>
    </row>
    <row r="41149">
      <c r="A41149" s="17"/>
      <c r="H41149" s="18"/>
      <c r="K41149" s="18" t="s">
        <v>316</v>
      </c>
    </row>
    <row r="41150">
      <c r="A41150" s="17"/>
      <c r="H41150" s="18"/>
      <c r="K41150" s="18" t="s">
        <v>316</v>
      </c>
    </row>
    <row r="41151">
      <c r="A41151" s="17"/>
      <c r="H41151" s="18"/>
      <c r="K41151" s="18" t="s">
        <v>316</v>
      </c>
    </row>
    <row r="41152">
      <c r="A41152" s="17"/>
      <c r="H41152" s="18"/>
      <c r="K41152" s="18" t="s">
        <v>316</v>
      </c>
    </row>
    <row r="41153">
      <c r="A41153" s="17"/>
      <c r="H41153" s="18"/>
      <c r="K41153" s="18" t="s">
        <v>316</v>
      </c>
    </row>
    <row r="41154">
      <c r="A41154" s="17"/>
      <c r="H41154" s="18"/>
      <c r="K41154" s="18" t="s">
        <v>316</v>
      </c>
    </row>
    <row r="41155">
      <c r="A41155" s="17"/>
      <c r="H41155" s="18"/>
      <c r="K41155" s="18" t="s">
        <v>316</v>
      </c>
    </row>
    <row r="41156">
      <c r="A41156" s="17"/>
      <c r="H41156" s="18"/>
      <c r="K41156" s="18" t="s">
        <v>316</v>
      </c>
    </row>
    <row r="41157">
      <c r="A41157" s="17"/>
      <c r="H41157" s="18"/>
      <c r="K41157" s="18" t="s">
        <v>316</v>
      </c>
    </row>
    <row r="41158">
      <c r="A41158" s="17"/>
      <c r="H41158" s="18"/>
      <c r="K41158" s="18" t="s">
        <v>316</v>
      </c>
    </row>
    <row r="41159">
      <c r="A41159" s="17"/>
      <c r="H41159" s="18"/>
      <c r="K41159" s="18" t="s">
        <v>316</v>
      </c>
    </row>
    <row r="41160">
      <c r="A41160" s="17"/>
      <c r="H41160" s="18"/>
      <c r="K41160" s="18" t="s">
        <v>316</v>
      </c>
    </row>
    <row r="41161">
      <c r="A41161" s="17"/>
      <c r="H41161" s="18"/>
      <c r="K41161" s="18" t="s">
        <v>316</v>
      </c>
    </row>
    <row r="41162">
      <c r="A41162" s="17"/>
      <c r="H41162" s="18"/>
      <c r="K41162" s="18" t="s">
        <v>316</v>
      </c>
    </row>
    <row r="41163">
      <c r="A41163" s="17"/>
      <c r="H41163" s="18"/>
      <c r="K41163" s="18" t="s">
        <v>316</v>
      </c>
    </row>
    <row r="41164">
      <c r="A41164" s="17"/>
      <c r="H41164" s="18"/>
      <c r="K41164" s="18" t="s">
        <v>316</v>
      </c>
    </row>
    <row r="41165">
      <c r="A41165" s="17"/>
      <c r="H41165" s="18"/>
      <c r="K41165" s="18" t="s">
        <v>316</v>
      </c>
    </row>
    <row r="41166">
      <c r="A41166" s="17"/>
      <c r="H41166" s="18"/>
      <c r="K41166" s="18" t="s">
        <v>316</v>
      </c>
    </row>
    <row r="41167">
      <c r="A41167" s="17"/>
      <c r="H41167" s="18"/>
      <c r="K41167" s="18" t="s">
        <v>316</v>
      </c>
    </row>
    <row r="41168">
      <c r="A41168" s="17"/>
      <c r="H41168" s="18"/>
      <c r="K41168" s="18" t="s">
        <v>316</v>
      </c>
    </row>
    <row r="41169">
      <c r="A41169" s="17"/>
      <c r="H41169" s="18"/>
      <c r="K41169" s="18" t="s">
        <v>316</v>
      </c>
    </row>
    <row r="41170">
      <c r="A41170" s="17"/>
      <c r="H41170" s="18"/>
      <c r="K41170" s="18" t="s">
        <v>316</v>
      </c>
    </row>
    <row r="41171">
      <c r="A41171" s="17"/>
      <c r="H41171" s="18"/>
      <c r="K41171" s="18" t="s">
        <v>316</v>
      </c>
    </row>
    <row r="41172">
      <c r="A41172" s="17"/>
      <c r="H41172" s="18"/>
      <c r="K41172" s="18" t="s">
        <v>316</v>
      </c>
    </row>
    <row r="41173">
      <c r="A41173" s="17"/>
      <c r="H41173" s="18"/>
      <c r="K41173" s="18" t="s">
        <v>316</v>
      </c>
    </row>
    <row r="41174">
      <c r="A41174" s="17"/>
      <c r="H41174" s="18"/>
      <c r="K41174" s="18" t="s">
        <v>316</v>
      </c>
    </row>
    <row r="41175">
      <c r="A41175" s="17"/>
      <c r="H41175" s="18"/>
      <c r="K41175" s="18" t="s">
        <v>316</v>
      </c>
    </row>
    <row r="41176">
      <c r="A41176" s="17"/>
      <c r="H41176" s="18"/>
      <c r="K41176" s="18" t="s">
        <v>316</v>
      </c>
    </row>
    <row r="41177">
      <c r="A41177" s="17"/>
      <c r="H41177" s="18"/>
      <c r="K41177" s="18" t="s">
        <v>316</v>
      </c>
    </row>
    <row r="41178">
      <c r="A41178" s="17"/>
      <c r="H41178" s="18"/>
      <c r="K41178" s="18" t="s">
        <v>316</v>
      </c>
    </row>
    <row r="41179">
      <c r="A41179" s="17"/>
      <c r="H41179" s="18"/>
      <c r="K41179" s="18" t="s">
        <v>316</v>
      </c>
    </row>
    <row r="41180">
      <c r="A41180" s="17"/>
      <c r="H41180" s="18"/>
      <c r="K41180" s="18" t="s">
        <v>316</v>
      </c>
    </row>
    <row r="41181">
      <c r="A41181" s="17"/>
      <c r="H41181" s="18"/>
      <c r="K41181" s="18" t="s">
        <v>316</v>
      </c>
    </row>
    <row r="41182">
      <c r="A41182" s="17"/>
      <c r="H41182" s="18"/>
      <c r="K41182" s="18" t="s">
        <v>316</v>
      </c>
    </row>
    <row r="41183">
      <c r="A41183" s="17"/>
      <c r="H41183" s="18"/>
      <c r="K41183" s="18" t="s">
        <v>316</v>
      </c>
    </row>
    <row r="41184">
      <c r="A41184" s="17"/>
      <c r="H41184" s="18"/>
      <c r="K41184" s="18" t="s">
        <v>316</v>
      </c>
    </row>
    <row r="41185">
      <c r="A41185" s="17"/>
      <c r="H41185" s="18"/>
      <c r="K41185" s="18" t="s">
        <v>316</v>
      </c>
    </row>
    <row r="41186">
      <c r="A41186" s="17"/>
      <c r="H41186" s="18"/>
      <c r="K41186" s="18" t="s">
        <v>316</v>
      </c>
    </row>
    <row r="41187">
      <c r="A41187" s="17"/>
      <c r="H41187" s="18"/>
      <c r="K41187" s="18" t="s">
        <v>316</v>
      </c>
    </row>
    <row r="41188">
      <c r="A41188" s="17"/>
      <c r="H41188" s="18"/>
      <c r="K41188" s="18" t="s">
        <v>316</v>
      </c>
    </row>
    <row r="41189">
      <c r="A41189" s="17"/>
      <c r="H41189" s="18"/>
      <c r="K41189" s="18" t="s">
        <v>316</v>
      </c>
    </row>
    <row r="41190">
      <c r="A41190" s="17"/>
      <c r="H41190" s="18"/>
      <c r="K41190" s="18" t="s">
        <v>316</v>
      </c>
    </row>
    <row r="41191">
      <c r="A41191" s="17"/>
      <c r="H41191" s="18"/>
      <c r="K41191" s="18" t="s">
        <v>316</v>
      </c>
    </row>
    <row r="41192">
      <c r="A41192" s="17"/>
      <c r="H41192" s="18"/>
      <c r="K41192" s="18" t="s">
        <v>316</v>
      </c>
    </row>
    <row r="41193">
      <c r="A41193" s="17"/>
      <c r="H41193" s="18"/>
      <c r="K41193" s="18" t="s">
        <v>316</v>
      </c>
    </row>
    <row r="41194">
      <c r="A41194" s="17"/>
      <c r="H41194" s="18"/>
      <c r="K41194" s="18" t="s">
        <v>316</v>
      </c>
    </row>
    <row r="41195">
      <c r="A41195" s="17"/>
      <c r="H41195" s="18"/>
      <c r="K41195" s="18" t="s">
        <v>316</v>
      </c>
    </row>
    <row r="41196">
      <c r="A41196" s="17"/>
      <c r="H41196" s="18"/>
      <c r="K41196" s="18" t="s">
        <v>316</v>
      </c>
    </row>
    <row r="41197">
      <c r="A41197" s="17"/>
      <c r="H41197" s="18"/>
      <c r="K41197" s="18" t="s">
        <v>316</v>
      </c>
    </row>
    <row r="41198">
      <c r="A41198" s="17"/>
      <c r="H41198" s="18"/>
      <c r="K41198" s="18" t="s">
        <v>316</v>
      </c>
    </row>
    <row r="41199">
      <c r="A41199" s="17"/>
      <c r="H41199" s="18"/>
      <c r="K41199" s="18" t="s">
        <v>316</v>
      </c>
    </row>
    <row r="41200">
      <c r="A41200" s="17"/>
      <c r="H41200" s="18"/>
      <c r="K41200" s="18" t="s">
        <v>316</v>
      </c>
    </row>
    <row r="41201">
      <c r="A41201" s="17"/>
      <c r="H41201" s="18"/>
      <c r="K41201" s="18" t="s">
        <v>316</v>
      </c>
    </row>
    <row r="41202">
      <c r="A41202" s="17"/>
      <c r="H41202" s="18"/>
      <c r="K41202" s="18" t="s">
        <v>316</v>
      </c>
    </row>
    <row r="41203">
      <c r="A41203" s="17"/>
      <c r="H41203" s="18"/>
      <c r="K41203" s="18" t="s">
        <v>316</v>
      </c>
    </row>
    <row r="41204">
      <c r="A41204" s="17"/>
      <c r="H41204" s="18"/>
      <c r="K41204" s="18" t="s">
        <v>316</v>
      </c>
    </row>
    <row r="41205">
      <c r="A41205" s="17"/>
      <c r="H41205" s="18"/>
      <c r="K41205" s="18" t="s">
        <v>316</v>
      </c>
    </row>
    <row r="41206">
      <c r="A41206" s="17"/>
      <c r="H41206" s="18"/>
      <c r="K41206" s="18" t="s">
        <v>316</v>
      </c>
    </row>
    <row r="41207">
      <c r="A41207" s="17"/>
      <c r="H41207" s="18"/>
      <c r="K41207" s="18" t="s">
        <v>316</v>
      </c>
    </row>
    <row r="41208">
      <c r="A41208" s="17"/>
      <c r="H41208" s="18"/>
      <c r="K41208" s="18" t="s">
        <v>316</v>
      </c>
    </row>
    <row r="41209">
      <c r="A41209" s="17"/>
      <c r="H41209" s="18"/>
      <c r="K41209" s="18" t="s">
        <v>316</v>
      </c>
    </row>
    <row r="41210">
      <c r="A41210" s="17"/>
      <c r="H41210" s="18"/>
      <c r="K41210" s="18" t="s">
        <v>316</v>
      </c>
    </row>
    <row r="41211">
      <c r="A41211" s="17"/>
      <c r="H41211" s="18"/>
      <c r="K41211" s="18" t="s">
        <v>316</v>
      </c>
    </row>
    <row r="41212">
      <c r="A41212" s="17"/>
      <c r="H41212" s="18"/>
      <c r="K41212" s="18" t="s">
        <v>316</v>
      </c>
    </row>
    <row r="41213">
      <c r="A41213" s="17"/>
      <c r="H41213" s="18"/>
      <c r="K41213" s="18" t="s">
        <v>316</v>
      </c>
    </row>
    <row r="41214">
      <c r="A41214" s="17"/>
      <c r="H41214" s="18"/>
      <c r="K41214" s="18" t="s">
        <v>316</v>
      </c>
    </row>
    <row r="41215">
      <c r="A41215" s="17"/>
      <c r="H41215" s="18"/>
      <c r="K41215" s="18" t="s">
        <v>316</v>
      </c>
    </row>
    <row r="41216">
      <c r="A41216" s="17"/>
      <c r="H41216" s="18"/>
      <c r="K41216" s="18" t="s">
        <v>316</v>
      </c>
    </row>
    <row r="41217">
      <c r="A41217" s="17"/>
      <c r="H41217" s="18"/>
      <c r="K41217" s="18" t="s">
        <v>316</v>
      </c>
    </row>
    <row r="41218">
      <c r="A41218" s="17"/>
      <c r="H41218" s="18"/>
      <c r="K41218" s="18" t="s">
        <v>316</v>
      </c>
    </row>
    <row r="41219">
      <c r="A41219" s="17"/>
      <c r="H41219" s="18"/>
      <c r="K41219" s="18" t="s">
        <v>316</v>
      </c>
    </row>
    <row r="41220">
      <c r="A41220" s="17"/>
      <c r="H41220" s="18"/>
      <c r="K41220" s="18" t="s">
        <v>316</v>
      </c>
    </row>
    <row r="41221">
      <c r="A41221" s="17"/>
      <c r="H41221" s="18"/>
      <c r="K41221" s="18" t="s">
        <v>316</v>
      </c>
    </row>
    <row r="41222">
      <c r="A41222" s="17"/>
      <c r="H41222" s="18"/>
      <c r="K41222" s="18" t="s">
        <v>316</v>
      </c>
    </row>
    <row r="41223">
      <c r="A41223" s="17"/>
      <c r="H41223" s="18"/>
      <c r="K41223" s="18" t="s">
        <v>316</v>
      </c>
    </row>
    <row r="41224">
      <c r="A41224" s="17"/>
      <c r="H41224" s="18"/>
      <c r="K41224" s="18" t="s">
        <v>316</v>
      </c>
    </row>
    <row r="41225">
      <c r="A41225" s="17"/>
      <c r="H41225" s="18"/>
      <c r="K41225" s="18" t="s">
        <v>316</v>
      </c>
    </row>
    <row r="41226">
      <c r="A41226" s="17"/>
      <c r="H41226" s="18"/>
      <c r="K41226" s="18" t="s">
        <v>316</v>
      </c>
    </row>
    <row r="41227">
      <c r="A41227" s="17"/>
      <c r="H41227" s="18"/>
      <c r="K41227" s="18" t="s">
        <v>316</v>
      </c>
    </row>
    <row r="41228">
      <c r="A41228" s="17"/>
      <c r="H41228" s="18"/>
      <c r="K41228" s="18" t="s">
        <v>316</v>
      </c>
    </row>
    <row r="41229">
      <c r="A41229" s="17"/>
      <c r="H41229" s="18"/>
      <c r="K41229" s="18" t="s">
        <v>316</v>
      </c>
    </row>
    <row r="41230">
      <c r="A41230" s="17"/>
      <c r="H41230" s="18"/>
      <c r="K41230" s="18" t="s">
        <v>316</v>
      </c>
    </row>
    <row r="41231">
      <c r="A41231" s="17"/>
      <c r="H41231" s="18"/>
      <c r="K41231" s="18" t="s">
        <v>316</v>
      </c>
    </row>
    <row r="41232">
      <c r="A41232" s="17"/>
      <c r="H41232" s="18"/>
      <c r="K41232" s="18" t="s">
        <v>316</v>
      </c>
    </row>
    <row r="41233">
      <c r="A41233" s="17"/>
      <c r="H41233" s="18"/>
      <c r="K41233" s="18" t="s">
        <v>316</v>
      </c>
    </row>
    <row r="41234">
      <c r="A41234" s="17"/>
      <c r="H41234" s="18"/>
      <c r="K41234" s="18" t="s">
        <v>316</v>
      </c>
    </row>
    <row r="41235">
      <c r="A41235" s="17"/>
      <c r="H41235" s="18"/>
      <c r="K41235" s="18" t="s">
        <v>316</v>
      </c>
    </row>
    <row r="41236">
      <c r="A41236" s="17"/>
      <c r="H41236" s="18"/>
      <c r="K41236" s="18" t="s">
        <v>316</v>
      </c>
    </row>
    <row r="41237">
      <c r="A41237" s="17"/>
      <c r="H41237" s="18"/>
      <c r="K41237" s="18" t="s">
        <v>316</v>
      </c>
    </row>
    <row r="41238">
      <c r="A41238" s="17"/>
      <c r="H41238" s="18"/>
      <c r="K41238" s="18" t="s">
        <v>316</v>
      </c>
    </row>
    <row r="41239">
      <c r="A41239" s="17"/>
      <c r="H41239" s="18"/>
      <c r="K41239" s="18" t="s">
        <v>316</v>
      </c>
    </row>
    <row r="41240">
      <c r="A41240" s="17"/>
      <c r="H41240" s="18"/>
      <c r="K41240" s="18" t="s">
        <v>316</v>
      </c>
    </row>
    <row r="41241">
      <c r="A41241" s="17"/>
      <c r="H41241" s="18"/>
      <c r="K41241" s="18" t="s">
        <v>316</v>
      </c>
    </row>
    <row r="41242">
      <c r="A41242" s="17"/>
      <c r="H41242" s="18"/>
      <c r="K41242" s="18" t="s">
        <v>316</v>
      </c>
    </row>
    <row r="41243">
      <c r="A41243" s="17"/>
      <c r="H41243" s="18"/>
      <c r="K41243" s="18" t="s">
        <v>316</v>
      </c>
    </row>
    <row r="41244">
      <c r="A41244" s="17"/>
      <c r="H41244" s="18"/>
      <c r="K41244" s="18" t="s">
        <v>316</v>
      </c>
    </row>
    <row r="41245">
      <c r="A41245" s="17"/>
      <c r="H41245" s="18"/>
      <c r="K41245" s="18" t="s">
        <v>316</v>
      </c>
    </row>
    <row r="41246">
      <c r="A41246" s="17"/>
      <c r="H41246" s="18"/>
      <c r="K41246" s="18" t="s">
        <v>316</v>
      </c>
    </row>
    <row r="41247">
      <c r="A41247" s="17"/>
      <c r="H41247" s="18"/>
      <c r="K41247" s="18" t="s">
        <v>316</v>
      </c>
    </row>
    <row r="41248">
      <c r="A41248" s="17"/>
      <c r="H41248" s="18"/>
      <c r="K41248" s="18" t="s">
        <v>316</v>
      </c>
    </row>
    <row r="41249">
      <c r="A41249" s="17"/>
      <c r="H41249" s="18"/>
      <c r="K41249" s="18" t="s">
        <v>316</v>
      </c>
    </row>
    <row r="41250">
      <c r="A41250" s="17"/>
      <c r="H41250" s="18"/>
      <c r="K41250" s="18" t="s">
        <v>316</v>
      </c>
    </row>
    <row r="41251">
      <c r="A41251" s="17"/>
      <c r="H41251" s="18"/>
      <c r="K41251" s="18" t="s">
        <v>316</v>
      </c>
    </row>
    <row r="41252">
      <c r="A41252" s="17"/>
      <c r="H41252" s="18"/>
      <c r="K41252" s="18" t="s">
        <v>316</v>
      </c>
    </row>
    <row r="41253">
      <c r="A41253" s="17"/>
      <c r="H41253" s="18"/>
      <c r="K41253" s="18" t="s">
        <v>316</v>
      </c>
    </row>
    <row r="41254">
      <c r="A41254" s="17"/>
      <c r="H41254" s="18"/>
      <c r="K41254" s="18" t="s">
        <v>316</v>
      </c>
    </row>
    <row r="41255">
      <c r="A41255" s="17"/>
      <c r="H41255" s="18"/>
      <c r="K41255" s="18" t="s">
        <v>316</v>
      </c>
    </row>
    <row r="41256">
      <c r="A41256" s="17"/>
      <c r="H41256" s="18"/>
      <c r="K41256" s="18" t="s">
        <v>316</v>
      </c>
    </row>
    <row r="41257">
      <c r="A41257" s="17"/>
      <c r="H41257" s="18"/>
      <c r="K41257" s="18" t="s">
        <v>316</v>
      </c>
    </row>
    <row r="41258">
      <c r="A41258" s="17"/>
      <c r="H41258" s="18"/>
      <c r="K41258" s="18" t="s">
        <v>316</v>
      </c>
    </row>
    <row r="41259">
      <c r="A41259" s="17"/>
      <c r="H41259" s="18"/>
      <c r="K41259" s="18" t="s">
        <v>316</v>
      </c>
    </row>
    <row r="41260">
      <c r="A41260" s="17"/>
      <c r="H41260" s="18"/>
      <c r="K41260" s="18" t="s">
        <v>316</v>
      </c>
    </row>
    <row r="41261">
      <c r="A41261" s="17"/>
      <c r="H41261" s="18"/>
      <c r="K41261" s="18" t="s">
        <v>316</v>
      </c>
    </row>
    <row r="41262">
      <c r="A41262" s="17"/>
      <c r="H41262" s="18"/>
      <c r="K41262" s="18" t="s">
        <v>316</v>
      </c>
    </row>
    <row r="41263">
      <c r="A41263" s="17"/>
      <c r="H41263" s="18"/>
      <c r="K41263" s="18" t="s">
        <v>316</v>
      </c>
    </row>
    <row r="41264">
      <c r="A41264" s="17"/>
      <c r="H41264" s="18"/>
      <c r="K41264" s="18" t="s">
        <v>316</v>
      </c>
    </row>
    <row r="41265">
      <c r="A41265" s="17"/>
      <c r="H41265" s="18"/>
      <c r="K41265" s="18" t="s">
        <v>316</v>
      </c>
    </row>
    <row r="41266">
      <c r="A41266" s="17"/>
      <c r="H41266" s="18"/>
      <c r="K41266" s="18" t="s">
        <v>316</v>
      </c>
    </row>
    <row r="41267">
      <c r="A41267" s="17"/>
      <c r="H41267" s="18"/>
      <c r="K41267" s="18" t="s">
        <v>316</v>
      </c>
    </row>
    <row r="41268">
      <c r="A41268" s="17"/>
      <c r="H41268" s="18"/>
      <c r="K41268" s="18" t="s">
        <v>316</v>
      </c>
    </row>
    <row r="41269">
      <c r="A41269" s="17"/>
      <c r="H41269" s="18"/>
      <c r="K41269" s="18" t="s">
        <v>316</v>
      </c>
    </row>
    <row r="41270">
      <c r="A41270" s="17"/>
      <c r="H41270" s="18"/>
      <c r="K41270" s="18" t="s">
        <v>316</v>
      </c>
    </row>
    <row r="41271">
      <c r="A41271" s="17"/>
      <c r="H41271" s="18"/>
      <c r="K41271" s="18" t="s">
        <v>316</v>
      </c>
    </row>
    <row r="41272">
      <c r="A41272" s="17"/>
      <c r="H41272" s="18"/>
      <c r="K41272" s="18" t="s">
        <v>316</v>
      </c>
    </row>
    <row r="41273">
      <c r="A41273" s="17"/>
      <c r="H41273" s="18"/>
      <c r="K41273" s="18" t="s">
        <v>316</v>
      </c>
    </row>
    <row r="41274">
      <c r="A41274" s="17"/>
      <c r="H41274" s="18"/>
      <c r="K41274" s="18" t="s">
        <v>316</v>
      </c>
    </row>
    <row r="41275">
      <c r="A41275" s="17"/>
      <c r="H41275" s="18"/>
      <c r="K41275" s="18" t="s">
        <v>316</v>
      </c>
    </row>
    <row r="41276">
      <c r="A41276" s="17"/>
      <c r="H41276" s="18"/>
      <c r="K41276" s="18" t="s">
        <v>316</v>
      </c>
    </row>
    <row r="41277">
      <c r="A41277" s="17"/>
      <c r="H41277" s="18"/>
      <c r="K41277" s="18" t="s">
        <v>316</v>
      </c>
    </row>
    <row r="41278">
      <c r="A41278" s="17"/>
      <c r="H41278" s="18"/>
      <c r="K41278" s="18" t="s">
        <v>316</v>
      </c>
    </row>
    <row r="41279">
      <c r="A41279" s="17"/>
      <c r="H41279" s="18"/>
      <c r="K41279" s="18" t="s">
        <v>316</v>
      </c>
    </row>
    <row r="41280">
      <c r="A41280" s="17"/>
      <c r="H41280" s="18"/>
      <c r="K41280" s="18" t="s">
        <v>316</v>
      </c>
    </row>
    <row r="41281">
      <c r="A41281" s="17"/>
      <c r="H41281" s="18"/>
      <c r="K41281" s="18" t="s">
        <v>316</v>
      </c>
    </row>
    <row r="41282">
      <c r="A41282" s="17"/>
      <c r="H41282" s="18"/>
      <c r="K41282" s="18" t="s">
        <v>316</v>
      </c>
    </row>
    <row r="41283">
      <c r="A41283" s="17"/>
      <c r="H41283" s="18"/>
      <c r="K41283" s="18" t="s">
        <v>316</v>
      </c>
    </row>
    <row r="41284">
      <c r="A41284" s="17"/>
      <c r="H41284" s="18"/>
      <c r="K41284" s="18" t="s">
        <v>316</v>
      </c>
    </row>
    <row r="41285">
      <c r="A41285" s="17"/>
      <c r="H41285" s="18"/>
      <c r="K41285" s="18" t="s">
        <v>316</v>
      </c>
    </row>
    <row r="41286">
      <c r="A41286" s="17"/>
      <c r="H41286" s="18"/>
      <c r="K41286" s="18" t="s">
        <v>316</v>
      </c>
    </row>
    <row r="41287">
      <c r="A41287" s="17"/>
      <c r="H41287" s="18"/>
      <c r="K41287" s="18" t="s">
        <v>316</v>
      </c>
    </row>
    <row r="41288">
      <c r="A41288" s="17"/>
      <c r="H41288" s="18"/>
      <c r="K41288" s="18" t="s">
        <v>316</v>
      </c>
    </row>
    <row r="41289">
      <c r="A41289" s="17"/>
      <c r="H41289" s="18"/>
      <c r="K41289" s="18" t="s">
        <v>316</v>
      </c>
    </row>
    <row r="41290">
      <c r="A41290" s="17"/>
      <c r="H41290" s="18"/>
      <c r="K41290" s="18" t="s">
        <v>316</v>
      </c>
    </row>
    <row r="41291">
      <c r="A41291" s="17"/>
      <c r="H41291" s="18"/>
      <c r="K41291" s="18" t="s">
        <v>316</v>
      </c>
    </row>
    <row r="41292">
      <c r="A41292" s="17"/>
      <c r="H41292" s="18"/>
      <c r="K41292" s="18" t="s">
        <v>316</v>
      </c>
    </row>
    <row r="41293">
      <c r="A41293" s="17"/>
      <c r="H41293" s="18"/>
      <c r="K41293" s="18" t="s">
        <v>316</v>
      </c>
    </row>
    <row r="41294">
      <c r="A41294" s="17"/>
      <c r="H41294" s="18"/>
      <c r="K41294" s="18" t="s">
        <v>316</v>
      </c>
    </row>
    <row r="41295">
      <c r="A41295" s="17"/>
      <c r="H41295" s="18"/>
      <c r="K41295" s="18" t="s">
        <v>316</v>
      </c>
    </row>
    <row r="41296">
      <c r="A41296" s="17"/>
      <c r="H41296" s="18"/>
      <c r="K41296" s="18" t="s">
        <v>316</v>
      </c>
    </row>
    <row r="41297">
      <c r="A41297" s="17"/>
      <c r="H41297" s="18"/>
      <c r="K41297" s="18" t="s">
        <v>316</v>
      </c>
    </row>
    <row r="41298">
      <c r="A41298" s="17"/>
      <c r="H41298" s="18"/>
      <c r="K41298" s="18" t="s">
        <v>316</v>
      </c>
    </row>
    <row r="41299">
      <c r="A41299" s="17"/>
      <c r="H41299" s="18"/>
      <c r="K41299" s="18" t="s">
        <v>316</v>
      </c>
    </row>
    <row r="41300">
      <c r="A41300" s="17"/>
      <c r="H41300" s="18"/>
      <c r="K41300" s="18" t="s">
        <v>316</v>
      </c>
    </row>
    <row r="41301">
      <c r="A41301" s="17"/>
      <c r="H41301" s="18"/>
      <c r="K41301" s="18" t="s">
        <v>316</v>
      </c>
    </row>
    <row r="41302">
      <c r="A41302" s="17"/>
      <c r="H41302" s="18"/>
      <c r="K41302" s="18" t="s">
        <v>316</v>
      </c>
    </row>
    <row r="41303">
      <c r="A41303" s="17"/>
      <c r="H41303" s="18"/>
      <c r="K41303" s="18" t="s">
        <v>316</v>
      </c>
    </row>
    <row r="41304">
      <c r="A41304" s="17"/>
      <c r="H41304" s="18"/>
      <c r="K41304" s="18" t="s">
        <v>316</v>
      </c>
    </row>
    <row r="41305">
      <c r="A41305" s="17"/>
      <c r="H41305" s="18"/>
      <c r="K41305" s="18" t="s">
        <v>316</v>
      </c>
    </row>
    <row r="41306">
      <c r="A41306" s="17"/>
      <c r="H41306" s="18"/>
      <c r="K41306" s="18" t="s">
        <v>316</v>
      </c>
    </row>
    <row r="41307">
      <c r="A41307" s="17"/>
      <c r="H41307" s="18"/>
      <c r="K41307" s="18" t="s">
        <v>316</v>
      </c>
    </row>
    <row r="41308">
      <c r="A41308" s="17"/>
      <c r="H41308" s="18"/>
      <c r="K41308" s="18" t="s">
        <v>316</v>
      </c>
    </row>
    <row r="41309">
      <c r="A41309" s="17"/>
      <c r="H41309" s="18"/>
      <c r="K41309" s="18" t="s">
        <v>316</v>
      </c>
    </row>
    <row r="41310">
      <c r="A41310" s="17"/>
      <c r="H41310" s="18"/>
      <c r="K41310" s="18" t="s">
        <v>316</v>
      </c>
    </row>
    <row r="41311">
      <c r="A41311" s="17"/>
      <c r="H41311" s="18"/>
      <c r="K41311" s="18" t="s">
        <v>316</v>
      </c>
    </row>
    <row r="41312">
      <c r="A41312" s="17"/>
      <c r="H41312" s="18"/>
      <c r="K41312" s="18" t="s">
        <v>316</v>
      </c>
    </row>
    <row r="41313">
      <c r="A41313" s="17"/>
      <c r="H41313" s="18"/>
      <c r="K41313" s="18" t="s">
        <v>316</v>
      </c>
    </row>
    <row r="41314">
      <c r="A41314" s="17"/>
      <c r="H41314" s="18"/>
      <c r="K41314" s="18" t="s">
        <v>316</v>
      </c>
    </row>
    <row r="41315">
      <c r="A41315" s="17"/>
      <c r="H41315" s="18"/>
      <c r="K41315" s="18" t="s">
        <v>316</v>
      </c>
    </row>
    <row r="41316">
      <c r="A41316" s="17"/>
      <c r="H41316" s="18"/>
      <c r="K41316" s="18" t="s">
        <v>316</v>
      </c>
    </row>
    <row r="41317">
      <c r="A41317" s="17"/>
      <c r="H41317" s="18"/>
      <c r="K41317" s="18" t="s">
        <v>316</v>
      </c>
    </row>
    <row r="41318">
      <c r="A41318" s="17"/>
      <c r="H41318" s="18"/>
      <c r="K41318" s="18" t="s">
        <v>316</v>
      </c>
    </row>
    <row r="41319">
      <c r="A41319" s="17"/>
      <c r="H41319" s="18"/>
      <c r="K41319" s="18" t="s">
        <v>316</v>
      </c>
    </row>
    <row r="41320">
      <c r="A41320" s="17"/>
      <c r="H41320" s="18"/>
      <c r="K41320" s="18" t="s">
        <v>316</v>
      </c>
    </row>
    <row r="41321">
      <c r="A41321" s="17"/>
      <c r="H41321" s="18"/>
      <c r="K41321" s="18" t="s">
        <v>316</v>
      </c>
    </row>
    <row r="41322">
      <c r="A41322" s="17"/>
      <c r="H41322" s="18"/>
      <c r="K41322" s="18" t="s">
        <v>316</v>
      </c>
    </row>
    <row r="41323">
      <c r="A41323" s="17"/>
      <c r="H41323" s="18"/>
      <c r="K41323" s="18" t="s">
        <v>316</v>
      </c>
    </row>
    <row r="41324">
      <c r="A41324" s="17"/>
      <c r="H41324" s="18"/>
      <c r="K41324" s="18" t="s">
        <v>316</v>
      </c>
    </row>
    <row r="41325">
      <c r="A41325" s="17"/>
      <c r="H41325" s="18"/>
      <c r="K41325" s="18" t="s">
        <v>316</v>
      </c>
    </row>
    <row r="41326">
      <c r="A41326" s="17"/>
      <c r="H41326" s="18"/>
      <c r="K41326" s="18" t="s">
        <v>316</v>
      </c>
    </row>
    <row r="41327">
      <c r="A41327" s="17"/>
      <c r="H41327" s="18"/>
      <c r="K41327" s="18" t="s">
        <v>316</v>
      </c>
    </row>
    <row r="41328">
      <c r="A41328" s="17"/>
      <c r="H41328" s="18"/>
      <c r="K41328" s="18" t="s">
        <v>316</v>
      </c>
    </row>
    <row r="41329">
      <c r="A41329" s="17"/>
      <c r="H41329" s="18"/>
      <c r="K41329" s="18" t="s">
        <v>316</v>
      </c>
    </row>
    <row r="41330">
      <c r="A41330" s="17"/>
      <c r="H41330" s="18"/>
      <c r="K41330" s="18" t="s">
        <v>316</v>
      </c>
    </row>
    <row r="41331">
      <c r="A41331" s="17"/>
      <c r="H41331" s="18"/>
      <c r="K41331" s="18" t="s">
        <v>316</v>
      </c>
    </row>
    <row r="41332">
      <c r="A41332" s="17"/>
      <c r="H41332" s="18"/>
      <c r="K41332" s="18" t="s">
        <v>316</v>
      </c>
    </row>
    <row r="41333">
      <c r="A41333" s="17"/>
      <c r="H41333" s="18"/>
      <c r="K41333" s="18" t="s">
        <v>316</v>
      </c>
    </row>
    <row r="41334">
      <c r="A41334" s="17"/>
      <c r="H41334" s="18"/>
      <c r="K41334" s="18" t="s">
        <v>316</v>
      </c>
    </row>
    <row r="41335">
      <c r="A41335" s="17"/>
      <c r="H41335" s="18"/>
      <c r="K41335" s="18" t="s">
        <v>316</v>
      </c>
    </row>
    <row r="41336">
      <c r="A41336" s="17"/>
      <c r="H41336" s="18"/>
      <c r="K41336" s="18" t="s">
        <v>316</v>
      </c>
    </row>
    <row r="41337">
      <c r="A41337" s="17"/>
      <c r="H41337" s="18"/>
      <c r="K41337" s="18" t="s">
        <v>316</v>
      </c>
    </row>
    <row r="41338">
      <c r="A41338" s="17"/>
      <c r="H41338" s="18"/>
      <c r="K41338" s="18" t="s">
        <v>316</v>
      </c>
    </row>
    <row r="41339">
      <c r="A41339" s="17"/>
      <c r="H41339" s="18"/>
      <c r="K41339" s="18" t="s">
        <v>316</v>
      </c>
    </row>
    <row r="41340">
      <c r="A41340" s="17"/>
      <c r="H41340" s="18"/>
      <c r="K41340" s="18" t="s">
        <v>316</v>
      </c>
    </row>
    <row r="41341">
      <c r="A41341" s="17"/>
      <c r="H41341" s="18"/>
      <c r="K41341" s="18" t="s">
        <v>316</v>
      </c>
    </row>
    <row r="41342">
      <c r="A41342" s="17"/>
      <c r="H41342" s="18"/>
      <c r="K41342" s="18" t="s">
        <v>316</v>
      </c>
    </row>
    <row r="41343">
      <c r="A41343" s="17"/>
      <c r="H41343" s="18"/>
      <c r="K41343" s="18" t="s">
        <v>316</v>
      </c>
    </row>
    <row r="41344">
      <c r="A41344" s="17"/>
      <c r="H41344" s="18"/>
      <c r="K41344" s="18" t="s">
        <v>316</v>
      </c>
    </row>
    <row r="41345">
      <c r="A41345" s="17"/>
      <c r="H41345" s="18"/>
      <c r="K41345" s="18" t="s">
        <v>316</v>
      </c>
    </row>
    <row r="41346">
      <c r="A41346" s="17"/>
      <c r="H41346" s="18"/>
      <c r="K41346" s="18" t="s">
        <v>316</v>
      </c>
    </row>
    <row r="41347">
      <c r="A41347" s="17"/>
      <c r="H41347" s="18"/>
      <c r="K41347" s="18" t="s">
        <v>316</v>
      </c>
    </row>
    <row r="41348">
      <c r="A41348" s="17"/>
      <c r="H41348" s="18"/>
      <c r="K41348" s="18" t="s">
        <v>316</v>
      </c>
    </row>
    <row r="41349">
      <c r="A41349" s="17"/>
      <c r="H41349" s="18"/>
      <c r="K41349" s="18" t="s">
        <v>316</v>
      </c>
    </row>
    <row r="41350">
      <c r="A41350" s="17"/>
      <c r="H41350" s="18"/>
      <c r="K41350" s="18" t="s">
        <v>316</v>
      </c>
    </row>
    <row r="41351">
      <c r="A41351" s="17"/>
      <c r="H41351" s="18"/>
      <c r="K41351" s="18" t="s">
        <v>316</v>
      </c>
    </row>
    <row r="41352">
      <c r="A41352" s="17"/>
      <c r="H41352" s="18"/>
      <c r="K41352" s="18" t="s">
        <v>316</v>
      </c>
    </row>
    <row r="41353">
      <c r="A41353" s="17"/>
      <c r="H41353" s="18"/>
      <c r="K41353" s="18" t="s">
        <v>316</v>
      </c>
    </row>
    <row r="41354">
      <c r="A41354" s="17"/>
      <c r="H41354" s="18"/>
      <c r="K41354" s="18" t="s">
        <v>316</v>
      </c>
    </row>
    <row r="41355">
      <c r="A41355" s="17"/>
      <c r="H41355" s="18"/>
      <c r="K41355" s="18" t="s">
        <v>316</v>
      </c>
    </row>
    <row r="41356">
      <c r="A41356" s="17"/>
      <c r="H41356" s="18"/>
      <c r="K41356" s="18" t="s">
        <v>316</v>
      </c>
    </row>
    <row r="41357">
      <c r="A41357" s="17"/>
      <c r="H41357" s="18"/>
      <c r="K41357" s="18" t="s">
        <v>316</v>
      </c>
    </row>
    <row r="41358">
      <c r="A41358" s="17"/>
      <c r="H41358" s="18"/>
      <c r="K41358" s="18" t="s">
        <v>316</v>
      </c>
    </row>
    <row r="41359">
      <c r="A41359" s="17"/>
      <c r="H41359" s="18"/>
      <c r="K41359" s="18" t="s">
        <v>316</v>
      </c>
    </row>
    <row r="41360">
      <c r="A41360" s="17"/>
      <c r="H41360" s="18"/>
      <c r="K41360" s="18" t="s">
        <v>316</v>
      </c>
    </row>
    <row r="41361">
      <c r="A41361" s="17"/>
      <c r="H41361" s="18"/>
      <c r="K41361" s="18" t="s">
        <v>316</v>
      </c>
    </row>
    <row r="41362">
      <c r="A41362" s="17"/>
      <c r="H41362" s="18"/>
      <c r="K41362" s="18" t="s">
        <v>316</v>
      </c>
    </row>
    <row r="41363">
      <c r="A41363" s="17"/>
      <c r="H41363" s="18"/>
      <c r="K41363" s="18" t="s">
        <v>316</v>
      </c>
    </row>
    <row r="41364">
      <c r="A41364" s="17"/>
      <c r="H41364" s="18"/>
      <c r="K41364" s="18" t="s">
        <v>316</v>
      </c>
    </row>
    <row r="41365">
      <c r="A41365" s="17"/>
      <c r="H41365" s="18"/>
      <c r="K41365" s="18" t="s">
        <v>316</v>
      </c>
    </row>
    <row r="41366">
      <c r="A41366" s="17"/>
      <c r="H41366" s="18"/>
      <c r="K41366" s="18" t="s">
        <v>316</v>
      </c>
    </row>
    <row r="41367">
      <c r="A41367" s="17"/>
      <c r="H41367" s="18"/>
      <c r="K41367" s="18" t="s">
        <v>316</v>
      </c>
    </row>
    <row r="41368">
      <c r="A41368" s="17"/>
      <c r="H41368" s="18"/>
      <c r="K41368" s="18" t="s">
        <v>316</v>
      </c>
    </row>
    <row r="41369">
      <c r="A41369" s="17"/>
      <c r="H41369" s="18"/>
      <c r="K41369" s="18" t="s">
        <v>316</v>
      </c>
    </row>
    <row r="41370">
      <c r="A41370" s="17"/>
      <c r="H41370" s="18"/>
      <c r="K41370" s="18" t="s">
        <v>316</v>
      </c>
    </row>
    <row r="41371">
      <c r="A41371" s="17"/>
      <c r="H41371" s="18"/>
      <c r="K41371" s="18" t="s">
        <v>316</v>
      </c>
    </row>
    <row r="41372">
      <c r="A41372" s="17"/>
      <c r="H41372" s="18"/>
      <c r="K41372" s="18" t="s">
        <v>316</v>
      </c>
    </row>
    <row r="41373">
      <c r="A41373" s="17"/>
      <c r="H41373" s="18"/>
      <c r="K41373" s="18" t="s">
        <v>316</v>
      </c>
    </row>
    <row r="41374">
      <c r="A41374" s="17"/>
      <c r="H41374" s="18"/>
      <c r="K41374" s="18" t="s">
        <v>316</v>
      </c>
    </row>
    <row r="41375">
      <c r="A41375" s="17"/>
      <c r="H41375" s="18"/>
      <c r="K41375" s="18" t="s">
        <v>316</v>
      </c>
    </row>
    <row r="41376">
      <c r="A41376" s="17"/>
      <c r="H41376" s="18"/>
      <c r="K41376" s="18" t="s">
        <v>316</v>
      </c>
    </row>
    <row r="41377">
      <c r="A41377" s="17"/>
      <c r="H41377" s="18"/>
      <c r="K41377" s="18" t="s">
        <v>316</v>
      </c>
    </row>
    <row r="41378">
      <c r="A41378" s="17"/>
      <c r="H41378" s="18"/>
      <c r="K41378" s="18" t="s">
        <v>316</v>
      </c>
    </row>
    <row r="41379">
      <c r="A41379" s="17"/>
      <c r="H41379" s="18"/>
      <c r="K41379" s="18" t="s">
        <v>316</v>
      </c>
    </row>
    <row r="41380">
      <c r="A41380" s="17"/>
      <c r="H41380" s="18"/>
      <c r="K41380" s="18" t="s">
        <v>316</v>
      </c>
    </row>
    <row r="41381">
      <c r="A41381" s="17"/>
      <c r="H41381" s="18"/>
      <c r="K41381" s="18" t="s">
        <v>316</v>
      </c>
    </row>
    <row r="41382">
      <c r="A41382" s="17"/>
      <c r="H41382" s="18"/>
      <c r="K41382" s="18" t="s">
        <v>316</v>
      </c>
    </row>
    <row r="41383">
      <c r="A41383" s="17"/>
      <c r="H41383" s="18"/>
      <c r="K41383" s="18" t="s">
        <v>316</v>
      </c>
    </row>
    <row r="41384">
      <c r="A41384" s="17"/>
      <c r="H41384" s="18"/>
      <c r="K41384" s="18" t="s">
        <v>316</v>
      </c>
    </row>
    <row r="41385">
      <c r="A41385" s="17"/>
      <c r="H41385" s="18"/>
      <c r="K41385" s="18" t="s">
        <v>316</v>
      </c>
    </row>
    <row r="41386">
      <c r="A41386" s="17"/>
      <c r="H41386" s="18"/>
      <c r="K41386" s="18" t="s">
        <v>316</v>
      </c>
    </row>
    <row r="41387">
      <c r="A41387" s="17"/>
      <c r="H41387" s="18"/>
      <c r="K41387" s="18" t="s">
        <v>316</v>
      </c>
    </row>
    <row r="41388">
      <c r="A41388" s="17"/>
      <c r="H41388" s="18"/>
      <c r="K41388" s="18" t="s">
        <v>316</v>
      </c>
    </row>
    <row r="41389">
      <c r="A41389" s="17"/>
      <c r="H41389" s="18"/>
      <c r="K41389" s="18" t="s">
        <v>316</v>
      </c>
    </row>
    <row r="41390">
      <c r="A41390" s="17"/>
      <c r="H41390" s="18"/>
      <c r="K41390" s="18" t="s">
        <v>316</v>
      </c>
    </row>
    <row r="41391">
      <c r="A41391" s="17"/>
      <c r="H41391" s="18"/>
      <c r="K41391" s="18" t="s">
        <v>316</v>
      </c>
    </row>
    <row r="41392">
      <c r="A41392" s="17"/>
      <c r="H41392" s="18"/>
      <c r="K41392" s="18" t="s">
        <v>316</v>
      </c>
    </row>
    <row r="41393">
      <c r="A41393" s="17"/>
      <c r="H41393" s="18"/>
      <c r="K41393" s="18" t="s">
        <v>316</v>
      </c>
    </row>
    <row r="41394">
      <c r="A41394" s="17"/>
      <c r="H41394" s="18"/>
      <c r="K41394" s="18" t="s">
        <v>316</v>
      </c>
    </row>
    <row r="41395">
      <c r="A41395" s="17"/>
      <c r="H41395" s="18"/>
      <c r="K41395" s="18" t="s">
        <v>316</v>
      </c>
    </row>
    <row r="41396">
      <c r="A41396" s="17"/>
      <c r="H41396" s="18"/>
      <c r="K41396" s="18" t="s">
        <v>316</v>
      </c>
    </row>
    <row r="41397">
      <c r="A41397" s="17"/>
      <c r="H41397" s="18"/>
      <c r="K41397" s="18" t="s">
        <v>316</v>
      </c>
    </row>
    <row r="41398">
      <c r="A41398" s="17"/>
      <c r="H41398" s="18"/>
      <c r="K41398" s="18" t="s">
        <v>316</v>
      </c>
    </row>
    <row r="41399">
      <c r="A41399" s="17"/>
      <c r="H41399" s="18"/>
      <c r="K41399" s="18" t="s">
        <v>316</v>
      </c>
    </row>
    <row r="41400">
      <c r="A41400" s="17"/>
      <c r="H41400" s="18"/>
      <c r="K41400" s="18" t="s">
        <v>316</v>
      </c>
    </row>
    <row r="41401">
      <c r="A41401" s="17"/>
      <c r="H41401" s="18"/>
      <c r="K41401" s="18" t="s">
        <v>316</v>
      </c>
    </row>
    <row r="41402">
      <c r="A41402" s="17"/>
      <c r="H41402" s="18"/>
      <c r="K41402" s="18" t="s">
        <v>316</v>
      </c>
    </row>
    <row r="41403">
      <c r="A41403" s="17"/>
      <c r="H41403" s="18"/>
      <c r="K41403" s="18" t="s">
        <v>316</v>
      </c>
    </row>
    <row r="41404">
      <c r="A41404" s="17"/>
      <c r="H41404" s="18"/>
      <c r="K41404" s="18" t="s">
        <v>316</v>
      </c>
    </row>
    <row r="41405">
      <c r="A41405" s="17"/>
      <c r="H41405" s="18"/>
      <c r="K41405" s="18" t="s">
        <v>316</v>
      </c>
    </row>
    <row r="41406">
      <c r="A41406" s="17"/>
      <c r="H41406" s="18"/>
      <c r="K41406" s="18" t="s">
        <v>316</v>
      </c>
    </row>
    <row r="41407">
      <c r="A41407" s="17"/>
      <c r="H41407" s="18"/>
      <c r="K41407" s="18" t="s">
        <v>316</v>
      </c>
    </row>
    <row r="41408">
      <c r="A41408" s="17"/>
      <c r="H41408" s="18"/>
      <c r="K41408" s="18" t="s">
        <v>316</v>
      </c>
    </row>
    <row r="41409">
      <c r="A41409" s="17"/>
      <c r="H41409" s="18"/>
      <c r="K41409" s="18" t="s">
        <v>316</v>
      </c>
    </row>
    <row r="41410">
      <c r="A41410" s="17"/>
      <c r="H41410" s="18"/>
      <c r="K41410" s="18" t="s">
        <v>316</v>
      </c>
    </row>
    <row r="41411">
      <c r="A41411" s="17"/>
      <c r="H41411" s="18"/>
      <c r="K41411" s="18" t="s">
        <v>316</v>
      </c>
    </row>
    <row r="41412">
      <c r="A41412" s="17"/>
      <c r="H41412" s="18"/>
      <c r="K41412" s="18" t="s">
        <v>316</v>
      </c>
    </row>
    <row r="41413">
      <c r="A41413" s="17"/>
      <c r="H41413" s="18"/>
      <c r="K41413" s="18" t="s">
        <v>316</v>
      </c>
    </row>
    <row r="41414">
      <c r="A41414" s="17"/>
      <c r="H41414" s="18"/>
      <c r="K41414" s="18" t="s">
        <v>316</v>
      </c>
    </row>
    <row r="41415">
      <c r="A41415" s="17"/>
      <c r="H41415" s="18"/>
      <c r="K41415" s="18" t="s">
        <v>316</v>
      </c>
    </row>
    <row r="41416">
      <c r="A41416" s="17"/>
      <c r="H41416" s="18"/>
      <c r="K41416" s="18" t="s">
        <v>316</v>
      </c>
    </row>
    <row r="41417">
      <c r="A41417" s="17"/>
      <c r="H41417" s="18"/>
      <c r="K41417" s="18" t="s">
        <v>316</v>
      </c>
    </row>
    <row r="41418">
      <c r="A41418" s="17"/>
      <c r="H41418" s="18"/>
      <c r="K41418" s="18" t="s">
        <v>316</v>
      </c>
    </row>
    <row r="41419">
      <c r="A41419" s="17"/>
      <c r="H41419" s="18"/>
      <c r="K41419" s="18" t="s">
        <v>316</v>
      </c>
    </row>
    <row r="41420">
      <c r="A41420" s="17"/>
      <c r="H41420" s="18"/>
      <c r="K41420" s="18" t="s">
        <v>316</v>
      </c>
    </row>
    <row r="41421">
      <c r="A41421" s="17"/>
      <c r="H41421" s="18"/>
      <c r="K41421" s="18" t="s">
        <v>316</v>
      </c>
    </row>
    <row r="41422">
      <c r="A41422" s="17"/>
      <c r="H41422" s="18"/>
      <c r="K41422" s="18" t="s">
        <v>316</v>
      </c>
    </row>
    <row r="41423">
      <c r="A41423" s="17"/>
      <c r="H41423" s="18"/>
      <c r="K41423" s="18" t="s">
        <v>316</v>
      </c>
    </row>
    <row r="41424">
      <c r="A41424" s="17"/>
      <c r="H41424" s="18"/>
      <c r="K41424" s="18" t="s">
        <v>316</v>
      </c>
    </row>
    <row r="41425">
      <c r="A41425" s="17"/>
      <c r="H41425" s="18"/>
      <c r="K41425" s="18" t="s">
        <v>316</v>
      </c>
    </row>
    <row r="41426">
      <c r="A41426" s="17"/>
      <c r="H41426" s="18"/>
      <c r="K41426" s="18" t="s">
        <v>316</v>
      </c>
    </row>
    <row r="41427">
      <c r="A41427" s="17"/>
      <c r="H41427" s="18"/>
      <c r="K41427" s="18" t="s">
        <v>316</v>
      </c>
    </row>
    <row r="41428">
      <c r="A41428" s="17"/>
      <c r="H41428" s="18"/>
      <c r="K41428" s="18" t="s">
        <v>316</v>
      </c>
    </row>
    <row r="41429">
      <c r="A41429" s="17"/>
      <c r="H41429" s="18"/>
      <c r="K41429" s="18" t="s">
        <v>316</v>
      </c>
    </row>
    <row r="41430">
      <c r="A41430" s="17"/>
      <c r="H41430" s="18"/>
      <c r="K41430" s="18" t="s">
        <v>316</v>
      </c>
    </row>
    <row r="41431">
      <c r="A41431" s="17"/>
      <c r="H41431" s="18"/>
      <c r="K41431" s="18" t="s">
        <v>316</v>
      </c>
    </row>
    <row r="41432">
      <c r="A41432" s="17"/>
      <c r="H41432" s="18"/>
      <c r="K41432" s="18" t="s">
        <v>316</v>
      </c>
    </row>
    <row r="41433">
      <c r="A41433" s="17"/>
      <c r="H41433" s="18"/>
      <c r="K41433" s="18" t="s">
        <v>316</v>
      </c>
    </row>
    <row r="41434">
      <c r="A41434" s="17"/>
      <c r="H41434" s="18"/>
      <c r="K41434" s="18" t="s">
        <v>316</v>
      </c>
    </row>
    <row r="41435">
      <c r="A41435" s="17"/>
      <c r="H41435" s="18"/>
      <c r="K41435" s="18" t="s">
        <v>316</v>
      </c>
    </row>
    <row r="41436">
      <c r="A41436" s="17"/>
      <c r="H41436" s="18"/>
      <c r="K41436" s="18" t="s">
        <v>316</v>
      </c>
    </row>
    <row r="41437">
      <c r="A41437" s="17"/>
      <c r="H41437" s="18"/>
      <c r="K41437" s="18" t="s">
        <v>316</v>
      </c>
    </row>
    <row r="41438">
      <c r="A41438" s="17"/>
      <c r="H41438" s="18"/>
      <c r="K41438" s="18" t="s">
        <v>316</v>
      </c>
    </row>
    <row r="41439">
      <c r="A41439" s="17"/>
      <c r="H41439" s="18"/>
      <c r="K41439" s="18" t="s">
        <v>316</v>
      </c>
    </row>
    <row r="41440">
      <c r="A41440" s="17"/>
      <c r="H41440" s="18"/>
      <c r="K41440" s="18" t="s">
        <v>316</v>
      </c>
    </row>
    <row r="41441">
      <c r="A41441" s="17"/>
      <c r="H41441" s="18"/>
      <c r="K41441" s="18" t="s">
        <v>316</v>
      </c>
    </row>
    <row r="41442">
      <c r="A41442" s="17"/>
      <c r="H41442" s="18"/>
      <c r="K41442" s="18" t="s">
        <v>316</v>
      </c>
    </row>
    <row r="41443">
      <c r="A41443" s="17"/>
      <c r="H41443" s="18"/>
      <c r="K41443" s="18" t="s">
        <v>316</v>
      </c>
    </row>
    <row r="41444">
      <c r="A41444" s="17"/>
      <c r="H41444" s="18"/>
      <c r="K41444" s="18" t="s">
        <v>316</v>
      </c>
    </row>
    <row r="41445">
      <c r="A41445" s="17"/>
      <c r="H41445" s="18"/>
      <c r="K41445" s="18" t="s">
        <v>316</v>
      </c>
    </row>
    <row r="41446">
      <c r="A41446" s="17"/>
      <c r="H41446" s="18"/>
      <c r="K41446" s="18" t="s">
        <v>316</v>
      </c>
    </row>
    <row r="41447">
      <c r="A41447" s="17"/>
      <c r="H41447" s="18"/>
      <c r="K41447" s="18" t="s">
        <v>316</v>
      </c>
    </row>
    <row r="41448">
      <c r="A41448" s="17"/>
      <c r="H41448" s="18"/>
      <c r="K41448" s="18" t="s">
        <v>316</v>
      </c>
    </row>
    <row r="41449">
      <c r="A41449" s="17"/>
      <c r="H41449" s="18"/>
      <c r="K41449" s="18" t="s">
        <v>316</v>
      </c>
    </row>
    <row r="41450">
      <c r="A41450" s="17"/>
      <c r="H41450" s="18"/>
      <c r="K41450" s="18" t="s">
        <v>316</v>
      </c>
    </row>
    <row r="41451">
      <c r="A41451" s="17"/>
      <c r="H41451" s="18"/>
      <c r="K41451" s="18" t="s">
        <v>316</v>
      </c>
    </row>
    <row r="41452">
      <c r="A41452" s="17"/>
      <c r="H41452" s="18"/>
      <c r="K41452" s="18" t="s">
        <v>316</v>
      </c>
    </row>
    <row r="41453">
      <c r="A41453" s="17"/>
      <c r="H41453" s="18"/>
      <c r="K41453" s="18" t="s">
        <v>316</v>
      </c>
    </row>
    <row r="41454">
      <c r="A41454" s="17"/>
      <c r="H41454" s="18"/>
      <c r="K41454" s="18" t="s">
        <v>316</v>
      </c>
    </row>
    <row r="41455">
      <c r="A41455" s="17"/>
      <c r="H41455" s="18"/>
      <c r="K41455" s="18" t="s">
        <v>316</v>
      </c>
    </row>
    <row r="41456">
      <c r="A41456" s="17"/>
      <c r="H41456" s="18"/>
      <c r="K41456" s="18" t="s">
        <v>316</v>
      </c>
    </row>
    <row r="41457">
      <c r="A41457" s="17"/>
      <c r="H41457" s="18"/>
      <c r="K41457" s="18" t="s">
        <v>316</v>
      </c>
    </row>
    <row r="41458">
      <c r="A41458" s="17"/>
      <c r="H41458" s="18"/>
      <c r="K41458" s="18" t="s">
        <v>316</v>
      </c>
    </row>
    <row r="41459">
      <c r="A41459" s="17"/>
      <c r="H41459" s="18"/>
      <c r="K41459" s="18" t="s">
        <v>316</v>
      </c>
    </row>
    <row r="41460">
      <c r="A41460" s="17"/>
      <c r="H41460" s="18"/>
      <c r="K41460" s="18" t="s">
        <v>316</v>
      </c>
    </row>
    <row r="41461">
      <c r="A41461" s="17"/>
      <c r="H41461" s="18"/>
      <c r="K41461" s="18" t="s">
        <v>316</v>
      </c>
    </row>
    <row r="41462">
      <c r="A41462" s="17"/>
      <c r="H41462" s="18"/>
      <c r="K41462" s="18" t="s">
        <v>316</v>
      </c>
    </row>
    <row r="41463">
      <c r="A41463" s="17"/>
      <c r="H41463" s="18"/>
      <c r="K41463" s="18" t="s">
        <v>316</v>
      </c>
    </row>
    <row r="41464">
      <c r="A41464" s="17"/>
      <c r="H41464" s="18"/>
      <c r="K41464" s="18" t="s">
        <v>316</v>
      </c>
    </row>
    <row r="41465">
      <c r="A41465" s="17"/>
      <c r="H41465" s="18"/>
      <c r="K41465" s="18" t="s">
        <v>316</v>
      </c>
    </row>
    <row r="41466">
      <c r="A41466" s="17"/>
      <c r="H41466" s="18"/>
      <c r="K41466" s="18" t="s">
        <v>316</v>
      </c>
    </row>
    <row r="41467">
      <c r="A41467" s="17"/>
      <c r="H41467" s="18"/>
      <c r="K41467" s="18" t="s">
        <v>316</v>
      </c>
    </row>
    <row r="41468">
      <c r="A41468" s="17"/>
      <c r="H41468" s="18"/>
      <c r="K41468" s="18" t="s">
        <v>316</v>
      </c>
    </row>
    <row r="41469">
      <c r="A41469" s="17"/>
      <c r="H41469" s="18"/>
      <c r="K41469" s="18" t="s">
        <v>316</v>
      </c>
    </row>
    <row r="41470">
      <c r="A41470" s="17"/>
      <c r="H41470" s="18"/>
      <c r="K41470" s="18" t="s">
        <v>316</v>
      </c>
    </row>
    <row r="41471">
      <c r="A41471" s="17"/>
      <c r="H41471" s="18"/>
      <c r="K41471" s="18" t="s">
        <v>316</v>
      </c>
    </row>
    <row r="41472">
      <c r="A41472" s="17"/>
      <c r="H41472" s="18"/>
      <c r="K41472" s="18" t="s">
        <v>316</v>
      </c>
    </row>
    <row r="41473">
      <c r="A41473" s="17"/>
      <c r="H41473" s="18"/>
      <c r="K41473" s="18" t="s">
        <v>316</v>
      </c>
    </row>
    <row r="41474">
      <c r="A41474" s="17"/>
      <c r="H41474" s="18"/>
      <c r="K41474" s="18" t="s">
        <v>316</v>
      </c>
    </row>
    <row r="41475">
      <c r="A41475" s="17"/>
      <c r="H41475" s="18"/>
      <c r="K41475" s="18" t="s">
        <v>316</v>
      </c>
    </row>
    <row r="41476">
      <c r="A41476" s="17"/>
      <c r="H41476" s="18"/>
      <c r="K41476" s="18" t="s">
        <v>316</v>
      </c>
    </row>
    <row r="41477">
      <c r="A41477" s="17"/>
      <c r="H41477" s="18"/>
      <c r="K41477" s="18" t="s">
        <v>316</v>
      </c>
    </row>
    <row r="41478">
      <c r="A41478" s="17"/>
      <c r="H41478" s="18"/>
      <c r="K41478" s="18" t="s">
        <v>316</v>
      </c>
    </row>
    <row r="41479">
      <c r="A41479" s="17"/>
      <c r="H41479" s="18"/>
      <c r="K41479" s="18" t="s">
        <v>316</v>
      </c>
    </row>
    <row r="41480">
      <c r="A41480" s="17"/>
      <c r="H41480" s="18"/>
      <c r="K41480" s="18" t="s">
        <v>316</v>
      </c>
    </row>
    <row r="41481">
      <c r="A41481" s="17"/>
      <c r="H41481" s="18"/>
      <c r="K41481" s="18" t="s">
        <v>316</v>
      </c>
    </row>
    <row r="41482">
      <c r="A41482" s="17"/>
      <c r="H41482" s="18"/>
      <c r="K41482" s="18" t="s">
        <v>316</v>
      </c>
    </row>
    <row r="41483">
      <c r="A41483" s="17"/>
      <c r="H41483" s="18"/>
      <c r="K41483" s="18" t="s">
        <v>316</v>
      </c>
    </row>
    <row r="41484">
      <c r="A41484" s="17"/>
      <c r="H41484" s="18"/>
      <c r="K41484" s="18" t="s">
        <v>316</v>
      </c>
    </row>
    <row r="41485">
      <c r="A41485" s="17"/>
      <c r="H41485" s="18"/>
      <c r="K41485" s="18" t="s">
        <v>316</v>
      </c>
    </row>
    <row r="41486">
      <c r="A41486" s="17"/>
      <c r="H41486" s="18"/>
      <c r="K41486" s="18" t="s">
        <v>316</v>
      </c>
    </row>
    <row r="41487">
      <c r="A41487" s="17"/>
      <c r="H41487" s="18"/>
      <c r="K41487" s="18" t="s">
        <v>316</v>
      </c>
    </row>
    <row r="41488">
      <c r="A41488" s="17"/>
      <c r="H41488" s="18"/>
      <c r="K41488" s="18" t="s">
        <v>316</v>
      </c>
    </row>
    <row r="41489">
      <c r="A41489" s="17"/>
      <c r="H41489" s="18"/>
      <c r="K41489" s="18" t="s">
        <v>316</v>
      </c>
    </row>
    <row r="41490">
      <c r="A41490" s="17"/>
      <c r="H41490" s="18"/>
      <c r="K41490" s="18" t="s">
        <v>316</v>
      </c>
    </row>
    <row r="41491">
      <c r="A41491" s="17"/>
      <c r="H41491" s="18"/>
      <c r="K41491" s="18" t="s">
        <v>316</v>
      </c>
    </row>
    <row r="41492">
      <c r="A41492" s="17"/>
      <c r="H41492" s="18"/>
      <c r="K41492" s="18" t="s">
        <v>316</v>
      </c>
    </row>
    <row r="41493">
      <c r="A41493" s="17"/>
      <c r="H41493" s="18"/>
      <c r="K41493" s="18" t="s">
        <v>316</v>
      </c>
    </row>
    <row r="41494">
      <c r="A41494" s="17"/>
      <c r="H41494" s="18"/>
      <c r="K41494" s="18" t="s">
        <v>316</v>
      </c>
    </row>
    <row r="41495">
      <c r="A41495" s="17"/>
      <c r="H41495" s="18"/>
      <c r="K41495" s="18" t="s">
        <v>316</v>
      </c>
    </row>
    <row r="41496">
      <c r="A41496" s="17"/>
      <c r="H41496" s="18"/>
      <c r="K41496" s="18" t="s">
        <v>316</v>
      </c>
    </row>
    <row r="41497">
      <c r="A41497" s="17"/>
      <c r="H41497" s="18"/>
      <c r="K41497" s="18" t="s">
        <v>316</v>
      </c>
    </row>
    <row r="41498">
      <c r="A41498" s="17"/>
      <c r="H41498" s="18"/>
      <c r="K41498" s="18" t="s">
        <v>316</v>
      </c>
    </row>
    <row r="41499">
      <c r="A41499" s="17"/>
      <c r="H41499" s="18"/>
      <c r="K41499" s="18" t="s">
        <v>316</v>
      </c>
    </row>
    <row r="41500">
      <c r="A41500" s="17"/>
      <c r="H41500" s="18"/>
      <c r="K41500" s="18" t="s">
        <v>316</v>
      </c>
    </row>
    <row r="41501">
      <c r="A41501" s="17"/>
      <c r="H41501" s="18"/>
      <c r="K41501" s="18" t="s">
        <v>316</v>
      </c>
    </row>
    <row r="41502">
      <c r="A41502" s="17"/>
      <c r="H41502" s="18"/>
      <c r="K41502" s="18" t="s">
        <v>316</v>
      </c>
    </row>
    <row r="41503">
      <c r="A41503" s="17"/>
      <c r="H41503" s="18"/>
      <c r="K41503" s="18" t="s">
        <v>316</v>
      </c>
    </row>
    <row r="41504">
      <c r="A41504" s="17"/>
      <c r="H41504" s="18"/>
      <c r="K41504" s="18" t="s">
        <v>316</v>
      </c>
    </row>
    <row r="41505">
      <c r="A41505" s="17"/>
      <c r="H41505" s="18"/>
      <c r="K41505" s="18" t="s">
        <v>316</v>
      </c>
    </row>
    <row r="41506">
      <c r="A41506" s="17"/>
      <c r="H41506" s="18"/>
      <c r="K41506" s="18" t="s">
        <v>316</v>
      </c>
    </row>
    <row r="41507">
      <c r="A41507" s="17"/>
      <c r="H41507" s="18"/>
      <c r="K41507" s="18" t="s">
        <v>316</v>
      </c>
    </row>
    <row r="41508">
      <c r="A41508" s="17"/>
      <c r="H41508" s="18"/>
      <c r="K41508" s="18" t="s">
        <v>316</v>
      </c>
    </row>
    <row r="41509">
      <c r="A41509" s="17"/>
      <c r="H41509" s="18"/>
      <c r="K41509" s="18" t="s">
        <v>316</v>
      </c>
    </row>
    <row r="41510">
      <c r="A41510" s="17"/>
      <c r="H41510" s="18"/>
      <c r="K41510" s="18" t="s">
        <v>316</v>
      </c>
    </row>
    <row r="41511">
      <c r="A41511" s="17"/>
      <c r="H41511" s="18"/>
      <c r="K41511" s="18" t="s">
        <v>316</v>
      </c>
    </row>
    <row r="41512">
      <c r="A41512" s="17"/>
      <c r="H41512" s="18"/>
      <c r="K41512" s="18" t="s">
        <v>316</v>
      </c>
    </row>
    <row r="41513">
      <c r="A41513" s="17"/>
      <c r="H41513" s="18"/>
      <c r="K41513" s="18" t="s">
        <v>316</v>
      </c>
    </row>
    <row r="41514">
      <c r="A41514" s="17"/>
      <c r="H41514" s="18"/>
      <c r="K41514" s="18" t="s">
        <v>316</v>
      </c>
    </row>
    <row r="41515">
      <c r="A41515" s="17"/>
      <c r="H41515" s="18"/>
      <c r="K41515" s="18" t="s">
        <v>316</v>
      </c>
    </row>
    <row r="41516">
      <c r="A41516" s="17"/>
      <c r="H41516" s="18"/>
      <c r="K41516" s="18" t="s">
        <v>316</v>
      </c>
    </row>
    <row r="41517">
      <c r="A41517" s="17"/>
      <c r="H41517" s="18"/>
      <c r="K41517" s="18" t="s">
        <v>316</v>
      </c>
    </row>
    <row r="41518">
      <c r="A41518" s="17"/>
      <c r="H41518" s="18"/>
      <c r="K41518" s="18" t="s">
        <v>316</v>
      </c>
    </row>
    <row r="41519">
      <c r="A41519" s="17"/>
      <c r="H41519" s="18"/>
      <c r="K41519" s="18" t="s">
        <v>316</v>
      </c>
    </row>
    <row r="41520">
      <c r="A41520" s="17"/>
      <c r="H41520" s="18"/>
      <c r="K41520" s="18" t="s">
        <v>316</v>
      </c>
    </row>
    <row r="41521">
      <c r="A41521" s="17"/>
      <c r="H41521" s="18"/>
      <c r="K41521" s="18" t="s">
        <v>316</v>
      </c>
    </row>
    <row r="41522">
      <c r="A41522" s="17"/>
      <c r="H41522" s="18"/>
      <c r="K41522" s="18" t="s">
        <v>316</v>
      </c>
    </row>
    <row r="41523">
      <c r="A41523" s="17"/>
      <c r="H41523" s="18"/>
      <c r="K41523" s="18" t="s">
        <v>316</v>
      </c>
    </row>
    <row r="41524">
      <c r="A41524" s="17"/>
      <c r="H41524" s="18"/>
      <c r="K41524" s="18" t="s">
        <v>316</v>
      </c>
    </row>
    <row r="41525">
      <c r="A41525" s="17"/>
      <c r="H41525" s="18"/>
      <c r="K41525" s="18" t="s">
        <v>316</v>
      </c>
    </row>
    <row r="41526">
      <c r="A41526" s="17"/>
      <c r="H41526" s="18"/>
      <c r="K41526" s="18" t="s">
        <v>316</v>
      </c>
    </row>
    <row r="41527">
      <c r="A41527" s="17"/>
      <c r="H41527" s="18"/>
      <c r="K41527" s="18" t="s">
        <v>316</v>
      </c>
    </row>
    <row r="41528">
      <c r="A41528" s="17"/>
      <c r="H41528" s="18"/>
      <c r="K41528" s="18" t="s">
        <v>316</v>
      </c>
    </row>
    <row r="41529">
      <c r="A41529" s="17"/>
      <c r="H41529" s="18"/>
      <c r="K41529" s="18" t="s">
        <v>316</v>
      </c>
    </row>
    <row r="41530">
      <c r="A41530" s="17"/>
      <c r="H41530" s="18"/>
      <c r="K41530" s="18" t="s">
        <v>316</v>
      </c>
    </row>
    <row r="41531">
      <c r="A41531" s="17"/>
      <c r="H41531" s="18"/>
      <c r="K41531" s="18" t="s">
        <v>316</v>
      </c>
    </row>
    <row r="41532">
      <c r="A41532" s="17"/>
      <c r="H41532" s="18"/>
      <c r="K41532" s="18" t="s">
        <v>316</v>
      </c>
    </row>
    <row r="41533">
      <c r="A41533" s="17"/>
      <c r="H41533" s="18"/>
      <c r="K41533" s="18" t="s">
        <v>316</v>
      </c>
    </row>
    <row r="41534">
      <c r="A41534" s="17"/>
      <c r="H41534" s="18"/>
      <c r="K41534" s="18" t="s">
        <v>316</v>
      </c>
    </row>
    <row r="41535">
      <c r="A41535" s="17"/>
      <c r="H41535" s="18"/>
      <c r="K41535" s="18" t="s">
        <v>316</v>
      </c>
    </row>
    <row r="41536">
      <c r="A41536" s="17"/>
      <c r="H41536" s="18"/>
      <c r="K41536" s="18" t="s">
        <v>316</v>
      </c>
    </row>
    <row r="41537">
      <c r="A41537" s="17"/>
      <c r="H41537" s="18"/>
      <c r="K41537" s="18" t="s">
        <v>316</v>
      </c>
    </row>
    <row r="41538">
      <c r="A41538" s="17"/>
      <c r="H41538" s="18"/>
      <c r="K41538" s="18" t="s">
        <v>316</v>
      </c>
    </row>
    <row r="41539">
      <c r="A41539" s="17"/>
      <c r="H41539" s="18"/>
      <c r="K41539" s="18" t="s">
        <v>316</v>
      </c>
    </row>
    <row r="41540">
      <c r="A41540" s="17"/>
      <c r="H41540" s="18"/>
      <c r="K41540" s="18" t="s">
        <v>316</v>
      </c>
    </row>
    <row r="41541">
      <c r="A41541" s="17"/>
      <c r="H41541" s="18"/>
      <c r="K41541" s="18" t="s">
        <v>316</v>
      </c>
    </row>
    <row r="41542">
      <c r="A41542" s="17"/>
      <c r="H41542" s="18"/>
      <c r="K41542" s="18" t="s">
        <v>316</v>
      </c>
    </row>
    <row r="41543">
      <c r="A41543" s="17"/>
      <c r="H41543" s="18"/>
      <c r="K41543" s="18" t="s">
        <v>316</v>
      </c>
    </row>
    <row r="41544">
      <c r="A41544" s="17"/>
      <c r="H41544" s="18"/>
      <c r="K41544" s="18" t="s">
        <v>316</v>
      </c>
    </row>
    <row r="41545">
      <c r="A41545" s="17"/>
      <c r="H41545" s="18"/>
      <c r="K41545" s="18" t="s">
        <v>316</v>
      </c>
    </row>
    <row r="41546">
      <c r="A41546" s="17"/>
      <c r="H41546" s="18"/>
      <c r="K41546" s="18" t="s">
        <v>316</v>
      </c>
    </row>
    <row r="41547">
      <c r="A41547" s="17"/>
      <c r="H41547" s="18"/>
      <c r="K41547" s="18" t="s">
        <v>316</v>
      </c>
    </row>
    <row r="41548">
      <c r="A41548" s="17"/>
      <c r="H41548" s="18"/>
      <c r="K41548" s="18" t="s">
        <v>316</v>
      </c>
    </row>
    <row r="41549">
      <c r="A41549" s="17"/>
      <c r="H41549" s="18"/>
      <c r="K41549" s="18" t="s">
        <v>316</v>
      </c>
    </row>
    <row r="41550">
      <c r="A41550" s="17"/>
      <c r="H41550" s="18"/>
      <c r="K41550" s="18" t="s">
        <v>316</v>
      </c>
    </row>
    <row r="41551">
      <c r="A41551" s="17"/>
      <c r="H41551" s="18"/>
      <c r="K41551" s="18" t="s">
        <v>316</v>
      </c>
    </row>
    <row r="41552">
      <c r="A41552" s="17"/>
      <c r="H41552" s="18"/>
      <c r="K41552" s="18" t="s">
        <v>316</v>
      </c>
    </row>
    <row r="41553">
      <c r="A41553" s="17"/>
      <c r="H41553" s="18"/>
      <c r="K41553" s="18" t="s">
        <v>316</v>
      </c>
    </row>
    <row r="41554">
      <c r="A41554" s="17"/>
      <c r="H41554" s="18"/>
      <c r="K41554" s="18" t="s">
        <v>316</v>
      </c>
    </row>
    <row r="41555">
      <c r="A41555" s="17"/>
      <c r="H41555" s="18"/>
      <c r="K41555" s="18" t="s">
        <v>316</v>
      </c>
    </row>
    <row r="41556">
      <c r="A41556" s="17"/>
      <c r="H41556" s="18"/>
      <c r="K41556" s="18" t="s">
        <v>316</v>
      </c>
    </row>
    <row r="41557">
      <c r="A41557" s="17"/>
      <c r="H41557" s="18"/>
      <c r="K41557" s="18" t="s">
        <v>316</v>
      </c>
    </row>
    <row r="41558">
      <c r="A41558" s="17"/>
      <c r="H41558" s="18"/>
      <c r="K41558" s="18" t="s">
        <v>316</v>
      </c>
    </row>
    <row r="41559">
      <c r="A41559" s="17"/>
      <c r="H41559" s="18"/>
      <c r="K41559" s="18" t="s">
        <v>316</v>
      </c>
    </row>
    <row r="41560">
      <c r="A41560" s="17"/>
      <c r="H41560" s="18"/>
      <c r="K41560" s="18" t="s">
        <v>316</v>
      </c>
    </row>
    <row r="41561">
      <c r="A41561" s="17"/>
      <c r="H41561" s="18"/>
      <c r="K41561" s="18" t="s">
        <v>316</v>
      </c>
    </row>
    <row r="41562">
      <c r="A41562" s="17"/>
      <c r="H41562" s="18"/>
      <c r="K41562" s="18" t="s">
        <v>316</v>
      </c>
    </row>
    <row r="41563">
      <c r="A41563" s="17"/>
      <c r="H41563" s="18"/>
      <c r="K41563" s="18" t="s">
        <v>316</v>
      </c>
    </row>
    <row r="41564">
      <c r="A41564" s="17"/>
      <c r="H41564" s="18"/>
      <c r="K41564" s="18" t="s">
        <v>316</v>
      </c>
    </row>
    <row r="41565">
      <c r="A41565" s="17"/>
      <c r="H41565" s="18"/>
      <c r="K41565" s="18" t="s">
        <v>316</v>
      </c>
    </row>
    <row r="41566">
      <c r="A41566" s="17"/>
      <c r="H41566" s="18"/>
      <c r="K41566" s="18" t="s">
        <v>316</v>
      </c>
    </row>
    <row r="41567">
      <c r="A41567" s="17"/>
      <c r="H41567" s="18"/>
      <c r="K41567" s="18" t="s">
        <v>316</v>
      </c>
    </row>
    <row r="41568">
      <c r="A41568" s="17"/>
      <c r="H41568" s="18"/>
      <c r="K41568" s="18" t="s">
        <v>316</v>
      </c>
    </row>
    <row r="41569">
      <c r="A41569" s="17"/>
      <c r="H41569" s="18"/>
      <c r="K41569" s="18" t="s">
        <v>316</v>
      </c>
    </row>
    <row r="41570">
      <c r="A41570" s="17"/>
      <c r="H41570" s="18"/>
      <c r="K41570" s="18" t="s">
        <v>316</v>
      </c>
    </row>
    <row r="41571">
      <c r="A41571" s="17"/>
      <c r="H41571" s="18"/>
      <c r="K41571" s="18" t="s">
        <v>316</v>
      </c>
    </row>
    <row r="41572">
      <c r="A41572" s="17"/>
      <c r="H41572" s="18"/>
      <c r="K41572" s="18" t="s">
        <v>316</v>
      </c>
    </row>
    <row r="41573">
      <c r="A41573" s="17"/>
      <c r="H41573" s="18"/>
      <c r="K41573" s="18" t="s">
        <v>316</v>
      </c>
    </row>
    <row r="41574">
      <c r="A41574" s="17"/>
      <c r="H41574" s="18"/>
      <c r="K41574" s="18" t="s">
        <v>316</v>
      </c>
    </row>
    <row r="41575">
      <c r="A41575" s="17"/>
      <c r="H41575" s="18"/>
      <c r="K41575" s="18" t="s">
        <v>316</v>
      </c>
    </row>
    <row r="41576">
      <c r="A41576" s="17"/>
      <c r="H41576" s="18"/>
      <c r="K41576" s="18" t="s">
        <v>316</v>
      </c>
    </row>
    <row r="41577">
      <c r="A41577" s="17"/>
      <c r="H41577" s="18"/>
      <c r="K41577" s="18" t="s">
        <v>316</v>
      </c>
    </row>
    <row r="41578">
      <c r="A41578" s="17"/>
      <c r="H41578" s="18"/>
      <c r="K41578" s="18" t="s">
        <v>316</v>
      </c>
    </row>
    <row r="41579">
      <c r="A41579" s="17"/>
      <c r="H41579" s="18"/>
      <c r="K41579" s="18" t="s">
        <v>316</v>
      </c>
    </row>
    <row r="41580">
      <c r="A41580" s="17"/>
      <c r="H41580" s="18"/>
      <c r="K41580" s="18" t="s">
        <v>316</v>
      </c>
    </row>
    <row r="41581">
      <c r="A41581" s="17"/>
      <c r="H41581" s="18"/>
      <c r="K41581" s="18" t="s">
        <v>316</v>
      </c>
    </row>
    <row r="41582">
      <c r="A41582" s="17"/>
      <c r="H41582" s="18"/>
      <c r="K41582" s="18" t="s">
        <v>316</v>
      </c>
    </row>
    <row r="41583">
      <c r="A41583" s="17"/>
      <c r="H41583" s="18"/>
      <c r="K41583" s="18" t="s">
        <v>316</v>
      </c>
    </row>
    <row r="41584">
      <c r="A41584" s="17"/>
      <c r="H41584" s="18"/>
      <c r="K41584" s="18" t="s">
        <v>316</v>
      </c>
    </row>
    <row r="41585">
      <c r="A41585" s="17"/>
      <c r="H41585" s="18"/>
      <c r="K41585" s="18" t="s">
        <v>316</v>
      </c>
    </row>
    <row r="41586">
      <c r="A41586" s="17"/>
      <c r="H41586" s="18"/>
      <c r="K41586" s="18" t="s">
        <v>316</v>
      </c>
    </row>
    <row r="41587">
      <c r="A41587" s="17"/>
      <c r="H41587" s="18"/>
      <c r="K41587" s="18" t="s">
        <v>316</v>
      </c>
    </row>
    <row r="41588">
      <c r="A41588" s="17"/>
      <c r="H41588" s="18"/>
      <c r="K41588" s="18" t="s">
        <v>316</v>
      </c>
    </row>
    <row r="41589">
      <c r="A41589" s="17"/>
      <c r="H41589" s="18"/>
      <c r="K41589" s="18" t="s">
        <v>316</v>
      </c>
    </row>
    <row r="41590">
      <c r="A41590" s="17"/>
      <c r="H41590" s="18"/>
      <c r="K41590" s="18" t="s">
        <v>316</v>
      </c>
    </row>
    <row r="41591">
      <c r="A41591" s="17"/>
      <c r="H41591" s="18"/>
      <c r="K41591" s="18" t="s">
        <v>316</v>
      </c>
    </row>
    <row r="41592">
      <c r="A41592" s="17"/>
      <c r="H41592" s="18"/>
      <c r="K41592" s="18" t="s">
        <v>316</v>
      </c>
    </row>
    <row r="41593">
      <c r="A41593" s="17"/>
      <c r="H41593" s="18"/>
      <c r="K41593" s="18" t="s">
        <v>316</v>
      </c>
    </row>
    <row r="41594">
      <c r="A41594" s="17"/>
      <c r="H41594" s="18"/>
      <c r="K41594" s="18" t="s">
        <v>316</v>
      </c>
    </row>
    <row r="41595">
      <c r="A41595" s="17"/>
      <c r="H41595" s="18"/>
      <c r="K41595" s="18" t="s">
        <v>316</v>
      </c>
    </row>
    <row r="41596">
      <c r="A41596" s="17"/>
      <c r="H41596" s="18"/>
      <c r="K41596" s="18" t="s">
        <v>316</v>
      </c>
    </row>
    <row r="41597">
      <c r="A41597" s="17"/>
      <c r="H41597" s="18"/>
      <c r="K41597" s="18" t="s">
        <v>316</v>
      </c>
    </row>
    <row r="41598">
      <c r="A41598" s="17"/>
      <c r="H41598" s="18"/>
      <c r="K41598" s="18" t="s">
        <v>316</v>
      </c>
    </row>
    <row r="41599">
      <c r="A41599" s="17"/>
      <c r="H41599" s="18"/>
      <c r="K41599" s="18" t="s">
        <v>316</v>
      </c>
    </row>
    <row r="41600">
      <c r="A41600" s="17"/>
      <c r="H41600" s="18"/>
      <c r="K41600" s="18" t="s">
        <v>316</v>
      </c>
    </row>
    <row r="41601">
      <c r="A41601" s="17"/>
      <c r="H41601" s="18"/>
      <c r="K41601" s="18" t="s">
        <v>316</v>
      </c>
    </row>
    <row r="41602">
      <c r="A41602" s="17"/>
      <c r="H41602" s="18"/>
      <c r="K41602" s="18" t="s">
        <v>316</v>
      </c>
    </row>
    <row r="41603">
      <c r="A41603" s="17"/>
      <c r="H41603" s="18"/>
      <c r="K41603" s="18" t="s">
        <v>316</v>
      </c>
    </row>
    <row r="41604">
      <c r="A41604" s="17"/>
      <c r="H41604" s="18"/>
      <c r="K41604" s="18" t="s">
        <v>316</v>
      </c>
    </row>
    <row r="41605">
      <c r="A41605" s="17"/>
      <c r="H41605" s="18"/>
      <c r="K41605" s="18" t="s">
        <v>316</v>
      </c>
    </row>
    <row r="41606">
      <c r="A41606" s="17"/>
      <c r="H41606" s="18"/>
      <c r="K41606" s="18" t="s">
        <v>316</v>
      </c>
    </row>
    <row r="41607">
      <c r="A41607" s="17"/>
      <c r="H41607" s="18"/>
      <c r="K41607" s="18" t="s">
        <v>316</v>
      </c>
    </row>
    <row r="41608">
      <c r="A41608" s="17"/>
      <c r="H41608" s="18"/>
      <c r="K41608" s="18" t="s">
        <v>316</v>
      </c>
    </row>
    <row r="41609">
      <c r="A41609" s="17"/>
      <c r="H41609" s="18"/>
      <c r="K41609" s="18" t="s">
        <v>316</v>
      </c>
    </row>
    <row r="41610">
      <c r="A41610" s="17"/>
      <c r="H41610" s="18"/>
      <c r="K41610" s="18" t="s">
        <v>316</v>
      </c>
    </row>
    <row r="41611">
      <c r="A41611" s="17"/>
      <c r="H41611" s="18"/>
      <c r="K41611" s="18" t="s">
        <v>316</v>
      </c>
    </row>
    <row r="41612">
      <c r="A41612" s="17"/>
      <c r="H41612" s="18"/>
      <c r="K41612" s="18" t="s">
        <v>316</v>
      </c>
    </row>
    <row r="41613">
      <c r="A41613" s="17"/>
      <c r="H41613" s="18"/>
      <c r="K41613" s="18" t="s">
        <v>316</v>
      </c>
    </row>
    <row r="41614">
      <c r="A41614" s="17"/>
      <c r="H41614" s="18"/>
      <c r="K41614" s="18" t="s">
        <v>316</v>
      </c>
    </row>
    <row r="41615">
      <c r="A41615" s="17"/>
      <c r="H41615" s="18"/>
      <c r="K41615" s="18" t="s">
        <v>316</v>
      </c>
    </row>
    <row r="41616">
      <c r="A41616" s="17"/>
      <c r="H41616" s="18"/>
      <c r="K41616" s="18" t="s">
        <v>316</v>
      </c>
    </row>
    <row r="41617">
      <c r="A41617" s="17"/>
      <c r="H41617" s="18"/>
      <c r="K41617" s="18" t="s">
        <v>316</v>
      </c>
    </row>
    <row r="41618">
      <c r="A41618" s="17"/>
      <c r="H41618" s="18"/>
      <c r="K41618" s="18" t="s">
        <v>316</v>
      </c>
    </row>
    <row r="41619">
      <c r="A41619" s="17"/>
      <c r="H41619" s="18"/>
      <c r="K41619" s="18" t="s">
        <v>316</v>
      </c>
    </row>
    <row r="41620">
      <c r="A41620" s="17"/>
      <c r="H41620" s="18"/>
      <c r="K41620" s="18" t="s">
        <v>316</v>
      </c>
    </row>
    <row r="41621">
      <c r="A41621" s="17"/>
      <c r="H41621" s="18"/>
      <c r="K41621" s="18" t="s">
        <v>316</v>
      </c>
    </row>
    <row r="41622">
      <c r="A41622" s="17"/>
      <c r="H41622" s="18"/>
      <c r="K41622" s="18" t="s">
        <v>316</v>
      </c>
    </row>
    <row r="41623">
      <c r="A41623" s="17"/>
      <c r="H41623" s="18"/>
      <c r="K41623" s="18" t="s">
        <v>316</v>
      </c>
    </row>
    <row r="41624">
      <c r="A41624" s="17"/>
      <c r="H41624" s="18"/>
      <c r="K41624" s="18" t="s">
        <v>316</v>
      </c>
    </row>
    <row r="41625">
      <c r="A41625" s="17"/>
      <c r="H41625" s="18"/>
      <c r="K41625" s="18" t="s">
        <v>316</v>
      </c>
    </row>
    <row r="41626">
      <c r="A41626" s="17"/>
      <c r="H41626" s="18"/>
      <c r="K41626" s="18" t="s">
        <v>316</v>
      </c>
    </row>
    <row r="41627">
      <c r="A41627" s="17"/>
      <c r="H41627" s="18"/>
      <c r="K41627" s="18" t="s">
        <v>316</v>
      </c>
    </row>
    <row r="41628">
      <c r="A41628" s="17"/>
      <c r="H41628" s="18"/>
      <c r="K41628" s="18" t="s">
        <v>316</v>
      </c>
    </row>
    <row r="41629">
      <c r="A41629" s="17"/>
      <c r="H41629" s="18"/>
      <c r="K41629" s="18" t="s">
        <v>316</v>
      </c>
    </row>
    <row r="41630">
      <c r="A41630" s="17"/>
      <c r="H41630" s="18"/>
      <c r="K41630" s="18" t="s">
        <v>316</v>
      </c>
    </row>
    <row r="41631">
      <c r="A41631" s="17"/>
      <c r="H41631" s="18"/>
      <c r="K41631" s="18" t="s">
        <v>316</v>
      </c>
    </row>
    <row r="41632">
      <c r="A41632" s="17"/>
      <c r="H41632" s="18"/>
      <c r="K41632" s="18" t="s">
        <v>316</v>
      </c>
    </row>
    <row r="41633">
      <c r="A41633" s="17"/>
      <c r="H41633" s="18"/>
      <c r="K41633" s="18" t="s">
        <v>316</v>
      </c>
    </row>
    <row r="41634">
      <c r="A41634" s="17"/>
      <c r="H41634" s="18"/>
      <c r="K41634" s="18" t="s">
        <v>316</v>
      </c>
    </row>
    <row r="41635">
      <c r="A41635" s="17"/>
      <c r="H41635" s="18"/>
      <c r="K41635" s="18" t="s">
        <v>316</v>
      </c>
    </row>
    <row r="41636">
      <c r="A41636" s="17"/>
      <c r="H41636" s="18"/>
      <c r="K41636" s="18" t="s">
        <v>316</v>
      </c>
    </row>
    <row r="41637">
      <c r="A41637" s="17"/>
      <c r="H41637" s="18"/>
      <c r="K41637" s="18" t="s">
        <v>316</v>
      </c>
    </row>
    <row r="41638">
      <c r="A41638" s="17"/>
      <c r="H41638" s="18"/>
      <c r="K41638" s="18" t="s">
        <v>316</v>
      </c>
    </row>
    <row r="41639">
      <c r="A41639" s="17"/>
      <c r="H41639" s="18"/>
      <c r="K41639" s="18" t="s">
        <v>316</v>
      </c>
    </row>
    <row r="41640">
      <c r="A41640" s="17"/>
      <c r="H41640" s="18"/>
      <c r="K41640" s="18" t="s">
        <v>316</v>
      </c>
    </row>
    <row r="41641">
      <c r="A41641" s="17"/>
      <c r="H41641" s="18"/>
      <c r="K41641" s="18" t="s">
        <v>316</v>
      </c>
    </row>
    <row r="41642">
      <c r="A41642" s="17"/>
      <c r="H41642" s="18"/>
      <c r="K41642" s="18" t="s">
        <v>316</v>
      </c>
    </row>
    <row r="41643">
      <c r="A41643" s="17"/>
      <c r="H41643" s="18"/>
      <c r="K41643" s="18" t="s">
        <v>316</v>
      </c>
    </row>
    <row r="41644">
      <c r="A41644" s="17"/>
      <c r="H41644" s="18"/>
      <c r="K41644" s="18" t="s">
        <v>316</v>
      </c>
    </row>
    <row r="41645">
      <c r="A41645" s="17"/>
      <c r="H41645" s="18"/>
      <c r="K41645" s="18" t="s">
        <v>316</v>
      </c>
    </row>
    <row r="41646">
      <c r="A41646" s="17"/>
      <c r="H41646" s="18"/>
      <c r="K41646" s="18" t="s">
        <v>316</v>
      </c>
    </row>
    <row r="41647">
      <c r="A41647" s="17"/>
      <c r="H41647" s="18"/>
      <c r="K41647" s="18" t="s">
        <v>316</v>
      </c>
    </row>
    <row r="41648">
      <c r="A41648" s="17"/>
      <c r="H41648" s="18"/>
      <c r="K41648" s="18" t="s">
        <v>316</v>
      </c>
    </row>
    <row r="41649">
      <c r="A41649" s="17"/>
      <c r="H41649" s="18"/>
      <c r="K41649" s="18" t="s">
        <v>316</v>
      </c>
    </row>
    <row r="41650">
      <c r="A41650" s="17"/>
      <c r="H41650" s="18"/>
      <c r="K41650" s="18" t="s">
        <v>316</v>
      </c>
    </row>
    <row r="41651">
      <c r="A41651" s="17"/>
      <c r="H41651" s="18"/>
      <c r="K41651" s="18" t="s">
        <v>316</v>
      </c>
    </row>
    <row r="41652">
      <c r="A41652" s="17"/>
      <c r="H41652" s="18"/>
      <c r="K41652" s="18" t="s">
        <v>316</v>
      </c>
    </row>
    <row r="41653">
      <c r="A41653" s="17"/>
      <c r="H41653" s="18"/>
      <c r="K41653" s="18" t="s">
        <v>316</v>
      </c>
    </row>
    <row r="41654">
      <c r="A41654" s="17"/>
      <c r="H41654" s="18"/>
      <c r="K41654" s="18" t="s">
        <v>316</v>
      </c>
    </row>
    <row r="41655">
      <c r="A41655" s="17"/>
      <c r="H41655" s="18"/>
      <c r="K41655" s="18" t="s">
        <v>316</v>
      </c>
    </row>
    <row r="41656">
      <c r="A41656" s="17"/>
      <c r="H41656" s="18"/>
      <c r="K41656" s="18" t="s">
        <v>316</v>
      </c>
    </row>
    <row r="41657">
      <c r="A41657" s="17"/>
      <c r="H41657" s="18"/>
      <c r="K41657" s="18" t="s">
        <v>316</v>
      </c>
    </row>
    <row r="41658">
      <c r="A41658" s="17"/>
      <c r="H41658" s="18"/>
      <c r="K41658" s="18" t="s">
        <v>316</v>
      </c>
    </row>
    <row r="41659">
      <c r="A41659" s="17"/>
      <c r="H41659" s="18"/>
      <c r="K41659" s="18" t="s">
        <v>316</v>
      </c>
    </row>
    <row r="41660">
      <c r="A41660" s="17"/>
      <c r="H41660" s="18"/>
      <c r="K41660" s="18" t="s">
        <v>316</v>
      </c>
    </row>
    <row r="41661">
      <c r="A41661" s="17"/>
      <c r="H41661" s="18"/>
      <c r="K41661" s="18" t="s">
        <v>316</v>
      </c>
    </row>
    <row r="41662">
      <c r="A41662" s="17"/>
      <c r="H41662" s="18"/>
      <c r="K41662" s="18" t="s">
        <v>316</v>
      </c>
    </row>
    <row r="41663">
      <c r="A41663" s="17"/>
      <c r="H41663" s="18"/>
      <c r="K41663" s="18" t="s">
        <v>316</v>
      </c>
    </row>
    <row r="41664">
      <c r="A41664" s="17"/>
      <c r="H41664" s="18"/>
      <c r="K41664" s="18" t="s">
        <v>316</v>
      </c>
    </row>
    <row r="41665">
      <c r="A41665" s="17"/>
      <c r="H41665" s="18"/>
      <c r="K41665" s="18" t="s">
        <v>316</v>
      </c>
    </row>
    <row r="41666">
      <c r="A41666" s="17"/>
      <c r="H41666" s="18"/>
      <c r="K41666" s="18" t="s">
        <v>316</v>
      </c>
    </row>
    <row r="41667">
      <c r="A41667" s="17"/>
      <c r="H41667" s="18"/>
      <c r="K41667" s="18" t="s">
        <v>316</v>
      </c>
    </row>
    <row r="41668">
      <c r="A41668" s="17"/>
      <c r="H41668" s="18"/>
      <c r="K41668" s="18" t="s">
        <v>316</v>
      </c>
    </row>
    <row r="41669">
      <c r="A41669" s="17"/>
      <c r="H41669" s="18"/>
      <c r="K41669" s="18" t="s">
        <v>316</v>
      </c>
    </row>
    <row r="41670">
      <c r="A41670" s="17"/>
      <c r="H41670" s="18"/>
      <c r="K41670" s="18" t="s">
        <v>316</v>
      </c>
    </row>
    <row r="41671">
      <c r="A41671" s="17"/>
      <c r="H41671" s="18"/>
      <c r="K41671" s="18" t="s">
        <v>316</v>
      </c>
    </row>
    <row r="41672">
      <c r="A41672" s="17"/>
      <c r="H41672" s="18"/>
      <c r="K41672" s="18" t="s">
        <v>316</v>
      </c>
    </row>
    <row r="41673">
      <c r="A41673" s="17"/>
      <c r="H41673" s="18"/>
      <c r="K41673" s="18" t="s">
        <v>316</v>
      </c>
    </row>
    <row r="41674">
      <c r="A41674" s="17"/>
      <c r="H41674" s="18"/>
      <c r="K41674" s="18" t="s">
        <v>316</v>
      </c>
    </row>
    <row r="41675">
      <c r="A41675" s="17"/>
      <c r="H41675" s="18"/>
      <c r="K41675" s="18" t="s">
        <v>316</v>
      </c>
    </row>
    <row r="41676">
      <c r="A41676" s="17"/>
      <c r="H41676" s="18"/>
      <c r="K41676" s="18" t="s">
        <v>316</v>
      </c>
    </row>
    <row r="41677">
      <c r="A41677" s="17"/>
      <c r="H41677" s="18"/>
      <c r="K41677" s="18" t="s">
        <v>316</v>
      </c>
    </row>
    <row r="41678">
      <c r="A41678" s="17"/>
      <c r="H41678" s="18"/>
      <c r="K41678" s="18" t="s">
        <v>316</v>
      </c>
    </row>
    <row r="41679">
      <c r="A41679" s="17"/>
      <c r="H41679" s="18"/>
      <c r="K41679" s="18" t="s">
        <v>316</v>
      </c>
    </row>
    <row r="41680">
      <c r="A41680" s="17"/>
      <c r="H41680" s="18"/>
      <c r="K41680" s="18" t="s">
        <v>316</v>
      </c>
    </row>
    <row r="41681">
      <c r="A41681" s="17"/>
      <c r="H41681" s="18"/>
      <c r="K41681" s="18" t="s">
        <v>316</v>
      </c>
    </row>
    <row r="41682">
      <c r="A41682" s="17"/>
      <c r="H41682" s="18"/>
      <c r="K41682" s="18" t="s">
        <v>316</v>
      </c>
    </row>
    <row r="41683">
      <c r="A41683" s="17"/>
      <c r="H41683" s="18"/>
      <c r="K41683" s="18" t="s">
        <v>316</v>
      </c>
    </row>
    <row r="41684">
      <c r="A41684" s="17"/>
      <c r="H41684" s="18"/>
      <c r="K41684" s="18" t="s">
        <v>316</v>
      </c>
    </row>
    <row r="41685">
      <c r="A41685" s="17"/>
      <c r="H41685" s="18"/>
      <c r="K41685" s="18" t="s">
        <v>316</v>
      </c>
    </row>
    <row r="41686">
      <c r="A41686" s="17"/>
      <c r="H41686" s="18"/>
      <c r="K41686" s="18" t="s">
        <v>316</v>
      </c>
    </row>
    <row r="41687">
      <c r="A41687" s="17"/>
      <c r="H41687" s="18"/>
      <c r="K41687" s="18" t="s">
        <v>316</v>
      </c>
    </row>
    <row r="41688">
      <c r="A41688" s="17"/>
      <c r="H41688" s="18"/>
      <c r="K41688" s="18" t="s">
        <v>316</v>
      </c>
    </row>
    <row r="41689">
      <c r="A41689" s="17"/>
      <c r="H41689" s="18"/>
      <c r="K41689" s="18" t="s">
        <v>316</v>
      </c>
    </row>
    <row r="41690">
      <c r="A41690" s="17"/>
      <c r="H41690" s="18"/>
      <c r="K41690" s="18" t="s">
        <v>316</v>
      </c>
    </row>
    <row r="41691">
      <c r="A41691" s="17"/>
      <c r="H41691" s="18"/>
      <c r="K41691" s="18" t="s">
        <v>316</v>
      </c>
    </row>
    <row r="41692">
      <c r="A41692" s="17"/>
      <c r="H41692" s="18"/>
      <c r="K41692" s="18" t="s">
        <v>316</v>
      </c>
    </row>
    <row r="41693">
      <c r="A41693" s="17"/>
      <c r="H41693" s="18"/>
      <c r="K41693" s="18" t="s">
        <v>316</v>
      </c>
    </row>
    <row r="41694">
      <c r="A41694" s="17"/>
      <c r="H41694" s="18"/>
      <c r="K41694" s="18" t="s">
        <v>316</v>
      </c>
    </row>
    <row r="41695">
      <c r="A41695" s="17"/>
      <c r="H41695" s="18"/>
      <c r="K41695" s="18" t="s">
        <v>316</v>
      </c>
    </row>
    <row r="41696">
      <c r="A41696" s="17"/>
      <c r="H41696" s="18"/>
      <c r="K41696" s="18" t="s">
        <v>316</v>
      </c>
    </row>
    <row r="41697">
      <c r="A41697" s="17"/>
      <c r="H41697" s="18"/>
      <c r="K41697" s="18" t="s">
        <v>316</v>
      </c>
    </row>
    <row r="41698">
      <c r="A41698" s="17"/>
      <c r="H41698" s="18"/>
      <c r="K41698" s="18" t="s">
        <v>316</v>
      </c>
    </row>
    <row r="41699">
      <c r="A41699" s="17"/>
      <c r="H41699" s="18"/>
      <c r="K41699" s="18" t="s">
        <v>316</v>
      </c>
    </row>
    <row r="41700">
      <c r="A41700" s="17"/>
      <c r="H41700" s="18"/>
      <c r="K41700" s="18" t="s">
        <v>316</v>
      </c>
    </row>
    <row r="41701">
      <c r="A41701" s="17"/>
      <c r="H41701" s="18"/>
      <c r="K41701" s="18" t="s">
        <v>316</v>
      </c>
    </row>
    <row r="41702">
      <c r="A41702" s="17"/>
      <c r="H41702" s="18"/>
      <c r="K41702" s="18" t="s">
        <v>316</v>
      </c>
    </row>
    <row r="41703">
      <c r="A41703" s="17"/>
      <c r="H41703" s="18"/>
      <c r="K41703" s="18" t="s">
        <v>316</v>
      </c>
    </row>
    <row r="41704">
      <c r="A41704" s="17"/>
      <c r="H41704" s="18"/>
      <c r="K41704" s="18" t="s">
        <v>316</v>
      </c>
    </row>
    <row r="41705">
      <c r="A41705" s="17"/>
      <c r="H41705" s="18"/>
      <c r="K41705" s="18" t="s">
        <v>316</v>
      </c>
    </row>
    <row r="41706">
      <c r="A41706" s="17"/>
      <c r="H41706" s="18"/>
      <c r="K41706" s="18" t="s">
        <v>316</v>
      </c>
    </row>
    <row r="41707">
      <c r="A41707" s="17"/>
      <c r="H41707" s="18"/>
      <c r="K41707" s="18" t="s">
        <v>316</v>
      </c>
    </row>
    <row r="41708">
      <c r="A41708" s="17"/>
      <c r="H41708" s="18"/>
      <c r="K41708" s="18" t="s">
        <v>316</v>
      </c>
    </row>
    <row r="41709">
      <c r="A41709" s="17"/>
      <c r="H41709" s="18"/>
      <c r="K41709" s="18" t="s">
        <v>316</v>
      </c>
    </row>
    <row r="41710">
      <c r="A41710" s="17"/>
      <c r="H41710" s="18"/>
      <c r="K41710" s="18" t="s">
        <v>316</v>
      </c>
    </row>
    <row r="41711">
      <c r="A41711" s="17"/>
      <c r="H41711" s="18"/>
      <c r="K41711" s="18" t="s">
        <v>316</v>
      </c>
    </row>
    <row r="41712">
      <c r="A41712" s="17"/>
      <c r="H41712" s="18"/>
      <c r="K41712" s="18" t="s">
        <v>316</v>
      </c>
    </row>
    <row r="41713">
      <c r="A41713" s="17"/>
      <c r="H41713" s="18"/>
      <c r="K41713" s="18" t="s">
        <v>316</v>
      </c>
    </row>
    <row r="41714">
      <c r="A41714" s="17"/>
      <c r="H41714" s="18"/>
      <c r="K41714" s="18" t="s">
        <v>316</v>
      </c>
    </row>
    <row r="41715">
      <c r="A41715" s="17"/>
      <c r="H41715" s="18"/>
      <c r="K41715" s="18" t="s">
        <v>316</v>
      </c>
    </row>
    <row r="41716">
      <c r="A41716" s="17"/>
      <c r="H41716" s="18"/>
      <c r="K41716" s="18" t="s">
        <v>316</v>
      </c>
    </row>
    <row r="41717">
      <c r="A41717" s="17"/>
      <c r="H41717" s="18"/>
      <c r="K41717" s="18" t="s">
        <v>316</v>
      </c>
    </row>
    <row r="41718">
      <c r="A41718" s="17"/>
      <c r="H41718" s="18"/>
      <c r="K41718" s="18" t="s">
        <v>316</v>
      </c>
    </row>
    <row r="41719">
      <c r="A41719" s="17"/>
      <c r="H41719" s="18"/>
      <c r="K41719" s="18" t="s">
        <v>316</v>
      </c>
    </row>
    <row r="41720">
      <c r="A41720" s="17"/>
      <c r="H41720" s="18"/>
      <c r="K41720" s="18" t="s">
        <v>316</v>
      </c>
    </row>
    <row r="41721">
      <c r="A41721" s="17"/>
      <c r="H41721" s="18"/>
      <c r="K41721" s="18" t="s">
        <v>316</v>
      </c>
    </row>
    <row r="41722">
      <c r="A41722" s="17"/>
      <c r="H41722" s="18"/>
      <c r="K41722" s="18" t="s">
        <v>316</v>
      </c>
    </row>
    <row r="41723">
      <c r="A41723" s="17"/>
      <c r="H41723" s="18"/>
      <c r="K41723" s="18" t="s">
        <v>316</v>
      </c>
    </row>
    <row r="41724">
      <c r="A41724" s="17"/>
      <c r="H41724" s="18"/>
      <c r="K41724" s="18" t="s">
        <v>316</v>
      </c>
    </row>
    <row r="41725">
      <c r="A41725" s="17"/>
      <c r="H41725" s="18"/>
      <c r="K41725" s="18" t="s">
        <v>316</v>
      </c>
    </row>
    <row r="41726">
      <c r="A41726" s="17"/>
      <c r="H41726" s="18"/>
      <c r="K41726" s="18" t="s">
        <v>316</v>
      </c>
    </row>
    <row r="41727">
      <c r="A41727" s="17"/>
      <c r="H41727" s="18"/>
      <c r="K41727" s="18" t="s">
        <v>316</v>
      </c>
    </row>
    <row r="41728">
      <c r="A41728" s="17"/>
      <c r="H41728" s="18"/>
      <c r="K41728" s="18" t="s">
        <v>316</v>
      </c>
    </row>
    <row r="41729">
      <c r="A41729" s="17"/>
      <c r="H41729" s="18"/>
      <c r="K41729" s="18" t="s">
        <v>316</v>
      </c>
    </row>
    <row r="41730">
      <c r="A41730" s="17"/>
      <c r="H41730" s="18"/>
      <c r="K41730" s="18" t="s">
        <v>316</v>
      </c>
    </row>
    <row r="41731">
      <c r="A41731" s="17"/>
      <c r="H41731" s="18"/>
      <c r="K41731" s="18" t="s">
        <v>316</v>
      </c>
    </row>
    <row r="41732">
      <c r="A41732" s="17"/>
      <c r="H41732" s="18"/>
      <c r="K41732" s="18" t="s">
        <v>316</v>
      </c>
    </row>
    <row r="41733">
      <c r="A41733" s="17"/>
      <c r="H41733" s="18"/>
      <c r="K41733" s="18" t="s">
        <v>316</v>
      </c>
    </row>
    <row r="41734">
      <c r="A41734" s="17"/>
      <c r="H41734" s="18"/>
      <c r="K41734" s="18" t="s">
        <v>316</v>
      </c>
    </row>
    <row r="41735">
      <c r="A41735" s="17"/>
      <c r="H41735" s="18"/>
      <c r="K41735" s="18" t="s">
        <v>316</v>
      </c>
    </row>
    <row r="41736">
      <c r="A41736" s="17"/>
      <c r="H41736" s="18"/>
      <c r="K41736" s="18" t="s">
        <v>316</v>
      </c>
    </row>
    <row r="41737">
      <c r="A41737" s="17"/>
      <c r="H41737" s="18"/>
      <c r="K41737" s="18" t="s">
        <v>316</v>
      </c>
    </row>
    <row r="41738">
      <c r="A41738" s="17"/>
      <c r="H41738" s="18"/>
      <c r="K41738" s="18" t="s">
        <v>316</v>
      </c>
    </row>
    <row r="41739">
      <c r="A41739" s="17"/>
      <c r="H41739" s="18"/>
      <c r="K41739" s="18" t="s">
        <v>316</v>
      </c>
    </row>
    <row r="41740">
      <c r="A41740" s="17"/>
      <c r="H41740" s="18"/>
      <c r="K41740" s="18" t="s">
        <v>316</v>
      </c>
    </row>
    <row r="41741">
      <c r="A41741" s="17"/>
      <c r="H41741" s="18"/>
      <c r="K41741" s="18" t="s">
        <v>316</v>
      </c>
    </row>
    <row r="41742">
      <c r="A41742" s="17"/>
      <c r="H41742" s="18"/>
      <c r="K41742" s="18" t="s">
        <v>316</v>
      </c>
    </row>
    <row r="41743">
      <c r="A41743" s="17"/>
      <c r="H41743" s="18"/>
      <c r="K41743" s="18" t="s">
        <v>316</v>
      </c>
    </row>
    <row r="41744">
      <c r="A41744" s="17"/>
      <c r="H41744" s="18"/>
      <c r="K41744" s="18" t="s">
        <v>316</v>
      </c>
    </row>
    <row r="41745">
      <c r="A41745" s="17"/>
      <c r="H41745" s="18"/>
      <c r="K41745" s="18" t="s">
        <v>316</v>
      </c>
    </row>
    <row r="41746">
      <c r="A41746" s="17"/>
      <c r="H41746" s="18"/>
      <c r="K41746" s="18" t="s">
        <v>316</v>
      </c>
    </row>
    <row r="41747">
      <c r="A41747" s="17"/>
      <c r="H41747" s="18"/>
      <c r="K41747" s="18" t="s">
        <v>316</v>
      </c>
    </row>
    <row r="41748">
      <c r="A41748" s="17"/>
      <c r="H41748" s="18"/>
      <c r="K41748" s="18" t="s">
        <v>316</v>
      </c>
    </row>
    <row r="41749">
      <c r="A41749" s="17"/>
      <c r="H41749" s="18"/>
      <c r="K41749" s="18" t="s">
        <v>316</v>
      </c>
    </row>
    <row r="41750">
      <c r="A41750" s="17"/>
      <c r="H41750" s="18"/>
      <c r="K41750" s="18" t="s">
        <v>316</v>
      </c>
    </row>
    <row r="41751">
      <c r="A41751" s="17"/>
      <c r="H41751" s="18"/>
      <c r="K41751" s="18" t="s">
        <v>316</v>
      </c>
    </row>
    <row r="41752">
      <c r="A41752" s="17"/>
      <c r="H41752" s="18"/>
      <c r="K41752" s="18" t="s">
        <v>316</v>
      </c>
    </row>
    <row r="41753">
      <c r="A41753" s="17"/>
      <c r="H41753" s="18"/>
      <c r="K41753" s="18" t="s">
        <v>316</v>
      </c>
    </row>
    <row r="41754">
      <c r="A41754" s="17"/>
      <c r="H41754" s="18"/>
      <c r="K41754" s="18" t="s">
        <v>316</v>
      </c>
    </row>
    <row r="41755">
      <c r="A41755" s="17"/>
      <c r="H41755" s="18"/>
      <c r="K41755" s="18" t="s">
        <v>316</v>
      </c>
    </row>
    <row r="41756">
      <c r="A41756" s="17"/>
      <c r="H41756" s="18"/>
      <c r="K41756" s="18" t="s">
        <v>316</v>
      </c>
    </row>
    <row r="41757">
      <c r="A41757" s="17"/>
      <c r="H41757" s="18"/>
      <c r="K41757" s="18" t="s">
        <v>316</v>
      </c>
    </row>
    <row r="41758">
      <c r="A41758" s="17"/>
      <c r="H41758" s="18"/>
      <c r="K41758" s="18" t="s">
        <v>316</v>
      </c>
    </row>
    <row r="41759">
      <c r="A41759" s="17"/>
      <c r="H41759" s="18"/>
      <c r="K41759" s="18" t="s">
        <v>316</v>
      </c>
    </row>
    <row r="41760">
      <c r="A41760" s="17"/>
      <c r="H41760" s="18"/>
      <c r="K41760" s="18" t="s">
        <v>316</v>
      </c>
    </row>
    <row r="41761">
      <c r="A41761" s="17"/>
      <c r="H41761" s="18"/>
      <c r="K41761" s="18" t="s">
        <v>316</v>
      </c>
    </row>
    <row r="41762">
      <c r="A41762" s="17"/>
      <c r="H41762" s="18"/>
      <c r="K41762" s="18" t="s">
        <v>316</v>
      </c>
    </row>
    <row r="41763">
      <c r="A41763" s="17"/>
      <c r="H41763" s="18"/>
      <c r="K41763" s="18" t="s">
        <v>316</v>
      </c>
    </row>
    <row r="41764">
      <c r="A41764" s="17"/>
      <c r="H41764" s="18"/>
      <c r="K41764" s="18" t="s">
        <v>316</v>
      </c>
    </row>
    <row r="41765">
      <c r="A41765" s="17"/>
      <c r="H41765" s="18"/>
      <c r="K41765" s="18" t="s">
        <v>316</v>
      </c>
    </row>
    <row r="41766">
      <c r="A41766" s="17"/>
      <c r="H41766" s="18"/>
      <c r="K41766" s="18" t="s">
        <v>316</v>
      </c>
    </row>
    <row r="41767">
      <c r="A41767" s="17"/>
      <c r="H41767" s="18"/>
      <c r="K41767" s="18" t="s">
        <v>316</v>
      </c>
    </row>
    <row r="41768">
      <c r="A41768" s="17"/>
      <c r="H41768" s="18"/>
      <c r="K41768" s="18" t="s">
        <v>316</v>
      </c>
    </row>
    <row r="41769">
      <c r="A41769" s="17"/>
      <c r="H41769" s="18"/>
      <c r="K41769" s="18" t="s">
        <v>316</v>
      </c>
    </row>
    <row r="41770">
      <c r="A41770" s="17"/>
      <c r="H41770" s="18"/>
      <c r="K41770" s="18" t="s">
        <v>316</v>
      </c>
    </row>
    <row r="41771">
      <c r="A41771" s="17"/>
      <c r="H41771" s="18"/>
      <c r="K41771" s="18" t="s">
        <v>316</v>
      </c>
    </row>
    <row r="41772">
      <c r="A41772" s="17"/>
      <c r="H41772" s="18"/>
      <c r="K41772" s="18" t="s">
        <v>316</v>
      </c>
    </row>
    <row r="41773">
      <c r="A41773" s="17"/>
      <c r="H41773" s="18"/>
      <c r="K41773" s="18" t="s">
        <v>316</v>
      </c>
    </row>
    <row r="41774">
      <c r="A41774" s="17"/>
      <c r="H41774" s="18"/>
      <c r="K41774" s="18" t="s">
        <v>316</v>
      </c>
    </row>
    <row r="41775">
      <c r="A41775" s="17"/>
      <c r="H41775" s="18"/>
      <c r="K41775" s="18" t="s">
        <v>316</v>
      </c>
    </row>
    <row r="41776">
      <c r="A41776" s="17"/>
      <c r="H41776" s="18"/>
      <c r="K41776" s="18" t="s">
        <v>316</v>
      </c>
    </row>
    <row r="41777">
      <c r="A41777" s="17"/>
      <c r="H41777" s="18"/>
      <c r="K41777" s="18" t="s">
        <v>316</v>
      </c>
    </row>
    <row r="41778">
      <c r="A41778" s="17"/>
      <c r="H41778" s="18"/>
      <c r="K41778" s="18" t="s">
        <v>316</v>
      </c>
    </row>
    <row r="41779">
      <c r="A41779" s="17"/>
      <c r="H41779" s="18"/>
      <c r="K41779" s="18" t="s">
        <v>316</v>
      </c>
    </row>
    <row r="41780">
      <c r="A41780" s="17"/>
      <c r="H41780" s="18"/>
      <c r="K41780" s="18" t="s">
        <v>316</v>
      </c>
    </row>
    <row r="41781">
      <c r="A41781" s="17"/>
      <c r="H41781" s="18"/>
      <c r="K41781" s="18" t="s">
        <v>316</v>
      </c>
    </row>
    <row r="41782">
      <c r="A41782" s="17"/>
      <c r="H41782" s="18"/>
      <c r="K41782" s="18" t="s">
        <v>316</v>
      </c>
    </row>
    <row r="41783">
      <c r="A41783" s="17"/>
      <c r="H41783" s="18"/>
      <c r="K41783" s="18" t="s">
        <v>316</v>
      </c>
    </row>
    <row r="41784">
      <c r="A41784" s="17"/>
      <c r="H41784" s="18"/>
      <c r="K41784" s="18" t="s">
        <v>316</v>
      </c>
    </row>
    <row r="41785">
      <c r="A41785" s="17"/>
      <c r="H41785" s="18"/>
      <c r="K41785" s="18" t="s">
        <v>316</v>
      </c>
    </row>
    <row r="41786">
      <c r="A41786" s="17"/>
      <c r="H41786" s="18"/>
      <c r="K41786" s="18" t="s">
        <v>316</v>
      </c>
    </row>
    <row r="41787">
      <c r="A41787" s="17"/>
      <c r="H41787" s="18"/>
      <c r="K41787" s="18" t="s">
        <v>316</v>
      </c>
    </row>
    <row r="41788">
      <c r="A41788" s="17"/>
      <c r="H41788" s="18"/>
      <c r="K41788" s="18" t="s">
        <v>316</v>
      </c>
    </row>
    <row r="41789">
      <c r="A41789" s="17"/>
      <c r="H41789" s="18"/>
      <c r="K41789" s="18" t="s">
        <v>316</v>
      </c>
    </row>
    <row r="41790">
      <c r="A41790" s="17"/>
      <c r="H41790" s="18"/>
      <c r="K41790" s="18" t="s">
        <v>316</v>
      </c>
    </row>
    <row r="41791">
      <c r="A41791" s="17"/>
      <c r="H41791" s="18"/>
      <c r="K41791" s="18" t="s">
        <v>316</v>
      </c>
    </row>
    <row r="41792">
      <c r="A41792" s="17"/>
      <c r="H41792" s="18"/>
      <c r="K41792" s="18" t="s">
        <v>316</v>
      </c>
    </row>
    <row r="41793">
      <c r="A41793" s="17"/>
      <c r="H41793" s="18"/>
      <c r="K41793" s="18" t="s">
        <v>316</v>
      </c>
    </row>
    <row r="41794">
      <c r="A41794" s="17"/>
      <c r="H41794" s="18"/>
      <c r="K41794" s="18" t="s">
        <v>316</v>
      </c>
    </row>
    <row r="41795">
      <c r="A41795" s="17"/>
      <c r="H41795" s="18"/>
      <c r="K41795" s="18" t="s">
        <v>316</v>
      </c>
    </row>
    <row r="41796">
      <c r="A41796" s="17"/>
      <c r="H41796" s="18"/>
      <c r="K41796" s="18" t="s">
        <v>316</v>
      </c>
    </row>
    <row r="41797">
      <c r="A41797" s="17"/>
      <c r="H41797" s="18"/>
      <c r="K41797" s="18" t="s">
        <v>316</v>
      </c>
    </row>
    <row r="41798">
      <c r="A41798" s="17"/>
      <c r="H41798" s="18"/>
      <c r="K41798" s="18" t="s">
        <v>316</v>
      </c>
    </row>
    <row r="41799">
      <c r="A41799" s="17"/>
      <c r="H41799" s="18"/>
      <c r="K41799" s="18" t="s">
        <v>316</v>
      </c>
    </row>
    <row r="41800">
      <c r="A41800" s="17"/>
      <c r="H41800" s="18"/>
      <c r="K41800" s="18" t="s">
        <v>316</v>
      </c>
    </row>
    <row r="41801">
      <c r="A41801" s="17"/>
      <c r="H41801" s="18"/>
      <c r="K41801" s="18" t="s">
        <v>316</v>
      </c>
    </row>
    <row r="41802">
      <c r="A41802" s="17"/>
      <c r="H41802" s="18"/>
      <c r="K41802" s="18" t="s">
        <v>316</v>
      </c>
    </row>
    <row r="41803">
      <c r="A41803" s="17"/>
      <c r="H41803" s="18"/>
      <c r="K41803" s="18" t="s">
        <v>316</v>
      </c>
    </row>
    <row r="41804">
      <c r="A41804" s="17"/>
      <c r="H41804" s="18"/>
      <c r="K41804" s="18" t="s">
        <v>316</v>
      </c>
    </row>
    <row r="41805">
      <c r="A41805" s="17"/>
      <c r="H41805" s="18"/>
      <c r="K41805" s="18" t="s">
        <v>316</v>
      </c>
    </row>
    <row r="41806">
      <c r="A41806" s="17"/>
      <c r="H41806" s="18"/>
      <c r="K41806" s="18" t="s">
        <v>316</v>
      </c>
    </row>
    <row r="41807">
      <c r="A41807" s="17"/>
      <c r="H41807" s="18"/>
      <c r="K41807" s="18" t="s">
        <v>316</v>
      </c>
    </row>
    <row r="41808">
      <c r="A41808" s="17"/>
      <c r="H41808" s="18"/>
      <c r="K41808" s="18" t="s">
        <v>316</v>
      </c>
    </row>
    <row r="41809">
      <c r="A41809" s="17"/>
      <c r="H41809" s="18"/>
      <c r="K41809" s="18" t="s">
        <v>316</v>
      </c>
    </row>
    <row r="41810">
      <c r="A41810" s="17"/>
      <c r="H41810" s="18"/>
      <c r="K41810" s="18" t="s">
        <v>316</v>
      </c>
    </row>
    <row r="41811">
      <c r="A41811" s="17"/>
      <c r="H41811" s="18"/>
      <c r="K41811" s="18" t="s">
        <v>316</v>
      </c>
    </row>
    <row r="41812">
      <c r="A41812" s="17"/>
      <c r="H41812" s="18"/>
      <c r="K41812" s="18" t="s">
        <v>316</v>
      </c>
    </row>
    <row r="41813">
      <c r="A41813" s="17"/>
      <c r="H41813" s="18"/>
      <c r="K41813" s="18" t="s">
        <v>316</v>
      </c>
    </row>
    <row r="41814">
      <c r="A41814" s="17"/>
      <c r="H41814" s="18"/>
      <c r="K41814" s="18" t="s">
        <v>316</v>
      </c>
    </row>
    <row r="41815">
      <c r="A41815" s="17"/>
      <c r="H41815" s="18"/>
      <c r="K41815" s="18" t="s">
        <v>316</v>
      </c>
    </row>
    <row r="41816">
      <c r="A41816" s="17"/>
      <c r="H41816" s="18"/>
      <c r="K41816" s="18" t="s">
        <v>316</v>
      </c>
    </row>
    <row r="41817">
      <c r="A41817" s="17"/>
      <c r="H41817" s="18"/>
      <c r="K41817" s="18" t="s">
        <v>316</v>
      </c>
    </row>
    <row r="41818">
      <c r="A41818" s="17"/>
      <c r="H41818" s="18"/>
      <c r="K41818" s="18" t="s">
        <v>316</v>
      </c>
    </row>
    <row r="41819">
      <c r="A41819" s="17"/>
      <c r="H41819" s="18"/>
      <c r="K41819" s="18" t="s">
        <v>316</v>
      </c>
    </row>
    <row r="41820">
      <c r="A41820" s="17"/>
      <c r="H41820" s="18"/>
      <c r="K41820" s="18" t="s">
        <v>316</v>
      </c>
    </row>
    <row r="41821">
      <c r="A41821" s="17"/>
      <c r="H41821" s="18"/>
      <c r="K41821" s="18" t="s">
        <v>316</v>
      </c>
    </row>
    <row r="41822">
      <c r="A41822" s="17"/>
      <c r="H41822" s="18"/>
      <c r="K41822" s="18" t="s">
        <v>316</v>
      </c>
    </row>
    <row r="41823">
      <c r="A41823" s="17"/>
      <c r="H41823" s="18"/>
      <c r="K41823" s="18" t="s">
        <v>316</v>
      </c>
    </row>
    <row r="41824">
      <c r="A41824" s="17"/>
      <c r="H41824" s="18"/>
      <c r="K41824" s="18" t="s">
        <v>316</v>
      </c>
    </row>
    <row r="41825">
      <c r="A41825" s="17"/>
      <c r="H41825" s="18"/>
      <c r="K41825" s="18" t="s">
        <v>316</v>
      </c>
    </row>
    <row r="41826">
      <c r="A41826" s="17"/>
      <c r="H41826" s="18"/>
      <c r="K41826" s="18" t="s">
        <v>316</v>
      </c>
    </row>
    <row r="41827">
      <c r="A41827" s="17"/>
      <c r="H41827" s="18"/>
      <c r="K41827" s="18" t="s">
        <v>316</v>
      </c>
    </row>
    <row r="41828">
      <c r="A41828" s="17"/>
      <c r="H41828" s="18"/>
      <c r="K41828" s="18" t="s">
        <v>316</v>
      </c>
    </row>
    <row r="41829">
      <c r="A41829" s="17"/>
      <c r="H41829" s="18"/>
      <c r="K41829" s="18" t="s">
        <v>316</v>
      </c>
    </row>
    <row r="41830">
      <c r="A41830" s="17"/>
      <c r="H41830" s="18"/>
      <c r="K41830" s="18" t="s">
        <v>316</v>
      </c>
    </row>
    <row r="41831">
      <c r="A41831" s="17"/>
      <c r="H41831" s="18"/>
      <c r="K41831" s="18" t="s">
        <v>316</v>
      </c>
    </row>
    <row r="41832">
      <c r="A41832" s="17"/>
      <c r="H41832" s="18"/>
      <c r="K41832" s="18" t="s">
        <v>316</v>
      </c>
    </row>
    <row r="41833">
      <c r="A41833" s="17"/>
      <c r="H41833" s="18"/>
      <c r="K41833" s="18" t="s">
        <v>316</v>
      </c>
    </row>
    <row r="41834">
      <c r="A41834" s="17"/>
      <c r="H41834" s="18"/>
      <c r="K41834" s="18" t="s">
        <v>316</v>
      </c>
    </row>
    <row r="41835">
      <c r="A41835" s="17"/>
      <c r="H41835" s="18"/>
      <c r="K41835" s="18" t="s">
        <v>316</v>
      </c>
    </row>
    <row r="41836">
      <c r="A41836" s="17"/>
      <c r="H41836" s="18"/>
      <c r="K41836" s="18" t="s">
        <v>316</v>
      </c>
    </row>
    <row r="41837">
      <c r="A41837" s="17"/>
      <c r="H41837" s="18"/>
      <c r="K41837" s="18" t="s">
        <v>316</v>
      </c>
    </row>
    <row r="41838">
      <c r="A41838" s="17"/>
      <c r="H41838" s="18"/>
      <c r="K41838" s="18" t="s">
        <v>316</v>
      </c>
    </row>
    <row r="41839">
      <c r="A41839" s="17"/>
      <c r="H41839" s="18"/>
      <c r="K41839" s="18" t="s">
        <v>316</v>
      </c>
    </row>
    <row r="41840">
      <c r="A41840" s="17"/>
      <c r="H41840" s="18"/>
      <c r="K41840" s="18" t="s">
        <v>316</v>
      </c>
    </row>
    <row r="41841">
      <c r="A41841" s="17"/>
      <c r="H41841" s="18"/>
      <c r="K41841" s="18" t="s">
        <v>316</v>
      </c>
    </row>
    <row r="41842">
      <c r="A41842" s="17"/>
      <c r="H41842" s="18"/>
      <c r="K41842" s="18" t="s">
        <v>316</v>
      </c>
    </row>
    <row r="41843">
      <c r="A41843" s="17"/>
      <c r="H41843" s="18"/>
      <c r="K41843" s="18" t="s">
        <v>316</v>
      </c>
    </row>
    <row r="41844">
      <c r="A41844" s="17"/>
      <c r="H41844" s="18"/>
      <c r="K41844" s="18" t="s">
        <v>316</v>
      </c>
    </row>
    <row r="41845">
      <c r="A41845" s="17"/>
      <c r="H41845" s="18"/>
      <c r="K41845" s="18" t="s">
        <v>316</v>
      </c>
    </row>
    <row r="41846">
      <c r="A41846" s="17"/>
      <c r="H41846" s="18"/>
      <c r="K41846" s="18" t="s">
        <v>316</v>
      </c>
    </row>
    <row r="41847">
      <c r="A41847" s="17"/>
      <c r="H41847" s="18"/>
      <c r="K41847" s="18" t="s">
        <v>316</v>
      </c>
    </row>
    <row r="41848">
      <c r="A41848" s="17"/>
      <c r="H41848" s="18"/>
      <c r="K41848" s="18" t="s">
        <v>316</v>
      </c>
    </row>
    <row r="41849">
      <c r="A41849" s="17"/>
      <c r="H41849" s="18"/>
      <c r="K41849" s="18" t="s">
        <v>316</v>
      </c>
    </row>
    <row r="41850">
      <c r="A41850" s="17"/>
      <c r="H41850" s="18"/>
      <c r="K41850" s="18" t="s">
        <v>316</v>
      </c>
    </row>
    <row r="41851">
      <c r="A41851" s="17"/>
      <c r="H41851" s="18"/>
      <c r="K41851" s="18" t="s">
        <v>316</v>
      </c>
    </row>
    <row r="41852">
      <c r="A41852" s="17"/>
      <c r="H41852" s="18"/>
      <c r="K41852" s="18" t="s">
        <v>316</v>
      </c>
    </row>
    <row r="41853">
      <c r="A41853" s="17"/>
      <c r="H41853" s="18"/>
      <c r="K41853" s="18" t="s">
        <v>316</v>
      </c>
    </row>
    <row r="41854">
      <c r="A41854" s="17"/>
      <c r="H41854" s="18"/>
      <c r="K41854" s="18" t="s">
        <v>316</v>
      </c>
    </row>
    <row r="41855">
      <c r="A41855" s="17"/>
      <c r="H41855" s="18"/>
      <c r="K41855" s="18" t="s">
        <v>316</v>
      </c>
    </row>
    <row r="41856">
      <c r="A41856" s="17"/>
      <c r="H41856" s="18"/>
      <c r="K41856" s="18" t="s">
        <v>316</v>
      </c>
    </row>
    <row r="41857">
      <c r="A41857" s="17"/>
      <c r="H41857" s="18"/>
      <c r="K41857" s="18" t="s">
        <v>316</v>
      </c>
    </row>
    <row r="41858">
      <c r="A41858" s="17"/>
      <c r="H41858" s="18"/>
      <c r="K41858" s="18" t="s">
        <v>316</v>
      </c>
    </row>
    <row r="41859">
      <c r="A41859" s="17"/>
      <c r="H41859" s="18"/>
      <c r="K41859" s="18" t="s">
        <v>316</v>
      </c>
    </row>
    <row r="41860">
      <c r="A41860" s="17"/>
      <c r="H41860" s="18"/>
      <c r="K41860" s="18" t="s">
        <v>316</v>
      </c>
    </row>
    <row r="41861">
      <c r="A41861" s="17"/>
      <c r="H41861" s="18"/>
      <c r="K41861" s="18" t="s">
        <v>316</v>
      </c>
    </row>
    <row r="41862">
      <c r="A41862" s="17"/>
      <c r="H41862" s="18"/>
      <c r="K41862" s="18" t="s">
        <v>316</v>
      </c>
    </row>
    <row r="41863">
      <c r="A41863" s="17"/>
      <c r="H41863" s="18"/>
      <c r="K41863" s="18" t="s">
        <v>316</v>
      </c>
    </row>
    <row r="41864">
      <c r="A41864" s="17"/>
      <c r="H41864" s="18"/>
      <c r="K41864" s="18" t="s">
        <v>316</v>
      </c>
    </row>
    <row r="41865">
      <c r="A41865" s="17"/>
      <c r="H41865" s="18"/>
      <c r="K41865" s="18" t="s">
        <v>316</v>
      </c>
    </row>
    <row r="41866">
      <c r="A41866" s="17"/>
      <c r="H41866" s="18"/>
      <c r="K41866" s="18" t="s">
        <v>316</v>
      </c>
    </row>
    <row r="41867">
      <c r="A41867" s="17"/>
      <c r="H41867" s="18"/>
      <c r="K41867" s="18" t="s">
        <v>316</v>
      </c>
    </row>
    <row r="41868">
      <c r="A41868" s="17"/>
      <c r="H41868" s="18"/>
      <c r="K41868" s="18" t="s">
        <v>316</v>
      </c>
    </row>
    <row r="41869">
      <c r="A41869" s="17"/>
      <c r="H41869" s="18"/>
      <c r="K41869" s="18" t="s">
        <v>316</v>
      </c>
    </row>
    <row r="41870">
      <c r="A41870" s="17"/>
      <c r="H41870" s="18"/>
      <c r="K41870" s="18" t="s">
        <v>316</v>
      </c>
    </row>
    <row r="41871">
      <c r="A41871" s="17"/>
      <c r="H41871" s="18"/>
      <c r="K41871" s="18" t="s">
        <v>316</v>
      </c>
    </row>
    <row r="41872">
      <c r="A41872" s="17"/>
      <c r="H41872" s="18"/>
      <c r="K41872" s="18" t="s">
        <v>316</v>
      </c>
    </row>
    <row r="41873">
      <c r="A41873" s="17"/>
      <c r="H41873" s="18"/>
      <c r="K41873" s="18" t="s">
        <v>316</v>
      </c>
    </row>
    <row r="41874">
      <c r="A41874" s="17"/>
      <c r="H41874" s="18"/>
      <c r="K41874" s="18" t="s">
        <v>316</v>
      </c>
    </row>
    <row r="41875">
      <c r="A41875" s="17"/>
      <c r="H41875" s="18"/>
      <c r="K41875" s="18" t="s">
        <v>316</v>
      </c>
    </row>
    <row r="41876">
      <c r="A41876" s="17"/>
      <c r="H41876" s="18"/>
      <c r="K41876" s="18" t="s">
        <v>316</v>
      </c>
    </row>
    <row r="41877">
      <c r="A41877" s="17"/>
      <c r="H41877" s="18"/>
      <c r="K41877" s="18" t="s">
        <v>316</v>
      </c>
    </row>
    <row r="41878">
      <c r="A41878" s="17"/>
      <c r="H41878" s="18"/>
      <c r="K41878" s="18" t="s">
        <v>316</v>
      </c>
    </row>
    <row r="41879">
      <c r="A41879" s="17"/>
      <c r="H41879" s="18"/>
      <c r="K41879" s="18" t="s">
        <v>316</v>
      </c>
    </row>
    <row r="41880">
      <c r="A41880" s="17"/>
      <c r="H41880" s="18"/>
      <c r="K41880" s="18" t="s">
        <v>316</v>
      </c>
    </row>
    <row r="41881">
      <c r="A41881" s="17"/>
      <c r="H41881" s="18"/>
      <c r="K41881" s="18" t="s">
        <v>316</v>
      </c>
    </row>
    <row r="41882">
      <c r="A41882" s="17"/>
      <c r="H41882" s="18"/>
      <c r="K41882" s="18" t="s">
        <v>316</v>
      </c>
    </row>
    <row r="41883">
      <c r="A41883" s="17"/>
      <c r="H41883" s="18"/>
      <c r="K41883" s="18" t="s">
        <v>316</v>
      </c>
    </row>
    <row r="41884">
      <c r="A41884" s="17"/>
      <c r="H41884" s="18"/>
      <c r="K41884" s="18" t="s">
        <v>316</v>
      </c>
    </row>
    <row r="41885">
      <c r="A41885" s="17"/>
      <c r="H41885" s="18"/>
      <c r="K41885" s="18" t="s">
        <v>316</v>
      </c>
    </row>
    <row r="41886">
      <c r="A41886" s="17"/>
      <c r="H41886" s="18"/>
      <c r="K41886" s="18" t="s">
        <v>316</v>
      </c>
    </row>
    <row r="41887">
      <c r="A41887" s="17"/>
      <c r="H41887" s="18"/>
      <c r="K41887" s="18" t="s">
        <v>316</v>
      </c>
    </row>
    <row r="41888">
      <c r="A41888" s="17"/>
      <c r="H41888" s="18"/>
      <c r="K41888" s="18" t="s">
        <v>316</v>
      </c>
    </row>
    <row r="41889">
      <c r="A41889" s="17"/>
      <c r="H41889" s="18"/>
      <c r="K41889" s="18" t="s">
        <v>316</v>
      </c>
    </row>
    <row r="41890">
      <c r="A41890" s="17"/>
      <c r="H41890" s="18"/>
      <c r="K41890" s="18" t="s">
        <v>316</v>
      </c>
    </row>
    <row r="41891">
      <c r="A41891" s="17"/>
      <c r="H41891" s="18"/>
      <c r="K41891" s="18" t="s">
        <v>316</v>
      </c>
    </row>
    <row r="41892">
      <c r="A41892" s="17"/>
      <c r="H41892" s="18"/>
      <c r="K41892" s="18" t="s">
        <v>316</v>
      </c>
    </row>
    <row r="41893">
      <c r="A41893" s="17"/>
      <c r="H41893" s="18"/>
      <c r="K41893" s="18" t="s">
        <v>316</v>
      </c>
    </row>
    <row r="41894">
      <c r="A41894" s="17"/>
      <c r="H41894" s="18"/>
      <c r="K41894" s="18" t="s">
        <v>316</v>
      </c>
    </row>
    <row r="41895">
      <c r="A41895" s="17"/>
      <c r="H41895" s="18"/>
      <c r="K41895" s="18" t="s">
        <v>316</v>
      </c>
    </row>
    <row r="41896">
      <c r="A41896" s="17"/>
      <c r="H41896" s="18"/>
      <c r="K41896" s="18" t="s">
        <v>316</v>
      </c>
    </row>
    <row r="41897">
      <c r="A41897" s="17"/>
      <c r="H41897" s="18"/>
      <c r="K41897" s="18" t="s">
        <v>316</v>
      </c>
    </row>
    <row r="41898">
      <c r="A41898" s="17"/>
      <c r="H41898" s="18"/>
      <c r="K41898" s="18" t="s">
        <v>316</v>
      </c>
    </row>
    <row r="41899">
      <c r="A41899" s="17"/>
      <c r="H41899" s="18"/>
      <c r="K41899" s="18" t="s">
        <v>316</v>
      </c>
    </row>
    <row r="41900">
      <c r="A41900" s="17"/>
      <c r="H41900" s="18"/>
      <c r="K41900" s="18" t="s">
        <v>316</v>
      </c>
    </row>
    <row r="41901">
      <c r="A41901" s="17"/>
      <c r="H41901" s="18"/>
      <c r="K41901" s="18" t="s">
        <v>316</v>
      </c>
    </row>
    <row r="41902">
      <c r="A41902" s="17"/>
      <c r="H41902" s="18"/>
      <c r="K41902" s="18" t="s">
        <v>316</v>
      </c>
    </row>
    <row r="41903">
      <c r="A41903" s="17"/>
      <c r="H41903" s="18"/>
      <c r="K41903" s="18" t="s">
        <v>316</v>
      </c>
    </row>
    <row r="41904">
      <c r="A41904" s="17"/>
      <c r="H41904" s="18"/>
      <c r="K41904" s="18" t="s">
        <v>316</v>
      </c>
    </row>
    <row r="41905">
      <c r="A41905" s="17"/>
      <c r="H41905" s="18"/>
      <c r="K41905" s="18" t="s">
        <v>316</v>
      </c>
    </row>
    <row r="41906">
      <c r="A41906" s="17"/>
      <c r="H41906" s="18"/>
      <c r="K41906" s="18" t="s">
        <v>316</v>
      </c>
    </row>
    <row r="41907">
      <c r="A41907" s="17"/>
      <c r="H41907" s="18"/>
      <c r="K41907" s="18" t="s">
        <v>316</v>
      </c>
    </row>
    <row r="41908">
      <c r="A41908" s="17"/>
      <c r="H41908" s="18"/>
      <c r="K41908" s="18" t="s">
        <v>316</v>
      </c>
    </row>
    <row r="41909">
      <c r="A41909" s="17"/>
      <c r="H41909" s="18"/>
      <c r="K41909" s="18" t="s">
        <v>316</v>
      </c>
    </row>
    <row r="41910">
      <c r="A41910" s="17"/>
      <c r="H41910" s="18"/>
      <c r="K41910" s="18" t="s">
        <v>316</v>
      </c>
    </row>
    <row r="41911">
      <c r="A41911" s="17"/>
      <c r="H41911" s="18"/>
      <c r="K41911" s="18" t="s">
        <v>316</v>
      </c>
    </row>
    <row r="41912">
      <c r="A41912" s="17"/>
      <c r="H41912" s="18"/>
      <c r="K41912" s="18" t="s">
        <v>316</v>
      </c>
    </row>
    <row r="41913">
      <c r="A41913" s="17"/>
      <c r="H41913" s="18"/>
      <c r="K41913" s="18" t="s">
        <v>316</v>
      </c>
    </row>
    <row r="41914">
      <c r="A41914" s="17"/>
      <c r="H41914" s="18"/>
      <c r="K41914" s="18" t="s">
        <v>316</v>
      </c>
    </row>
    <row r="41915">
      <c r="A41915" s="17"/>
      <c r="H41915" s="18"/>
      <c r="K41915" s="18" t="s">
        <v>316</v>
      </c>
    </row>
    <row r="41916">
      <c r="A41916" s="17"/>
      <c r="H41916" s="18"/>
      <c r="K41916" s="18" t="s">
        <v>316</v>
      </c>
    </row>
    <row r="41917">
      <c r="A41917" s="17"/>
      <c r="H41917" s="18"/>
      <c r="K41917" s="18" t="s">
        <v>316</v>
      </c>
    </row>
    <row r="41918">
      <c r="A41918" s="17"/>
      <c r="H41918" s="18"/>
      <c r="K41918" s="18" t="s">
        <v>316</v>
      </c>
    </row>
    <row r="41919">
      <c r="A41919" s="17"/>
      <c r="H41919" s="18"/>
      <c r="K41919" s="18" t="s">
        <v>316</v>
      </c>
    </row>
    <row r="41920">
      <c r="A41920" s="17"/>
      <c r="H41920" s="18"/>
      <c r="K41920" s="18" t="s">
        <v>316</v>
      </c>
    </row>
    <row r="41921">
      <c r="A41921" s="17"/>
      <c r="H41921" s="18"/>
      <c r="K41921" s="18" t="s">
        <v>316</v>
      </c>
    </row>
    <row r="41922">
      <c r="A41922" s="17"/>
      <c r="H41922" s="18"/>
      <c r="K41922" s="18" t="s">
        <v>316</v>
      </c>
    </row>
    <row r="41923">
      <c r="A41923" s="17"/>
      <c r="H41923" s="18"/>
      <c r="K41923" s="18" t="s">
        <v>316</v>
      </c>
    </row>
    <row r="41924">
      <c r="A41924" s="17"/>
      <c r="H41924" s="18"/>
      <c r="K41924" s="18" t="s">
        <v>316</v>
      </c>
    </row>
    <row r="41925">
      <c r="A41925" s="17"/>
      <c r="H41925" s="18"/>
      <c r="K41925" s="18" t="s">
        <v>316</v>
      </c>
    </row>
    <row r="41926">
      <c r="A41926" s="17"/>
      <c r="H41926" s="18"/>
      <c r="K41926" s="18" t="s">
        <v>316</v>
      </c>
    </row>
    <row r="41927">
      <c r="A41927" s="17"/>
      <c r="H41927" s="18"/>
      <c r="K41927" s="18" t="s">
        <v>316</v>
      </c>
    </row>
    <row r="41928">
      <c r="A41928" s="17"/>
      <c r="H41928" s="18"/>
      <c r="K41928" s="18" t="s">
        <v>316</v>
      </c>
    </row>
    <row r="41929">
      <c r="A41929" s="17"/>
      <c r="H41929" s="18"/>
      <c r="K41929" s="18" t="s">
        <v>316</v>
      </c>
    </row>
    <row r="41930">
      <c r="A41930" s="17"/>
      <c r="H41930" s="18"/>
      <c r="K41930" s="18" t="s">
        <v>316</v>
      </c>
    </row>
    <row r="41931">
      <c r="A41931" s="17"/>
      <c r="H41931" s="18"/>
      <c r="K41931" s="18" t="s">
        <v>316</v>
      </c>
    </row>
    <row r="41932">
      <c r="A41932" s="17"/>
      <c r="H41932" s="18"/>
      <c r="K41932" s="18" t="s">
        <v>316</v>
      </c>
    </row>
    <row r="41933">
      <c r="A41933" s="17"/>
      <c r="H41933" s="18"/>
      <c r="K41933" s="18" t="s">
        <v>316</v>
      </c>
    </row>
    <row r="41934">
      <c r="A41934" s="17"/>
      <c r="H41934" s="18"/>
      <c r="K41934" s="18" t="s">
        <v>316</v>
      </c>
    </row>
    <row r="41935">
      <c r="A41935" s="17"/>
      <c r="H41935" s="18"/>
      <c r="K41935" s="18" t="s">
        <v>316</v>
      </c>
    </row>
    <row r="41936">
      <c r="A41936" s="17"/>
      <c r="H41936" s="18"/>
      <c r="K41936" s="18" t="s">
        <v>316</v>
      </c>
    </row>
    <row r="41937">
      <c r="A41937" s="17"/>
      <c r="H41937" s="18"/>
      <c r="K41937" s="18" t="s">
        <v>316</v>
      </c>
    </row>
    <row r="41938">
      <c r="A41938" s="17"/>
      <c r="H41938" s="18"/>
      <c r="K41938" s="18" t="s">
        <v>316</v>
      </c>
    </row>
    <row r="41939">
      <c r="A41939" s="17"/>
      <c r="H41939" s="18"/>
      <c r="K41939" s="18" t="s">
        <v>316</v>
      </c>
    </row>
    <row r="41940">
      <c r="A41940" s="17"/>
      <c r="H41940" s="18"/>
      <c r="K41940" s="18" t="s">
        <v>316</v>
      </c>
    </row>
    <row r="41941">
      <c r="A41941" s="17"/>
      <c r="H41941" s="18"/>
      <c r="K41941" s="18" t="s">
        <v>316</v>
      </c>
    </row>
    <row r="41942">
      <c r="A41942" s="17"/>
      <c r="H41942" s="18"/>
      <c r="K41942" s="18" t="s">
        <v>316</v>
      </c>
    </row>
    <row r="41943">
      <c r="A41943" s="17"/>
      <c r="H41943" s="18"/>
      <c r="K41943" s="18" t="s">
        <v>316</v>
      </c>
    </row>
    <row r="41944">
      <c r="A41944" s="17"/>
      <c r="H41944" s="18"/>
      <c r="K41944" s="18" t="s">
        <v>316</v>
      </c>
    </row>
    <row r="41945">
      <c r="A41945" s="17"/>
      <c r="H41945" s="18"/>
      <c r="K41945" s="18" t="s">
        <v>316</v>
      </c>
    </row>
    <row r="41946">
      <c r="A41946" s="17"/>
      <c r="H41946" s="18"/>
      <c r="K41946" s="18" t="s">
        <v>316</v>
      </c>
    </row>
    <row r="41947">
      <c r="A41947" s="17"/>
      <c r="H41947" s="18"/>
      <c r="K41947" s="18" t="s">
        <v>316</v>
      </c>
    </row>
    <row r="41948">
      <c r="A41948" s="17"/>
      <c r="H41948" s="18"/>
      <c r="K41948" s="18" t="s">
        <v>316</v>
      </c>
    </row>
    <row r="41949">
      <c r="A41949" s="17"/>
      <c r="H41949" s="18"/>
      <c r="K41949" s="18" t="s">
        <v>316</v>
      </c>
    </row>
    <row r="41950">
      <c r="A41950" s="17"/>
      <c r="H41950" s="18"/>
      <c r="K41950" s="18" t="s">
        <v>316</v>
      </c>
    </row>
    <row r="41951">
      <c r="A41951" s="17"/>
      <c r="H41951" s="18"/>
      <c r="K41951" s="18" t="s">
        <v>316</v>
      </c>
    </row>
    <row r="41952">
      <c r="A41952" s="17"/>
      <c r="H41952" s="18"/>
      <c r="K41952" s="18" t="s">
        <v>316</v>
      </c>
    </row>
    <row r="41953">
      <c r="A41953" s="17"/>
      <c r="H41953" s="18"/>
      <c r="K41953" s="18" t="s">
        <v>316</v>
      </c>
    </row>
    <row r="41954">
      <c r="A41954" s="17"/>
      <c r="H41954" s="18"/>
      <c r="K41954" s="18" t="s">
        <v>316</v>
      </c>
    </row>
    <row r="41955">
      <c r="A41955" s="17"/>
      <c r="H41955" s="18"/>
      <c r="K41955" s="18" t="s">
        <v>316</v>
      </c>
    </row>
    <row r="41956">
      <c r="A41956" s="17"/>
      <c r="H41956" s="18"/>
      <c r="K41956" s="18" t="s">
        <v>316</v>
      </c>
    </row>
    <row r="41957">
      <c r="A41957" s="17"/>
      <c r="H41957" s="18"/>
      <c r="K41957" s="18" t="s">
        <v>316</v>
      </c>
    </row>
    <row r="41958">
      <c r="A41958" s="17"/>
      <c r="H41958" s="18"/>
      <c r="K41958" s="18" t="s">
        <v>316</v>
      </c>
    </row>
    <row r="41959">
      <c r="A41959" s="17"/>
      <c r="H41959" s="18"/>
      <c r="K41959" s="18" t="s">
        <v>316</v>
      </c>
    </row>
    <row r="41960">
      <c r="A41960" s="17"/>
      <c r="H41960" s="18"/>
      <c r="K41960" s="18" t="s">
        <v>316</v>
      </c>
    </row>
    <row r="41961">
      <c r="A41961" s="17"/>
      <c r="H41961" s="18"/>
      <c r="K41961" s="18" t="s">
        <v>316</v>
      </c>
    </row>
    <row r="41962">
      <c r="A41962" s="17"/>
      <c r="H41962" s="18"/>
      <c r="K41962" s="18" t="s">
        <v>316</v>
      </c>
    </row>
    <row r="41963">
      <c r="A41963" s="17"/>
      <c r="H41963" s="18"/>
      <c r="K41963" s="18" t="s">
        <v>316</v>
      </c>
    </row>
    <row r="41964">
      <c r="A41964" s="17"/>
      <c r="H41964" s="18"/>
      <c r="K41964" s="18" t="s">
        <v>316</v>
      </c>
    </row>
    <row r="41965">
      <c r="A41965" s="17"/>
      <c r="H41965" s="18"/>
      <c r="K41965" s="18" t="s">
        <v>316</v>
      </c>
    </row>
    <row r="41966">
      <c r="A41966" s="17"/>
      <c r="H41966" s="18"/>
      <c r="K41966" s="18" t="s">
        <v>316</v>
      </c>
    </row>
    <row r="41967">
      <c r="A41967" s="17"/>
      <c r="H41967" s="18"/>
      <c r="K41967" s="18" t="s">
        <v>316</v>
      </c>
    </row>
    <row r="41968">
      <c r="A41968" s="17"/>
      <c r="H41968" s="18"/>
      <c r="K41968" s="18" t="s">
        <v>316</v>
      </c>
    </row>
    <row r="41969">
      <c r="A41969" s="17"/>
      <c r="H41969" s="18"/>
      <c r="K41969" s="18" t="s">
        <v>316</v>
      </c>
    </row>
    <row r="41970">
      <c r="A41970" s="17"/>
      <c r="H41970" s="18"/>
      <c r="K41970" s="18" t="s">
        <v>316</v>
      </c>
    </row>
    <row r="41971">
      <c r="A41971" s="17"/>
      <c r="H41971" s="18"/>
      <c r="K41971" s="18" t="s">
        <v>316</v>
      </c>
    </row>
    <row r="41972">
      <c r="A41972" s="17"/>
      <c r="H41972" s="18"/>
      <c r="K41972" s="18" t="s">
        <v>316</v>
      </c>
    </row>
    <row r="41973">
      <c r="A41973" s="17"/>
      <c r="H41973" s="18"/>
      <c r="K41973" s="18" t="s">
        <v>316</v>
      </c>
    </row>
    <row r="41974">
      <c r="A41974" s="17"/>
      <c r="H41974" s="18"/>
      <c r="K41974" s="18" t="s">
        <v>316</v>
      </c>
    </row>
    <row r="41975">
      <c r="A41975" s="17"/>
      <c r="H41975" s="18"/>
      <c r="K41975" s="18" t="s">
        <v>316</v>
      </c>
    </row>
    <row r="41976">
      <c r="A41976" s="17"/>
      <c r="H41976" s="18"/>
      <c r="K41976" s="18" t="s">
        <v>316</v>
      </c>
    </row>
    <row r="41977">
      <c r="A41977" s="17"/>
      <c r="H41977" s="18"/>
      <c r="K41977" s="18" t="s">
        <v>316</v>
      </c>
    </row>
    <row r="41978">
      <c r="A41978" s="17"/>
      <c r="H41978" s="18"/>
      <c r="K41978" s="18" t="s">
        <v>316</v>
      </c>
    </row>
    <row r="41979">
      <c r="A41979" s="17"/>
      <c r="H41979" s="18"/>
      <c r="K41979" s="18" t="s">
        <v>316</v>
      </c>
    </row>
    <row r="41980">
      <c r="A41980" s="17"/>
      <c r="H41980" s="18"/>
      <c r="K41980" s="18" t="s">
        <v>316</v>
      </c>
    </row>
    <row r="41981">
      <c r="A41981" s="17"/>
      <c r="H41981" s="18"/>
      <c r="K41981" s="18" t="s">
        <v>316</v>
      </c>
    </row>
    <row r="41982">
      <c r="A41982" s="17"/>
      <c r="H41982" s="18"/>
      <c r="K41982" s="18" t="s">
        <v>316</v>
      </c>
    </row>
    <row r="41983">
      <c r="A41983" s="17"/>
      <c r="H41983" s="18"/>
      <c r="K41983" s="18" t="s">
        <v>316</v>
      </c>
    </row>
    <row r="41984">
      <c r="A41984" s="17"/>
      <c r="H41984" s="18"/>
      <c r="K41984" s="18" t="s">
        <v>316</v>
      </c>
    </row>
    <row r="41985">
      <c r="A41985" s="17"/>
      <c r="H41985" s="18"/>
      <c r="K41985" s="18" t="s">
        <v>316</v>
      </c>
    </row>
    <row r="41986">
      <c r="A41986" s="17"/>
      <c r="H41986" s="18"/>
      <c r="K41986" s="18" t="s">
        <v>316</v>
      </c>
    </row>
    <row r="41987">
      <c r="A41987" s="17"/>
      <c r="H41987" s="18"/>
      <c r="K41987" s="18" t="s">
        <v>316</v>
      </c>
    </row>
    <row r="41988">
      <c r="A41988" s="17"/>
      <c r="H41988" s="18"/>
      <c r="K41988" s="18" t="s">
        <v>316</v>
      </c>
    </row>
    <row r="41989">
      <c r="A41989" s="17"/>
      <c r="H41989" s="18"/>
      <c r="K41989" s="18" t="s">
        <v>316</v>
      </c>
    </row>
    <row r="41990">
      <c r="A41990" s="17"/>
      <c r="H41990" s="18"/>
      <c r="K41990" s="18" t="s">
        <v>316</v>
      </c>
    </row>
    <row r="41991">
      <c r="A41991" s="17"/>
      <c r="H41991" s="18"/>
      <c r="K41991" s="18" t="s">
        <v>316</v>
      </c>
    </row>
    <row r="41992">
      <c r="A41992" s="17"/>
      <c r="H41992" s="18"/>
      <c r="K41992" s="18" t="s">
        <v>316</v>
      </c>
    </row>
    <row r="41993">
      <c r="A41993" s="17"/>
      <c r="H41993" s="18"/>
      <c r="K41993" s="18" t="s">
        <v>316</v>
      </c>
    </row>
    <row r="41994">
      <c r="A41994" s="17"/>
      <c r="H41994" s="18"/>
      <c r="K41994" s="18" t="s">
        <v>316</v>
      </c>
    </row>
    <row r="41995">
      <c r="A41995" s="17"/>
      <c r="H41995" s="18"/>
      <c r="K41995" s="18" t="s">
        <v>316</v>
      </c>
    </row>
    <row r="41996">
      <c r="A41996" s="17"/>
      <c r="H41996" s="18"/>
      <c r="K41996" s="18" t="s">
        <v>316</v>
      </c>
    </row>
    <row r="41997">
      <c r="A41997" s="17"/>
      <c r="H41997" s="18"/>
      <c r="K41997" s="18" t="s">
        <v>316</v>
      </c>
    </row>
    <row r="41998">
      <c r="A41998" s="17"/>
      <c r="H41998" s="18"/>
      <c r="K41998" s="18" t="s">
        <v>316</v>
      </c>
    </row>
    <row r="41999">
      <c r="A41999" s="17"/>
      <c r="H41999" s="18"/>
      <c r="K41999" s="18" t="s">
        <v>316</v>
      </c>
    </row>
    <row r="42000">
      <c r="A42000" s="17"/>
      <c r="H42000" s="18"/>
      <c r="K42000" s="18" t="s">
        <v>316</v>
      </c>
    </row>
    <row r="42001">
      <c r="A42001" s="17"/>
      <c r="H42001" s="18"/>
      <c r="K42001" s="18" t="s">
        <v>316</v>
      </c>
    </row>
    <row r="42002">
      <c r="A42002" s="17"/>
      <c r="H42002" s="18"/>
      <c r="K42002" s="18" t="s">
        <v>316</v>
      </c>
    </row>
    <row r="42003">
      <c r="A42003" s="17"/>
      <c r="H42003" s="18"/>
      <c r="K42003" s="18" t="s">
        <v>316</v>
      </c>
    </row>
    <row r="42004">
      <c r="A42004" s="17"/>
      <c r="H42004" s="18"/>
      <c r="K42004" s="18" t="s">
        <v>316</v>
      </c>
    </row>
    <row r="42005">
      <c r="A42005" s="17"/>
      <c r="H42005" s="18"/>
      <c r="K42005" s="18" t="s">
        <v>316</v>
      </c>
    </row>
    <row r="42006">
      <c r="A42006" s="17"/>
      <c r="H42006" s="18"/>
      <c r="K42006" s="18" t="s">
        <v>316</v>
      </c>
    </row>
    <row r="42007">
      <c r="A42007" s="17"/>
      <c r="H42007" s="18"/>
      <c r="K42007" s="18" t="s">
        <v>316</v>
      </c>
    </row>
    <row r="42008">
      <c r="A42008" s="17"/>
      <c r="H42008" s="18"/>
      <c r="K42008" s="18" t="s">
        <v>316</v>
      </c>
    </row>
    <row r="42009">
      <c r="A42009" s="17"/>
      <c r="H42009" s="18"/>
      <c r="K42009" s="18" t="s">
        <v>316</v>
      </c>
    </row>
    <row r="42010">
      <c r="A42010" s="17"/>
      <c r="H42010" s="18"/>
      <c r="K42010" s="18" t="s">
        <v>316</v>
      </c>
    </row>
    <row r="42011">
      <c r="A42011" s="17"/>
      <c r="H42011" s="18"/>
      <c r="K42011" s="18" t="s">
        <v>316</v>
      </c>
    </row>
    <row r="42012">
      <c r="A42012" s="17"/>
      <c r="H42012" s="18"/>
      <c r="K42012" s="18" t="s">
        <v>316</v>
      </c>
    </row>
    <row r="42013">
      <c r="A42013" s="17"/>
      <c r="H42013" s="18"/>
      <c r="K42013" s="18" t="s">
        <v>316</v>
      </c>
    </row>
    <row r="42014">
      <c r="A42014" s="17"/>
      <c r="H42014" s="18"/>
      <c r="K42014" s="18" t="s">
        <v>316</v>
      </c>
    </row>
    <row r="42015">
      <c r="A42015" s="17"/>
      <c r="H42015" s="18"/>
      <c r="K42015" s="18" t="s">
        <v>316</v>
      </c>
    </row>
    <row r="42016">
      <c r="A42016" s="17"/>
      <c r="H42016" s="18"/>
      <c r="K42016" s="18" t="s">
        <v>316</v>
      </c>
    </row>
    <row r="42017">
      <c r="A42017" s="17"/>
      <c r="H42017" s="18"/>
      <c r="K42017" s="18" t="s">
        <v>316</v>
      </c>
    </row>
    <row r="42018">
      <c r="A42018" s="17"/>
      <c r="H42018" s="18"/>
      <c r="K42018" s="18" t="s">
        <v>316</v>
      </c>
    </row>
    <row r="42019">
      <c r="A42019" s="17"/>
      <c r="H42019" s="18"/>
      <c r="K42019" s="18" t="s">
        <v>316</v>
      </c>
    </row>
    <row r="42020">
      <c r="A42020" s="17"/>
      <c r="H42020" s="18"/>
      <c r="K42020" s="18" t="s">
        <v>316</v>
      </c>
    </row>
    <row r="42021">
      <c r="A42021" s="17"/>
      <c r="H42021" s="18"/>
      <c r="K42021" s="18" t="s">
        <v>316</v>
      </c>
    </row>
    <row r="42022">
      <c r="A42022" s="17"/>
      <c r="H42022" s="18"/>
      <c r="K42022" s="18" t="s">
        <v>316</v>
      </c>
    </row>
    <row r="42023">
      <c r="A42023" s="17"/>
      <c r="H42023" s="18"/>
      <c r="K42023" s="18" t="s">
        <v>316</v>
      </c>
    </row>
    <row r="42024">
      <c r="A42024" s="17"/>
      <c r="H42024" s="18"/>
      <c r="K42024" s="18" t="s">
        <v>316</v>
      </c>
    </row>
    <row r="42025">
      <c r="A42025" s="17"/>
      <c r="H42025" s="18"/>
      <c r="K42025" s="18" t="s">
        <v>316</v>
      </c>
    </row>
    <row r="42026">
      <c r="A42026" s="17"/>
      <c r="H42026" s="18"/>
      <c r="K42026" s="18" t="s">
        <v>316</v>
      </c>
    </row>
    <row r="42027">
      <c r="A42027" s="17"/>
      <c r="H42027" s="18"/>
      <c r="K42027" s="18" t="s">
        <v>316</v>
      </c>
    </row>
    <row r="42028">
      <c r="A42028" s="17"/>
      <c r="H42028" s="18"/>
      <c r="K42028" s="18" t="s">
        <v>316</v>
      </c>
    </row>
    <row r="42029">
      <c r="A42029" s="17"/>
      <c r="H42029" s="18"/>
      <c r="K42029" s="18" t="s">
        <v>316</v>
      </c>
    </row>
    <row r="42030">
      <c r="A42030" s="17"/>
      <c r="H42030" s="18"/>
      <c r="K42030" s="18" t="s">
        <v>316</v>
      </c>
    </row>
    <row r="42031">
      <c r="A42031" s="17"/>
      <c r="H42031" s="18"/>
      <c r="K42031" s="18" t="s">
        <v>316</v>
      </c>
    </row>
    <row r="42032">
      <c r="A42032" s="17"/>
      <c r="H42032" s="18"/>
      <c r="K42032" s="18" t="s">
        <v>316</v>
      </c>
    </row>
    <row r="42033">
      <c r="A42033" s="17"/>
      <c r="H42033" s="18"/>
      <c r="K42033" s="18" t="s">
        <v>316</v>
      </c>
    </row>
    <row r="42034">
      <c r="A42034" s="17"/>
      <c r="H42034" s="18"/>
      <c r="K42034" s="18" t="s">
        <v>316</v>
      </c>
    </row>
    <row r="42035">
      <c r="A42035" s="17"/>
      <c r="H42035" s="18"/>
      <c r="K42035" s="18" t="s">
        <v>316</v>
      </c>
    </row>
    <row r="42036">
      <c r="A42036" s="17"/>
      <c r="H42036" s="18"/>
      <c r="K42036" s="18" t="s">
        <v>316</v>
      </c>
    </row>
    <row r="42037">
      <c r="A42037" s="17"/>
      <c r="H42037" s="18"/>
      <c r="K42037" s="18" t="s">
        <v>316</v>
      </c>
    </row>
    <row r="42038">
      <c r="A42038" s="17"/>
      <c r="H42038" s="18"/>
      <c r="K42038" s="18" t="s">
        <v>316</v>
      </c>
    </row>
    <row r="42039">
      <c r="A42039" s="17"/>
      <c r="H42039" s="18"/>
      <c r="K42039" s="18" t="s">
        <v>316</v>
      </c>
    </row>
    <row r="42040">
      <c r="A42040" s="17"/>
      <c r="H42040" s="18"/>
      <c r="K42040" s="18" t="s">
        <v>316</v>
      </c>
    </row>
    <row r="42041">
      <c r="A42041" s="17"/>
      <c r="H42041" s="18"/>
      <c r="K42041" s="18" t="s">
        <v>316</v>
      </c>
    </row>
    <row r="42042">
      <c r="A42042" s="17"/>
      <c r="H42042" s="18"/>
      <c r="K42042" s="18" t="s">
        <v>316</v>
      </c>
    </row>
    <row r="42043">
      <c r="A42043" s="17"/>
      <c r="H42043" s="18"/>
      <c r="K42043" s="18" t="s">
        <v>316</v>
      </c>
    </row>
    <row r="42044">
      <c r="A42044" s="17"/>
      <c r="H42044" s="18"/>
      <c r="K42044" s="18" t="s">
        <v>316</v>
      </c>
    </row>
    <row r="42045">
      <c r="A42045" s="17"/>
      <c r="H42045" s="18"/>
      <c r="K42045" s="18" t="s">
        <v>316</v>
      </c>
    </row>
    <row r="42046">
      <c r="A42046" s="17"/>
      <c r="H42046" s="18"/>
      <c r="K42046" s="18" t="s">
        <v>316</v>
      </c>
    </row>
    <row r="42047">
      <c r="A42047" s="17"/>
      <c r="H42047" s="18"/>
      <c r="K42047" s="18" t="s">
        <v>316</v>
      </c>
    </row>
    <row r="42048">
      <c r="A42048" s="17"/>
      <c r="H42048" s="18"/>
      <c r="K42048" s="18" t="s">
        <v>316</v>
      </c>
    </row>
    <row r="42049">
      <c r="A42049" s="17"/>
      <c r="H42049" s="18"/>
      <c r="K42049" s="18" t="s">
        <v>316</v>
      </c>
    </row>
    <row r="42050">
      <c r="A42050" s="17"/>
      <c r="H42050" s="18"/>
      <c r="K42050" s="18" t="s">
        <v>316</v>
      </c>
    </row>
    <row r="42051">
      <c r="A42051" s="17"/>
      <c r="H42051" s="18"/>
      <c r="K42051" s="18" t="s">
        <v>316</v>
      </c>
    </row>
    <row r="42052">
      <c r="A42052" s="17"/>
      <c r="H42052" s="18"/>
      <c r="K42052" s="18" t="s">
        <v>316</v>
      </c>
    </row>
    <row r="42053">
      <c r="A42053" s="17"/>
      <c r="H42053" s="18"/>
      <c r="K42053" s="18" t="s">
        <v>316</v>
      </c>
    </row>
    <row r="42054">
      <c r="A42054" s="17"/>
      <c r="H42054" s="18"/>
      <c r="K42054" s="18" t="s">
        <v>316</v>
      </c>
    </row>
    <row r="42055">
      <c r="A42055" s="17"/>
      <c r="H42055" s="18"/>
      <c r="K42055" s="18" t="s">
        <v>316</v>
      </c>
    </row>
    <row r="42056">
      <c r="A42056" s="17"/>
      <c r="H42056" s="18"/>
      <c r="K42056" s="18" t="s">
        <v>316</v>
      </c>
    </row>
    <row r="42057">
      <c r="A42057" s="17"/>
      <c r="H42057" s="18"/>
      <c r="K42057" s="18" t="s">
        <v>316</v>
      </c>
    </row>
    <row r="42058">
      <c r="A42058" s="17"/>
      <c r="H42058" s="18"/>
      <c r="K42058" s="18" t="s">
        <v>316</v>
      </c>
    </row>
    <row r="42059">
      <c r="A42059" s="17"/>
      <c r="H42059" s="18"/>
      <c r="K42059" s="18" t="s">
        <v>316</v>
      </c>
    </row>
    <row r="42060">
      <c r="A42060" s="17"/>
      <c r="H42060" s="18"/>
      <c r="K42060" s="18" t="s">
        <v>316</v>
      </c>
    </row>
    <row r="42061">
      <c r="A42061" s="17"/>
      <c r="H42061" s="18"/>
      <c r="K42061" s="18" t="s">
        <v>316</v>
      </c>
    </row>
    <row r="42062">
      <c r="A42062" s="17"/>
      <c r="H42062" s="18"/>
      <c r="K42062" s="18" t="s">
        <v>316</v>
      </c>
    </row>
    <row r="42063">
      <c r="A42063" s="17"/>
      <c r="H42063" s="18"/>
      <c r="K42063" s="18" t="s">
        <v>316</v>
      </c>
    </row>
    <row r="42064">
      <c r="A42064" s="17"/>
      <c r="H42064" s="18"/>
      <c r="K42064" s="18" t="s">
        <v>316</v>
      </c>
    </row>
    <row r="42065">
      <c r="A42065" s="17"/>
      <c r="H42065" s="18"/>
      <c r="K42065" s="18" t="s">
        <v>316</v>
      </c>
    </row>
    <row r="42066">
      <c r="A42066" s="17"/>
      <c r="H42066" s="18"/>
      <c r="K42066" s="18" t="s">
        <v>316</v>
      </c>
    </row>
    <row r="42067">
      <c r="A42067" s="17"/>
      <c r="H42067" s="18"/>
      <c r="K42067" s="18" t="s">
        <v>316</v>
      </c>
    </row>
    <row r="42068">
      <c r="A42068" s="17"/>
      <c r="H42068" s="18"/>
      <c r="K42068" s="18" t="s">
        <v>316</v>
      </c>
    </row>
    <row r="42069">
      <c r="A42069" s="17"/>
      <c r="H42069" s="18"/>
      <c r="K42069" s="18" t="s">
        <v>316</v>
      </c>
    </row>
    <row r="42070">
      <c r="A42070" s="17"/>
      <c r="H42070" s="18"/>
      <c r="K42070" s="18" t="s">
        <v>316</v>
      </c>
    </row>
    <row r="42071">
      <c r="A42071" s="17"/>
      <c r="H42071" s="18"/>
      <c r="K42071" s="18" t="s">
        <v>316</v>
      </c>
    </row>
    <row r="42072">
      <c r="A42072" s="17"/>
      <c r="H42072" s="18"/>
      <c r="K42072" s="18" t="s">
        <v>316</v>
      </c>
    </row>
    <row r="42073">
      <c r="A42073" s="17"/>
      <c r="H42073" s="18"/>
      <c r="K42073" s="18" t="s">
        <v>316</v>
      </c>
    </row>
    <row r="42074">
      <c r="A42074" s="17"/>
      <c r="H42074" s="18"/>
      <c r="K42074" s="18" t="s">
        <v>316</v>
      </c>
    </row>
    <row r="42075">
      <c r="A42075" s="17"/>
      <c r="H42075" s="18"/>
      <c r="K42075" s="18" t="s">
        <v>316</v>
      </c>
    </row>
    <row r="42076">
      <c r="A42076" s="17"/>
      <c r="H42076" s="18"/>
      <c r="K42076" s="18" t="s">
        <v>316</v>
      </c>
    </row>
    <row r="42077">
      <c r="A42077" s="17"/>
      <c r="H42077" s="18"/>
      <c r="K42077" s="18" t="s">
        <v>316</v>
      </c>
    </row>
    <row r="42078">
      <c r="A42078" s="17"/>
      <c r="H42078" s="18"/>
      <c r="K42078" s="18" t="s">
        <v>316</v>
      </c>
    </row>
    <row r="42079">
      <c r="A42079" s="17"/>
      <c r="H42079" s="18"/>
      <c r="K42079" s="18" t="s">
        <v>316</v>
      </c>
    </row>
    <row r="42080">
      <c r="A42080" s="17"/>
      <c r="H42080" s="18"/>
      <c r="K42080" s="18" t="s">
        <v>316</v>
      </c>
    </row>
    <row r="42081">
      <c r="A42081" s="17"/>
      <c r="H42081" s="18"/>
      <c r="K42081" s="18" t="s">
        <v>316</v>
      </c>
    </row>
    <row r="42082">
      <c r="A42082" s="17"/>
      <c r="H42082" s="18"/>
      <c r="K42082" s="18" t="s">
        <v>316</v>
      </c>
    </row>
    <row r="42083">
      <c r="A42083" s="17"/>
      <c r="H42083" s="18"/>
      <c r="K42083" s="18" t="s">
        <v>316</v>
      </c>
    </row>
    <row r="42084">
      <c r="A42084" s="17"/>
      <c r="H42084" s="18"/>
      <c r="K42084" s="18" t="s">
        <v>316</v>
      </c>
    </row>
    <row r="42085">
      <c r="A42085" s="17"/>
      <c r="H42085" s="18"/>
      <c r="K42085" s="18" t="s">
        <v>316</v>
      </c>
    </row>
    <row r="42086">
      <c r="A42086" s="17"/>
      <c r="H42086" s="18"/>
      <c r="K42086" s="18" t="s">
        <v>316</v>
      </c>
    </row>
    <row r="42087">
      <c r="A42087" s="17"/>
      <c r="H42087" s="18"/>
      <c r="K42087" s="18" t="s">
        <v>316</v>
      </c>
    </row>
    <row r="42088">
      <c r="A42088" s="17"/>
      <c r="H42088" s="18"/>
      <c r="K42088" s="18" t="s">
        <v>316</v>
      </c>
    </row>
    <row r="42089">
      <c r="A42089" s="17"/>
      <c r="H42089" s="18"/>
      <c r="K42089" s="18" t="s">
        <v>316</v>
      </c>
    </row>
    <row r="42090">
      <c r="A42090" s="17"/>
      <c r="H42090" s="18"/>
      <c r="K42090" s="18" t="s">
        <v>316</v>
      </c>
    </row>
    <row r="42091">
      <c r="A42091" s="17"/>
      <c r="H42091" s="18"/>
      <c r="K42091" s="18" t="s">
        <v>316</v>
      </c>
    </row>
    <row r="42092">
      <c r="A42092" s="17"/>
      <c r="H42092" s="18"/>
      <c r="K42092" s="18" t="s">
        <v>316</v>
      </c>
    </row>
    <row r="42093">
      <c r="A42093" s="17"/>
      <c r="H42093" s="18"/>
      <c r="K42093" s="18" t="s">
        <v>316</v>
      </c>
    </row>
    <row r="42094">
      <c r="A42094" s="17"/>
      <c r="H42094" s="18"/>
      <c r="K42094" s="18" t="s">
        <v>316</v>
      </c>
    </row>
    <row r="42095">
      <c r="A42095" s="17"/>
      <c r="H42095" s="18"/>
      <c r="K42095" s="18" t="s">
        <v>316</v>
      </c>
    </row>
    <row r="42096">
      <c r="A42096" s="17"/>
      <c r="H42096" s="18"/>
      <c r="K42096" s="18" t="s">
        <v>316</v>
      </c>
    </row>
    <row r="42097">
      <c r="A42097" s="17"/>
      <c r="H42097" s="18"/>
      <c r="K42097" s="18" t="s">
        <v>316</v>
      </c>
    </row>
    <row r="42098">
      <c r="A42098" s="17"/>
      <c r="H42098" s="18"/>
      <c r="K42098" s="18" t="s">
        <v>316</v>
      </c>
    </row>
    <row r="42099">
      <c r="A42099" s="17"/>
      <c r="H42099" s="18"/>
      <c r="K42099" s="18" t="s">
        <v>316</v>
      </c>
    </row>
    <row r="42100">
      <c r="A42100" s="17"/>
      <c r="H42100" s="18"/>
      <c r="K42100" s="18" t="s">
        <v>316</v>
      </c>
    </row>
    <row r="42101">
      <c r="A42101" s="17"/>
      <c r="H42101" s="18"/>
      <c r="K42101" s="18" t="s">
        <v>316</v>
      </c>
    </row>
    <row r="42102">
      <c r="A42102" s="17"/>
      <c r="H42102" s="18"/>
      <c r="K42102" s="18" t="s">
        <v>316</v>
      </c>
    </row>
    <row r="42103">
      <c r="A42103" s="17"/>
      <c r="H42103" s="18"/>
      <c r="K42103" s="18" t="s">
        <v>316</v>
      </c>
    </row>
    <row r="42104">
      <c r="A42104" s="17"/>
      <c r="H42104" s="18"/>
      <c r="K42104" s="18" t="s">
        <v>316</v>
      </c>
    </row>
    <row r="42105">
      <c r="A42105" s="17"/>
      <c r="H42105" s="18"/>
      <c r="K42105" s="18" t="s">
        <v>316</v>
      </c>
    </row>
    <row r="42106">
      <c r="A42106" s="17"/>
      <c r="H42106" s="18"/>
      <c r="K42106" s="18" t="s">
        <v>316</v>
      </c>
    </row>
    <row r="42107">
      <c r="A42107" s="17"/>
      <c r="H42107" s="18"/>
      <c r="K42107" s="18" t="s">
        <v>316</v>
      </c>
    </row>
    <row r="42108">
      <c r="A42108" s="17"/>
      <c r="H42108" s="18"/>
      <c r="K42108" s="18" t="s">
        <v>316</v>
      </c>
    </row>
    <row r="42109">
      <c r="A42109" s="17"/>
      <c r="H42109" s="18"/>
      <c r="K42109" s="18" t="s">
        <v>316</v>
      </c>
    </row>
    <row r="42110">
      <c r="A42110" s="17"/>
      <c r="H42110" s="18"/>
      <c r="K42110" s="18" t="s">
        <v>316</v>
      </c>
    </row>
    <row r="42111">
      <c r="A42111" s="17"/>
      <c r="H42111" s="18"/>
      <c r="K42111" s="18" t="s">
        <v>316</v>
      </c>
    </row>
    <row r="42112">
      <c r="A42112" s="17"/>
      <c r="H42112" s="18"/>
      <c r="K42112" s="18" t="s">
        <v>316</v>
      </c>
    </row>
    <row r="42113">
      <c r="A42113" s="17"/>
      <c r="H42113" s="18"/>
      <c r="K42113" s="18" t="s">
        <v>316</v>
      </c>
    </row>
    <row r="42114">
      <c r="A42114" s="17"/>
      <c r="H42114" s="18"/>
      <c r="K42114" s="18" t="s">
        <v>316</v>
      </c>
    </row>
    <row r="42115">
      <c r="A42115" s="17"/>
      <c r="H42115" s="18"/>
      <c r="K42115" s="18" t="s">
        <v>316</v>
      </c>
    </row>
    <row r="42116">
      <c r="A42116" s="17"/>
      <c r="H42116" s="18"/>
      <c r="K42116" s="18" t="s">
        <v>316</v>
      </c>
    </row>
    <row r="42117">
      <c r="A42117" s="17"/>
      <c r="H42117" s="18"/>
      <c r="K42117" s="18" t="s">
        <v>316</v>
      </c>
    </row>
    <row r="42118">
      <c r="A42118" s="17"/>
      <c r="H42118" s="18"/>
      <c r="K42118" s="18" t="s">
        <v>316</v>
      </c>
    </row>
    <row r="42119">
      <c r="A42119" s="17"/>
      <c r="H42119" s="18"/>
      <c r="K42119" s="18" t="s">
        <v>316</v>
      </c>
    </row>
    <row r="42120">
      <c r="A42120" s="17"/>
      <c r="H42120" s="18"/>
      <c r="K42120" s="18" t="s">
        <v>316</v>
      </c>
    </row>
    <row r="42121">
      <c r="A42121" s="17"/>
      <c r="H42121" s="18"/>
      <c r="K42121" s="18" t="s">
        <v>316</v>
      </c>
    </row>
    <row r="42122">
      <c r="A42122" s="17"/>
      <c r="H42122" s="18"/>
      <c r="K42122" s="18" t="s">
        <v>316</v>
      </c>
    </row>
    <row r="42123">
      <c r="A42123" s="17"/>
      <c r="H42123" s="18"/>
      <c r="K42123" s="18" t="s">
        <v>316</v>
      </c>
    </row>
    <row r="42124">
      <c r="A42124" s="17"/>
      <c r="H42124" s="18"/>
      <c r="K42124" s="18" t="s">
        <v>316</v>
      </c>
    </row>
    <row r="42125">
      <c r="A42125" s="17"/>
      <c r="H42125" s="18"/>
      <c r="K42125" s="18" t="s">
        <v>316</v>
      </c>
    </row>
    <row r="42126">
      <c r="A42126" s="17"/>
      <c r="H42126" s="18"/>
      <c r="K42126" s="18" t="s">
        <v>316</v>
      </c>
    </row>
    <row r="42127">
      <c r="A42127" s="17"/>
      <c r="H42127" s="18"/>
      <c r="K42127" s="18" t="s">
        <v>316</v>
      </c>
    </row>
    <row r="42128">
      <c r="A42128" s="17"/>
      <c r="H42128" s="18"/>
      <c r="K42128" s="18" t="s">
        <v>316</v>
      </c>
    </row>
    <row r="42129">
      <c r="A42129" s="17"/>
      <c r="H42129" s="18"/>
      <c r="K42129" s="18" t="s">
        <v>316</v>
      </c>
    </row>
    <row r="42130">
      <c r="A42130" s="17"/>
      <c r="H42130" s="18"/>
      <c r="K42130" s="18" t="s">
        <v>316</v>
      </c>
    </row>
    <row r="42131">
      <c r="A42131" s="17"/>
      <c r="H42131" s="18"/>
      <c r="K42131" s="18" t="s">
        <v>316</v>
      </c>
    </row>
    <row r="42132">
      <c r="A42132" s="17"/>
      <c r="H42132" s="18"/>
      <c r="K42132" s="18" t="s">
        <v>316</v>
      </c>
    </row>
    <row r="42133">
      <c r="A42133" s="17"/>
      <c r="H42133" s="18"/>
      <c r="K42133" s="18" t="s">
        <v>316</v>
      </c>
    </row>
    <row r="42134">
      <c r="A42134" s="17"/>
      <c r="H42134" s="18"/>
      <c r="K42134" s="18" t="s">
        <v>316</v>
      </c>
    </row>
    <row r="42135">
      <c r="A42135" s="17"/>
      <c r="H42135" s="18"/>
      <c r="K42135" s="18" t="s">
        <v>316</v>
      </c>
    </row>
    <row r="42136">
      <c r="A42136" s="17"/>
      <c r="H42136" s="18"/>
      <c r="K42136" s="18" t="s">
        <v>316</v>
      </c>
    </row>
    <row r="42137">
      <c r="A42137" s="17"/>
      <c r="H42137" s="18"/>
      <c r="K42137" s="18" t="s">
        <v>316</v>
      </c>
    </row>
    <row r="42138">
      <c r="A42138" s="17"/>
      <c r="H42138" s="18"/>
      <c r="K42138" s="18" t="s">
        <v>316</v>
      </c>
    </row>
    <row r="42139">
      <c r="A42139" s="17"/>
      <c r="H42139" s="18"/>
      <c r="K42139" s="18" t="s">
        <v>316</v>
      </c>
    </row>
    <row r="42140">
      <c r="A42140" s="17"/>
      <c r="H42140" s="18"/>
      <c r="K42140" s="18" t="s">
        <v>316</v>
      </c>
    </row>
    <row r="42141">
      <c r="A42141" s="17"/>
      <c r="H42141" s="18"/>
      <c r="K42141" s="18" t="s">
        <v>316</v>
      </c>
    </row>
    <row r="42142">
      <c r="A42142" s="17"/>
      <c r="H42142" s="18"/>
      <c r="K42142" s="18" t="s">
        <v>316</v>
      </c>
    </row>
    <row r="42143">
      <c r="A42143" s="17"/>
      <c r="H42143" s="18"/>
      <c r="K42143" s="18" t="s">
        <v>316</v>
      </c>
    </row>
    <row r="42144">
      <c r="A42144" s="17"/>
      <c r="H42144" s="18"/>
      <c r="K42144" s="18" t="s">
        <v>316</v>
      </c>
    </row>
    <row r="42145">
      <c r="A42145" s="17"/>
      <c r="H42145" s="18"/>
      <c r="K42145" s="18" t="s">
        <v>316</v>
      </c>
    </row>
    <row r="42146">
      <c r="A42146" s="17"/>
      <c r="H42146" s="18"/>
      <c r="K42146" s="18" t="s">
        <v>316</v>
      </c>
    </row>
    <row r="42147">
      <c r="A42147" s="17"/>
      <c r="H42147" s="18"/>
      <c r="K42147" s="18" t="s">
        <v>316</v>
      </c>
    </row>
    <row r="42148">
      <c r="A42148" s="17"/>
      <c r="H42148" s="18"/>
      <c r="K42148" s="18" t="s">
        <v>316</v>
      </c>
    </row>
    <row r="42149">
      <c r="A42149" s="17"/>
      <c r="H42149" s="18"/>
      <c r="K42149" s="18" t="s">
        <v>316</v>
      </c>
    </row>
    <row r="42150">
      <c r="A42150" s="17"/>
      <c r="H42150" s="18"/>
      <c r="K42150" s="18" t="s">
        <v>316</v>
      </c>
    </row>
    <row r="42151">
      <c r="A42151" s="17"/>
      <c r="H42151" s="18"/>
      <c r="K42151" s="18" t="s">
        <v>316</v>
      </c>
    </row>
    <row r="42152">
      <c r="A42152" s="17"/>
      <c r="H42152" s="18"/>
      <c r="K42152" s="18" t="s">
        <v>316</v>
      </c>
    </row>
    <row r="42153">
      <c r="A42153" s="17"/>
      <c r="H42153" s="18"/>
      <c r="K42153" s="18" t="s">
        <v>316</v>
      </c>
    </row>
    <row r="42154">
      <c r="A42154" s="17"/>
      <c r="H42154" s="18"/>
      <c r="K42154" s="18" t="s">
        <v>316</v>
      </c>
    </row>
    <row r="42155">
      <c r="A42155" s="17"/>
      <c r="H42155" s="18"/>
      <c r="K42155" s="18" t="s">
        <v>316</v>
      </c>
    </row>
    <row r="42156">
      <c r="A42156" s="17"/>
      <c r="H42156" s="18"/>
      <c r="K42156" s="18" t="s">
        <v>316</v>
      </c>
    </row>
    <row r="42157">
      <c r="A42157" s="17"/>
      <c r="H42157" s="18"/>
      <c r="K42157" s="18" t="s">
        <v>316</v>
      </c>
    </row>
    <row r="42158">
      <c r="A42158" s="17"/>
      <c r="H42158" s="18"/>
      <c r="K42158" s="18" t="s">
        <v>316</v>
      </c>
    </row>
    <row r="42159">
      <c r="A42159" s="17"/>
      <c r="H42159" s="18"/>
      <c r="K42159" s="18" t="s">
        <v>316</v>
      </c>
    </row>
    <row r="42160">
      <c r="A42160" s="17"/>
      <c r="H42160" s="18"/>
      <c r="K42160" s="18" t="s">
        <v>316</v>
      </c>
    </row>
    <row r="42161">
      <c r="A42161" s="17"/>
      <c r="H42161" s="18"/>
      <c r="K42161" s="18" t="s">
        <v>316</v>
      </c>
    </row>
    <row r="42162">
      <c r="A42162" s="17"/>
      <c r="H42162" s="18"/>
      <c r="K42162" s="18" t="s">
        <v>316</v>
      </c>
    </row>
    <row r="42163">
      <c r="A42163" s="17"/>
      <c r="H42163" s="18"/>
      <c r="K42163" s="18" t="s">
        <v>316</v>
      </c>
    </row>
    <row r="42164">
      <c r="A42164" s="17"/>
      <c r="H42164" s="18"/>
      <c r="K42164" s="18" t="s">
        <v>316</v>
      </c>
    </row>
    <row r="42165">
      <c r="A42165" s="17"/>
      <c r="H42165" s="18"/>
      <c r="K42165" s="18" t="s">
        <v>316</v>
      </c>
    </row>
    <row r="42166">
      <c r="A42166" s="17"/>
      <c r="H42166" s="18"/>
      <c r="K42166" s="18" t="s">
        <v>316</v>
      </c>
    </row>
    <row r="42167">
      <c r="A42167" s="17"/>
      <c r="H42167" s="18"/>
      <c r="K42167" s="18" t="s">
        <v>316</v>
      </c>
    </row>
    <row r="42168">
      <c r="A42168" s="17"/>
      <c r="H42168" s="18"/>
      <c r="K42168" s="18" t="s">
        <v>316</v>
      </c>
    </row>
    <row r="42169">
      <c r="A42169" s="17"/>
      <c r="H42169" s="18"/>
      <c r="K42169" s="18" t="s">
        <v>316</v>
      </c>
    </row>
    <row r="42170">
      <c r="A42170" s="17"/>
      <c r="H42170" s="18"/>
      <c r="K42170" s="18" t="s">
        <v>316</v>
      </c>
    </row>
    <row r="42171">
      <c r="A42171" s="17"/>
      <c r="H42171" s="18"/>
      <c r="K42171" s="18" t="s">
        <v>316</v>
      </c>
    </row>
    <row r="42172">
      <c r="A42172" s="17"/>
      <c r="H42172" s="18"/>
      <c r="K42172" s="18" t="s">
        <v>316</v>
      </c>
    </row>
    <row r="42173">
      <c r="A42173" s="17"/>
      <c r="H42173" s="18"/>
      <c r="K42173" s="18" t="s">
        <v>316</v>
      </c>
    </row>
    <row r="42174">
      <c r="A42174" s="17"/>
      <c r="H42174" s="18"/>
      <c r="K42174" s="18" t="s">
        <v>316</v>
      </c>
    </row>
    <row r="42175">
      <c r="A42175" s="17"/>
      <c r="H42175" s="18"/>
      <c r="K42175" s="18" t="s">
        <v>316</v>
      </c>
    </row>
    <row r="42176">
      <c r="A42176" s="17"/>
      <c r="H42176" s="18"/>
      <c r="K42176" s="18" t="s">
        <v>316</v>
      </c>
    </row>
    <row r="42177">
      <c r="A42177" s="17"/>
      <c r="H42177" s="18"/>
      <c r="K42177" s="18" t="s">
        <v>316</v>
      </c>
    </row>
    <row r="42178">
      <c r="A42178" s="17"/>
      <c r="H42178" s="18"/>
      <c r="K42178" s="18" t="s">
        <v>316</v>
      </c>
    </row>
    <row r="42179">
      <c r="A42179" s="17"/>
      <c r="H42179" s="18"/>
      <c r="K42179" s="18" t="s">
        <v>316</v>
      </c>
    </row>
    <row r="42180">
      <c r="A42180" s="17"/>
      <c r="H42180" s="18"/>
      <c r="K42180" s="18" t="s">
        <v>316</v>
      </c>
    </row>
    <row r="42181">
      <c r="A42181" s="17"/>
      <c r="H42181" s="18"/>
      <c r="K42181" s="18" t="s">
        <v>316</v>
      </c>
    </row>
    <row r="42182">
      <c r="A42182" s="17"/>
      <c r="H42182" s="18"/>
      <c r="K42182" s="18" t="s">
        <v>316</v>
      </c>
    </row>
    <row r="42183">
      <c r="A42183" s="17"/>
      <c r="H42183" s="18"/>
      <c r="K42183" s="18" t="s">
        <v>316</v>
      </c>
    </row>
    <row r="42184">
      <c r="A42184" s="17"/>
      <c r="H42184" s="18"/>
      <c r="K42184" s="18" t="s">
        <v>316</v>
      </c>
    </row>
    <row r="42185">
      <c r="A42185" s="17"/>
      <c r="H42185" s="18"/>
      <c r="K42185" s="18" t="s">
        <v>316</v>
      </c>
    </row>
    <row r="42186">
      <c r="A42186" s="17"/>
      <c r="H42186" s="18"/>
      <c r="K42186" s="18" t="s">
        <v>316</v>
      </c>
    </row>
    <row r="42187">
      <c r="A42187" s="17"/>
      <c r="H42187" s="18"/>
      <c r="K42187" s="18" t="s">
        <v>316</v>
      </c>
    </row>
    <row r="42188">
      <c r="A42188" s="17"/>
      <c r="H42188" s="18"/>
      <c r="K42188" s="18" t="s">
        <v>316</v>
      </c>
    </row>
    <row r="42189">
      <c r="A42189" s="17"/>
      <c r="H42189" s="18"/>
      <c r="K42189" s="18" t="s">
        <v>316</v>
      </c>
    </row>
    <row r="42190">
      <c r="A42190" s="17"/>
      <c r="H42190" s="18"/>
      <c r="K42190" s="18" t="s">
        <v>316</v>
      </c>
    </row>
    <row r="42191">
      <c r="A42191" s="17"/>
      <c r="H42191" s="18"/>
      <c r="K42191" s="18" t="s">
        <v>316</v>
      </c>
    </row>
    <row r="42192">
      <c r="A42192" s="17"/>
      <c r="H42192" s="18"/>
      <c r="K42192" s="18" t="s">
        <v>316</v>
      </c>
    </row>
    <row r="42193">
      <c r="A42193" s="17"/>
      <c r="H42193" s="18"/>
      <c r="K42193" s="18" t="s">
        <v>316</v>
      </c>
    </row>
    <row r="42194">
      <c r="A42194" s="17"/>
      <c r="H42194" s="18"/>
      <c r="K42194" s="18" t="s">
        <v>316</v>
      </c>
    </row>
    <row r="42195">
      <c r="A42195" s="17"/>
      <c r="H42195" s="18"/>
      <c r="K42195" s="18" t="s">
        <v>316</v>
      </c>
    </row>
    <row r="42196">
      <c r="A42196" s="17"/>
      <c r="H42196" s="18"/>
      <c r="K42196" s="18" t="s">
        <v>316</v>
      </c>
    </row>
    <row r="42197">
      <c r="A42197" s="17"/>
      <c r="H42197" s="18"/>
      <c r="K42197" s="18" t="s">
        <v>316</v>
      </c>
    </row>
    <row r="42198">
      <c r="A42198" s="17"/>
      <c r="H42198" s="18"/>
      <c r="K42198" s="18" t="s">
        <v>316</v>
      </c>
    </row>
    <row r="42199">
      <c r="A42199" s="17"/>
      <c r="H42199" s="18"/>
      <c r="K42199" s="18" t="s">
        <v>316</v>
      </c>
    </row>
    <row r="42200">
      <c r="A42200" s="17"/>
      <c r="H42200" s="18"/>
      <c r="K42200" s="18" t="s">
        <v>316</v>
      </c>
    </row>
    <row r="42201">
      <c r="A42201" s="17"/>
      <c r="H42201" s="18"/>
      <c r="K42201" s="18" t="s">
        <v>316</v>
      </c>
    </row>
    <row r="42202">
      <c r="A42202" s="17"/>
      <c r="H42202" s="18"/>
      <c r="K42202" s="18" t="s">
        <v>316</v>
      </c>
    </row>
    <row r="42203">
      <c r="A42203" s="17"/>
      <c r="H42203" s="18"/>
      <c r="K42203" s="18" t="s">
        <v>316</v>
      </c>
    </row>
    <row r="42204">
      <c r="A42204" s="17"/>
      <c r="H42204" s="18"/>
      <c r="K42204" s="18" t="s">
        <v>316</v>
      </c>
    </row>
    <row r="42205">
      <c r="A42205" s="17"/>
      <c r="H42205" s="18"/>
      <c r="K42205" s="18" t="s">
        <v>316</v>
      </c>
    </row>
    <row r="42206">
      <c r="A42206" s="17"/>
      <c r="H42206" s="18"/>
      <c r="K42206" s="18" t="s">
        <v>316</v>
      </c>
    </row>
    <row r="42207">
      <c r="A42207" s="17"/>
      <c r="H42207" s="18"/>
      <c r="K42207" s="18" t="s">
        <v>316</v>
      </c>
    </row>
    <row r="42208">
      <c r="A42208" s="17"/>
      <c r="H42208" s="18"/>
      <c r="K42208" s="18" t="s">
        <v>316</v>
      </c>
    </row>
    <row r="42209">
      <c r="A42209" s="17"/>
      <c r="H42209" s="18"/>
      <c r="K42209" s="18" t="s">
        <v>316</v>
      </c>
    </row>
    <row r="42210">
      <c r="A42210" s="17"/>
      <c r="H42210" s="18"/>
      <c r="K42210" s="18" t="s">
        <v>316</v>
      </c>
    </row>
    <row r="42211">
      <c r="A42211" s="17"/>
      <c r="H42211" s="18"/>
      <c r="K42211" s="18" t="s">
        <v>316</v>
      </c>
    </row>
    <row r="42212">
      <c r="A42212" s="17"/>
      <c r="H42212" s="18"/>
      <c r="K42212" s="18" t="s">
        <v>316</v>
      </c>
    </row>
    <row r="42213">
      <c r="A42213" s="17"/>
      <c r="H42213" s="18"/>
      <c r="K42213" s="18" t="s">
        <v>316</v>
      </c>
    </row>
    <row r="42214">
      <c r="A42214" s="17"/>
      <c r="H42214" s="18"/>
      <c r="K42214" s="18" t="s">
        <v>316</v>
      </c>
    </row>
    <row r="42215">
      <c r="A42215" s="17"/>
      <c r="H42215" s="18"/>
      <c r="K42215" s="18" t="s">
        <v>316</v>
      </c>
    </row>
    <row r="42216">
      <c r="A42216" s="17"/>
      <c r="H42216" s="18"/>
      <c r="K42216" s="18" t="s">
        <v>316</v>
      </c>
    </row>
    <row r="42217">
      <c r="A42217" s="17"/>
      <c r="H42217" s="18"/>
      <c r="K42217" s="18" t="s">
        <v>316</v>
      </c>
    </row>
    <row r="42218">
      <c r="A42218" s="17"/>
      <c r="H42218" s="18"/>
      <c r="K42218" s="18" t="s">
        <v>316</v>
      </c>
    </row>
    <row r="42219">
      <c r="A42219" s="17"/>
      <c r="H42219" s="18"/>
      <c r="K42219" s="18" t="s">
        <v>316</v>
      </c>
    </row>
    <row r="42220">
      <c r="A42220" s="17"/>
      <c r="H42220" s="18"/>
      <c r="K42220" s="18" t="s">
        <v>316</v>
      </c>
    </row>
    <row r="42221">
      <c r="A42221" s="17"/>
      <c r="H42221" s="18"/>
      <c r="K42221" s="18" t="s">
        <v>316</v>
      </c>
    </row>
    <row r="42222">
      <c r="A42222" s="17"/>
      <c r="H42222" s="18"/>
      <c r="K42222" s="18" t="s">
        <v>316</v>
      </c>
    </row>
    <row r="42223">
      <c r="A42223" s="17"/>
      <c r="H42223" s="18"/>
      <c r="K42223" s="18" t="s">
        <v>316</v>
      </c>
    </row>
    <row r="42224">
      <c r="A42224" s="17"/>
      <c r="H42224" s="18"/>
      <c r="K42224" s="18" t="s">
        <v>316</v>
      </c>
    </row>
    <row r="42225">
      <c r="A42225" s="17"/>
      <c r="H42225" s="18"/>
      <c r="K42225" s="18" t="s">
        <v>316</v>
      </c>
    </row>
    <row r="42226">
      <c r="A42226" s="17"/>
      <c r="H42226" s="18"/>
      <c r="K42226" s="18" t="s">
        <v>316</v>
      </c>
    </row>
    <row r="42227">
      <c r="A42227" s="17"/>
      <c r="H42227" s="18"/>
      <c r="K42227" s="18" t="s">
        <v>316</v>
      </c>
    </row>
    <row r="42228">
      <c r="A42228" s="17"/>
      <c r="H42228" s="18"/>
      <c r="K42228" s="18" t="s">
        <v>316</v>
      </c>
    </row>
    <row r="42229">
      <c r="A42229" s="17"/>
      <c r="H42229" s="18"/>
      <c r="K42229" s="18" t="s">
        <v>316</v>
      </c>
    </row>
    <row r="42230">
      <c r="A42230" s="17"/>
      <c r="H42230" s="18"/>
      <c r="K42230" s="18" t="s">
        <v>316</v>
      </c>
    </row>
    <row r="42231">
      <c r="A42231" s="17"/>
      <c r="H42231" s="18"/>
      <c r="K42231" s="18" t="s">
        <v>316</v>
      </c>
    </row>
    <row r="42232">
      <c r="A42232" s="17"/>
      <c r="H42232" s="18"/>
      <c r="K42232" s="18" t="s">
        <v>316</v>
      </c>
    </row>
    <row r="42233">
      <c r="A42233" s="17"/>
      <c r="H42233" s="18"/>
      <c r="K42233" s="18" t="s">
        <v>316</v>
      </c>
    </row>
    <row r="42234">
      <c r="A42234" s="17"/>
      <c r="H42234" s="18"/>
      <c r="K42234" s="18" t="s">
        <v>316</v>
      </c>
    </row>
    <row r="42235">
      <c r="A42235" s="17"/>
      <c r="H42235" s="18"/>
      <c r="K42235" s="18" t="s">
        <v>316</v>
      </c>
    </row>
    <row r="42236">
      <c r="A42236" s="17"/>
      <c r="H42236" s="18"/>
      <c r="K42236" s="18" t="s">
        <v>316</v>
      </c>
    </row>
    <row r="42237">
      <c r="A42237" s="17"/>
      <c r="H42237" s="18"/>
      <c r="K42237" s="18" t="s">
        <v>316</v>
      </c>
    </row>
    <row r="42238">
      <c r="A42238" s="17"/>
      <c r="H42238" s="18"/>
      <c r="K42238" s="18" t="s">
        <v>316</v>
      </c>
    </row>
    <row r="42239">
      <c r="A42239" s="17"/>
      <c r="H42239" s="18"/>
      <c r="K42239" s="18" t="s">
        <v>316</v>
      </c>
    </row>
    <row r="42240">
      <c r="A42240" s="17"/>
      <c r="H42240" s="18"/>
      <c r="K42240" s="18" t="s">
        <v>316</v>
      </c>
    </row>
    <row r="42241">
      <c r="A42241" s="17"/>
      <c r="H42241" s="18"/>
      <c r="K42241" s="18" t="s">
        <v>316</v>
      </c>
    </row>
    <row r="42242">
      <c r="A42242" s="17"/>
      <c r="H42242" s="18"/>
      <c r="K42242" s="18" t="s">
        <v>316</v>
      </c>
    </row>
    <row r="42243">
      <c r="A42243" s="17"/>
      <c r="H42243" s="18"/>
      <c r="K42243" s="18" t="s">
        <v>316</v>
      </c>
    </row>
    <row r="42244">
      <c r="A42244" s="17"/>
      <c r="H42244" s="18"/>
      <c r="K42244" s="18" t="s">
        <v>316</v>
      </c>
    </row>
    <row r="42245">
      <c r="A42245" s="17"/>
      <c r="H42245" s="18"/>
      <c r="K42245" s="18" t="s">
        <v>316</v>
      </c>
    </row>
    <row r="42246">
      <c r="A42246" s="17"/>
      <c r="H42246" s="18"/>
      <c r="K42246" s="18" t="s">
        <v>316</v>
      </c>
    </row>
    <row r="42247">
      <c r="A42247" s="17"/>
      <c r="H42247" s="18"/>
      <c r="K42247" s="18" t="s">
        <v>316</v>
      </c>
    </row>
    <row r="42248">
      <c r="A42248" s="17"/>
      <c r="H42248" s="18"/>
      <c r="K42248" s="18" t="s">
        <v>316</v>
      </c>
    </row>
    <row r="42249">
      <c r="A42249" s="17"/>
      <c r="H42249" s="18"/>
      <c r="K42249" s="18" t="s">
        <v>316</v>
      </c>
    </row>
    <row r="42250">
      <c r="A42250" s="17"/>
      <c r="H42250" s="18"/>
      <c r="K42250" s="18" t="s">
        <v>316</v>
      </c>
    </row>
    <row r="42251">
      <c r="A42251" s="17"/>
      <c r="H42251" s="18"/>
      <c r="K42251" s="18" t="s">
        <v>316</v>
      </c>
    </row>
    <row r="42252">
      <c r="A42252" s="17"/>
      <c r="H42252" s="18"/>
      <c r="K42252" s="18" t="s">
        <v>316</v>
      </c>
    </row>
    <row r="42253">
      <c r="A42253" s="17"/>
      <c r="H42253" s="18"/>
      <c r="K42253" s="18" t="s">
        <v>316</v>
      </c>
    </row>
    <row r="42254">
      <c r="A42254" s="17"/>
      <c r="H42254" s="18"/>
      <c r="K42254" s="18" t="s">
        <v>316</v>
      </c>
    </row>
    <row r="42255">
      <c r="A42255" s="17"/>
      <c r="H42255" s="18"/>
      <c r="K42255" s="18" t="s">
        <v>316</v>
      </c>
    </row>
    <row r="42256">
      <c r="A42256" s="17"/>
      <c r="H42256" s="18"/>
      <c r="K42256" s="18" t="s">
        <v>316</v>
      </c>
    </row>
    <row r="42257">
      <c r="A42257" s="17"/>
      <c r="H42257" s="18"/>
      <c r="K42257" s="18" t="s">
        <v>316</v>
      </c>
    </row>
    <row r="42258">
      <c r="A42258" s="17"/>
      <c r="H42258" s="18"/>
      <c r="K42258" s="18" t="s">
        <v>316</v>
      </c>
    </row>
    <row r="42259">
      <c r="A42259" s="17"/>
      <c r="H42259" s="18"/>
      <c r="K42259" s="18" t="s">
        <v>316</v>
      </c>
    </row>
    <row r="42260">
      <c r="A42260" s="17"/>
      <c r="H42260" s="18"/>
      <c r="K42260" s="18" t="s">
        <v>316</v>
      </c>
    </row>
    <row r="42261">
      <c r="A42261" s="17"/>
      <c r="H42261" s="18"/>
      <c r="K42261" s="18" t="s">
        <v>316</v>
      </c>
    </row>
    <row r="42262">
      <c r="A42262" s="17"/>
      <c r="H42262" s="18"/>
      <c r="K42262" s="18" t="s">
        <v>316</v>
      </c>
    </row>
    <row r="42263">
      <c r="A42263" s="17"/>
      <c r="H42263" s="18"/>
      <c r="K42263" s="18" t="s">
        <v>316</v>
      </c>
    </row>
    <row r="42264">
      <c r="A42264" s="17"/>
      <c r="H42264" s="18"/>
      <c r="K42264" s="18" t="s">
        <v>316</v>
      </c>
    </row>
    <row r="42265">
      <c r="A42265" s="17"/>
      <c r="H42265" s="18"/>
      <c r="K42265" s="18" t="s">
        <v>316</v>
      </c>
    </row>
    <row r="42266">
      <c r="A42266" s="17"/>
      <c r="H42266" s="18"/>
      <c r="K42266" s="18" t="s">
        <v>316</v>
      </c>
    </row>
    <row r="42267">
      <c r="A42267" s="17"/>
      <c r="H42267" s="18"/>
      <c r="K42267" s="18" t="s">
        <v>316</v>
      </c>
    </row>
    <row r="42268">
      <c r="A42268" s="17"/>
      <c r="H42268" s="18"/>
      <c r="K42268" s="18" t="s">
        <v>316</v>
      </c>
    </row>
    <row r="42269">
      <c r="A42269" s="17"/>
      <c r="H42269" s="18"/>
      <c r="K42269" s="18" t="s">
        <v>316</v>
      </c>
    </row>
    <row r="42270">
      <c r="A42270" s="17"/>
      <c r="H42270" s="18"/>
      <c r="K42270" s="18" t="s">
        <v>316</v>
      </c>
    </row>
    <row r="42271">
      <c r="A42271" s="17"/>
      <c r="H42271" s="18"/>
      <c r="K42271" s="18" t="s">
        <v>316</v>
      </c>
    </row>
    <row r="42272">
      <c r="A42272" s="17"/>
      <c r="H42272" s="18"/>
      <c r="K42272" s="18" t="s">
        <v>316</v>
      </c>
    </row>
    <row r="42273">
      <c r="A42273" s="17"/>
      <c r="H42273" s="18"/>
      <c r="K42273" s="18" t="s">
        <v>316</v>
      </c>
    </row>
    <row r="42274">
      <c r="A42274" s="17"/>
      <c r="H42274" s="18"/>
      <c r="K42274" s="18" t="s">
        <v>316</v>
      </c>
    </row>
    <row r="42275">
      <c r="A42275" s="17"/>
      <c r="H42275" s="18"/>
      <c r="K42275" s="18" t="s">
        <v>316</v>
      </c>
    </row>
    <row r="42276">
      <c r="A42276" s="17"/>
      <c r="H42276" s="18"/>
      <c r="K42276" s="18" t="s">
        <v>316</v>
      </c>
    </row>
    <row r="42277">
      <c r="A42277" s="17"/>
      <c r="H42277" s="18"/>
      <c r="K42277" s="18" t="s">
        <v>316</v>
      </c>
    </row>
    <row r="42278">
      <c r="A42278" s="17"/>
      <c r="H42278" s="18"/>
      <c r="K42278" s="18" t="s">
        <v>316</v>
      </c>
    </row>
    <row r="42279">
      <c r="A42279" s="17"/>
      <c r="H42279" s="18"/>
      <c r="K42279" s="18" t="s">
        <v>316</v>
      </c>
    </row>
    <row r="42280">
      <c r="A42280" s="17"/>
      <c r="H42280" s="18"/>
      <c r="K42280" s="18" t="s">
        <v>316</v>
      </c>
    </row>
    <row r="42281">
      <c r="A42281" s="17"/>
      <c r="H42281" s="18"/>
      <c r="K42281" s="18" t="s">
        <v>316</v>
      </c>
    </row>
    <row r="42282">
      <c r="A42282" s="17"/>
      <c r="H42282" s="18"/>
      <c r="K42282" s="18" t="s">
        <v>316</v>
      </c>
    </row>
    <row r="42283">
      <c r="A42283" s="17"/>
      <c r="H42283" s="18"/>
      <c r="K42283" s="18" t="s">
        <v>316</v>
      </c>
    </row>
    <row r="42284">
      <c r="A42284" s="17"/>
      <c r="H42284" s="18"/>
      <c r="K42284" s="18" t="s">
        <v>316</v>
      </c>
    </row>
    <row r="42285">
      <c r="A42285" s="17"/>
      <c r="H42285" s="18"/>
      <c r="K42285" s="18" t="s">
        <v>316</v>
      </c>
    </row>
    <row r="42286">
      <c r="A42286" s="17"/>
      <c r="H42286" s="18"/>
      <c r="K42286" s="18" t="s">
        <v>316</v>
      </c>
    </row>
    <row r="42287">
      <c r="A42287" s="17"/>
      <c r="H42287" s="18"/>
      <c r="K42287" s="18" t="s">
        <v>316</v>
      </c>
    </row>
    <row r="42288">
      <c r="A42288" s="17"/>
      <c r="H42288" s="18"/>
      <c r="K42288" s="18" t="s">
        <v>316</v>
      </c>
    </row>
    <row r="42289">
      <c r="A42289" s="17"/>
      <c r="H42289" s="18"/>
      <c r="K42289" s="18" t="s">
        <v>316</v>
      </c>
    </row>
    <row r="42290">
      <c r="A42290" s="17"/>
      <c r="H42290" s="18"/>
      <c r="K42290" s="18" t="s">
        <v>316</v>
      </c>
    </row>
    <row r="42291">
      <c r="A42291" s="17"/>
      <c r="H42291" s="18"/>
      <c r="K42291" s="18" t="s">
        <v>316</v>
      </c>
    </row>
    <row r="42292">
      <c r="A42292" s="17"/>
      <c r="H42292" s="18"/>
      <c r="K42292" s="18" t="s">
        <v>316</v>
      </c>
    </row>
    <row r="42293">
      <c r="A42293" s="17"/>
      <c r="H42293" s="18"/>
      <c r="K42293" s="18" t="s">
        <v>316</v>
      </c>
    </row>
    <row r="42294">
      <c r="A42294" s="17"/>
      <c r="H42294" s="18"/>
      <c r="K42294" s="18" t="s">
        <v>316</v>
      </c>
    </row>
    <row r="42295">
      <c r="A42295" s="17"/>
      <c r="H42295" s="18"/>
      <c r="K42295" s="18" t="s">
        <v>316</v>
      </c>
    </row>
    <row r="42296">
      <c r="A42296" s="17"/>
      <c r="H42296" s="18"/>
      <c r="K42296" s="18" t="s">
        <v>316</v>
      </c>
    </row>
    <row r="42297">
      <c r="A42297" s="17"/>
      <c r="H42297" s="18"/>
      <c r="K42297" s="18" t="s">
        <v>316</v>
      </c>
    </row>
    <row r="42298">
      <c r="A42298" s="17"/>
      <c r="H42298" s="18"/>
      <c r="K42298" s="18" t="s">
        <v>316</v>
      </c>
    </row>
    <row r="42299">
      <c r="A42299" s="17"/>
      <c r="H42299" s="18"/>
      <c r="K42299" s="18" t="s">
        <v>316</v>
      </c>
    </row>
    <row r="42300">
      <c r="A42300" s="17"/>
      <c r="H42300" s="18"/>
      <c r="K42300" s="18" t="s">
        <v>316</v>
      </c>
    </row>
    <row r="42301">
      <c r="A42301" s="17"/>
      <c r="H42301" s="18"/>
      <c r="K42301" s="18" t="s">
        <v>316</v>
      </c>
    </row>
    <row r="42302">
      <c r="A42302" s="17"/>
      <c r="H42302" s="18"/>
      <c r="K42302" s="18" t="s">
        <v>316</v>
      </c>
    </row>
    <row r="42303">
      <c r="A42303" s="17"/>
      <c r="H42303" s="18"/>
      <c r="K42303" s="18" t="s">
        <v>316</v>
      </c>
    </row>
    <row r="42304">
      <c r="A42304" s="17"/>
      <c r="H42304" s="18"/>
      <c r="K42304" s="18" t="s">
        <v>316</v>
      </c>
    </row>
    <row r="42305">
      <c r="A42305" s="17"/>
      <c r="H42305" s="18"/>
      <c r="K42305" s="18" t="s">
        <v>316</v>
      </c>
    </row>
    <row r="42306">
      <c r="A42306" s="17"/>
      <c r="H42306" s="18"/>
      <c r="K42306" s="18" t="s">
        <v>316</v>
      </c>
    </row>
    <row r="42307">
      <c r="A42307" s="17"/>
      <c r="H42307" s="18"/>
      <c r="K42307" s="18" t="s">
        <v>316</v>
      </c>
    </row>
    <row r="42308">
      <c r="A42308" s="17"/>
      <c r="H42308" s="18"/>
      <c r="K42308" s="18" t="s">
        <v>316</v>
      </c>
    </row>
    <row r="42309">
      <c r="A42309" s="17"/>
      <c r="H42309" s="18"/>
      <c r="K42309" s="18" t="s">
        <v>316</v>
      </c>
    </row>
    <row r="42310">
      <c r="A42310" s="17"/>
      <c r="H42310" s="18"/>
      <c r="K42310" s="18" t="s">
        <v>316</v>
      </c>
    </row>
    <row r="42311">
      <c r="A42311" s="17"/>
      <c r="H42311" s="18"/>
      <c r="K42311" s="18" t="s">
        <v>316</v>
      </c>
    </row>
    <row r="42312">
      <c r="A42312" s="17"/>
      <c r="H42312" s="18"/>
      <c r="K42312" s="18" t="s">
        <v>316</v>
      </c>
    </row>
    <row r="42313">
      <c r="A42313" s="17"/>
      <c r="H42313" s="18"/>
      <c r="K42313" s="18" t="s">
        <v>316</v>
      </c>
    </row>
    <row r="42314">
      <c r="A42314" s="17"/>
      <c r="H42314" s="18"/>
      <c r="K42314" s="18" t="s">
        <v>316</v>
      </c>
    </row>
    <row r="42315">
      <c r="A42315" s="17"/>
      <c r="H42315" s="18"/>
      <c r="K42315" s="18" t="s">
        <v>316</v>
      </c>
    </row>
    <row r="42316">
      <c r="A42316" s="17"/>
      <c r="H42316" s="18"/>
      <c r="K42316" s="18" t="s">
        <v>316</v>
      </c>
    </row>
    <row r="42317">
      <c r="A42317" s="17"/>
      <c r="H42317" s="18"/>
      <c r="K42317" s="18" t="s">
        <v>316</v>
      </c>
    </row>
    <row r="42318">
      <c r="A42318" s="17"/>
      <c r="H42318" s="18"/>
      <c r="K42318" s="18" t="s">
        <v>316</v>
      </c>
    </row>
    <row r="42319">
      <c r="A42319" s="17"/>
      <c r="H42319" s="18"/>
      <c r="K42319" s="18" t="s">
        <v>316</v>
      </c>
    </row>
    <row r="42320">
      <c r="A42320" s="17"/>
      <c r="H42320" s="18"/>
      <c r="K42320" s="18" t="s">
        <v>316</v>
      </c>
    </row>
    <row r="42321">
      <c r="A42321" s="17"/>
      <c r="H42321" s="18"/>
      <c r="K42321" s="18" t="s">
        <v>316</v>
      </c>
    </row>
    <row r="42322">
      <c r="A42322" s="17"/>
      <c r="H42322" s="18"/>
      <c r="K42322" s="18" t="s">
        <v>316</v>
      </c>
    </row>
    <row r="42323">
      <c r="A42323" s="17"/>
      <c r="H42323" s="18"/>
      <c r="K42323" s="18" t="s">
        <v>316</v>
      </c>
    </row>
    <row r="42324">
      <c r="A42324" s="17"/>
      <c r="H42324" s="18"/>
      <c r="K42324" s="18" t="s">
        <v>316</v>
      </c>
    </row>
    <row r="42325">
      <c r="A42325" s="17"/>
      <c r="H42325" s="18"/>
      <c r="K42325" s="18" t="s">
        <v>316</v>
      </c>
    </row>
    <row r="42326">
      <c r="A42326" s="17"/>
      <c r="H42326" s="18"/>
      <c r="K42326" s="18" t="s">
        <v>316</v>
      </c>
    </row>
    <row r="42327">
      <c r="A42327" s="17"/>
      <c r="H42327" s="18"/>
      <c r="K42327" s="18" t="s">
        <v>316</v>
      </c>
    </row>
    <row r="42328">
      <c r="A42328" s="17"/>
      <c r="H42328" s="18"/>
      <c r="K42328" s="18" t="s">
        <v>316</v>
      </c>
    </row>
    <row r="42329">
      <c r="A42329" s="17"/>
      <c r="H42329" s="18"/>
      <c r="K42329" s="18" t="s">
        <v>316</v>
      </c>
    </row>
    <row r="42330">
      <c r="A42330" s="17"/>
      <c r="H42330" s="18"/>
      <c r="K42330" s="18" t="s">
        <v>316</v>
      </c>
    </row>
    <row r="42331">
      <c r="A42331" s="17"/>
      <c r="H42331" s="18"/>
      <c r="K42331" s="18" t="s">
        <v>316</v>
      </c>
    </row>
    <row r="42332">
      <c r="A42332" s="17"/>
      <c r="H42332" s="18"/>
      <c r="K42332" s="18" t="s">
        <v>316</v>
      </c>
    </row>
    <row r="42333">
      <c r="A42333" s="17"/>
      <c r="H42333" s="18"/>
      <c r="K42333" s="18" t="s">
        <v>316</v>
      </c>
    </row>
    <row r="42334">
      <c r="A42334" s="17"/>
      <c r="H42334" s="18"/>
      <c r="K42334" s="18" t="s">
        <v>316</v>
      </c>
    </row>
    <row r="42335">
      <c r="A42335" s="17"/>
      <c r="H42335" s="18"/>
      <c r="K42335" s="18" t="s">
        <v>316</v>
      </c>
    </row>
    <row r="42336">
      <c r="A42336" s="17"/>
      <c r="H42336" s="18"/>
      <c r="K42336" s="18" t="s">
        <v>316</v>
      </c>
    </row>
    <row r="42337">
      <c r="A42337" s="17"/>
      <c r="H42337" s="18"/>
      <c r="K42337" s="18" t="s">
        <v>316</v>
      </c>
    </row>
    <row r="42338">
      <c r="A42338" s="17"/>
      <c r="H42338" s="18"/>
      <c r="K42338" s="18" t="s">
        <v>316</v>
      </c>
    </row>
    <row r="42339">
      <c r="A42339" s="17"/>
      <c r="H42339" s="18"/>
      <c r="K42339" s="18" t="s">
        <v>316</v>
      </c>
    </row>
    <row r="42340">
      <c r="A42340" s="17"/>
      <c r="H42340" s="18"/>
      <c r="K42340" s="18" t="s">
        <v>316</v>
      </c>
    </row>
    <row r="42341">
      <c r="A42341" s="17"/>
      <c r="H42341" s="18"/>
      <c r="K42341" s="18" t="s">
        <v>316</v>
      </c>
    </row>
    <row r="42342">
      <c r="A42342" s="17"/>
      <c r="H42342" s="18"/>
      <c r="K42342" s="18" t="s">
        <v>316</v>
      </c>
    </row>
    <row r="42343">
      <c r="A42343" s="17"/>
      <c r="H42343" s="18"/>
      <c r="K42343" s="18" t="s">
        <v>316</v>
      </c>
    </row>
    <row r="42344">
      <c r="A42344" s="17"/>
      <c r="H42344" s="18"/>
      <c r="K42344" s="18" t="s">
        <v>316</v>
      </c>
    </row>
    <row r="42345">
      <c r="A42345" s="17"/>
      <c r="H42345" s="18"/>
      <c r="K42345" s="18" t="s">
        <v>316</v>
      </c>
    </row>
    <row r="42346">
      <c r="A42346" s="17"/>
      <c r="H42346" s="18"/>
      <c r="K42346" s="18" t="s">
        <v>316</v>
      </c>
    </row>
    <row r="42347">
      <c r="A42347" s="17"/>
      <c r="H42347" s="18"/>
      <c r="K42347" s="18" t="s">
        <v>316</v>
      </c>
    </row>
    <row r="42348">
      <c r="A42348" s="17"/>
      <c r="H42348" s="18"/>
      <c r="K42348" s="18" t="s">
        <v>316</v>
      </c>
    </row>
    <row r="42349">
      <c r="A42349" s="17"/>
      <c r="H42349" s="18"/>
      <c r="K42349" s="18" t="s">
        <v>316</v>
      </c>
    </row>
    <row r="42350">
      <c r="A42350" s="17"/>
      <c r="H42350" s="18"/>
      <c r="K42350" s="18" t="s">
        <v>316</v>
      </c>
    </row>
    <row r="42351">
      <c r="A42351" s="17"/>
      <c r="H42351" s="18"/>
      <c r="K42351" s="18" t="s">
        <v>316</v>
      </c>
    </row>
    <row r="42352">
      <c r="A42352" s="17"/>
      <c r="H42352" s="18"/>
      <c r="K42352" s="18" t="s">
        <v>316</v>
      </c>
    </row>
    <row r="42353">
      <c r="A42353" s="17"/>
      <c r="H42353" s="18"/>
      <c r="K42353" s="18" t="s">
        <v>316</v>
      </c>
    </row>
    <row r="42354">
      <c r="A42354" s="17"/>
      <c r="H42354" s="18"/>
      <c r="K42354" s="18" t="s">
        <v>316</v>
      </c>
    </row>
    <row r="42355">
      <c r="A42355" s="17"/>
      <c r="H42355" s="18"/>
      <c r="K42355" s="18" t="s">
        <v>316</v>
      </c>
    </row>
    <row r="42356">
      <c r="A42356" s="17"/>
      <c r="H42356" s="18"/>
      <c r="K42356" s="18" t="s">
        <v>316</v>
      </c>
    </row>
    <row r="42357">
      <c r="A42357" s="17"/>
      <c r="H42357" s="18"/>
      <c r="K42357" s="18" t="s">
        <v>316</v>
      </c>
    </row>
    <row r="42358">
      <c r="A42358" s="17"/>
      <c r="H42358" s="18"/>
      <c r="K42358" s="18" t="s">
        <v>316</v>
      </c>
    </row>
    <row r="42359">
      <c r="A42359" s="17"/>
      <c r="H42359" s="18"/>
      <c r="K42359" s="18" t="s">
        <v>316</v>
      </c>
    </row>
    <row r="42360">
      <c r="A42360" s="17"/>
      <c r="H42360" s="18"/>
      <c r="K42360" s="18" t="s">
        <v>316</v>
      </c>
    </row>
    <row r="42361">
      <c r="A42361" s="17"/>
      <c r="H42361" s="18"/>
      <c r="K42361" s="18" t="s">
        <v>316</v>
      </c>
    </row>
    <row r="42362">
      <c r="A42362" s="17"/>
      <c r="H42362" s="18"/>
      <c r="K42362" s="18" t="s">
        <v>316</v>
      </c>
    </row>
    <row r="42363">
      <c r="A42363" s="17"/>
      <c r="H42363" s="18"/>
      <c r="K42363" s="18" t="s">
        <v>316</v>
      </c>
    </row>
    <row r="42364">
      <c r="A42364" s="17"/>
      <c r="H42364" s="18"/>
      <c r="K42364" s="18" t="s">
        <v>316</v>
      </c>
    </row>
    <row r="42365">
      <c r="A42365" s="17"/>
      <c r="H42365" s="18"/>
      <c r="K42365" s="18" t="s">
        <v>316</v>
      </c>
    </row>
    <row r="42366">
      <c r="A42366" s="17"/>
      <c r="H42366" s="18"/>
      <c r="K42366" s="18" t="s">
        <v>316</v>
      </c>
    </row>
    <row r="42367">
      <c r="A42367" s="17"/>
      <c r="H42367" s="18"/>
      <c r="K42367" s="18" t="s">
        <v>316</v>
      </c>
    </row>
    <row r="42368">
      <c r="A42368" s="17"/>
      <c r="H42368" s="18"/>
      <c r="K42368" s="18" t="s">
        <v>316</v>
      </c>
    </row>
    <row r="42369">
      <c r="A42369" s="17"/>
      <c r="H42369" s="18"/>
      <c r="K42369" s="18" t="s">
        <v>316</v>
      </c>
    </row>
    <row r="42370">
      <c r="A42370" s="17"/>
      <c r="H42370" s="18"/>
      <c r="K42370" s="18" t="s">
        <v>316</v>
      </c>
    </row>
    <row r="42371">
      <c r="A42371" s="17"/>
      <c r="H42371" s="18"/>
      <c r="K42371" s="18" t="s">
        <v>316</v>
      </c>
    </row>
    <row r="42372">
      <c r="A42372" s="17"/>
      <c r="H42372" s="18"/>
      <c r="K42372" s="18" t="s">
        <v>316</v>
      </c>
    </row>
    <row r="42373">
      <c r="A42373" s="17"/>
      <c r="H42373" s="18"/>
      <c r="K42373" s="18" t="s">
        <v>316</v>
      </c>
    </row>
    <row r="42374">
      <c r="A42374" s="17"/>
      <c r="H42374" s="18"/>
      <c r="K42374" s="18" t="s">
        <v>316</v>
      </c>
    </row>
    <row r="42375">
      <c r="A42375" s="17"/>
      <c r="H42375" s="18"/>
      <c r="K42375" s="18" t="s">
        <v>316</v>
      </c>
    </row>
    <row r="42376">
      <c r="A42376" s="17"/>
      <c r="H42376" s="18"/>
      <c r="K42376" s="18" t="s">
        <v>316</v>
      </c>
    </row>
    <row r="42377">
      <c r="A42377" s="17"/>
      <c r="H42377" s="18"/>
      <c r="K42377" s="18" t="s">
        <v>316</v>
      </c>
    </row>
    <row r="42378">
      <c r="A42378" s="17"/>
      <c r="H42378" s="18"/>
      <c r="K42378" s="18" t="s">
        <v>316</v>
      </c>
    </row>
    <row r="42379">
      <c r="A42379" s="17"/>
      <c r="H42379" s="18"/>
      <c r="K42379" s="18" t="s">
        <v>316</v>
      </c>
    </row>
    <row r="42380">
      <c r="A42380" s="17"/>
      <c r="H42380" s="18"/>
      <c r="K42380" s="18" t="s">
        <v>316</v>
      </c>
    </row>
    <row r="42381">
      <c r="A42381" s="17"/>
      <c r="H42381" s="18"/>
      <c r="K42381" s="18" t="s">
        <v>316</v>
      </c>
    </row>
    <row r="42382">
      <c r="A42382" s="17"/>
      <c r="H42382" s="18"/>
      <c r="K42382" s="18" t="s">
        <v>316</v>
      </c>
    </row>
    <row r="42383">
      <c r="A42383" s="17"/>
      <c r="H42383" s="18"/>
      <c r="K42383" s="18" t="s">
        <v>316</v>
      </c>
    </row>
    <row r="42384">
      <c r="A42384" s="17"/>
      <c r="H42384" s="18"/>
      <c r="K42384" s="18" t="s">
        <v>316</v>
      </c>
    </row>
    <row r="42385">
      <c r="A42385" s="17"/>
      <c r="H42385" s="18"/>
      <c r="K42385" s="18" t="s">
        <v>316</v>
      </c>
    </row>
    <row r="42386">
      <c r="A42386" s="17"/>
      <c r="H42386" s="18"/>
      <c r="K42386" s="18" t="s">
        <v>316</v>
      </c>
    </row>
    <row r="42387">
      <c r="A42387" s="17"/>
      <c r="H42387" s="18"/>
      <c r="K42387" s="18" t="s">
        <v>316</v>
      </c>
    </row>
    <row r="42388">
      <c r="A42388" s="17"/>
      <c r="H42388" s="18"/>
      <c r="K42388" s="18" t="s">
        <v>316</v>
      </c>
    </row>
    <row r="42389">
      <c r="A42389" s="17"/>
      <c r="H42389" s="18"/>
      <c r="K42389" s="18" t="s">
        <v>316</v>
      </c>
    </row>
    <row r="42390">
      <c r="A42390" s="17"/>
      <c r="H42390" s="18"/>
      <c r="K42390" s="18" t="s">
        <v>316</v>
      </c>
    </row>
    <row r="42391">
      <c r="A42391" s="17"/>
      <c r="H42391" s="18"/>
      <c r="K42391" s="18" t="s">
        <v>316</v>
      </c>
    </row>
    <row r="42392">
      <c r="A42392" s="17"/>
      <c r="H42392" s="18"/>
      <c r="K42392" s="18" t="s">
        <v>316</v>
      </c>
    </row>
    <row r="42393">
      <c r="A42393" s="17"/>
      <c r="H42393" s="18"/>
      <c r="K42393" s="18" t="s">
        <v>316</v>
      </c>
    </row>
    <row r="42394">
      <c r="A42394" s="17"/>
      <c r="H42394" s="18"/>
      <c r="K42394" s="18" t="s">
        <v>316</v>
      </c>
    </row>
    <row r="42395">
      <c r="A42395" s="17"/>
      <c r="H42395" s="18"/>
      <c r="K42395" s="18" t="s">
        <v>316</v>
      </c>
    </row>
    <row r="42396">
      <c r="A42396" s="17"/>
      <c r="H42396" s="18"/>
      <c r="K42396" s="18" t="s">
        <v>316</v>
      </c>
    </row>
    <row r="42397">
      <c r="A42397" s="17"/>
      <c r="H42397" s="18"/>
      <c r="K42397" s="18" t="s">
        <v>316</v>
      </c>
    </row>
    <row r="42398">
      <c r="A42398" s="17"/>
      <c r="H42398" s="18"/>
      <c r="K42398" s="18" t="s">
        <v>316</v>
      </c>
    </row>
    <row r="42399">
      <c r="A42399" s="17"/>
      <c r="H42399" s="18"/>
      <c r="K42399" s="18" t="s">
        <v>316</v>
      </c>
    </row>
    <row r="42400">
      <c r="A42400" s="17"/>
      <c r="H42400" s="18"/>
      <c r="K42400" s="18" t="s">
        <v>316</v>
      </c>
    </row>
    <row r="42401">
      <c r="A42401" s="17"/>
      <c r="H42401" s="18"/>
      <c r="K42401" s="18" t="s">
        <v>316</v>
      </c>
    </row>
    <row r="42402">
      <c r="A42402" s="17"/>
      <c r="H42402" s="18"/>
      <c r="K42402" s="18" t="s">
        <v>316</v>
      </c>
    </row>
    <row r="42403">
      <c r="A42403" s="17"/>
      <c r="H42403" s="18"/>
      <c r="K42403" s="18" t="s">
        <v>316</v>
      </c>
    </row>
    <row r="42404">
      <c r="A42404" s="17"/>
      <c r="H42404" s="18"/>
      <c r="K42404" s="18" t="s">
        <v>316</v>
      </c>
    </row>
    <row r="42405">
      <c r="A42405" s="17"/>
      <c r="H42405" s="18"/>
      <c r="K42405" s="18" t="s">
        <v>316</v>
      </c>
    </row>
    <row r="42406">
      <c r="A42406" s="17"/>
      <c r="H42406" s="18"/>
      <c r="K42406" s="18" t="s">
        <v>316</v>
      </c>
    </row>
    <row r="42407">
      <c r="A42407" s="17"/>
      <c r="H42407" s="18"/>
      <c r="K42407" s="18" t="s">
        <v>316</v>
      </c>
    </row>
    <row r="42408">
      <c r="A42408" s="17"/>
      <c r="H42408" s="18"/>
      <c r="K42408" s="18" t="s">
        <v>316</v>
      </c>
    </row>
    <row r="42409">
      <c r="A42409" s="17"/>
      <c r="H42409" s="18"/>
      <c r="K42409" s="18" t="s">
        <v>316</v>
      </c>
    </row>
    <row r="42410">
      <c r="A42410" s="17"/>
      <c r="H42410" s="18"/>
      <c r="K42410" s="18" t="s">
        <v>316</v>
      </c>
    </row>
    <row r="42411">
      <c r="A42411" s="17"/>
      <c r="H42411" s="18"/>
      <c r="K42411" s="18" t="s">
        <v>316</v>
      </c>
    </row>
    <row r="42412">
      <c r="A42412" s="17"/>
      <c r="H42412" s="18"/>
      <c r="K42412" s="18" t="s">
        <v>316</v>
      </c>
    </row>
    <row r="42413">
      <c r="A42413" s="17"/>
      <c r="H42413" s="18"/>
      <c r="K42413" s="18" t="s">
        <v>316</v>
      </c>
    </row>
    <row r="42414">
      <c r="A42414" s="17"/>
      <c r="H42414" s="18"/>
      <c r="K42414" s="18" t="s">
        <v>316</v>
      </c>
    </row>
    <row r="42415">
      <c r="A42415" s="17"/>
      <c r="H42415" s="18"/>
      <c r="K42415" s="18" t="s">
        <v>316</v>
      </c>
    </row>
    <row r="42416">
      <c r="A42416" s="17"/>
      <c r="H42416" s="18"/>
      <c r="K42416" s="18" t="s">
        <v>316</v>
      </c>
    </row>
    <row r="42417">
      <c r="A42417" s="17"/>
      <c r="H42417" s="18"/>
      <c r="K42417" s="18" t="s">
        <v>316</v>
      </c>
    </row>
    <row r="42418">
      <c r="A42418" s="17"/>
      <c r="H42418" s="18"/>
      <c r="K42418" s="18" t="s">
        <v>316</v>
      </c>
    </row>
    <row r="42419">
      <c r="A42419" s="17"/>
      <c r="H42419" s="18"/>
      <c r="K42419" s="18" t="s">
        <v>316</v>
      </c>
    </row>
    <row r="42420">
      <c r="A42420" s="17"/>
      <c r="H42420" s="18"/>
      <c r="K42420" s="18" t="s">
        <v>316</v>
      </c>
    </row>
    <row r="42421">
      <c r="A42421" s="17"/>
      <c r="H42421" s="18"/>
      <c r="K42421" s="18" t="s">
        <v>316</v>
      </c>
    </row>
    <row r="42422">
      <c r="A42422" s="17"/>
      <c r="H42422" s="18"/>
      <c r="K42422" s="18" t="s">
        <v>316</v>
      </c>
    </row>
    <row r="42423">
      <c r="A42423" s="17"/>
      <c r="H42423" s="18"/>
      <c r="K42423" s="18" t="s">
        <v>316</v>
      </c>
    </row>
    <row r="42424">
      <c r="A42424" s="17"/>
      <c r="H42424" s="18"/>
      <c r="K42424" s="18" t="s">
        <v>316</v>
      </c>
    </row>
    <row r="42425">
      <c r="A42425" s="17"/>
      <c r="H42425" s="18"/>
      <c r="K42425" s="18" t="s">
        <v>316</v>
      </c>
    </row>
    <row r="42426">
      <c r="A42426" s="17"/>
      <c r="H42426" s="18"/>
      <c r="K42426" s="18" t="s">
        <v>316</v>
      </c>
    </row>
    <row r="42427">
      <c r="A42427" s="17"/>
      <c r="H42427" s="18"/>
      <c r="K42427" s="18" t="s">
        <v>316</v>
      </c>
    </row>
    <row r="42428">
      <c r="A42428" s="17"/>
      <c r="H42428" s="18"/>
      <c r="K42428" s="18" t="s">
        <v>316</v>
      </c>
    </row>
    <row r="42429">
      <c r="A42429" s="17"/>
      <c r="H42429" s="18"/>
      <c r="K42429" s="18" t="s">
        <v>316</v>
      </c>
    </row>
    <row r="42430">
      <c r="A42430" s="17"/>
      <c r="H42430" s="18"/>
      <c r="K42430" s="18" t="s">
        <v>316</v>
      </c>
    </row>
    <row r="42431">
      <c r="A42431" s="17"/>
      <c r="H42431" s="18"/>
      <c r="K42431" s="18" t="s">
        <v>316</v>
      </c>
    </row>
    <row r="42432">
      <c r="A42432" s="17"/>
      <c r="H42432" s="18"/>
      <c r="K42432" s="18" t="s">
        <v>316</v>
      </c>
    </row>
    <row r="42433">
      <c r="A42433" s="17"/>
      <c r="H42433" s="18"/>
      <c r="K42433" s="18" t="s">
        <v>316</v>
      </c>
    </row>
    <row r="42434">
      <c r="A42434" s="17"/>
      <c r="H42434" s="18"/>
      <c r="K42434" s="18" t="s">
        <v>316</v>
      </c>
    </row>
    <row r="42435">
      <c r="A42435" s="17"/>
      <c r="H42435" s="18"/>
      <c r="K42435" s="18" t="s">
        <v>316</v>
      </c>
    </row>
    <row r="42436">
      <c r="A42436" s="17"/>
      <c r="H42436" s="18"/>
      <c r="K42436" s="18" t="s">
        <v>316</v>
      </c>
    </row>
    <row r="42437">
      <c r="A42437" s="17"/>
      <c r="H42437" s="18"/>
      <c r="K42437" s="18" t="s">
        <v>316</v>
      </c>
    </row>
    <row r="42438">
      <c r="A42438" s="17"/>
      <c r="H42438" s="18"/>
      <c r="K42438" s="18" t="s">
        <v>316</v>
      </c>
    </row>
    <row r="42439">
      <c r="A42439" s="17"/>
      <c r="H42439" s="18"/>
      <c r="K42439" s="18" t="s">
        <v>316</v>
      </c>
    </row>
    <row r="42440">
      <c r="A42440" s="17"/>
      <c r="H42440" s="18"/>
      <c r="K42440" s="18" t="s">
        <v>316</v>
      </c>
    </row>
    <row r="42441">
      <c r="A42441" s="17"/>
      <c r="H42441" s="18"/>
      <c r="K42441" s="18" t="s">
        <v>316</v>
      </c>
    </row>
    <row r="42442">
      <c r="A42442" s="17"/>
      <c r="H42442" s="18"/>
      <c r="K42442" s="18" t="s">
        <v>316</v>
      </c>
    </row>
    <row r="42443">
      <c r="A42443" s="17"/>
      <c r="H42443" s="18"/>
      <c r="K42443" s="18" t="s">
        <v>316</v>
      </c>
    </row>
    <row r="42444">
      <c r="A42444" s="17"/>
      <c r="H42444" s="18"/>
      <c r="K42444" s="18" t="s">
        <v>316</v>
      </c>
    </row>
    <row r="42445">
      <c r="A42445" s="17"/>
      <c r="H42445" s="18"/>
      <c r="K42445" s="18" t="s">
        <v>316</v>
      </c>
    </row>
    <row r="42446">
      <c r="A42446" s="17"/>
      <c r="H42446" s="18"/>
      <c r="K42446" s="18" t="s">
        <v>316</v>
      </c>
    </row>
    <row r="42447">
      <c r="A42447" s="17"/>
      <c r="H42447" s="18"/>
      <c r="K42447" s="18" t="s">
        <v>316</v>
      </c>
    </row>
    <row r="42448">
      <c r="A42448" s="17"/>
      <c r="H42448" s="18"/>
      <c r="K42448" s="18" t="s">
        <v>316</v>
      </c>
    </row>
    <row r="42449">
      <c r="A42449" s="17"/>
      <c r="H42449" s="18"/>
      <c r="K42449" s="18" t="s">
        <v>316</v>
      </c>
    </row>
    <row r="42450">
      <c r="A42450" s="17"/>
      <c r="H42450" s="18"/>
      <c r="K42450" s="18" t="s">
        <v>316</v>
      </c>
    </row>
    <row r="42451">
      <c r="A42451" s="17"/>
      <c r="H42451" s="18"/>
      <c r="K42451" s="18" t="s">
        <v>316</v>
      </c>
    </row>
    <row r="42452">
      <c r="A42452" s="17"/>
      <c r="H42452" s="18"/>
      <c r="K42452" s="18" t="s">
        <v>316</v>
      </c>
    </row>
    <row r="42453">
      <c r="A42453" s="17"/>
      <c r="H42453" s="18"/>
      <c r="K42453" s="18" t="s">
        <v>316</v>
      </c>
    </row>
    <row r="42454">
      <c r="A42454" s="17"/>
      <c r="H42454" s="18"/>
      <c r="K42454" s="18" t="s">
        <v>316</v>
      </c>
    </row>
    <row r="42455">
      <c r="A42455" s="17"/>
      <c r="H42455" s="18"/>
      <c r="K42455" s="18" t="s">
        <v>316</v>
      </c>
    </row>
    <row r="42456">
      <c r="A42456" s="17"/>
      <c r="H42456" s="18"/>
      <c r="K42456" s="18" t="s">
        <v>316</v>
      </c>
    </row>
    <row r="42457">
      <c r="A42457" s="17"/>
      <c r="H42457" s="18"/>
      <c r="K42457" s="18" t="s">
        <v>316</v>
      </c>
    </row>
    <row r="42458">
      <c r="A42458" s="17"/>
      <c r="H42458" s="18"/>
      <c r="K42458" s="18" t="s">
        <v>316</v>
      </c>
    </row>
    <row r="42459">
      <c r="A42459" s="17"/>
      <c r="H42459" s="18"/>
      <c r="K42459" s="18" t="s">
        <v>316</v>
      </c>
    </row>
    <row r="42460">
      <c r="A42460" s="17"/>
      <c r="H42460" s="18"/>
      <c r="K42460" s="18" t="s">
        <v>316</v>
      </c>
    </row>
    <row r="42461">
      <c r="A42461" s="17"/>
      <c r="H42461" s="18"/>
      <c r="K42461" s="18" t="s">
        <v>316</v>
      </c>
    </row>
    <row r="42462">
      <c r="A42462" s="17"/>
      <c r="H42462" s="18"/>
      <c r="K42462" s="18" t="s">
        <v>316</v>
      </c>
    </row>
    <row r="42463">
      <c r="A42463" s="17"/>
      <c r="H42463" s="18"/>
      <c r="K42463" s="18" t="s">
        <v>316</v>
      </c>
    </row>
    <row r="42464">
      <c r="A42464" s="17"/>
      <c r="H42464" s="18"/>
      <c r="K42464" s="18" t="s">
        <v>316</v>
      </c>
    </row>
    <row r="42465">
      <c r="A42465" s="17"/>
      <c r="H42465" s="18"/>
      <c r="K42465" s="18" t="s">
        <v>316</v>
      </c>
    </row>
    <row r="42466">
      <c r="A42466" s="17"/>
      <c r="H42466" s="18"/>
      <c r="K42466" s="18" t="s">
        <v>316</v>
      </c>
    </row>
    <row r="42467">
      <c r="A42467" s="17"/>
      <c r="H42467" s="18"/>
      <c r="K42467" s="18" t="s">
        <v>316</v>
      </c>
    </row>
    <row r="42468">
      <c r="A42468" s="17"/>
      <c r="H42468" s="18"/>
      <c r="K42468" s="18" t="s">
        <v>316</v>
      </c>
    </row>
    <row r="42469">
      <c r="A42469" s="17"/>
      <c r="H42469" s="18"/>
      <c r="K42469" s="18" t="s">
        <v>316</v>
      </c>
    </row>
    <row r="42470">
      <c r="A42470" s="17"/>
      <c r="H42470" s="18"/>
      <c r="K42470" s="18" t="s">
        <v>316</v>
      </c>
    </row>
    <row r="42471">
      <c r="A42471" s="17"/>
      <c r="H42471" s="18"/>
      <c r="K42471" s="18" t="s">
        <v>316</v>
      </c>
    </row>
    <row r="42472">
      <c r="A42472" s="17"/>
      <c r="H42472" s="18"/>
      <c r="K42472" s="18" t="s">
        <v>316</v>
      </c>
    </row>
    <row r="42473">
      <c r="A42473" s="17"/>
      <c r="H42473" s="18"/>
      <c r="K42473" s="18" t="s">
        <v>316</v>
      </c>
    </row>
    <row r="42474">
      <c r="A42474" s="17"/>
      <c r="H42474" s="18"/>
      <c r="K42474" s="18" t="s">
        <v>316</v>
      </c>
    </row>
    <row r="42475">
      <c r="A42475" s="17"/>
      <c r="H42475" s="18"/>
      <c r="K42475" s="18" t="s">
        <v>316</v>
      </c>
    </row>
    <row r="42476">
      <c r="A42476" s="17"/>
      <c r="H42476" s="18"/>
      <c r="K42476" s="18" t="s">
        <v>316</v>
      </c>
    </row>
    <row r="42477">
      <c r="A42477" s="17"/>
      <c r="H42477" s="18"/>
      <c r="K42477" s="18" t="s">
        <v>316</v>
      </c>
    </row>
    <row r="42478">
      <c r="A42478" s="17"/>
      <c r="H42478" s="18"/>
      <c r="K42478" s="18" t="s">
        <v>316</v>
      </c>
    </row>
    <row r="42479">
      <c r="A42479" s="17"/>
      <c r="H42479" s="18"/>
      <c r="K42479" s="18" t="s">
        <v>316</v>
      </c>
    </row>
    <row r="42480">
      <c r="A42480" s="17"/>
      <c r="H42480" s="18"/>
      <c r="K42480" s="18" t="s">
        <v>316</v>
      </c>
    </row>
    <row r="42481">
      <c r="A42481" s="17"/>
      <c r="H42481" s="18"/>
      <c r="K42481" s="18" t="s">
        <v>316</v>
      </c>
    </row>
    <row r="42482">
      <c r="A42482" s="17"/>
      <c r="H42482" s="18"/>
      <c r="K42482" s="18" t="s">
        <v>316</v>
      </c>
    </row>
    <row r="42483">
      <c r="A42483" s="17"/>
      <c r="H42483" s="18"/>
      <c r="K42483" s="18" t="s">
        <v>316</v>
      </c>
    </row>
    <row r="42484">
      <c r="A42484" s="17"/>
      <c r="H42484" s="18"/>
      <c r="K42484" s="18" t="s">
        <v>316</v>
      </c>
    </row>
    <row r="42485">
      <c r="A42485" s="17"/>
      <c r="H42485" s="18"/>
      <c r="K42485" s="18" t="s">
        <v>316</v>
      </c>
    </row>
    <row r="42486">
      <c r="A42486" s="17"/>
      <c r="H42486" s="18"/>
      <c r="K42486" s="18" t="s">
        <v>316</v>
      </c>
    </row>
    <row r="42487">
      <c r="A42487" s="17"/>
      <c r="H42487" s="18"/>
      <c r="K42487" s="18" t="s">
        <v>316</v>
      </c>
    </row>
    <row r="42488">
      <c r="A42488" s="17"/>
      <c r="H42488" s="18"/>
      <c r="K42488" s="18" t="s">
        <v>316</v>
      </c>
    </row>
    <row r="42489">
      <c r="A42489" s="17"/>
      <c r="H42489" s="18"/>
      <c r="K42489" s="18" t="s">
        <v>316</v>
      </c>
    </row>
    <row r="42490">
      <c r="A42490" s="17"/>
      <c r="H42490" s="18"/>
      <c r="K42490" s="18" t="s">
        <v>316</v>
      </c>
    </row>
    <row r="42491">
      <c r="A42491" s="17"/>
      <c r="H42491" s="18"/>
      <c r="K42491" s="18" t="s">
        <v>316</v>
      </c>
    </row>
    <row r="42492">
      <c r="A42492" s="17"/>
      <c r="H42492" s="18"/>
      <c r="K42492" s="18" t="s">
        <v>316</v>
      </c>
    </row>
    <row r="42493">
      <c r="A42493" s="17"/>
      <c r="H42493" s="18"/>
      <c r="K42493" s="18" t="s">
        <v>316</v>
      </c>
    </row>
    <row r="42494">
      <c r="A42494" s="17"/>
      <c r="H42494" s="18"/>
      <c r="K42494" s="18" t="s">
        <v>316</v>
      </c>
    </row>
    <row r="42495">
      <c r="A42495" s="17"/>
      <c r="H42495" s="18"/>
      <c r="K42495" s="18" t="s">
        <v>316</v>
      </c>
    </row>
    <row r="42496">
      <c r="A42496" s="17"/>
      <c r="H42496" s="18"/>
      <c r="K42496" s="18" t="s">
        <v>316</v>
      </c>
    </row>
    <row r="42497">
      <c r="A42497" s="17"/>
      <c r="H42497" s="18"/>
      <c r="K42497" s="18" t="s">
        <v>316</v>
      </c>
    </row>
    <row r="42498">
      <c r="A42498" s="17"/>
      <c r="H42498" s="18"/>
      <c r="K42498" s="18" t="s">
        <v>316</v>
      </c>
    </row>
    <row r="42499">
      <c r="A42499" s="17"/>
      <c r="H42499" s="18"/>
      <c r="K42499" s="18" t="s">
        <v>316</v>
      </c>
    </row>
    <row r="42500">
      <c r="A42500" s="17"/>
      <c r="H42500" s="18"/>
      <c r="K42500" s="18" t="s">
        <v>316</v>
      </c>
    </row>
    <row r="42501">
      <c r="A42501" s="17"/>
      <c r="H42501" s="18"/>
      <c r="K42501" s="18" t="s">
        <v>316</v>
      </c>
    </row>
    <row r="42502">
      <c r="A42502" s="17"/>
      <c r="H42502" s="18"/>
      <c r="K42502" s="18" t="s">
        <v>316</v>
      </c>
    </row>
    <row r="42503">
      <c r="A42503" s="17"/>
      <c r="H42503" s="18"/>
      <c r="K42503" s="18" t="s">
        <v>316</v>
      </c>
    </row>
    <row r="42504">
      <c r="A42504" s="17"/>
      <c r="H42504" s="18"/>
      <c r="K42504" s="18" t="s">
        <v>316</v>
      </c>
    </row>
    <row r="42505">
      <c r="A42505" s="17"/>
      <c r="H42505" s="18"/>
      <c r="K42505" s="18" t="s">
        <v>316</v>
      </c>
    </row>
    <row r="42506">
      <c r="A42506" s="17"/>
      <c r="H42506" s="18"/>
      <c r="K42506" s="18" t="s">
        <v>316</v>
      </c>
    </row>
    <row r="42507">
      <c r="A42507" s="17"/>
      <c r="H42507" s="18"/>
      <c r="K42507" s="18" t="s">
        <v>316</v>
      </c>
    </row>
    <row r="42508">
      <c r="A42508" s="17"/>
      <c r="H42508" s="18"/>
      <c r="K42508" s="18" t="s">
        <v>316</v>
      </c>
    </row>
    <row r="42509">
      <c r="A42509" s="17"/>
      <c r="H42509" s="18"/>
      <c r="K42509" s="18" t="s">
        <v>316</v>
      </c>
    </row>
    <row r="42510">
      <c r="A42510" s="17"/>
      <c r="H42510" s="18"/>
      <c r="K42510" s="18" t="s">
        <v>316</v>
      </c>
    </row>
    <row r="42511">
      <c r="A42511" s="17"/>
      <c r="H42511" s="18"/>
      <c r="K42511" s="18" t="s">
        <v>316</v>
      </c>
    </row>
    <row r="42512">
      <c r="A42512" s="17"/>
      <c r="H42512" s="18"/>
      <c r="K42512" s="18" t="s">
        <v>316</v>
      </c>
    </row>
    <row r="42513">
      <c r="A42513" s="17"/>
      <c r="H42513" s="18"/>
      <c r="K42513" s="18" t="s">
        <v>316</v>
      </c>
    </row>
    <row r="42514">
      <c r="A42514" s="17"/>
      <c r="H42514" s="18"/>
      <c r="K42514" s="18" t="s">
        <v>316</v>
      </c>
    </row>
    <row r="42515">
      <c r="A42515" s="17"/>
      <c r="H42515" s="18"/>
      <c r="K42515" s="18" t="s">
        <v>316</v>
      </c>
    </row>
    <row r="42516">
      <c r="A42516" s="17"/>
      <c r="H42516" s="18"/>
      <c r="K42516" s="18" t="s">
        <v>316</v>
      </c>
    </row>
    <row r="42517">
      <c r="A42517" s="17"/>
      <c r="H42517" s="18"/>
      <c r="K42517" s="18" t="s">
        <v>316</v>
      </c>
    </row>
    <row r="42518">
      <c r="A42518" s="17"/>
      <c r="H42518" s="18"/>
      <c r="K42518" s="18" t="s">
        <v>316</v>
      </c>
    </row>
    <row r="42519">
      <c r="A42519" s="17"/>
      <c r="H42519" s="18"/>
      <c r="K42519" s="18" t="s">
        <v>316</v>
      </c>
    </row>
    <row r="42520">
      <c r="A42520" s="17"/>
      <c r="H42520" s="18"/>
      <c r="K42520" s="18" t="s">
        <v>316</v>
      </c>
    </row>
    <row r="42521">
      <c r="A42521" s="17"/>
      <c r="H42521" s="18"/>
      <c r="K42521" s="18" t="s">
        <v>316</v>
      </c>
    </row>
    <row r="42522">
      <c r="A42522" s="17"/>
      <c r="H42522" s="18"/>
      <c r="K42522" s="18" t="s">
        <v>316</v>
      </c>
    </row>
    <row r="42523">
      <c r="A42523" s="17"/>
      <c r="H42523" s="18"/>
      <c r="K42523" s="18" t="s">
        <v>316</v>
      </c>
    </row>
    <row r="42524">
      <c r="A42524" s="17"/>
      <c r="H42524" s="18"/>
      <c r="K42524" s="18" t="s">
        <v>316</v>
      </c>
    </row>
    <row r="42525">
      <c r="A42525" s="17"/>
      <c r="H42525" s="18"/>
      <c r="K42525" s="18" t="s">
        <v>316</v>
      </c>
    </row>
    <row r="42526">
      <c r="A42526" s="17"/>
      <c r="H42526" s="18"/>
      <c r="K42526" s="18" t="s">
        <v>316</v>
      </c>
    </row>
    <row r="42527">
      <c r="A42527" s="17"/>
      <c r="H42527" s="18"/>
      <c r="K42527" s="18" t="s">
        <v>316</v>
      </c>
    </row>
    <row r="42528">
      <c r="A42528" s="17"/>
      <c r="H42528" s="18"/>
      <c r="K42528" s="18" t="s">
        <v>316</v>
      </c>
    </row>
    <row r="42529">
      <c r="A42529" s="17"/>
      <c r="H42529" s="18"/>
      <c r="K42529" s="18" t="s">
        <v>316</v>
      </c>
    </row>
    <row r="42530">
      <c r="A42530" s="17"/>
      <c r="H42530" s="18"/>
      <c r="K42530" s="18" t="s">
        <v>316</v>
      </c>
    </row>
    <row r="42531">
      <c r="A42531" s="17"/>
      <c r="H42531" s="18"/>
      <c r="K42531" s="18" t="s">
        <v>316</v>
      </c>
    </row>
    <row r="42532">
      <c r="A42532" s="17"/>
      <c r="H42532" s="18"/>
      <c r="K42532" s="18" t="s">
        <v>316</v>
      </c>
    </row>
    <row r="42533">
      <c r="A42533" s="17"/>
      <c r="H42533" s="18"/>
      <c r="K42533" s="18" t="s">
        <v>316</v>
      </c>
    </row>
    <row r="42534">
      <c r="A42534" s="17"/>
      <c r="H42534" s="18"/>
      <c r="K42534" s="18" t="s">
        <v>316</v>
      </c>
    </row>
    <row r="42535">
      <c r="A42535" s="17"/>
      <c r="H42535" s="18"/>
      <c r="K42535" s="18" t="s">
        <v>316</v>
      </c>
    </row>
    <row r="42536">
      <c r="A42536" s="17"/>
      <c r="H42536" s="18"/>
      <c r="K42536" s="18" t="s">
        <v>316</v>
      </c>
    </row>
    <row r="42537">
      <c r="A42537" s="17"/>
      <c r="H42537" s="18"/>
      <c r="K42537" s="18" t="s">
        <v>316</v>
      </c>
    </row>
    <row r="42538">
      <c r="A42538" s="17"/>
      <c r="H42538" s="18"/>
      <c r="K42538" s="18" t="s">
        <v>316</v>
      </c>
    </row>
    <row r="42539">
      <c r="A42539" s="17"/>
      <c r="H42539" s="18"/>
      <c r="K42539" s="18" t="s">
        <v>316</v>
      </c>
    </row>
    <row r="42540">
      <c r="A42540" s="17"/>
      <c r="H42540" s="18"/>
      <c r="K42540" s="18" t="s">
        <v>316</v>
      </c>
    </row>
    <row r="42541">
      <c r="A42541" s="17"/>
      <c r="H42541" s="18"/>
      <c r="K42541" s="18" t="s">
        <v>316</v>
      </c>
    </row>
    <row r="42542">
      <c r="A42542" s="17"/>
      <c r="H42542" s="18"/>
      <c r="K42542" s="18" t="s">
        <v>316</v>
      </c>
    </row>
    <row r="42543">
      <c r="A42543" s="17"/>
      <c r="H42543" s="18"/>
      <c r="K42543" s="18" t="s">
        <v>316</v>
      </c>
    </row>
    <row r="42544">
      <c r="A42544" s="17"/>
      <c r="H42544" s="18"/>
      <c r="K42544" s="18" t="s">
        <v>316</v>
      </c>
    </row>
    <row r="42545">
      <c r="A42545" s="17"/>
      <c r="H42545" s="18"/>
      <c r="K42545" s="18" t="s">
        <v>316</v>
      </c>
    </row>
    <row r="42546">
      <c r="A42546" s="17"/>
      <c r="H42546" s="18"/>
      <c r="K42546" s="18" t="s">
        <v>316</v>
      </c>
    </row>
    <row r="42547">
      <c r="A42547" s="17"/>
      <c r="H42547" s="18"/>
      <c r="K42547" s="18" t="s">
        <v>316</v>
      </c>
    </row>
    <row r="42548">
      <c r="A42548" s="17"/>
      <c r="H42548" s="18"/>
      <c r="K42548" s="18" t="s">
        <v>316</v>
      </c>
    </row>
    <row r="42549">
      <c r="A42549" s="17"/>
      <c r="H42549" s="18"/>
      <c r="K42549" s="18" t="s">
        <v>316</v>
      </c>
    </row>
    <row r="42550">
      <c r="A42550" s="17"/>
      <c r="H42550" s="18"/>
      <c r="K42550" s="18" t="s">
        <v>316</v>
      </c>
    </row>
    <row r="42551">
      <c r="A42551" s="17"/>
      <c r="H42551" s="18"/>
      <c r="K42551" s="18" t="s">
        <v>316</v>
      </c>
    </row>
    <row r="42552">
      <c r="A42552" s="17"/>
      <c r="H42552" s="18"/>
      <c r="K42552" s="18" t="s">
        <v>316</v>
      </c>
    </row>
    <row r="42553">
      <c r="A42553" s="17"/>
      <c r="H42553" s="18"/>
      <c r="K42553" s="18" t="s">
        <v>316</v>
      </c>
    </row>
    <row r="42554">
      <c r="A42554" s="17"/>
      <c r="H42554" s="18"/>
      <c r="K42554" s="18" t="s">
        <v>316</v>
      </c>
    </row>
    <row r="42555">
      <c r="A42555" s="17"/>
      <c r="H42555" s="18"/>
      <c r="K42555" s="18" t="s">
        <v>316</v>
      </c>
    </row>
    <row r="42556">
      <c r="A42556" s="17"/>
      <c r="H42556" s="18"/>
      <c r="K42556" s="18" t="s">
        <v>316</v>
      </c>
    </row>
    <row r="42557">
      <c r="A42557" s="17"/>
      <c r="H42557" s="18"/>
      <c r="K42557" s="18" t="s">
        <v>316</v>
      </c>
    </row>
    <row r="42558">
      <c r="A42558" s="17"/>
      <c r="H42558" s="18"/>
      <c r="K42558" s="18" t="s">
        <v>316</v>
      </c>
    </row>
    <row r="42559">
      <c r="A42559" s="17"/>
      <c r="H42559" s="18"/>
      <c r="K42559" s="18" t="s">
        <v>316</v>
      </c>
    </row>
    <row r="42560">
      <c r="A42560" s="17"/>
      <c r="H42560" s="18"/>
      <c r="K42560" s="18" t="s">
        <v>316</v>
      </c>
    </row>
    <row r="42561">
      <c r="A42561" s="17"/>
      <c r="H42561" s="18"/>
      <c r="K42561" s="18" t="s">
        <v>316</v>
      </c>
    </row>
    <row r="42562">
      <c r="A42562" s="17"/>
      <c r="H42562" s="18"/>
      <c r="K42562" s="18" t="s">
        <v>316</v>
      </c>
    </row>
    <row r="42563">
      <c r="A42563" s="17"/>
      <c r="H42563" s="18"/>
      <c r="K42563" s="18" t="s">
        <v>316</v>
      </c>
    </row>
    <row r="42564">
      <c r="A42564" s="17"/>
      <c r="H42564" s="18"/>
      <c r="K42564" s="18" t="s">
        <v>316</v>
      </c>
    </row>
    <row r="42565">
      <c r="A42565" s="17"/>
      <c r="H42565" s="18"/>
      <c r="K42565" s="18" t="s">
        <v>316</v>
      </c>
    </row>
    <row r="42566">
      <c r="A42566" s="17"/>
      <c r="H42566" s="18"/>
      <c r="K42566" s="18" t="s">
        <v>316</v>
      </c>
    </row>
    <row r="42567">
      <c r="A42567" s="17"/>
      <c r="H42567" s="18"/>
      <c r="K42567" s="18" t="s">
        <v>316</v>
      </c>
    </row>
    <row r="42568">
      <c r="A42568" s="17"/>
      <c r="H42568" s="18"/>
      <c r="K42568" s="18" t="s">
        <v>316</v>
      </c>
    </row>
    <row r="42569">
      <c r="A42569" s="17"/>
      <c r="H42569" s="18"/>
      <c r="K42569" s="18" t="s">
        <v>316</v>
      </c>
    </row>
    <row r="42570">
      <c r="A42570" s="17"/>
      <c r="H42570" s="18"/>
      <c r="K42570" s="18" t="s">
        <v>316</v>
      </c>
    </row>
    <row r="42571">
      <c r="A42571" s="17"/>
      <c r="H42571" s="18"/>
      <c r="K42571" s="18" t="s">
        <v>316</v>
      </c>
    </row>
    <row r="42572">
      <c r="A42572" s="17"/>
      <c r="H42572" s="18"/>
      <c r="K42572" s="18" t="s">
        <v>316</v>
      </c>
    </row>
    <row r="42573">
      <c r="A42573" s="17"/>
      <c r="H42573" s="18"/>
      <c r="K42573" s="18" t="s">
        <v>316</v>
      </c>
    </row>
    <row r="42574">
      <c r="A42574" s="17"/>
      <c r="H42574" s="18"/>
      <c r="K42574" s="18" t="s">
        <v>316</v>
      </c>
    </row>
    <row r="42575">
      <c r="A42575" s="17"/>
      <c r="H42575" s="18"/>
      <c r="K42575" s="18" t="s">
        <v>316</v>
      </c>
    </row>
    <row r="42576">
      <c r="A42576" s="17"/>
      <c r="H42576" s="18"/>
      <c r="K42576" s="18" t="s">
        <v>316</v>
      </c>
    </row>
    <row r="42577">
      <c r="A42577" s="17"/>
      <c r="H42577" s="18"/>
      <c r="K42577" s="18" t="s">
        <v>316</v>
      </c>
    </row>
    <row r="42578">
      <c r="A42578" s="17"/>
      <c r="H42578" s="18"/>
      <c r="K42578" s="18" t="s">
        <v>316</v>
      </c>
    </row>
    <row r="42579">
      <c r="A42579" s="17"/>
      <c r="H42579" s="18"/>
      <c r="K42579" s="18" t="s">
        <v>316</v>
      </c>
    </row>
    <row r="42580">
      <c r="A42580" s="17"/>
      <c r="H42580" s="18"/>
      <c r="K42580" s="18" t="s">
        <v>316</v>
      </c>
    </row>
    <row r="42581">
      <c r="A42581" s="17"/>
      <c r="H42581" s="18"/>
      <c r="K42581" s="18" t="s">
        <v>316</v>
      </c>
    </row>
    <row r="42582">
      <c r="A42582" s="17"/>
      <c r="H42582" s="18"/>
      <c r="K42582" s="18" t="s">
        <v>316</v>
      </c>
    </row>
    <row r="42583">
      <c r="A42583" s="17"/>
      <c r="H42583" s="18"/>
      <c r="K42583" s="18" t="s">
        <v>316</v>
      </c>
    </row>
    <row r="42584">
      <c r="A42584" s="17"/>
      <c r="H42584" s="18"/>
      <c r="K42584" s="18" t="s">
        <v>316</v>
      </c>
    </row>
    <row r="42585">
      <c r="A42585" s="17"/>
      <c r="H42585" s="18"/>
      <c r="K42585" s="18" t="s">
        <v>316</v>
      </c>
    </row>
    <row r="42586">
      <c r="A42586" s="17"/>
      <c r="H42586" s="18"/>
      <c r="K42586" s="18" t="s">
        <v>316</v>
      </c>
    </row>
    <row r="42587">
      <c r="A42587" s="17"/>
      <c r="H42587" s="18"/>
      <c r="K42587" s="18" t="s">
        <v>316</v>
      </c>
    </row>
    <row r="42588">
      <c r="A42588" s="17"/>
      <c r="H42588" s="18"/>
      <c r="K42588" s="18" t="s">
        <v>316</v>
      </c>
    </row>
    <row r="42589">
      <c r="A42589" s="17"/>
      <c r="H42589" s="18"/>
      <c r="K42589" s="18" t="s">
        <v>316</v>
      </c>
    </row>
    <row r="42590">
      <c r="A42590" s="17"/>
      <c r="H42590" s="18"/>
      <c r="K42590" s="18" t="s">
        <v>316</v>
      </c>
    </row>
    <row r="42591">
      <c r="A42591" s="17"/>
      <c r="H42591" s="18"/>
      <c r="K42591" s="18" t="s">
        <v>316</v>
      </c>
    </row>
    <row r="42592">
      <c r="A42592" s="17"/>
      <c r="H42592" s="18"/>
      <c r="K42592" s="18" t="s">
        <v>316</v>
      </c>
    </row>
    <row r="42593">
      <c r="A42593" s="17"/>
      <c r="H42593" s="18"/>
      <c r="K42593" s="18" t="s">
        <v>316</v>
      </c>
    </row>
    <row r="42594">
      <c r="A42594" s="17"/>
      <c r="H42594" s="18"/>
      <c r="K42594" s="18" t="s">
        <v>316</v>
      </c>
    </row>
    <row r="42595">
      <c r="A42595" s="17"/>
      <c r="H42595" s="18"/>
      <c r="K42595" s="18" t="s">
        <v>316</v>
      </c>
    </row>
    <row r="42596">
      <c r="A42596" s="17"/>
      <c r="H42596" s="18"/>
      <c r="K42596" s="18" t="s">
        <v>316</v>
      </c>
    </row>
    <row r="42597">
      <c r="A42597" s="17"/>
      <c r="H42597" s="18"/>
      <c r="K42597" s="18" t="s">
        <v>316</v>
      </c>
    </row>
    <row r="42598">
      <c r="A42598" s="17"/>
      <c r="H42598" s="18"/>
      <c r="K42598" s="18" t="s">
        <v>316</v>
      </c>
    </row>
    <row r="42599">
      <c r="A42599" s="17"/>
      <c r="H42599" s="18"/>
      <c r="K42599" s="18" t="s">
        <v>316</v>
      </c>
    </row>
    <row r="42600">
      <c r="A42600" s="17"/>
      <c r="H42600" s="18"/>
      <c r="K42600" s="18" t="s">
        <v>316</v>
      </c>
    </row>
    <row r="42601">
      <c r="A42601" s="17"/>
      <c r="H42601" s="18"/>
      <c r="K42601" s="18" t="s">
        <v>316</v>
      </c>
    </row>
    <row r="42602">
      <c r="A42602" s="17"/>
      <c r="H42602" s="18"/>
      <c r="K42602" s="18" t="s">
        <v>316</v>
      </c>
    </row>
    <row r="42603">
      <c r="A42603" s="17"/>
      <c r="H42603" s="18"/>
      <c r="K42603" s="18" t="s">
        <v>316</v>
      </c>
    </row>
    <row r="42604">
      <c r="A42604" s="17"/>
      <c r="H42604" s="18"/>
      <c r="K42604" s="18" t="s">
        <v>316</v>
      </c>
    </row>
    <row r="42605">
      <c r="A42605" s="17"/>
      <c r="H42605" s="18"/>
      <c r="K42605" s="18" t="s">
        <v>316</v>
      </c>
    </row>
    <row r="42606">
      <c r="A42606" s="17"/>
      <c r="H42606" s="18"/>
      <c r="K42606" s="18" t="s">
        <v>316</v>
      </c>
    </row>
    <row r="42607">
      <c r="A42607" s="17"/>
      <c r="H42607" s="18"/>
      <c r="K42607" s="18" t="s">
        <v>316</v>
      </c>
    </row>
    <row r="42608">
      <c r="A42608" s="17"/>
      <c r="H42608" s="18"/>
      <c r="K42608" s="18" t="s">
        <v>316</v>
      </c>
    </row>
    <row r="42609">
      <c r="A42609" s="17"/>
      <c r="H42609" s="18"/>
      <c r="K42609" s="18" t="s">
        <v>316</v>
      </c>
    </row>
    <row r="42610">
      <c r="A42610" s="17"/>
      <c r="H42610" s="18"/>
      <c r="K42610" s="18" t="s">
        <v>316</v>
      </c>
    </row>
    <row r="42611">
      <c r="A42611" s="17"/>
      <c r="H42611" s="18"/>
      <c r="K42611" s="18" t="s">
        <v>316</v>
      </c>
    </row>
    <row r="42612">
      <c r="A42612" s="17"/>
      <c r="H42612" s="18"/>
      <c r="K42612" s="18" t="s">
        <v>316</v>
      </c>
    </row>
    <row r="42613">
      <c r="A42613" s="17"/>
      <c r="H42613" s="18"/>
      <c r="K42613" s="18" t="s">
        <v>316</v>
      </c>
    </row>
    <row r="42614">
      <c r="A42614" s="17"/>
      <c r="H42614" s="18"/>
      <c r="K42614" s="18" t="s">
        <v>316</v>
      </c>
    </row>
    <row r="42615">
      <c r="A42615" s="17"/>
      <c r="H42615" s="18"/>
      <c r="K42615" s="18" t="s">
        <v>316</v>
      </c>
    </row>
    <row r="42616">
      <c r="A42616" s="17"/>
      <c r="H42616" s="18"/>
      <c r="K42616" s="18" t="s">
        <v>316</v>
      </c>
    </row>
    <row r="42617">
      <c r="A42617" s="17"/>
      <c r="H42617" s="18"/>
      <c r="K42617" s="18" t="s">
        <v>316</v>
      </c>
    </row>
    <row r="42618">
      <c r="A42618" s="17"/>
      <c r="H42618" s="18"/>
      <c r="K42618" s="18" t="s">
        <v>316</v>
      </c>
    </row>
    <row r="42619">
      <c r="A42619" s="17"/>
      <c r="H42619" s="18"/>
      <c r="K42619" s="18" t="s">
        <v>316</v>
      </c>
    </row>
    <row r="42620">
      <c r="A42620" s="17"/>
      <c r="H42620" s="18"/>
      <c r="K42620" s="18" t="s">
        <v>316</v>
      </c>
    </row>
    <row r="42621">
      <c r="A42621" s="17"/>
      <c r="H42621" s="18"/>
      <c r="K42621" s="18" t="s">
        <v>316</v>
      </c>
    </row>
    <row r="42622">
      <c r="A42622" s="17"/>
      <c r="H42622" s="18"/>
      <c r="K42622" s="18" t="s">
        <v>316</v>
      </c>
    </row>
    <row r="42623">
      <c r="A42623" s="17"/>
      <c r="H42623" s="18"/>
      <c r="K42623" s="18" t="s">
        <v>316</v>
      </c>
    </row>
    <row r="42624">
      <c r="A42624" s="17"/>
      <c r="H42624" s="18"/>
      <c r="K42624" s="18" t="s">
        <v>316</v>
      </c>
    </row>
    <row r="42625">
      <c r="A42625" s="17"/>
      <c r="H42625" s="18"/>
      <c r="K42625" s="18" t="s">
        <v>316</v>
      </c>
    </row>
    <row r="42626">
      <c r="A42626" s="17"/>
      <c r="H42626" s="18"/>
      <c r="K42626" s="18" t="s">
        <v>316</v>
      </c>
    </row>
    <row r="42627">
      <c r="A42627" s="17"/>
      <c r="H42627" s="18"/>
      <c r="K42627" s="18" t="s">
        <v>316</v>
      </c>
    </row>
    <row r="42628">
      <c r="A42628" s="17"/>
      <c r="H42628" s="18"/>
      <c r="K42628" s="18" t="s">
        <v>316</v>
      </c>
    </row>
    <row r="42629">
      <c r="A42629" s="17"/>
      <c r="H42629" s="18"/>
      <c r="K42629" s="18" t="s">
        <v>316</v>
      </c>
    </row>
    <row r="42630">
      <c r="A42630" s="17"/>
      <c r="H42630" s="18"/>
      <c r="K42630" s="18" t="s">
        <v>316</v>
      </c>
    </row>
    <row r="42631">
      <c r="A42631" s="17"/>
      <c r="H42631" s="18"/>
      <c r="K42631" s="18" t="s">
        <v>316</v>
      </c>
    </row>
    <row r="42632">
      <c r="A42632" s="17"/>
      <c r="H42632" s="18"/>
      <c r="K42632" s="18" t="s">
        <v>316</v>
      </c>
    </row>
    <row r="42633">
      <c r="A42633" s="17"/>
      <c r="H42633" s="18"/>
      <c r="K42633" s="18" t="s">
        <v>316</v>
      </c>
    </row>
    <row r="42634">
      <c r="A42634" s="17"/>
      <c r="H42634" s="18"/>
      <c r="K42634" s="18" t="s">
        <v>316</v>
      </c>
    </row>
    <row r="42635">
      <c r="A42635" s="17"/>
      <c r="H42635" s="18"/>
      <c r="K42635" s="18" t="s">
        <v>316</v>
      </c>
    </row>
    <row r="42636">
      <c r="A42636" s="17"/>
      <c r="H42636" s="18"/>
      <c r="K42636" s="18" t="s">
        <v>316</v>
      </c>
    </row>
    <row r="42637">
      <c r="A42637" s="17"/>
      <c r="H42637" s="18"/>
      <c r="K42637" s="18" t="s">
        <v>316</v>
      </c>
    </row>
    <row r="42638">
      <c r="A42638" s="17"/>
      <c r="H42638" s="18"/>
      <c r="K42638" s="18" t="s">
        <v>316</v>
      </c>
    </row>
    <row r="42639">
      <c r="A42639" s="17"/>
      <c r="H42639" s="18"/>
      <c r="K42639" s="18" t="s">
        <v>316</v>
      </c>
    </row>
    <row r="42640">
      <c r="A42640" s="17"/>
      <c r="H42640" s="18"/>
      <c r="K42640" s="18" t="s">
        <v>316</v>
      </c>
    </row>
    <row r="42641">
      <c r="A42641" s="17"/>
      <c r="H42641" s="18"/>
      <c r="K42641" s="18" t="s">
        <v>316</v>
      </c>
    </row>
    <row r="42642">
      <c r="A42642" s="17"/>
      <c r="H42642" s="18"/>
      <c r="K42642" s="18" t="s">
        <v>316</v>
      </c>
    </row>
    <row r="42643">
      <c r="A42643" s="17"/>
      <c r="H42643" s="18"/>
      <c r="K42643" s="18" t="s">
        <v>316</v>
      </c>
    </row>
    <row r="42644">
      <c r="A42644" s="17"/>
      <c r="H42644" s="18"/>
      <c r="K42644" s="18" t="s">
        <v>316</v>
      </c>
    </row>
    <row r="42645">
      <c r="A42645" s="17"/>
      <c r="H42645" s="18"/>
      <c r="K42645" s="18" t="s">
        <v>316</v>
      </c>
    </row>
    <row r="42646">
      <c r="A42646" s="17"/>
      <c r="H42646" s="18"/>
      <c r="K42646" s="18" t="s">
        <v>316</v>
      </c>
    </row>
    <row r="42647">
      <c r="A42647" s="17"/>
      <c r="H42647" s="18"/>
      <c r="K42647" s="18" t="s">
        <v>316</v>
      </c>
    </row>
    <row r="42648">
      <c r="A42648" s="17"/>
      <c r="H42648" s="18"/>
      <c r="K42648" s="18" t="s">
        <v>316</v>
      </c>
    </row>
    <row r="42649">
      <c r="A42649" s="17"/>
      <c r="H42649" s="18"/>
      <c r="K42649" s="18" t="s">
        <v>316</v>
      </c>
    </row>
    <row r="42650">
      <c r="A42650" s="17"/>
      <c r="H42650" s="18"/>
      <c r="K42650" s="18" t="s">
        <v>316</v>
      </c>
    </row>
    <row r="42651">
      <c r="A42651" s="17"/>
      <c r="H42651" s="18"/>
      <c r="K42651" s="18" t="s">
        <v>316</v>
      </c>
    </row>
    <row r="42652">
      <c r="A42652" s="17"/>
      <c r="H42652" s="18"/>
      <c r="K42652" s="18" t="s">
        <v>316</v>
      </c>
    </row>
    <row r="42653">
      <c r="A42653" s="17"/>
      <c r="H42653" s="18"/>
      <c r="K42653" s="18" t="s">
        <v>316</v>
      </c>
    </row>
    <row r="42654">
      <c r="A42654" s="17"/>
      <c r="H42654" s="18"/>
      <c r="K42654" s="18" t="s">
        <v>316</v>
      </c>
    </row>
    <row r="42655">
      <c r="A42655" s="17"/>
      <c r="H42655" s="18"/>
      <c r="K42655" s="18" t="s">
        <v>316</v>
      </c>
    </row>
    <row r="42656">
      <c r="A42656" s="17"/>
      <c r="H42656" s="18"/>
      <c r="K42656" s="18" t="s">
        <v>316</v>
      </c>
    </row>
    <row r="42657">
      <c r="A42657" s="17"/>
      <c r="H42657" s="18"/>
      <c r="K42657" s="18" t="s">
        <v>316</v>
      </c>
    </row>
    <row r="42658">
      <c r="A42658" s="17"/>
      <c r="H42658" s="18"/>
      <c r="K42658" s="18" t="s">
        <v>316</v>
      </c>
    </row>
    <row r="42659">
      <c r="A42659" s="17"/>
      <c r="H42659" s="18"/>
      <c r="K42659" s="18" t="s">
        <v>316</v>
      </c>
    </row>
    <row r="42660">
      <c r="A42660" s="17"/>
      <c r="H42660" s="18"/>
      <c r="K42660" s="18" t="s">
        <v>316</v>
      </c>
    </row>
    <row r="42661">
      <c r="A42661" s="17"/>
      <c r="H42661" s="18"/>
      <c r="K42661" s="18" t="s">
        <v>316</v>
      </c>
    </row>
    <row r="42662">
      <c r="A42662" s="17"/>
      <c r="H42662" s="18"/>
      <c r="K42662" s="18" t="s">
        <v>316</v>
      </c>
    </row>
    <row r="42663">
      <c r="A42663" s="17"/>
      <c r="H42663" s="18"/>
      <c r="K42663" s="18" t="s">
        <v>316</v>
      </c>
    </row>
    <row r="42664">
      <c r="A42664" s="17"/>
      <c r="H42664" s="18"/>
      <c r="K42664" s="18" t="s">
        <v>316</v>
      </c>
    </row>
    <row r="42665">
      <c r="A42665" s="17"/>
      <c r="H42665" s="18"/>
      <c r="K42665" s="18" t="s">
        <v>316</v>
      </c>
    </row>
    <row r="42666">
      <c r="A42666" s="17"/>
      <c r="H42666" s="18"/>
      <c r="K42666" s="18" t="s">
        <v>316</v>
      </c>
    </row>
    <row r="42667">
      <c r="A42667" s="17"/>
      <c r="H42667" s="18"/>
      <c r="K42667" s="18" t="s">
        <v>316</v>
      </c>
    </row>
    <row r="42668">
      <c r="A42668" s="17"/>
      <c r="H42668" s="18"/>
      <c r="K42668" s="18" t="s">
        <v>316</v>
      </c>
    </row>
    <row r="42669">
      <c r="A42669" s="17"/>
      <c r="H42669" s="18"/>
      <c r="K42669" s="18" t="s">
        <v>316</v>
      </c>
    </row>
    <row r="42670">
      <c r="A42670" s="17"/>
      <c r="H42670" s="18"/>
      <c r="K42670" s="18" t="s">
        <v>316</v>
      </c>
    </row>
    <row r="42671">
      <c r="A42671" s="17"/>
      <c r="H42671" s="18"/>
      <c r="K42671" s="18" t="s">
        <v>316</v>
      </c>
    </row>
    <row r="42672">
      <c r="A42672" s="17"/>
      <c r="H42672" s="18"/>
      <c r="K42672" s="18" t="s">
        <v>316</v>
      </c>
    </row>
    <row r="42673">
      <c r="A42673" s="17"/>
      <c r="H42673" s="18"/>
      <c r="K42673" s="18" t="s">
        <v>316</v>
      </c>
    </row>
    <row r="42674">
      <c r="A42674" s="17"/>
      <c r="H42674" s="18"/>
      <c r="K42674" s="18" t="s">
        <v>316</v>
      </c>
    </row>
    <row r="42675">
      <c r="A42675" s="17"/>
      <c r="H42675" s="18"/>
      <c r="K42675" s="18" t="s">
        <v>316</v>
      </c>
    </row>
    <row r="42676">
      <c r="A42676" s="17"/>
      <c r="H42676" s="18"/>
      <c r="K42676" s="18" t="s">
        <v>316</v>
      </c>
    </row>
    <row r="42677">
      <c r="A42677" s="17"/>
      <c r="H42677" s="18"/>
      <c r="K42677" s="18" t="s">
        <v>316</v>
      </c>
    </row>
    <row r="42678">
      <c r="A42678" s="17"/>
      <c r="H42678" s="18"/>
      <c r="K42678" s="18" t="s">
        <v>316</v>
      </c>
    </row>
    <row r="42679">
      <c r="A42679" s="17"/>
      <c r="H42679" s="18"/>
      <c r="K42679" s="18" t="s">
        <v>316</v>
      </c>
    </row>
    <row r="42680">
      <c r="A42680" s="17"/>
      <c r="H42680" s="18"/>
      <c r="K42680" s="18" t="s">
        <v>316</v>
      </c>
    </row>
    <row r="42681">
      <c r="A42681" s="17"/>
      <c r="H42681" s="18"/>
      <c r="K42681" s="18" t="s">
        <v>316</v>
      </c>
    </row>
    <row r="42682">
      <c r="A42682" s="17"/>
      <c r="H42682" s="18"/>
      <c r="K42682" s="18" t="s">
        <v>316</v>
      </c>
    </row>
    <row r="42683">
      <c r="A42683" s="17"/>
      <c r="H42683" s="18"/>
      <c r="K42683" s="18" t="s">
        <v>316</v>
      </c>
    </row>
    <row r="42684">
      <c r="A42684" s="17"/>
      <c r="H42684" s="18"/>
      <c r="K42684" s="18" t="s">
        <v>316</v>
      </c>
    </row>
    <row r="42685">
      <c r="A42685" s="17"/>
      <c r="H42685" s="18"/>
      <c r="K42685" s="18" t="s">
        <v>316</v>
      </c>
    </row>
    <row r="42686">
      <c r="A42686" s="17"/>
      <c r="H42686" s="18"/>
      <c r="K42686" s="18" t="s">
        <v>316</v>
      </c>
    </row>
    <row r="42687">
      <c r="A42687" s="17"/>
      <c r="H42687" s="18"/>
      <c r="K42687" s="18" t="s">
        <v>316</v>
      </c>
    </row>
    <row r="42688">
      <c r="A42688" s="17"/>
      <c r="H42688" s="18"/>
      <c r="K42688" s="18" t="s">
        <v>316</v>
      </c>
    </row>
    <row r="42689">
      <c r="A42689" s="17"/>
      <c r="H42689" s="18"/>
      <c r="K42689" s="18" t="s">
        <v>316</v>
      </c>
    </row>
    <row r="42690">
      <c r="A42690" s="17"/>
      <c r="H42690" s="18"/>
      <c r="K42690" s="18" t="s">
        <v>316</v>
      </c>
    </row>
    <row r="42691">
      <c r="A42691" s="17"/>
      <c r="H42691" s="18"/>
      <c r="K42691" s="18" t="s">
        <v>316</v>
      </c>
    </row>
    <row r="42692">
      <c r="A42692" s="17"/>
      <c r="H42692" s="18"/>
      <c r="K42692" s="18" t="s">
        <v>316</v>
      </c>
    </row>
    <row r="42693">
      <c r="A42693" s="17"/>
      <c r="H42693" s="18"/>
      <c r="K42693" s="18" t="s">
        <v>316</v>
      </c>
    </row>
    <row r="42694">
      <c r="A42694" s="17"/>
      <c r="H42694" s="18"/>
      <c r="K42694" s="18" t="s">
        <v>316</v>
      </c>
    </row>
    <row r="42695">
      <c r="A42695" s="17"/>
      <c r="H42695" s="18"/>
      <c r="K42695" s="18" t="s">
        <v>316</v>
      </c>
    </row>
    <row r="42696">
      <c r="A42696" s="17"/>
      <c r="H42696" s="18"/>
      <c r="K42696" s="18" t="s">
        <v>316</v>
      </c>
    </row>
    <row r="42697">
      <c r="A42697" s="17"/>
      <c r="H42697" s="18"/>
      <c r="K42697" s="18" t="s">
        <v>316</v>
      </c>
    </row>
    <row r="42698">
      <c r="A42698" s="17"/>
      <c r="H42698" s="18"/>
      <c r="K42698" s="18" t="s">
        <v>316</v>
      </c>
    </row>
    <row r="42699">
      <c r="A42699" s="17"/>
      <c r="H42699" s="18"/>
      <c r="K42699" s="18" t="s">
        <v>316</v>
      </c>
    </row>
    <row r="42700">
      <c r="A42700" s="17"/>
      <c r="H42700" s="18"/>
      <c r="K42700" s="18" t="s">
        <v>316</v>
      </c>
    </row>
    <row r="42701">
      <c r="A42701" s="17"/>
      <c r="H42701" s="18"/>
      <c r="K42701" s="18" t="s">
        <v>316</v>
      </c>
    </row>
    <row r="42702">
      <c r="A42702" s="17"/>
      <c r="H42702" s="18"/>
      <c r="K42702" s="18" t="s">
        <v>316</v>
      </c>
    </row>
    <row r="42703">
      <c r="A42703" s="17"/>
      <c r="H42703" s="18"/>
      <c r="K42703" s="18" t="s">
        <v>316</v>
      </c>
    </row>
    <row r="42704">
      <c r="A42704" s="17"/>
      <c r="H42704" s="18"/>
      <c r="K42704" s="18" t="s">
        <v>316</v>
      </c>
    </row>
    <row r="42705">
      <c r="A42705" s="17"/>
      <c r="H42705" s="18"/>
      <c r="K42705" s="18" t="s">
        <v>316</v>
      </c>
    </row>
    <row r="42706">
      <c r="A42706" s="17"/>
      <c r="H42706" s="18"/>
      <c r="K42706" s="18" t="s">
        <v>316</v>
      </c>
    </row>
    <row r="42707">
      <c r="A42707" s="17"/>
      <c r="H42707" s="18"/>
      <c r="K42707" s="18" t="s">
        <v>316</v>
      </c>
    </row>
    <row r="42708">
      <c r="A42708" s="17"/>
      <c r="H42708" s="18"/>
      <c r="K42708" s="18" t="s">
        <v>316</v>
      </c>
    </row>
    <row r="42709">
      <c r="A42709" s="17"/>
      <c r="H42709" s="18"/>
      <c r="K42709" s="18" t="s">
        <v>316</v>
      </c>
    </row>
    <row r="42710">
      <c r="A42710" s="17"/>
      <c r="H42710" s="18"/>
      <c r="K42710" s="18" t="s">
        <v>316</v>
      </c>
    </row>
    <row r="42711">
      <c r="A42711" s="17"/>
      <c r="H42711" s="18"/>
      <c r="K42711" s="18" t="s">
        <v>316</v>
      </c>
    </row>
    <row r="42712">
      <c r="A42712" s="17"/>
      <c r="H42712" s="18"/>
      <c r="K42712" s="18" t="s">
        <v>316</v>
      </c>
    </row>
    <row r="42713">
      <c r="A42713" s="17"/>
      <c r="H42713" s="18"/>
      <c r="K42713" s="18" t="s">
        <v>316</v>
      </c>
    </row>
    <row r="42714">
      <c r="A42714" s="17"/>
      <c r="H42714" s="18"/>
      <c r="K42714" s="18" t="s">
        <v>316</v>
      </c>
    </row>
    <row r="42715">
      <c r="A42715" s="17"/>
      <c r="H42715" s="18"/>
      <c r="K42715" s="18" t="s">
        <v>316</v>
      </c>
    </row>
    <row r="42716">
      <c r="A42716" s="17"/>
      <c r="H42716" s="18"/>
      <c r="K42716" s="18" t="s">
        <v>316</v>
      </c>
    </row>
    <row r="42717">
      <c r="A42717" s="17"/>
      <c r="H42717" s="18"/>
      <c r="K42717" s="18" t="s">
        <v>316</v>
      </c>
    </row>
    <row r="42718">
      <c r="A42718" s="17"/>
      <c r="H42718" s="18"/>
      <c r="K42718" s="18" t="s">
        <v>316</v>
      </c>
    </row>
    <row r="42719">
      <c r="A42719" s="17"/>
      <c r="H42719" s="18"/>
      <c r="K42719" s="18" t="s">
        <v>316</v>
      </c>
    </row>
    <row r="42720">
      <c r="A42720" s="17"/>
      <c r="H42720" s="18"/>
      <c r="K42720" s="18" t="s">
        <v>316</v>
      </c>
    </row>
    <row r="42721">
      <c r="A42721" s="17"/>
      <c r="H42721" s="18"/>
      <c r="K42721" s="18" t="s">
        <v>316</v>
      </c>
    </row>
    <row r="42722">
      <c r="A42722" s="17"/>
      <c r="H42722" s="18"/>
      <c r="K42722" s="18" t="s">
        <v>316</v>
      </c>
    </row>
    <row r="42723">
      <c r="A42723" s="17"/>
      <c r="H42723" s="18"/>
      <c r="K42723" s="18" t="s">
        <v>316</v>
      </c>
    </row>
    <row r="42724">
      <c r="A42724" s="17"/>
      <c r="H42724" s="18"/>
      <c r="K42724" s="18" t="s">
        <v>316</v>
      </c>
    </row>
    <row r="42725">
      <c r="A42725" s="17"/>
      <c r="H42725" s="18"/>
      <c r="K42725" s="18" t="s">
        <v>316</v>
      </c>
    </row>
    <row r="42726">
      <c r="A42726" s="17"/>
      <c r="H42726" s="18"/>
      <c r="K42726" s="18" t="s">
        <v>316</v>
      </c>
    </row>
    <row r="42727">
      <c r="A42727" s="17"/>
      <c r="H42727" s="18"/>
      <c r="K42727" s="18" t="s">
        <v>316</v>
      </c>
    </row>
    <row r="42728">
      <c r="A42728" s="17"/>
      <c r="H42728" s="18"/>
      <c r="K42728" s="18" t="s">
        <v>316</v>
      </c>
    </row>
    <row r="42729">
      <c r="A42729" s="17"/>
      <c r="H42729" s="18"/>
      <c r="K42729" s="18" t="s">
        <v>316</v>
      </c>
    </row>
    <row r="42730">
      <c r="A42730" s="17"/>
      <c r="H42730" s="18"/>
      <c r="K42730" s="18" t="s">
        <v>316</v>
      </c>
    </row>
    <row r="42731">
      <c r="A42731" s="17"/>
      <c r="H42731" s="18"/>
      <c r="K42731" s="18" t="s">
        <v>316</v>
      </c>
    </row>
    <row r="42732">
      <c r="A42732" s="17"/>
      <c r="H42732" s="18"/>
      <c r="K42732" s="18" t="s">
        <v>316</v>
      </c>
    </row>
    <row r="42733">
      <c r="A42733" s="17"/>
      <c r="H42733" s="18"/>
      <c r="K42733" s="18" t="s">
        <v>316</v>
      </c>
    </row>
    <row r="42734">
      <c r="A42734" s="17"/>
      <c r="H42734" s="18"/>
      <c r="K42734" s="18" t="s">
        <v>316</v>
      </c>
    </row>
    <row r="42735">
      <c r="A42735" s="17"/>
      <c r="H42735" s="18"/>
      <c r="K42735" s="18" t="s">
        <v>316</v>
      </c>
    </row>
    <row r="42736">
      <c r="A42736" s="17"/>
      <c r="H42736" s="18"/>
      <c r="K42736" s="18" t="s">
        <v>316</v>
      </c>
    </row>
    <row r="42737">
      <c r="A42737" s="17"/>
      <c r="H42737" s="18"/>
      <c r="K42737" s="18" t="s">
        <v>316</v>
      </c>
    </row>
    <row r="42738">
      <c r="A42738" s="17"/>
      <c r="H42738" s="18"/>
      <c r="K42738" s="18" t="s">
        <v>316</v>
      </c>
    </row>
    <row r="42739">
      <c r="A42739" s="17"/>
      <c r="H42739" s="18"/>
      <c r="K42739" s="18" t="s">
        <v>316</v>
      </c>
    </row>
    <row r="42740">
      <c r="A42740" s="17"/>
      <c r="H42740" s="18"/>
      <c r="K42740" s="18" t="s">
        <v>316</v>
      </c>
    </row>
    <row r="42741">
      <c r="A42741" s="17"/>
      <c r="H42741" s="18"/>
      <c r="K42741" s="18" t="s">
        <v>316</v>
      </c>
    </row>
    <row r="42742">
      <c r="A42742" s="17"/>
      <c r="H42742" s="18"/>
      <c r="K42742" s="18" t="s">
        <v>316</v>
      </c>
    </row>
    <row r="42743">
      <c r="A42743" s="17"/>
      <c r="H42743" s="18"/>
      <c r="K42743" s="18" t="s">
        <v>316</v>
      </c>
    </row>
    <row r="42744">
      <c r="A42744" s="17"/>
      <c r="H42744" s="18"/>
      <c r="K42744" s="18" t="s">
        <v>316</v>
      </c>
    </row>
    <row r="42745">
      <c r="A42745" s="17"/>
      <c r="H42745" s="18"/>
      <c r="K42745" s="18" t="s">
        <v>316</v>
      </c>
    </row>
    <row r="42746">
      <c r="A42746" s="17"/>
      <c r="H42746" s="18"/>
      <c r="K42746" s="18" t="s">
        <v>316</v>
      </c>
    </row>
    <row r="42747">
      <c r="A42747" s="17"/>
      <c r="H42747" s="18"/>
      <c r="K42747" s="18" t="s">
        <v>316</v>
      </c>
    </row>
    <row r="42748">
      <c r="A42748" s="17"/>
      <c r="H42748" s="18"/>
      <c r="K42748" s="18" t="s">
        <v>316</v>
      </c>
    </row>
    <row r="42749">
      <c r="A42749" s="17"/>
      <c r="H42749" s="18"/>
      <c r="K42749" s="18" t="s">
        <v>316</v>
      </c>
    </row>
    <row r="42750">
      <c r="A42750" s="17"/>
      <c r="H42750" s="18"/>
      <c r="K42750" s="18" t="s">
        <v>316</v>
      </c>
    </row>
    <row r="42751">
      <c r="A42751" s="17"/>
      <c r="H42751" s="18"/>
      <c r="K42751" s="18" t="s">
        <v>316</v>
      </c>
    </row>
    <row r="42752">
      <c r="A42752" s="17"/>
      <c r="H42752" s="18"/>
      <c r="K42752" s="18" t="s">
        <v>316</v>
      </c>
    </row>
    <row r="42753">
      <c r="A42753" s="17"/>
      <c r="H42753" s="18"/>
      <c r="K42753" s="18" t="s">
        <v>316</v>
      </c>
    </row>
    <row r="42754">
      <c r="A42754" s="17"/>
      <c r="H42754" s="18"/>
      <c r="K42754" s="18" t="s">
        <v>316</v>
      </c>
    </row>
    <row r="42755">
      <c r="A42755" s="17"/>
      <c r="H42755" s="18"/>
      <c r="K42755" s="18" t="s">
        <v>316</v>
      </c>
    </row>
    <row r="42756">
      <c r="A42756" s="17"/>
      <c r="H42756" s="18"/>
      <c r="K42756" s="18" t="s">
        <v>316</v>
      </c>
    </row>
    <row r="42757">
      <c r="A42757" s="17"/>
      <c r="H42757" s="18"/>
      <c r="K42757" s="18" t="s">
        <v>316</v>
      </c>
    </row>
    <row r="42758">
      <c r="A42758" s="17"/>
      <c r="H42758" s="18"/>
      <c r="K42758" s="18" t="s">
        <v>316</v>
      </c>
    </row>
    <row r="42759">
      <c r="A42759" s="17"/>
      <c r="H42759" s="18"/>
      <c r="K42759" s="18" t="s">
        <v>316</v>
      </c>
    </row>
    <row r="42760">
      <c r="A42760" s="17"/>
      <c r="H42760" s="18"/>
      <c r="K42760" s="18" t="s">
        <v>316</v>
      </c>
    </row>
    <row r="42761">
      <c r="A42761" s="17"/>
      <c r="H42761" s="18"/>
      <c r="K42761" s="18" t="s">
        <v>316</v>
      </c>
    </row>
    <row r="42762">
      <c r="A42762" s="17"/>
      <c r="H42762" s="18"/>
      <c r="K42762" s="18" t="s">
        <v>316</v>
      </c>
    </row>
    <row r="42763">
      <c r="A42763" s="17"/>
      <c r="H42763" s="18"/>
      <c r="K42763" s="18" t="s">
        <v>316</v>
      </c>
    </row>
    <row r="42764">
      <c r="A42764" s="17"/>
      <c r="H42764" s="18"/>
      <c r="K42764" s="18" t="s">
        <v>316</v>
      </c>
    </row>
    <row r="42765">
      <c r="A42765" s="17"/>
      <c r="H42765" s="18"/>
      <c r="K42765" s="18" t="s">
        <v>316</v>
      </c>
    </row>
    <row r="42766">
      <c r="A42766" s="17"/>
      <c r="H42766" s="18"/>
      <c r="K42766" s="18" t="s">
        <v>316</v>
      </c>
    </row>
    <row r="42767">
      <c r="A42767" s="17"/>
      <c r="H42767" s="18"/>
      <c r="K42767" s="18" t="s">
        <v>316</v>
      </c>
    </row>
    <row r="42768">
      <c r="A42768" s="17"/>
      <c r="H42768" s="18"/>
      <c r="K42768" s="18" t="s">
        <v>316</v>
      </c>
    </row>
    <row r="42769">
      <c r="A42769" s="17"/>
      <c r="H42769" s="18"/>
      <c r="K42769" s="18" t="s">
        <v>316</v>
      </c>
    </row>
    <row r="42770">
      <c r="A42770" s="17"/>
      <c r="H42770" s="18"/>
      <c r="K42770" s="18" t="s">
        <v>316</v>
      </c>
    </row>
    <row r="42771">
      <c r="A42771" s="17"/>
      <c r="H42771" s="18"/>
      <c r="K42771" s="18" t="s">
        <v>316</v>
      </c>
    </row>
    <row r="42772">
      <c r="A42772" s="17"/>
      <c r="H42772" s="18"/>
      <c r="K42772" s="18" t="s">
        <v>316</v>
      </c>
    </row>
    <row r="42773">
      <c r="A42773" s="17"/>
      <c r="H42773" s="18"/>
      <c r="K42773" s="18" t="s">
        <v>316</v>
      </c>
    </row>
    <row r="42774">
      <c r="A42774" s="17"/>
      <c r="H42774" s="18"/>
      <c r="K42774" s="18" t="s">
        <v>316</v>
      </c>
    </row>
    <row r="42775">
      <c r="A42775" s="17"/>
      <c r="H42775" s="18"/>
      <c r="K42775" s="18" t="s">
        <v>316</v>
      </c>
    </row>
    <row r="42776">
      <c r="A42776" s="17"/>
      <c r="H42776" s="18"/>
      <c r="K42776" s="18" t="s">
        <v>316</v>
      </c>
    </row>
    <row r="42777">
      <c r="A42777" s="17"/>
      <c r="H42777" s="18"/>
      <c r="K42777" s="18" t="s">
        <v>316</v>
      </c>
    </row>
    <row r="42778">
      <c r="A42778" s="17"/>
      <c r="H42778" s="18"/>
      <c r="K42778" s="18" t="s">
        <v>316</v>
      </c>
    </row>
    <row r="42779">
      <c r="A42779" s="17"/>
      <c r="H42779" s="18"/>
      <c r="K42779" s="18" t="s">
        <v>316</v>
      </c>
    </row>
    <row r="42780">
      <c r="A42780" s="17"/>
      <c r="H42780" s="18"/>
      <c r="K42780" s="18" t="s">
        <v>316</v>
      </c>
    </row>
    <row r="42781">
      <c r="A42781" s="17"/>
      <c r="H42781" s="18"/>
      <c r="K42781" s="18" t="s">
        <v>316</v>
      </c>
    </row>
    <row r="42782">
      <c r="A42782" s="17"/>
      <c r="H42782" s="18"/>
      <c r="K42782" s="18" t="s">
        <v>316</v>
      </c>
    </row>
    <row r="42783">
      <c r="A42783" s="17"/>
      <c r="H42783" s="18"/>
      <c r="K42783" s="18" t="s">
        <v>316</v>
      </c>
    </row>
    <row r="42784">
      <c r="A42784" s="17"/>
      <c r="H42784" s="18"/>
      <c r="K42784" s="18" t="s">
        <v>316</v>
      </c>
    </row>
    <row r="42785">
      <c r="A42785" s="17"/>
      <c r="H42785" s="18"/>
      <c r="K42785" s="18" t="s">
        <v>316</v>
      </c>
    </row>
    <row r="42786">
      <c r="A42786" s="17"/>
      <c r="H42786" s="18"/>
      <c r="K42786" s="18" t="s">
        <v>316</v>
      </c>
    </row>
    <row r="42787">
      <c r="A42787" s="17"/>
      <c r="H42787" s="18"/>
      <c r="K42787" s="18" t="s">
        <v>316</v>
      </c>
    </row>
    <row r="42788">
      <c r="A42788" s="17"/>
      <c r="H42788" s="18"/>
      <c r="K42788" s="18" t="s">
        <v>316</v>
      </c>
    </row>
    <row r="42789">
      <c r="A42789" s="17"/>
      <c r="H42789" s="18"/>
      <c r="K42789" s="18" t="s">
        <v>316</v>
      </c>
    </row>
    <row r="42790">
      <c r="A42790" s="17"/>
      <c r="H42790" s="18"/>
      <c r="K42790" s="18" t="s">
        <v>316</v>
      </c>
    </row>
    <row r="42791">
      <c r="A42791" s="17"/>
      <c r="H42791" s="18"/>
      <c r="K42791" s="18" t="s">
        <v>316</v>
      </c>
    </row>
    <row r="42792">
      <c r="A42792" s="17"/>
      <c r="H42792" s="18"/>
      <c r="K42792" s="18" t="s">
        <v>316</v>
      </c>
    </row>
    <row r="42793">
      <c r="A42793" s="17"/>
      <c r="H42793" s="18"/>
      <c r="K42793" s="18" t="s">
        <v>316</v>
      </c>
    </row>
    <row r="42794">
      <c r="A42794" s="17"/>
      <c r="H42794" s="18"/>
      <c r="K42794" s="18" t="s">
        <v>316</v>
      </c>
    </row>
    <row r="42795">
      <c r="A42795" s="17"/>
      <c r="H42795" s="18"/>
      <c r="K42795" s="18" t="s">
        <v>316</v>
      </c>
    </row>
    <row r="42796">
      <c r="A42796" s="17"/>
      <c r="H42796" s="18"/>
      <c r="K42796" s="18" t="s">
        <v>316</v>
      </c>
    </row>
    <row r="42797">
      <c r="A42797" s="17"/>
      <c r="H42797" s="18"/>
      <c r="K42797" s="18" t="s">
        <v>316</v>
      </c>
    </row>
    <row r="42798">
      <c r="A42798" s="17"/>
      <c r="H42798" s="18"/>
      <c r="K42798" s="18" t="s">
        <v>316</v>
      </c>
    </row>
    <row r="42799">
      <c r="A42799" s="17"/>
      <c r="H42799" s="18"/>
      <c r="K42799" s="18" t="s">
        <v>316</v>
      </c>
    </row>
    <row r="42800">
      <c r="A42800" s="17"/>
      <c r="H42800" s="18"/>
      <c r="K42800" s="18" t="s">
        <v>316</v>
      </c>
    </row>
    <row r="42801">
      <c r="A42801" s="17"/>
      <c r="H42801" s="18"/>
      <c r="K42801" s="18" t="s">
        <v>316</v>
      </c>
    </row>
    <row r="42802">
      <c r="A42802" s="17"/>
      <c r="H42802" s="18"/>
      <c r="K42802" s="18" t="s">
        <v>316</v>
      </c>
    </row>
    <row r="42803">
      <c r="A42803" s="17"/>
      <c r="H42803" s="18"/>
      <c r="K42803" s="18" t="s">
        <v>316</v>
      </c>
    </row>
    <row r="42804">
      <c r="A42804" s="17"/>
      <c r="H42804" s="18"/>
      <c r="K42804" s="18" t="s">
        <v>316</v>
      </c>
    </row>
    <row r="42805">
      <c r="A42805" s="17"/>
      <c r="H42805" s="18"/>
      <c r="K42805" s="18" t="s">
        <v>316</v>
      </c>
    </row>
    <row r="42806">
      <c r="A42806" s="17"/>
      <c r="H42806" s="18"/>
      <c r="K42806" s="18" t="s">
        <v>316</v>
      </c>
    </row>
    <row r="42807">
      <c r="A42807" s="17"/>
      <c r="H42807" s="18"/>
      <c r="K42807" s="18" t="s">
        <v>316</v>
      </c>
    </row>
    <row r="42808">
      <c r="A42808" s="17"/>
      <c r="H42808" s="18"/>
      <c r="K42808" s="18" t="s">
        <v>316</v>
      </c>
    </row>
    <row r="42809">
      <c r="A42809" s="17"/>
      <c r="H42809" s="18"/>
      <c r="K42809" s="18" t="s">
        <v>316</v>
      </c>
    </row>
    <row r="42810">
      <c r="A42810" s="17"/>
      <c r="H42810" s="18"/>
      <c r="K42810" s="18" t="s">
        <v>316</v>
      </c>
    </row>
    <row r="42811">
      <c r="A42811" s="17"/>
      <c r="H42811" s="18"/>
      <c r="K42811" s="18" t="s">
        <v>316</v>
      </c>
    </row>
    <row r="42812">
      <c r="A42812" s="17"/>
      <c r="H42812" s="18"/>
      <c r="K42812" s="18" t="s">
        <v>316</v>
      </c>
    </row>
    <row r="42813">
      <c r="A42813" s="17"/>
      <c r="H42813" s="18"/>
      <c r="K42813" s="18" t="s">
        <v>316</v>
      </c>
    </row>
    <row r="42814">
      <c r="A42814" s="17"/>
      <c r="H42814" s="18"/>
      <c r="K42814" s="18" t="s">
        <v>316</v>
      </c>
    </row>
    <row r="42815">
      <c r="A42815" s="17"/>
      <c r="H42815" s="18"/>
      <c r="K42815" s="18" t="s">
        <v>316</v>
      </c>
    </row>
    <row r="42816">
      <c r="A42816" s="17"/>
      <c r="H42816" s="18"/>
      <c r="K42816" s="18" t="s">
        <v>316</v>
      </c>
    </row>
    <row r="42817">
      <c r="A42817" s="17"/>
      <c r="H42817" s="18"/>
      <c r="K42817" s="18" t="s">
        <v>316</v>
      </c>
    </row>
    <row r="42818">
      <c r="A42818" s="17"/>
      <c r="H42818" s="18"/>
      <c r="K42818" s="18" t="s">
        <v>316</v>
      </c>
    </row>
    <row r="42819">
      <c r="A42819" s="17"/>
      <c r="H42819" s="18"/>
      <c r="K42819" s="18" t="s">
        <v>316</v>
      </c>
    </row>
    <row r="42820">
      <c r="A42820" s="17"/>
      <c r="H42820" s="18"/>
      <c r="K42820" s="18" t="s">
        <v>316</v>
      </c>
    </row>
    <row r="42821">
      <c r="A42821" s="17"/>
      <c r="H42821" s="18"/>
      <c r="K42821" s="18" t="s">
        <v>316</v>
      </c>
    </row>
    <row r="42822">
      <c r="A42822" s="17"/>
      <c r="H42822" s="18"/>
      <c r="K42822" s="18" t="s">
        <v>316</v>
      </c>
    </row>
    <row r="42823">
      <c r="A42823" s="17"/>
      <c r="H42823" s="18"/>
      <c r="K42823" s="18" t="s">
        <v>316</v>
      </c>
    </row>
    <row r="42824">
      <c r="A42824" s="17"/>
      <c r="H42824" s="18"/>
      <c r="K42824" s="18" t="s">
        <v>316</v>
      </c>
    </row>
    <row r="42825">
      <c r="A42825" s="17"/>
      <c r="H42825" s="18"/>
      <c r="K42825" s="18" t="s">
        <v>316</v>
      </c>
    </row>
    <row r="42826">
      <c r="A42826" s="17"/>
      <c r="H42826" s="18"/>
      <c r="K42826" s="18" t="s">
        <v>316</v>
      </c>
    </row>
    <row r="42827">
      <c r="A42827" s="17"/>
      <c r="H42827" s="18"/>
      <c r="K42827" s="18" t="s">
        <v>316</v>
      </c>
    </row>
    <row r="42828">
      <c r="A42828" s="17"/>
      <c r="H42828" s="18"/>
      <c r="K42828" s="18" t="s">
        <v>316</v>
      </c>
    </row>
    <row r="42829">
      <c r="A42829" s="17"/>
      <c r="H42829" s="18"/>
      <c r="K42829" s="18" t="s">
        <v>316</v>
      </c>
    </row>
    <row r="42830">
      <c r="A42830" s="17"/>
      <c r="H42830" s="18"/>
      <c r="K42830" s="18" t="s">
        <v>316</v>
      </c>
    </row>
    <row r="42831">
      <c r="A42831" s="17"/>
      <c r="H42831" s="18"/>
      <c r="K42831" s="18" t="s">
        <v>316</v>
      </c>
    </row>
    <row r="42832">
      <c r="A42832" s="17"/>
      <c r="H42832" s="18"/>
      <c r="K42832" s="18" t="s">
        <v>316</v>
      </c>
    </row>
    <row r="42833">
      <c r="A42833" s="17"/>
      <c r="H42833" s="18"/>
      <c r="K42833" s="18" t="s">
        <v>316</v>
      </c>
    </row>
    <row r="42834">
      <c r="A42834" s="17"/>
      <c r="H42834" s="18"/>
      <c r="K42834" s="18" t="s">
        <v>316</v>
      </c>
    </row>
    <row r="42835">
      <c r="A42835" s="17"/>
      <c r="H42835" s="18"/>
      <c r="K42835" s="18" t="s">
        <v>316</v>
      </c>
    </row>
    <row r="42836">
      <c r="A42836" s="17"/>
      <c r="H42836" s="18"/>
      <c r="K42836" s="18" t="s">
        <v>316</v>
      </c>
    </row>
    <row r="42837">
      <c r="A42837" s="17"/>
      <c r="H42837" s="18"/>
      <c r="K42837" s="18" t="s">
        <v>316</v>
      </c>
    </row>
    <row r="42838">
      <c r="A42838" s="17"/>
      <c r="H42838" s="18"/>
      <c r="K42838" s="18" t="s">
        <v>316</v>
      </c>
    </row>
    <row r="42839">
      <c r="A42839" s="17"/>
      <c r="H42839" s="18"/>
      <c r="K42839" s="18" t="s">
        <v>316</v>
      </c>
    </row>
    <row r="42840">
      <c r="A42840" s="17"/>
      <c r="H42840" s="18"/>
      <c r="K42840" s="18" t="s">
        <v>316</v>
      </c>
    </row>
    <row r="42841">
      <c r="A42841" s="17"/>
      <c r="H42841" s="18"/>
      <c r="K42841" s="18" t="s">
        <v>316</v>
      </c>
    </row>
    <row r="42842">
      <c r="A42842" s="17"/>
      <c r="H42842" s="18"/>
      <c r="K42842" s="18" t="s">
        <v>316</v>
      </c>
    </row>
    <row r="42843">
      <c r="A42843" s="17"/>
      <c r="H42843" s="18"/>
      <c r="K42843" s="18" t="s">
        <v>316</v>
      </c>
    </row>
    <row r="42844">
      <c r="A42844" s="17"/>
      <c r="H42844" s="18"/>
      <c r="K42844" s="18" t="s">
        <v>316</v>
      </c>
    </row>
    <row r="42845">
      <c r="A42845" s="17"/>
      <c r="H42845" s="18"/>
      <c r="K42845" s="18" t="s">
        <v>316</v>
      </c>
    </row>
    <row r="42846">
      <c r="A42846" s="17"/>
      <c r="H42846" s="18"/>
      <c r="K42846" s="18" t="s">
        <v>316</v>
      </c>
    </row>
    <row r="42847">
      <c r="A42847" s="17"/>
      <c r="H42847" s="18"/>
      <c r="K42847" s="18" t="s">
        <v>316</v>
      </c>
    </row>
    <row r="42848">
      <c r="A42848" s="17"/>
      <c r="H42848" s="18"/>
      <c r="K42848" s="18" t="s">
        <v>316</v>
      </c>
    </row>
    <row r="42849">
      <c r="A42849" s="17"/>
      <c r="H42849" s="18"/>
      <c r="K42849" s="18" t="s">
        <v>316</v>
      </c>
    </row>
    <row r="42850">
      <c r="A42850" s="17"/>
      <c r="H42850" s="18"/>
      <c r="K42850" s="18" t="s">
        <v>316</v>
      </c>
    </row>
    <row r="42851">
      <c r="A42851" s="17"/>
      <c r="H42851" s="18"/>
      <c r="K42851" s="18" t="s">
        <v>316</v>
      </c>
    </row>
    <row r="42852">
      <c r="A42852" s="17"/>
      <c r="H42852" s="18"/>
      <c r="K42852" s="18" t="s">
        <v>316</v>
      </c>
    </row>
    <row r="42853">
      <c r="A42853" s="17"/>
      <c r="H42853" s="18"/>
      <c r="K42853" s="18" t="s">
        <v>316</v>
      </c>
    </row>
    <row r="42854">
      <c r="A42854" s="17"/>
      <c r="H42854" s="18"/>
      <c r="K42854" s="18" t="s">
        <v>316</v>
      </c>
    </row>
    <row r="42855">
      <c r="A42855" s="17"/>
      <c r="H42855" s="18"/>
      <c r="K42855" s="18" t="s">
        <v>316</v>
      </c>
    </row>
    <row r="42856">
      <c r="A42856" s="17"/>
      <c r="H42856" s="18"/>
      <c r="K42856" s="18" t="s">
        <v>316</v>
      </c>
    </row>
    <row r="42857">
      <c r="A42857" s="17"/>
      <c r="H42857" s="18"/>
      <c r="K42857" s="18" t="s">
        <v>316</v>
      </c>
    </row>
    <row r="42858">
      <c r="A42858" s="17"/>
      <c r="H42858" s="18"/>
      <c r="K42858" s="18" t="s">
        <v>316</v>
      </c>
    </row>
    <row r="42859">
      <c r="A42859" s="17"/>
      <c r="H42859" s="18"/>
      <c r="K42859" s="18" t="s">
        <v>316</v>
      </c>
    </row>
    <row r="42860">
      <c r="A42860" s="17"/>
      <c r="H42860" s="18"/>
      <c r="K42860" s="18" t="s">
        <v>316</v>
      </c>
    </row>
    <row r="42861">
      <c r="A42861" s="17"/>
      <c r="H42861" s="18"/>
      <c r="K42861" s="18" t="s">
        <v>316</v>
      </c>
    </row>
    <row r="42862">
      <c r="A42862" s="17"/>
      <c r="H42862" s="18"/>
      <c r="K42862" s="18" t="s">
        <v>316</v>
      </c>
    </row>
    <row r="42863">
      <c r="A42863" s="17"/>
      <c r="H42863" s="18"/>
      <c r="K42863" s="18" t="s">
        <v>316</v>
      </c>
    </row>
    <row r="42864">
      <c r="A42864" s="17"/>
      <c r="H42864" s="18"/>
      <c r="K42864" s="18" t="s">
        <v>316</v>
      </c>
    </row>
    <row r="42865">
      <c r="A42865" s="17"/>
      <c r="H42865" s="18"/>
      <c r="K42865" s="18" t="s">
        <v>316</v>
      </c>
    </row>
    <row r="42866">
      <c r="A42866" s="17"/>
      <c r="H42866" s="18"/>
      <c r="K42866" s="18" t="s">
        <v>316</v>
      </c>
    </row>
    <row r="42867">
      <c r="A42867" s="17"/>
      <c r="H42867" s="18"/>
      <c r="K42867" s="18" t="s">
        <v>316</v>
      </c>
    </row>
    <row r="42868">
      <c r="A42868" s="17"/>
      <c r="H42868" s="18"/>
      <c r="K42868" s="18" t="s">
        <v>316</v>
      </c>
    </row>
    <row r="42869">
      <c r="A42869" s="17"/>
      <c r="H42869" s="18"/>
      <c r="K42869" s="18" t="s">
        <v>316</v>
      </c>
    </row>
    <row r="42870">
      <c r="A42870" s="17"/>
      <c r="H42870" s="18"/>
      <c r="K42870" s="18" t="s">
        <v>316</v>
      </c>
    </row>
    <row r="42871">
      <c r="A42871" s="17"/>
      <c r="H42871" s="18"/>
      <c r="K42871" s="18" t="s">
        <v>316</v>
      </c>
    </row>
    <row r="42872">
      <c r="A42872" s="17"/>
      <c r="H42872" s="18"/>
      <c r="K42872" s="18" t="s">
        <v>316</v>
      </c>
    </row>
    <row r="42873">
      <c r="A42873" s="17"/>
      <c r="H42873" s="18"/>
      <c r="K42873" s="18" t="s">
        <v>316</v>
      </c>
    </row>
    <row r="42874">
      <c r="A42874" s="17"/>
      <c r="H42874" s="18"/>
      <c r="K42874" s="18" t="s">
        <v>316</v>
      </c>
    </row>
    <row r="42875">
      <c r="A42875" s="17"/>
      <c r="H42875" s="18"/>
      <c r="K42875" s="18" t="s">
        <v>316</v>
      </c>
    </row>
    <row r="42876">
      <c r="A42876" s="17"/>
      <c r="H42876" s="18"/>
      <c r="K42876" s="18" t="s">
        <v>316</v>
      </c>
    </row>
    <row r="42877">
      <c r="A42877" s="17"/>
      <c r="H42877" s="18"/>
      <c r="K42877" s="18" t="s">
        <v>316</v>
      </c>
    </row>
    <row r="42878">
      <c r="A42878" s="17"/>
      <c r="H42878" s="18"/>
      <c r="K42878" s="18" t="s">
        <v>316</v>
      </c>
    </row>
    <row r="42879">
      <c r="A42879" s="17"/>
      <c r="H42879" s="18"/>
      <c r="K42879" s="18" t="s">
        <v>316</v>
      </c>
    </row>
    <row r="42880">
      <c r="A42880" s="17"/>
      <c r="H42880" s="18"/>
      <c r="K42880" s="18" t="s">
        <v>316</v>
      </c>
    </row>
    <row r="42881">
      <c r="A42881" s="17"/>
      <c r="H42881" s="18"/>
      <c r="K42881" s="18" t="s">
        <v>316</v>
      </c>
    </row>
    <row r="42882">
      <c r="A42882" s="17"/>
      <c r="H42882" s="18"/>
      <c r="K42882" s="18" t="s">
        <v>316</v>
      </c>
    </row>
    <row r="42883">
      <c r="A42883" s="17"/>
      <c r="H42883" s="18"/>
      <c r="K42883" s="18" t="s">
        <v>316</v>
      </c>
    </row>
    <row r="42884">
      <c r="A42884" s="17"/>
      <c r="H42884" s="18"/>
      <c r="K42884" s="18" t="s">
        <v>316</v>
      </c>
    </row>
    <row r="42885">
      <c r="A42885" s="17"/>
      <c r="H42885" s="18"/>
      <c r="K42885" s="18" t="s">
        <v>316</v>
      </c>
    </row>
    <row r="42886">
      <c r="A42886" s="17"/>
      <c r="H42886" s="18"/>
      <c r="K42886" s="18" t="s">
        <v>316</v>
      </c>
    </row>
    <row r="42887">
      <c r="A42887" s="17"/>
      <c r="H42887" s="18"/>
      <c r="K42887" s="18" t="s">
        <v>316</v>
      </c>
    </row>
    <row r="42888">
      <c r="A42888" s="17"/>
      <c r="H42888" s="18"/>
      <c r="K42888" s="18" t="s">
        <v>316</v>
      </c>
    </row>
    <row r="42889">
      <c r="A42889" s="17"/>
      <c r="H42889" s="18"/>
      <c r="K42889" s="18" t="s">
        <v>316</v>
      </c>
    </row>
    <row r="42890">
      <c r="A42890" s="17"/>
      <c r="H42890" s="18"/>
      <c r="K42890" s="18" t="s">
        <v>316</v>
      </c>
    </row>
    <row r="42891">
      <c r="A42891" s="17"/>
      <c r="H42891" s="18"/>
      <c r="K42891" s="18" t="s">
        <v>316</v>
      </c>
    </row>
    <row r="42892">
      <c r="A42892" s="17"/>
      <c r="H42892" s="18"/>
      <c r="K42892" s="18" t="s">
        <v>316</v>
      </c>
    </row>
    <row r="42893">
      <c r="A42893" s="17"/>
      <c r="H42893" s="18"/>
      <c r="K42893" s="18" t="s">
        <v>316</v>
      </c>
    </row>
    <row r="42894">
      <c r="A42894" s="17"/>
      <c r="H42894" s="18"/>
      <c r="K42894" s="18" t="s">
        <v>316</v>
      </c>
    </row>
    <row r="42895">
      <c r="A42895" s="17"/>
      <c r="H42895" s="18"/>
      <c r="K42895" s="18" t="s">
        <v>316</v>
      </c>
    </row>
    <row r="42896">
      <c r="A42896" s="17"/>
      <c r="H42896" s="18"/>
      <c r="K42896" s="18" t="s">
        <v>316</v>
      </c>
    </row>
    <row r="42897">
      <c r="A42897" s="17"/>
      <c r="H42897" s="18"/>
      <c r="K42897" s="18" t="s">
        <v>316</v>
      </c>
    </row>
    <row r="42898">
      <c r="A42898" s="17"/>
      <c r="H42898" s="18"/>
      <c r="K42898" s="18" t="s">
        <v>316</v>
      </c>
    </row>
    <row r="42899">
      <c r="A42899" s="17"/>
      <c r="H42899" s="18"/>
      <c r="K42899" s="18" t="s">
        <v>316</v>
      </c>
    </row>
    <row r="42900">
      <c r="A42900" s="17"/>
      <c r="H42900" s="18"/>
      <c r="K42900" s="18" t="s">
        <v>316</v>
      </c>
    </row>
    <row r="42901">
      <c r="A42901" s="17"/>
      <c r="H42901" s="18"/>
      <c r="K42901" s="18" t="s">
        <v>316</v>
      </c>
    </row>
    <row r="42902">
      <c r="A42902" s="17"/>
      <c r="H42902" s="18"/>
      <c r="K42902" s="18" t="s">
        <v>316</v>
      </c>
    </row>
    <row r="42903">
      <c r="A42903" s="17"/>
      <c r="H42903" s="18"/>
      <c r="K42903" s="18" t="s">
        <v>316</v>
      </c>
    </row>
    <row r="42904">
      <c r="A42904" s="17"/>
      <c r="H42904" s="18"/>
      <c r="K42904" s="18" t="s">
        <v>316</v>
      </c>
    </row>
    <row r="42905">
      <c r="A42905" s="17"/>
      <c r="H42905" s="18"/>
      <c r="K42905" s="18" t="s">
        <v>316</v>
      </c>
    </row>
    <row r="42906">
      <c r="A42906" s="17"/>
      <c r="H42906" s="18"/>
      <c r="K42906" s="18" t="s">
        <v>316</v>
      </c>
    </row>
    <row r="42907">
      <c r="A42907" s="17"/>
      <c r="H42907" s="18"/>
      <c r="K42907" s="18" t="s">
        <v>316</v>
      </c>
    </row>
    <row r="42908">
      <c r="A42908" s="17"/>
      <c r="H42908" s="18"/>
      <c r="K42908" s="18" t="s">
        <v>316</v>
      </c>
    </row>
    <row r="42909">
      <c r="A42909" s="17"/>
      <c r="H42909" s="18"/>
      <c r="K42909" s="18" t="s">
        <v>316</v>
      </c>
    </row>
    <row r="42910">
      <c r="A42910" s="17"/>
      <c r="H42910" s="18"/>
      <c r="K42910" s="18" t="s">
        <v>316</v>
      </c>
    </row>
    <row r="42911">
      <c r="A42911" s="17"/>
      <c r="H42911" s="18"/>
      <c r="K42911" s="18" t="s">
        <v>316</v>
      </c>
    </row>
    <row r="42912">
      <c r="A42912" s="17"/>
      <c r="H42912" s="18"/>
      <c r="K42912" s="18" t="s">
        <v>316</v>
      </c>
    </row>
    <row r="42913">
      <c r="A42913" s="17"/>
      <c r="H42913" s="18"/>
      <c r="K42913" s="18" t="s">
        <v>316</v>
      </c>
    </row>
    <row r="42914">
      <c r="A42914" s="17"/>
      <c r="H42914" s="18"/>
      <c r="K42914" s="18" t="s">
        <v>316</v>
      </c>
    </row>
    <row r="42915">
      <c r="A42915" s="17"/>
      <c r="H42915" s="18"/>
      <c r="K42915" s="18" t="s">
        <v>316</v>
      </c>
    </row>
    <row r="42916">
      <c r="A42916" s="17"/>
      <c r="H42916" s="18"/>
      <c r="K42916" s="18" t="s">
        <v>316</v>
      </c>
    </row>
    <row r="42917">
      <c r="A42917" s="17"/>
      <c r="H42917" s="18"/>
      <c r="K42917" s="18" t="s">
        <v>316</v>
      </c>
    </row>
    <row r="42918">
      <c r="A42918" s="17"/>
      <c r="H42918" s="18"/>
      <c r="K42918" s="18" t="s">
        <v>316</v>
      </c>
    </row>
    <row r="42919">
      <c r="A42919" s="17"/>
      <c r="H42919" s="18"/>
      <c r="K42919" s="18" t="s">
        <v>316</v>
      </c>
    </row>
    <row r="42920">
      <c r="A42920" s="17"/>
      <c r="H42920" s="18"/>
      <c r="K42920" s="18" t="s">
        <v>316</v>
      </c>
    </row>
    <row r="42921">
      <c r="A42921" s="17"/>
      <c r="H42921" s="18"/>
      <c r="K42921" s="18" t="s">
        <v>316</v>
      </c>
    </row>
    <row r="42922">
      <c r="A42922" s="17"/>
      <c r="H42922" s="18"/>
      <c r="K42922" s="18" t="s">
        <v>316</v>
      </c>
    </row>
    <row r="42923">
      <c r="A42923" s="17"/>
      <c r="H42923" s="18"/>
      <c r="K42923" s="18" t="s">
        <v>316</v>
      </c>
    </row>
    <row r="42924">
      <c r="A42924" s="17"/>
      <c r="H42924" s="18"/>
      <c r="K42924" s="18" t="s">
        <v>316</v>
      </c>
    </row>
    <row r="42925">
      <c r="A42925" s="17"/>
      <c r="H42925" s="18"/>
      <c r="K42925" s="18" t="s">
        <v>316</v>
      </c>
    </row>
    <row r="42926">
      <c r="A42926" s="17"/>
      <c r="H42926" s="18"/>
      <c r="K42926" s="18" t="s">
        <v>316</v>
      </c>
    </row>
    <row r="42927">
      <c r="A42927" s="17"/>
      <c r="H42927" s="18"/>
      <c r="K42927" s="18" t="s">
        <v>316</v>
      </c>
    </row>
    <row r="42928">
      <c r="A42928" s="17"/>
      <c r="H42928" s="18"/>
      <c r="K42928" s="18" t="s">
        <v>316</v>
      </c>
    </row>
    <row r="42929">
      <c r="A42929" s="17"/>
      <c r="H42929" s="18"/>
      <c r="K42929" s="18" t="s">
        <v>316</v>
      </c>
    </row>
    <row r="42930">
      <c r="A42930" s="17"/>
      <c r="H42930" s="18"/>
      <c r="K42930" s="18" t="s">
        <v>316</v>
      </c>
    </row>
    <row r="42931">
      <c r="A42931" s="17"/>
      <c r="H42931" s="18"/>
      <c r="K42931" s="18" t="s">
        <v>316</v>
      </c>
    </row>
    <row r="42932">
      <c r="A42932" s="17"/>
      <c r="H42932" s="18"/>
      <c r="K42932" s="18" t="s">
        <v>316</v>
      </c>
    </row>
    <row r="42933">
      <c r="A42933" s="17"/>
      <c r="H42933" s="18"/>
      <c r="K42933" s="18" t="s">
        <v>316</v>
      </c>
    </row>
    <row r="42934">
      <c r="A42934" s="17"/>
      <c r="H42934" s="18"/>
      <c r="K42934" s="18" t="s">
        <v>316</v>
      </c>
    </row>
    <row r="42935">
      <c r="A42935" s="17"/>
      <c r="H42935" s="18"/>
      <c r="K42935" s="18" t="s">
        <v>316</v>
      </c>
    </row>
    <row r="42936">
      <c r="A42936" s="17"/>
      <c r="H42936" s="18"/>
      <c r="K42936" s="18" t="s">
        <v>316</v>
      </c>
    </row>
    <row r="42937">
      <c r="A42937" s="17"/>
      <c r="H42937" s="18"/>
      <c r="K42937" s="18" t="s">
        <v>316</v>
      </c>
    </row>
    <row r="42938">
      <c r="A42938" s="17"/>
      <c r="H42938" s="18"/>
      <c r="K42938" s="18" t="s">
        <v>316</v>
      </c>
    </row>
    <row r="42939">
      <c r="A42939" s="17"/>
      <c r="H42939" s="18"/>
      <c r="K42939" s="18" t="s">
        <v>316</v>
      </c>
    </row>
    <row r="42940">
      <c r="A42940" s="17"/>
      <c r="H42940" s="18"/>
      <c r="K42940" s="18" t="s">
        <v>316</v>
      </c>
    </row>
    <row r="42941">
      <c r="A42941" s="17"/>
      <c r="H42941" s="18"/>
      <c r="K42941" s="18" t="s">
        <v>316</v>
      </c>
    </row>
    <row r="42942">
      <c r="A42942" s="17"/>
      <c r="H42942" s="18"/>
      <c r="K42942" s="18" t="s">
        <v>316</v>
      </c>
    </row>
    <row r="42943">
      <c r="A42943" s="17"/>
      <c r="H42943" s="18"/>
      <c r="K42943" s="18" t="s">
        <v>316</v>
      </c>
    </row>
    <row r="42944">
      <c r="A42944" s="17"/>
      <c r="H42944" s="18"/>
      <c r="K42944" s="18" t="s">
        <v>316</v>
      </c>
    </row>
    <row r="42945">
      <c r="A42945" s="17"/>
      <c r="H42945" s="18"/>
      <c r="K42945" s="18" t="s">
        <v>316</v>
      </c>
    </row>
    <row r="42946">
      <c r="A42946" s="17"/>
      <c r="H42946" s="18"/>
      <c r="K42946" s="18" t="s">
        <v>316</v>
      </c>
    </row>
    <row r="42947">
      <c r="A42947" s="17"/>
      <c r="H42947" s="18"/>
      <c r="K42947" s="18" t="s">
        <v>316</v>
      </c>
    </row>
    <row r="42948">
      <c r="A42948" s="17"/>
      <c r="H42948" s="18"/>
      <c r="K42948" s="18" t="s">
        <v>316</v>
      </c>
    </row>
    <row r="42949">
      <c r="A42949" s="17"/>
      <c r="H42949" s="18"/>
      <c r="K42949" s="18" t="s">
        <v>316</v>
      </c>
    </row>
    <row r="42950">
      <c r="A42950" s="17"/>
      <c r="H42950" s="18"/>
      <c r="K42950" s="18" t="s">
        <v>316</v>
      </c>
    </row>
    <row r="42951">
      <c r="A42951" s="17"/>
      <c r="H42951" s="18"/>
      <c r="K42951" s="18" t="s">
        <v>316</v>
      </c>
    </row>
    <row r="42952">
      <c r="A42952" s="17"/>
      <c r="H42952" s="18"/>
      <c r="K42952" s="18" t="s">
        <v>316</v>
      </c>
    </row>
    <row r="42953">
      <c r="A42953" s="17"/>
      <c r="H42953" s="18"/>
      <c r="K42953" s="18" t="s">
        <v>316</v>
      </c>
    </row>
    <row r="42954">
      <c r="A42954" s="17"/>
      <c r="H42954" s="18"/>
      <c r="K42954" s="18" t="s">
        <v>316</v>
      </c>
    </row>
    <row r="42955">
      <c r="A42955" s="17"/>
      <c r="H42955" s="18"/>
      <c r="K42955" s="18" t="s">
        <v>316</v>
      </c>
    </row>
    <row r="42956">
      <c r="A42956" s="17"/>
      <c r="H42956" s="18"/>
      <c r="K42956" s="18" t="s">
        <v>316</v>
      </c>
    </row>
    <row r="42957">
      <c r="A42957" s="17"/>
      <c r="H42957" s="18"/>
      <c r="K42957" s="18" t="s">
        <v>316</v>
      </c>
    </row>
    <row r="42958">
      <c r="A42958" s="17"/>
      <c r="H42958" s="18"/>
      <c r="K42958" s="18" t="s">
        <v>316</v>
      </c>
    </row>
    <row r="42959">
      <c r="A42959" s="17"/>
      <c r="H42959" s="18"/>
      <c r="K42959" s="18" t="s">
        <v>316</v>
      </c>
    </row>
    <row r="42960">
      <c r="A42960" s="17"/>
      <c r="H42960" s="18"/>
      <c r="K42960" s="18" t="s">
        <v>316</v>
      </c>
    </row>
    <row r="42961">
      <c r="A42961" s="17"/>
      <c r="H42961" s="18"/>
      <c r="K42961" s="18" t="s">
        <v>316</v>
      </c>
    </row>
    <row r="42962">
      <c r="A42962" s="17"/>
      <c r="H42962" s="18"/>
      <c r="K42962" s="18" t="s">
        <v>316</v>
      </c>
    </row>
    <row r="42963">
      <c r="A42963" s="17"/>
      <c r="H42963" s="18"/>
      <c r="K42963" s="18" t="s">
        <v>316</v>
      </c>
    </row>
    <row r="42964">
      <c r="A42964" s="17"/>
      <c r="H42964" s="18"/>
      <c r="K42964" s="18" t="s">
        <v>316</v>
      </c>
    </row>
    <row r="42965">
      <c r="A42965" s="17"/>
      <c r="H42965" s="18"/>
      <c r="K42965" s="18" t="s">
        <v>316</v>
      </c>
    </row>
    <row r="42966">
      <c r="A42966" s="17"/>
      <c r="H42966" s="18"/>
      <c r="K42966" s="18" t="s">
        <v>316</v>
      </c>
    </row>
    <row r="42967">
      <c r="A42967" s="17"/>
      <c r="H42967" s="18"/>
      <c r="K42967" s="18" t="s">
        <v>316</v>
      </c>
    </row>
    <row r="42968">
      <c r="A42968" s="17"/>
      <c r="H42968" s="18"/>
      <c r="K42968" s="18" t="s">
        <v>316</v>
      </c>
    </row>
    <row r="42969">
      <c r="A42969" s="17"/>
      <c r="H42969" s="18"/>
      <c r="K42969" s="18" t="s">
        <v>316</v>
      </c>
    </row>
    <row r="42970">
      <c r="A42970" s="17"/>
      <c r="H42970" s="18"/>
      <c r="K42970" s="18" t="s">
        <v>316</v>
      </c>
    </row>
    <row r="42971">
      <c r="A42971" s="17"/>
      <c r="H42971" s="18"/>
      <c r="K42971" s="18" t="s">
        <v>316</v>
      </c>
    </row>
    <row r="42972">
      <c r="A42972" s="17"/>
      <c r="H42972" s="18"/>
      <c r="K42972" s="18" t="s">
        <v>316</v>
      </c>
    </row>
    <row r="42973">
      <c r="A42973" s="17"/>
      <c r="H42973" s="18"/>
      <c r="K42973" s="18" t="s">
        <v>316</v>
      </c>
    </row>
    <row r="42974">
      <c r="A42974" s="17"/>
      <c r="H42974" s="18"/>
      <c r="K42974" s="18" t="s">
        <v>316</v>
      </c>
    </row>
    <row r="42975">
      <c r="A42975" s="17"/>
      <c r="H42975" s="18"/>
      <c r="K42975" s="18" t="s">
        <v>316</v>
      </c>
    </row>
    <row r="42976">
      <c r="A42976" s="17"/>
      <c r="H42976" s="18"/>
      <c r="K42976" s="18" t="s">
        <v>316</v>
      </c>
    </row>
    <row r="42977">
      <c r="A42977" s="17"/>
      <c r="H42977" s="18"/>
      <c r="K42977" s="18" t="s">
        <v>316</v>
      </c>
    </row>
    <row r="42978">
      <c r="A42978" s="17"/>
      <c r="H42978" s="18"/>
      <c r="K42978" s="18" t="s">
        <v>316</v>
      </c>
    </row>
    <row r="42979">
      <c r="A42979" s="17"/>
      <c r="H42979" s="18"/>
      <c r="K42979" s="18" t="s">
        <v>316</v>
      </c>
    </row>
    <row r="42980">
      <c r="A42980" s="17"/>
      <c r="H42980" s="18"/>
      <c r="K42980" s="18" t="s">
        <v>316</v>
      </c>
    </row>
    <row r="42981">
      <c r="A42981" s="17"/>
      <c r="H42981" s="18"/>
      <c r="K42981" s="18" t="s">
        <v>316</v>
      </c>
    </row>
    <row r="42982">
      <c r="A42982" s="17"/>
      <c r="H42982" s="18"/>
      <c r="K42982" s="18" t="s">
        <v>316</v>
      </c>
    </row>
    <row r="42983">
      <c r="A42983" s="17"/>
      <c r="H42983" s="18"/>
      <c r="K42983" s="18" t="s">
        <v>316</v>
      </c>
    </row>
    <row r="42984">
      <c r="A42984" s="17"/>
      <c r="H42984" s="18"/>
      <c r="K42984" s="18" t="s">
        <v>316</v>
      </c>
    </row>
    <row r="42985">
      <c r="A42985" s="17"/>
      <c r="H42985" s="18"/>
      <c r="K42985" s="18" t="s">
        <v>316</v>
      </c>
    </row>
    <row r="42986">
      <c r="A42986" s="17"/>
      <c r="H42986" s="18"/>
      <c r="K42986" s="18" t="s">
        <v>316</v>
      </c>
    </row>
    <row r="42987">
      <c r="A42987" s="17"/>
      <c r="H42987" s="18"/>
      <c r="K42987" s="18" t="s">
        <v>316</v>
      </c>
    </row>
    <row r="42988">
      <c r="A42988" s="17"/>
      <c r="H42988" s="18"/>
      <c r="K42988" s="18" t="s">
        <v>316</v>
      </c>
    </row>
    <row r="42989">
      <c r="A42989" s="17"/>
      <c r="H42989" s="18"/>
      <c r="K42989" s="18" t="s">
        <v>316</v>
      </c>
    </row>
    <row r="42990">
      <c r="A42990" s="17"/>
      <c r="H42990" s="18"/>
      <c r="K42990" s="18" t="s">
        <v>316</v>
      </c>
    </row>
    <row r="42991">
      <c r="A42991" s="17"/>
      <c r="H42991" s="18"/>
      <c r="K42991" s="18" t="s">
        <v>316</v>
      </c>
    </row>
    <row r="42992">
      <c r="A42992" s="17"/>
      <c r="H42992" s="18"/>
      <c r="K42992" s="18" t="s">
        <v>316</v>
      </c>
    </row>
    <row r="42993">
      <c r="A42993" s="17"/>
      <c r="H42993" s="18"/>
      <c r="K42993" s="18" t="s">
        <v>316</v>
      </c>
    </row>
    <row r="42994">
      <c r="A42994" s="17"/>
      <c r="H42994" s="18"/>
      <c r="K42994" s="18" t="s">
        <v>316</v>
      </c>
    </row>
    <row r="42995">
      <c r="A42995" s="17"/>
      <c r="H42995" s="18"/>
      <c r="K42995" s="18" t="s">
        <v>316</v>
      </c>
    </row>
    <row r="42996">
      <c r="A42996" s="17"/>
      <c r="H42996" s="18"/>
      <c r="K42996" s="18" t="s">
        <v>316</v>
      </c>
    </row>
    <row r="42997">
      <c r="A42997" s="17"/>
      <c r="H42997" s="18"/>
      <c r="K42997" s="18" t="s">
        <v>316</v>
      </c>
    </row>
    <row r="42998">
      <c r="A42998" s="17"/>
      <c r="H42998" s="18"/>
      <c r="K42998" s="18" t="s">
        <v>316</v>
      </c>
    </row>
    <row r="42999">
      <c r="A42999" s="17"/>
      <c r="H42999" s="18"/>
      <c r="K42999" s="18" t="s">
        <v>316</v>
      </c>
    </row>
    <row r="43000">
      <c r="A43000" s="17"/>
      <c r="H43000" s="18"/>
      <c r="K43000" s="18" t="s">
        <v>316</v>
      </c>
    </row>
    <row r="43001">
      <c r="A43001" s="17"/>
      <c r="H43001" s="18"/>
      <c r="K43001" s="18" t="s">
        <v>316</v>
      </c>
    </row>
    <row r="43002">
      <c r="A43002" s="17"/>
      <c r="H43002" s="18"/>
      <c r="K43002" s="18" t="s">
        <v>316</v>
      </c>
    </row>
    <row r="43003">
      <c r="A43003" s="17"/>
      <c r="H43003" s="18"/>
      <c r="K43003" s="18" t="s">
        <v>316</v>
      </c>
    </row>
    <row r="43004">
      <c r="A43004" s="17"/>
      <c r="H43004" s="18"/>
      <c r="K43004" s="18" t="s">
        <v>316</v>
      </c>
    </row>
    <row r="43005">
      <c r="A43005" s="17"/>
      <c r="H43005" s="18"/>
      <c r="K43005" s="18" t="s">
        <v>316</v>
      </c>
    </row>
    <row r="43006">
      <c r="A43006" s="17"/>
      <c r="H43006" s="18"/>
      <c r="K43006" s="18" t="s">
        <v>316</v>
      </c>
    </row>
    <row r="43007">
      <c r="A43007" s="17"/>
      <c r="H43007" s="18"/>
      <c r="K43007" s="18" t="s">
        <v>316</v>
      </c>
    </row>
    <row r="43008">
      <c r="A43008" s="17"/>
      <c r="H43008" s="18"/>
      <c r="K43008" s="18" t="s">
        <v>316</v>
      </c>
    </row>
    <row r="43009">
      <c r="A43009" s="17"/>
      <c r="H43009" s="18"/>
      <c r="K43009" s="18" t="s">
        <v>316</v>
      </c>
    </row>
    <row r="43010">
      <c r="A43010" s="17"/>
      <c r="H43010" s="18"/>
      <c r="K43010" s="18" t="s">
        <v>316</v>
      </c>
    </row>
    <row r="43011">
      <c r="A43011" s="17"/>
      <c r="H43011" s="18"/>
      <c r="K43011" s="18" t="s">
        <v>316</v>
      </c>
    </row>
    <row r="43012">
      <c r="A43012" s="17"/>
      <c r="H43012" s="18"/>
      <c r="K43012" s="18" t="s">
        <v>316</v>
      </c>
    </row>
    <row r="43013">
      <c r="A43013" s="17"/>
      <c r="H43013" s="18"/>
      <c r="K43013" s="18" t="s">
        <v>316</v>
      </c>
    </row>
    <row r="43014">
      <c r="A43014" s="17"/>
      <c r="H43014" s="18"/>
      <c r="K43014" s="18" t="s">
        <v>316</v>
      </c>
    </row>
    <row r="43015">
      <c r="A43015" s="17"/>
      <c r="H43015" s="18"/>
      <c r="K43015" s="18" t="s">
        <v>316</v>
      </c>
    </row>
    <row r="43016">
      <c r="A43016" s="17"/>
      <c r="H43016" s="18"/>
      <c r="K43016" s="18" t="s">
        <v>316</v>
      </c>
    </row>
    <row r="43017">
      <c r="A43017" s="17"/>
      <c r="H43017" s="18"/>
      <c r="K43017" s="18" t="s">
        <v>316</v>
      </c>
    </row>
    <row r="43018">
      <c r="A43018" s="17"/>
      <c r="H43018" s="18"/>
      <c r="K43018" s="18" t="s">
        <v>316</v>
      </c>
    </row>
    <row r="43019">
      <c r="A43019" s="17"/>
      <c r="H43019" s="18"/>
      <c r="K43019" s="18" t="s">
        <v>316</v>
      </c>
    </row>
    <row r="43020">
      <c r="A43020" s="17"/>
      <c r="H43020" s="18"/>
      <c r="K43020" s="18" t="s">
        <v>316</v>
      </c>
    </row>
    <row r="43021">
      <c r="A43021" s="17"/>
      <c r="H43021" s="18"/>
      <c r="K43021" s="18" t="s">
        <v>316</v>
      </c>
    </row>
    <row r="43022">
      <c r="A43022" s="17"/>
      <c r="H43022" s="18"/>
      <c r="K43022" s="18" t="s">
        <v>316</v>
      </c>
    </row>
    <row r="43023">
      <c r="A43023" s="17"/>
      <c r="H43023" s="18"/>
      <c r="K43023" s="18" t="s">
        <v>316</v>
      </c>
    </row>
    <row r="43024">
      <c r="A43024" s="17"/>
      <c r="H43024" s="18"/>
      <c r="K43024" s="18" t="s">
        <v>316</v>
      </c>
    </row>
    <row r="43025">
      <c r="A43025" s="17"/>
      <c r="H43025" s="18"/>
      <c r="K43025" s="18" t="s">
        <v>316</v>
      </c>
    </row>
    <row r="43026">
      <c r="A43026" s="17"/>
      <c r="H43026" s="18"/>
      <c r="K43026" s="18" t="s">
        <v>316</v>
      </c>
    </row>
    <row r="43027">
      <c r="A43027" s="17"/>
      <c r="H43027" s="18"/>
      <c r="K43027" s="18" t="s">
        <v>316</v>
      </c>
    </row>
    <row r="43028">
      <c r="A43028" s="17"/>
      <c r="H43028" s="18"/>
      <c r="K43028" s="18" t="s">
        <v>316</v>
      </c>
    </row>
    <row r="43029">
      <c r="A43029" s="17"/>
      <c r="H43029" s="18"/>
      <c r="K43029" s="18" t="s">
        <v>316</v>
      </c>
    </row>
    <row r="43030">
      <c r="A43030" s="17"/>
      <c r="H43030" s="18"/>
      <c r="K43030" s="18" t="s">
        <v>316</v>
      </c>
    </row>
    <row r="43031">
      <c r="A43031" s="17"/>
      <c r="H43031" s="18"/>
      <c r="K43031" s="18" t="s">
        <v>316</v>
      </c>
    </row>
    <row r="43032">
      <c r="A43032" s="17"/>
      <c r="H43032" s="18"/>
      <c r="K43032" s="18" t="s">
        <v>316</v>
      </c>
    </row>
    <row r="43033">
      <c r="A43033" s="17"/>
      <c r="H43033" s="18"/>
      <c r="K43033" s="18" t="s">
        <v>316</v>
      </c>
    </row>
    <row r="43034">
      <c r="A43034" s="17"/>
      <c r="H43034" s="18"/>
      <c r="K43034" s="18" t="s">
        <v>316</v>
      </c>
    </row>
    <row r="43035">
      <c r="A43035" s="17"/>
      <c r="H43035" s="18"/>
      <c r="K43035" s="18" t="s">
        <v>316</v>
      </c>
    </row>
    <row r="43036">
      <c r="A43036" s="17"/>
      <c r="H43036" s="18"/>
      <c r="K43036" s="18" t="s">
        <v>316</v>
      </c>
    </row>
    <row r="43037">
      <c r="A43037" s="17"/>
      <c r="H43037" s="18"/>
      <c r="K43037" s="18" t="s">
        <v>316</v>
      </c>
    </row>
    <row r="43038">
      <c r="A43038" s="17"/>
      <c r="H43038" s="18"/>
      <c r="K43038" s="18" t="s">
        <v>316</v>
      </c>
    </row>
    <row r="43039">
      <c r="A43039" s="17"/>
      <c r="H43039" s="18"/>
      <c r="K43039" s="18" t="s">
        <v>316</v>
      </c>
    </row>
    <row r="43040">
      <c r="A43040" s="17"/>
      <c r="H43040" s="18"/>
      <c r="K43040" s="18" t="s">
        <v>316</v>
      </c>
    </row>
    <row r="43041">
      <c r="A43041" s="17"/>
      <c r="H43041" s="18"/>
      <c r="K43041" s="18" t="s">
        <v>316</v>
      </c>
    </row>
    <row r="43042">
      <c r="A43042" s="17"/>
      <c r="H43042" s="18"/>
      <c r="K43042" s="18" t="s">
        <v>316</v>
      </c>
    </row>
    <row r="43043">
      <c r="A43043" s="17"/>
      <c r="H43043" s="18"/>
      <c r="K43043" s="18" t="s">
        <v>316</v>
      </c>
    </row>
    <row r="43044">
      <c r="A43044" s="17"/>
      <c r="H43044" s="18"/>
      <c r="K43044" s="18" t="s">
        <v>316</v>
      </c>
    </row>
    <row r="43045">
      <c r="A43045" s="17"/>
      <c r="H43045" s="18"/>
      <c r="K43045" s="18" t="s">
        <v>316</v>
      </c>
    </row>
    <row r="43046">
      <c r="A43046" s="17"/>
      <c r="H43046" s="18"/>
      <c r="K43046" s="18" t="s">
        <v>316</v>
      </c>
    </row>
    <row r="43047">
      <c r="A43047" s="17"/>
      <c r="H43047" s="18"/>
      <c r="K43047" s="18" t="s">
        <v>316</v>
      </c>
    </row>
    <row r="43048">
      <c r="A43048" s="17"/>
      <c r="H43048" s="18"/>
      <c r="K43048" s="18" t="s">
        <v>316</v>
      </c>
    </row>
    <row r="43049">
      <c r="A43049" s="17"/>
      <c r="H43049" s="18"/>
      <c r="K43049" s="18" t="s">
        <v>316</v>
      </c>
    </row>
    <row r="43050">
      <c r="A43050" s="17"/>
      <c r="H43050" s="18"/>
      <c r="K43050" s="18" t="s">
        <v>316</v>
      </c>
    </row>
    <row r="43051">
      <c r="A43051" s="17"/>
      <c r="H43051" s="18"/>
      <c r="K43051" s="18" t="s">
        <v>316</v>
      </c>
    </row>
    <row r="43052">
      <c r="A43052" s="17"/>
      <c r="H43052" s="18"/>
      <c r="K43052" s="18" t="s">
        <v>316</v>
      </c>
    </row>
    <row r="43053">
      <c r="A43053" s="17"/>
      <c r="H43053" s="18"/>
      <c r="K43053" s="18" t="s">
        <v>316</v>
      </c>
    </row>
    <row r="43054">
      <c r="A43054" s="17"/>
      <c r="H43054" s="18"/>
      <c r="K43054" s="18" t="s">
        <v>316</v>
      </c>
    </row>
    <row r="43055">
      <c r="A43055" s="17"/>
      <c r="H43055" s="18"/>
      <c r="K43055" s="18" t="s">
        <v>316</v>
      </c>
    </row>
    <row r="43056">
      <c r="A43056" s="17"/>
      <c r="H43056" s="18"/>
      <c r="K43056" s="18" t="s">
        <v>316</v>
      </c>
    </row>
    <row r="43057">
      <c r="A43057" s="17"/>
      <c r="H43057" s="18"/>
      <c r="K43057" s="18" t="s">
        <v>316</v>
      </c>
    </row>
    <row r="43058">
      <c r="A43058" s="17"/>
      <c r="H43058" s="18"/>
      <c r="K43058" s="18" t="s">
        <v>316</v>
      </c>
    </row>
    <row r="43059">
      <c r="A43059" s="17"/>
      <c r="H43059" s="18"/>
      <c r="K43059" s="18" t="s">
        <v>316</v>
      </c>
    </row>
    <row r="43060">
      <c r="A43060" s="17"/>
      <c r="H43060" s="18"/>
      <c r="K43060" s="18" t="s">
        <v>316</v>
      </c>
    </row>
    <row r="43061">
      <c r="A43061" s="17"/>
      <c r="H43061" s="18"/>
      <c r="K43061" s="18" t="s">
        <v>316</v>
      </c>
    </row>
    <row r="43062">
      <c r="A43062" s="17"/>
      <c r="H43062" s="18"/>
      <c r="K43062" s="18" t="s">
        <v>316</v>
      </c>
    </row>
    <row r="43063">
      <c r="A43063" s="17"/>
      <c r="H43063" s="18"/>
      <c r="K43063" s="18" t="s">
        <v>316</v>
      </c>
    </row>
    <row r="43064">
      <c r="A43064" s="17"/>
      <c r="H43064" s="18"/>
      <c r="K43064" s="18" t="s">
        <v>316</v>
      </c>
    </row>
    <row r="43065">
      <c r="A43065" s="17"/>
      <c r="H43065" s="18"/>
      <c r="K43065" s="18" t="s">
        <v>316</v>
      </c>
    </row>
    <row r="43066">
      <c r="A43066" s="17"/>
      <c r="H43066" s="18"/>
      <c r="K43066" s="18" t="s">
        <v>316</v>
      </c>
    </row>
    <row r="43067">
      <c r="A43067" s="17"/>
      <c r="H43067" s="18"/>
      <c r="K43067" s="18" t="s">
        <v>316</v>
      </c>
    </row>
    <row r="43068">
      <c r="A43068" s="17"/>
      <c r="H43068" s="18"/>
      <c r="K43068" s="18" t="s">
        <v>316</v>
      </c>
    </row>
    <row r="43069">
      <c r="A43069" s="17"/>
      <c r="H43069" s="18"/>
      <c r="K43069" s="18" t="s">
        <v>316</v>
      </c>
    </row>
    <row r="43070">
      <c r="A43070" s="17"/>
      <c r="H43070" s="18"/>
      <c r="K43070" s="18" t="s">
        <v>316</v>
      </c>
    </row>
    <row r="43071">
      <c r="A43071" s="17"/>
      <c r="H43071" s="18"/>
      <c r="K43071" s="18" t="s">
        <v>316</v>
      </c>
    </row>
    <row r="43072">
      <c r="A43072" s="17"/>
      <c r="H43072" s="18"/>
      <c r="K43072" s="18" t="s">
        <v>316</v>
      </c>
    </row>
    <row r="43073">
      <c r="A43073" s="17"/>
      <c r="H43073" s="18"/>
      <c r="K43073" s="18" t="s">
        <v>316</v>
      </c>
    </row>
    <row r="43074">
      <c r="A43074" s="17"/>
      <c r="H43074" s="18"/>
      <c r="K43074" s="18" t="s">
        <v>316</v>
      </c>
    </row>
    <row r="43075">
      <c r="A43075" s="17"/>
      <c r="H43075" s="18"/>
      <c r="K43075" s="18" t="s">
        <v>316</v>
      </c>
    </row>
    <row r="43076">
      <c r="A43076" s="17"/>
      <c r="H43076" s="18"/>
      <c r="K43076" s="18" t="s">
        <v>316</v>
      </c>
    </row>
    <row r="43077">
      <c r="A43077" s="17"/>
      <c r="H43077" s="18"/>
      <c r="K43077" s="18" t="s">
        <v>316</v>
      </c>
    </row>
    <row r="43078">
      <c r="A43078" s="17"/>
      <c r="H43078" s="18"/>
      <c r="K43078" s="18" t="s">
        <v>316</v>
      </c>
    </row>
    <row r="43079">
      <c r="A43079" s="17"/>
      <c r="H43079" s="18"/>
      <c r="K43079" s="18" t="s">
        <v>316</v>
      </c>
    </row>
    <row r="43080">
      <c r="A43080" s="17"/>
      <c r="H43080" s="18"/>
      <c r="K43080" s="18" t="s">
        <v>316</v>
      </c>
    </row>
    <row r="43081">
      <c r="A43081" s="17"/>
      <c r="H43081" s="18"/>
      <c r="K43081" s="18" t="s">
        <v>316</v>
      </c>
    </row>
    <row r="43082">
      <c r="A43082" s="17"/>
      <c r="H43082" s="18"/>
      <c r="K43082" s="18" t="s">
        <v>316</v>
      </c>
    </row>
    <row r="43083">
      <c r="A43083" s="17"/>
      <c r="H43083" s="18"/>
      <c r="K43083" s="18" t="s">
        <v>316</v>
      </c>
    </row>
    <row r="43084">
      <c r="A43084" s="17"/>
      <c r="H43084" s="18"/>
      <c r="K43084" s="18" t="s">
        <v>316</v>
      </c>
    </row>
    <row r="43085">
      <c r="A43085" s="17"/>
      <c r="H43085" s="18"/>
      <c r="K43085" s="18" t="s">
        <v>316</v>
      </c>
    </row>
    <row r="43086">
      <c r="A43086" s="17"/>
      <c r="H43086" s="18"/>
      <c r="K43086" s="18" t="s">
        <v>316</v>
      </c>
    </row>
    <row r="43087">
      <c r="A43087" s="17"/>
      <c r="H43087" s="18"/>
      <c r="K43087" s="18" t="s">
        <v>316</v>
      </c>
    </row>
    <row r="43088">
      <c r="A43088" s="17"/>
      <c r="H43088" s="18"/>
      <c r="K43088" s="18" t="s">
        <v>316</v>
      </c>
    </row>
    <row r="43089">
      <c r="A43089" s="17"/>
      <c r="H43089" s="18"/>
      <c r="K43089" s="18" t="s">
        <v>316</v>
      </c>
    </row>
    <row r="43090">
      <c r="A43090" s="17"/>
      <c r="H43090" s="18"/>
      <c r="K43090" s="18" t="s">
        <v>316</v>
      </c>
    </row>
    <row r="43091">
      <c r="A43091" s="17"/>
      <c r="H43091" s="18"/>
      <c r="K43091" s="18" t="s">
        <v>316</v>
      </c>
    </row>
    <row r="43092">
      <c r="A43092" s="17"/>
      <c r="H43092" s="18"/>
      <c r="K43092" s="18" t="s">
        <v>316</v>
      </c>
    </row>
    <row r="43093">
      <c r="A43093" s="17"/>
      <c r="H43093" s="18"/>
      <c r="K43093" s="18" t="s">
        <v>316</v>
      </c>
    </row>
    <row r="43094">
      <c r="A43094" s="17"/>
      <c r="H43094" s="18"/>
      <c r="K43094" s="18" t="s">
        <v>316</v>
      </c>
    </row>
    <row r="43095">
      <c r="A43095" s="17"/>
      <c r="H43095" s="18"/>
      <c r="K43095" s="18" t="s">
        <v>316</v>
      </c>
    </row>
    <row r="43096">
      <c r="A43096" s="17"/>
      <c r="H43096" s="18"/>
      <c r="K43096" s="18" t="s">
        <v>316</v>
      </c>
    </row>
    <row r="43097">
      <c r="A43097" s="17"/>
      <c r="H43097" s="18"/>
      <c r="K43097" s="18" t="s">
        <v>316</v>
      </c>
    </row>
    <row r="43098">
      <c r="A43098" s="17"/>
      <c r="H43098" s="18"/>
      <c r="K43098" s="18" t="s">
        <v>316</v>
      </c>
    </row>
    <row r="43099">
      <c r="A43099" s="17"/>
      <c r="H43099" s="18"/>
      <c r="K43099" s="18" t="s">
        <v>316</v>
      </c>
    </row>
    <row r="43100">
      <c r="A43100" s="17"/>
      <c r="H43100" s="18"/>
      <c r="K43100" s="18" t="s">
        <v>316</v>
      </c>
    </row>
    <row r="43101">
      <c r="A43101" s="17"/>
      <c r="H43101" s="18"/>
      <c r="K43101" s="18" t="s">
        <v>316</v>
      </c>
    </row>
    <row r="43102">
      <c r="A43102" s="17"/>
      <c r="H43102" s="18"/>
      <c r="K43102" s="18" t="s">
        <v>316</v>
      </c>
    </row>
    <row r="43103">
      <c r="A43103" s="17"/>
      <c r="H43103" s="18"/>
      <c r="K43103" s="18" t="s">
        <v>316</v>
      </c>
    </row>
    <row r="43104">
      <c r="A43104" s="17"/>
      <c r="H43104" s="18"/>
      <c r="K43104" s="18" t="s">
        <v>316</v>
      </c>
    </row>
    <row r="43105">
      <c r="A43105" s="17"/>
      <c r="H43105" s="18"/>
      <c r="K43105" s="18" t="s">
        <v>316</v>
      </c>
    </row>
    <row r="43106">
      <c r="A43106" s="17"/>
      <c r="H43106" s="18"/>
      <c r="K43106" s="18" t="s">
        <v>316</v>
      </c>
    </row>
    <row r="43107">
      <c r="A43107" s="17"/>
      <c r="H43107" s="18"/>
      <c r="K43107" s="18" t="s">
        <v>316</v>
      </c>
    </row>
    <row r="43108">
      <c r="A43108" s="17"/>
      <c r="H43108" s="18"/>
      <c r="K43108" s="18" t="s">
        <v>316</v>
      </c>
    </row>
    <row r="43109">
      <c r="A43109" s="17"/>
      <c r="H43109" s="18"/>
      <c r="K43109" s="18" t="s">
        <v>316</v>
      </c>
    </row>
    <row r="43110">
      <c r="A43110" s="17"/>
      <c r="H43110" s="18"/>
      <c r="K43110" s="18" t="s">
        <v>316</v>
      </c>
    </row>
    <row r="43111">
      <c r="A43111" s="17"/>
      <c r="H43111" s="18"/>
      <c r="K43111" s="18" t="s">
        <v>316</v>
      </c>
    </row>
    <row r="43112">
      <c r="A43112" s="17"/>
      <c r="H43112" s="18"/>
      <c r="K43112" s="18" t="s">
        <v>316</v>
      </c>
    </row>
    <row r="43113">
      <c r="A43113" s="17"/>
      <c r="H43113" s="18"/>
      <c r="K43113" s="18" t="s">
        <v>316</v>
      </c>
    </row>
    <row r="43114">
      <c r="A43114" s="17"/>
      <c r="H43114" s="18"/>
      <c r="K43114" s="18" t="s">
        <v>316</v>
      </c>
    </row>
    <row r="43115">
      <c r="A43115" s="17"/>
      <c r="H43115" s="18"/>
      <c r="K43115" s="18" t="s">
        <v>316</v>
      </c>
    </row>
    <row r="43116">
      <c r="A43116" s="17"/>
      <c r="H43116" s="18"/>
      <c r="K43116" s="18" t="s">
        <v>316</v>
      </c>
    </row>
    <row r="43117">
      <c r="A43117" s="17"/>
      <c r="H43117" s="18"/>
      <c r="K43117" s="18" t="s">
        <v>316</v>
      </c>
    </row>
    <row r="43118">
      <c r="A43118" s="17"/>
      <c r="H43118" s="18"/>
      <c r="K43118" s="18" t="s">
        <v>316</v>
      </c>
    </row>
    <row r="43119">
      <c r="A43119" s="17"/>
      <c r="H43119" s="18"/>
      <c r="K43119" s="18" t="s">
        <v>316</v>
      </c>
    </row>
    <row r="43120">
      <c r="A43120" s="17"/>
      <c r="H43120" s="18"/>
      <c r="K43120" s="18" t="s">
        <v>316</v>
      </c>
    </row>
    <row r="43121">
      <c r="A43121" s="17"/>
      <c r="H43121" s="18"/>
      <c r="K43121" s="18" t="s">
        <v>316</v>
      </c>
    </row>
    <row r="43122">
      <c r="A43122" s="17"/>
      <c r="H43122" s="18"/>
      <c r="K43122" s="18" t="s">
        <v>316</v>
      </c>
    </row>
    <row r="43123">
      <c r="A43123" s="17"/>
      <c r="H43123" s="18"/>
      <c r="K43123" s="18" t="s">
        <v>316</v>
      </c>
    </row>
    <row r="43124">
      <c r="A43124" s="17"/>
      <c r="H43124" s="18"/>
      <c r="K43124" s="18" t="s">
        <v>316</v>
      </c>
    </row>
    <row r="43125">
      <c r="A43125" s="17"/>
      <c r="H43125" s="18"/>
      <c r="K43125" s="18" t="s">
        <v>316</v>
      </c>
    </row>
    <row r="43126">
      <c r="A43126" s="17"/>
      <c r="H43126" s="18"/>
      <c r="K43126" s="18" t="s">
        <v>316</v>
      </c>
    </row>
    <row r="43127">
      <c r="A43127" s="17"/>
      <c r="H43127" s="18"/>
      <c r="K43127" s="18" t="s">
        <v>316</v>
      </c>
    </row>
    <row r="43128">
      <c r="A43128" s="17"/>
      <c r="H43128" s="18"/>
      <c r="K43128" s="18" t="s">
        <v>316</v>
      </c>
    </row>
    <row r="43129">
      <c r="A43129" s="17"/>
      <c r="H43129" s="18"/>
      <c r="K43129" s="18" t="s">
        <v>316</v>
      </c>
    </row>
    <row r="43130">
      <c r="A43130" s="17"/>
      <c r="H43130" s="18"/>
      <c r="K43130" s="18" t="s">
        <v>316</v>
      </c>
    </row>
    <row r="43131">
      <c r="A43131" s="17"/>
      <c r="H43131" s="18"/>
      <c r="K43131" s="18" t="s">
        <v>316</v>
      </c>
    </row>
    <row r="43132">
      <c r="A43132" s="17"/>
      <c r="H43132" s="18"/>
      <c r="K43132" s="18" t="s">
        <v>316</v>
      </c>
    </row>
    <row r="43133">
      <c r="A43133" s="17"/>
      <c r="H43133" s="18"/>
      <c r="K43133" s="18" t="s">
        <v>316</v>
      </c>
    </row>
    <row r="43134">
      <c r="A43134" s="17"/>
      <c r="H43134" s="18"/>
      <c r="K43134" s="18" t="s">
        <v>316</v>
      </c>
    </row>
    <row r="43135">
      <c r="A43135" s="17"/>
      <c r="H43135" s="18"/>
      <c r="K43135" s="18" t="s">
        <v>316</v>
      </c>
    </row>
    <row r="43136">
      <c r="A43136" s="17"/>
      <c r="H43136" s="18"/>
      <c r="K43136" s="18" t="s">
        <v>316</v>
      </c>
    </row>
    <row r="43137">
      <c r="A43137" s="17"/>
      <c r="H43137" s="18"/>
      <c r="K43137" s="18" t="s">
        <v>316</v>
      </c>
    </row>
    <row r="43138">
      <c r="A43138" s="17"/>
      <c r="H43138" s="18"/>
      <c r="K43138" s="18" t="s">
        <v>316</v>
      </c>
    </row>
    <row r="43139">
      <c r="A43139" s="17"/>
      <c r="H43139" s="18"/>
      <c r="K43139" s="18" t="s">
        <v>316</v>
      </c>
    </row>
    <row r="43140">
      <c r="A43140" s="17"/>
      <c r="H43140" s="18"/>
      <c r="K43140" s="18" t="s">
        <v>316</v>
      </c>
    </row>
    <row r="43141">
      <c r="A43141" s="17"/>
      <c r="H43141" s="18"/>
      <c r="K43141" s="18" t="s">
        <v>316</v>
      </c>
    </row>
    <row r="43142">
      <c r="A43142" s="17"/>
      <c r="H43142" s="18"/>
      <c r="K43142" s="18" t="s">
        <v>316</v>
      </c>
    </row>
    <row r="43143">
      <c r="A43143" s="17"/>
      <c r="H43143" s="18"/>
      <c r="K43143" s="18" t="s">
        <v>316</v>
      </c>
    </row>
    <row r="43144">
      <c r="A43144" s="17"/>
      <c r="H43144" s="18"/>
      <c r="K43144" s="18" t="s">
        <v>316</v>
      </c>
    </row>
    <row r="43145">
      <c r="A43145" s="17"/>
      <c r="H43145" s="18"/>
      <c r="K43145" s="18" t="s">
        <v>316</v>
      </c>
    </row>
    <row r="43146">
      <c r="A43146" s="17"/>
      <c r="H43146" s="18"/>
      <c r="K43146" s="18" t="s">
        <v>316</v>
      </c>
    </row>
    <row r="43147">
      <c r="A43147" s="17"/>
      <c r="H43147" s="18"/>
      <c r="K43147" s="18" t="s">
        <v>316</v>
      </c>
    </row>
    <row r="43148">
      <c r="A43148" s="17"/>
      <c r="H43148" s="18"/>
      <c r="K43148" s="18" t="s">
        <v>316</v>
      </c>
    </row>
    <row r="43149">
      <c r="A43149" s="17"/>
      <c r="H43149" s="18"/>
      <c r="K43149" s="18" t="s">
        <v>316</v>
      </c>
    </row>
    <row r="43150">
      <c r="A43150" s="17"/>
      <c r="H43150" s="18"/>
      <c r="K43150" s="18" t="s">
        <v>316</v>
      </c>
    </row>
    <row r="43151">
      <c r="A43151" s="17"/>
      <c r="H43151" s="18"/>
      <c r="K43151" s="18" t="s">
        <v>316</v>
      </c>
    </row>
    <row r="43152">
      <c r="A43152" s="17"/>
      <c r="H43152" s="18"/>
      <c r="K43152" s="18" t="s">
        <v>316</v>
      </c>
    </row>
    <row r="43153">
      <c r="A43153" s="17"/>
      <c r="H43153" s="18"/>
      <c r="K43153" s="18" t="s">
        <v>316</v>
      </c>
    </row>
    <row r="43154">
      <c r="A43154" s="17"/>
      <c r="H43154" s="18"/>
      <c r="K43154" s="18" t="s">
        <v>316</v>
      </c>
    </row>
    <row r="43155">
      <c r="A43155" s="17"/>
      <c r="H43155" s="18"/>
      <c r="K43155" s="18" t="s">
        <v>316</v>
      </c>
    </row>
    <row r="43156">
      <c r="A43156" s="17"/>
      <c r="H43156" s="18"/>
      <c r="K43156" s="18" t="s">
        <v>316</v>
      </c>
    </row>
    <row r="43157">
      <c r="A43157" s="17"/>
      <c r="H43157" s="18"/>
      <c r="K43157" s="18" t="s">
        <v>316</v>
      </c>
    </row>
    <row r="43158">
      <c r="A43158" s="17"/>
      <c r="H43158" s="18"/>
      <c r="K43158" s="18" t="s">
        <v>316</v>
      </c>
    </row>
    <row r="43159">
      <c r="A43159" s="17"/>
      <c r="H43159" s="18"/>
      <c r="K43159" s="18" t="s">
        <v>316</v>
      </c>
    </row>
    <row r="43160">
      <c r="A43160" s="17"/>
      <c r="H43160" s="18"/>
      <c r="K43160" s="18" t="s">
        <v>316</v>
      </c>
    </row>
    <row r="43161">
      <c r="A43161" s="17"/>
      <c r="H43161" s="18"/>
      <c r="K43161" s="18" t="s">
        <v>316</v>
      </c>
    </row>
    <row r="43162">
      <c r="A43162" s="17"/>
      <c r="H43162" s="18"/>
      <c r="K43162" s="18" t="s">
        <v>316</v>
      </c>
    </row>
    <row r="43163">
      <c r="A43163" s="17"/>
      <c r="H43163" s="18"/>
      <c r="K43163" s="18" t="s">
        <v>316</v>
      </c>
    </row>
    <row r="43164">
      <c r="A43164" s="17"/>
      <c r="H43164" s="18"/>
      <c r="K43164" s="18" t="s">
        <v>316</v>
      </c>
    </row>
    <row r="43165">
      <c r="A43165" s="17"/>
      <c r="H43165" s="18"/>
      <c r="K43165" s="18" t="s">
        <v>316</v>
      </c>
    </row>
    <row r="43166">
      <c r="A43166" s="17"/>
      <c r="H43166" s="18"/>
      <c r="K43166" s="18" t="s">
        <v>316</v>
      </c>
    </row>
    <row r="43167">
      <c r="A43167" s="17"/>
      <c r="H43167" s="18"/>
      <c r="K43167" s="18" t="s">
        <v>316</v>
      </c>
    </row>
    <row r="43168">
      <c r="A43168" s="17"/>
      <c r="H43168" s="18"/>
      <c r="K43168" s="18" t="s">
        <v>316</v>
      </c>
    </row>
    <row r="43169">
      <c r="A43169" s="17"/>
      <c r="H43169" s="18"/>
      <c r="K43169" s="18" t="s">
        <v>316</v>
      </c>
    </row>
    <row r="43170">
      <c r="A43170" s="17"/>
      <c r="H43170" s="18"/>
      <c r="K43170" s="18" t="s">
        <v>316</v>
      </c>
    </row>
    <row r="43171">
      <c r="A43171" s="17"/>
      <c r="H43171" s="18"/>
      <c r="K43171" s="18" t="s">
        <v>316</v>
      </c>
    </row>
    <row r="43172">
      <c r="A43172" s="17"/>
      <c r="H43172" s="18"/>
      <c r="K43172" s="18" t="s">
        <v>316</v>
      </c>
    </row>
    <row r="43173">
      <c r="A43173" s="17"/>
      <c r="H43173" s="18"/>
      <c r="K43173" s="18" t="s">
        <v>316</v>
      </c>
    </row>
    <row r="43174">
      <c r="A43174" s="17"/>
      <c r="H43174" s="18"/>
      <c r="K43174" s="18" t="s">
        <v>316</v>
      </c>
    </row>
    <row r="43175">
      <c r="A43175" s="17"/>
      <c r="H43175" s="18"/>
      <c r="K43175" s="18" t="s">
        <v>316</v>
      </c>
    </row>
    <row r="43176">
      <c r="A43176" s="17"/>
      <c r="H43176" s="18"/>
      <c r="K43176" s="18" t="s">
        <v>316</v>
      </c>
    </row>
    <row r="43177">
      <c r="A43177" s="17"/>
      <c r="H43177" s="18"/>
      <c r="K43177" s="18" t="s">
        <v>316</v>
      </c>
    </row>
    <row r="43178">
      <c r="A43178" s="17"/>
      <c r="H43178" s="18"/>
      <c r="K43178" s="18" t="s">
        <v>316</v>
      </c>
    </row>
    <row r="43179">
      <c r="A43179" s="17"/>
      <c r="H43179" s="18"/>
      <c r="K43179" s="18" t="s">
        <v>316</v>
      </c>
    </row>
    <row r="43180">
      <c r="A43180" s="17"/>
      <c r="H43180" s="18"/>
      <c r="K43180" s="18" t="s">
        <v>316</v>
      </c>
    </row>
    <row r="43181">
      <c r="A43181" s="17"/>
      <c r="H43181" s="18"/>
      <c r="K43181" s="18" t="s">
        <v>316</v>
      </c>
    </row>
    <row r="43182">
      <c r="A43182" s="17"/>
      <c r="H43182" s="18"/>
      <c r="K43182" s="18" t="s">
        <v>316</v>
      </c>
    </row>
    <row r="43183">
      <c r="A43183" s="17"/>
      <c r="H43183" s="18"/>
      <c r="K43183" s="18" t="s">
        <v>316</v>
      </c>
    </row>
    <row r="43184">
      <c r="A43184" s="17"/>
      <c r="H43184" s="18"/>
      <c r="K43184" s="18" t="s">
        <v>316</v>
      </c>
    </row>
    <row r="43185">
      <c r="A43185" s="17"/>
      <c r="H43185" s="18"/>
      <c r="K43185" s="18" t="s">
        <v>316</v>
      </c>
    </row>
    <row r="43186">
      <c r="A43186" s="17"/>
      <c r="H43186" s="18"/>
      <c r="K43186" s="18" t="s">
        <v>316</v>
      </c>
    </row>
    <row r="43187">
      <c r="A43187" s="17"/>
      <c r="H43187" s="18"/>
      <c r="K43187" s="18" t="s">
        <v>316</v>
      </c>
    </row>
    <row r="43188">
      <c r="A43188" s="17"/>
      <c r="H43188" s="18"/>
      <c r="K43188" s="18" t="s">
        <v>316</v>
      </c>
    </row>
    <row r="43189">
      <c r="A43189" s="17"/>
      <c r="H43189" s="18"/>
      <c r="K43189" s="18" t="s">
        <v>316</v>
      </c>
    </row>
    <row r="43190">
      <c r="A43190" s="17"/>
      <c r="H43190" s="18"/>
      <c r="K43190" s="18" t="s">
        <v>316</v>
      </c>
    </row>
    <row r="43191">
      <c r="A43191" s="17"/>
      <c r="H43191" s="18"/>
      <c r="K43191" s="18" t="s">
        <v>316</v>
      </c>
    </row>
    <row r="43192">
      <c r="A43192" s="17"/>
      <c r="H43192" s="18"/>
      <c r="K43192" s="18" t="s">
        <v>316</v>
      </c>
    </row>
    <row r="43193">
      <c r="A43193" s="17"/>
      <c r="H43193" s="18"/>
      <c r="K43193" s="18" t="s">
        <v>316</v>
      </c>
    </row>
    <row r="43194">
      <c r="A43194" s="17"/>
      <c r="H43194" s="18"/>
      <c r="K43194" s="18" t="s">
        <v>316</v>
      </c>
    </row>
    <row r="43195">
      <c r="A43195" s="17"/>
      <c r="H43195" s="18"/>
      <c r="K43195" s="18" t="s">
        <v>316</v>
      </c>
    </row>
    <row r="43196">
      <c r="A43196" s="17"/>
      <c r="H43196" s="18"/>
      <c r="K43196" s="18" t="s">
        <v>316</v>
      </c>
    </row>
    <row r="43197">
      <c r="A43197" s="17"/>
      <c r="H43197" s="18"/>
      <c r="K43197" s="18" t="s">
        <v>316</v>
      </c>
    </row>
    <row r="43198">
      <c r="A43198" s="17"/>
      <c r="H43198" s="18"/>
      <c r="K43198" s="18" t="s">
        <v>316</v>
      </c>
    </row>
    <row r="43199">
      <c r="A43199" s="17"/>
      <c r="H43199" s="18"/>
      <c r="K43199" s="18" t="s">
        <v>316</v>
      </c>
    </row>
    <row r="43200">
      <c r="A43200" s="17"/>
      <c r="H43200" s="18"/>
      <c r="K43200" s="18" t="s">
        <v>316</v>
      </c>
    </row>
    <row r="43201">
      <c r="A43201" s="17"/>
      <c r="H43201" s="18"/>
      <c r="K43201" s="18" t="s">
        <v>316</v>
      </c>
    </row>
    <row r="43202">
      <c r="A43202" s="17"/>
      <c r="H43202" s="18"/>
      <c r="K43202" s="18" t="s">
        <v>316</v>
      </c>
    </row>
    <row r="43203">
      <c r="A43203" s="17"/>
      <c r="H43203" s="18"/>
      <c r="K43203" s="18" t="s">
        <v>316</v>
      </c>
    </row>
    <row r="43204">
      <c r="A43204" s="17"/>
      <c r="H43204" s="18"/>
      <c r="K43204" s="18" t="s">
        <v>316</v>
      </c>
    </row>
    <row r="43205">
      <c r="A43205" s="17"/>
      <c r="H43205" s="18"/>
      <c r="K43205" s="18" t="s">
        <v>316</v>
      </c>
    </row>
    <row r="43206">
      <c r="A43206" s="17"/>
      <c r="H43206" s="18"/>
      <c r="K43206" s="18" t="s">
        <v>316</v>
      </c>
    </row>
    <row r="43207">
      <c r="A43207" s="17"/>
      <c r="H43207" s="18"/>
      <c r="K43207" s="18" t="s">
        <v>316</v>
      </c>
    </row>
    <row r="43208">
      <c r="A43208" s="17"/>
      <c r="H43208" s="18"/>
      <c r="K43208" s="18" t="s">
        <v>316</v>
      </c>
    </row>
    <row r="43209">
      <c r="A43209" s="17"/>
      <c r="H43209" s="18"/>
      <c r="K43209" s="18" t="s">
        <v>316</v>
      </c>
    </row>
    <row r="43210">
      <c r="A43210" s="17"/>
      <c r="H43210" s="18"/>
      <c r="K43210" s="18" t="s">
        <v>316</v>
      </c>
    </row>
    <row r="43211">
      <c r="A43211" s="17"/>
      <c r="H43211" s="18"/>
      <c r="K43211" s="18" t="s">
        <v>316</v>
      </c>
    </row>
    <row r="43212">
      <c r="A43212" s="17"/>
      <c r="H43212" s="18"/>
      <c r="K43212" s="18" t="s">
        <v>316</v>
      </c>
    </row>
    <row r="43213">
      <c r="A43213" s="17"/>
      <c r="H43213" s="18"/>
      <c r="K43213" s="18" t="s">
        <v>316</v>
      </c>
    </row>
    <row r="43214">
      <c r="A43214" s="17"/>
      <c r="H43214" s="18"/>
      <c r="K43214" s="18" t="s">
        <v>316</v>
      </c>
    </row>
    <row r="43215">
      <c r="A43215" s="17"/>
      <c r="H43215" s="18"/>
      <c r="K43215" s="18" t="s">
        <v>316</v>
      </c>
    </row>
    <row r="43216">
      <c r="A43216" s="17"/>
      <c r="H43216" s="18"/>
      <c r="K43216" s="18" t="s">
        <v>316</v>
      </c>
    </row>
    <row r="43217">
      <c r="A43217" s="17"/>
      <c r="H43217" s="18"/>
      <c r="K43217" s="18" t="s">
        <v>316</v>
      </c>
    </row>
    <row r="43218">
      <c r="A43218" s="17"/>
      <c r="H43218" s="18"/>
      <c r="K43218" s="18" t="s">
        <v>316</v>
      </c>
    </row>
    <row r="43219">
      <c r="A43219" s="17"/>
      <c r="H43219" s="18"/>
      <c r="K43219" s="18" t="s">
        <v>316</v>
      </c>
    </row>
    <row r="43220">
      <c r="A43220" s="17"/>
      <c r="H43220" s="18"/>
      <c r="K43220" s="18" t="s">
        <v>316</v>
      </c>
    </row>
    <row r="43221">
      <c r="A43221" s="17"/>
      <c r="H43221" s="18"/>
      <c r="K43221" s="18" t="s">
        <v>316</v>
      </c>
    </row>
    <row r="43222">
      <c r="A43222" s="17"/>
      <c r="H43222" s="18"/>
      <c r="K43222" s="18" t="s">
        <v>316</v>
      </c>
    </row>
    <row r="43223">
      <c r="A43223" s="17"/>
      <c r="H43223" s="18"/>
      <c r="K43223" s="18" t="s">
        <v>316</v>
      </c>
    </row>
    <row r="43224">
      <c r="A43224" s="17"/>
      <c r="H43224" s="18"/>
      <c r="K43224" s="18" t="s">
        <v>316</v>
      </c>
    </row>
    <row r="43225">
      <c r="A43225" s="17"/>
      <c r="H43225" s="18"/>
      <c r="K43225" s="18" t="s">
        <v>316</v>
      </c>
    </row>
    <row r="43226">
      <c r="A43226" s="17"/>
      <c r="H43226" s="18"/>
      <c r="K43226" s="18" t="s">
        <v>316</v>
      </c>
    </row>
    <row r="43227">
      <c r="A43227" s="17"/>
      <c r="H43227" s="18"/>
      <c r="K43227" s="18" t="s">
        <v>316</v>
      </c>
    </row>
    <row r="43228">
      <c r="A43228" s="17"/>
      <c r="H43228" s="18"/>
      <c r="K43228" s="18" t="s">
        <v>316</v>
      </c>
    </row>
    <row r="43229">
      <c r="A43229" s="17"/>
      <c r="H43229" s="18"/>
      <c r="K43229" s="18" t="s">
        <v>316</v>
      </c>
    </row>
    <row r="43230">
      <c r="A43230" s="17"/>
      <c r="H43230" s="18"/>
      <c r="K43230" s="18" t="s">
        <v>316</v>
      </c>
    </row>
    <row r="43231">
      <c r="A43231" s="17"/>
      <c r="H43231" s="18"/>
      <c r="K43231" s="18" t="s">
        <v>316</v>
      </c>
    </row>
    <row r="43232">
      <c r="A43232" s="17"/>
      <c r="H43232" s="18"/>
      <c r="K43232" s="18" t="s">
        <v>316</v>
      </c>
    </row>
    <row r="43233">
      <c r="A43233" s="17"/>
      <c r="H43233" s="18"/>
      <c r="K43233" s="18" t="s">
        <v>316</v>
      </c>
    </row>
    <row r="43234">
      <c r="A43234" s="17"/>
      <c r="H43234" s="18"/>
      <c r="K43234" s="18" t="s">
        <v>316</v>
      </c>
    </row>
    <row r="43235">
      <c r="A43235" s="17"/>
      <c r="H43235" s="18"/>
      <c r="K43235" s="18" t="s">
        <v>316</v>
      </c>
    </row>
    <row r="43236">
      <c r="A43236" s="17"/>
      <c r="H43236" s="18"/>
      <c r="K43236" s="18" t="s">
        <v>316</v>
      </c>
    </row>
    <row r="43237">
      <c r="A43237" s="17"/>
      <c r="H43237" s="18"/>
      <c r="K43237" s="18" t="s">
        <v>316</v>
      </c>
    </row>
    <row r="43238">
      <c r="A43238" s="17"/>
      <c r="H43238" s="18"/>
      <c r="K43238" s="18" t="s">
        <v>316</v>
      </c>
    </row>
    <row r="43239">
      <c r="A43239" s="17"/>
      <c r="H43239" s="18"/>
      <c r="K43239" s="18" t="s">
        <v>316</v>
      </c>
    </row>
    <row r="43240">
      <c r="A43240" s="17"/>
      <c r="H43240" s="18"/>
      <c r="K43240" s="18" t="s">
        <v>316</v>
      </c>
    </row>
    <row r="43241">
      <c r="A43241" s="17"/>
      <c r="H43241" s="18"/>
      <c r="K43241" s="18" t="s">
        <v>316</v>
      </c>
    </row>
    <row r="43242">
      <c r="A43242" s="17"/>
      <c r="H43242" s="18"/>
      <c r="K43242" s="18" t="s">
        <v>316</v>
      </c>
    </row>
    <row r="43243">
      <c r="A43243" s="17"/>
      <c r="H43243" s="18"/>
      <c r="K43243" s="18" t="s">
        <v>316</v>
      </c>
    </row>
    <row r="43244">
      <c r="A43244" s="17"/>
      <c r="H43244" s="18"/>
      <c r="K43244" s="18" t="s">
        <v>316</v>
      </c>
    </row>
    <row r="43245">
      <c r="A43245" s="17"/>
      <c r="H43245" s="18"/>
      <c r="K43245" s="18" t="s">
        <v>316</v>
      </c>
    </row>
    <row r="43246">
      <c r="A43246" s="17"/>
      <c r="H43246" s="18"/>
      <c r="K43246" s="18" t="s">
        <v>316</v>
      </c>
    </row>
    <row r="43247">
      <c r="A43247" s="17"/>
      <c r="H43247" s="18"/>
      <c r="K43247" s="18" t="s">
        <v>316</v>
      </c>
    </row>
    <row r="43248">
      <c r="A43248" s="17"/>
      <c r="H43248" s="18"/>
      <c r="K43248" s="18" t="s">
        <v>316</v>
      </c>
    </row>
    <row r="43249">
      <c r="A43249" s="17"/>
      <c r="H43249" s="18"/>
      <c r="K43249" s="18" t="s">
        <v>316</v>
      </c>
    </row>
    <row r="43250">
      <c r="A43250" s="17"/>
      <c r="H43250" s="18"/>
      <c r="K43250" s="18" t="s">
        <v>316</v>
      </c>
    </row>
    <row r="43251">
      <c r="A43251" s="17"/>
      <c r="H43251" s="18"/>
      <c r="K43251" s="18" t="s">
        <v>316</v>
      </c>
    </row>
    <row r="43252">
      <c r="A43252" s="17"/>
      <c r="H43252" s="18"/>
      <c r="K43252" s="18" t="s">
        <v>316</v>
      </c>
    </row>
    <row r="43253">
      <c r="A43253" s="17"/>
      <c r="H43253" s="18"/>
      <c r="K43253" s="18" t="s">
        <v>316</v>
      </c>
    </row>
    <row r="43254">
      <c r="A43254" s="17"/>
      <c r="H43254" s="18"/>
      <c r="K43254" s="18" t="s">
        <v>316</v>
      </c>
    </row>
    <row r="43255">
      <c r="A43255" s="17"/>
      <c r="H43255" s="18"/>
      <c r="K43255" s="18" t="s">
        <v>316</v>
      </c>
    </row>
    <row r="43256">
      <c r="A43256" s="17"/>
      <c r="H43256" s="18"/>
      <c r="K43256" s="18" t="s">
        <v>316</v>
      </c>
    </row>
    <row r="43257">
      <c r="A43257" s="17"/>
      <c r="H43257" s="18"/>
      <c r="K43257" s="18" t="s">
        <v>316</v>
      </c>
    </row>
    <row r="43258">
      <c r="A43258" s="17"/>
      <c r="H43258" s="18"/>
      <c r="K43258" s="18" t="s">
        <v>316</v>
      </c>
    </row>
    <row r="43259">
      <c r="A43259" s="17"/>
      <c r="H43259" s="18"/>
      <c r="K43259" s="18" t="s">
        <v>316</v>
      </c>
    </row>
    <row r="43260">
      <c r="A43260" s="17"/>
      <c r="H43260" s="18"/>
      <c r="K43260" s="18" t="s">
        <v>316</v>
      </c>
    </row>
    <row r="43261">
      <c r="A43261" s="17"/>
      <c r="H43261" s="18"/>
      <c r="K43261" s="18" t="s">
        <v>316</v>
      </c>
    </row>
    <row r="43262">
      <c r="A43262" s="17"/>
      <c r="H43262" s="18"/>
      <c r="K43262" s="18" t="s">
        <v>316</v>
      </c>
    </row>
    <row r="43263">
      <c r="A43263" s="17"/>
      <c r="H43263" s="18"/>
      <c r="K43263" s="18" t="s">
        <v>316</v>
      </c>
    </row>
    <row r="43264">
      <c r="A43264" s="17"/>
      <c r="H43264" s="18"/>
      <c r="K43264" s="18" t="s">
        <v>316</v>
      </c>
    </row>
    <row r="43265">
      <c r="A43265" s="17"/>
      <c r="H43265" s="18"/>
      <c r="K43265" s="18" t="s">
        <v>316</v>
      </c>
    </row>
    <row r="43266">
      <c r="A43266" s="17"/>
      <c r="H43266" s="18"/>
      <c r="K43266" s="18" t="s">
        <v>316</v>
      </c>
    </row>
    <row r="43267">
      <c r="A43267" s="17"/>
      <c r="H43267" s="18"/>
      <c r="K43267" s="18" t="s">
        <v>316</v>
      </c>
    </row>
    <row r="43268">
      <c r="A43268" s="17"/>
      <c r="H43268" s="18"/>
      <c r="K43268" s="18" t="s">
        <v>316</v>
      </c>
    </row>
    <row r="43269">
      <c r="A43269" s="17"/>
      <c r="H43269" s="18"/>
      <c r="K43269" s="18" t="s">
        <v>316</v>
      </c>
    </row>
    <row r="43270">
      <c r="A43270" s="17"/>
      <c r="H43270" s="18"/>
      <c r="K43270" s="18" t="s">
        <v>316</v>
      </c>
    </row>
    <row r="43271">
      <c r="A43271" s="17"/>
      <c r="H43271" s="18"/>
      <c r="K43271" s="18" t="s">
        <v>316</v>
      </c>
    </row>
    <row r="43272">
      <c r="A43272" s="17"/>
      <c r="H43272" s="18"/>
      <c r="K43272" s="18" t="s">
        <v>316</v>
      </c>
    </row>
    <row r="43273">
      <c r="A43273" s="17"/>
      <c r="H43273" s="18"/>
      <c r="K43273" s="18" t="s">
        <v>316</v>
      </c>
    </row>
    <row r="43274">
      <c r="A43274" s="17"/>
      <c r="H43274" s="18"/>
      <c r="K43274" s="18" t="s">
        <v>316</v>
      </c>
    </row>
    <row r="43275">
      <c r="A43275" s="17"/>
      <c r="H43275" s="18"/>
      <c r="K43275" s="18" t="s">
        <v>316</v>
      </c>
    </row>
    <row r="43276">
      <c r="A43276" s="17"/>
      <c r="H43276" s="18"/>
      <c r="K43276" s="18" t="s">
        <v>316</v>
      </c>
    </row>
    <row r="43277">
      <c r="A43277" s="17"/>
      <c r="H43277" s="18"/>
      <c r="K43277" s="18" t="s">
        <v>316</v>
      </c>
    </row>
    <row r="43278">
      <c r="A43278" s="17"/>
      <c r="H43278" s="18"/>
      <c r="K43278" s="18" t="s">
        <v>316</v>
      </c>
    </row>
    <row r="43279">
      <c r="A43279" s="17"/>
      <c r="H43279" s="18"/>
      <c r="K43279" s="18" t="s">
        <v>316</v>
      </c>
    </row>
    <row r="43280">
      <c r="A43280" s="17"/>
      <c r="H43280" s="18"/>
      <c r="K43280" s="18" t="s">
        <v>316</v>
      </c>
    </row>
    <row r="43281">
      <c r="A43281" s="17"/>
      <c r="H43281" s="18"/>
      <c r="K43281" s="18" t="s">
        <v>316</v>
      </c>
    </row>
    <row r="43282">
      <c r="A43282" s="17"/>
      <c r="H43282" s="18"/>
      <c r="K43282" s="18" t="s">
        <v>316</v>
      </c>
    </row>
    <row r="43283">
      <c r="A43283" s="17"/>
      <c r="H43283" s="18"/>
      <c r="K43283" s="18" t="s">
        <v>316</v>
      </c>
    </row>
    <row r="43284">
      <c r="A43284" s="17"/>
      <c r="H43284" s="18"/>
      <c r="K43284" s="18" t="s">
        <v>316</v>
      </c>
    </row>
    <row r="43285">
      <c r="A43285" s="17"/>
      <c r="H43285" s="18"/>
      <c r="K43285" s="18" t="s">
        <v>316</v>
      </c>
    </row>
    <row r="43286">
      <c r="A43286" s="17"/>
      <c r="H43286" s="18"/>
      <c r="K43286" s="18" t="s">
        <v>316</v>
      </c>
    </row>
    <row r="43287">
      <c r="A43287" s="17"/>
      <c r="H43287" s="18"/>
      <c r="K43287" s="18" t="s">
        <v>316</v>
      </c>
    </row>
    <row r="43288">
      <c r="A43288" s="17"/>
      <c r="H43288" s="18"/>
      <c r="K43288" s="18" t="s">
        <v>316</v>
      </c>
    </row>
    <row r="43289">
      <c r="A43289" s="17"/>
      <c r="H43289" s="18"/>
      <c r="K43289" s="18" t="s">
        <v>316</v>
      </c>
    </row>
    <row r="43290">
      <c r="A43290" s="17"/>
      <c r="H43290" s="18"/>
      <c r="K43290" s="18" t="s">
        <v>316</v>
      </c>
    </row>
    <row r="43291">
      <c r="A43291" s="17"/>
      <c r="H43291" s="18"/>
      <c r="K43291" s="18" t="s">
        <v>316</v>
      </c>
    </row>
    <row r="43292">
      <c r="A43292" s="17"/>
      <c r="H43292" s="18"/>
      <c r="K43292" s="18" t="s">
        <v>316</v>
      </c>
    </row>
    <row r="43293">
      <c r="A43293" s="17"/>
      <c r="H43293" s="18"/>
      <c r="K43293" s="18" t="s">
        <v>316</v>
      </c>
    </row>
    <row r="43294">
      <c r="A43294" s="17"/>
      <c r="H43294" s="18"/>
      <c r="K43294" s="18" t="s">
        <v>316</v>
      </c>
    </row>
    <row r="43295">
      <c r="A43295" s="17"/>
      <c r="H43295" s="18"/>
      <c r="K43295" s="18" t="s">
        <v>316</v>
      </c>
    </row>
    <row r="43296">
      <c r="A43296" s="17"/>
      <c r="H43296" s="18"/>
      <c r="K43296" s="18" t="s">
        <v>316</v>
      </c>
    </row>
    <row r="43297">
      <c r="A43297" s="17"/>
      <c r="H43297" s="18"/>
      <c r="K43297" s="18" t="s">
        <v>316</v>
      </c>
    </row>
    <row r="43298">
      <c r="A43298" s="17"/>
      <c r="H43298" s="18"/>
      <c r="K43298" s="18" t="s">
        <v>316</v>
      </c>
    </row>
    <row r="43299">
      <c r="A43299" s="17"/>
      <c r="H43299" s="18"/>
      <c r="K43299" s="18" t="s">
        <v>316</v>
      </c>
    </row>
    <row r="43300">
      <c r="A43300" s="17"/>
      <c r="H43300" s="18"/>
      <c r="K43300" s="18" t="s">
        <v>316</v>
      </c>
    </row>
    <row r="43301">
      <c r="A43301" s="17"/>
      <c r="H43301" s="18"/>
      <c r="K43301" s="18" t="s">
        <v>316</v>
      </c>
    </row>
    <row r="43302">
      <c r="A43302" s="17"/>
      <c r="H43302" s="18"/>
      <c r="K43302" s="18" t="s">
        <v>316</v>
      </c>
    </row>
    <row r="43303">
      <c r="A43303" s="17"/>
      <c r="H43303" s="18"/>
      <c r="K43303" s="18" t="s">
        <v>316</v>
      </c>
    </row>
    <row r="43304">
      <c r="A43304" s="17"/>
      <c r="H43304" s="18"/>
      <c r="K43304" s="18" t="s">
        <v>316</v>
      </c>
    </row>
    <row r="43305">
      <c r="A43305" s="17"/>
      <c r="H43305" s="18"/>
      <c r="K43305" s="18" t="s">
        <v>316</v>
      </c>
    </row>
    <row r="43306">
      <c r="A43306" s="17"/>
      <c r="H43306" s="18"/>
      <c r="K43306" s="18" t="s">
        <v>316</v>
      </c>
    </row>
    <row r="43307">
      <c r="A43307" s="17"/>
      <c r="H43307" s="18"/>
      <c r="K43307" s="18" t="s">
        <v>316</v>
      </c>
    </row>
    <row r="43308">
      <c r="A43308" s="17"/>
      <c r="H43308" s="18"/>
      <c r="K43308" s="18" t="s">
        <v>316</v>
      </c>
    </row>
    <row r="43309">
      <c r="A43309" s="17"/>
      <c r="H43309" s="18"/>
      <c r="K43309" s="18" t="s">
        <v>316</v>
      </c>
    </row>
    <row r="43310">
      <c r="A43310" s="17"/>
      <c r="H43310" s="18"/>
      <c r="K43310" s="18" t="s">
        <v>316</v>
      </c>
    </row>
    <row r="43311">
      <c r="A43311" s="17"/>
      <c r="H43311" s="18"/>
      <c r="K43311" s="18" t="s">
        <v>316</v>
      </c>
    </row>
    <row r="43312">
      <c r="A43312" s="17"/>
      <c r="H43312" s="18"/>
      <c r="K43312" s="18" t="s">
        <v>316</v>
      </c>
    </row>
    <row r="43313">
      <c r="A43313" s="17"/>
      <c r="H43313" s="18"/>
      <c r="K43313" s="18" t="s">
        <v>316</v>
      </c>
    </row>
    <row r="43314">
      <c r="A43314" s="17"/>
      <c r="H43314" s="18"/>
      <c r="K43314" s="18" t="s">
        <v>316</v>
      </c>
    </row>
    <row r="43315">
      <c r="A43315" s="17"/>
      <c r="H43315" s="18"/>
      <c r="K43315" s="18" t="s">
        <v>316</v>
      </c>
    </row>
    <row r="43316">
      <c r="A43316" s="17"/>
      <c r="H43316" s="18"/>
      <c r="K43316" s="18" t="s">
        <v>316</v>
      </c>
    </row>
    <row r="43317">
      <c r="A43317" s="17"/>
      <c r="H43317" s="18"/>
      <c r="K43317" s="18" t="s">
        <v>316</v>
      </c>
    </row>
    <row r="43318">
      <c r="A43318" s="17"/>
      <c r="H43318" s="18"/>
      <c r="K43318" s="18" t="s">
        <v>316</v>
      </c>
    </row>
    <row r="43319">
      <c r="A43319" s="17"/>
      <c r="H43319" s="18"/>
      <c r="K43319" s="18" t="s">
        <v>316</v>
      </c>
    </row>
    <row r="43320">
      <c r="A43320" s="17"/>
      <c r="H43320" s="18"/>
      <c r="K43320" s="18" t="s">
        <v>316</v>
      </c>
    </row>
    <row r="43321">
      <c r="A43321" s="17"/>
      <c r="H43321" s="18"/>
      <c r="K43321" s="18" t="s">
        <v>316</v>
      </c>
    </row>
    <row r="43322">
      <c r="A43322" s="17"/>
      <c r="H43322" s="18"/>
      <c r="K43322" s="18" t="s">
        <v>316</v>
      </c>
    </row>
    <row r="43323">
      <c r="A43323" s="17"/>
      <c r="H43323" s="18"/>
      <c r="K43323" s="18" t="s">
        <v>316</v>
      </c>
    </row>
    <row r="43324">
      <c r="A43324" s="17"/>
      <c r="H43324" s="18"/>
      <c r="K43324" s="18" t="s">
        <v>316</v>
      </c>
    </row>
    <row r="43325">
      <c r="A43325" s="17"/>
      <c r="H43325" s="18"/>
      <c r="K43325" s="18" t="s">
        <v>316</v>
      </c>
    </row>
    <row r="43326">
      <c r="A43326" s="17"/>
      <c r="H43326" s="18"/>
      <c r="K43326" s="18" t="s">
        <v>316</v>
      </c>
    </row>
    <row r="43327">
      <c r="A43327" s="17"/>
      <c r="H43327" s="18"/>
      <c r="K43327" s="18" t="s">
        <v>316</v>
      </c>
    </row>
    <row r="43328">
      <c r="A43328" s="17"/>
      <c r="H43328" s="18"/>
      <c r="K43328" s="18" t="s">
        <v>316</v>
      </c>
    </row>
    <row r="43329">
      <c r="A43329" s="17"/>
      <c r="H43329" s="18"/>
      <c r="K43329" s="18" t="s">
        <v>316</v>
      </c>
    </row>
    <row r="43330">
      <c r="A43330" s="17"/>
      <c r="H43330" s="18"/>
      <c r="K43330" s="18" t="s">
        <v>316</v>
      </c>
    </row>
    <row r="43331">
      <c r="A43331" s="17"/>
      <c r="H43331" s="18"/>
      <c r="K43331" s="18" t="s">
        <v>316</v>
      </c>
    </row>
    <row r="43332">
      <c r="A43332" s="17"/>
      <c r="H43332" s="18"/>
      <c r="K43332" s="18" t="s">
        <v>316</v>
      </c>
    </row>
    <row r="43333">
      <c r="A43333" s="17"/>
      <c r="H43333" s="18"/>
      <c r="K43333" s="18" t="s">
        <v>316</v>
      </c>
    </row>
    <row r="43334">
      <c r="A43334" s="17"/>
      <c r="H43334" s="18"/>
      <c r="K43334" s="18" t="s">
        <v>316</v>
      </c>
    </row>
    <row r="43335">
      <c r="A43335" s="17"/>
      <c r="H43335" s="18"/>
      <c r="K43335" s="18" t="s">
        <v>316</v>
      </c>
    </row>
    <row r="43336">
      <c r="A43336" s="17"/>
      <c r="H43336" s="18"/>
      <c r="K43336" s="18" t="s">
        <v>316</v>
      </c>
    </row>
    <row r="43337">
      <c r="A43337" s="17"/>
      <c r="H43337" s="18"/>
      <c r="K43337" s="18" t="s">
        <v>316</v>
      </c>
    </row>
    <row r="43338">
      <c r="A43338" s="17"/>
      <c r="H43338" s="18"/>
      <c r="K43338" s="18" t="s">
        <v>316</v>
      </c>
    </row>
    <row r="43339">
      <c r="A43339" s="17"/>
      <c r="H43339" s="18"/>
      <c r="K43339" s="18" t="s">
        <v>316</v>
      </c>
    </row>
    <row r="43340">
      <c r="A43340" s="17"/>
      <c r="H43340" s="18"/>
      <c r="K43340" s="18" t="s">
        <v>316</v>
      </c>
    </row>
    <row r="43341">
      <c r="A43341" s="17"/>
      <c r="H43341" s="18"/>
      <c r="K43341" s="18" t="s">
        <v>316</v>
      </c>
    </row>
    <row r="43342">
      <c r="A43342" s="17"/>
      <c r="H43342" s="18"/>
      <c r="K43342" s="18" t="s">
        <v>316</v>
      </c>
    </row>
    <row r="43343">
      <c r="A43343" s="17"/>
      <c r="H43343" s="18"/>
      <c r="K43343" s="18" t="s">
        <v>316</v>
      </c>
    </row>
    <row r="43344">
      <c r="A43344" s="17"/>
      <c r="H43344" s="18"/>
      <c r="K43344" s="18" t="s">
        <v>316</v>
      </c>
    </row>
    <row r="43345">
      <c r="A43345" s="17"/>
      <c r="H43345" s="18"/>
      <c r="K43345" s="18" t="s">
        <v>316</v>
      </c>
    </row>
    <row r="43346">
      <c r="A43346" s="17"/>
      <c r="H43346" s="18"/>
      <c r="K43346" s="18" t="s">
        <v>316</v>
      </c>
    </row>
    <row r="43347">
      <c r="A43347" s="17"/>
      <c r="H43347" s="18"/>
      <c r="K43347" s="18" t="s">
        <v>316</v>
      </c>
    </row>
    <row r="43348">
      <c r="A43348" s="17"/>
      <c r="H43348" s="18"/>
      <c r="K43348" s="18" t="s">
        <v>316</v>
      </c>
    </row>
    <row r="43349">
      <c r="A43349" s="17"/>
      <c r="H43349" s="18"/>
      <c r="K43349" s="18" t="s">
        <v>316</v>
      </c>
    </row>
    <row r="43350">
      <c r="A43350" s="17"/>
      <c r="H43350" s="18"/>
      <c r="K43350" s="18" t="s">
        <v>316</v>
      </c>
    </row>
    <row r="43351">
      <c r="A43351" s="17"/>
      <c r="H43351" s="18"/>
      <c r="K43351" s="18" t="s">
        <v>316</v>
      </c>
    </row>
    <row r="43352">
      <c r="A43352" s="17"/>
      <c r="H43352" s="18"/>
      <c r="K43352" s="18" t="s">
        <v>316</v>
      </c>
    </row>
    <row r="43353">
      <c r="A43353" s="17"/>
      <c r="H43353" s="18"/>
      <c r="K43353" s="18" t="s">
        <v>316</v>
      </c>
    </row>
    <row r="43354">
      <c r="A43354" s="17"/>
      <c r="H43354" s="18"/>
      <c r="K43354" s="18" t="s">
        <v>316</v>
      </c>
    </row>
    <row r="43355">
      <c r="A43355" s="17"/>
      <c r="H43355" s="18"/>
      <c r="K43355" s="18" t="s">
        <v>316</v>
      </c>
    </row>
    <row r="43356">
      <c r="A43356" s="17"/>
      <c r="H43356" s="18"/>
      <c r="K43356" s="18" t="s">
        <v>316</v>
      </c>
    </row>
    <row r="43357">
      <c r="A43357" s="17"/>
      <c r="H43357" s="18"/>
      <c r="K43357" s="18" t="s">
        <v>316</v>
      </c>
    </row>
    <row r="43358">
      <c r="A43358" s="17"/>
      <c r="H43358" s="18"/>
      <c r="K43358" s="18" t="s">
        <v>316</v>
      </c>
    </row>
    <row r="43359">
      <c r="A43359" s="17"/>
      <c r="H43359" s="18"/>
      <c r="K43359" s="18" t="s">
        <v>316</v>
      </c>
    </row>
    <row r="43360">
      <c r="A43360" s="17"/>
      <c r="H43360" s="18"/>
      <c r="K43360" s="18" t="s">
        <v>316</v>
      </c>
    </row>
    <row r="43361">
      <c r="A43361" s="17"/>
      <c r="H43361" s="18"/>
      <c r="K43361" s="18" t="s">
        <v>316</v>
      </c>
    </row>
    <row r="43362">
      <c r="A43362" s="17"/>
      <c r="H43362" s="18"/>
      <c r="K43362" s="18" t="s">
        <v>316</v>
      </c>
    </row>
    <row r="43363">
      <c r="A43363" s="17"/>
      <c r="H43363" s="18"/>
      <c r="K43363" s="18" t="s">
        <v>316</v>
      </c>
    </row>
    <row r="43364">
      <c r="A43364" s="17"/>
      <c r="H43364" s="18"/>
      <c r="K43364" s="18" t="s">
        <v>316</v>
      </c>
    </row>
    <row r="43365">
      <c r="A43365" s="17"/>
      <c r="H43365" s="18"/>
      <c r="K43365" s="18" t="s">
        <v>316</v>
      </c>
    </row>
    <row r="43366">
      <c r="A43366" s="17"/>
      <c r="H43366" s="18"/>
      <c r="K43366" s="18" t="s">
        <v>316</v>
      </c>
    </row>
    <row r="43367">
      <c r="A43367" s="17"/>
      <c r="H43367" s="18"/>
      <c r="K43367" s="18" t="s">
        <v>316</v>
      </c>
    </row>
    <row r="43368">
      <c r="A43368" s="17"/>
      <c r="H43368" s="18"/>
      <c r="K43368" s="18" t="s">
        <v>316</v>
      </c>
    </row>
    <row r="43369">
      <c r="A43369" s="17"/>
      <c r="H43369" s="18"/>
      <c r="K43369" s="18" t="s">
        <v>316</v>
      </c>
    </row>
    <row r="43370">
      <c r="A43370" s="17"/>
      <c r="H43370" s="18"/>
      <c r="K43370" s="18" t="s">
        <v>316</v>
      </c>
    </row>
    <row r="43371">
      <c r="A43371" s="17"/>
      <c r="H43371" s="18"/>
      <c r="K43371" s="18" t="s">
        <v>316</v>
      </c>
    </row>
    <row r="43372">
      <c r="A43372" s="17"/>
      <c r="H43372" s="18"/>
      <c r="K43372" s="18" t="s">
        <v>316</v>
      </c>
    </row>
    <row r="43373">
      <c r="A43373" s="17"/>
      <c r="H43373" s="18"/>
      <c r="K43373" s="18" t="s">
        <v>316</v>
      </c>
    </row>
    <row r="43374">
      <c r="A43374" s="17"/>
      <c r="H43374" s="18"/>
      <c r="K43374" s="18" t="s">
        <v>316</v>
      </c>
    </row>
    <row r="43375">
      <c r="A43375" s="17"/>
      <c r="H43375" s="18"/>
      <c r="K43375" s="18" t="s">
        <v>316</v>
      </c>
    </row>
    <row r="43376">
      <c r="A43376" s="17"/>
      <c r="H43376" s="18"/>
      <c r="K43376" s="18" t="s">
        <v>316</v>
      </c>
    </row>
    <row r="43377">
      <c r="A43377" s="17"/>
      <c r="H43377" s="18"/>
      <c r="K43377" s="18" t="s">
        <v>316</v>
      </c>
    </row>
    <row r="43378">
      <c r="A43378" s="17"/>
      <c r="H43378" s="18"/>
      <c r="K43378" s="18" t="s">
        <v>316</v>
      </c>
    </row>
    <row r="43379">
      <c r="A43379" s="17"/>
      <c r="H43379" s="18"/>
      <c r="K43379" s="18" t="s">
        <v>316</v>
      </c>
    </row>
    <row r="43380">
      <c r="A43380" s="17"/>
      <c r="H43380" s="18"/>
      <c r="K43380" s="18" t="s">
        <v>316</v>
      </c>
    </row>
    <row r="43381">
      <c r="A43381" s="17"/>
      <c r="H43381" s="18"/>
      <c r="K43381" s="18" t="s">
        <v>316</v>
      </c>
    </row>
    <row r="43382">
      <c r="A43382" s="17"/>
      <c r="H43382" s="18"/>
      <c r="K43382" s="18" t="s">
        <v>316</v>
      </c>
    </row>
    <row r="43383">
      <c r="A43383" s="17"/>
      <c r="H43383" s="18"/>
      <c r="K43383" s="18" t="s">
        <v>316</v>
      </c>
    </row>
    <row r="43384">
      <c r="A43384" s="17"/>
      <c r="H43384" s="18"/>
      <c r="K43384" s="18" t="s">
        <v>316</v>
      </c>
    </row>
    <row r="43385">
      <c r="A43385" s="17"/>
      <c r="H43385" s="18"/>
      <c r="K43385" s="18" t="s">
        <v>316</v>
      </c>
    </row>
    <row r="43386">
      <c r="A43386" s="17"/>
      <c r="H43386" s="18"/>
      <c r="K43386" s="18" t="s">
        <v>316</v>
      </c>
    </row>
    <row r="43387">
      <c r="A43387" s="17"/>
      <c r="H43387" s="18"/>
      <c r="K43387" s="18" t="s">
        <v>316</v>
      </c>
    </row>
    <row r="43388">
      <c r="A43388" s="17"/>
      <c r="H43388" s="18"/>
      <c r="K43388" s="18" t="s">
        <v>316</v>
      </c>
    </row>
    <row r="43389">
      <c r="A43389" s="17"/>
      <c r="H43389" s="18"/>
      <c r="K43389" s="18" t="s">
        <v>316</v>
      </c>
    </row>
    <row r="43390">
      <c r="A43390" s="17"/>
      <c r="H43390" s="18"/>
      <c r="K43390" s="18" t="s">
        <v>316</v>
      </c>
    </row>
    <row r="43391">
      <c r="A43391" s="17"/>
      <c r="H43391" s="18"/>
      <c r="K43391" s="18" t="s">
        <v>316</v>
      </c>
    </row>
    <row r="43392">
      <c r="A43392" s="17"/>
      <c r="H43392" s="18"/>
      <c r="K43392" s="18" t="s">
        <v>316</v>
      </c>
    </row>
    <row r="43393">
      <c r="A43393" s="17"/>
      <c r="H43393" s="18"/>
      <c r="K43393" s="18" t="s">
        <v>316</v>
      </c>
    </row>
    <row r="43394">
      <c r="A43394" s="17"/>
      <c r="H43394" s="18"/>
      <c r="K43394" s="18" t="s">
        <v>316</v>
      </c>
    </row>
    <row r="43395">
      <c r="A43395" s="17"/>
      <c r="H43395" s="18"/>
      <c r="K43395" s="18" t="s">
        <v>316</v>
      </c>
    </row>
    <row r="43396">
      <c r="A43396" s="17"/>
      <c r="H43396" s="18"/>
      <c r="K43396" s="18" t="s">
        <v>316</v>
      </c>
    </row>
    <row r="43397">
      <c r="A43397" s="17"/>
      <c r="H43397" s="18"/>
      <c r="K43397" s="18" t="s">
        <v>316</v>
      </c>
    </row>
    <row r="43398">
      <c r="A43398" s="17"/>
      <c r="H43398" s="18"/>
      <c r="K43398" s="18" t="s">
        <v>316</v>
      </c>
    </row>
    <row r="43399">
      <c r="A43399" s="17"/>
      <c r="H43399" s="18"/>
      <c r="K43399" s="18" t="s">
        <v>316</v>
      </c>
    </row>
    <row r="43400">
      <c r="A43400" s="17"/>
      <c r="H43400" s="18"/>
      <c r="K43400" s="18" t="s">
        <v>316</v>
      </c>
    </row>
    <row r="43401">
      <c r="A43401" s="17"/>
      <c r="H43401" s="18"/>
      <c r="K43401" s="18" t="s">
        <v>316</v>
      </c>
    </row>
    <row r="43402">
      <c r="A43402" s="17"/>
      <c r="H43402" s="18"/>
      <c r="K43402" s="18" t="s">
        <v>316</v>
      </c>
    </row>
    <row r="43403">
      <c r="A43403" s="17"/>
      <c r="H43403" s="18"/>
      <c r="K43403" s="18" t="s">
        <v>316</v>
      </c>
    </row>
    <row r="43404">
      <c r="A43404" s="17"/>
      <c r="H43404" s="18"/>
      <c r="K43404" s="18" t="s">
        <v>316</v>
      </c>
    </row>
    <row r="43405">
      <c r="A43405" s="17"/>
      <c r="H43405" s="18"/>
      <c r="K43405" s="18" t="s">
        <v>316</v>
      </c>
    </row>
    <row r="43406">
      <c r="A43406" s="17"/>
      <c r="H43406" s="18"/>
      <c r="K43406" s="18" t="s">
        <v>316</v>
      </c>
    </row>
    <row r="43407">
      <c r="A43407" s="17"/>
      <c r="H43407" s="18"/>
      <c r="K43407" s="18" t="s">
        <v>316</v>
      </c>
    </row>
    <row r="43408">
      <c r="A43408" s="17"/>
      <c r="H43408" s="18"/>
      <c r="K43408" s="18" t="s">
        <v>316</v>
      </c>
    </row>
    <row r="43409">
      <c r="A43409" s="17"/>
      <c r="H43409" s="18"/>
      <c r="K43409" s="18" t="s">
        <v>316</v>
      </c>
    </row>
    <row r="43410">
      <c r="A43410" s="17"/>
      <c r="H43410" s="18"/>
      <c r="K43410" s="18" t="s">
        <v>316</v>
      </c>
    </row>
    <row r="43411">
      <c r="A43411" s="17"/>
      <c r="H43411" s="18"/>
      <c r="K43411" s="18" t="s">
        <v>316</v>
      </c>
    </row>
    <row r="43412">
      <c r="A43412" s="17"/>
      <c r="H43412" s="18"/>
      <c r="K43412" s="18" t="s">
        <v>316</v>
      </c>
    </row>
    <row r="43413">
      <c r="A43413" s="17"/>
      <c r="H43413" s="18"/>
      <c r="K43413" s="18" t="s">
        <v>316</v>
      </c>
    </row>
    <row r="43414">
      <c r="A43414" s="17"/>
      <c r="H43414" s="18"/>
      <c r="K43414" s="18" t="s">
        <v>316</v>
      </c>
    </row>
    <row r="43415">
      <c r="A43415" s="17"/>
      <c r="H43415" s="18"/>
      <c r="K43415" s="18" t="s">
        <v>316</v>
      </c>
    </row>
    <row r="43416">
      <c r="A43416" s="17"/>
      <c r="H43416" s="18"/>
      <c r="K43416" s="18" t="s">
        <v>316</v>
      </c>
    </row>
    <row r="43417">
      <c r="A43417" s="17"/>
      <c r="H43417" s="18"/>
      <c r="K43417" s="18" t="s">
        <v>316</v>
      </c>
    </row>
    <row r="43418">
      <c r="A43418" s="17"/>
      <c r="H43418" s="18"/>
      <c r="K43418" s="18" t="s">
        <v>316</v>
      </c>
    </row>
    <row r="43419">
      <c r="A43419" s="17"/>
      <c r="H43419" s="18"/>
      <c r="K43419" s="18" t="s">
        <v>316</v>
      </c>
    </row>
    <row r="43420">
      <c r="A43420" s="17"/>
      <c r="H43420" s="18"/>
      <c r="K43420" s="18" t="s">
        <v>316</v>
      </c>
    </row>
    <row r="43421">
      <c r="A43421" s="17"/>
      <c r="H43421" s="18"/>
      <c r="K43421" s="18" t="s">
        <v>316</v>
      </c>
    </row>
    <row r="43422">
      <c r="A43422" s="17"/>
      <c r="H43422" s="18"/>
      <c r="K43422" s="18" t="s">
        <v>316</v>
      </c>
    </row>
    <row r="43423">
      <c r="A43423" s="17"/>
      <c r="H43423" s="18"/>
      <c r="K43423" s="18" t="s">
        <v>316</v>
      </c>
    </row>
    <row r="43424">
      <c r="A43424" s="17"/>
      <c r="H43424" s="18"/>
      <c r="K43424" s="18" t="s">
        <v>316</v>
      </c>
    </row>
    <row r="43425">
      <c r="A43425" s="17"/>
      <c r="H43425" s="18"/>
      <c r="K43425" s="18" t="s">
        <v>316</v>
      </c>
    </row>
    <row r="43426">
      <c r="A43426" s="17"/>
      <c r="H43426" s="18"/>
      <c r="K43426" s="18" t="s">
        <v>316</v>
      </c>
    </row>
    <row r="43427">
      <c r="A43427" s="17"/>
      <c r="H43427" s="18"/>
      <c r="K43427" s="18" t="s">
        <v>316</v>
      </c>
    </row>
    <row r="43428">
      <c r="A43428" s="17"/>
      <c r="H43428" s="18"/>
      <c r="K43428" s="18" t="s">
        <v>316</v>
      </c>
    </row>
    <row r="43429">
      <c r="A43429" s="17"/>
      <c r="H43429" s="18"/>
      <c r="K43429" s="18" t="s">
        <v>316</v>
      </c>
    </row>
    <row r="43430">
      <c r="A43430" s="17"/>
      <c r="H43430" s="18"/>
      <c r="K43430" s="18" t="s">
        <v>316</v>
      </c>
    </row>
    <row r="43431">
      <c r="A43431" s="17"/>
      <c r="H43431" s="18"/>
      <c r="K43431" s="18" t="s">
        <v>316</v>
      </c>
    </row>
    <row r="43432">
      <c r="A43432" s="17"/>
      <c r="H43432" s="18"/>
      <c r="K43432" s="18" t="s">
        <v>316</v>
      </c>
    </row>
    <row r="43433">
      <c r="A43433" s="17"/>
      <c r="H43433" s="18"/>
      <c r="K43433" s="18" t="s">
        <v>316</v>
      </c>
    </row>
    <row r="43434">
      <c r="A43434" s="17"/>
      <c r="H43434" s="18"/>
      <c r="K43434" s="18" t="s">
        <v>316</v>
      </c>
    </row>
    <row r="43435">
      <c r="A43435" s="17"/>
      <c r="H43435" s="18"/>
      <c r="K43435" s="18" t="s">
        <v>316</v>
      </c>
    </row>
    <row r="43436">
      <c r="A43436" s="17"/>
      <c r="H43436" s="18"/>
      <c r="K43436" s="18" t="s">
        <v>316</v>
      </c>
    </row>
    <row r="43437">
      <c r="A43437" s="17"/>
      <c r="H43437" s="18"/>
      <c r="K43437" s="18" t="s">
        <v>316</v>
      </c>
    </row>
    <row r="43438">
      <c r="A43438" s="17"/>
      <c r="H43438" s="18"/>
      <c r="K43438" s="18" t="s">
        <v>316</v>
      </c>
    </row>
    <row r="43439">
      <c r="A43439" s="17"/>
      <c r="H43439" s="18"/>
      <c r="K43439" s="18" t="s">
        <v>316</v>
      </c>
    </row>
    <row r="43440">
      <c r="A43440" s="17"/>
      <c r="H43440" s="18"/>
      <c r="K43440" s="18" t="s">
        <v>316</v>
      </c>
    </row>
    <row r="43441">
      <c r="A43441" s="17"/>
      <c r="H43441" s="18"/>
      <c r="K43441" s="18" t="s">
        <v>316</v>
      </c>
    </row>
    <row r="43442">
      <c r="A43442" s="17"/>
      <c r="H43442" s="18"/>
      <c r="K43442" s="18" t="s">
        <v>316</v>
      </c>
    </row>
    <row r="43443">
      <c r="A43443" s="17"/>
      <c r="H43443" s="18"/>
      <c r="K43443" s="18" t="s">
        <v>316</v>
      </c>
    </row>
    <row r="43444">
      <c r="A43444" s="17"/>
      <c r="H43444" s="18"/>
      <c r="K43444" s="18" t="s">
        <v>316</v>
      </c>
    </row>
    <row r="43445">
      <c r="A43445" s="17"/>
      <c r="H43445" s="18"/>
      <c r="K43445" s="18" t="s">
        <v>316</v>
      </c>
    </row>
    <row r="43446">
      <c r="A43446" s="17"/>
      <c r="H43446" s="18"/>
      <c r="K43446" s="18" t="s">
        <v>316</v>
      </c>
    </row>
    <row r="43447">
      <c r="A43447" s="17"/>
      <c r="H43447" s="18"/>
      <c r="K43447" s="18" t="s">
        <v>316</v>
      </c>
    </row>
    <row r="43448">
      <c r="A43448" s="17"/>
      <c r="H43448" s="18"/>
      <c r="K43448" s="18" t="s">
        <v>316</v>
      </c>
    </row>
    <row r="43449">
      <c r="A43449" s="17"/>
      <c r="H43449" s="18"/>
      <c r="K43449" s="18" t="s">
        <v>316</v>
      </c>
    </row>
    <row r="43450">
      <c r="A43450" s="17"/>
      <c r="H43450" s="18"/>
      <c r="K43450" s="18" t="s">
        <v>316</v>
      </c>
    </row>
    <row r="43451">
      <c r="A43451" s="17"/>
      <c r="H43451" s="18"/>
      <c r="K43451" s="18" t="s">
        <v>316</v>
      </c>
    </row>
    <row r="43452">
      <c r="A43452" s="17"/>
      <c r="H43452" s="18"/>
      <c r="K43452" s="18" t="s">
        <v>316</v>
      </c>
    </row>
    <row r="43453">
      <c r="A43453" s="17"/>
      <c r="H43453" s="18"/>
      <c r="K43453" s="18" t="s">
        <v>316</v>
      </c>
    </row>
    <row r="43454">
      <c r="A43454" s="17"/>
      <c r="H43454" s="18"/>
      <c r="K43454" s="18" t="s">
        <v>316</v>
      </c>
    </row>
    <row r="43455">
      <c r="A43455" s="17"/>
      <c r="H43455" s="18"/>
      <c r="K43455" s="18" t="s">
        <v>316</v>
      </c>
    </row>
    <row r="43456">
      <c r="A43456" s="17"/>
      <c r="H43456" s="18"/>
      <c r="K43456" s="18" t="s">
        <v>316</v>
      </c>
    </row>
    <row r="43457">
      <c r="A43457" s="17"/>
      <c r="H43457" s="18"/>
      <c r="K43457" s="18" t="s">
        <v>316</v>
      </c>
    </row>
    <row r="43458">
      <c r="A43458" s="17"/>
      <c r="H43458" s="18"/>
      <c r="K43458" s="18" t="s">
        <v>316</v>
      </c>
    </row>
    <row r="43459">
      <c r="A43459" s="17"/>
      <c r="H43459" s="18"/>
      <c r="K43459" s="18" t="s">
        <v>316</v>
      </c>
    </row>
    <row r="43460">
      <c r="A43460" s="17"/>
      <c r="H43460" s="18"/>
      <c r="K43460" s="18" t="s">
        <v>316</v>
      </c>
    </row>
    <row r="43461">
      <c r="A43461" s="17"/>
      <c r="H43461" s="18"/>
      <c r="K43461" s="18" t="s">
        <v>316</v>
      </c>
    </row>
    <row r="43462">
      <c r="A43462" s="17"/>
      <c r="H43462" s="18"/>
      <c r="K43462" s="18" t="s">
        <v>316</v>
      </c>
    </row>
    <row r="43463">
      <c r="A43463" s="17"/>
      <c r="H43463" s="18"/>
      <c r="K43463" s="18" t="s">
        <v>316</v>
      </c>
    </row>
    <row r="43464">
      <c r="A43464" s="17"/>
      <c r="H43464" s="18"/>
      <c r="K43464" s="18" t="s">
        <v>316</v>
      </c>
    </row>
    <row r="43465">
      <c r="A43465" s="17"/>
      <c r="H43465" s="18"/>
      <c r="K43465" s="18" t="s">
        <v>316</v>
      </c>
    </row>
    <row r="43466">
      <c r="A43466" s="17"/>
      <c r="H43466" s="18"/>
      <c r="K43466" s="18" t="s">
        <v>316</v>
      </c>
    </row>
    <row r="43467">
      <c r="A43467" s="17"/>
      <c r="H43467" s="18"/>
      <c r="K43467" s="18" t="s">
        <v>316</v>
      </c>
    </row>
    <row r="43468">
      <c r="A43468" s="17"/>
      <c r="H43468" s="18"/>
      <c r="K43468" s="18" t="s">
        <v>316</v>
      </c>
    </row>
    <row r="43469">
      <c r="A43469" s="17"/>
      <c r="H43469" s="18"/>
      <c r="K43469" s="18" t="s">
        <v>316</v>
      </c>
    </row>
    <row r="43470">
      <c r="A43470" s="17"/>
      <c r="H43470" s="18"/>
      <c r="K43470" s="18" t="s">
        <v>316</v>
      </c>
    </row>
    <row r="43471">
      <c r="A43471" s="17"/>
      <c r="H43471" s="18"/>
      <c r="K43471" s="18" t="s">
        <v>316</v>
      </c>
    </row>
    <row r="43472">
      <c r="A43472" s="17"/>
      <c r="H43472" s="18"/>
      <c r="K43472" s="18" t="s">
        <v>316</v>
      </c>
    </row>
    <row r="43473">
      <c r="A43473" s="17"/>
      <c r="H43473" s="18"/>
      <c r="K43473" s="18" t="s">
        <v>316</v>
      </c>
    </row>
    <row r="43474">
      <c r="A43474" s="17"/>
      <c r="H43474" s="18"/>
      <c r="K43474" s="18" t="s">
        <v>316</v>
      </c>
    </row>
    <row r="43475">
      <c r="A43475" s="17"/>
      <c r="H43475" s="18"/>
      <c r="K43475" s="18" t="s">
        <v>316</v>
      </c>
    </row>
    <row r="43476">
      <c r="A43476" s="17"/>
      <c r="H43476" s="18"/>
      <c r="K43476" s="18" t="s">
        <v>316</v>
      </c>
    </row>
    <row r="43477">
      <c r="A43477" s="17"/>
      <c r="H43477" s="18"/>
      <c r="K43477" s="18" t="s">
        <v>316</v>
      </c>
    </row>
    <row r="43478">
      <c r="A43478" s="17"/>
      <c r="H43478" s="18"/>
      <c r="K43478" s="18" t="s">
        <v>316</v>
      </c>
    </row>
    <row r="43479">
      <c r="A43479" s="17"/>
      <c r="H43479" s="18"/>
      <c r="K43479" s="18" t="s">
        <v>316</v>
      </c>
    </row>
    <row r="43480">
      <c r="A43480" s="17"/>
      <c r="H43480" s="18"/>
      <c r="K43480" s="18" t="s">
        <v>316</v>
      </c>
    </row>
    <row r="43481">
      <c r="A43481" s="17"/>
      <c r="H43481" s="18"/>
      <c r="K43481" s="18" t="s">
        <v>316</v>
      </c>
    </row>
    <row r="43482">
      <c r="A43482" s="17"/>
      <c r="H43482" s="18"/>
      <c r="K43482" s="18" t="s">
        <v>316</v>
      </c>
    </row>
    <row r="43483">
      <c r="A43483" s="17"/>
      <c r="H43483" s="18"/>
      <c r="K43483" s="18" t="s">
        <v>316</v>
      </c>
    </row>
    <row r="43484">
      <c r="A43484" s="17"/>
      <c r="H43484" s="18"/>
      <c r="K43484" s="18" t="s">
        <v>316</v>
      </c>
    </row>
    <row r="43485">
      <c r="A43485" s="17"/>
      <c r="H43485" s="18"/>
      <c r="K43485" s="18" t="s">
        <v>316</v>
      </c>
    </row>
    <row r="43486">
      <c r="A43486" s="17"/>
      <c r="H43486" s="18"/>
      <c r="K43486" s="18" t="s">
        <v>316</v>
      </c>
    </row>
    <row r="43487">
      <c r="A43487" s="17"/>
      <c r="H43487" s="18"/>
      <c r="K43487" s="18" t="s">
        <v>316</v>
      </c>
    </row>
    <row r="43488">
      <c r="A43488" s="17"/>
      <c r="H43488" s="18"/>
      <c r="K43488" s="18" t="s">
        <v>316</v>
      </c>
    </row>
    <row r="43489">
      <c r="A43489" s="17"/>
      <c r="H43489" s="18"/>
      <c r="K43489" s="18" t="s">
        <v>316</v>
      </c>
    </row>
    <row r="43490">
      <c r="A43490" s="17"/>
      <c r="H43490" s="18"/>
      <c r="K43490" s="18" t="s">
        <v>316</v>
      </c>
    </row>
    <row r="43491">
      <c r="A43491" s="17"/>
      <c r="H43491" s="18"/>
      <c r="K43491" s="18" t="s">
        <v>316</v>
      </c>
    </row>
    <row r="43492">
      <c r="A43492" s="17"/>
      <c r="H43492" s="18"/>
      <c r="K43492" s="18" t="s">
        <v>316</v>
      </c>
    </row>
    <row r="43493">
      <c r="A43493" s="17"/>
      <c r="H43493" s="18"/>
      <c r="K43493" s="18" t="s">
        <v>316</v>
      </c>
    </row>
    <row r="43494">
      <c r="A43494" s="17"/>
      <c r="H43494" s="18"/>
      <c r="K43494" s="18" t="s">
        <v>316</v>
      </c>
    </row>
    <row r="43495">
      <c r="A43495" s="17"/>
      <c r="H43495" s="18"/>
      <c r="K43495" s="18" t="s">
        <v>316</v>
      </c>
    </row>
    <row r="43496">
      <c r="A43496" s="17"/>
      <c r="H43496" s="18"/>
      <c r="K43496" s="18" t="s">
        <v>316</v>
      </c>
    </row>
    <row r="43497">
      <c r="A43497" s="17"/>
      <c r="H43497" s="18"/>
      <c r="K43497" s="18" t="s">
        <v>316</v>
      </c>
    </row>
    <row r="43498">
      <c r="A43498" s="17"/>
      <c r="H43498" s="18"/>
      <c r="K43498" s="18" t="s">
        <v>316</v>
      </c>
    </row>
    <row r="43499">
      <c r="A43499" s="17"/>
      <c r="H43499" s="18"/>
      <c r="K43499" s="18" t="s">
        <v>316</v>
      </c>
    </row>
    <row r="43500">
      <c r="A43500" s="17"/>
      <c r="H43500" s="18"/>
      <c r="K43500" s="18" t="s">
        <v>316</v>
      </c>
    </row>
    <row r="43501">
      <c r="A43501" s="17"/>
      <c r="H43501" s="18"/>
      <c r="K43501" s="18" t="s">
        <v>316</v>
      </c>
    </row>
    <row r="43502">
      <c r="A43502" s="17"/>
      <c r="H43502" s="18"/>
      <c r="K43502" s="18" t="s">
        <v>316</v>
      </c>
    </row>
    <row r="43503">
      <c r="A43503" s="17"/>
      <c r="H43503" s="18"/>
      <c r="K43503" s="18" t="s">
        <v>316</v>
      </c>
    </row>
    <row r="43504">
      <c r="A43504" s="17"/>
      <c r="H43504" s="18"/>
      <c r="K43504" s="18" t="s">
        <v>316</v>
      </c>
    </row>
    <row r="43505">
      <c r="A43505" s="17"/>
      <c r="H43505" s="18"/>
      <c r="K43505" s="18" t="s">
        <v>316</v>
      </c>
    </row>
    <row r="43506">
      <c r="A43506" s="17"/>
      <c r="H43506" s="18"/>
      <c r="K43506" s="18" t="s">
        <v>316</v>
      </c>
    </row>
    <row r="43507">
      <c r="A43507" s="17"/>
      <c r="H43507" s="18"/>
      <c r="K43507" s="18" t="s">
        <v>316</v>
      </c>
    </row>
    <row r="43508">
      <c r="A43508" s="17"/>
      <c r="H43508" s="18"/>
      <c r="K43508" s="18" t="s">
        <v>316</v>
      </c>
    </row>
    <row r="43509">
      <c r="A43509" s="17"/>
      <c r="H43509" s="18"/>
      <c r="K43509" s="18" t="s">
        <v>316</v>
      </c>
    </row>
    <row r="43510">
      <c r="A43510" s="17"/>
      <c r="H43510" s="18"/>
      <c r="K43510" s="18" t="s">
        <v>316</v>
      </c>
    </row>
    <row r="43511">
      <c r="A43511" s="17"/>
      <c r="H43511" s="18"/>
      <c r="K43511" s="18" t="s">
        <v>316</v>
      </c>
    </row>
    <row r="43512">
      <c r="A43512" s="17"/>
      <c r="H43512" s="18"/>
      <c r="K43512" s="18" t="s">
        <v>316</v>
      </c>
    </row>
    <row r="43513">
      <c r="A43513" s="17"/>
      <c r="H43513" s="18"/>
      <c r="K43513" s="18" t="s">
        <v>316</v>
      </c>
    </row>
    <row r="43514">
      <c r="A43514" s="17"/>
      <c r="H43514" s="18"/>
      <c r="K43514" s="18" t="s">
        <v>316</v>
      </c>
    </row>
    <row r="43515">
      <c r="A43515" s="17"/>
      <c r="H43515" s="18"/>
      <c r="K43515" s="18" t="s">
        <v>316</v>
      </c>
    </row>
    <row r="43516">
      <c r="A43516" s="17"/>
      <c r="H43516" s="18"/>
      <c r="K43516" s="18" t="s">
        <v>316</v>
      </c>
    </row>
    <row r="43517">
      <c r="A43517" s="17"/>
      <c r="H43517" s="18"/>
      <c r="K43517" s="18" t="s">
        <v>316</v>
      </c>
    </row>
    <row r="43518">
      <c r="A43518" s="17"/>
      <c r="H43518" s="18"/>
      <c r="K43518" s="18" t="s">
        <v>316</v>
      </c>
    </row>
    <row r="43519">
      <c r="A43519" s="17"/>
      <c r="H43519" s="18"/>
      <c r="K43519" s="18" t="s">
        <v>316</v>
      </c>
    </row>
    <row r="43520">
      <c r="A43520" s="17"/>
      <c r="H43520" s="18"/>
      <c r="K43520" s="18" t="s">
        <v>316</v>
      </c>
    </row>
    <row r="43521">
      <c r="A43521" s="17"/>
      <c r="H43521" s="18"/>
      <c r="K43521" s="18" t="s">
        <v>316</v>
      </c>
    </row>
    <row r="43522">
      <c r="A43522" s="17"/>
      <c r="H43522" s="18"/>
      <c r="K43522" s="18" t="s">
        <v>316</v>
      </c>
    </row>
    <row r="43523">
      <c r="A43523" s="17"/>
      <c r="H43523" s="18"/>
      <c r="K43523" s="18" t="s">
        <v>316</v>
      </c>
    </row>
    <row r="43524">
      <c r="A43524" s="17"/>
      <c r="H43524" s="18"/>
      <c r="K43524" s="18" t="s">
        <v>316</v>
      </c>
    </row>
    <row r="43525">
      <c r="A43525" s="17"/>
      <c r="H43525" s="18"/>
      <c r="K43525" s="18" t="s">
        <v>316</v>
      </c>
    </row>
    <row r="43526">
      <c r="A43526" s="17"/>
      <c r="H43526" s="18"/>
      <c r="K43526" s="18" t="s">
        <v>316</v>
      </c>
    </row>
    <row r="43527">
      <c r="A43527" s="17"/>
      <c r="H43527" s="18"/>
      <c r="K43527" s="18" t="s">
        <v>316</v>
      </c>
    </row>
    <row r="43528">
      <c r="A43528" s="17"/>
      <c r="H43528" s="18"/>
      <c r="K43528" s="18" t="s">
        <v>316</v>
      </c>
    </row>
    <row r="43529">
      <c r="A43529" s="17"/>
      <c r="H43529" s="18"/>
      <c r="K43529" s="18" t="s">
        <v>316</v>
      </c>
    </row>
    <row r="43530">
      <c r="A43530" s="17"/>
      <c r="H43530" s="18"/>
      <c r="K43530" s="18" t="s">
        <v>316</v>
      </c>
    </row>
    <row r="43531">
      <c r="A43531" s="17"/>
      <c r="H43531" s="18"/>
      <c r="K43531" s="18" t="s">
        <v>316</v>
      </c>
    </row>
    <row r="43532">
      <c r="A43532" s="17"/>
      <c r="H43532" s="18"/>
      <c r="K43532" s="18" t="s">
        <v>316</v>
      </c>
    </row>
    <row r="43533">
      <c r="A43533" s="17"/>
      <c r="H43533" s="18"/>
      <c r="K43533" s="18" t="s">
        <v>316</v>
      </c>
    </row>
    <row r="43534">
      <c r="A43534" s="17"/>
      <c r="H43534" s="18"/>
      <c r="K43534" s="18" t="s">
        <v>316</v>
      </c>
    </row>
    <row r="43535">
      <c r="A43535" s="17"/>
      <c r="H43535" s="18"/>
      <c r="K43535" s="18" t="s">
        <v>316</v>
      </c>
    </row>
    <row r="43536">
      <c r="A43536" s="17"/>
      <c r="H43536" s="18"/>
      <c r="K43536" s="18" t="s">
        <v>316</v>
      </c>
    </row>
    <row r="43537">
      <c r="A43537" s="17"/>
      <c r="H43537" s="18"/>
      <c r="K43537" s="18" t="s">
        <v>316</v>
      </c>
    </row>
    <row r="43538">
      <c r="A43538" s="17"/>
      <c r="H43538" s="18"/>
      <c r="K43538" s="18" t="s">
        <v>316</v>
      </c>
    </row>
    <row r="43539">
      <c r="A43539" s="17"/>
      <c r="H43539" s="18"/>
      <c r="K43539" s="18" t="s">
        <v>316</v>
      </c>
    </row>
    <row r="43540">
      <c r="A43540" s="17"/>
      <c r="H43540" s="18"/>
      <c r="K43540" s="18" t="s">
        <v>316</v>
      </c>
    </row>
    <row r="43541">
      <c r="A43541" s="17"/>
      <c r="H43541" s="18"/>
      <c r="K43541" s="18" t="s">
        <v>316</v>
      </c>
    </row>
    <row r="43542">
      <c r="A43542" s="17"/>
      <c r="H43542" s="18"/>
      <c r="K43542" s="18" t="s">
        <v>316</v>
      </c>
    </row>
    <row r="43543">
      <c r="A43543" s="17"/>
      <c r="H43543" s="18"/>
      <c r="K43543" s="18" t="s">
        <v>316</v>
      </c>
    </row>
    <row r="43544">
      <c r="A43544" s="17"/>
      <c r="H43544" s="18"/>
      <c r="K43544" s="18" t="s">
        <v>316</v>
      </c>
    </row>
    <row r="43545">
      <c r="A43545" s="17"/>
      <c r="H43545" s="18"/>
      <c r="K43545" s="18" t="s">
        <v>316</v>
      </c>
    </row>
    <row r="43546">
      <c r="A43546" s="17"/>
      <c r="H43546" s="18"/>
      <c r="K43546" s="18" t="s">
        <v>316</v>
      </c>
    </row>
    <row r="43547">
      <c r="A43547" s="17"/>
      <c r="H43547" s="18"/>
      <c r="K43547" s="18" t="s">
        <v>316</v>
      </c>
    </row>
    <row r="43548">
      <c r="A43548" s="17"/>
      <c r="H43548" s="18"/>
      <c r="K43548" s="18" t="s">
        <v>316</v>
      </c>
    </row>
    <row r="43549">
      <c r="A43549" s="17"/>
      <c r="H43549" s="18"/>
      <c r="K43549" s="18" t="s">
        <v>316</v>
      </c>
    </row>
    <row r="43550">
      <c r="A43550" s="17"/>
      <c r="H43550" s="18"/>
      <c r="K43550" s="18" t="s">
        <v>316</v>
      </c>
    </row>
    <row r="43551">
      <c r="A43551" s="17"/>
      <c r="H43551" s="18"/>
      <c r="K43551" s="18" t="s">
        <v>316</v>
      </c>
    </row>
    <row r="43552">
      <c r="A43552" s="17"/>
      <c r="H43552" s="18"/>
      <c r="K43552" s="18" t="s">
        <v>316</v>
      </c>
    </row>
    <row r="43553">
      <c r="A43553" s="17"/>
      <c r="H43553" s="18"/>
      <c r="K43553" s="18" t="s">
        <v>316</v>
      </c>
    </row>
    <row r="43554">
      <c r="A43554" s="17"/>
      <c r="H43554" s="18"/>
      <c r="K43554" s="18" t="s">
        <v>316</v>
      </c>
    </row>
    <row r="43555">
      <c r="A43555" s="17"/>
      <c r="H43555" s="18"/>
      <c r="K43555" s="18" t="s">
        <v>316</v>
      </c>
    </row>
    <row r="43556">
      <c r="A43556" s="17"/>
      <c r="H43556" s="18"/>
      <c r="K43556" s="18" t="s">
        <v>316</v>
      </c>
    </row>
    <row r="43557">
      <c r="A43557" s="17"/>
      <c r="H43557" s="18"/>
      <c r="K43557" s="18" t="s">
        <v>316</v>
      </c>
    </row>
    <row r="43558">
      <c r="A43558" s="17"/>
      <c r="H43558" s="18"/>
      <c r="K43558" s="18" t="s">
        <v>316</v>
      </c>
    </row>
    <row r="43559">
      <c r="A43559" s="17"/>
      <c r="H43559" s="18"/>
      <c r="K43559" s="18" t="s">
        <v>316</v>
      </c>
    </row>
    <row r="43560">
      <c r="A43560" s="17"/>
      <c r="H43560" s="18"/>
      <c r="K43560" s="18" t="s">
        <v>316</v>
      </c>
    </row>
    <row r="43561">
      <c r="A43561" s="17"/>
      <c r="H43561" s="18"/>
      <c r="K43561" s="18" t="s">
        <v>316</v>
      </c>
    </row>
    <row r="43562">
      <c r="A43562" s="17"/>
      <c r="H43562" s="18"/>
      <c r="K43562" s="18" t="s">
        <v>316</v>
      </c>
    </row>
    <row r="43563">
      <c r="A43563" s="17"/>
      <c r="H43563" s="18"/>
      <c r="K43563" s="18" t="s">
        <v>316</v>
      </c>
    </row>
    <row r="43564">
      <c r="A43564" s="17"/>
      <c r="H43564" s="18"/>
      <c r="K43564" s="18" t="s">
        <v>316</v>
      </c>
    </row>
    <row r="43565">
      <c r="A43565" s="17"/>
      <c r="H43565" s="18"/>
      <c r="K43565" s="18" t="s">
        <v>316</v>
      </c>
    </row>
    <row r="43566">
      <c r="A43566" s="17"/>
      <c r="H43566" s="18"/>
      <c r="K43566" s="18" t="s">
        <v>316</v>
      </c>
    </row>
    <row r="43567">
      <c r="A43567" s="17"/>
      <c r="H43567" s="18"/>
      <c r="K43567" s="18" t="s">
        <v>316</v>
      </c>
    </row>
    <row r="43568">
      <c r="A43568" s="17"/>
      <c r="H43568" s="18"/>
      <c r="K43568" s="18" t="s">
        <v>316</v>
      </c>
    </row>
    <row r="43569">
      <c r="A43569" s="17"/>
      <c r="H43569" s="18"/>
      <c r="K43569" s="18" t="s">
        <v>316</v>
      </c>
    </row>
    <row r="43570">
      <c r="A43570" s="17"/>
      <c r="H43570" s="18"/>
      <c r="K43570" s="18" t="s">
        <v>316</v>
      </c>
    </row>
    <row r="43571">
      <c r="A43571" s="17"/>
      <c r="H43571" s="18"/>
      <c r="K43571" s="18" t="s">
        <v>316</v>
      </c>
    </row>
    <row r="43572">
      <c r="A43572" s="17"/>
      <c r="H43572" s="18"/>
      <c r="K43572" s="18" t="s">
        <v>316</v>
      </c>
    </row>
    <row r="43573">
      <c r="A43573" s="17"/>
      <c r="H43573" s="18"/>
      <c r="K43573" s="18" t="s">
        <v>316</v>
      </c>
    </row>
    <row r="43574">
      <c r="A43574" s="17"/>
      <c r="H43574" s="18"/>
      <c r="K43574" s="18" t="s">
        <v>316</v>
      </c>
    </row>
    <row r="43575">
      <c r="A43575" s="17"/>
      <c r="H43575" s="18"/>
      <c r="K43575" s="18" t="s">
        <v>316</v>
      </c>
    </row>
    <row r="43576">
      <c r="A43576" s="17"/>
      <c r="H43576" s="18"/>
      <c r="K43576" s="18" t="s">
        <v>316</v>
      </c>
    </row>
    <row r="43577">
      <c r="A43577" s="17"/>
      <c r="H43577" s="18"/>
      <c r="K43577" s="18" t="s">
        <v>316</v>
      </c>
    </row>
    <row r="43578">
      <c r="A43578" s="17"/>
      <c r="H43578" s="18"/>
      <c r="K43578" s="18" t="s">
        <v>316</v>
      </c>
    </row>
    <row r="43579">
      <c r="A43579" s="17"/>
      <c r="H43579" s="18"/>
      <c r="K43579" s="18" t="s">
        <v>316</v>
      </c>
    </row>
    <row r="43580">
      <c r="A43580" s="17"/>
      <c r="H43580" s="18"/>
      <c r="K43580" s="18" t="s">
        <v>316</v>
      </c>
    </row>
    <row r="43581">
      <c r="A43581" s="17"/>
      <c r="H43581" s="18"/>
      <c r="K43581" s="18" t="s">
        <v>316</v>
      </c>
    </row>
    <row r="43582">
      <c r="A43582" s="17"/>
      <c r="H43582" s="18"/>
      <c r="K43582" s="18" t="s">
        <v>316</v>
      </c>
    </row>
    <row r="43583">
      <c r="A43583" s="17"/>
      <c r="H43583" s="18"/>
      <c r="K43583" s="18" t="s">
        <v>316</v>
      </c>
    </row>
    <row r="43584">
      <c r="A43584" s="17"/>
      <c r="H43584" s="18"/>
      <c r="K43584" s="18" t="s">
        <v>316</v>
      </c>
    </row>
    <row r="43585">
      <c r="A43585" s="17"/>
      <c r="H43585" s="18"/>
      <c r="K43585" s="18" t="s">
        <v>316</v>
      </c>
    </row>
    <row r="43586">
      <c r="A43586" s="17"/>
      <c r="H43586" s="18"/>
      <c r="K43586" s="18" t="s">
        <v>316</v>
      </c>
    </row>
    <row r="43587">
      <c r="A43587" s="17"/>
      <c r="H43587" s="18"/>
      <c r="K43587" s="18" t="s">
        <v>316</v>
      </c>
    </row>
    <row r="43588">
      <c r="A43588" s="17"/>
      <c r="H43588" s="18"/>
      <c r="K43588" s="18" t="s">
        <v>316</v>
      </c>
    </row>
    <row r="43589">
      <c r="A43589" s="17"/>
      <c r="H43589" s="18"/>
      <c r="K43589" s="18" t="s">
        <v>316</v>
      </c>
    </row>
    <row r="43590">
      <c r="A43590" s="17"/>
      <c r="H43590" s="18"/>
      <c r="K43590" s="18" t="s">
        <v>316</v>
      </c>
    </row>
    <row r="43591">
      <c r="A43591" s="17"/>
      <c r="H43591" s="18"/>
      <c r="K43591" s="18" t="s">
        <v>316</v>
      </c>
    </row>
    <row r="43592">
      <c r="A43592" s="17"/>
      <c r="H43592" s="18"/>
      <c r="K43592" s="18" t="s">
        <v>316</v>
      </c>
    </row>
    <row r="43593">
      <c r="A43593" s="17"/>
      <c r="H43593" s="18"/>
      <c r="K43593" s="18" t="s">
        <v>316</v>
      </c>
    </row>
    <row r="43594">
      <c r="A43594" s="17"/>
      <c r="H43594" s="18"/>
      <c r="K43594" s="18" t="s">
        <v>316</v>
      </c>
    </row>
    <row r="43595">
      <c r="A43595" s="17"/>
      <c r="H43595" s="18"/>
      <c r="K43595" s="18" t="s">
        <v>316</v>
      </c>
    </row>
    <row r="43596">
      <c r="A43596" s="17"/>
      <c r="H43596" s="18"/>
      <c r="K43596" s="18" t="s">
        <v>316</v>
      </c>
    </row>
    <row r="43597">
      <c r="A43597" s="17"/>
      <c r="H43597" s="18"/>
      <c r="K43597" s="18" t="s">
        <v>316</v>
      </c>
    </row>
    <row r="43598">
      <c r="A43598" s="17"/>
      <c r="H43598" s="18"/>
      <c r="K43598" s="18" t="s">
        <v>316</v>
      </c>
    </row>
    <row r="43599">
      <c r="A43599" s="17"/>
      <c r="H43599" s="18"/>
      <c r="K43599" s="18" t="s">
        <v>316</v>
      </c>
    </row>
    <row r="43600">
      <c r="A43600" s="17"/>
      <c r="H43600" s="18"/>
      <c r="K43600" s="18" t="s">
        <v>316</v>
      </c>
    </row>
    <row r="43601">
      <c r="A43601" s="17"/>
      <c r="H43601" s="18"/>
      <c r="K43601" s="18" t="s">
        <v>316</v>
      </c>
    </row>
    <row r="43602">
      <c r="A43602" s="17"/>
      <c r="H43602" s="18"/>
      <c r="K43602" s="18" t="s">
        <v>316</v>
      </c>
    </row>
    <row r="43603">
      <c r="A43603" s="17"/>
      <c r="H43603" s="18"/>
      <c r="K43603" s="18" t="s">
        <v>316</v>
      </c>
    </row>
    <row r="43604">
      <c r="A43604" s="17"/>
      <c r="H43604" s="18"/>
      <c r="K43604" s="18" t="s">
        <v>316</v>
      </c>
    </row>
    <row r="43605">
      <c r="A43605" s="17"/>
      <c r="H43605" s="18"/>
      <c r="K43605" s="18" t="s">
        <v>316</v>
      </c>
    </row>
    <row r="43606">
      <c r="A43606" s="17"/>
      <c r="H43606" s="18"/>
      <c r="K43606" s="18" t="s">
        <v>316</v>
      </c>
    </row>
    <row r="43607">
      <c r="A43607" s="17"/>
      <c r="H43607" s="18"/>
      <c r="K43607" s="18" t="s">
        <v>316</v>
      </c>
    </row>
    <row r="43608">
      <c r="A43608" s="17"/>
      <c r="H43608" s="18"/>
      <c r="K43608" s="18" t="s">
        <v>316</v>
      </c>
    </row>
    <row r="43609">
      <c r="A43609" s="17"/>
      <c r="H43609" s="18"/>
      <c r="K43609" s="18" t="s">
        <v>316</v>
      </c>
    </row>
    <row r="43610">
      <c r="A43610" s="17"/>
      <c r="H43610" s="18"/>
      <c r="K43610" s="18" t="s">
        <v>316</v>
      </c>
    </row>
    <row r="43611">
      <c r="A43611" s="17"/>
      <c r="H43611" s="18"/>
      <c r="K43611" s="18" t="s">
        <v>316</v>
      </c>
    </row>
    <row r="43612">
      <c r="A43612" s="17"/>
      <c r="H43612" s="18"/>
      <c r="K43612" s="18" t="s">
        <v>316</v>
      </c>
    </row>
    <row r="43613">
      <c r="A43613" s="17"/>
      <c r="H43613" s="18"/>
      <c r="K43613" s="18" t="s">
        <v>316</v>
      </c>
    </row>
    <row r="43614">
      <c r="A43614" s="17"/>
      <c r="H43614" s="18"/>
      <c r="K43614" s="18" t="s">
        <v>316</v>
      </c>
    </row>
    <row r="43615">
      <c r="A43615" s="17"/>
      <c r="H43615" s="18"/>
      <c r="K43615" s="18" t="s">
        <v>316</v>
      </c>
    </row>
    <row r="43616">
      <c r="A43616" s="17"/>
      <c r="H43616" s="18"/>
      <c r="K43616" s="18" t="s">
        <v>316</v>
      </c>
    </row>
    <row r="43617">
      <c r="A43617" s="17"/>
      <c r="H43617" s="18"/>
      <c r="K43617" s="18" t="s">
        <v>316</v>
      </c>
    </row>
    <row r="43618">
      <c r="A43618" s="17"/>
      <c r="H43618" s="18"/>
      <c r="K43618" s="18" t="s">
        <v>316</v>
      </c>
    </row>
    <row r="43619">
      <c r="A43619" s="17"/>
      <c r="H43619" s="18"/>
      <c r="K43619" s="18" t="s">
        <v>316</v>
      </c>
    </row>
    <row r="43620">
      <c r="A43620" s="17"/>
      <c r="H43620" s="18"/>
      <c r="K43620" s="18" t="s">
        <v>316</v>
      </c>
    </row>
    <row r="43621">
      <c r="A43621" s="17"/>
      <c r="H43621" s="18"/>
      <c r="K43621" s="18" t="s">
        <v>316</v>
      </c>
    </row>
    <row r="43622">
      <c r="A43622" s="17"/>
      <c r="H43622" s="18"/>
      <c r="K43622" s="18" t="s">
        <v>316</v>
      </c>
    </row>
    <row r="43623">
      <c r="A43623" s="17"/>
      <c r="H43623" s="18"/>
      <c r="K43623" s="18" t="s">
        <v>316</v>
      </c>
    </row>
    <row r="43624">
      <c r="A43624" s="17"/>
      <c r="H43624" s="18"/>
      <c r="K43624" s="18" t="s">
        <v>316</v>
      </c>
    </row>
    <row r="43625">
      <c r="A43625" s="17"/>
      <c r="H43625" s="18"/>
      <c r="K43625" s="18" t="s">
        <v>316</v>
      </c>
    </row>
    <row r="43626">
      <c r="A43626" s="17"/>
      <c r="H43626" s="18"/>
      <c r="K43626" s="18" t="s">
        <v>316</v>
      </c>
    </row>
    <row r="43627">
      <c r="A43627" s="17"/>
      <c r="H43627" s="18"/>
      <c r="K43627" s="18" t="s">
        <v>316</v>
      </c>
    </row>
    <row r="43628">
      <c r="A43628" s="17"/>
      <c r="H43628" s="18"/>
      <c r="K43628" s="18" t="s">
        <v>316</v>
      </c>
    </row>
    <row r="43629">
      <c r="A43629" s="17"/>
      <c r="H43629" s="18"/>
      <c r="K43629" s="18" t="s">
        <v>316</v>
      </c>
    </row>
    <row r="43630">
      <c r="A43630" s="17"/>
      <c r="H43630" s="18"/>
      <c r="K43630" s="18" t="s">
        <v>316</v>
      </c>
    </row>
    <row r="43631">
      <c r="A43631" s="17"/>
      <c r="H43631" s="18"/>
      <c r="K43631" s="18" t="s">
        <v>316</v>
      </c>
    </row>
    <row r="43632">
      <c r="A43632" s="17"/>
      <c r="H43632" s="18"/>
      <c r="K43632" s="18" t="s">
        <v>316</v>
      </c>
    </row>
    <row r="43633">
      <c r="A43633" s="17"/>
      <c r="H43633" s="18"/>
      <c r="K43633" s="18" t="s">
        <v>316</v>
      </c>
    </row>
    <row r="43634">
      <c r="A43634" s="17"/>
      <c r="H43634" s="18"/>
      <c r="K43634" s="18" t="s">
        <v>316</v>
      </c>
    </row>
    <row r="43635">
      <c r="A43635" s="17"/>
      <c r="H43635" s="18"/>
      <c r="K43635" s="18" t="s">
        <v>316</v>
      </c>
    </row>
    <row r="43636">
      <c r="A43636" s="17"/>
      <c r="H43636" s="18"/>
      <c r="K43636" s="18" t="s">
        <v>316</v>
      </c>
    </row>
    <row r="43637">
      <c r="A43637" s="17"/>
      <c r="H43637" s="18"/>
      <c r="K43637" s="18" t="s">
        <v>316</v>
      </c>
    </row>
    <row r="43638">
      <c r="A43638" s="17"/>
      <c r="H43638" s="18"/>
      <c r="K43638" s="18" t="s">
        <v>316</v>
      </c>
    </row>
    <row r="43639">
      <c r="A43639" s="17"/>
      <c r="H43639" s="18"/>
      <c r="K43639" s="18" t="s">
        <v>316</v>
      </c>
    </row>
    <row r="43640">
      <c r="A43640" s="17"/>
      <c r="H43640" s="18"/>
      <c r="K43640" s="18" t="s">
        <v>316</v>
      </c>
    </row>
    <row r="43641">
      <c r="A43641" s="17"/>
      <c r="H43641" s="18"/>
      <c r="K43641" s="18" t="s">
        <v>316</v>
      </c>
    </row>
    <row r="43642">
      <c r="A43642" s="17"/>
      <c r="H43642" s="18"/>
      <c r="K43642" s="18" t="s">
        <v>316</v>
      </c>
    </row>
    <row r="43643">
      <c r="A43643" s="17"/>
      <c r="H43643" s="18"/>
      <c r="K43643" s="18" t="s">
        <v>316</v>
      </c>
    </row>
    <row r="43644">
      <c r="A43644" s="17"/>
      <c r="H43644" s="18"/>
      <c r="K43644" s="18" t="s">
        <v>316</v>
      </c>
    </row>
    <row r="43645">
      <c r="A43645" s="17"/>
      <c r="H43645" s="18"/>
      <c r="K43645" s="18" t="s">
        <v>316</v>
      </c>
    </row>
    <row r="43646">
      <c r="A43646" s="17"/>
      <c r="H43646" s="18"/>
      <c r="K43646" s="18" t="s">
        <v>316</v>
      </c>
    </row>
    <row r="43647">
      <c r="A43647" s="17"/>
      <c r="H43647" s="18"/>
      <c r="K43647" s="18" t="s">
        <v>316</v>
      </c>
    </row>
    <row r="43648">
      <c r="A43648" s="17"/>
      <c r="H43648" s="18"/>
      <c r="K43648" s="18" t="s">
        <v>316</v>
      </c>
    </row>
    <row r="43649">
      <c r="A43649" s="17"/>
      <c r="H43649" s="18"/>
      <c r="K43649" s="18" t="s">
        <v>316</v>
      </c>
    </row>
    <row r="43650">
      <c r="A43650" s="17"/>
      <c r="H43650" s="18"/>
      <c r="K43650" s="18" t="s">
        <v>316</v>
      </c>
    </row>
    <row r="43651">
      <c r="A43651" s="17"/>
      <c r="H43651" s="18"/>
      <c r="K43651" s="18" t="s">
        <v>316</v>
      </c>
    </row>
    <row r="43652">
      <c r="A43652" s="17"/>
      <c r="H43652" s="18"/>
      <c r="K43652" s="18" t="s">
        <v>316</v>
      </c>
    </row>
    <row r="43653">
      <c r="A43653" s="17"/>
      <c r="H43653" s="18"/>
      <c r="K43653" s="18" t="s">
        <v>316</v>
      </c>
    </row>
    <row r="43654">
      <c r="A43654" s="17"/>
      <c r="H43654" s="18"/>
      <c r="K43654" s="18" t="s">
        <v>316</v>
      </c>
    </row>
    <row r="43655">
      <c r="A43655" s="17"/>
      <c r="H43655" s="18"/>
      <c r="K43655" s="18" t="s">
        <v>316</v>
      </c>
    </row>
    <row r="43656">
      <c r="A43656" s="17"/>
      <c r="H43656" s="18"/>
      <c r="K43656" s="18" t="s">
        <v>316</v>
      </c>
    </row>
    <row r="43657">
      <c r="A43657" s="17"/>
      <c r="H43657" s="18"/>
      <c r="K43657" s="18" t="s">
        <v>316</v>
      </c>
    </row>
    <row r="43658">
      <c r="A43658" s="17"/>
      <c r="H43658" s="18"/>
      <c r="K43658" s="18" t="s">
        <v>316</v>
      </c>
    </row>
    <row r="43659">
      <c r="A43659" s="17"/>
      <c r="H43659" s="18"/>
      <c r="K43659" s="18" t="s">
        <v>316</v>
      </c>
    </row>
    <row r="43660">
      <c r="A43660" s="17"/>
      <c r="H43660" s="18"/>
      <c r="K43660" s="18" t="s">
        <v>316</v>
      </c>
    </row>
    <row r="43661">
      <c r="A43661" s="17"/>
      <c r="H43661" s="18"/>
      <c r="K43661" s="18" t="s">
        <v>316</v>
      </c>
    </row>
    <row r="43662">
      <c r="A43662" s="17"/>
      <c r="H43662" s="18"/>
      <c r="K43662" s="18" t="s">
        <v>316</v>
      </c>
    </row>
    <row r="43663">
      <c r="A43663" s="17"/>
      <c r="H43663" s="18"/>
      <c r="K43663" s="18" t="s">
        <v>316</v>
      </c>
    </row>
    <row r="43664">
      <c r="A43664" s="17"/>
      <c r="H43664" s="18"/>
      <c r="K43664" s="18" t="s">
        <v>316</v>
      </c>
    </row>
    <row r="43665">
      <c r="A43665" s="17"/>
      <c r="H43665" s="18"/>
      <c r="K43665" s="18" t="s">
        <v>316</v>
      </c>
    </row>
    <row r="43666">
      <c r="A43666" s="17"/>
      <c r="H43666" s="18"/>
      <c r="K43666" s="18" t="s">
        <v>316</v>
      </c>
    </row>
    <row r="43667">
      <c r="A43667" s="17"/>
      <c r="H43667" s="18"/>
      <c r="K43667" s="18" t="s">
        <v>316</v>
      </c>
    </row>
    <row r="43668">
      <c r="A43668" s="17"/>
      <c r="H43668" s="18"/>
      <c r="K43668" s="18" t="s">
        <v>316</v>
      </c>
    </row>
    <row r="43669">
      <c r="A43669" s="17"/>
      <c r="H43669" s="18"/>
      <c r="K43669" s="18" t="s">
        <v>316</v>
      </c>
    </row>
    <row r="43670">
      <c r="A43670" s="17"/>
      <c r="H43670" s="18"/>
      <c r="K43670" s="18" t="s">
        <v>316</v>
      </c>
    </row>
    <row r="43671">
      <c r="A43671" s="17"/>
      <c r="H43671" s="18"/>
      <c r="K43671" s="18" t="s">
        <v>316</v>
      </c>
    </row>
    <row r="43672">
      <c r="A43672" s="17"/>
      <c r="H43672" s="18"/>
      <c r="K43672" s="18" t="s">
        <v>316</v>
      </c>
    </row>
    <row r="43673">
      <c r="A43673" s="17"/>
      <c r="H43673" s="18"/>
      <c r="K43673" s="18" t="s">
        <v>316</v>
      </c>
    </row>
    <row r="43674">
      <c r="A43674" s="17"/>
      <c r="H43674" s="18"/>
      <c r="K43674" s="18" t="s">
        <v>316</v>
      </c>
    </row>
    <row r="43675">
      <c r="A43675" s="17"/>
      <c r="H43675" s="18"/>
      <c r="K43675" s="18" t="s">
        <v>316</v>
      </c>
    </row>
    <row r="43676">
      <c r="A43676" s="17"/>
      <c r="H43676" s="18"/>
      <c r="K43676" s="18" t="s">
        <v>316</v>
      </c>
    </row>
    <row r="43677">
      <c r="A43677" s="17"/>
      <c r="H43677" s="18"/>
      <c r="K43677" s="18" t="s">
        <v>316</v>
      </c>
    </row>
    <row r="43678">
      <c r="A43678" s="17"/>
      <c r="H43678" s="18"/>
      <c r="K43678" s="18" t="s">
        <v>316</v>
      </c>
    </row>
    <row r="43679">
      <c r="A43679" s="17"/>
      <c r="H43679" s="18"/>
      <c r="K43679" s="18" t="s">
        <v>316</v>
      </c>
    </row>
    <row r="43680">
      <c r="A43680" s="17"/>
      <c r="H43680" s="18"/>
      <c r="K43680" s="18" t="s">
        <v>316</v>
      </c>
    </row>
    <row r="43681">
      <c r="A43681" s="17"/>
      <c r="H43681" s="18"/>
      <c r="K43681" s="18" t="s">
        <v>316</v>
      </c>
    </row>
    <row r="43682">
      <c r="A43682" s="17"/>
      <c r="H43682" s="18"/>
      <c r="K43682" s="18" t="s">
        <v>316</v>
      </c>
    </row>
    <row r="43683">
      <c r="A43683" s="17"/>
      <c r="H43683" s="18"/>
      <c r="K43683" s="18" t="s">
        <v>316</v>
      </c>
    </row>
    <row r="43684">
      <c r="A43684" s="17"/>
      <c r="H43684" s="18"/>
      <c r="K43684" s="18" t="s">
        <v>316</v>
      </c>
    </row>
    <row r="43685">
      <c r="A43685" s="17"/>
      <c r="H43685" s="18"/>
      <c r="K43685" s="18" t="s">
        <v>316</v>
      </c>
    </row>
    <row r="43686">
      <c r="A43686" s="17"/>
      <c r="H43686" s="18"/>
      <c r="K43686" s="18" t="s">
        <v>316</v>
      </c>
    </row>
    <row r="43687">
      <c r="A43687" s="17"/>
      <c r="H43687" s="18"/>
      <c r="K43687" s="18" t="s">
        <v>316</v>
      </c>
    </row>
    <row r="43688">
      <c r="A43688" s="17"/>
      <c r="H43688" s="18"/>
      <c r="K43688" s="18" t="s">
        <v>316</v>
      </c>
    </row>
    <row r="43689">
      <c r="A43689" s="17"/>
      <c r="H43689" s="18"/>
      <c r="K43689" s="18" t="s">
        <v>316</v>
      </c>
    </row>
    <row r="43690">
      <c r="A43690" s="17"/>
      <c r="H43690" s="18"/>
      <c r="K43690" s="18" t="s">
        <v>316</v>
      </c>
    </row>
    <row r="43691">
      <c r="A43691" s="17"/>
      <c r="H43691" s="18"/>
      <c r="K43691" s="18" t="s">
        <v>316</v>
      </c>
    </row>
    <row r="43692">
      <c r="A43692" s="17"/>
      <c r="H43692" s="18"/>
      <c r="K43692" s="18" t="s">
        <v>316</v>
      </c>
    </row>
    <row r="43693">
      <c r="A43693" s="17"/>
      <c r="H43693" s="18"/>
      <c r="K43693" s="18" t="s">
        <v>316</v>
      </c>
    </row>
    <row r="43694">
      <c r="A43694" s="17"/>
      <c r="H43694" s="18"/>
      <c r="K43694" s="18" t="s">
        <v>316</v>
      </c>
    </row>
    <row r="43695">
      <c r="A43695" s="17"/>
      <c r="H43695" s="18"/>
      <c r="K43695" s="18" t="s">
        <v>316</v>
      </c>
    </row>
    <row r="43696">
      <c r="A43696" s="17"/>
      <c r="H43696" s="18"/>
      <c r="K43696" s="18" t="s">
        <v>316</v>
      </c>
    </row>
    <row r="43697">
      <c r="A43697" s="17"/>
      <c r="H43697" s="18"/>
      <c r="K43697" s="18" t="s">
        <v>316</v>
      </c>
    </row>
    <row r="43698">
      <c r="A43698" s="17"/>
      <c r="H43698" s="18"/>
      <c r="K43698" s="18" t="s">
        <v>316</v>
      </c>
    </row>
    <row r="43699">
      <c r="A43699" s="17"/>
      <c r="H43699" s="18"/>
      <c r="K43699" s="18" t="s">
        <v>316</v>
      </c>
    </row>
    <row r="43700">
      <c r="A43700" s="17"/>
      <c r="H43700" s="18"/>
      <c r="K43700" s="18" t="s">
        <v>316</v>
      </c>
    </row>
    <row r="43701">
      <c r="A43701" s="17"/>
      <c r="H43701" s="18"/>
      <c r="K43701" s="18" t="s">
        <v>316</v>
      </c>
    </row>
    <row r="43702">
      <c r="A43702" s="17"/>
      <c r="H43702" s="18"/>
      <c r="K43702" s="18" t="s">
        <v>316</v>
      </c>
    </row>
    <row r="43703">
      <c r="A43703" s="17"/>
      <c r="H43703" s="18"/>
      <c r="K43703" s="18" t="s">
        <v>316</v>
      </c>
    </row>
    <row r="43704">
      <c r="A43704" s="17"/>
      <c r="H43704" s="18"/>
      <c r="K43704" s="18" t="s">
        <v>316</v>
      </c>
    </row>
    <row r="43705">
      <c r="A43705" s="17"/>
      <c r="H43705" s="18"/>
      <c r="K43705" s="18" t="s">
        <v>316</v>
      </c>
    </row>
    <row r="43706">
      <c r="A43706" s="17"/>
      <c r="H43706" s="18"/>
      <c r="K43706" s="18" t="s">
        <v>316</v>
      </c>
    </row>
    <row r="43707">
      <c r="A43707" s="17"/>
      <c r="H43707" s="18"/>
      <c r="K43707" s="18" t="s">
        <v>316</v>
      </c>
    </row>
    <row r="43708">
      <c r="A43708" s="17"/>
      <c r="H43708" s="18"/>
      <c r="K43708" s="18" t="s">
        <v>316</v>
      </c>
    </row>
    <row r="43709">
      <c r="A43709" s="17"/>
      <c r="H43709" s="18"/>
      <c r="K43709" s="18" t="s">
        <v>316</v>
      </c>
    </row>
    <row r="43710">
      <c r="A43710" s="17"/>
      <c r="H43710" s="18"/>
      <c r="K43710" s="18" t="s">
        <v>316</v>
      </c>
    </row>
    <row r="43711">
      <c r="A43711" s="17"/>
      <c r="H43711" s="18"/>
      <c r="K43711" s="18" t="s">
        <v>316</v>
      </c>
    </row>
    <row r="43712">
      <c r="A43712" s="17"/>
      <c r="H43712" s="18"/>
      <c r="K43712" s="18" t="s">
        <v>316</v>
      </c>
    </row>
    <row r="43713">
      <c r="A43713" s="17"/>
      <c r="H43713" s="18"/>
      <c r="K43713" s="18" t="s">
        <v>316</v>
      </c>
    </row>
    <row r="43714">
      <c r="A43714" s="17"/>
      <c r="H43714" s="18"/>
      <c r="K43714" s="18" t="s">
        <v>316</v>
      </c>
    </row>
    <row r="43715">
      <c r="A43715" s="17"/>
      <c r="H43715" s="18"/>
      <c r="K43715" s="18" t="s">
        <v>316</v>
      </c>
    </row>
    <row r="43716">
      <c r="A43716" s="17"/>
      <c r="H43716" s="18"/>
      <c r="K43716" s="18" t="s">
        <v>316</v>
      </c>
    </row>
    <row r="43717">
      <c r="A43717" s="17"/>
      <c r="H43717" s="18"/>
      <c r="K43717" s="18" t="s">
        <v>316</v>
      </c>
    </row>
    <row r="43718">
      <c r="A43718" s="17"/>
      <c r="H43718" s="18"/>
      <c r="K43718" s="18" t="s">
        <v>316</v>
      </c>
    </row>
    <row r="43719">
      <c r="A43719" s="17"/>
      <c r="H43719" s="18"/>
      <c r="K43719" s="18" t="s">
        <v>316</v>
      </c>
    </row>
    <row r="43720">
      <c r="A43720" s="17"/>
      <c r="H43720" s="18"/>
      <c r="K43720" s="18" t="s">
        <v>316</v>
      </c>
    </row>
    <row r="43721">
      <c r="A43721" s="17"/>
      <c r="H43721" s="18"/>
      <c r="K43721" s="18" t="s">
        <v>316</v>
      </c>
    </row>
    <row r="43722">
      <c r="A43722" s="17"/>
      <c r="H43722" s="18"/>
      <c r="K43722" s="18" t="s">
        <v>316</v>
      </c>
    </row>
    <row r="43723">
      <c r="A43723" s="17"/>
      <c r="H43723" s="18"/>
      <c r="K43723" s="18" t="s">
        <v>316</v>
      </c>
    </row>
    <row r="43724">
      <c r="A43724" s="17"/>
      <c r="H43724" s="18"/>
      <c r="K43724" s="18" t="s">
        <v>316</v>
      </c>
    </row>
    <row r="43725">
      <c r="A43725" s="17"/>
      <c r="H43725" s="18"/>
      <c r="K43725" s="18" t="s">
        <v>316</v>
      </c>
    </row>
    <row r="43726">
      <c r="A43726" s="17"/>
      <c r="H43726" s="18"/>
      <c r="K43726" s="18" t="s">
        <v>316</v>
      </c>
    </row>
    <row r="43727">
      <c r="A43727" s="17"/>
      <c r="H43727" s="18"/>
      <c r="K43727" s="18" t="s">
        <v>316</v>
      </c>
    </row>
    <row r="43728">
      <c r="A43728" s="17"/>
      <c r="H43728" s="18"/>
      <c r="K43728" s="18" t="s">
        <v>316</v>
      </c>
    </row>
    <row r="43729">
      <c r="A43729" s="17"/>
      <c r="H43729" s="18"/>
      <c r="K43729" s="18" t="s">
        <v>316</v>
      </c>
    </row>
    <row r="43730">
      <c r="A43730" s="17"/>
      <c r="H43730" s="18"/>
      <c r="K43730" s="18" t="s">
        <v>316</v>
      </c>
    </row>
    <row r="43731">
      <c r="A43731" s="17"/>
      <c r="H43731" s="18"/>
      <c r="K43731" s="18" t="s">
        <v>316</v>
      </c>
    </row>
    <row r="43732">
      <c r="A43732" s="17"/>
      <c r="H43732" s="18"/>
      <c r="K43732" s="18" t="s">
        <v>316</v>
      </c>
    </row>
    <row r="43733">
      <c r="A43733" s="17"/>
      <c r="H43733" s="18"/>
      <c r="K43733" s="18" t="s">
        <v>316</v>
      </c>
    </row>
    <row r="43734">
      <c r="A43734" s="17"/>
      <c r="H43734" s="18"/>
      <c r="K43734" s="18" t="s">
        <v>316</v>
      </c>
    </row>
    <row r="43735">
      <c r="A43735" s="17"/>
      <c r="H43735" s="18"/>
      <c r="K43735" s="18" t="s">
        <v>316</v>
      </c>
    </row>
    <row r="43736">
      <c r="A43736" s="17"/>
      <c r="H43736" s="18"/>
      <c r="K43736" s="18" t="s">
        <v>316</v>
      </c>
    </row>
    <row r="43737">
      <c r="A43737" s="17"/>
      <c r="H43737" s="18"/>
      <c r="K43737" s="18" t="s">
        <v>316</v>
      </c>
    </row>
    <row r="43738">
      <c r="A43738" s="17"/>
      <c r="H43738" s="18"/>
      <c r="K43738" s="18" t="s">
        <v>316</v>
      </c>
    </row>
    <row r="43739">
      <c r="A43739" s="17"/>
      <c r="H43739" s="18"/>
      <c r="K43739" s="18" t="s">
        <v>316</v>
      </c>
    </row>
    <row r="43740">
      <c r="A43740" s="17"/>
      <c r="H43740" s="18"/>
      <c r="K43740" s="18" t="s">
        <v>316</v>
      </c>
    </row>
    <row r="43741">
      <c r="A43741" s="17"/>
      <c r="H43741" s="18"/>
      <c r="K43741" s="18" t="s">
        <v>316</v>
      </c>
    </row>
    <row r="43742">
      <c r="A43742" s="17"/>
      <c r="H43742" s="18"/>
      <c r="K43742" s="18" t="s">
        <v>316</v>
      </c>
    </row>
    <row r="43743">
      <c r="A43743" s="17"/>
      <c r="H43743" s="18"/>
      <c r="K43743" s="18" t="s">
        <v>316</v>
      </c>
    </row>
    <row r="43744">
      <c r="A43744" s="17"/>
      <c r="H43744" s="18"/>
      <c r="K43744" s="18" t="s">
        <v>316</v>
      </c>
    </row>
    <row r="43745">
      <c r="A43745" s="17"/>
      <c r="H43745" s="18"/>
      <c r="K43745" s="18" t="s">
        <v>316</v>
      </c>
    </row>
    <row r="43746">
      <c r="A43746" s="17"/>
      <c r="H43746" s="18"/>
      <c r="K43746" s="18" t="s">
        <v>316</v>
      </c>
    </row>
    <row r="43747">
      <c r="A43747" s="17"/>
      <c r="H43747" s="18"/>
      <c r="K43747" s="18" t="s">
        <v>316</v>
      </c>
    </row>
    <row r="43748">
      <c r="A43748" s="17"/>
      <c r="H43748" s="18"/>
      <c r="K43748" s="18" t="s">
        <v>316</v>
      </c>
    </row>
    <row r="43749">
      <c r="A43749" s="17"/>
      <c r="H43749" s="18"/>
      <c r="K43749" s="18" t="s">
        <v>316</v>
      </c>
    </row>
    <row r="43750">
      <c r="A43750" s="17"/>
      <c r="H43750" s="18"/>
      <c r="K43750" s="18" t="s">
        <v>316</v>
      </c>
    </row>
    <row r="43751">
      <c r="A43751" s="17"/>
      <c r="H43751" s="18"/>
      <c r="K43751" s="18" t="s">
        <v>316</v>
      </c>
    </row>
    <row r="43752">
      <c r="A43752" s="17"/>
      <c r="H43752" s="18"/>
      <c r="K43752" s="18" t="s">
        <v>316</v>
      </c>
    </row>
    <row r="43753">
      <c r="A43753" s="17"/>
      <c r="H43753" s="18"/>
      <c r="K43753" s="18" t="s">
        <v>316</v>
      </c>
    </row>
    <row r="43754">
      <c r="A43754" s="17"/>
      <c r="H43754" s="18"/>
      <c r="K43754" s="18" t="s">
        <v>316</v>
      </c>
    </row>
    <row r="43755">
      <c r="A43755" s="17"/>
      <c r="H43755" s="18"/>
      <c r="K43755" s="18" t="s">
        <v>316</v>
      </c>
    </row>
    <row r="43756">
      <c r="A43756" s="17"/>
      <c r="H43756" s="18"/>
      <c r="K43756" s="18" t="s">
        <v>316</v>
      </c>
    </row>
    <row r="43757">
      <c r="A43757" s="17"/>
      <c r="H43757" s="18"/>
      <c r="K43757" s="18" t="s">
        <v>316</v>
      </c>
    </row>
    <row r="43758">
      <c r="A43758" s="17"/>
      <c r="H43758" s="18"/>
      <c r="K43758" s="18" t="s">
        <v>316</v>
      </c>
    </row>
    <row r="43759">
      <c r="A43759" s="17"/>
      <c r="H43759" s="18"/>
      <c r="K43759" s="18" t="s">
        <v>316</v>
      </c>
    </row>
    <row r="43760">
      <c r="A43760" s="17"/>
      <c r="H43760" s="18"/>
      <c r="K43760" s="18" t="s">
        <v>316</v>
      </c>
    </row>
    <row r="43761">
      <c r="A43761" s="17"/>
      <c r="H43761" s="18"/>
      <c r="K43761" s="18" t="s">
        <v>316</v>
      </c>
    </row>
    <row r="43762">
      <c r="A43762" s="17"/>
      <c r="H43762" s="18"/>
      <c r="K43762" s="18" t="s">
        <v>316</v>
      </c>
    </row>
    <row r="43763">
      <c r="A43763" s="17"/>
      <c r="H43763" s="18"/>
      <c r="K43763" s="18" t="s">
        <v>316</v>
      </c>
    </row>
    <row r="43764">
      <c r="A43764" s="17"/>
      <c r="H43764" s="18"/>
      <c r="K43764" s="18" t="s">
        <v>316</v>
      </c>
    </row>
    <row r="43765">
      <c r="A43765" s="17"/>
      <c r="H43765" s="18"/>
      <c r="K43765" s="18" t="s">
        <v>316</v>
      </c>
    </row>
    <row r="43766">
      <c r="A43766" s="17"/>
      <c r="H43766" s="18"/>
      <c r="K43766" s="18" t="s">
        <v>316</v>
      </c>
    </row>
    <row r="43767">
      <c r="A43767" s="17"/>
      <c r="H43767" s="18"/>
      <c r="K43767" s="18" t="s">
        <v>316</v>
      </c>
    </row>
    <row r="43768">
      <c r="A43768" s="17"/>
      <c r="H43768" s="18"/>
      <c r="K43768" s="18" t="s">
        <v>316</v>
      </c>
    </row>
    <row r="43769">
      <c r="A43769" s="17"/>
      <c r="H43769" s="18"/>
      <c r="K43769" s="18" t="s">
        <v>316</v>
      </c>
    </row>
    <row r="43770">
      <c r="A43770" s="17"/>
      <c r="H43770" s="18"/>
      <c r="K43770" s="18" t="s">
        <v>316</v>
      </c>
    </row>
    <row r="43771">
      <c r="A43771" s="17"/>
      <c r="H43771" s="18"/>
      <c r="K43771" s="18" t="s">
        <v>316</v>
      </c>
    </row>
    <row r="43772">
      <c r="A43772" s="17"/>
      <c r="H43772" s="18"/>
      <c r="K43772" s="18" t="s">
        <v>316</v>
      </c>
    </row>
    <row r="43773">
      <c r="A43773" s="17"/>
      <c r="H43773" s="18"/>
      <c r="K43773" s="18" t="s">
        <v>316</v>
      </c>
    </row>
    <row r="43774">
      <c r="A43774" s="17"/>
      <c r="H43774" s="18"/>
      <c r="K43774" s="18" t="s">
        <v>316</v>
      </c>
    </row>
    <row r="43775">
      <c r="A43775" s="17"/>
      <c r="H43775" s="18"/>
      <c r="K43775" s="18" t="s">
        <v>316</v>
      </c>
    </row>
    <row r="43776">
      <c r="A43776" s="17"/>
      <c r="H43776" s="18"/>
      <c r="K43776" s="18" t="s">
        <v>316</v>
      </c>
    </row>
    <row r="43777">
      <c r="A43777" s="17"/>
      <c r="H43777" s="18"/>
      <c r="K43777" s="18" t="s">
        <v>316</v>
      </c>
    </row>
    <row r="43778">
      <c r="A43778" s="17"/>
      <c r="H43778" s="18"/>
      <c r="K43778" s="18" t="s">
        <v>316</v>
      </c>
    </row>
    <row r="43779">
      <c r="A43779" s="17"/>
      <c r="H43779" s="18"/>
      <c r="K43779" s="18" t="s">
        <v>316</v>
      </c>
    </row>
    <row r="43780">
      <c r="A43780" s="17"/>
      <c r="H43780" s="18"/>
      <c r="K43780" s="18" t="s">
        <v>316</v>
      </c>
    </row>
    <row r="43781">
      <c r="A43781" s="17"/>
      <c r="H43781" s="18"/>
      <c r="K43781" s="18" t="s">
        <v>316</v>
      </c>
    </row>
    <row r="43782">
      <c r="A43782" s="17"/>
      <c r="H43782" s="18"/>
      <c r="K43782" s="18" t="s">
        <v>316</v>
      </c>
    </row>
    <row r="43783">
      <c r="A43783" s="17"/>
      <c r="H43783" s="18"/>
      <c r="K43783" s="18" t="s">
        <v>316</v>
      </c>
    </row>
    <row r="43784">
      <c r="A43784" s="17"/>
      <c r="H43784" s="18"/>
      <c r="K43784" s="18" t="s">
        <v>316</v>
      </c>
    </row>
    <row r="43785">
      <c r="A43785" s="17"/>
      <c r="H43785" s="18"/>
      <c r="K43785" s="18" t="s">
        <v>316</v>
      </c>
    </row>
    <row r="43786">
      <c r="A43786" s="17"/>
      <c r="H43786" s="18"/>
      <c r="K43786" s="18" t="s">
        <v>316</v>
      </c>
    </row>
    <row r="43787">
      <c r="A43787" s="17"/>
      <c r="H43787" s="18"/>
      <c r="K43787" s="18" t="s">
        <v>316</v>
      </c>
    </row>
    <row r="43788">
      <c r="A43788" s="17"/>
      <c r="H43788" s="18"/>
      <c r="K43788" s="18" t="s">
        <v>316</v>
      </c>
    </row>
    <row r="43789">
      <c r="A43789" s="17"/>
      <c r="H43789" s="18"/>
      <c r="K43789" s="18" t="s">
        <v>316</v>
      </c>
    </row>
    <row r="43790">
      <c r="A43790" s="17"/>
      <c r="H43790" s="18"/>
      <c r="K43790" s="18" t="s">
        <v>316</v>
      </c>
    </row>
    <row r="43791">
      <c r="A43791" s="17"/>
      <c r="H43791" s="18"/>
      <c r="K43791" s="18" t="s">
        <v>316</v>
      </c>
    </row>
    <row r="43792">
      <c r="A43792" s="17"/>
      <c r="H43792" s="18"/>
      <c r="K43792" s="18" t="s">
        <v>316</v>
      </c>
    </row>
    <row r="43793">
      <c r="A43793" s="17"/>
      <c r="H43793" s="18"/>
      <c r="K43793" s="18" t="s">
        <v>316</v>
      </c>
    </row>
    <row r="43794">
      <c r="A43794" s="17"/>
      <c r="H43794" s="18"/>
      <c r="K43794" s="18" t="s">
        <v>316</v>
      </c>
    </row>
    <row r="43795">
      <c r="A43795" s="17"/>
      <c r="H43795" s="18"/>
      <c r="K43795" s="18" t="s">
        <v>316</v>
      </c>
    </row>
    <row r="43796">
      <c r="A43796" s="17"/>
      <c r="H43796" s="18"/>
      <c r="K43796" s="18" t="s">
        <v>316</v>
      </c>
    </row>
    <row r="43797">
      <c r="A43797" s="17"/>
      <c r="H43797" s="18"/>
      <c r="K43797" s="18" t="s">
        <v>316</v>
      </c>
    </row>
    <row r="43798">
      <c r="A43798" s="17"/>
      <c r="H43798" s="18"/>
      <c r="K43798" s="18" t="s">
        <v>316</v>
      </c>
    </row>
    <row r="43799">
      <c r="A43799" s="17"/>
      <c r="H43799" s="18"/>
      <c r="K43799" s="18" t="s">
        <v>316</v>
      </c>
    </row>
    <row r="43800">
      <c r="A43800" s="17"/>
      <c r="H43800" s="18"/>
      <c r="K43800" s="18" t="s">
        <v>316</v>
      </c>
    </row>
    <row r="43801">
      <c r="A43801" s="17"/>
      <c r="H43801" s="18"/>
      <c r="K43801" s="18" t="s">
        <v>316</v>
      </c>
    </row>
    <row r="43802">
      <c r="A43802" s="17"/>
      <c r="H43802" s="18"/>
      <c r="K43802" s="18" t="s">
        <v>316</v>
      </c>
    </row>
    <row r="43803">
      <c r="A43803" s="17"/>
      <c r="H43803" s="18"/>
      <c r="K43803" s="18" t="s">
        <v>316</v>
      </c>
    </row>
    <row r="43804">
      <c r="A43804" s="17"/>
      <c r="H43804" s="18"/>
      <c r="K43804" s="18" t="s">
        <v>316</v>
      </c>
    </row>
    <row r="43805">
      <c r="A43805" s="17"/>
      <c r="H43805" s="18"/>
      <c r="K43805" s="18" t="s">
        <v>316</v>
      </c>
    </row>
    <row r="43806">
      <c r="A43806" s="17"/>
      <c r="H43806" s="18"/>
      <c r="K43806" s="18" t="s">
        <v>316</v>
      </c>
    </row>
    <row r="43807">
      <c r="A43807" s="17"/>
      <c r="H43807" s="18"/>
      <c r="K43807" s="18" t="s">
        <v>316</v>
      </c>
    </row>
    <row r="43808">
      <c r="A43808" s="17"/>
      <c r="H43808" s="18"/>
      <c r="K43808" s="18" t="s">
        <v>316</v>
      </c>
    </row>
    <row r="43809">
      <c r="A43809" s="17"/>
      <c r="H43809" s="18"/>
      <c r="K43809" s="18" t="s">
        <v>316</v>
      </c>
    </row>
    <row r="43810">
      <c r="A43810" s="17"/>
      <c r="H43810" s="18"/>
      <c r="K43810" s="18" t="s">
        <v>316</v>
      </c>
    </row>
    <row r="43811">
      <c r="A43811" s="17"/>
      <c r="H43811" s="18"/>
      <c r="K43811" s="18" t="s">
        <v>316</v>
      </c>
    </row>
    <row r="43812">
      <c r="A43812" s="17"/>
      <c r="H43812" s="18"/>
      <c r="K43812" s="18" t="s">
        <v>316</v>
      </c>
    </row>
    <row r="43813">
      <c r="A43813" s="17"/>
      <c r="H43813" s="18"/>
      <c r="K43813" s="18" t="s">
        <v>316</v>
      </c>
    </row>
    <row r="43814">
      <c r="A43814" s="17"/>
      <c r="H43814" s="18"/>
      <c r="K43814" s="18" t="s">
        <v>316</v>
      </c>
    </row>
    <row r="43815">
      <c r="A43815" s="17"/>
      <c r="H43815" s="18"/>
      <c r="K43815" s="18" t="s">
        <v>316</v>
      </c>
    </row>
    <row r="43816">
      <c r="A43816" s="17"/>
      <c r="H43816" s="18"/>
      <c r="K43816" s="18" t="s">
        <v>316</v>
      </c>
    </row>
    <row r="43817">
      <c r="A43817" s="17"/>
      <c r="H43817" s="18"/>
      <c r="K43817" s="18" t="s">
        <v>316</v>
      </c>
    </row>
    <row r="43818">
      <c r="A43818" s="17"/>
      <c r="H43818" s="18"/>
      <c r="K43818" s="18" t="s">
        <v>316</v>
      </c>
    </row>
    <row r="43819">
      <c r="A43819" s="17"/>
      <c r="H43819" s="18"/>
      <c r="K43819" s="18" t="s">
        <v>316</v>
      </c>
    </row>
    <row r="43820">
      <c r="A43820" s="17"/>
      <c r="H43820" s="18"/>
      <c r="K43820" s="18" t="s">
        <v>316</v>
      </c>
    </row>
    <row r="43821">
      <c r="A43821" s="17"/>
      <c r="H43821" s="18"/>
      <c r="K43821" s="18" t="s">
        <v>316</v>
      </c>
    </row>
    <row r="43822">
      <c r="A43822" s="17"/>
      <c r="H43822" s="18"/>
      <c r="K43822" s="18" t="s">
        <v>316</v>
      </c>
    </row>
    <row r="43823">
      <c r="A43823" s="17"/>
      <c r="H43823" s="18"/>
      <c r="K43823" s="18" t="s">
        <v>316</v>
      </c>
    </row>
    <row r="43824">
      <c r="A43824" s="17"/>
      <c r="H43824" s="18"/>
      <c r="K43824" s="18" t="s">
        <v>316</v>
      </c>
    </row>
    <row r="43825">
      <c r="A43825" s="17"/>
      <c r="H43825" s="18"/>
      <c r="K43825" s="18" t="s">
        <v>316</v>
      </c>
    </row>
    <row r="43826">
      <c r="A43826" s="17"/>
      <c r="H43826" s="18"/>
      <c r="K43826" s="18" t="s">
        <v>316</v>
      </c>
    </row>
    <row r="43827">
      <c r="A43827" s="17"/>
      <c r="H43827" s="18"/>
      <c r="K43827" s="18" t="s">
        <v>316</v>
      </c>
    </row>
    <row r="43828">
      <c r="A43828" s="17"/>
      <c r="H43828" s="18"/>
      <c r="K43828" s="18" t="s">
        <v>316</v>
      </c>
    </row>
    <row r="43829">
      <c r="A43829" s="17"/>
      <c r="H43829" s="18"/>
      <c r="K43829" s="18" t="s">
        <v>316</v>
      </c>
    </row>
    <row r="43830">
      <c r="A43830" s="17"/>
      <c r="H43830" s="18"/>
      <c r="K43830" s="18" t="s">
        <v>316</v>
      </c>
    </row>
    <row r="43831">
      <c r="A43831" s="17"/>
      <c r="H43831" s="18"/>
      <c r="K43831" s="18" t="s">
        <v>316</v>
      </c>
    </row>
    <row r="43832">
      <c r="A43832" s="17"/>
      <c r="H43832" s="18"/>
      <c r="K43832" s="18" t="s">
        <v>316</v>
      </c>
    </row>
    <row r="43833">
      <c r="A43833" s="17"/>
      <c r="H43833" s="18"/>
      <c r="K43833" s="18" t="s">
        <v>316</v>
      </c>
    </row>
    <row r="43834">
      <c r="A43834" s="17"/>
      <c r="H43834" s="18"/>
      <c r="K43834" s="18" t="s">
        <v>316</v>
      </c>
    </row>
    <row r="43835">
      <c r="A43835" s="17"/>
      <c r="H43835" s="18"/>
      <c r="K43835" s="18" t="s">
        <v>316</v>
      </c>
    </row>
    <row r="43836">
      <c r="A43836" s="17"/>
      <c r="H43836" s="18"/>
      <c r="K43836" s="18" t="s">
        <v>316</v>
      </c>
    </row>
    <row r="43837">
      <c r="A43837" s="17"/>
      <c r="H43837" s="18"/>
      <c r="K43837" s="18" t="s">
        <v>316</v>
      </c>
    </row>
    <row r="43838">
      <c r="A43838" s="17"/>
      <c r="H43838" s="18"/>
      <c r="K43838" s="18" t="s">
        <v>316</v>
      </c>
    </row>
    <row r="43839">
      <c r="A43839" s="17"/>
      <c r="H43839" s="18"/>
      <c r="K43839" s="18" t="s">
        <v>316</v>
      </c>
    </row>
    <row r="43840">
      <c r="A43840" s="17"/>
      <c r="H43840" s="18"/>
      <c r="K43840" s="18" t="s">
        <v>316</v>
      </c>
    </row>
    <row r="43841">
      <c r="A43841" s="17"/>
      <c r="H43841" s="18"/>
      <c r="K43841" s="18" t="s">
        <v>316</v>
      </c>
    </row>
    <row r="43842">
      <c r="A43842" s="17"/>
      <c r="H43842" s="18"/>
      <c r="K43842" s="18" t="s">
        <v>316</v>
      </c>
    </row>
    <row r="43843">
      <c r="A43843" s="17"/>
      <c r="H43843" s="18"/>
      <c r="K43843" s="18" t="s">
        <v>316</v>
      </c>
    </row>
    <row r="43844">
      <c r="A43844" s="17"/>
      <c r="H43844" s="18"/>
      <c r="K43844" s="18" t="s">
        <v>316</v>
      </c>
    </row>
    <row r="43845">
      <c r="A43845" s="17"/>
      <c r="H43845" s="18"/>
      <c r="K43845" s="18" t="s">
        <v>316</v>
      </c>
    </row>
    <row r="43846">
      <c r="A43846" s="17"/>
      <c r="H43846" s="18"/>
      <c r="K43846" s="18" t="s">
        <v>316</v>
      </c>
    </row>
    <row r="43847">
      <c r="A43847" s="17"/>
      <c r="H43847" s="18"/>
      <c r="K43847" s="18" t="s">
        <v>316</v>
      </c>
    </row>
    <row r="43848">
      <c r="A43848" s="17"/>
      <c r="H43848" s="18"/>
      <c r="K43848" s="18" t="s">
        <v>316</v>
      </c>
    </row>
    <row r="43849">
      <c r="A43849" s="17"/>
      <c r="H43849" s="18"/>
      <c r="K43849" s="18" t="s">
        <v>316</v>
      </c>
    </row>
    <row r="43850">
      <c r="A43850" s="17"/>
      <c r="H43850" s="18"/>
      <c r="K43850" s="18" t="s">
        <v>316</v>
      </c>
    </row>
    <row r="43851">
      <c r="A43851" s="17"/>
      <c r="H43851" s="18"/>
      <c r="K43851" s="18" t="s">
        <v>316</v>
      </c>
    </row>
    <row r="43852">
      <c r="A43852" s="17"/>
      <c r="H43852" s="18"/>
      <c r="K43852" s="18" t="s">
        <v>316</v>
      </c>
    </row>
    <row r="43853">
      <c r="A43853" s="17"/>
      <c r="H43853" s="18"/>
      <c r="K43853" s="18" t="s">
        <v>316</v>
      </c>
    </row>
    <row r="43854">
      <c r="A43854" s="17"/>
      <c r="H43854" s="18"/>
      <c r="K43854" s="18" t="s">
        <v>316</v>
      </c>
    </row>
    <row r="43855">
      <c r="A43855" s="17"/>
      <c r="H43855" s="18"/>
      <c r="K43855" s="18" t="s">
        <v>316</v>
      </c>
    </row>
    <row r="43856">
      <c r="A43856" s="17"/>
      <c r="H43856" s="18"/>
      <c r="K43856" s="18" t="s">
        <v>316</v>
      </c>
    </row>
    <row r="43857">
      <c r="A43857" s="17"/>
      <c r="H43857" s="18"/>
      <c r="K43857" s="18" t="s">
        <v>316</v>
      </c>
    </row>
    <row r="43858">
      <c r="A43858" s="17"/>
      <c r="H43858" s="18"/>
      <c r="K43858" s="18" t="s">
        <v>316</v>
      </c>
    </row>
    <row r="43859">
      <c r="A43859" s="17"/>
      <c r="H43859" s="18"/>
      <c r="K43859" s="18" t="s">
        <v>316</v>
      </c>
    </row>
    <row r="43860">
      <c r="A43860" s="17"/>
      <c r="H43860" s="18"/>
      <c r="K43860" s="18" t="s">
        <v>316</v>
      </c>
    </row>
    <row r="43861">
      <c r="A43861" s="17"/>
      <c r="H43861" s="18"/>
      <c r="K43861" s="18" t="s">
        <v>316</v>
      </c>
    </row>
    <row r="43862">
      <c r="A43862" s="17"/>
      <c r="H43862" s="18"/>
      <c r="K43862" s="18" t="s">
        <v>316</v>
      </c>
    </row>
    <row r="43863">
      <c r="A43863" s="17"/>
      <c r="H43863" s="18"/>
      <c r="K43863" s="18" t="s">
        <v>316</v>
      </c>
    </row>
    <row r="43864">
      <c r="A43864" s="17"/>
      <c r="H43864" s="18"/>
      <c r="K43864" s="18" t="s">
        <v>316</v>
      </c>
    </row>
    <row r="43865">
      <c r="A43865" s="17"/>
      <c r="H43865" s="18"/>
      <c r="K43865" s="18" t="s">
        <v>316</v>
      </c>
    </row>
    <row r="43866">
      <c r="A43866" s="17"/>
      <c r="H43866" s="18"/>
      <c r="K43866" s="18" t="s">
        <v>316</v>
      </c>
    </row>
    <row r="43867">
      <c r="A43867" s="17"/>
      <c r="H43867" s="18"/>
      <c r="K43867" s="18" t="s">
        <v>316</v>
      </c>
    </row>
    <row r="43868">
      <c r="A43868" s="17"/>
      <c r="H43868" s="18"/>
      <c r="K43868" s="18" t="s">
        <v>316</v>
      </c>
    </row>
    <row r="43869">
      <c r="A43869" s="17"/>
      <c r="H43869" s="18"/>
      <c r="K43869" s="18" t="s">
        <v>316</v>
      </c>
    </row>
    <row r="43870">
      <c r="A43870" s="17"/>
      <c r="H43870" s="18"/>
      <c r="K43870" s="18" t="s">
        <v>316</v>
      </c>
    </row>
    <row r="43871">
      <c r="A43871" s="17"/>
      <c r="H43871" s="18"/>
      <c r="K43871" s="18" t="s">
        <v>316</v>
      </c>
    </row>
    <row r="43872">
      <c r="A43872" s="17"/>
      <c r="H43872" s="18"/>
      <c r="K43872" s="18" t="s">
        <v>316</v>
      </c>
    </row>
    <row r="43873">
      <c r="A43873" s="17"/>
      <c r="H43873" s="18"/>
      <c r="K43873" s="18" t="s">
        <v>316</v>
      </c>
    </row>
    <row r="43874">
      <c r="A43874" s="17"/>
      <c r="H43874" s="18"/>
      <c r="K43874" s="18" t="s">
        <v>316</v>
      </c>
    </row>
    <row r="43875">
      <c r="A43875" s="17"/>
      <c r="H43875" s="18"/>
      <c r="K43875" s="18" t="s">
        <v>316</v>
      </c>
    </row>
    <row r="43876">
      <c r="A43876" s="17"/>
      <c r="H43876" s="18"/>
      <c r="K43876" s="18" t="s">
        <v>316</v>
      </c>
    </row>
    <row r="43877">
      <c r="A43877" s="17"/>
      <c r="H43877" s="18"/>
      <c r="K43877" s="18" t="s">
        <v>316</v>
      </c>
    </row>
    <row r="43878">
      <c r="A43878" s="17"/>
      <c r="H43878" s="18"/>
      <c r="K43878" s="18" t="s">
        <v>316</v>
      </c>
    </row>
    <row r="43879">
      <c r="A43879" s="17"/>
      <c r="H43879" s="18"/>
      <c r="K43879" s="18" t="s">
        <v>316</v>
      </c>
    </row>
    <row r="43880">
      <c r="A43880" s="17"/>
      <c r="H43880" s="18"/>
      <c r="K43880" s="18" t="s">
        <v>316</v>
      </c>
    </row>
    <row r="43881">
      <c r="A43881" s="17"/>
      <c r="H43881" s="18"/>
      <c r="K43881" s="18" t="s">
        <v>316</v>
      </c>
    </row>
    <row r="43882">
      <c r="A43882" s="17"/>
      <c r="H43882" s="18"/>
      <c r="K43882" s="18" t="s">
        <v>316</v>
      </c>
    </row>
    <row r="43883">
      <c r="A43883" s="17"/>
      <c r="H43883" s="18"/>
      <c r="K43883" s="18" t="s">
        <v>316</v>
      </c>
    </row>
    <row r="43884">
      <c r="A43884" s="17"/>
      <c r="H43884" s="18"/>
      <c r="K43884" s="18" t="s">
        <v>316</v>
      </c>
    </row>
    <row r="43885">
      <c r="A43885" s="17"/>
      <c r="H43885" s="18"/>
      <c r="K43885" s="18" t="s">
        <v>316</v>
      </c>
    </row>
    <row r="43886">
      <c r="A43886" s="17"/>
      <c r="H43886" s="18"/>
      <c r="K43886" s="18" t="s">
        <v>316</v>
      </c>
    </row>
    <row r="43887">
      <c r="A43887" s="17"/>
      <c r="H43887" s="18"/>
      <c r="K43887" s="18" t="s">
        <v>316</v>
      </c>
    </row>
    <row r="43888">
      <c r="A43888" s="17"/>
      <c r="H43888" s="18"/>
      <c r="K43888" s="18" t="s">
        <v>316</v>
      </c>
    </row>
    <row r="43889">
      <c r="A43889" s="17"/>
      <c r="H43889" s="18"/>
      <c r="K43889" s="18" t="s">
        <v>316</v>
      </c>
    </row>
    <row r="43890">
      <c r="A43890" s="17"/>
      <c r="H43890" s="18"/>
      <c r="K43890" s="18" t="s">
        <v>316</v>
      </c>
    </row>
    <row r="43891">
      <c r="A43891" s="17"/>
      <c r="H43891" s="18"/>
      <c r="K43891" s="18" t="s">
        <v>316</v>
      </c>
    </row>
    <row r="43892">
      <c r="A43892" s="17"/>
      <c r="H43892" s="18"/>
      <c r="K43892" s="18" t="s">
        <v>316</v>
      </c>
    </row>
    <row r="43893">
      <c r="A43893" s="17"/>
      <c r="H43893" s="18"/>
      <c r="K43893" s="18" t="s">
        <v>316</v>
      </c>
    </row>
    <row r="43894">
      <c r="A43894" s="17"/>
      <c r="H43894" s="18"/>
      <c r="K43894" s="18" t="s">
        <v>316</v>
      </c>
    </row>
    <row r="43895">
      <c r="A43895" s="17"/>
      <c r="H43895" s="18"/>
      <c r="K43895" s="18" t="s">
        <v>316</v>
      </c>
    </row>
    <row r="43896">
      <c r="A43896" s="17"/>
      <c r="H43896" s="18"/>
      <c r="K43896" s="18" t="s">
        <v>316</v>
      </c>
    </row>
    <row r="43897">
      <c r="A43897" s="17"/>
      <c r="H43897" s="18"/>
      <c r="K43897" s="18" t="s">
        <v>316</v>
      </c>
    </row>
    <row r="43898">
      <c r="A43898" s="17"/>
      <c r="H43898" s="18"/>
      <c r="K43898" s="18" t="s">
        <v>316</v>
      </c>
    </row>
    <row r="43899">
      <c r="A43899" s="17"/>
      <c r="H43899" s="18"/>
      <c r="K43899" s="18" t="s">
        <v>316</v>
      </c>
    </row>
    <row r="43900">
      <c r="A43900" s="17"/>
      <c r="H43900" s="18"/>
      <c r="K43900" s="18" t="s">
        <v>316</v>
      </c>
    </row>
    <row r="43901">
      <c r="A43901" s="17"/>
      <c r="H43901" s="18"/>
      <c r="K43901" s="18" t="s">
        <v>316</v>
      </c>
    </row>
    <row r="43902">
      <c r="A43902" s="17"/>
      <c r="H43902" s="18"/>
      <c r="K43902" s="18" t="s">
        <v>316</v>
      </c>
    </row>
    <row r="43903">
      <c r="A43903" s="17"/>
      <c r="H43903" s="18"/>
      <c r="K43903" s="18" t="s">
        <v>316</v>
      </c>
    </row>
    <row r="43904">
      <c r="A43904" s="17"/>
      <c r="H43904" s="18"/>
      <c r="K43904" s="18" t="s">
        <v>316</v>
      </c>
    </row>
    <row r="43905">
      <c r="A43905" s="17"/>
      <c r="H43905" s="18"/>
      <c r="K43905" s="18" t="s">
        <v>316</v>
      </c>
    </row>
    <row r="43906">
      <c r="A43906" s="17"/>
      <c r="H43906" s="18"/>
      <c r="K43906" s="18" t="s">
        <v>316</v>
      </c>
    </row>
    <row r="43907">
      <c r="A43907" s="17"/>
      <c r="H43907" s="18"/>
      <c r="K43907" s="18" t="s">
        <v>316</v>
      </c>
    </row>
    <row r="43908">
      <c r="A43908" s="17"/>
      <c r="H43908" s="18"/>
      <c r="K43908" s="18" t="s">
        <v>316</v>
      </c>
    </row>
    <row r="43909">
      <c r="A43909" s="17"/>
      <c r="H43909" s="18"/>
      <c r="K43909" s="18" t="s">
        <v>316</v>
      </c>
    </row>
    <row r="43910">
      <c r="A43910" s="17"/>
      <c r="H43910" s="18"/>
      <c r="K43910" s="18" t="s">
        <v>316</v>
      </c>
    </row>
    <row r="43911">
      <c r="A43911" s="17"/>
      <c r="H43911" s="18"/>
      <c r="K43911" s="18" t="s">
        <v>316</v>
      </c>
    </row>
    <row r="43912">
      <c r="A43912" s="17"/>
      <c r="H43912" s="18"/>
      <c r="K43912" s="18" t="s">
        <v>316</v>
      </c>
    </row>
    <row r="43913">
      <c r="A43913" s="17"/>
      <c r="H43913" s="18"/>
      <c r="K43913" s="18" t="s">
        <v>316</v>
      </c>
    </row>
    <row r="43914">
      <c r="A43914" s="17"/>
      <c r="H43914" s="18"/>
      <c r="K43914" s="18" t="s">
        <v>316</v>
      </c>
    </row>
    <row r="43915">
      <c r="A43915" s="17"/>
      <c r="H43915" s="18"/>
      <c r="K43915" s="18" t="s">
        <v>316</v>
      </c>
    </row>
    <row r="43916">
      <c r="A43916" s="17"/>
      <c r="H43916" s="18"/>
      <c r="K43916" s="18" t="s">
        <v>316</v>
      </c>
    </row>
    <row r="43917">
      <c r="A43917" s="17"/>
      <c r="H43917" s="18"/>
      <c r="K43917" s="18" t="s">
        <v>316</v>
      </c>
    </row>
    <row r="43918">
      <c r="A43918" s="17"/>
      <c r="H43918" s="18"/>
      <c r="K43918" s="18" t="s">
        <v>316</v>
      </c>
    </row>
    <row r="43919">
      <c r="A43919" s="17"/>
      <c r="H43919" s="18"/>
      <c r="K43919" s="18" t="s">
        <v>316</v>
      </c>
    </row>
    <row r="43920">
      <c r="A43920" s="17"/>
      <c r="H43920" s="18"/>
      <c r="K43920" s="18" t="s">
        <v>316</v>
      </c>
    </row>
    <row r="43921">
      <c r="A43921" s="17"/>
      <c r="H43921" s="18"/>
      <c r="K43921" s="18" t="s">
        <v>316</v>
      </c>
    </row>
    <row r="43922">
      <c r="A43922" s="17"/>
      <c r="H43922" s="18"/>
      <c r="K43922" s="18" t="s">
        <v>316</v>
      </c>
    </row>
    <row r="43923">
      <c r="A43923" s="17"/>
      <c r="H43923" s="18"/>
      <c r="K43923" s="18" t="s">
        <v>316</v>
      </c>
    </row>
    <row r="43924">
      <c r="A43924" s="17"/>
      <c r="H43924" s="18"/>
      <c r="K43924" s="18" t="s">
        <v>316</v>
      </c>
    </row>
    <row r="43925">
      <c r="A43925" s="17"/>
      <c r="H43925" s="18"/>
      <c r="K43925" s="18" t="s">
        <v>316</v>
      </c>
    </row>
    <row r="43926">
      <c r="A43926" s="17"/>
      <c r="H43926" s="18"/>
      <c r="K43926" s="18" t="s">
        <v>316</v>
      </c>
    </row>
    <row r="43927">
      <c r="A43927" s="17"/>
      <c r="H43927" s="18"/>
      <c r="K43927" s="18" t="s">
        <v>316</v>
      </c>
    </row>
    <row r="43928">
      <c r="A43928" s="17"/>
      <c r="H43928" s="18"/>
      <c r="K43928" s="18" t="s">
        <v>316</v>
      </c>
    </row>
    <row r="43929">
      <c r="A43929" s="17"/>
      <c r="H43929" s="18"/>
      <c r="K43929" s="18" t="s">
        <v>316</v>
      </c>
    </row>
    <row r="43930">
      <c r="A43930" s="17"/>
      <c r="H43930" s="18"/>
      <c r="K43930" s="18" t="s">
        <v>316</v>
      </c>
    </row>
    <row r="43931">
      <c r="A43931" s="17"/>
      <c r="H43931" s="18"/>
      <c r="K43931" s="18" t="s">
        <v>316</v>
      </c>
    </row>
    <row r="43932">
      <c r="A43932" s="17"/>
      <c r="H43932" s="18"/>
      <c r="K43932" s="18" t="s">
        <v>316</v>
      </c>
    </row>
    <row r="43933">
      <c r="A43933" s="17"/>
      <c r="H43933" s="18"/>
      <c r="K43933" s="18" t="s">
        <v>316</v>
      </c>
    </row>
    <row r="43934">
      <c r="A43934" s="17"/>
      <c r="H43934" s="18"/>
      <c r="K43934" s="18" t="s">
        <v>316</v>
      </c>
    </row>
    <row r="43935">
      <c r="A43935" s="17"/>
      <c r="H43935" s="18"/>
      <c r="K43935" s="18" t="s">
        <v>316</v>
      </c>
    </row>
    <row r="43936">
      <c r="A43936" s="17"/>
      <c r="H43936" s="18"/>
      <c r="K43936" s="18" t="s">
        <v>316</v>
      </c>
    </row>
    <row r="43937">
      <c r="A43937" s="17"/>
      <c r="H43937" s="18"/>
      <c r="K43937" s="18" t="s">
        <v>316</v>
      </c>
    </row>
    <row r="43938">
      <c r="A43938" s="17"/>
      <c r="H43938" s="18"/>
      <c r="K43938" s="18" t="s">
        <v>316</v>
      </c>
    </row>
    <row r="43939">
      <c r="A43939" s="17"/>
      <c r="H43939" s="18"/>
      <c r="K43939" s="18" t="s">
        <v>316</v>
      </c>
    </row>
    <row r="43940">
      <c r="A43940" s="17"/>
      <c r="H43940" s="18"/>
      <c r="K43940" s="18" t="s">
        <v>316</v>
      </c>
    </row>
    <row r="43941">
      <c r="A43941" s="17"/>
      <c r="H43941" s="18"/>
      <c r="K43941" s="18" t="s">
        <v>316</v>
      </c>
    </row>
    <row r="43942">
      <c r="A43942" s="17"/>
      <c r="H43942" s="18"/>
      <c r="K43942" s="18" t="s">
        <v>316</v>
      </c>
    </row>
    <row r="43943">
      <c r="A43943" s="17"/>
      <c r="H43943" s="18"/>
      <c r="K43943" s="18" t="s">
        <v>316</v>
      </c>
    </row>
    <row r="43944">
      <c r="A43944" s="17"/>
      <c r="H43944" s="18"/>
      <c r="K43944" s="18" t="s">
        <v>316</v>
      </c>
    </row>
    <row r="43945">
      <c r="A43945" s="17"/>
      <c r="H43945" s="18"/>
      <c r="K43945" s="18" t="s">
        <v>316</v>
      </c>
    </row>
    <row r="43946">
      <c r="A43946" s="17"/>
      <c r="H43946" s="18"/>
      <c r="K43946" s="18" t="s">
        <v>316</v>
      </c>
    </row>
    <row r="43947">
      <c r="A43947" s="17"/>
      <c r="H43947" s="18"/>
      <c r="K43947" s="18" t="s">
        <v>316</v>
      </c>
    </row>
    <row r="43948">
      <c r="A43948" s="17"/>
      <c r="H43948" s="18"/>
      <c r="K43948" s="18" t="s">
        <v>316</v>
      </c>
    </row>
    <row r="43949">
      <c r="A43949" s="17"/>
      <c r="H43949" s="18"/>
      <c r="K43949" s="18" t="s">
        <v>316</v>
      </c>
    </row>
    <row r="43950">
      <c r="A43950" s="17"/>
      <c r="H43950" s="18"/>
      <c r="K43950" s="18" t="s">
        <v>316</v>
      </c>
    </row>
    <row r="43951">
      <c r="A43951" s="17"/>
      <c r="H43951" s="18"/>
      <c r="K43951" s="18" t="s">
        <v>316</v>
      </c>
    </row>
    <row r="43952">
      <c r="A43952" s="17"/>
      <c r="H43952" s="18"/>
      <c r="K43952" s="18" t="s">
        <v>316</v>
      </c>
    </row>
    <row r="43953">
      <c r="A43953" s="17"/>
      <c r="H43953" s="18"/>
      <c r="K43953" s="18" t="s">
        <v>316</v>
      </c>
    </row>
    <row r="43954">
      <c r="A43954" s="17"/>
      <c r="H43954" s="18"/>
      <c r="K43954" s="18" t="s">
        <v>316</v>
      </c>
    </row>
    <row r="43955">
      <c r="A43955" s="17"/>
      <c r="H43955" s="18"/>
      <c r="K43955" s="18" t="s">
        <v>316</v>
      </c>
    </row>
    <row r="43956">
      <c r="A43956" s="17"/>
      <c r="H43956" s="18"/>
      <c r="K43956" s="18" t="s">
        <v>316</v>
      </c>
    </row>
    <row r="43957">
      <c r="A43957" s="17"/>
      <c r="H43957" s="18"/>
      <c r="K43957" s="18" t="s">
        <v>316</v>
      </c>
    </row>
    <row r="43958">
      <c r="A43958" s="17"/>
      <c r="H43958" s="18"/>
      <c r="K43958" s="18" t="s">
        <v>316</v>
      </c>
    </row>
    <row r="43959">
      <c r="A43959" s="17"/>
      <c r="H43959" s="18"/>
      <c r="K43959" s="18" t="s">
        <v>316</v>
      </c>
    </row>
    <row r="43960">
      <c r="A43960" s="17"/>
      <c r="H43960" s="18"/>
      <c r="K43960" s="18" t="s">
        <v>316</v>
      </c>
    </row>
    <row r="43961">
      <c r="A43961" s="17"/>
      <c r="H43961" s="18"/>
      <c r="K43961" s="18" t="s">
        <v>316</v>
      </c>
    </row>
    <row r="43962">
      <c r="A43962" s="17"/>
      <c r="H43962" s="18"/>
      <c r="K43962" s="18" t="s">
        <v>316</v>
      </c>
    </row>
    <row r="43963">
      <c r="A43963" s="17"/>
      <c r="H43963" s="18"/>
      <c r="K43963" s="18" t="s">
        <v>316</v>
      </c>
    </row>
    <row r="43964">
      <c r="A43964" s="17"/>
      <c r="H43964" s="18"/>
      <c r="K43964" s="18" t="s">
        <v>316</v>
      </c>
    </row>
    <row r="43965">
      <c r="A43965" s="17"/>
      <c r="H43965" s="18"/>
      <c r="K43965" s="18" t="s">
        <v>316</v>
      </c>
    </row>
    <row r="43966">
      <c r="A43966" s="17"/>
      <c r="H43966" s="18"/>
      <c r="K43966" s="18" t="s">
        <v>316</v>
      </c>
    </row>
    <row r="43967">
      <c r="A43967" s="17"/>
      <c r="H43967" s="18"/>
      <c r="K43967" s="18" t="s">
        <v>316</v>
      </c>
    </row>
    <row r="43968">
      <c r="A43968" s="17"/>
      <c r="H43968" s="18"/>
      <c r="K43968" s="18" t="s">
        <v>316</v>
      </c>
    </row>
    <row r="43969">
      <c r="A43969" s="17"/>
      <c r="H43969" s="18"/>
      <c r="K43969" s="18" t="s">
        <v>316</v>
      </c>
    </row>
    <row r="43970">
      <c r="A43970" s="17"/>
      <c r="H43970" s="18"/>
      <c r="K43970" s="18" t="s">
        <v>316</v>
      </c>
    </row>
    <row r="43971">
      <c r="A43971" s="17"/>
      <c r="H43971" s="18"/>
      <c r="K43971" s="18" t="s">
        <v>316</v>
      </c>
    </row>
    <row r="43972">
      <c r="A43972" s="17"/>
      <c r="H43972" s="18"/>
      <c r="K43972" s="18" t="s">
        <v>316</v>
      </c>
    </row>
    <row r="43973">
      <c r="A43973" s="17"/>
      <c r="H43973" s="18"/>
      <c r="K43973" s="18" t="s">
        <v>316</v>
      </c>
    </row>
    <row r="43974">
      <c r="A43974" s="17"/>
      <c r="H43974" s="18"/>
      <c r="K43974" s="18" t="s">
        <v>316</v>
      </c>
    </row>
    <row r="43975">
      <c r="A43975" s="17"/>
      <c r="H43975" s="18"/>
      <c r="K43975" s="18" t="s">
        <v>316</v>
      </c>
    </row>
    <row r="43976">
      <c r="A43976" s="17"/>
      <c r="H43976" s="18"/>
      <c r="K43976" s="18" t="s">
        <v>316</v>
      </c>
    </row>
    <row r="43977">
      <c r="A43977" s="17"/>
      <c r="H43977" s="18"/>
      <c r="K43977" s="18" t="s">
        <v>316</v>
      </c>
    </row>
    <row r="43978">
      <c r="A43978" s="17"/>
      <c r="H43978" s="18"/>
      <c r="K43978" s="18" t="s">
        <v>316</v>
      </c>
    </row>
    <row r="43979">
      <c r="A43979" s="17"/>
      <c r="H43979" s="18"/>
      <c r="K43979" s="18" t="s">
        <v>316</v>
      </c>
    </row>
    <row r="43980">
      <c r="A43980" s="17"/>
      <c r="H43980" s="18"/>
      <c r="K43980" s="18" t="s">
        <v>316</v>
      </c>
    </row>
    <row r="43981">
      <c r="A43981" s="17"/>
      <c r="H43981" s="18"/>
      <c r="K43981" s="18" t="s">
        <v>316</v>
      </c>
    </row>
    <row r="43982">
      <c r="A43982" s="17"/>
      <c r="H43982" s="18"/>
      <c r="K43982" s="18" t="s">
        <v>316</v>
      </c>
    </row>
    <row r="43983">
      <c r="A43983" s="17"/>
      <c r="H43983" s="18"/>
      <c r="K43983" s="18" t="s">
        <v>316</v>
      </c>
    </row>
    <row r="43984">
      <c r="A43984" s="17"/>
      <c r="H43984" s="18"/>
      <c r="K43984" s="18" t="s">
        <v>316</v>
      </c>
    </row>
    <row r="43985">
      <c r="A43985" s="17"/>
      <c r="H43985" s="18"/>
      <c r="K43985" s="18" t="s">
        <v>316</v>
      </c>
    </row>
    <row r="43986">
      <c r="A43986" s="17"/>
      <c r="H43986" s="18"/>
      <c r="K43986" s="18" t="s">
        <v>316</v>
      </c>
    </row>
    <row r="43987">
      <c r="A43987" s="17"/>
      <c r="H43987" s="18"/>
      <c r="K43987" s="18" t="s">
        <v>316</v>
      </c>
    </row>
    <row r="43988">
      <c r="A43988" s="17"/>
      <c r="H43988" s="18"/>
      <c r="K43988" s="18" t="s">
        <v>316</v>
      </c>
    </row>
    <row r="43989">
      <c r="A43989" s="17"/>
      <c r="H43989" s="18"/>
      <c r="K43989" s="18" t="s">
        <v>316</v>
      </c>
    </row>
    <row r="43990">
      <c r="A43990" s="17"/>
      <c r="H43990" s="18"/>
      <c r="K43990" s="18" t="s">
        <v>316</v>
      </c>
    </row>
    <row r="43991">
      <c r="A43991" s="17"/>
      <c r="H43991" s="18"/>
      <c r="K43991" s="18" t="s">
        <v>316</v>
      </c>
    </row>
    <row r="43992">
      <c r="A43992" s="17"/>
      <c r="H43992" s="18"/>
      <c r="K43992" s="18" t="s">
        <v>316</v>
      </c>
    </row>
    <row r="43993">
      <c r="A43993" s="17"/>
      <c r="H43993" s="18"/>
      <c r="K43993" s="18" t="s">
        <v>316</v>
      </c>
    </row>
    <row r="43994">
      <c r="A43994" s="17"/>
      <c r="H43994" s="18"/>
      <c r="K43994" s="18" t="s">
        <v>316</v>
      </c>
    </row>
    <row r="43995">
      <c r="A43995" s="17"/>
      <c r="H43995" s="18"/>
      <c r="K43995" s="18" t="s">
        <v>316</v>
      </c>
    </row>
    <row r="43996">
      <c r="A43996" s="17"/>
      <c r="H43996" s="18"/>
      <c r="K43996" s="18" t="s">
        <v>316</v>
      </c>
    </row>
    <row r="43997">
      <c r="A43997" s="17"/>
      <c r="H43997" s="18"/>
      <c r="K43997" s="18" t="s">
        <v>316</v>
      </c>
    </row>
    <row r="43998">
      <c r="A43998" s="17"/>
      <c r="H43998" s="18"/>
      <c r="K43998" s="18" t="s">
        <v>316</v>
      </c>
    </row>
    <row r="43999">
      <c r="A43999" s="17"/>
      <c r="H43999" s="18"/>
      <c r="K43999" s="18" t="s">
        <v>316</v>
      </c>
    </row>
    <row r="44000">
      <c r="A44000" s="17"/>
      <c r="H44000" s="18"/>
      <c r="K44000" s="18" t="s">
        <v>316</v>
      </c>
    </row>
    <row r="44001">
      <c r="A44001" s="17"/>
      <c r="H44001" s="18"/>
      <c r="K44001" s="18" t="s">
        <v>316</v>
      </c>
    </row>
    <row r="44002">
      <c r="A44002" s="17"/>
      <c r="H44002" s="18"/>
      <c r="K44002" s="18" t="s">
        <v>316</v>
      </c>
    </row>
    <row r="44003">
      <c r="A44003" s="17"/>
      <c r="H44003" s="18"/>
      <c r="K44003" s="18" t="s">
        <v>316</v>
      </c>
    </row>
    <row r="44004">
      <c r="A44004" s="17"/>
      <c r="H44004" s="18"/>
      <c r="K44004" s="18" t="s">
        <v>316</v>
      </c>
    </row>
    <row r="44005">
      <c r="A44005" s="17"/>
      <c r="H44005" s="18"/>
      <c r="K44005" s="18" t="s">
        <v>316</v>
      </c>
    </row>
    <row r="44006">
      <c r="A44006" s="17"/>
      <c r="H44006" s="18"/>
      <c r="K44006" s="18" t="s">
        <v>316</v>
      </c>
    </row>
    <row r="44007">
      <c r="A44007" s="17"/>
      <c r="H44007" s="18"/>
      <c r="K44007" s="18" t="s">
        <v>316</v>
      </c>
    </row>
    <row r="44008">
      <c r="A44008" s="17"/>
      <c r="H44008" s="18"/>
      <c r="K44008" s="18" t="s">
        <v>316</v>
      </c>
    </row>
    <row r="44009">
      <c r="A44009" s="17"/>
      <c r="H44009" s="18"/>
      <c r="K44009" s="18" t="s">
        <v>316</v>
      </c>
    </row>
    <row r="44010">
      <c r="A44010" s="17"/>
      <c r="H44010" s="18"/>
      <c r="K44010" s="18" t="s">
        <v>316</v>
      </c>
    </row>
    <row r="44011">
      <c r="A44011" s="17"/>
      <c r="H44011" s="18"/>
      <c r="K44011" s="18" t="s">
        <v>316</v>
      </c>
    </row>
    <row r="44012">
      <c r="A44012" s="17"/>
      <c r="H44012" s="18"/>
      <c r="K44012" s="18" t="s">
        <v>316</v>
      </c>
    </row>
    <row r="44013">
      <c r="A44013" s="17"/>
      <c r="H44013" s="18"/>
      <c r="K44013" s="18" t="s">
        <v>316</v>
      </c>
    </row>
    <row r="44014">
      <c r="A44014" s="17"/>
      <c r="H44014" s="18"/>
      <c r="K44014" s="18" t="s">
        <v>316</v>
      </c>
    </row>
    <row r="44015">
      <c r="A44015" s="17"/>
      <c r="H44015" s="18"/>
      <c r="K44015" s="18" t="s">
        <v>316</v>
      </c>
    </row>
    <row r="44016">
      <c r="A44016" s="17"/>
      <c r="H44016" s="18"/>
      <c r="K44016" s="18" t="s">
        <v>316</v>
      </c>
    </row>
    <row r="44017">
      <c r="A44017" s="17"/>
      <c r="H44017" s="18"/>
      <c r="K44017" s="18" t="s">
        <v>316</v>
      </c>
    </row>
    <row r="44018">
      <c r="A44018" s="17"/>
      <c r="H44018" s="18"/>
      <c r="K44018" s="18" t="s">
        <v>316</v>
      </c>
    </row>
    <row r="44019">
      <c r="A44019" s="17"/>
      <c r="H44019" s="18"/>
      <c r="K44019" s="18" t="s">
        <v>316</v>
      </c>
    </row>
    <row r="44020">
      <c r="A44020" s="17"/>
      <c r="H44020" s="18"/>
      <c r="K44020" s="18" t="s">
        <v>316</v>
      </c>
    </row>
    <row r="44021">
      <c r="A44021" s="17"/>
      <c r="H44021" s="18"/>
      <c r="K44021" s="18" t="s">
        <v>316</v>
      </c>
    </row>
    <row r="44022">
      <c r="A44022" s="17"/>
      <c r="H44022" s="18"/>
      <c r="K44022" s="18" t="s">
        <v>316</v>
      </c>
    </row>
    <row r="44023">
      <c r="A44023" s="17"/>
      <c r="H44023" s="18"/>
      <c r="K44023" s="18" t="s">
        <v>316</v>
      </c>
    </row>
    <row r="44024">
      <c r="A44024" s="17"/>
      <c r="H44024" s="18"/>
      <c r="K44024" s="18" t="s">
        <v>316</v>
      </c>
    </row>
    <row r="44025">
      <c r="A44025" s="17"/>
      <c r="H44025" s="18"/>
      <c r="K44025" s="18" t="s">
        <v>316</v>
      </c>
    </row>
    <row r="44026">
      <c r="A44026" s="17"/>
      <c r="H44026" s="18"/>
      <c r="K44026" s="18" t="s">
        <v>316</v>
      </c>
    </row>
    <row r="44027">
      <c r="A44027" s="17"/>
      <c r="H44027" s="18"/>
      <c r="K44027" s="18" t="s">
        <v>316</v>
      </c>
    </row>
    <row r="44028">
      <c r="A44028" s="17"/>
      <c r="H44028" s="18"/>
      <c r="K44028" s="18" t="s">
        <v>316</v>
      </c>
    </row>
    <row r="44029">
      <c r="A44029" s="17"/>
      <c r="H44029" s="18"/>
      <c r="K44029" s="18" t="s">
        <v>316</v>
      </c>
    </row>
    <row r="44030">
      <c r="A44030" s="17"/>
      <c r="H44030" s="18"/>
      <c r="K44030" s="18" t="s">
        <v>316</v>
      </c>
    </row>
    <row r="44031">
      <c r="A44031" s="17"/>
      <c r="H44031" s="18"/>
      <c r="K44031" s="18" t="s">
        <v>316</v>
      </c>
    </row>
    <row r="44032">
      <c r="A44032" s="17"/>
      <c r="H44032" s="18"/>
      <c r="K44032" s="18" t="s">
        <v>316</v>
      </c>
    </row>
    <row r="44033">
      <c r="A44033" s="17"/>
      <c r="H44033" s="18"/>
      <c r="K44033" s="18" t="s">
        <v>316</v>
      </c>
    </row>
    <row r="44034">
      <c r="A44034" s="17"/>
      <c r="H44034" s="18"/>
      <c r="K44034" s="18" t="s">
        <v>316</v>
      </c>
    </row>
    <row r="44035">
      <c r="A44035" s="17"/>
      <c r="H44035" s="18"/>
      <c r="K44035" s="18" t="s">
        <v>316</v>
      </c>
    </row>
    <row r="44036">
      <c r="A44036" s="17"/>
      <c r="H44036" s="18"/>
      <c r="K44036" s="18" t="s">
        <v>316</v>
      </c>
    </row>
    <row r="44037">
      <c r="A44037" s="17"/>
      <c r="H44037" s="18"/>
      <c r="K44037" s="18" t="s">
        <v>316</v>
      </c>
    </row>
    <row r="44038">
      <c r="A44038" s="17"/>
      <c r="H44038" s="18"/>
      <c r="K44038" s="18" t="s">
        <v>316</v>
      </c>
    </row>
    <row r="44039">
      <c r="A44039" s="17"/>
      <c r="H44039" s="18"/>
      <c r="K44039" s="18" t="s">
        <v>316</v>
      </c>
    </row>
    <row r="44040">
      <c r="A44040" s="17"/>
      <c r="H44040" s="18"/>
      <c r="K44040" s="18" t="s">
        <v>316</v>
      </c>
    </row>
    <row r="44041">
      <c r="A44041" s="17"/>
      <c r="H44041" s="18"/>
      <c r="K44041" s="18" t="s">
        <v>316</v>
      </c>
    </row>
    <row r="44042">
      <c r="A44042" s="17"/>
      <c r="H44042" s="18"/>
      <c r="K44042" s="18" t="s">
        <v>316</v>
      </c>
    </row>
    <row r="44043">
      <c r="A44043" s="17"/>
      <c r="H44043" s="18"/>
      <c r="K44043" s="18" t="s">
        <v>316</v>
      </c>
    </row>
    <row r="44044">
      <c r="A44044" s="17"/>
      <c r="H44044" s="18"/>
      <c r="K44044" s="18" t="s">
        <v>316</v>
      </c>
    </row>
    <row r="44045">
      <c r="A44045" s="17"/>
      <c r="H44045" s="18"/>
      <c r="K44045" s="18" t="s">
        <v>316</v>
      </c>
    </row>
    <row r="44046">
      <c r="A44046" s="17"/>
      <c r="H44046" s="18"/>
      <c r="K44046" s="18" t="s">
        <v>316</v>
      </c>
    </row>
    <row r="44047">
      <c r="A44047" s="17"/>
      <c r="H44047" s="18"/>
      <c r="K44047" s="18" t="s">
        <v>316</v>
      </c>
    </row>
    <row r="44048">
      <c r="A44048" s="17"/>
      <c r="H44048" s="18"/>
      <c r="K44048" s="18" t="s">
        <v>316</v>
      </c>
    </row>
    <row r="44049">
      <c r="A44049" s="17"/>
      <c r="H44049" s="18"/>
      <c r="K44049" s="18" t="s">
        <v>316</v>
      </c>
    </row>
    <row r="44050">
      <c r="A44050" s="17"/>
      <c r="H44050" s="18"/>
      <c r="K44050" s="18" t="s">
        <v>316</v>
      </c>
    </row>
    <row r="44051">
      <c r="A44051" s="17"/>
      <c r="H44051" s="18"/>
      <c r="K44051" s="18" t="s">
        <v>316</v>
      </c>
    </row>
    <row r="44052">
      <c r="A44052" s="17"/>
      <c r="H44052" s="18"/>
      <c r="K44052" s="18" t="s">
        <v>316</v>
      </c>
    </row>
    <row r="44053">
      <c r="A44053" s="17"/>
      <c r="H44053" s="18"/>
      <c r="K44053" s="18" t="s">
        <v>316</v>
      </c>
    </row>
    <row r="44054">
      <c r="A44054" s="17"/>
      <c r="H44054" s="18"/>
      <c r="K44054" s="18" t="s">
        <v>316</v>
      </c>
    </row>
    <row r="44055">
      <c r="A44055" s="17"/>
      <c r="H44055" s="18"/>
      <c r="K44055" s="18" t="s">
        <v>316</v>
      </c>
    </row>
    <row r="44056">
      <c r="A44056" s="17"/>
      <c r="H44056" s="18"/>
      <c r="K44056" s="18" t="s">
        <v>316</v>
      </c>
    </row>
    <row r="44057">
      <c r="A44057" s="17"/>
      <c r="H44057" s="18"/>
      <c r="K44057" s="18" t="s">
        <v>316</v>
      </c>
    </row>
    <row r="44058">
      <c r="A44058" s="17"/>
      <c r="H44058" s="18"/>
      <c r="K44058" s="18" t="s">
        <v>316</v>
      </c>
    </row>
    <row r="44059">
      <c r="A44059" s="17"/>
      <c r="H44059" s="18"/>
      <c r="K44059" s="18" t="s">
        <v>316</v>
      </c>
    </row>
    <row r="44060">
      <c r="A44060" s="17"/>
      <c r="H44060" s="18"/>
      <c r="K44060" s="18" t="s">
        <v>316</v>
      </c>
    </row>
    <row r="44061">
      <c r="A44061" s="17"/>
      <c r="H44061" s="18"/>
      <c r="K44061" s="18" t="s">
        <v>316</v>
      </c>
    </row>
    <row r="44062">
      <c r="A44062" s="17"/>
      <c r="H44062" s="18"/>
      <c r="K44062" s="18" t="s">
        <v>316</v>
      </c>
    </row>
    <row r="44063">
      <c r="A44063" s="17"/>
      <c r="H44063" s="18"/>
      <c r="K44063" s="18" t="s">
        <v>316</v>
      </c>
    </row>
    <row r="44064">
      <c r="A44064" s="17"/>
      <c r="H44064" s="18"/>
      <c r="K44064" s="18" t="s">
        <v>316</v>
      </c>
    </row>
    <row r="44065">
      <c r="A44065" s="17"/>
      <c r="H44065" s="18"/>
      <c r="K44065" s="18" t="s">
        <v>316</v>
      </c>
    </row>
    <row r="44066">
      <c r="A44066" s="17"/>
      <c r="H44066" s="18"/>
      <c r="K44066" s="18" t="s">
        <v>316</v>
      </c>
    </row>
    <row r="44067">
      <c r="A44067" s="17"/>
      <c r="H44067" s="18"/>
      <c r="K44067" s="18" t="s">
        <v>316</v>
      </c>
    </row>
    <row r="44068">
      <c r="A44068" s="17"/>
      <c r="H44068" s="18"/>
      <c r="K44068" s="18" t="s">
        <v>316</v>
      </c>
    </row>
    <row r="44069">
      <c r="A44069" s="17"/>
      <c r="H44069" s="18"/>
      <c r="K44069" s="18" t="s">
        <v>316</v>
      </c>
    </row>
    <row r="44070">
      <c r="A44070" s="17"/>
      <c r="H44070" s="18"/>
      <c r="K44070" s="18" t="s">
        <v>316</v>
      </c>
    </row>
    <row r="44071">
      <c r="A44071" s="17"/>
      <c r="H44071" s="18"/>
      <c r="K44071" s="18" t="s">
        <v>316</v>
      </c>
    </row>
    <row r="44072">
      <c r="A44072" s="17"/>
      <c r="H44072" s="18"/>
      <c r="K44072" s="18" t="s">
        <v>316</v>
      </c>
    </row>
    <row r="44073">
      <c r="A44073" s="17"/>
      <c r="H44073" s="18"/>
      <c r="K44073" s="18" t="s">
        <v>316</v>
      </c>
    </row>
    <row r="44074">
      <c r="A44074" s="17"/>
      <c r="H44074" s="18"/>
      <c r="K44074" s="18" t="s">
        <v>316</v>
      </c>
    </row>
    <row r="44075">
      <c r="A44075" s="17"/>
      <c r="H44075" s="18"/>
      <c r="K44075" s="18" t="s">
        <v>316</v>
      </c>
    </row>
    <row r="44076">
      <c r="A44076" s="17"/>
      <c r="H44076" s="18"/>
      <c r="K44076" s="18" t="s">
        <v>316</v>
      </c>
    </row>
    <row r="44077">
      <c r="A44077" s="17"/>
      <c r="H44077" s="18"/>
      <c r="K44077" s="18" t="s">
        <v>316</v>
      </c>
    </row>
    <row r="44078">
      <c r="A44078" s="17"/>
      <c r="H44078" s="18"/>
      <c r="K44078" s="18" t="s">
        <v>316</v>
      </c>
    </row>
    <row r="44079">
      <c r="A44079" s="17"/>
      <c r="H44079" s="18"/>
      <c r="K44079" s="18" t="s">
        <v>316</v>
      </c>
    </row>
    <row r="44080">
      <c r="A44080" s="17"/>
      <c r="H44080" s="18"/>
      <c r="K44080" s="18" t="s">
        <v>316</v>
      </c>
    </row>
    <row r="44081">
      <c r="A44081" s="17"/>
      <c r="H44081" s="18"/>
      <c r="K44081" s="18" t="s">
        <v>316</v>
      </c>
    </row>
    <row r="44082">
      <c r="A44082" s="17"/>
      <c r="H44082" s="18"/>
      <c r="K44082" s="18" t="s">
        <v>316</v>
      </c>
    </row>
    <row r="44083">
      <c r="A44083" s="17"/>
      <c r="H44083" s="18"/>
      <c r="K44083" s="18" t="s">
        <v>316</v>
      </c>
    </row>
    <row r="44084">
      <c r="A44084" s="17"/>
      <c r="H44084" s="18"/>
      <c r="K44084" s="18" t="s">
        <v>316</v>
      </c>
    </row>
    <row r="44085">
      <c r="A44085" s="17"/>
      <c r="H44085" s="18"/>
      <c r="K44085" s="18" t="s">
        <v>316</v>
      </c>
    </row>
    <row r="44086">
      <c r="A44086" s="17"/>
      <c r="H44086" s="18"/>
      <c r="K44086" s="18" t="s">
        <v>316</v>
      </c>
    </row>
    <row r="44087">
      <c r="A44087" s="17"/>
      <c r="H44087" s="18"/>
      <c r="K44087" s="18" t="s">
        <v>316</v>
      </c>
    </row>
    <row r="44088">
      <c r="A44088" s="17"/>
      <c r="H44088" s="18"/>
      <c r="K44088" s="18" t="s">
        <v>316</v>
      </c>
    </row>
    <row r="44089">
      <c r="A44089" s="17"/>
      <c r="H44089" s="18"/>
      <c r="K44089" s="18" t="s">
        <v>316</v>
      </c>
    </row>
    <row r="44090">
      <c r="A44090" s="17"/>
      <c r="H44090" s="18"/>
      <c r="K44090" s="18" t="s">
        <v>316</v>
      </c>
    </row>
    <row r="44091">
      <c r="A44091" s="17"/>
      <c r="H44091" s="18"/>
      <c r="K44091" s="18" t="s">
        <v>316</v>
      </c>
    </row>
    <row r="44092">
      <c r="A44092" s="17"/>
      <c r="H44092" s="18"/>
      <c r="K44092" s="18" t="s">
        <v>316</v>
      </c>
    </row>
    <row r="44093">
      <c r="A44093" s="17"/>
      <c r="H44093" s="18"/>
      <c r="K44093" s="18" t="s">
        <v>316</v>
      </c>
    </row>
    <row r="44094">
      <c r="A44094" s="17"/>
      <c r="H44094" s="18"/>
      <c r="K44094" s="18" t="s">
        <v>316</v>
      </c>
    </row>
    <row r="44095">
      <c r="A44095" s="17"/>
      <c r="H44095" s="18"/>
      <c r="K44095" s="18" t="s">
        <v>316</v>
      </c>
    </row>
    <row r="44096">
      <c r="A44096" s="17"/>
      <c r="H44096" s="18"/>
      <c r="K44096" s="18" t="s">
        <v>316</v>
      </c>
    </row>
    <row r="44097">
      <c r="A44097" s="17"/>
      <c r="H44097" s="18"/>
      <c r="K44097" s="18" t="s">
        <v>316</v>
      </c>
    </row>
    <row r="44098">
      <c r="A44098" s="17"/>
      <c r="H44098" s="18"/>
      <c r="K44098" s="18" t="s">
        <v>316</v>
      </c>
    </row>
    <row r="44099">
      <c r="A44099" s="17"/>
      <c r="H44099" s="18"/>
      <c r="K44099" s="18" t="s">
        <v>316</v>
      </c>
    </row>
    <row r="44100">
      <c r="A44100" s="17"/>
      <c r="H44100" s="18"/>
      <c r="K44100" s="18" t="s">
        <v>316</v>
      </c>
    </row>
    <row r="44101">
      <c r="A44101" s="17"/>
      <c r="H44101" s="18"/>
      <c r="K44101" s="18" t="s">
        <v>316</v>
      </c>
    </row>
    <row r="44102">
      <c r="A44102" s="17"/>
      <c r="H44102" s="18"/>
      <c r="K44102" s="18" t="s">
        <v>316</v>
      </c>
    </row>
    <row r="44103">
      <c r="A44103" s="17"/>
      <c r="H44103" s="18"/>
      <c r="K44103" s="18" t="s">
        <v>316</v>
      </c>
    </row>
    <row r="44104">
      <c r="A44104" s="17"/>
      <c r="H44104" s="18"/>
      <c r="K44104" s="18" t="s">
        <v>316</v>
      </c>
    </row>
    <row r="44105">
      <c r="A44105" s="17"/>
      <c r="H44105" s="18"/>
      <c r="K44105" s="18" t="s">
        <v>316</v>
      </c>
    </row>
    <row r="44106">
      <c r="A44106" s="17"/>
      <c r="H44106" s="18"/>
      <c r="K44106" s="18" t="s">
        <v>316</v>
      </c>
    </row>
    <row r="44107">
      <c r="A44107" s="17"/>
      <c r="H44107" s="18"/>
      <c r="K44107" s="18" t="s">
        <v>316</v>
      </c>
    </row>
    <row r="44108">
      <c r="A44108" s="17"/>
      <c r="H44108" s="18"/>
      <c r="K44108" s="18" t="s">
        <v>316</v>
      </c>
    </row>
    <row r="44109">
      <c r="A44109" s="17"/>
      <c r="H44109" s="18"/>
      <c r="K44109" s="18" t="s">
        <v>316</v>
      </c>
    </row>
    <row r="44110">
      <c r="A44110" s="17"/>
      <c r="H44110" s="18"/>
      <c r="K44110" s="18" t="s">
        <v>316</v>
      </c>
    </row>
    <row r="44111">
      <c r="A44111" s="17"/>
      <c r="H44111" s="18"/>
      <c r="K44111" s="18" t="s">
        <v>316</v>
      </c>
    </row>
    <row r="44112">
      <c r="A44112" s="17"/>
      <c r="H44112" s="18"/>
      <c r="K44112" s="18" t="s">
        <v>316</v>
      </c>
    </row>
    <row r="44113">
      <c r="A44113" s="17"/>
      <c r="H44113" s="18"/>
      <c r="K44113" s="18" t="s">
        <v>316</v>
      </c>
    </row>
    <row r="44114">
      <c r="A44114" s="17"/>
      <c r="H44114" s="18"/>
      <c r="K44114" s="18" t="s">
        <v>316</v>
      </c>
    </row>
    <row r="44115">
      <c r="A44115" s="17"/>
      <c r="H44115" s="18"/>
      <c r="K44115" s="18" t="s">
        <v>316</v>
      </c>
    </row>
    <row r="44116">
      <c r="A44116" s="17"/>
      <c r="H44116" s="18"/>
      <c r="K44116" s="18" t="s">
        <v>316</v>
      </c>
    </row>
    <row r="44117">
      <c r="A44117" s="17"/>
      <c r="H44117" s="18"/>
      <c r="K44117" s="18" t="s">
        <v>316</v>
      </c>
    </row>
    <row r="44118">
      <c r="A44118" s="17"/>
      <c r="H44118" s="18"/>
      <c r="K44118" s="18" t="s">
        <v>316</v>
      </c>
    </row>
    <row r="44119">
      <c r="A44119" s="17"/>
      <c r="H44119" s="18"/>
      <c r="K44119" s="18" t="s">
        <v>316</v>
      </c>
    </row>
    <row r="44120">
      <c r="A44120" s="17"/>
      <c r="H44120" s="18"/>
      <c r="K44120" s="18" t="s">
        <v>316</v>
      </c>
    </row>
    <row r="44121">
      <c r="A44121" s="17"/>
      <c r="H44121" s="18"/>
      <c r="K44121" s="18" t="s">
        <v>316</v>
      </c>
    </row>
    <row r="44122">
      <c r="A44122" s="17"/>
      <c r="H44122" s="18"/>
      <c r="K44122" s="18" t="s">
        <v>316</v>
      </c>
    </row>
    <row r="44123">
      <c r="A44123" s="17"/>
      <c r="H44123" s="18"/>
      <c r="K44123" s="18" t="s">
        <v>316</v>
      </c>
    </row>
    <row r="44124">
      <c r="A44124" s="17"/>
      <c r="H44124" s="18"/>
      <c r="K44124" s="18" t="s">
        <v>316</v>
      </c>
    </row>
    <row r="44125">
      <c r="A44125" s="17"/>
      <c r="H44125" s="18"/>
      <c r="K44125" s="18" t="s">
        <v>316</v>
      </c>
    </row>
    <row r="44126">
      <c r="A44126" s="17"/>
      <c r="H44126" s="18"/>
      <c r="K44126" s="18" t="s">
        <v>316</v>
      </c>
    </row>
    <row r="44127">
      <c r="A44127" s="17"/>
      <c r="H44127" s="18"/>
      <c r="K44127" s="18" t="s">
        <v>316</v>
      </c>
    </row>
    <row r="44128">
      <c r="A44128" s="17"/>
      <c r="H44128" s="18"/>
      <c r="K44128" s="18" t="s">
        <v>316</v>
      </c>
    </row>
    <row r="44129">
      <c r="A44129" s="17"/>
      <c r="H44129" s="18"/>
      <c r="K44129" s="18" t="s">
        <v>316</v>
      </c>
    </row>
    <row r="44130">
      <c r="A44130" s="17"/>
      <c r="H44130" s="18"/>
      <c r="K44130" s="18" t="s">
        <v>316</v>
      </c>
    </row>
    <row r="44131">
      <c r="A44131" s="17"/>
      <c r="H44131" s="18"/>
      <c r="K44131" s="18" t="s">
        <v>316</v>
      </c>
    </row>
    <row r="44132">
      <c r="A44132" s="17"/>
      <c r="H44132" s="18"/>
      <c r="K44132" s="18" t="s">
        <v>316</v>
      </c>
    </row>
    <row r="44133">
      <c r="A44133" s="17"/>
      <c r="H44133" s="18"/>
      <c r="K44133" s="18" t="s">
        <v>316</v>
      </c>
    </row>
    <row r="44134">
      <c r="A44134" s="17"/>
      <c r="H44134" s="18"/>
      <c r="K44134" s="18" t="s">
        <v>316</v>
      </c>
    </row>
    <row r="44135">
      <c r="A44135" s="17"/>
      <c r="H44135" s="18"/>
      <c r="K44135" s="18" t="s">
        <v>316</v>
      </c>
    </row>
    <row r="44136">
      <c r="A44136" s="17"/>
      <c r="H44136" s="18"/>
      <c r="K44136" s="18" t="s">
        <v>316</v>
      </c>
    </row>
    <row r="44137">
      <c r="A44137" s="17"/>
      <c r="H44137" s="18"/>
      <c r="K44137" s="18" t="s">
        <v>316</v>
      </c>
    </row>
    <row r="44138">
      <c r="A44138" s="17"/>
      <c r="H44138" s="18"/>
      <c r="K44138" s="18" t="s">
        <v>316</v>
      </c>
    </row>
    <row r="44139">
      <c r="A44139" s="17"/>
      <c r="H44139" s="18"/>
      <c r="K44139" s="18" t="s">
        <v>316</v>
      </c>
    </row>
    <row r="44140">
      <c r="A44140" s="17"/>
      <c r="H44140" s="18"/>
      <c r="K44140" s="18" t="s">
        <v>316</v>
      </c>
    </row>
    <row r="44141">
      <c r="A44141" s="17"/>
      <c r="H44141" s="18"/>
      <c r="K44141" s="18" t="s">
        <v>316</v>
      </c>
    </row>
    <row r="44142">
      <c r="A44142" s="17"/>
      <c r="H44142" s="18"/>
      <c r="K44142" s="18" t="s">
        <v>316</v>
      </c>
    </row>
    <row r="44143">
      <c r="A44143" s="17"/>
      <c r="H44143" s="18"/>
      <c r="K44143" s="18" t="s">
        <v>316</v>
      </c>
    </row>
    <row r="44144">
      <c r="A44144" s="17"/>
      <c r="H44144" s="18"/>
      <c r="K44144" s="18" t="s">
        <v>316</v>
      </c>
    </row>
    <row r="44145">
      <c r="A44145" s="17"/>
      <c r="H44145" s="18"/>
      <c r="K44145" s="18" t="s">
        <v>316</v>
      </c>
    </row>
    <row r="44146">
      <c r="A44146" s="17"/>
      <c r="H44146" s="18"/>
      <c r="K44146" s="18" t="s">
        <v>316</v>
      </c>
    </row>
    <row r="44147">
      <c r="A44147" s="17"/>
      <c r="H44147" s="18"/>
      <c r="K44147" s="18" t="s">
        <v>316</v>
      </c>
    </row>
    <row r="44148">
      <c r="A44148" s="17"/>
      <c r="H44148" s="18"/>
      <c r="K44148" s="18" t="s">
        <v>316</v>
      </c>
    </row>
    <row r="44149">
      <c r="A44149" s="17"/>
      <c r="H44149" s="18"/>
      <c r="K44149" s="18" t="s">
        <v>316</v>
      </c>
    </row>
    <row r="44150">
      <c r="A44150" s="17"/>
      <c r="H44150" s="18"/>
      <c r="K44150" s="18" t="s">
        <v>316</v>
      </c>
    </row>
    <row r="44151">
      <c r="A44151" s="17"/>
      <c r="H44151" s="18"/>
      <c r="K44151" s="18" t="s">
        <v>316</v>
      </c>
    </row>
    <row r="44152">
      <c r="A44152" s="17"/>
      <c r="H44152" s="18"/>
      <c r="K44152" s="18" t="s">
        <v>316</v>
      </c>
    </row>
    <row r="44153">
      <c r="A44153" s="17"/>
      <c r="H44153" s="18"/>
      <c r="K44153" s="18" t="s">
        <v>316</v>
      </c>
    </row>
    <row r="44154">
      <c r="A44154" s="17"/>
      <c r="H44154" s="18"/>
      <c r="K44154" s="18" t="s">
        <v>316</v>
      </c>
    </row>
    <row r="44155">
      <c r="A44155" s="17"/>
      <c r="H44155" s="18"/>
      <c r="K44155" s="18" t="s">
        <v>316</v>
      </c>
    </row>
    <row r="44156">
      <c r="A44156" s="17"/>
      <c r="H44156" s="18"/>
      <c r="K44156" s="18" t="s">
        <v>316</v>
      </c>
    </row>
    <row r="44157">
      <c r="A44157" s="17"/>
      <c r="H44157" s="18"/>
      <c r="K44157" s="18" t="s">
        <v>316</v>
      </c>
    </row>
    <row r="44158">
      <c r="A44158" s="17"/>
      <c r="H44158" s="18"/>
      <c r="K44158" s="18" t="s">
        <v>316</v>
      </c>
    </row>
    <row r="44159">
      <c r="A44159" s="17"/>
      <c r="H44159" s="18"/>
      <c r="K44159" s="18" t="s">
        <v>316</v>
      </c>
    </row>
    <row r="44160">
      <c r="A44160" s="17"/>
      <c r="H44160" s="18"/>
      <c r="K44160" s="18" t="s">
        <v>316</v>
      </c>
    </row>
    <row r="44161">
      <c r="A44161" s="17"/>
      <c r="H44161" s="18"/>
      <c r="K44161" s="18" t="s">
        <v>316</v>
      </c>
    </row>
    <row r="44162">
      <c r="A44162" s="17"/>
      <c r="H44162" s="18"/>
      <c r="K44162" s="18" t="s">
        <v>316</v>
      </c>
    </row>
    <row r="44163">
      <c r="A44163" s="17"/>
      <c r="H44163" s="18"/>
      <c r="K44163" s="18" t="s">
        <v>316</v>
      </c>
    </row>
    <row r="44164">
      <c r="A44164" s="17"/>
      <c r="H44164" s="18"/>
      <c r="K44164" s="18" t="s">
        <v>316</v>
      </c>
    </row>
    <row r="44165">
      <c r="A44165" s="17"/>
      <c r="H44165" s="18"/>
      <c r="K44165" s="18" t="s">
        <v>316</v>
      </c>
    </row>
    <row r="44166">
      <c r="A44166" s="17"/>
      <c r="H44166" s="18"/>
      <c r="K44166" s="18" t="s">
        <v>316</v>
      </c>
    </row>
    <row r="44167">
      <c r="A44167" s="17"/>
      <c r="H44167" s="18"/>
      <c r="K44167" s="18" t="s">
        <v>316</v>
      </c>
    </row>
    <row r="44168">
      <c r="A44168" s="17"/>
      <c r="H44168" s="18"/>
      <c r="K44168" s="18" t="s">
        <v>316</v>
      </c>
    </row>
    <row r="44169">
      <c r="A44169" s="17"/>
      <c r="H44169" s="18"/>
      <c r="K44169" s="18" t="s">
        <v>316</v>
      </c>
    </row>
    <row r="44170">
      <c r="A44170" s="17"/>
      <c r="H44170" s="18"/>
      <c r="K44170" s="18" t="s">
        <v>316</v>
      </c>
    </row>
    <row r="44171">
      <c r="A44171" s="17"/>
      <c r="H44171" s="18"/>
      <c r="K44171" s="18" t="s">
        <v>316</v>
      </c>
    </row>
    <row r="44172">
      <c r="A44172" s="17"/>
      <c r="H44172" s="18"/>
      <c r="K44172" s="18" t="s">
        <v>316</v>
      </c>
    </row>
    <row r="44173">
      <c r="A44173" s="17"/>
      <c r="H44173" s="18"/>
      <c r="K44173" s="18" t="s">
        <v>316</v>
      </c>
    </row>
    <row r="44174">
      <c r="A44174" s="17"/>
      <c r="H44174" s="18"/>
      <c r="K44174" s="18" t="s">
        <v>316</v>
      </c>
    </row>
    <row r="44175">
      <c r="A44175" s="17"/>
      <c r="H44175" s="18"/>
      <c r="K44175" s="18" t="s">
        <v>316</v>
      </c>
    </row>
    <row r="44176">
      <c r="A44176" s="17"/>
      <c r="H44176" s="18"/>
      <c r="K44176" s="18" t="s">
        <v>316</v>
      </c>
    </row>
    <row r="44177">
      <c r="A44177" s="17"/>
      <c r="H44177" s="18"/>
      <c r="K44177" s="18" t="s">
        <v>316</v>
      </c>
    </row>
    <row r="44178">
      <c r="A44178" s="17"/>
      <c r="H44178" s="18"/>
      <c r="K44178" s="18" t="s">
        <v>316</v>
      </c>
    </row>
    <row r="44179">
      <c r="A44179" s="17"/>
      <c r="H44179" s="18"/>
      <c r="K44179" s="18" t="s">
        <v>316</v>
      </c>
    </row>
    <row r="44180">
      <c r="A44180" s="17"/>
      <c r="H44180" s="18"/>
      <c r="K44180" s="18" t="s">
        <v>316</v>
      </c>
    </row>
    <row r="44181">
      <c r="A44181" s="17"/>
      <c r="H44181" s="18"/>
      <c r="K44181" s="18" t="s">
        <v>316</v>
      </c>
    </row>
    <row r="44182">
      <c r="A44182" s="17"/>
      <c r="H44182" s="18"/>
      <c r="K44182" s="18" t="s">
        <v>316</v>
      </c>
    </row>
    <row r="44183">
      <c r="A44183" s="17"/>
      <c r="H44183" s="18"/>
      <c r="K44183" s="18" t="s">
        <v>316</v>
      </c>
    </row>
    <row r="44184">
      <c r="A44184" s="17"/>
      <c r="H44184" s="18"/>
      <c r="K44184" s="18" t="s">
        <v>316</v>
      </c>
    </row>
    <row r="44185">
      <c r="A44185" s="17"/>
      <c r="H44185" s="18"/>
      <c r="K44185" s="18" t="s">
        <v>316</v>
      </c>
    </row>
    <row r="44186">
      <c r="A44186" s="17"/>
      <c r="H44186" s="18"/>
      <c r="K44186" s="18" t="s">
        <v>316</v>
      </c>
    </row>
    <row r="44187">
      <c r="A44187" s="17"/>
      <c r="H44187" s="18"/>
      <c r="K44187" s="18" t="s">
        <v>316</v>
      </c>
    </row>
    <row r="44188">
      <c r="A44188" s="17"/>
      <c r="H44188" s="18"/>
      <c r="K44188" s="18" t="s">
        <v>316</v>
      </c>
    </row>
    <row r="44189">
      <c r="A44189" s="17"/>
      <c r="H44189" s="18"/>
      <c r="K44189" s="18" t="s">
        <v>316</v>
      </c>
    </row>
    <row r="44190">
      <c r="A44190" s="17"/>
      <c r="H44190" s="18"/>
      <c r="K44190" s="18" t="s">
        <v>316</v>
      </c>
    </row>
    <row r="44191">
      <c r="A44191" s="17"/>
      <c r="H44191" s="18"/>
      <c r="K44191" s="18" t="s">
        <v>316</v>
      </c>
    </row>
    <row r="44192">
      <c r="A44192" s="17"/>
      <c r="H44192" s="18"/>
      <c r="K44192" s="18" t="s">
        <v>316</v>
      </c>
    </row>
    <row r="44193">
      <c r="A44193" s="17"/>
      <c r="H44193" s="18"/>
      <c r="K44193" s="18" t="s">
        <v>316</v>
      </c>
    </row>
    <row r="44194">
      <c r="A44194" s="17"/>
      <c r="H44194" s="18"/>
      <c r="K44194" s="18" t="s">
        <v>316</v>
      </c>
    </row>
    <row r="44195">
      <c r="A44195" s="17"/>
      <c r="H44195" s="18"/>
      <c r="K44195" s="18" t="s">
        <v>316</v>
      </c>
    </row>
    <row r="44196">
      <c r="A44196" s="17"/>
      <c r="H44196" s="18"/>
      <c r="K44196" s="18" t="s">
        <v>316</v>
      </c>
    </row>
    <row r="44197">
      <c r="A44197" s="17"/>
      <c r="H44197" s="18"/>
      <c r="K44197" s="18" t="s">
        <v>316</v>
      </c>
    </row>
    <row r="44198">
      <c r="A44198" s="17"/>
      <c r="H44198" s="18"/>
      <c r="K44198" s="18" t="s">
        <v>316</v>
      </c>
    </row>
    <row r="44199">
      <c r="A44199" s="17"/>
      <c r="H44199" s="18"/>
      <c r="K44199" s="18" t="s">
        <v>316</v>
      </c>
    </row>
    <row r="44200">
      <c r="A44200" s="17"/>
      <c r="H44200" s="18"/>
      <c r="K44200" s="18" t="s">
        <v>316</v>
      </c>
    </row>
    <row r="44201">
      <c r="A44201" s="17"/>
      <c r="H44201" s="18"/>
      <c r="K44201" s="18" t="s">
        <v>316</v>
      </c>
    </row>
    <row r="44202">
      <c r="A44202" s="17"/>
      <c r="H44202" s="18"/>
      <c r="K44202" s="18" t="s">
        <v>316</v>
      </c>
    </row>
    <row r="44203">
      <c r="A44203" s="17"/>
      <c r="H44203" s="18"/>
      <c r="K44203" s="18" t="s">
        <v>316</v>
      </c>
    </row>
    <row r="44204">
      <c r="A44204" s="17"/>
      <c r="H44204" s="18"/>
      <c r="K44204" s="18" t="s">
        <v>316</v>
      </c>
    </row>
    <row r="44205">
      <c r="A44205" s="17"/>
      <c r="H44205" s="18"/>
      <c r="K44205" s="18" t="s">
        <v>316</v>
      </c>
    </row>
    <row r="44206">
      <c r="A44206" s="17"/>
      <c r="H44206" s="18"/>
      <c r="K44206" s="18" t="s">
        <v>316</v>
      </c>
    </row>
    <row r="44207">
      <c r="A44207" s="17"/>
      <c r="H44207" s="18"/>
      <c r="K44207" s="18" t="s">
        <v>316</v>
      </c>
    </row>
    <row r="44208">
      <c r="A44208" s="17"/>
      <c r="H44208" s="18"/>
      <c r="K44208" s="18" t="s">
        <v>316</v>
      </c>
    </row>
    <row r="44209">
      <c r="A44209" s="17"/>
      <c r="H44209" s="18"/>
      <c r="K44209" s="18" t="s">
        <v>316</v>
      </c>
    </row>
    <row r="44210">
      <c r="A44210" s="17"/>
      <c r="H44210" s="18"/>
      <c r="K44210" s="18" t="s">
        <v>316</v>
      </c>
    </row>
    <row r="44211">
      <c r="A44211" s="17"/>
      <c r="H44211" s="18"/>
      <c r="K44211" s="18" t="s">
        <v>316</v>
      </c>
    </row>
    <row r="44212">
      <c r="A44212" s="17"/>
      <c r="H44212" s="18"/>
      <c r="K44212" s="18" t="s">
        <v>316</v>
      </c>
    </row>
    <row r="44213">
      <c r="A44213" s="17"/>
      <c r="H44213" s="18"/>
      <c r="K44213" s="18" t="s">
        <v>316</v>
      </c>
    </row>
    <row r="44214">
      <c r="A44214" s="17"/>
      <c r="H44214" s="18"/>
      <c r="K44214" s="18" t="s">
        <v>316</v>
      </c>
    </row>
    <row r="44215">
      <c r="A44215" s="17"/>
      <c r="H44215" s="18"/>
      <c r="K44215" s="18" t="s">
        <v>316</v>
      </c>
    </row>
    <row r="44216">
      <c r="A44216" s="17"/>
      <c r="H44216" s="18"/>
      <c r="K44216" s="18" t="s">
        <v>316</v>
      </c>
    </row>
    <row r="44217">
      <c r="A44217" s="17"/>
      <c r="H44217" s="18"/>
      <c r="K44217" s="18" t="s">
        <v>316</v>
      </c>
    </row>
    <row r="44218">
      <c r="A44218" s="17"/>
      <c r="H44218" s="18"/>
      <c r="K44218" s="18" t="s">
        <v>316</v>
      </c>
    </row>
    <row r="44219">
      <c r="A44219" s="17"/>
      <c r="H44219" s="18"/>
      <c r="K44219" s="18" t="s">
        <v>316</v>
      </c>
    </row>
    <row r="44220">
      <c r="A44220" s="17"/>
      <c r="H44220" s="18"/>
      <c r="K44220" s="18" t="s">
        <v>316</v>
      </c>
    </row>
    <row r="44221">
      <c r="A44221" s="17"/>
      <c r="H44221" s="18"/>
      <c r="K44221" s="18" t="s">
        <v>316</v>
      </c>
    </row>
    <row r="44222">
      <c r="A44222" s="17"/>
      <c r="H44222" s="18"/>
      <c r="K44222" s="18" t="s">
        <v>316</v>
      </c>
    </row>
    <row r="44223">
      <c r="A44223" s="17"/>
      <c r="H44223" s="18"/>
      <c r="K44223" s="18" t="s">
        <v>316</v>
      </c>
    </row>
    <row r="44224">
      <c r="A44224" s="17"/>
      <c r="H44224" s="18"/>
      <c r="K44224" s="18" t="s">
        <v>316</v>
      </c>
    </row>
    <row r="44225">
      <c r="A44225" s="17"/>
      <c r="H44225" s="18"/>
      <c r="K44225" s="18" t="s">
        <v>316</v>
      </c>
    </row>
    <row r="44226">
      <c r="A44226" s="17"/>
      <c r="H44226" s="18"/>
      <c r="K44226" s="18" t="s">
        <v>316</v>
      </c>
    </row>
    <row r="44227">
      <c r="A44227" s="17"/>
      <c r="H44227" s="18"/>
      <c r="K44227" s="18" t="s">
        <v>316</v>
      </c>
    </row>
    <row r="44228">
      <c r="A44228" s="17"/>
      <c r="H44228" s="18"/>
      <c r="K44228" s="18" t="s">
        <v>316</v>
      </c>
    </row>
    <row r="44229">
      <c r="A44229" s="17"/>
      <c r="H44229" s="18"/>
      <c r="K44229" s="18" t="s">
        <v>316</v>
      </c>
    </row>
    <row r="44230">
      <c r="A44230" s="17"/>
      <c r="H44230" s="18"/>
      <c r="K44230" s="18" t="s">
        <v>316</v>
      </c>
    </row>
    <row r="44231">
      <c r="A44231" s="17"/>
      <c r="H44231" s="18"/>
      <c r="K44231" s="18" t="s">
        <v>316</v>
      </c>
    </row>
    <row r="44232">
      <c r="A44232" s="17"/>
      <c r="H44232" s="18"/>
      <c r="K44232" s="18" t="s">
        <v>316</v>
      </c>
    </row>
    <row r="44233">
      <c r="A44233" s="17"/>
      <c r="H44233" s="18"/>
      <c r="K44233" s="18" t="s">
        <v>316</v>
      </c>
    </row>
    <row r="44234">
      <c r="A44234" s="17"/>
      <c r="H44234" s="18"/>
      <c r="K44234" s="18" t="s">
        <v>316</v>
      </c>
    </row>
    <row r="44235">
      <c r="A44235" s="17"/>
      <c r="H44235" s="18"/>
      <c r="K44235" s="18" t="s">
        <v>316</v>
      </c>
    </row>
    <row r="44236">
      <c r="A44236" s="17"/>
      <c r="H44236" s="18"/>
      <c r="K44236" s="18" t="s">
        <v>316</v>
      </c>
    </row>
    <row r="44237">
      <c r="A44237" s="17"/>
      <c r="H44237" s="18"/>
      <c r="K44237" s="18" t="s">
        <v>316</v>
      </c>
    </row>
    <row r="44238">
      <c r="A44238" s="17"/>
      <c r="H44238" s="18"/>
      <c r="K44238" s="18" t="s">
        <v>316</v>
      </c>
    </row>
    <row r="44239">
      <c r="A44239" s="17"/>
      <c r="H44239" s="18"/>
      <c r="K44239" s="18" t="s">
        <v>316</v>
      </c>
    </row>
    <row r="44240">
      <c r="A44240" s="17"/>
      <c r="H44240" s="18"/>
      <c r="K44240" s="18" t="s">
        <v>316</v>
      </c>
    </row>
    <row r="44241">
      <c r="A44241" s="17"/>
      <c r="H44241" s="18"/>
      <c r="K44241" s="18" t="s">
        <v>316</v>
      </c>
    </row>
    <row r="44242">
      <c r="A44242" s="17"/>
      <c r="H44242" s="18"/>
      <c r="K44242" s="18" t="s">
        <v>316</v>
      </c>
    </row>
    <row r="44243">
      <c r="A44243" s="17"/>
      <c r="H44243" s="18"/>
      <c r="K44243" s="18" t="s">
        <v>316</v>
      </c>
    </row>
    <row r="44244">
      <c r="A44244" s="17"/>
      <c r="H44244" s="18"/>
      <c r="K44244" s="18" t="s">
        <v>316</v>
      </c>
    </row>
    <row r="44245">
      <c r="A44245" s="17"/>
      <c r="H44245" s="18"/>
      <c r="K44245" s="18" t="s">
        <v>316</v>
      </c>
    </row>
    <row r="44246">
      <c r="A44246" s="17"/>
      <c r="H44246" s="18"/>
      <c r="K44246" s="18" t="s">
        <v>316</v>
      </c>
    </row>
    <row r="44247">
      <c r="A44247" s="17"/>
      <c r="H44247" s="18"/>
      <c r="K44247" s="18" t="s">
        <v>316</v>
      </c>
    </row>
    <row r="44248">
      <c r="A44248" s="17"/>
      <c r="H44248" s="18"/>
      <c r="K44248" s="18" t="s">
        <v>316</v>
      </c>
    </row>
    <row r="44249">
      <c r="A44249" s="17"/>
      <c r="H44249" s="18"/>
      <c r="K44249" s="18" t="s">
        <v>316</v>
      </c>
    </row>
    <row r="44250">
      <c r="A44250" s="17"/>
      <c r="H44250" s="18"/>
      <c r="K44250" s="18" t="s">
        <v>316</v>
      </c>
    </row>
    <row r="44251">
      <c r="A44251" s="17"/>
      <c r="H44251" s="18"/>
      <c r="K44251" s="18" t="s">
        <v>316</v>
      </c>
    </row>
    <row r="44252">
      <c r="A44252" s="17"/>
      <c r="H44252" s="18"/>
      <c r="K44252" s="18" t="s">
        <v>316</v>
      </c>
    </row>
    <row r="44253">
      <c r="A44253" s="17"/>
      <c r="H44253" s="18"/>
      <c r="K44253" s="18" t="s">
        <v>316</v>
      </c>
    </row>
    <row r="44254">
      <c r="A44254" s="17"/>
      <c r="H44254" s="18"/>
      <c r="K44254" s="18" t="s">
        <v>316</v>
      </c>
    </row>
    <row r="44255">
      <c r="A44255" s="17"/>
      <c r="H44255" s="18"/>
      <c r="K44255" s="18" t="s">
        <v>316</v>
      </c>
    </row>
    <row r="44256">
      <c r="A44256" s="17"/>
      <c r="H44256" s="18"/>
      <c r="K44256" s="18" t="s">
        <v>316</v>
      </c>
    </row>
    <row r="44257">
      <c r="A44257" s="17"/>
      <c r="H44257" s="18"/>
      <c r="K44257" s="18" t="s">
        <v>316</v>
      </c>
    </row>
    <row r="44258">
      <c r="A44258" s="17"/>
      <c r="H44258" s="18"/>
      <c r="K44258" s="18" t="s">
        <v>316</v>
      </c>
    </row>
    <row r="44259">
      <c r="A44259" s="17"/>
      <c r="H44259" s="18"/>
      <c r="K44259" s="18" t="s">
        <v>316</v>
      </c>
    </row>
    <row r="44260">
      <c r="A44260" s="17"/>
      <c r="H44260" s="18"/>
      <c r="K44260" s="18" t="s">
        <v>316</v>
      </c>
    </row>
    <row r="44261">
      <c r="A44261" s="17"/>
      <c r="H44261" s="18"/>
      <c r="K44261" s="18" t="s">
        <v>316</v>
      </c>
    </row>
    <row r="44262">
      <c r="A44262" s="17"/>
      <c r="H44262" s="18"/>
      <c r="K44262" s="18" t="s">
        <v>316</v>
      </c>
    </row>
    <row r="44263">
      <c r="A44263" s="17"/>
      <c r="H44263" s="18"/>
      <c r="K44263" s="18" t="s">
        <v>316</v>
      </c>
    </row>
    <row r="44264">
      <c r="A44264" s="17"/>
      <c r="H44264" s="18"/>
      <c r="K44264" s="18" t="s">
        <v>316</v>
      </c>
    </row>
    <row r="44265">
      <c r="A44265" s="17"/>
      <c r="H44265" s="18"/>
      <c r="K44265" s="18" t="s">
        <v>316</v>
      </c>
    </row>
    <row r="44266">
      <c r="A44266" s="17"/>
      <c r="H44266" s="18"/>
      <c r="K44266" s="18" t="s">
        <v>316</v>
      </c>
    </row>
    <row r="44267">
      <c r="A44267" s="17"/>
      <c r="H44267" s="18"/>
      <c r="K44267" s="18" t="s">
        <v>316</v>
      </c>
    </row>
    <row r="44268">
      <c r="A44268" s="17"/>
      <c r="H44268" s="18"/>
      <c r="K44268" s="18" t="s">
        <v>316</v>
      </c>
    </row>
    <row r="44269">
      <c r="A44269" s="17"/>
      <c r="H44269" s="18"/>
      <c r="K44269" s="18" t="s">
        <v>316</v>
      </c>
    </row>
    <row r="44270">
      <c r="A44270" s="17"/>
      <c r="H44270" s="18"/>
      <c r="K44270" s="18" t="s">
        <v>316</v>
      </c>
    </row>
    <row r="44271">
      <c r="A44271" s="17"/>
      <c r="H44271" s="18"/>
      <c r="K44271" s="18" t="s">
        <v>316</v>
      </c>
    </row>
    <row r="44272">
      <c r="A44272" s="17"/>
      <c r="H44272" s="18"/>
      <c r="K44272" s="18" t="s">
        <v>316</v>
      </c>
    </row>
    <row r="44273">
      <c r="A44273" s="17"/>
      <c r="H44273" s="18"/>
      <c r="K44273" s="18" t="s">
        <v>316</v>
      </c>
    </row>
    <row r="44274">
      <c r="A44274" s="17"/>
      <c r="H44274" s="18"/>
      <c r="K44274" s="18" t="s">
        <v>316</v>
      </c>
    </row>
    <row r="44275">
      <c r="A44275" s="17"/>
      <c r="H44275" s="18"/>
      <c r="K44275" s="18" t="s">
        <v>316</v>
      </c>
    </row>
    <row r="44276">
      <c r="A44276" s="17"/>
      <c r="H44276" s="18"/>
      <c r="K44276" s="18" t="s">
        <v>316</v>
      </c>
    </row>
    <row r="44277">
      <c r="A44277" s="17"/>
      <c r="H44277" s="18"/>
      <c r="K44277" s="18" t="s">
        <v>316</v>
      </c>
    </row>
    <row r="44278">
      <c r="A44278" s="17"/>
      <c r="H44278" s="18"/>
      <c r="K44278" s="18" t="s">
        <v>316</v>
      </c>
    </row>
    <row r="44279">
      <c r="A44279" s="17"/>
      <c r="H44279" s="18"/>
      <c r="K44279" s="18" t="s">
        <v>316</v>
      </c>
    </row>
    <row r="44280">
      <c r="A44280" s="17"/>
      <c r="H44280" s="18"/>
      <c r="K44280" s="18" t="s">
        <v>316</v>
      </c>
    </row>
    <row r="44281">
      <c r="A44281" s="17"/>
      <c r="H44281" s="18"/>
      <c r="K44281" s="18" t="s">
        <v>316</v>
      </c>
    </row>
    <row r="44282">
      <c r="A44282" s="17"/>
      <c r="H44282" s="18"/>
      <c r="K44282" s="18" t="s">
        <v>316</v>
      </c>
    </row>
    <row r="44283">
      <c r="A44283" s="17"/>
      <c r="H44283" s="18"/>
      <c r="K44283" s="18" t="s">
        <v>316</v>
      </c>
    </row>
    <row r="44284">
      <c r="A44284" s="17"/>
      <c r="H44284" s="18"/>
      <c r="K44284" s="18" t="s">
        <v>316</v>
      </c>
    </row>
    <row r="44285">
      <c r="A44285" s="17"/>
      <c r="H44285" s="18"/>
      <c r="K44285" s="18" t="s">
        <v>316</v>
      </c>
    </row>
    <row r="44286">
      <c r="A44286" s="17"/>
      <c r="H44286" s="18"/>
      <c r="K44286" s="18" t="s">
        <v>316</v>
      </c>
    </row>
    <row r="44287">
      <c r="A44287" s="17"/>
      <c r="H44287" s="18"/>
      <c r="K44287" s="18" t="s">
        <v>316</v>
      </c>
    </row>
    <row r="44288">
      <c r="A44288" s="17"/>
      <c r="H44288" s="18"/>
      <c r="K44288" s="18" t="s">
        <v>316</v>
      </c>
    </row>
    <row r="44289">
      <c r="A44289" s="17"/>
      <c r="H44289" s="18"/>
      <c r="K44289" s="18" t="s">
        <v>316</v>
      </c>
    </row>
    <row r="44290">
      <c r="A44290" s="17"/>
      <c r="H44290" s="18"/>
      <c r="K44290" s="18" t="s">
        <v>316</v>
      </c>
    </row>
    <row r="44291">
      <c r="A44291" s="17"/>
      <c r="H44291" s="18"/>
      <c r="K44291" s="18" t="s">
        <v>316</v>
      </c>
    </row>
    <row r="44292">
      <c r="A44292" s="17"/>
      <c r="H44292" s="18"/>
      <c r="K44292" s="18" t="s">
        <v>316</v>
      </c>
    </row>
    <row r="44293">
      <c r="A44293" s="17"/>
      <c r="H44293" s="18"/>
      <c r="K44293" s="18" t="s">
        <v>316</v>
      </c>
    </row>
    <row r="44294">
      <c r="A44294" s="17"/>
      <c r="H44294" s="18"/>
      <c r="K44294" s="18" t="s">
        <v>316</v>
      </c>
    </row>
    <row r="44295">
      <c r="A44295" s="17"/>
      <c r="H44295" s="18"/>
      <c r="K44295" s="18" t="s">
        <v>316</v>
      </c>
    </row>
    <row r="44296">
      <c r="A44296" s="17"/>
      <c r="H44296" s="18"/>
      <c r="K44296" s="18" t="s">
        <v>316</v>
      </c>
    </row>
    <row r="44297">
      <c r="A44297" s="17"/>
      <c r="H44297" s="18"/>
      <c r="K44297" s="18" t="s">
        <v>316</v>
      </c>
    </row>
    <row r="44298">
      <c r="A44298" s="17"/>
      <c r="H44298" s="18"/>
      <c r="K44298" s="18" t="s">
        <v>316</v>
      </c>
    </row>
    <row r="44299">
      <c r="A44299" s="17"/>
      <c r="H44299" s="18"/>
      <c r="K44299" s="18" t="s">
        <v>316</v>
      </c>
    </row>
    <row r="44300">
      <c r="A44300" s="17"/>
      <c r="H44300" s="18"/>
      <c r="K44300" s="18" t="s">
        <v>316</v>
      </c>
    </row>
    <row r="44301">
      <c r="A44301" s="17"/>
      <c r="H44301" s="18"/>
      <c r="K44301" s="18" t="s">
        <v>316</v>
      </c>
    </row>
    <row r="44302">
      <c r="A44302" s="17"/>
      <c r="H44302" s="18"/>
      <c r="K44302" s="18" t="s">
        <v>316</v>
      </c>
    </row>
    <row r="44303">
      <c r="A44303" s="17"/>
      <c r="H44303" s="18"/>
      <c r="K44303" s="18" t="s">
        <v>316</v>
      </c>
    </row>
    <row r="44304">
      <c r="A44304" s="17"/>
      <c r="H44304" s="18"/>
      <c r="K44304" s="18" t="s">
        <v>316</v>
      </c>
    </row>
    <row r="44305">
      <c r="A44305" s="17"/>
      <c r="H44305" s="18"/>
      <c r="K44305" s="18" t="s">
        <v>316</v>
      </c>
    </row>
    <row r="44306">
      <c r="A44306" s="17"/>
      <c r="H44306" s="18"/>
      <c r="K44306" s="18" t="s">
        <v>316</v>
      </c>
    </row>
    <row r="44307">
      <c r="A44307" s="17"/>
      <c r="H44307" s="18"/>
      <c r="K44307" s="18" t="s">
        <v>316</v>
      </c>
    </row>
    <row r="44308">
      <c r="A44308" s="17"/>
      <c r="H44308" s="18"/>
      <c r="K44308" s="18" t="s">
        <v>316</v>
      </c>
    </row>
    <row r="44309">
      <c r="A44309" s="17"/>
      <c r="H44309" s="18"/>
      <c r="K44309" s="18" t="s">
        <v>316</v>
      </c>
    </row>
    <row r="44310">
      <c r="A44310" s="17"/>
      <c r="H44310" s="18"/>
      <c r="K44310" s="18" t="s">
        <v>316</v>
      </c>
    </row>
    <row r="44311">
      <c r="A44311" s="17"/>
      <c r="H44311" s="18"/>
      <c r="K44311" s="18" t="s">
        <v>316</v>
      </c>
    </row>
    <row r="44312">
      <c r="A44312" s="17"/>
      <c r="H44312" s="18"/>
      <c r="K44312" s="18" t="s">
        <v>316</v>
      </c>
    </row>
    <row r="44313">
      <c r="A44313" s="17"/>
      <c r="H44313" s="18"/>
      <c r="K44313" s="18" t="s">
        <v>316</v>
      </c>
    </row>
    <row r="44314">
      <c r="A44314" s="17"/>
      <c r="H44314" s="18"/>
      <c r="K44314" s="18" t="s">
        <v>316</v>
      </c>
    </row>
    <row r="44315">
      <c r="A44315" s="17"/>
      <c r="H44315" s="18"/>
      <c r="K44315" s="18" t="s">
        <v>316</v>
      </c>
    </row>
    <row r="44316">
      <c r="A44316" s="17"/>
      <c r="H44316" s="18"/>
      <c r="K44316" s="18" t="s">
        <v>316</v>
      </c>
    </row>
    <row r="44317">
      <c r="A44317" s="17"/>
      <c r="H44317" s="18"/>
      <c r="K44317" s="18" t="s">
        <v>316</v>
      </c>
    </row>
    <row r="44318">
      <c r="A44318" s="17"/>
      <c r="H44318" s="18"/>
      <c r="K44318" s="18" t="s">
        <v>316</v>
      </c>
    </row>
    <row r="44319">
      <c r="A44319" s="17"/>
      <c r="H44319" s="18"/>
      <c r="K44319" s="18" t="s">
        <v>316</v>
      </c>
    </row>
    <row r="44320">
      <c r="A44320" s="17"/>
      <c r="H44320" s="18"/>
      <c r="K44320" s="18" t="s">
        <v>316</v>
      </c>
    </row>
    <row r="44321">
      <c r="A44321" s="17"/>
      <c r="H44321" s="18"/>
      <c r="K44321" s="18" t="s">
        <v>316</v>
      </c>
    </row>
    <row r="44322">
      <c r="A44322" s="17"/>
      <c r="H44322" s="18"/>
      <c r="K44322" s="18" t="s">
        <v>316</v>
      </c>
    </row>
    <row r="44323">
      <c r="A44323" s="17"/>
      <c r="H44323" s="18"/>
      <c r="K44323" s="18" t="s">
        <v>316</v>
      </c>
    </row>
    <row r="44324">
      <c r="A44324" s="17"/>
      <c r="H44324" s="18"/>
      <c r="K44324" s="18" t="s">
        <v>316</v>
      </c>
    </row>
    <row r="44325">
      <c r="A44325" s="17"/>
      <c r="H44325" s="18"/>
      <c r="K44325" s="18" t="s">
        <v>316</v>
      </c>
    </row>
    <row r="44326">
      <c r="A44326" s="17"/>
      <c r="H44326" s="18"/>
      <c r="K44326" s="18" t="s">
        <v>316</v>
      </c>
    </row>
    <row r="44327">
      <c r="A44327" s="17"/>
      <c r="H44327" s="18"/>
      <c r="K44327" s="18" t="s">
        <v>316</v>
      </c>
    </row>
    <row r="44328">
      <c r="A44328" s="17"/>
      <c r="H44328" s="18"/>
      <c r="K44328" s="18" t="s">
        <v>316</v>
      </c>
    </row>
    <row r="44329">
      <c r="A44329" s="17"/>
      <c r="H44329" s="18"/>
      <c r="K44329" s="18" t="s">
        <v>316</v>
      </c>
    </row>
    <row r="44330">
      <c r="A44330" s="17"/>
      <c r="H44330" s="18"/>
      <c r="K44330" s="18" t="s">
        <v>316</v>
      </c>
    </row>
    <row r="44331">
      <c r="A44331" s="17"/>
      <c r="H44331" s="18"/>
      <c r="K44331" s="18" t="s">
        <v>316</v>
      </c>
    </row>
    <row r="44332">
      <c r="A44332" s="17"/>
      <c r="H44332" s="18"/>
      <c r="K44332" s="18" t="s">
        <v>316</v>
      </c>
    </row>
    <row r="44333">
      <c r="A44333" s="17"/>
      <c r="H44333" s="18"/>
      <c r="K44333" s="18" t="s">
        <v>316</v>
      </c>
    </row>
    <row r="44334">
      <c r="A44334" s="17"/>
      <c r="H44334" s="18"/>
      <c r="K44334" s="18" t="s">
        <v>316</v>
      </c>
    </row>
    <row r="44335">
      <c r="A44335" s="17"/>
      <c r="H44335" s="18"/>
      <c r="K44335" s="18" t="s">
        <v>316</v>
      </c>
    </row>
    <row r="44336">
      <c r="A44336" s="17"/>
      <c r="H44336" s="18"/>
      <c r="K44336" s="18" t="s">
        <v>316</v>
      </c>
    </row>
    <row r="44337">
      <c r="A44337" s="17"/>
      <c r="H44337" s="18"/>
      <c r="K44337" s="18" t="s">
        <v>316</v>
      </c>
    </row>
    <row r="44338">
      <c r="A44338" s="17"/>
      <c r="H44338" s="18"/>
      <c r="K44338" s="18" t="s">
        <v>316</v>
      </c>
    </row>
    <row r="44339">
      <c r="A44339" s="17"/>
      <c r="H44339" s="18"/>
      <c r="K44339" s="18" t="s">
        <v>316</v>
      </c>
    </row>
    <row r="44340">
      <c r="A44340" s="17"/>
      <c r="H44340" s="18"/>
      <c r="K44340" s="18" t="s">
        <v>316</v>
      </c>
    </row>
    <row r="44341">
      <c r="A44341" s="17"/>
      <c r="H44341" s="18"/>
      <c r="K44341" s="18" t="s">
        <v>316</v>
      </c>
    </row>
    <row r="44342">
      <c r="A44342" s="17"/>
      <c r="H44342" s="18"/>
      <c r="K44342" s="18" t="s">
        <v>316</v>
      </c>
    </row>
    <row r="44343">
      <c r="A44343" s="17"/>
      <c r="H44343" s="18"/>
      <c r="K44343" s="18" t="s">
        <v>316</v>
      </c>
    </row>
    <row r="44344">
      <c r="A44344" s="17"/>
      <c r="H44344" s="18"/>
      <c r="K44344" s="18" t="s">
        <v>316</v>
      </c>
    </row>
    <row r="44345">
      <c r="A44345" s="17"/>
      <c r="H44345" s="18"/>
      <c r="K44345" s="18" t="s">
        <v>316</v>
      </c>
    </row>
    <row r="44346">
      <c r="A44346" s="17"/>
      <c r="H44346" s="18"/>
      <c r="K44346" s="18" t="s">
        <v>316</v>
      </c>
    </row>
    <row r="44347">
      <c r="A44347" s="17"/>
      <c r="H44347" s="18"/>
      <c r="K44347" s="18" t="s">
        <v>316</v>
      </c>
    </row>
    <row r="44348">
      <c r="A44348" s="17"/>
      <c r="H44348" s="18"/>
      <c r="K44348" s="18" t="s">
        <v>316</v>
      </c>
    </row>
    <row r="44349">
      <c r="A44349" s="17"/>
      <c r="H44349" s="18"/>
      <c r="K44349" s="18" t="s">
        <v>316</v>
      </c>
    </row>
    <row r="44350">
      <c r="A44350" s="17"/>
      <c r="H44350" s="18"/>
      <c r="K44350" s="18" t="s">
        <v>316</v>
      </c>
    </row>
    <row r="44351">
      <c r="A44351" s="17"/>
      <c r="H44351" s="18"/>
      <c r="K44351" s="18" t="s">
        <v>316</v>
      </c>
    </row>
    <row r="44352">
      <c r="A44352" s="17"/>
      <c r="H44352" s="18"/>
      <c r="K44352" s="18" t="s">
        <v>316</v>
      </c>
    </row>
    <row r="44353">
      <c r="A44353" s="17"/>
      <c r="H44353" s="18"/>
      <c r="K44353" s="18" t="s">
        <v>316</v>
      </c>
    </row>
    <row r="44354">
      <c r="A44354" s="17"/>
      <c r="H44354" s="18"/>
      <c r="K44354" s="18" t="s">
        <v>316</v>
      </c>
    </row>
    <row r="44355">
      <c r="A44355" s="17"/>
      <c r="H44355" s="18"/>
      <c r="K44355" s="18" t="s">
        <v>316</v>
      </c>
    </row>
    <row r="44356">
      <c r="A44356" s="17"/>
      <c r="H44356" s="18"/>
      <c r="K44356" s="18" t="s">
        <v>316</v>
      </c>
    </row>
    <row r="44357">
      <c r="A44357" s="17"/>
      <c r="H44357" s="18"/>
      <c r="K44357" s="18" t="s">
        <v>316</v>
      </c>
    </row>
    <row r="44358">
      <c r="A44358" s="17"/>
      <c r="H44358" s="18"/>
      <c r="K44358" s="18" t="s">
        <v>316</v>
      </c>
    </row>
    <row r="44359">
      <c r="A44359" s="17"/>
      <c r="H44359" s="18"/>
      <c r="K44359" s="18" t="s">
        <v>316</v>
      </c>
    </row>
    <row r="44360">
      <c r="A44360" s="17"/>
      <c r="H44360" s="18"/>
      <c r="K44360" s="18" t="s">
        <v>316</v>
      </c>
    </row>
    <row r="44361">
      <c r="A44361" s="17"/>
      <c r="H44361" s="18"/>
      <c r="K44361" s="18" t="s">
        <v>316</v>
      </c>
    </row>
    <row r="44362">
      <c r="A44362" s="17"/>
      <c r="H44362" s="18"/>
      <c r="K44362" s="18" t="s">
        <v>316</v>
      </c>
    </row>
    <row r="44363">
      <c r="A44363" s="17"/>
      <c r="H44363" s="18"/>
      <c r="K44363" s="18" t="s">
        <v>316</v>
      </c>
    </row>
    <row r="44364">
      <c r="A44364" s="17"/>
      <c r="H44364" s="18"/>
      <c r="K44364" s="18" t="s">
        <v>316</v>
      </c>
    </row>
    <row r="44365">
      <c r="A44365" s="17"/>
      <c r="H44365" s="18"/>
      <c r="K44365" s="18" t="s">
        <v>316</v>
      </c>
    </row>
    <row r="44366">
      <c r="A44366" s="17"/>
      <c r="H44366" s="18"/>
      <c r="K44366" s="18" t="s">
        <v>316</v>
      </c>
    </row>
    <row r="44367">
      <c r="A44367" s="17"/>
      <c r="H44367" s="18"/>
      <c r="K44367" s="18" t="s">
        <v>316</v>
      </c>
    </row>
    <row r="44368">
      <c r="A44368" s="17"/>
      <c r="H44368" s="18"/>
      <c r="K44368" s="18" t="s">
        <v>316</v>
      </c>
    </row>
    <row r="44369">
      <c r="A44369" s="17"/>
      <c r="H44369" s="18"/>
      <c r="K44369" s="18" t="s">
        <v>316</v>
      </c>
    </row>
    <row r="44370">
      <c r="A44370" s="17"/>
      <c r="H44370" s="18"/>
      <c r="K44370" s="18" t="s">
        <v>316</v>
      </c>
    </row>
    <row r="44371">
      <c r="A44371" s="17"/>
      <c r="H44371" s="18"/>
      <c r="K44371" s="18" t="s">
        <v>316</v>
      </c>
    </row>
    <row r="44372">
      <c r="A44372" s="17"/>
      <c r="H44372" s="18"/>
      <c r="K44372" s="18" t="s">
        <v>316</v>
      </c>
    </row>
    <row r="44373">
      <c r="A44373" s="17"/>
      <c r="H44373" s="18"/>
      <c r="K44373" s="18" t="s">
        <v>316</v>
      </c>
    </row>
    <row r="44374">
      <c r="A44374" s="17"/>
      <c r="H44374" s="18"/>
      <c r="K44374" s="18" t="s">
        <v>316</v>
      </c>
    </row>
    <row r="44375">
      <c r="A44375" s="17"/>
      <c r="H44375" s="18"/>
      <c r="K44375" s="18" t="s">
        <v>316</v>
      </c>
    </row>
    <row r="44376">
      <c r="A44376" s="17"/>
      <c r="H44376" s="18"/>
      <c r="K44376" s="18" t="s">
        <v>316</v>
      </c>
    </row>
    <row r="44377">
      <c r="A44377" s="17"/>
      <c r="H44377" s="18"/>
      <c r="K44377" s="18" t="s">
        <v>316</v>
      </c>
    </row>
    <row r="44378">
      <c r="A44378" s="17"/>
      <c r="H44378" s="18"/>
      <c r="K44378" s="18" t="s">
        <v>316</v>
      </c>
    </row>
    <row r="44379">
      <c r="A44379" s="17"/>
      <c r="H44379" s="18"/>
      <c r="K44379" s="18" t="s">
        <v>316</v>
      </c>
    </row>
    <row r="44380">
      <c r="A44380" s="17"/>
      <c r="H44380" s="18"/>
      <c r="K44380" s="18" t="s">
        <v>316</v>
      </c>
    </row>
    <row r="44381">
      <c r="A44381" s="17"/>
      <c r="H44381" s="18"/>
      <c r="K44381" s="18" t="s">
        <v>316</v>
      </c>
    </row>
    <row r="44382">
      <c r="A44382" s="17"/>
      <c r="H44382" s="18"/>
      <c r="K44382" s="18" t="s">
        <v>316</v>
      </c>
    </row>
    <row r="44383">
      <c r="A44383" s="17"/>
      <c r="H44383" s="18"/>
      <c r="K44383" s="18" t="s">
        <v>316</v>
      </c>
    </row>
    <row r="44384">
      <c r="A44384" s="17"/>
      <c r="H44384" s="18"/>
      <c r="K44384" s="18" t="s">
        <v>316</v>
      </c>
    </row>
    <row r="44385">
      <c r="A44385" s="17"/>
      <c r="H44385" s="18"/>
      <c r="K44385" s="18" t="s">
        <v>316</v>
      </c>
    </row>
    <row r="44386">
      <c r="A44386" s="17"/>
      <c r="H44386" s="18"/>
      <c r="K44386" s="18" t="s">
        <v>316</v>
      </c>
    </row>
    <row r="44387">
      <c r="A44387" s="17"/>
      <c r="H44387" s="18"/>
      <c r="K44387" s="18" t="s">
        <v>316</v>
      </c>
    </row>
    <row r="44388">
      <c r="A44388" s="17"/>
      <c r="H44388" s="18"/>
      <c r="K44388" s="18" t="s">
        <v>316</v>
      </c>
    </row>
    <row r="44389">
      <c r="A44389" s="17"/>
      <c r="H44389" s="18"/>
      <c r="K44389" s="18" t="s">
        <v>316</v>
      </c>
    </row>
    <row r="44390">
      <c r="A44390" s="17"/>
      <c r="H44390" s="18"/>
      <c r="K44390" s="18" t="s">
        <v>316</v>
      </c>
    </row>
    <row r="44391">
      <c r="A44391" s="17"/>
      <c r="H44391" s="18"/>
      <c r="K44391" s="18" t="s">
        <v>316</v>
      </c>
    </row>
    <row r="44392">
      <c r="A44392" s="17"/>
      <c r="H44392" s="18"/>
      <c r="K44392" s="18" t="s">
        <v>316</v>
      </c>
    </row>
    <row r="44393">
      <c r="A44393" s="17"/>
      <c r="H44393" s="18"/>
      <c r="K44393" s="18" t="s">
        <v>316</v>
      </c>
    </row>
    <row r="44394">
      <c r="A44394" s="17"/>
      <c r="H44394" s="18"/>
      <c r="K44394" s="18" t="s">
        <v>316</v>
      </c>
    </row>
    <row r="44395">
      <c r="A44395" s="17"/>
      <c r="H44395" s="18"/>
      <c r="K44395" s="18" t="s">
        <v>316</v>
      </c>
    </row>
    <row r="44396">
      <c r="A44396" s="17"/>
      <c r="H44396" s="18"/>
      <c r="K44396" s="18" t="s">
        <v>316</v>
      </c>
    </row>
    <row r="44397">
      <c r="A44397" s="17"/>
      <c r="H44397" s="18"/>
      <c r="K44397" s="18" t="s">
        <v>316</v>
      </c>
    </row>
    <row r="44398">
      <c r="A44398" s="17"/>
      <c r="H44398" s="18"/>
      <c r="K44398" s="18" t="s">
        <v>316</v>
      </c>
    </row>
    <row r="44399">
      <c r="A44399" s="17"/>
      <c r="H44399" s="18"/>
      <c r="K44399" s="18" t="s">
        <v>316</v>
      </c>
    </row>
    <row r="44400">
      <c r="A44400" s="17"/>
      <c r="H44400" s="18"/>
      <c r="K44400" s="18" t="s">
        <v>316</v>
      </c>
    </row>
    <row r="44401">
      <c r="A44401" s="17"/>
      <c r="H44401" s="18"/>
      <c r="K44401" s="18" t="s">
        <v>316</v>
      </c>
    </row>
    <row r="44402">
      <c r="A44402" s="17"/>
      <c r="H44402" s="18"/>
      <c r="K44402" s="18" t="s">
        <v>316</v>
      </c>
    </row>
    <row r="44403">
      <c r="A44403" s="17"/>
      <c r="H44403" s="18"/>
      <c r="K44403" s="18" t="s">
        <v>316</v>
      </c>
    </row>
    <row r="44404">
      <c r="A44404" s="17"/>
      <c r="H44404" s="18"/>
      <c r="K44404" s="18" t="s">
        <v>316</v>
      </c>
    </row>
    <row r="44405">
      <c r="A44405" s="17"/>
      <c r="H44405" s="18"/>
      <c r="K44405" s="18" t="s">
        <v>316</v>
      </c>
    </row>
    <row r="44406">
      <c r="A44406" s="17"/>
      <c r="H44406" s="18"/>
      <c r="K44406" s="18" t="s">
        <v>316</v>
      </c>
    </row>
    <row r="44407">
      <c r="A44407" s="17"/>
      <c r="H44407" s="18"/>
      <c r="K44407" s="18" t="s">
        <v>316</v>
      </c>
    </row>
    <row r="44408">
      <c r="A44408" s="17"/>
      <c r="H44408" s="18"/>
      <c r="K44408" s="18" t="s">
        <v>316</v>
      </c>
    </row>
    <row r="44409">
      <c r="A44409" s="17"/>
      <c r="H44409" s="18"/>
      <c r="K44409" s="18" t="s">
        <v>316</v>
      </c>
    </row>
    <row r="44410">
      <c r="A44410" s="17"/>
      <c r="H44410" s="18"/>
      <c r="K44410" s="18" t="s">
        <v>316</v>
      </c>
    </row>
    <row r="44411">
      <c r="A44411" s="17"/>
      <c r="H44411" s="18"/>
      <c r="K44411" s="18" t="s">
        <v>316</v>
      </c>
    </row>
    <row r="44412">
      <c r="A44412" s="17"/>
      <c r="H44412" s="18"/>
      <c r="K44412" s="18" t="s">
        <v>316</v>
      </c>
    </row>
    <row r="44413">
      <c r="A44413" s="17"/>
      <c r="H44413" s="18"/>
      <c r="K44413" s="18" t="s">
        <v>316</v>
      </c>
    </row>
    <row r="44414">
      <c r="A44414" s="17"/>
      <c r="H44414" s="18"/>
      <c r="K44414" s="18" t="s">
        <v>316</v>
      </c>
    </row>
    <row r="44415">
      <c r="A44415" s="17"/>
      <c r="H44415" s="18"/>
      <c r="K44415" s="18" t="s">
        <v>316</v>
      </c>
    </row>
    <row r="44416">
      <c r="A44416" s="17"/>
      <c r="H44416" s="18"/>
      <c r="K44416" s="18" t="s">
        <v>316</v>
      </c>
    </row>
    <row r="44417">
      <c r="A44417" s="17"/>
      <c r="H44417" s="18"/>
      <c r="K44417" s="18" t="s">
        <v>316</v>
      </c>
    </row>
    <row r="44418">
      <c r="A44418" s="17"/>
      <c r="H44418" s="18"/>
      <c r="K44418" s="18" t="s">
        <v>316</v>
      </c>
    </row>
    <row r="44419">
      <c r="A44419" s="17"/>
      <c r="H44419" s="18"/>
      <c r="K44419" s="18" t="s">
        <v>316</v>
      </c>
    </row>
    <row r="44420">
      <c r="A44420" s="17"/>
      <c r="H44420" s="18"/>
      <c r="K44420" s="18" t="s">
        <v>316</v>
      </c>
    </row>
    <row r="44421">
      <c r="A44421" s="17"/>
      <c r="H44421" s="18"/>
      <c r="K44421" s="18" t="s">
        <v>316</v>
      </c>
    </row>
    <row r="44422">
      <c r="A44422" s="17"/>
      <c r="H44422" s="18"/>
      <c r="K44422" s="18" t="s">
        <v>316</v>
      </c>
    </row>
    <row r="44423">
      <c r="A44423" s="17"/>
      <c r="H44423" s="18"/>
      <c r="K44423" s="18" t="s">
        <v>316</v>
      </c>
    </row>
    <row r="44424">
      <c r="A44424" s="17"/>
      <c r="H44424" s="18"/>
      <c r="K44424" s="18" t="s">
        <v>316</v>
      </c>
    </row>
    <row r="44425">
      <c r="A44425" s="17"/>
      <c r="H44425" s="18"/>
      <c r="K44425" s="18" t="s">
        <v>316</v>
      </c>
    </row>
    <row r="44426">
      <c r="A44426" s="17"/>
      <c r="H44426" s="18"/>
      <c r="K44426" s="18" t="s">
        <v>316</v>
      </c>
    </row>
    <row r="44427">
      <c r="A44427" s="17"/>
      <c r="H44427" s="18"/>
      <c r="K44427" s="18" t="s">
        <v>316</v>
      </c>
    </row>
    <row r="44428">
      <c r="A44428" s="17"/>
      <c r="H44428" s="18"/>
      <c r="K44428" s="18" t="s">
        <v>316</v>
      </c>
    </row>
    <row r="44429">
      <c r="A44429" s="17"/>
      <c r="H44429" s="18"/>
      <c r="K44429" s="18" t="s">
        <v>316</v>
      </c>
    </row>
    <row r="44430">
      <c r="A44430" s="17"/>
      <c r="H44430" s="18"/>
      <c r="K44430" s="18" t="s">
        <v>316</v>
      </c>
    </row>
    <row r="44431">
      <c r="A44431" s="17"/>
      <c r="H44431" s="18"/>
      <c r="K44431" s="18" t="s">
        <v>316</v>
      </c>
    </row>
    <row r="44432">
      <c r="A44432" s="17"/>
      <c r="H44432" s="18"/>
      <c r="K44432" s="18" t="s">
        <v>316</v>
      </c>
    </row>
    <row r="44433">
      <c r="A44433" s="17"/>
      <c r="H44433" s="18"/>
      <c r="K44433" s="18" t="s">
        <v>316</v>
      </c>
    </row>
    <row r="44434">
      <c r="A44434" s="17"/>
      <c r="H44434" s="18"/>
      <c r="K44434" s="18" t="s">
        <v>316</v>
      </c>
    </row>
    <row r="44435">
      <c r="A44435" s="17"/>
      <c r="H44435" s="18"/>
      <c r="K44435" s="18" t="s">
        <v>316</v>
      </c>
    </row>
    <row r="44436">
      <c r="A44436" s="17"/>
      <c r="H44436" s="18"/>
      <c r="K44436" s="18" t="s">
        <v>316</v>
      </c>
    </row>
    <row r="44437">
      <c r="A44437" s="17"/>
      <c r="H44437" s="18"/>
      <c r="K44437" s="18" t="s">
        <v>316</v>
      </c>
    </row>
    <row r="44438">
      <c r="A44438" s="17"/>
      <c r="H44438" s="18"/>
      <c r="K44438" s="18" t="s">
        <v>316</v>
      </c>
    </row>
    <row r="44439">
      <c r="A44439" s="17"/>
      <c r="H44439" s="18"/>
      <c r="K44439" s="18" t="s">
        <v>316</v>
      </c>
    </row>
    <row r="44440">
      <c r="A44440" s="17"/>
      <c r="H44440" s="18"/>
      <c r="K44440" s="18" t="s">
        <v>316</v>
      </c>
    </row>
    <row r="44441">
      <c r="A44441" s="17"/>
      <c r="H44441" s="18"/>
      <c r="K44441" s="18" t="s">
        <v>316</v>
      </c>
    </row>
    <row r="44442">
      <c r="A44442" s="17"/>
      <c r="H44442" s="18"/>
      <c r="K44442" s="18" t="s">
        <v>316</v>
      </c>
    </row>
    <row r="44443">
      <c r="A44443" s="17"/>
      <c r="H44443" s="18"/>
      <c r="K44443" s="18" t="s">
        <v>316</v>
      </c>
    </row>
    <row r="44444">
      <c r="A44444" s="17"/>
      <c r="H44444" s="18"/>
      <c r="K44444" s="18" t="s">
        <v>316</v>
      </c>
    </row>
    <row r="44445">
      <c r="A44445" s="17"/>
      <c r="H44445" s="18"/>
      <c r="K44445" s="18" t="s">
        <v>316</v>
      </c>
    </row>
    <row r="44446">
      <c r="A44446" s="17"/>
      <c r="H44446" s="18"/>
      <c r="K44446" s="18" t="s">
        <v>316</v>
      </c>
    </row>
    <row r="44447">
      <c r="A44447" s="17"/>
      <c r="H44447" s="18"/>
      <c r="K44447" s="18" t="s">
        <v>316</v>
      </c>
    </row>
    <row r="44448">
      <c r="A44448" s="17"/>
      <c r="H44448" s="18"/>
      <c r="K44448" s="18" t="s">
        <v>316</v>
      </c>
    </row>
    <row r="44449">
      <c r="A44449" s="17"/>
      <c r="H44449" s="18"/>
      <c r="K44449" s="18" t="s">
        <v>316</v>
      </c>
    </row>
    <row r="44450">
      <c r="A44450" s="17"/>
      <c r="H44450" s="18"/>
      <c r="K44450" s="18" t="s">
        <v>316</v>
      </c>
    </row>
    <row r="44451">
      <c r="A44451" s="17"/>
      <c r="H44451" s="18"/>
      <c r="K44451" s="18" t="s">
        <v>316</v>
      </c>
    </row>
    <row r="44452">
      <c r="A44452" s="17"/>
      <c r="H44452" s="18"/>
      <c r="K44452" s="18" t="s">
        <v>316</v>
      </c>
    </row>
    <row r="44453">
      <c r="A44453" s="17"/>
      <c r="H44453" s="18"/>
      <c r="K44453" s="18" t="s">
        <v>316</v>
      </c>
    </row>
    <row r="44454">
      <c r="A44454" s="17"/>
      <c r="H44454" s="18"/>
      <c r="K44454" s="18" t="s">
        <v>316</v>
      </c>
    </row>
    <row r="44455">
      <c r="A44455" s="17"/>
      <c r="H44455" s="18"/>
      <c r="K44455" s="18" t="s">
        <v>316</v>
      </c>
    </row>
    <row r="44456">
      <c r="A44456" s="17"/>
      <c r="H44456" s="18"/>
      <c r="K44456" s="18" t="s">
        <v>316</v>
      </c>
    </row>
    <row r="44457">
      <c r="A44457" s="17"/>
      <c r="H44457" s="18"/>
      <c r="K44457" s="18" t="s">
        <v>316</v>
      </c>
    </row>
    <row r="44458">
      <c r="A44458" s="17"/>
      <c r="H44458" s="18"/>
      <c r="K44458" s="18" t="s">
        <v>316</v>
      </c>
    </row>
    <row r="44459">
      <c r="A44459" s="17"/>
      <c r="H44459" s="18"/>
      <c r="K44459" s="18" t="s">
        <v>316</v>
      </c>
    </row>
    <row r="44460">
      <c r="A44460" s="17"/>
      <c r="H44460" s="18"/>
      <c r="K44460" s="18" t="s">
        <v>316</v>
      </c>
    </row>
    <row r="44461">
      <c r="A44461" s="17"/>
      <c r="H44461" s="18"/>
      <c r="K44461" s="18" t="s">
        <v>316</v>
      </c>
    </row>
    <row r="44462">
      <c r="A44462" s="17"/>
      <c r="H44462" s="18"/>
      <c r="K44462" s="18" t="s">
        <v>316</v>
      </c>
    </row>
    <row r="44463">
      <c r="A44463" s="17"/>
      <c r="H44463" s="18"/>
      <c r="K44463" s="18" t="s">
        <v>316</v>
      </c>
    </row>
    <row r="44464">
      <c r="A44464" s="17"/>
      <c r="H44464" s="18"/>
      <c r="K44464" s="18" t="s">
        <v>316</v>
      </c>
    </row>
    <row r="44465">
      <c r="A44465" s="17"/>
      <c r="H44465" s="18"/>
      <c r="K44465" s="18" t="s">
        <v>316</v>
      </c>
    </row>
    <row r="44466">
      <c r="A44466" s="17"/>
      <c r="H44466" s="18"/>
      <c r="K44466" s="18" t="s">
        <v>316</v>
      </c>
    </row>
    <row r="44467">
      <c r="A44467" s="17"/>
      <c r="H44467" s="18"/>
      <c r="K44467" s="18" t="s">
        <v>316</v>
      </c>
    </row>
    <row r="44468">
      <c r="A44468" s="17"/>
      <c r="H44468" s="18"/>
      <c r="K44468" s="18" t="s">
        <v>316</v>
      </c>
    </row>
    <row r="44469">
      <c r="A44469" s="17"/>
      <c r="H44469" s="18"/>
      <c r="K44469" s="18" t="s">
        <v>316</v>
      </c>
    </row>
    <row r="44470">
      <c r="A44470" s="17"/>
      <c r="H44470" s="18"/>
      <c r="K44470" s="18" t="s">
        <v>316</v>
      </c>
    </row>
    <row r="44471">
      <c r="A44471" s="17"/>
      <c r="H44471" s="18"/>
      <c r="K44471" s="18" t="s">
        <v>316</v>
      </c>
    </row>
    <row r="44472">
      <c r="A44472" s="17"/>
      <c r="H44472" s="18"/>
      <c r="K44472" s="18" t="s">
        <v>316</v>
      </c>
    </row>
    <row r="44473">
      <c r="A44473" s="17"/>
      <c r="H44473" s="18"/>
      <c r="K44473" s="18" t="s">
        <v>316</v>
      </c>
    </row>
    <row r="44474">
      <c r="A44474" s="17"/>
      <c r="H44474" s="18"/>
      <c r="K44474" s="18" t="s">
        <v>316</v>
      </c>
    </row>
    <row r="44475">
      <c r="A44475" s="17"/>
      <c r="H44475" s="18"/>
      <c r="K44475" s="18" t="s">
        <v>316</v>
      </c>
    </row>
    <row r="44476">
      <c r="A44476" s="17"/>
      <c r="H44476" s="18"/>
      <c r="K44476" s="18" t="s">
        <v>316</v>
      </c>
    </row>
    <row r="44477">
      <c r="A44477" s="17"/>
      <c r="H44477" s="18"/>
      <c r="K44477" s="18" t="s">
        <v>316</v>
      </c>
    </row>
    <row r="44478">
      <c r="A44478" s="17"/>
      <c r="H44478" s="18"/>
      <c r="K44478" s="18" t="s">
        <v>316</v>
      </c>
    </row>
    <row r="44479">
      <c r="A44479" s="17"/>
      <c r="H44479" s="18"/>
      <c r="K44479" s="18" t="s">
        <v>316</v>
      </c>
    </row>
    <row r="44480">
      <c r="A44480" s="17"/>
      <c r="H44480" s="18"/>
      <c r="K44480" s="18" t="s">
        <v>316</v>
      </c>
    </row>
    <row r="44481">
      <c r="A44481" s="17"/>
      <c r="H44481" s="18"/>
      <c r="K44481" s="18" t="s">
        <v>316</v>
      </c>
    </row>
    <row r="44482">
      <c r="A44482" s="17"/>
      <c r="H44482" s="18"/>
      <c r="K44482" s="18" t="s">
        <v>316</v>
      </c>
    </row>
    <row r="44483">
      <c r="A44483" s="17"/>
      <c r="H44483" s="18"/>
      <c r="K44483" s="18" t="s">
        <v>316</v>
      </c>
    </row>
    <row r="44484">
      <c r="A44484" s="17"/>
      <c r="H44484" s="18"/>
      <c r="K44484" s="18" t="s">
        <v>316</v>
      </c>
    </row>
    <row r="44485">
      <c r="A44485" s="17"/>
      <c r="H44485" s="18"/>
      <c r="K44485" s="18" t="s">
        <v>316</v>
      </c>
    </row>
    <row r="44486">
      <c r="A44486" s="17"/>
      <c r="H44486" s="18"/>
      <c r="K44486" s="18" t="s">
        <v>316</v>
      </c>
    </row>
    <row r="44487">
      <c r="A44487" s="17"/>
      <c r="H44487" s="18"/>
      <c r="K44487" s="18" t="s">
        <v>316</v>
      </c>
    </row>
    <row r="44488">
      <c r="A44488" s="17"/>
      <c r="H44488" s="18"/>
      <c r="K44488" s="18" t="s">
        <v>316</v>
      </c>
    </row>
    <row r="44489">
      <c r="A44489" s="17"/>
      <c r="H44489" s="18"/>
      <c r="K44489" s="18" t="s">
        <v>316</v>
      </c>
    </row>
    <row r="44490">
      <c r="A44490" s="17"/>
      <c r="H44490" s="18"/>
      <c r="K44490" s="18" t="s">
        <v>316</v>
      </c>
    </row>
    <row r="44491">
      <c r="A44491" s="17"/>
      <c r="H44491" s="18"/>
      <c r="K44491" s="18" t="s">
        <v>316</v>
      </c>
    </row>
    <row r="44492">
      <c r="A44492" s="17"/>
      <c r="H44492" s="18"/>
      <c r="K44492" s="18" t="s">
        <v>316</v>
      </c>
    </row>
    <row r="44493">
      <c r="A44493" s="17"/>
      <c r="H44493" s="18"/>
      <c r="K44493" s="18" t="s">
        <v>316</v>
      </c>
    </row>
    <row r="44494">
      <c r="A44494" s="17"/>
      <c r="H44494" s="18"/>
      <c r="K44494" s="18" t="s">
        <v>316</v>
      </c>
    </row>
    <row r="44495">
      <c r="A44495" s="17"/>
      <c r="H44495" s="18"/>
      <c r="K44495" s="18" t="s">
        <v>316</v>
      </c>
    </row>
    <row r="44496">
      <c r="A44496" s="17"/>
      <c r="H44496" s="18"/>
      <c r="K44496" s="18" t="s">
        <v>316</v>
      </c>
    </row>
    <row r="44497">
      <c r="A44497" s="17"/>
      <c r="H44497" s="18"/>
      <c r="K44497" s="18" t="s">
        <v>316</v>
      </c>
    </row>
    <row r="44498">
      <c r="A44498" s="17"/>
      <c r="H44498" s="18"/>
      <c r="K44498" s="18" t="s">
        <v>316</v>
      </c>
    </row>
    <row r="44499">
      <c r="A44499" s="17"/>
      <c r="H44499" s="18"/>
      <c r="K44499" s="18" t="s">
        <v>316</v>
      </c>
    </row>
    <row r="44500">
      <c r="A44500" s="17"/>
      <c r="H44500" s="18"/>
      <c r="K44500" s="18" t="s">
        <v>316</v>
      </c>
    </row>
    <row r="44501">
      <c r="A44501" s="17"/>
      <c r="H44501" s="18"/>
      <c r="K44501" s="18" t="s">
        <v>316</v>
      </c>
    </row>
    <row r="44502">
      <c r="A44502" s="17"/>
      <c r="H44502" s="18"/>
      <c r="K44502" s="18" t="s">
        <v>316</v>
      </c>
    </row>
    <row r="44503">
      <c r="A44503" s="17"/>
      <c r="H44503" s="18"/>
      <c r="K44503" s="18" t="s">
        <v>316</v>
      </c>
    </row>
    <row r="44504">
      <c r="A44504" s="17"/>
      <c r="H44504" s="18"/>
      <c r="K44504" s="18" t="s">
        <v>316</v>
      </c>
    </row>
    <row r="44505">
      <c r="A44505" s="17"/>
      <c r="H44505" s="18"/>
      <c r="K44505" s="18" t="s">
        <v>316</v>
      </c>
    </row>
    <row r="44506">
      <c r="A44506" s="17"/>
      <c r="H44506" s="18"/>
      <c r="K44506" s="18" t="s">
        <v>316</v>
      </c>
    </row>
    <row r="44507">
      <c r="A44507" s="17"/>
      <c r="H44507" s="18"/>
      <c r="K44507" s="18" t="s">
        <v>316</v>
      </c>
    </row>
    <row r="44508">
      <c r="A44508" s="17"/>
      <c r="H44508" s="18"/>
      <c r="K44508" s="18" t="s">
        <v>316</v>
      </c>
    </row>
    <row r="44509">
      <c r="A44509" s="17"/>
      <c r="H44509" s="18"/>
      <c r="K44509" s="18" t="s">
        <v>316</v>
      </c>
    </row>
    <row r="44510">
      <c r="A44510" s="17"/>
      <c r="H44510" s="18"/>
      <c r="K44510" s="18" t="s">
        <v>316</v>
      </c>
    </row>
    <row r="44511">
      <c r="A44511" s="17"/>
      <c r="H44511" s="18"/>
      <c r="K44511" s="18" t="s">
        <v>316</v>
      </c>
    </row>
    <row r="44512">
      <c r="A44512" s="17"/>
      <c r="H44512" s="18"/>
      <c r="K44512" s="18" t="s">
        <v>316</v>
      </c>
    </row>
    <row r="44513">
      <c r="A44513" s="17"/>
      <c r="H44513" s="18"/>
      <c r="K44513" s="18" t="s">
        <v>316</v>
      </c>
    </row>
    <row r="44514">
      <c r="A44514" s="17"/>
      <c r="H44514" s="18"/>
      <c r="K44514" s="18" t="s">
        <v>316</v>
      </c>
    </row>
    <row r="44515">
      <c r="A44515" s="17"/>
      <c r="H44515" s="18"/>
      <c r="K44515" s="18" t="s">
        <v>316</v>
      </c>
    </row>
    <row r="44516">
      <c r="A44516" s="17"/>
      <c r="H44516" s="18"/>
      <c r="K44516" s="18" t="s">
        <v>316</v>
      </c>
    </row>
    <row r="44517">
      <c r="A44517" s="17"/>
      <c r="H44517" s="18"/>
      <c r="K44517" s="18" t="s">
        <v>316</v>
      </c>
    </row>
    <row r="44518">
      <c r="A44518" s="17"/>
      <c r="H44518" s="18"/>
      <c r="K44518" s="18" t="s">
        <v>316</v>
      </c>
    </row>
    <row r="44519">
      <c r="A44519" s="17"/>
      <c r="H44519" s="18"/>
      <c r="K44519" s="18" t="s">
        <v>316</v>
      </c>
    </row>
    <row r="44520">
      <c r="A44520" s="17"/>
      <c r="H44520" s="18"/>
      <c r="K44520" s="18" t="s">
        <v>316</v>
      </c>
    </row>
    <row r="44521">
      <c r="A44521" s="17"/>
      <c r="H44521" s="18"/>
      <c r="K44521" s="18" t="s">
        <v>316</v>
      </c>
    </row>
    <row r="44522">
      <c r="A44522" s="17"/>
      <c r="H44522" s="18"/>
      <c r="K44522" s="18" t="s">
        <v>316</v>
      </c>
    </row>
    <row r="44523">
      <c r="A44523" s="17"/>
      <c r="H44523" s="18"/>
      <c r="K44523" s="18" t="s">
        <v>316</v>
      </c>
    </row>
    <row r="44524">
      <c r="A44524" s="17"/>
      <c r="H44524" s="18"/>
      <c r="K44524" s="18" t="s">
        <v>316</v>
      </c>
    </row>
    <row r="44525">
      <c r="A44525" s="17"/>
      <c r="H44525" s="18"/>
      <c r="K44525" s="18" t="s">
        <v>316</v>
      </c>
    </row>
    <row r="44526">
      <c r="A44526" s="17"/>
      <c r="H44526" s="18"/>
      <c r="K44526" s="18" t="s">
        <v>316</v>
      </c>
    </row>
    <row r="44527">
      <c r="A44527" s="17"/>
      <c r="H44527" s="18"/>
      <c r="K44527" s="18" t="s">
        <v>316</v>
      </c>
    </row>
    <row r="44528">
      <c r="A44528" s="17"/>
      <c r="H44528" s="18"/>
      <c r="K44528" s="18" t="s">
        <v>316</v>
      </c>
    </row>
    <row r="44529">
      <c r="A44529" s="17"/>
      <c r="H44529" s="18"/>
      <c r="K44529" s="18" t="s">
        <v>316</v>
      </c>
    </row>
    <row r="44530">
      <c r="A44530" s="17"/>
      <c r="H44530" s="18"/>
      <c r="K44530" s="18" t="s">
        <v>316</v>
      </c>
    </row>
    <row r="44531">
      <c r="A44531" s="17"/>
      <c r="H44531" s="18"/>
      <c r="K44531" s="18" t="s">
        <v>316</v>
      </c>
    </row>
    <row r="44532">
      <c r="A44532" s="17"/>
      <c r="H44532" s="18"/>
      <c r="K44532" s="18" t="s">
        <v>316</v>
      </c>
    </row>
    <row r="44533">
      <c r="A44533" s="17"/>
      <c r="H44533" s="18"/>
      <c r="K44533" s="18" t="s">
        <v>316</v>
      </c>
    </row>
    <row r="44534">
      <c r="A44534" s="17"/>
      <c r="H44534" s="18"/>
      <c r="K44534" s="18" t="s">
        <v>316</v>
      </c>
    </row>
    <row r="44535">
      <c r="A44535" s="17"/>
      <c r="H44535" s="18"/>
      <c r="K44535" s="18" t="s">
        <v>316</v>
      </c>
    </row>
    <row r="44536">
      <c r="A44536" s="17"/>
      <c r="H44536" s="18"/>
      <c r="K44536" s="18" t="s">
        <v>316</v>
      </c>
    </row>
    <row r="44537">
      <c r="A44537" s="17"/>
      <c r="H44537" s="18"/>
      <c r="K44537" s="18" t="s">
        <v>316</v>
      </c>
    </row>
    <row r="44538">
      <c r="A44538" s="17"/>
      <c r="H44538" s="18"/>
      <c r="K44538" s="18" t="s">
        <v>316</v>
      </c>
    </row>
    <row r="44539">
      <c r="A44539" s="17"/>
      <c r="H44539" s="18"/>
      <c r="K44539" s="18" t="s">
        <v>316</v>
      </c>
    </row>
    <row r="44540">
      <c r="A44540" s="17"/>
      <c r="H44540" s="18"/>
      <c r="K44540" s="18" t="s">
        <v>316</v>
      </c>
    </row>
    <row r="44541">
      <c r="A44541" s="17"/>
      <c r="H44541" s="18"/>
      <c r="K44541" s="18" t="s">
        <v>316</v>
      </c>
    </row>
    <row r="44542">
      <c r="A44542" s="17"/>
      <c r="H44542" s="18"/>
      <c r="K44542" s="18" t="s">
        <v>316</v>
      </c>
    </row>
    <row r="44543">
      <c r="A44543" s="17"/>
      <c r="H44543" s="18"/>
      <c r="K44543" s="18" t="s">
        <v>316</v>
      </c>
    </row>
    <row r="44544">
      <c r="A44544" s="17"/>
      <c r="H44544" s="18"/>
      <c r="K44544" s="18" t="s">
        <v>316</v>
      </c>
    </row>
    <row r="44545">
      <c r="A44545" s="17"/>
      <c r="H44545" s="18"/>
      <c r="K44545" s="18" t="s">
        <v>316</v>
      </c>
    </row>
    <row r="44546">
      <c r="A44546" s="17"/>
      <c r="H44546" s="18"/>
      <c r="K44546" s="18" t="s">
        <v>316</v>
      </c>
    </row>
    <row r="44547">
      <c r="A44547" s="17"/>
      <c r="H44547" s="18"/>
      <c r="K44547" s="18" t="s">
        <v>316</v>
      </c>
    </row>
    <row r="44548">
      <c r="A44548" s="17"/>
      <c r="H44548" s="18"/>
      <c r="K44548" s="18" t="s">
        <v>316</v>
      </c>
    </row>
    <row r="44549">
      <c r="A44549" s="17"/>
      <c r="H44549" s="18"/>
      <c r="K44549" s="18" t="s">
        <v>316</v>
      </c>
    </row>
    <row r="44550">
      <c r="A44550" s="17"/>
      <c r="H44550" s="18"/>
      <c r="K44550" s="18" t="s">
        <v>316</v>
      </c>
    </row>
    <row r="44551">
      <c r="A44551" s="17"/>
      <c r="H44551" s="18"/>
      <c r="K44551" s="18" t="s">
        <v>316</v>
      </c>
    </row>
    <row r="44552">
      <c r="A44552" s="17"/>
      <c r="H44552" s="18"/>
      <c r="K44552" s="18" t="s">
        <v>316</v>
      </c>
    </row>
    <row r="44553">
      <c r="A44553" s="17"/>
      <c r="H44553" s="18"/>
      <c r="K44553" s="18" t="s">
        <v>316</v>
      </c>
    </row>
    <row r="44554">
      <c r="A44554" s="17"/>
      <c r="H44554" s="18"/>
      <c r="K44554" s="18" t="s">
        <v>316</v>
      </c>
    </row>
    <row r="44555">
      <c r="A44555" s="17"/>
      <c r="H44555" s="18"/>
      <c r="K44555" s="18" t="s">
        <v>316</v>
      </c>
    </row>
    <row r="44556">
      <c r="A44556" s="17"/>
      <c r="H44556" s="18"/>
      <c r="K44556" s="18" t="s">
        <v>316</v>
      </c>
    </row>
    <row r="44557">
      <c r="A44557" s="17"/>
      <c r="H44557" s="18"/>
      <c r="K44557" s="18" t="s">
        <v>316</v>
      </c>
    </row>
    <row r="44558">
      <c r="A44558" s="17"/>
      <c r="H44558" s="18"/>
      <c r="K44558" s="18" t="s">
        <v>316</v>
      </c>
    </row>
    <row r="44559">
      <c r="A44559" s="17"/>
      <c r="H44559" s="18"/>
      <c r="K44559" s="18" t="s">
        <v>316</v>
      </c>
    </row>
    <row r="44560">
      <c r="A44560" s="17"/>
      <c r="H44560" s="18"/>
      <c r="K44560" s="18" t="s">
        <v>316</v>
      </c>
    </row>
    <row r="44561">
      <c r="A44561" s="17"/>
      <c r="H44561" s="18"/>
      <c r="K44561" s="18" t="s">
        <v>316</v>
      </c>
    </row>
    <row r="44562">
      <c r="A44562" s="17"/>
      <c r="H44562" s="18"/>
      <c r="K44562" s="18" t="s">
        <v>316</v>
      </c>
    </row>
    <row r="44563">
      <c r="A44563" s="17"/>
      <c r="H44563" s="18"/>
      <c r="K44563" s="18" t="s">
        <v>316</v>
      </c>
    </row>
    <row r="44564">
      <c r="A44564" s="17"/>
      <c r="H44564" s="18"/>
      <c r="K44564" s="18" t="s">
        <v>316</v>
      </c>
    </row>
    <row r="44565">
      <c r="A44565" s="17"/>
      <c r="H44565" s="18"/>
      <c r="K44565" s="18" t="s">
        <v>316</v>
      </c>
    </row>
    <row r="44566">
      <c r="A44566" s="17"/>
      <c r="H44566" s="18"/>
      <c r="K44566" s="18" t="s">
        <v>316</v>
      </c>
    </row>
    <row r="44567">
      <c r="A44567" s="17"/>
      <c r="H44567" s="18"/>
      <c r="K44567" s="18" t="s">
        <v>316</v>
      </c>
    </row>
    <row r="44568">
      <c r="A44568" s="17"/>
      <c r="H44568" s="18"/>
      <c r="K44568" s="18" t="s">
        <v>316</v>
      </c>
    </row>
    <row r="44569">
      <c r="A44569" s="17"/>
      <c r="H44569" s="18"/>
      <c r="K44569" s="18" t="s">
        <v>316</v>
      </c>
    </row>
    <row r="44570">
      <c r="A44570" s="17"/>
      <c r="H44570" s="18"/>
      <c r="K44570" s="18" t="s">
        <v>316</v>
      </c>
    </row>
    <row r="44571">
      <c r="A44571" s="17"/>
      <c r="H44571" s="18"/>
      <c r="K44571" s="18" t="s">
        <v>316</v>
      </c>
    </row>
    <row r="44572">
      <c r="A44572" s="17"/>
      <c r="H44572" s="18"/>
      <c r="K44572" s="18" t="s">
        <v>316</v>
      </c>
    </row>
    <row r="44573">
      <c r="A44573" s="17"/>
      <c r="H44573" s="18"/>
      <c r="K44573" s="18" t="s">
        <v>316</v>
      </c>
    </row>
    <row r="44574">
      <c r="A44574" s="17"/>
      <c r="H44574" s="18"/>
      <c r="K44574" s="18" t="s">
        <v>316</v>
      </c>
    </row>
    <row r="44575">
      <c r="A44575" s="17"/>
      <c r="H44575" s="18"/>
      <c r="K44575" s="18" t="s">
        <v>316</v>
      </c>
    </row>
    <row r="44576">
      <c r="A44576" s="17"/>
      <c r="H44576" s="18"/>
      <c r="K44576" s="18" t="s">
        <v>316</v>
      </c>
    </row>
    <row r="44577">
      <c r="A44577" s="17"/>
      <c r="H44577" s="18"/>
      <c r="K44577" s="18" t="s">
        <v>316</v>
      </c>
    </row>
    <row r="44578">
      <c r="A44578" s="17"/>
      <c r="H44578" s="18"/>
      <c r="K44578" s="18" t="s">
        <v>316</v>
      </c>
    </row>
    <row r="44579">
      <c r="A44579" s="17"/>
      <c r="H44579" s="18"/>
      <c r="K44579" s="18" t="s">
        <v>316</v>
      </c>
    </row>
    <row r="44580">
      <c r="A44580" s="17"/>
      <c r="H44580" s="18"/>
      <c r="K44580" s="18" t="s">
        <v>316</v>
      </c>
    </row>
    <row r="44581">
      <c r="A44581" s="17"/>
      <c r="H44581" s="18"/>
      <c r="K44581" s="18" t="s">
        <v>316</v>
      </c>
    </row>
    <row r="44582">
      <c r="A44582" s="17"/>
      <c r="H44582" s="18"/>
      <c r="K44582" s="18" t="s">
        <v>316</v>
      </c>
    </row>
    <row r="44583">
      <c r="A44583" s="17"/>
      <c r="H44583" s="18"/>
      <c r="K44583" s="18" t="s">
        <v>316</v>
      </c>
    </row>
    <row r="44584">
      <c r="A44584" s="17"/>
      <c r="H44584" s="18"/>
      <c r="K44584" s="18" t="s">
        <v>316</v>
      </c>
    </row>
    <row r="44585">
      <c r="A44585" s="17"/>
      <c r="H44585" s="18"/>
      <c r="K44585" s="18" t="s">
        <v>316</v>
      </c>
    </row>
    <row r="44586">
      <c r="A44586" s="17"/>
      <c r="H44586" s="18"/>
      <c r="K44586" s="18" t="s">
        <v>316</v>
      </c>
    </row>
    <row r="44587">
      <c r="A44587" s="17"/>
      <c r="H44587" s="18"/>
      <c r="K44587" s="18" t="s">
        <v>316</v>
      </c>
    </row>
    <row r="44588">
      <c r="A44588" s="17"/>
      <c r="H44588" s="18"/>
      <c r="K44588" s="18" t="s">
        <v>316</v>
      </c>
    </row>
    <row r="44589">
      <c r="A44589" s="17"/>
      <c r="H44589" s="18"/>
      <c r="K44589" s="18" t="s">
        <v>316</v>
      </c>
    </row>
    <row r="44590">
      <c r="A44590" s="17"/>
      <c r="H44590" s="18"/>
      <c r="K44590" s="18" t="s">
        <v>316</v>
      </c>
    </row>
    <row r="44591">
      <c r="A44591" s="17"/>
      <c r="H44591" s="18"/>
      <c r="K44591" s="18" t="s">
        <v>316</v>
      </c>
    </row>
    <row r="44592">
      <c r="A44592" s="17"/>
      <c r="H44592" s="18"/>
      <c r="K44592" s="18" t="s">
        <v>316</v>
      </c>
    </row>
    <row r="44593">
      <c r="A44593" s="17"/>
      <c r="H44593" s="18"/>
      <c r="K44593" s="18" t="s">
        <v>316</v>
      </c>
    </row>
    <row r="44594">
      <c r="A44594" s="17"/>
      <c r="H44594" s="18"/>
      <c r="K44594" s="18" t="s">
        <v>316</v>
      </c>
    </row>
    <row r="44595">
      <c r="A44595" s="17"/>
      <c r="H44595" s="18"/>
      <c r="K44595" s="18" t="s">
        <v>316</v>
      </c>
    </row>
    <row r="44596">
      <c r="A44596" s="17"/>
      <c r="H44596" s="18"/>
      <c r="K44596" s="18" t="s">
        <v>316</v>
      </c>
    </row>
    <row r="44597">
      <c r="A44597" s="17"/>
      <c r="H44597" s="18"/>
      <c r="K44597" s="18" t="s">
        <v>316</v>
      </c>
    </row>
    <row r="44598">
      <c r="A44598" s="17"/>
      <c r="H44598" s="18"/>
      <c r="K44598" s="18" t="s">
        <v>316</v>
      </c>
    </row>
    <row r="44599">
      <c r="A44599" s="17"/>
      <c r="H44599" s="18"/>
      <c r="K44599" s="18" t="s">
        <v>316</v>
      </c>
    </row>
    <row r="44600">
      <c r="A44600" s="17"/>
      <c r="H44600" s="18"/>
      <c r="K44600" s="18" t="s">
        <v>316</v>
      </c>
    </row>
    <row r="44601">
      <c r="A44601" s="17"/>
      <c r="H44601" s="18"/>
      <c r="K44601" s="18" t="s">
        <v>316</v>
      </c>
    </row>
    <row r="44602">
      <c r="A44602" s="17"/>
      <c r="H44602" s="18"/>
      <c r="K44602" s="18" t="s">
        <v>316</v>
      </c>
    </row>
    <row r="44603">
      <c r="A44603" s="17"/>
      <c r="H44603" s="18"/>
      <c r="K44603" s="18" t="s">
        <v>316</v>
      </c>
    </row>
    <row r="44604">
      <c r="A44604" s="17"/>
      <c r="H44604" s="18"/>
      <c r="K44604" s="18" t="s">
        <v>316</v>
      </c>
    </row>
    <row r="44605">
      <c r="A44605" s="17"/>
      <c r="H44605" s="18"/>
      <c r="K44605" s="18" t="s">
        <v>316</v>
      </c>
    </row>
    <row r="44606">
      <c r="A44606" s="17"/>
      <c r="H44606" s="18"/>
      <c r="K44606" s="18" t="s">
        <v>316</v>
      </c>
    </row>
    <row r="44607">
      <c r="A44607" s="17"/>
      <c r="H44607" s="18"/>
      <c r="K44607" s="18" t="s">
        <v>316</v>
      </c>
    </row>
    <row r="44608">
      <c r="A44608" s="17"/>
      <c r="H44608" s="18"/>
      <c r="K44608" s="18" t="s">
        <v>316</v>
      </c>
    </row>
    <row r="44609">
      <c r="A44609" s="17"/>
      <c r="H44609" s="18"/>
      <c r="K44609" s="18" t="s">
        <v>316</v>
      </c>
    </row>
    <row r="44610">
      <c r="A44610" s="17"/>
      <c r="H44610" s="18"/>
      <c r="K44610" s="18" t="s">
        <v>316</v>
      </c>
    </row>
    <row r="44611">
      <c r="A44611" s="17"/>
      <c r="H44611" s="18"/>
      <c r="K44611" s="18" t="s">
        <v>316</v>
      </c>
    </row>
    <row r="44612">
      <c r="A44612" s="17"/>
      <c r="H44612" s="18"/>
      <c r="K44612" s="18" t="s">
        <v>316</v>
      </c>
    </row>
    <row r="44613">
      <c r="A44613" s="17"/>
      <c r="H44613" s="18"/>
      <c r="K44613" s="18" t="s">
        <v>316</v>
      </c>
    </row>
    <row r="44614">
      <c r="A44614" s="17"/>
      <c r="H44614" s="18"/>
      <c r="K44614" s="18" t="s">
        <v>316</v>
      </c>
    </row>
    <row r="44615">
      <c r="A44615" s="17"/>
      <c r="H44615" s="18"/>
      <c r="K44615" s="18" t="s">
        <v>316</v>
      </c>
    </row>
    <row r="44616">
      <c r="A44616" s="17"/>
      <c r="H44616" s="18"/>
      <c r="K44616" s="18" t="s">
        <v>316</v>
      </c>
    </row>
    <row r="44617">
      <c r="A44617" s="17"/>
      <c r="H44617" s="18"/>
      <c r="K44617" s="18" t="s">
        <v>316</v>
      </c>
    </row>
    <row r="44618">
      <c r="A44618" s="17"/>
      <c r="H44618" s="18"/>
      <c r="K44618" s="18" t="s">
        <v>316</v>
      </c>
    </row>
    <row r="44619">
      <c r="A44619" s="17"/>
      <c r="H44619" s="18"/>
      <c r="K44619" s="18" t="s">
        <v>316</v>
      </c>
    </row>
    <row r="44620">
      <c r="A44620" s="17"/>
      <c r="H44620" s="18"/>
      <c r="K44620" s="18" t="s">
        <v>316</v>
      </c>
    </row>
    <row r="44621">
      <c r="A44621" s="17"/>
      <c r="H44621" s="18"/>
      <c r="K44621" s="18" t="s">
        <v>316</v>
      </c>
    </row>
    <row r="44622">
      <c r="A44622" s="17"/>
      <c r="H44622" s="18"/>
      <c r="K44622" s="18" t="s">
        <v>316</v>
      </c>
    </row>
    <row r="44623">
      <c r="A44623" s="17"/>
      <c r="H44623" s="18"/>
      <c r="K44623" s="18" t="s">
        <v>316</v>
      </c>
    </row>
    <row r="44624">
      <c r="A44624" s="17"/>
      <c r="H44624" s="18"/>
      <c r="K44624" s="18" t="s">
        <v>316</v>
      </c>
    </row>
    <row r="44625">
      <c r="A44625" s="17"/>
      <c r="H44625" s="18"/>
      <c r="K44625" s="18" t="s">
        <v>316</v>
      </c>
    </row>
    <row r="44626">
      <c r="A44626" s="17"/>
      <c r="H44626" s="18"/>
      <c r="K44626" s="18" t="s">
        <v>316</v>
      </c>
    </row>
    <row r="44627">
      <c r="A44627" s="17"/>
      <c r="H44627" s="18"/>
      <c r="K44627" s="18" t="s">
        <v>316</v>
      </c>
    </row>
    <row r="44628">
      <c r="A44628" s="17"/>
      <c r="H44628" s="18"/>
      <c r="K44628" s="18" t="s">
        <v>316</v>
      </c>
    </row>
    <row r="44629">
      <c r="A44629" s="17"/>
      <c r="H44629" s="18"/>
      <c r="K44629" s="18" t="s">
        <v>316</v>
      </c>
    </row>
    <row r="44630">
      <c r="A44630" s="17"/>
      <c r="H44630" s="18"/>
      <c r="K44630" s="18" t="s">
        <v>316</v>
      </c>
    </row>
    <row r="44631">
      <c r="A44631" s="17"/>
      <c r="H44631" s="18"/>
      <c r="K44631" s="18" t="s">
        <v>316</v>
      </c>
    </row>
    <row r="44632">
      <c r="A44632" s="17"/>
      <c r="H44632" s="18"/>
      <c r="K44632" s="18" t="s">
        <v>316</v>
      </c>
    </row>
    <row r="44633">
      <c r="A44633" s="17"/>
      <c r="H44633" s="18"/>
      <c r="K44633" s="18" t="s">
        <v>316</v>
      </c>
    </row>
    <row r="44634">
      <c r="A44634" s="17"/>
      <c r="H44634" s="18"/>
      <c r="K44634" s="18" t="s">
        <v>316</v>
      </c>
    </row>
    <row r="44635">
      <c r="A44635" s="17"/>
      <c r="H44635" s="18"/>
      <c r="K44635" s="18" t="s">
        <v>316</v>
      </c>
    </row>
    <row r="44636">
      <c r="A44636" s="17"/>
      <c r="H44636" s="18"/>
      <c r="K44636" s="18" t="s">
        <v>316</v>
      </c>
    </row>
    <row r="44637">
      <c r="A44637" s="17"/>
      <c r="H44637" s="18"/>
      <c r="K44637" s="18" t="s">
        <v>316</v>
      </c>
    </row>
    <row r="44638">
      <c r="A44638" s="17"/>
      <c r="H44638" s="18"/>
      <c r="K44638" s="18" t="s">
        <v>316</v>
      </c>
    </row>
    <row r="44639">
      <c r="A44639" s="17"/>
      <c r="H44639" s="18"/>
      <c r="K44639" s="18" t="s">
        <v>316</v>
      </c>
    </row>
    <row r="44640">
      <c r="A44640" s="17"/>
      <c r="H44640" s="18"/>
      <c r="K44640" s="18" t="s">
        <v>316</v>
      </c>
    </row>
    <row r="44641">
      <c r="A44641" s="17"/>
      <c r="H44641" s="18"/>
      <c r="K44641" s="18" t="s">
        <v>316</v>
      </c>
    </row>
    <row r="44642">
      <c r="A44642" s="17"/>
      <c r="H44642" s="18"/>
      <c r="K44642" s="18" t="s">
        <v>316</v>
      </c>
    </row>
    <row r="44643">
      <c r="A44643" s="17"/>
      <c r="H44643" s="18"/>
      <c r="K44643" s="18" t="s">
        <v>316</v>
      </c>
    </row>
    <row r="44644">
      <c r="A44644" s="17"/>
      <c r="H44644" s="18"/>
      <c r="K44644" s="18" t="s">
        <v>316</v>
      </c>
    </row>
    <row r="44645">
      <c r="A44645" s="17"/>
      <c r="H44645" s="18"/>
      <c r="K44645" s="18" t="s">
        <v>316</v>
      </c>
    </row>
    <row r="44646">
      <c r="A44646" s="17"/>
      <c r="H44646" s="18"/>
      <c r="K44646" s="18" t="s">
        <v>316</v>
      </c>
    </row>
    <row r="44647">
      <c r="A44647" s="17"/>
      <c r="H44647" s="18"/>
      <c r="K44647" s="18" t="s">
        <v>316</v>
      </c>
    </row>
    <row r="44648">
      <c r="A44648" s="17"/>
      <c r="H44648" s="18"/>
      <c r="K44648" s="18" t="s">
        <v>316</v>
      </c>
    </row>
    <row r="44649">
      <c r="A44649" s="17"/>
      <c r="H44649" s="18"/>
      <c r="K44649" s="18" t="s">
        <v>316</v>
      </c>
    </row>
    <row r="44650">
      <c r="A44650" s="17"/>
      <c r="H44650" s="18"/>
      <c r="K44650" s="18" t="s">
        <v>316</v>
      </c>
    </row>
    <row r="44651">
      <c r="A44651" s="17"/>
      <c r="H44651" s="18"/>
      <c r="K44651" s="18" t="s">
        <v>316</v>
      </c>
    </row>
    <row r="44652">
      <c r="A44652" s="17"/>
      <c r="H44652" s="18"/>
      <c r="K44652" s="18" t="s">
        <v>316</v>
      </c>
    </row>
    <row r="44653">
      <c r="A44653" s="17"/>
      <c r="H44653" s="18"/>
      <c r="K44653" s="18" t="s">
        <v>316</v>
      </c>
    </row>
    <row r="44654">
      <c r="A44654" s="17"/>
      <c r="H44654" s="18"/>
      <c r="K44654" s="18" t="s">
        <v>316</v>
      </c>
    </row>
    <row r="44655">
      <c r="A44655" s="17"/>
      <c r="H44655" s="18"/>
      <c r="K44655" s="18" t="s">
        <v>316</v>
      </c>
    </row>
    <row r="44656">
      <c r="A44656" s="17"/>
      <c r="H44656" s="18"/>
      <c r="K44656" s="18" t="s">
        <v>316</v>
      </c>
    </row>
    <row r="44657">
      <c r="A44657" s="17"/>
      <c r="H44657" s="18"/>
      <c r="K44657" s="18" t="s">
        <v>316</v>
      </c>
    </row>
    <row r="44658">
      <c r="A44658" s="17"/>
      <c r="H44658" s="18"/>
      <c r="K44658" s="18" t="s">
        <v>316</v>
      </c>
    </row>
    <row r="44659">
      <c r="A44659" s="17"/>
      <c r="H44659" s="18"/>
      <c r="K44659" s="18" t="s">
        <v>316</v>
      </c>
    </row>
    <row r="44660">
      <c r="A44660" s="17"/>
      <c r="H44660" s="18"/>
      <c r="K44660" s="18" t="s">
        <v>316</v>
      </c>
    </row>
    <row r="44661">
      <c r="A44661" s="17"/>
      <c r="H44661" s="18"/>
      <c r="K44661" s="18" t="s">
        <v>316</v>
      </c>
    </row>
    <row r="44662">
      <c r="A44662" s="17"/>
      <c r="H44662" s="18"/>
      <c r="K44662" s="18" t="s">
        <v>316</v>
      </c>
    </row>
    <row r="44663">
      <c r="A44663" s="17"/>
      <c r="H44663" s="18"/>
      <c r="K44663" s="18" t="s">
        <v>316</v>
      </c>
    </row>
    <row r="44664">
      <c r="A44664" s="17"/>
      <c r="H44664" s="18"/>
      <c r="K44664" s="18" t="s">
        <v>316</v>
      </c>
    </row>
    <row r="44665">
      <c r="A44665" s="17"/>
      <c r="H44665" s="18"/>
      <c r="K44665" s="18" t="s">
        <v>316</v>
      </c>
    </row>
    <row r="44666">
      <c r="A44666" s="17"/>
      <c r="H44666" s="18"/>
      <c r="K44666" s="18" t="s">
        <v>316</v>
      </c>
    </row>
    <row r="44667">
      <c r="A44667" s="17"/>
      <c r="H44667" s="18"/>
      <c r="K44667" s="18" t="s">
        <v>316</v>
      </c>
    </row>
    <row r="44668">
      <c r="A44668" s="17"/>
      <c r="H44668" s="18"/>
      <c r="K44668" s="18" t="s">
        <v>316</v>
      </c>
    </row>
    <row r="44669">
      <c r="A44669" s="17"/>
      <c r="H44669" s="18"/>
      <c r="K44669" s="18" t="s">
        <v>316</v>
      </c>
    </row>
    <row r="44670">
      <c r="A44670" s="17"/>
      <c r="H44670" s="18"/>
      <c r="K44670" s="18" t="s">
        <v>316</v>
      </c>
    </row>
    <row r="44671">
      <c r="A44671" s="17"/>
      <c r="H44671" s="18"/>
      <c r="K44671" s="18" t="s">
        <v>316</v>
      </c>
    </row>
    <row r="44672">
      <c r="A44672" s="17"/>
      <c r="H44672" s="18"/>
      <c r="K44672" s="18" t="s">
        <v>316</v>
      </c>
    </row>
    <row r="44673">
      <c r="A44673" s="17"/>
      <c r="H44673" s="18"/>
      <c r="K44673" s="18" t="s">
        <v>316</v>
      </c>
    </row>
    <row r="44674">
      <c r="A44674" s="17"/>
      <c r="H44674" s="18"/>
      <c r="K44674" s="18" t="s">
        <v>316</v>
      </c>
    </row>
    <row r="44675">
      <c r="A44675" s="17"/>
      <c r="H44675" s="18"/>
      <c r="K44675" s="18" t="s">
        <v>316</v>
      </c>
    </row>
    <row r="44676">
      <c r="A44676" s="17"/>
      <c r="H44676" s="18"/>
      <c r="K44676" s="18" t="s">
        <v>316</v>
      </c>
    </row>
    <row r="44677">
      <c r="A44677" s="17"/>
      <c r="H44677" s="18"/>
      <c r="K44677" s="18" t="s">
        <v>316</v>
      </c>
    </row>
    <row r="44678">
      <c r="A44678" s="17"/>
      <c r="H44678" s="18"/>
      <c r="K44678" s="18" t="s">
        <v>316</v>
      </c>
    </row>
    <row r="44679">
      <c r="A44679" s="17"/>
      <c r="H44679" s="18"/>
      <c r="K44679" s="18" t="s">
        <v>316</v>
      </c>
    </row>
    <row r="44680">
      <c r="A44680" s="17"/>
      <c r="H44680" s="18"/>
      <c r="K44680" s="18" t="s">
        <v>316</v>
      </c>
    </row>
    <row r="44681">
      <c r="A44681" s="17"/>
      <c r="H44681" s="18"/>
      <c r="K44681" s="18" t="s">
        <v>316</v>
      </c>
    </row>
    <row r="44682">
      <c r="A44682" s="17"/>
      <c r="H44682" s="18"/>
      <c r="K44682" s="18" t="s">
        <v>316</v>
      </c>
    </row>
    <row r="44683">
      <c r="A44683" s="17"/>
      <c r="H44683" s="18"/>
      <c r="K44683" s="18" t="s">
        <v>316</v>
      </c>
    </row>
    <row r="44684">
      <c r="A44684" s="17"/>
      <c r="H44684" s="18"/>
      <c r="K44684" s="18" t="s">
        <v>316</v>
      </c>
    </row>
    <row r="44685">
      <c r="A44685" s="17"/>
      <c r="H44685" s="18"/>
      <c r="K44685" s="18" t="s">
        <v>316</v>
      </c>
    </row>
    <row r="44686">
      <c r="A44686" s="17"/>
      <c r="H44686" s="18"/>
      <c r="K44686" s="18" t="s">
        <v>316</v>
      </c>
    </row>
    <row r="44687">
      <c r="A44687" s="17"/>
      <c r="H44687" s="18"/>
      <c r="K44687" s="18" t="s">
        <v>316</v>
      </c>
    </row>
    <row r="44688">
      <c r="A44688" s="17"/>
      <c r="H44688" s="18"/>
      <c r="K44688" s="18" t="s">
        <v>316</v>
      </c>
    </row>
    <row r="44689">
      <c r="A44689" s="17"/>
      <c r="H44689" s="18"/>
      <c r="K44689" s="18" t="s">
        <v>316</v>
      </c>
    </row>
    <row r="44690">
      <c r="A44690" s="17"/>
      <c r="H44690" s="18"/>
      <c r="K44690" s="18" t="s">
        <v>316</v>
      </c>
    </row>
    <row r="44691">
      <c r="A44691" s="17"/>
      <c r="H44691" s="18"/>
      <c r="K44691" s="18" t="s">
        <v>316</v>
      </c>
    </row>
    <row r="44692">
      <c r="A44692" s="17"/>
      <c r="H44692" s="18"/>
      <c r="K44692" s="18" t="s">
        <v>316</v>
      </c>
    </row>
    <row r="44693">
      <c r="A44693" s="17"/>
      <c r="H44693" s="18"/>
      <c r="K44693" s="18" t="s">
        <v>316</v>
      </c>
    </row>
    <row r="44694">
      <c r="A44694" s="17"/>
      <c r="H44694" s="18"/>
      <c r="K44694" s="18" t="s">
        <v>316</v>
      </c>
    </row>
    <row r="44695">
      <c r="A44695" s="17"/>
      <c r="H44695" s="18"/>
      <c r="K44695" s="18" t="s">
        <v>316</v>
      </c>
    </row>
    <row r="44696">
      <c r="A44696" s="17"/>
      <c r="H44696" s="18"/>
      <c r="K44696" s="18" t="s">
        <v>316</v>
      </c>
    </row>
    <row r="44697">
      <c r="A44697" s="17"/>
      <c r="H44697" s="18"/>
      <c r="K44697" s="18" t="s">
        <v>316</v>
      </c>
    </row>
    <row r="44698">
      <c r="A44698" s="17"/>
      <c r="H44698" s="18"/>
      <c r="K44698" s="18" t="s">
        <v>316</v>
      </c>
    </row>
    <row r="44699">
      <c r="A44699" s="17"/>
      <c r="H44699" s="18"/>
      <c r="K44699" s="18" t="s">
        <v>316</v>
      </c>
    </row>
    <row r="44700">
      <c r="A44700" s="17"/>
      <c r="H44700" s="18"/>
      <c r="K44700" s="18" t="s">
        <v>316</v>
      </c>
    </row>
    <row r="44701">
      <c r="A44701" s="17"/>
      <c r="H44701" s="18"/>
      <c r="K44701" s="18" t="s">
        <v>316</v>
      </c>
    </row>
    <row r="44702">
      <c r="A44702" s="17"/>
      <c r="H44702" s="18"/>
      <c r="K44702" s="18" t="s">
        <v>316</v>
      </c>
    </row>
    <row r="44703">
      <c r="A44703" s="17"/>
      <c r="H44703" s="18"/>
      <c r="K44703" s="18" t="s">
        <v>316</v>
      </c>
    </row>
    <row r="44704">
      <c r="A44704" s="17"/>
      <c r="H44704" s="18"/>
      <c r="K44704" s="18" t="s">
        <v>316</v>
      </c>
    </row>
    <row r="44705">
      <c r="A44705" s="17"/>
      <c r="H44705" s="18"/>
      <c r="K44705" s="18" t="s">
        <v>316</v>
      </c>
    </row>
    <row r="44706">
      <c r="A44706" s="17"/>
      <c r="H44706" s="18"/>
      <c r="K44706" s="18" t="s">
        <v>316</v>
      </c>
    </row>
    <row r="44707">
      <c r="A44707" s="17"/>
      <c r="H44707" s="18"/>
      <c r="K44707" s="18" t="s">
        <v>316</v>
      </c>
    </row>
    <row r="44708">
      <c r="A44708" s="17"/>
      <c r="H44708" s="18"/>
      <c r="K44708" s="18" t="s">
        <v>316</v>
      </c>
    </row>
    <row r="44709">
      <c r="A44709" s="17"/>
      <c r="H44709" s="18"/>
      <c r="K44709" s="18" t="s">
        <v>316</v>
      </c>
    </row>
    <row r="44710">
      <c r="A44710" s="17"/>
      <c r="H44710" s="18"/>
      <c r="K44710" s="18" t="s">
        <v>316</v>
      </c>
    </row>
    <row r="44711">
      <c r="A44711" s="17"/>
      <c r="H44711" s="18"/>
      <c r="K44711" s="18" t="s">
        <v>316</v>
      </c>
    </row>
    <row r="44712">
      <c r="A44712" s="17"/>
      <c r="H44712" s="18"/>
      <c r="K44712" s="18" t="s">
        <v>316</v>
      </c>
    </row>
    <row r="44713">
      <c r="A44713" s="17"/>
      <c r="H44713" s="18"/>
      <c r="K44713" s="18" t="s">
        <v>316</v>
      </c>
    </row>
    <row r="44714">
      <c r="A44714" s="17"/>
      <c r="H44714" s="18"/>
      <c r="K44714" s="18" t="s">
        <v>316</v>
      </c>
    </row>
    <row r="44715">
      <c r="A44715" s="17"/>
      <c r="H44715" s="18"/>
      <c r="K44715" s="18" t="s">
        <v>316</v>
      </c>
    </row>
    <row r="44716">
      <c r="A44716" s="17"/>
      <c r="H44716" s="18"/>
      <c r="K44716" s="18" t="s">
        <v>316</v>
      </c>
    </row>
    <row r="44717">
      <c r="A44717" s="17"/>
      <c r="H44717" s="18"/>
      <c r="K44717" s="18" t="s">
        <v>316</v>
      </c>
    </row>
    <row r="44718">
      <c r="A44718" s="17"/>
      <c r="H44718" s="18"/>
      <c r="K44718" s="18" t="s">
        <v>316</v>
      </c>
    </row>
    <row r="44719">
      <c r="A44719" s="17"/>
      <c r="H44719" s="18"/>
      <c r="K44719" s="18" t="s">
        <v>316</v>
      </c>
    </row>
    <row r="44720">
      <c r="A44720" s="17"/>
      <c r="H44720" s="18"/>
      <c r="K44720" s="18" t="s">
        <v>316</v>
      </c>
    </row>
    <row r="44721">
      <c r="A44721" s="17"/>
      <c r="H44721" s="18"/>
      <c r="K44721" s="18" t="s">
        <v>316</v>
      </c>
    </row>
    <row r="44722">
      <c r="A44722" s="17"/>
      <c r="H44722" s="18"/>
      <c r="K44722" s="18" t="s">
        <v>316</v>
      </c>
    </row>
    <row r="44723">
      <c r="A44723" s="17"/>
      <c r="H44723" s="18"/>
      <c r="K44723" s="18" t="s">
        <v>316</v>
      </c>
    </row>
    <row r="44724">
      <c r="A44724" s="17"/>
      <c r="H44724" s="18"/>
      <c r="K44724" s="18" t="s">
        <v>316</v>
      </c>
    </row>
    <row r="44725">
      <c r="A44725" s="17"/>
      <c r="H44725" s="18"/>
      <c r="K44725" s="18" t="s">
        <v>316</v>
      </c>
    </row>
    <row r="44726">
      <c r="A44726" s="17"/>
      <c r="H44726" s="18"/>
      <c r="K44726" s="18" t="s">
        <v>316</v>
      </c>
    </row>
    <row r="44727">
      <c r="A44727" s="17"/>
      <c r="H44727" s="18"/>
      <c r="K44727" s="18" t="s">
        <v>316</v>
      </c>
    </row>
    <row r="44728">
      <c r="A44728" s="17"/>
      <c r="H44728" s="18"/>
      <c r="K44728" s="18" t="s">
        <v>316</v>
      </c>
    </row>
    <row r="44729">
      <c r="A44729" s="17"/>
      <c r="H44729" s="18"/>
      <c r="K44729" s="18" t="s">
        <v>316</v>
      </c>
    </row>
    <row r="44730">
      <c r="A44730" s="17"/>
      <c r="H44730" s="18"/>
      <c r="K44730" s="18" t="s">
        <v>316</v>
      </c>
    </row>
    <row r="44731">
      <c r="A44731" s="17"/>
      <c r="H44731" s="18"/>
      <c r="K44731" s="18" t="s">
        <v>316</v>
      </c>
    </row>
    <row r="44732">
      <c r="A44732" s="17"/>
      <c r="H44732" s="18"/>
      <c r="K44732" s="18" t="s">
        <v>316</v>
      </c>
    </row>
    <row r="44733">
      <c r="A44733" s="17"/>
      <c r="H44733" s="18"/>
      <c r="K44733" s="18" t="s">
        <v>316</v>
      </c>
    </row>
    <row r="44734">
      <c r="A44734" s="17"/>
      <c r="H44734" s="18"/>
      <c r="K44734" s="18" t="s">
        <v>316</v>
      </c>
    </row>
    <row r="44735">
      <c r="A44735" s="17"/>
      <c r="H44735" s="18"/>
      <c r="K44735" s="18" t="s">
        <v>316</v>
      </c>
    </row>
    <row r="44736">
      <c r="A44736" s="17"/>
      <c r="H44736" s="18"/>
      <c r="K44736" s="18" t="s">
        <v>316</v>
      </c>
    </row>
    <row r="44737">
      <c r="A44737" s="17"/>
      <c r="H44737" s="18"/>
      <c r="K44737" s="18" t="s">
        <v>316</v>
      </c>
    </row>
    <row r="44738">
      <c r="A44738" s="17"/>
      <c r="H44738" s="18"/>
      <c r="K44738" s="18" t="s">
        <v>316</v>
      </c>
    </row>
    <row r="44739">
      <c r="A44739" s="17"/>
      <c r="H44739" s="18"/>
      <c r="K44739" s="18" t="s">
        <v>316</v>
      </c>
    </row>
    <row r="44740">
      <c r="A44740" s="17"/>
      <c r="H44740" s="18"/>
      <c r="K44740" s="18" t="s">
        <v>316</v>
      </c>
    </row>
    <row r="44741">
      <c r="A44741" s="17"/>
      <c r="H44741" s="18"/>
      <c r="K44741" s="18" t="s">
        <v>316</v>
      </c>
    </row>
    <row r="44742">
      <c r="A44742" s="17"/>
      <c r="H44742" s="18"/>
      <c r="K44742" s="18" t="s">
        <v>316</v>
      </c>
    </row>
    <row r="44743">
      <c r="A44743" s="17"/>
      <c r="H44743" s="18"/>
      <c r="K44743" s="18" t="s">
        <v>316</v>
      </c>
    </row>
    <row r="44744">
      <c r="A44744" s="17"/>
      <c r="H44744" s="18"/>
      <c r="K44744" s="18" t="s">
        <v>316</v>
      </c>
    </row>
    <row r="44745">
      <c r="A44745" s="17"/>
      <c r="H44745" s="18"/>
      <c r="K44745" s="18" t="s">
        <v>316</v>
      </c>
    </row>
    <row r="44746">
      <c r="A44746" s="17"/>
      <c r="H44746" s="18"/>
      <c r="K44746" s="18" t="s">
        <v>316</v>
      </c>
    </row>
    <row r="44747">
      <c r="A44747" s="17"/>
      <c r="H44747" s="18"/>
      <c r="K44747" s="18" t="s">
        <v>316</v>
      </c>
    </row>
    <row r="44748">
      <c r="A44748" s="17"/>
      <c r="H44748" s="18"/>
      <c r="K44748" s="18" t="s">
        <v>316</v>
      </c>
    </row>
    <row r="44749">
      <c r="A44749" s="17"/>
      <c r="H44749" s="18"/>
      <c r="K44749" s="18" t="s">
        <v>316</v>
      </c>
    </row>
    <row r="44750">
      <c r="A44750" s="17"/>
      <c r="H44750" s="18"/>
      <c r="K44750" s="18" t="s">
        <v>316</v>
      </c>
    </row>
    <row r="44751">
      <c r="A44751" s="17"/>
      <c r="H44751" s="18"/>
      <c r="K44751" s="18" t="s">
        <v>316</v>
      </c>
    </row>
    <row r="44752">
      <c r="A44752" s="17"/>
      <c r="H44752" s="18"/>
      <c r="K44752" s="18" t="s">
        <v>316</v>
      </c>
    </row>
    <row r="44753">
      <c r="A44753" s="17"/>
      <c r="H44753" s="18"/>
      <c r="K44753" s="18" t="s">
        <v>316</v>
      </c>
    </row>
    <row r="44754">
      <c r="A44754" s="17"/>
      <c r="H44754" s="18"/>
      <c r="K44754" s="18" t="s">
        <v>316</v>
      </c>
    </row>
    <row r="44755">
      <c r="A44755" s="17"/>
      <c r="H44755" s="18"/>
      <c r="K44755" s="18" t="s">
        <v>316</v>
      </c>
    </row>
    <row r="44756">
      <c r="A44756" s="17"/>
      <c r="H44756" s="18"/>
      <c r="K44756" s="18" t="s">
        <v>316</v>
      </c>
    </row>
    <row r="44757">
      <c r="A44757" s="17"/>
      <c r="H44757" s="18"/>
      <c r="K44757" s="18" t="s">
        <v>316</v>
      </c>
    </row>
    <row r="44758">
      <c r="A44758" s="17"/>
      <c r="H44758" s="18"/>
      <c r="K44758" s="18" t="s">
        <v>316</v>
      </c>
    </row>
    <row r="44759">
      <c r="A44759" s="17"/>
      <c r="H44759" s="18"/>
      <c r="K44759" s="18" t="s">
        <v>316</v>
      </c>
    </row>
    <row r="44760">
      <c r="A44760" s="17"/>
      <c r="H44760" s="18"/>
      <c r="K44760" s="18" t="s">
        <v>316</v>
      </c>
    </row>
    <row r="44761">
      <c r="A44761" s="17"/>
      <c r="H44761" s="18"/>
      <c r="K44761" s="18" t="s">
        <v>316</v>
      </c>
    </row>
    <row r="44762">
      <c r="A44762" s="17"/>
      <c r="H44762" s="18"/>
      <c r="K44762" s="18" t="s">
        <v>316</v>
      </c>
    </row>
    <row r="44763">
      <c r="A44763" s="17"/>
      <c r="H44763" s="18"/>
      <c r="K44763" s="18" t="s">
        <v>316</v>
      </c>
    </row>
    <row r="44764">
      <c r="A44764" s="17"/>
      <c r="H44764" s="18"/>
      <c r="K44764" s="18" t="s">
        <v>316</v>
      </c>
    </row>
    <row r="44765">
      <c r="A44765" s="17"/>
      <c r="H44765" s="18"/>
      <c r="K44765" s="18" t="s">
        <v>316</v>
      </c>
    </row>
    <row r="44766">
      <c r="A44766" s="17"/>
      <c r="H44766" s="18"/>
      <c r="K44766" s="18" t="s">
        <v>316</v>
      </c>
    </row>
    <row r="44767">
      <c r="A44767" s="17"/>
      <c r="H44767" s="18"/>
      <c r="K44767" s="18" t="s">
        <v>316</v>
      </c>
    </row>
    <row r="44768">
      <c r="A44768" s="17"/>
      <c r="H44768" s="18"/>
      <c r="K44768" s="18" t="s">
        <v>316</v>
      </c>
    </row>
    <row r="44769">
      <c r="A44769" s="17"/>
      <c r="H44769" s="18"/>
      <c r="K44769" s="18" t="s">
        <v>316</v>
      </c>
    </row>
    <row r="44770">
      <c r="A44770" s="17"/>
      <c r="H44770" s="18"/>
      <c r="K44770" s="18" t="s">
        <v>316</v>
      </c>
    </row>
    <row r="44771">
      <c r="A44771" s="17"/>
      <c r="H44771" s="18"/>
      <c r="K44771" s="18" t="s">
        <v>316</v>
      </c>
    </row>
    <row r="44772">
      <c r="A44772" s="17"/>
      <c r="H44772" s="18"/>
      <c r="K44772" s="18" t="s">
        <v>316</v>
      </c>
    </row>
    <row r="44773">
      <c r="A44773" s="17"/>
      <c r="H44773" s="18"/>
      <c r="K44773" s="18" t="s">
        <v>316</v>
      </c>
    </row>
    <row r="44774">
      <c r="A44774" s="17"/>
      <c r="H44774" s="18"/>
      <c r="K44774" s="18" t="s">
        <v>316</v>
      </c>
    </row>
    <row r="44775">
      <c r="A44775" s="17"/>
      <c r="H44775" s="18"/>
      <c r="K44775" s="18" t="s">
        <v>316</v>
      </c>
    </row>
    <row r="44776">
      <c r="A44776" s="17"/>
      <c r="H44776" s="18"/>
      <c r="K44776" s="18" t="s">
        <v>316</v>
      </c>
    </row>
    <row r="44777">
      <c r="A44777" s="17"/>
      <c r="H44777" s="18"/>
      <c r="K44777" s="18" t="s">
        <v>316</v>
      </c>
    </row>
    <row r="44778">
      <c r="A44778" s="17"/>
      <c r="H44778" s="18"/>
      <c r="K44778" s="18" t="s">
        <v>316</v>
      </c>
    </row>
    <row r="44779">
      <c r="A44779" s="17"/>
      <c r="H44779" s="18"/>
      <c r="K44779" s="18" t="s">
        <v>316</v>
      </c>
    </row>
    <row r="44780">
      <c r="A44780" s="17"/>
      <c r="H44780" s="18"/>
      <c r="K44780" s="18" t="s">
        <v>316</v>
      </c>
    </row>
    <row r="44781">
      <c r="A44781" s="17"/>
      <c r="H44781" s="18"/>
      <c r="K44781" s="18" t="s">
        <v>316</v>
      </c>
    </row>
    <row r="44782">
      <c r="A44782" s="17"/>
      <c r="H44782" s="18"/>
      <c r="K44782" s="18" t="s">
        <v>316</v>
      </c>
    </row>
    <row r="44783">
      <c r="A44783" s="17"/>
      <c r="H44783" s="18"/>
      <c r="K44783" s="18" t="s">
        <v>316</v>
      </c>
    </row>
    <row r="44784">
      <c r="A44784" s="17"/>
      <c r="H44784" s="18"/>
      <c r="K44784" s="18" t="s">
        <v>316</v>
      </c>
    </row>
    <row r="44785">
      <c r="A44785" s="17"/>
      <c r="H44785" s="18"/>
      <c r="K44785" s="18" t="s">
        <v>316</v>
      </c>
    </row>
    <row r="44786">
      <c r="A44786" s="17"/>
      <c r="H44786" s="18"/>
      <c r="K44786" s="18" t="s">
        <v>316</v>
      </c>
    </row>
    <row r="44787">
      <c r="A44787" s="17"/>
      <c r="H44787" s="18"/>
      <c r="K44787" s="18" t="s">
        <v>316</v>
      </c>
    </row>
    <row r="44788">
      <c r="A44788" s="17"/>
      <c r="H44788" s="18"/>
      <c r="K44788" s="18" t="s">
        <v>316</v>
      </c>
    </row>
    <row r="44789">
      <c r="A44789" s="17"/>
      <c r="H44789" s="18"/>
      <c r="K44789" s="18" t="s">
        <v>316</v>
      </c>
    </row>
    <row r="44790">
      <c r="A44790" s="17"/>
      <c r="H44790" s="18"/>
      <c r="K44790" s="18" t="s">
        <v>316</v>
      </c>
    </row>
    <row r="44791">
      <c r="A44791" s="17"/>
      <c r="H44791" s="18"/>
      <c r="K44791" s="18" t="s">
        <v>316</v>
      </c>
    </row>
    <row r="44792">
      <c r="A44792" s="17"/>
      <c r="H44792" s="18"/>
      <c r="K44792" s="18" t="s">
        <v>316</v>
      </c>
    </row>
    <row r="44793">
      <c r="A44793" s="17"/>
      <c r="H44793" s="18"/>
      <c r="K44793" s="18" t="s">
        <v>316</v>
      </c>
    </row>
    <row r="44794">
      <c r="A44794" s="17"/>
      <c r="H44794" s="18"/>
      <c r="K44794" s="18" t="s">
        <v>316</v>
      </c>
    </row>
    <row r="44795">
      <c r="A44795" s="17"/>
      <c r="H44795" s="18"/>
      <c r="K44795" s="18" t="s">
        <v>316</v>
      </c>
    </row>
    <row r="44796">
      <c r="A44796" s="17"/>
      <c r="H44796" s="18"/>
      <c r="K44796" s="18" t="s">
        <v>316</v>
      </c>
    </row>
    <row r="44797">
      <c r="A44797" s="17"/>
      <c r="H44797" s="18"/>
      <c r="K44797" s="18" t="s">
        <v>316</v>
      </c>
    </row>
    <row r="44798">
      <c r="A44798" s="17"/>
      <c r="H44798" s="18"/>
      <c r="K44798" s="18" t="s">
        <v>316</v>
      </c>
    </row>
    <row r="44799">
      <c r="A44799" s="17"/>
      <c r="H44799" s="18"/>
      <c r="K44799" s="18" t="s">
        <v>316</v>
      </c>
    </row>
    <row r="44800">
      <c r="A44800" s="17"/>
      <c r="H44800" s="18"/>
      <c r="K44800" s="18" t="s">
        <v>316</v>
      </c>
    </row>
    <row r="44801">
      <c r="A44801" s="17"/>
      <c r="H44801" s="18"/>
      <c r="K44801" s="18" t="s">
        <v>316</v>
      </c>
    </row>
    <row r="44802">
      <c r="A44802" s="17"/>
      <c r="H44802" s="18"/>
      <c r="K44802" s="18" t="s">
        <v>316</v>
      </c>
    </row>
    <row r="44803">
      <c r="A44803" s="17"/>
      <c r="H44803" s="18"/>
      <c r="K44803" s="18" t="s">
        <v>316</v>
      </c>
    </row>
    <row r="44804">
      <c r="A44804" s="17"/>
      <c r="H44804" s="18"/>
      <c r="K44804" s="18" t="s">
        <v>316</v>
      </c>
    </row>
    <row r="44805">
      <c r="A44805" s="17"/>
      <c r="H44805" s="18"/>
      <c r="K44805" s="18" t="s">
        <v>316</v>
      </c>
    </row>
    <row r="44806">
      <c r="A44806" s="17"/>
      <c r="H44806" s="18"/>
      <c r="K44806" s="18" t="s">
        <v>316</v>
      </c>
    </row>
    <row r="44807">
      <c r="A44807" s="17"/>
      <c r="H44807" s="18"/>
      <c r="K44807" s="18" t="s">
        <v>316</v>
      </c>
    </row>
    <row r="44808">
      <c r="A44808" s="17"/>
      <c r="H44808" s="18"/>
      <c r="K44808" s="18" t="s">
        <v>316</v>
      </c>
    </row>
    <row r="44809">
      <c r="A44809" s="17"/>
      <c r="H44809" s="18"/>
      <c r="K44809" s="18" t="s">
        <v>316</v>
      </c>
    </row>
    <row r="44810">
      <c r="A44810" s="17"/>
      <c r="H44810" s="18"/>
      <c r="K44810" s="18" t="s">
        <v>316</v>
      </c>
    </row>
    <row r="44811">
      <c r="A44811" s="17"/>
      <c r="H44811" s="18"/>
      <c r="K44811" s="18" t="s">
        <v>316</v>
      </c>
    </row>
    <row r="44812">
      <c r="A44812" s="17"/>
      <c r="H44812" s="18"/>
      <c r="K44812" s="18" t="s">
        <v>316</v>
      </c>
    </row>
    <row r="44813">
      <c r="A44813" s="17"/>
      <c r="H44813" s="18"/>
      <c r="K44813" s="18" t="s">
        <v>316</v>
      </c>
    </row>
    <row r="44814">
      <c r="A44814" s="17"/>
      <c r="H44814" s="18"/>
      <c r="K44814" s="18" t="s">
        <v>316</v>
      </c>
    </row>
    <row r="44815">
      <c r="A44815" s="17"/>
      <c r="H44815" s="18"/>
      <c r="K44815" s="18" t="s">
        <v>316</v>
      </c>
    </row>
    <row r="44816">
      <c r="A44816" s="17"/>
      <c r="H44816" s="18"/>
      <c r="K44816" s="18" t="s">
        <v>316</v>
      </c>
    </row>
    <row r="44817">
      <c r="A44817" s="17"/>
      <c r="H44817" s="18"/>
      <c r="K44817" s="18" t="s">
        <v>316</v>
      </c>
    </row>
    <row r="44818">
      <c r="A44818" s="17"/>
      <c r="H44818" s="18"/>
      <c r="K44818" s="18" t="s">
        <v>316</v>
      </c>
    </row>
    <row r="44819">
      <c r="A44819" s="17"/>
      <c r="H44819" s="18"/>
      <c r="K44819" s="18" t="s">
        <v>316</v>
      </c>
    </row>
    <row r="44820">
      <c r="A44820" s="17"/>
      <c r="H44820" s="18"/>
      <c r="K44820" s="18" t="s">
        <v>316</v>
      </c>
    </row>
    <row r="44821">
      <c r="A44821" s="17"/>
      <c r="H44821" s="18"/>
      <c r="K44821" s="18" t="s">
        <v>316</v>
      </c>
    </row>
    <row r="44822">
      <c r="A44822" s="17"/>
      <c r="H44822" s="18"/>
      <c r="K44822" s="18" t="s">
        <v>316</v>
      </c>
    </row>
    <row r="44823">
      <c r="A44823" s="17"/>
      <c r="H44823" s="18"/>
      <c r="K44823" s="18" t="s">
        <v>316</v>
      </c>
    </row>
    <row r="44824">
      <c r="A44824" s="17"/>
      <c r="H44824" s="18"/>
      <c r="K44824" s="18" t="s">
        <v>316</v>
      </c>
    </row>
    <row r="44825">
      <c r="A44825" s="17"/>
      <c r="H44825" s="18"/>
      <c r="K44825" s="18" t="s">
        <v>316</v>
      </c>
    </row>
    <row r="44826">
      <c r="A44826" s="17"/>
      <c r="H44826" s="18"/>
      <c r="K44826" s="18" t="s">
        <v>316</v>
      </c>
    </row>
    <row r="44827">
      <c r="A44827" s="17"/>
      <c r="H44827" s="18"/>
      <c r="K44827" s="18" t="s">
        <v>316</v>
      </c>
    </row>
    <row r="44828">
      <c r="A44828" s="17"/>
      <c r="H44828" s="18"/>
      <c r="K44828" s="18" t="s">
        <v>316</v>
      </c>
    </row>
    <row r="44829">
      <c r="A44829" s="17"/>
      <c r="H44829" s="18"/>
      <c r="K44829" s="18" t="s">
        <v>316</v>
      </c>
    </row>
    <row r="44830">
      <c r="A44830" s="17"/>
      <c r="H44830" s="18"/>
      <c r="K44830" s="18" t="s">
        <v>316</v>
      </c>
    </row>
    <row r="44831">
      <c r="A44831" s="17"/>
      <c r="H44831" s="18"/>
      <c r="K44831" s="18" t="s">
        <v>316</v>
      </c>
    </row>
    <row r="44832">
      <c r="A44832" s="17"/>
      <c r="H44832" s="18"/>
      <c r="K44832" s="18" t="s">
        <v>316</v>
      </c>
    </row>
    <row r="44833">
      <c r="A44833" s="17"/>
      <c r="H44833" s="18"/>
      <c r="K44833" s="18" t="s">
        <v>316</v>
      </c>
    </row>
    <row r="44834">
      <c r="A44834" s="17"/>
      <c r="H44834" s="18"/>
      <c r="K44834" s="18" t="s">
        <v>316</v>
      </c>
    </row>
    <row r="44835">
      <c r="A44835" s="17"/>
      <c r="H44835" s="18"/>
      <c r="K44835" s="18" t="s">
        <v>316</v>
      </c>
    </row>
    <row r="44836">
      <c r="A44836" s="17"/>
      <c r="H44836" s="18"/>
      <c r="K44836" s="18" t="s">
        <v>316</v>
      </c>
    </row>
    <row r="44837">
      <c r="A44837" s="17"/>
      <c r="H44837" s="18"/>
      <c r="K44837" s="18" t="s">
        <v>316</v>
      </c>
    </row>
    <row r="44838">
      <c r="A44838" s="17"/>
      <c r="H44838" s="18"/>
      <c r="K44838" s="18" t="s">
        <v>316</v>
      </c>
    </row>
    <row r="44839">
      <c r="A44839" s="17"/>
      <c r="H44839" s="18"/>
      <c r="K44839" s="18" t="s">
        <v>316</v>
      </c>
    </row>
    <row r="44840">
      <c r="A44840" s="17"/>
      <c r="H44840" s="18"/>
      <c r="K44840" s="18" t="s">
        <v>316</v>
      </c>
    </row>
    <row r="44841">
      <c r="A44841" s="17"/>
      <c r="H44841" s="18"/>
      <c r="K44841" s="18" t="s">
        <v>316</v>
      </c>
    </row>
    <row r="44842">
      <c r="A44842" s="17"/>
      <c r="H44842" s="18"/>
      <c r="K44842" s="18" t="s">
        <v>316</v>
      </c>
    </row>
    <row r="44843">
      <c r="A44843" s="17"/>
      <c r="H44843" s="18"/>
      <c r="K44843" s="18" t="s">
        <v>316</v>
      </c>
    </row>
    <row r="44844">
      <c r="A44844" s="17"/>
      <c r="H44844" s="18"/>
      <c r="K44844" s="18" t="s">
        <v>316</v>
      </c>
    </row>
    <row r="44845">
      <c r="A44845" s="17"/>
      <c r="H44845" s="18"/>
      <c r="K44845" s="18" t="s">
        <v>316</v>
      </c>
    </row>
    <row r="44846">
      <c r="A44846" s="17"/>
      <c r="H44846" s="18"/>
      <c r="K44846" s="18" t="s">
        <v>316</v>
      </c>
    </row>
    <row r="44847">
      <c r="A44847" s="17"/>
      <c r="H44847" s="18"/>
      <c r="K44847" s="18" t="s">
        <v>316</v>
      </c>
    </row>
    <row r="44848">
      <c r="A44848" s="17"/>
      <c r="H44848" s="18"/>
      <c r="K44848" s="18" t="s">
        <v>316</v>
      </c>
    </row>
    <row r="44849">
      <c r="A44849" s="17"/>
      <c r="H44849" s="18"/>
      <c r="K44849" s="18" t="s">
        <v>316</v>
      </c>
    </row>
    <row r="44850">
      <c r="A44850" s="17"/>
      <c r="H44850" s="18"/>
      <c r="K44850" s="18" t="s">
        <v>316</v>
      </c>
    </row>
    <row r="44851">
      <c r="A44851" s="17"/>
      <c r="H44851" s="18"/>
      <c r="K44851" s="18" t="s">
        <v>316</v>
      </c>
    </row>
    <row r="44852">
      <c r="A44852" s="17"/>
      <c r="H44852" s="18"/>
      <c r="K44852" s="18" t="s">
        <v>316</v>
      </c>
    </row>
    <row r="44853">
      <c r="A44853" s="17"/>
      <c r="H44853" s="18"/>
      <c r="K44853" s="18" t="s">
        <v>316</v>
      </c>
    </row>
    <row r="44854">
      <c r="A44854" s="17"/>
      <c r="H44854" s="18"/>
      <c r="K44854" s="18" t="s">
        <v>316</v>
      </c>
    </row>
    <row r="44855">
      <c r="A44855" s="17"/>
      <c r="H44855" s="18"/>
      <c r="K44855" s="18" t="s">
        <v>316</v>
      </c>
    </row>
    <row r="44856">
      <c r="A44856" s="17"/>
      <c r="H44856" s="18"/>
      <c r="K44856" s="18" t="s">
        <v>316</v>
      </c>
    </row>
    <row r="44857">
      <c r="A44857" s="17"/>
      <c r="H44857" s="18"/>
      <c r="K44857" s="18" t="s">
        <v>316</v>
      </c>
    </row>
    <row r="44858">
      <c r="A44858" s="17"/>
      <c r="H44858" s="18"/>
      <c r="K44858" s="18" t="s">
        <v>316</v>
      </c>
    </row>
    <row r="44859">
      <c r="A44859" s="17"/>
      <c r="H44859" s="18"/>
      <c r="K44859" s="18" t="s">
        <v>316</v>
      </c>
    </row>
    <row r="44860">
      <c r="A44860" s="17"/>
      <c r="H44860" s="18"/>
      <c r="K44860" s="18" t="s">
        <v>316</v>
      </c>
    </row>
    <row r="44861">
      <c r="A44861" s="17"/>
      <c r="H44861" s="18"/>
      <c r="K44861" s="18" t="s">
        <v>316</v>
      </c>
    </row>
    <row r="44862">
      <c r="A44862" s="17"/>
      <c r="H44862" s="18"/>
      <c r="K44862" s="18" t="s">
        <v>316</v>
      </c>
    </row>
    <row r="44863">
      <c r="A44863" s="17"/>
      <c r="H44863" s="18"/>
      <c r="K44863" s="18" t="s">
        <v>316</v>
      </c>
    </row>
    <row r="44864">
      <c r="A44864" s="17"/>
      <c r="H44864" s="18"/>
      <c r="K44864" s="18" t="s">
        <v>316</v>
      </c>
    </row>
    <row r="44865">
      <c r="A44865" s="17"/>
      <c r="H44865" s="18"/>
      <c r="K44865" s="18" t="s">
        <v>316</v>
      </c>
    </row>
    <row r="44866">
      <c r="A44866" s="17"/>
      <c r="H44866" s="18"/>
      <c r="K44866" s="18" t="s">
        <v>316</v>
      </c>
    </row>
    <row r="44867">
      <c r="A44867" s="17"/>
      <c r="H44867" s="18"/>
      <c r="K44867" s="18" t="s">
        <v>316</v>
      </c>
    </row>
    <row r="44868">
      <c r="A44868" s="17"/>
      <c r="H44868" s="18"/>
      <c r="K44868" s="18" t="s">
        <v>316</v>
      </c>
    </row>
    <row r="44869">
      <c r="A44869" s="17"/>
      <c r="H44869" s="18"/>
      <c r="K44869" s="18" t="s">
        <v>316</v>
      </c>
    </row>
    <row r="44870">
      <c r="A44870" s="17"/>
      <c r="H44870" s="18"/>
      <c r="K44870" s="18" t="s">
        <v>316</v>
      </c>
    </row>
    <row r="44871">
      <c r="A44871" s="17"/>
      <c r="H44871" s="18"/>
      <c r="K44871" s="18" t="s">
        <v>316</v>
      </c>
    </row>
    <row r="44872">
      <c r="A44872" s="17"/>
      <c r="H44872" s="18"/>
      <c r="K44872" s="18" t="s">
        <v>316</v>
      </c>
    </row>
    <row r="44873">
      <c r="A44873" s="17"/>
      <c r="H44873" s="18"/>
      <c r="K44873" s="18" t="s">
        <v>316</v>
      </c>
    </row>
    <row r="44874">
      <c r="A44874" s="17"/>
      <c r="H44874" s="18"/>
      <c r="K44874" s="18" t="s">
        <v>316</v>
      </c>
    </row>
    <row r="44875">
      <c r="A44875" s="17"/>
      <c r="H44875" s="18"/>
      <c r="K44875" s="18" t="s">
        <v>316</v>
      </c>
    </row>
    <row r="44876">
      <c r="A44876" s="17"/>
      <c r="H44876" s="18"/>
      <c r="K44876" s="18" t="s">
        <v>316</v>
      </c>
    </row>
    <row r="44877">
      <c r="A44877" s="17"/>
      <c r="H44877" s="18"/>
      <c r="K44877" s="18" t="s">
        <v>316</v>
      </c>
    </row>
    <row r="44878">
      <c r="A44878" s="17"/>
      <c r="H44878" s="18"/>
      <c r="K44878" s="18" t="s">
        <v>316</v>
      </c>
    </row>
    <row r="44879">
      <c r="A44879" s="17"/>
      <c r="H44879" s="18"/>
      <c r="K44879" s="18" t="s">
        <v>316</v>
      </c>
    </row>
    <row r="44880">
      <c r="A44880" s="17"/>
      <c r="H44880" s="18"/>
      <c r="K44880" s="18" t="s">
        <v>316</v>
      </c>
    </row>
    <row r="44881">
      <c r="A44881" s="17"/>
      <c r="H44881" s="18"/>
      <c r="K44881" s="18" t="s">
        <v>316</v>
      </c>
    </row>
    <row r="44882">
      <c r="A44882" s="17"/>
      <c r="H44882" s="18"/>
      <c r="K44882" s="18" t="s">
        <v>316</v>
      </c>
    </row>
    <row r="44883">
      <c r="A44883" s="17"/>
      <c r="H44883" s="18"/>
      <c r="K44883" s="18" t="s">
        <v>316</v>
      </c>
    </row>
    <row r="44884">
      <c r="A44884" s="17"/>
      <c r="H44884" s="18"/>
      <c r="K44884" s="18" t="s">
        <v>316</v>
      </c>
    </row>
    <row r="44885">
      <c r="A44885" s="17"/>
      <c r="H44885" s="18"/>
      <c r="K44885" s="18" t="s">
        <v>316</v>
      </c>
    </row>
    <row r="44886">
      <c r="A44886" s="17"/>
      <c r="H44886" s="18"/>
      <c r="K44886" s="18" t="s">
        <v>316</v>
      </c>
    </row>
    <row r="44887">
      <c r="A44887" s="17"/>
      <c r="H44887" s="18"/>
      <c r="K44887" s="18" t="s">
        <v>316</v>
      </c>
    </row>
    <row r="44888">
      <c r="A44888" s="17"/>
      <c r="H44888" s="18"/>
      <c r="K44888" s="18" t="s">
        <v>316</v>
      </c>
    </row>
    <row r="44889">
      <c r="A44889" s="17"/>
      <c r="H44889" s="18"/>
      <c r="K44889" s="18" t="s">
        <v>316</v>
      </c>
    </row>
    <row r="44890">
      <c r="A44890" s="17"/>
      <c r="H44890" s="18"/>
      <c r="K44890" s="18" t="s">
        <v>316</v>
      </c>
    </row>
    <row r="44891">
      <c r="A44891" s="17"/>
      <c r="H44891" s="18"/>
      <c r="K44891" s="18" t="s">
        <v>316</v>
      </c>
    </row>
    <row r="44892">
      <c r="A44892" s="17"/>
      <c r="H44892" s="18"/>
      <c r="K44892" s="18" t="s">
        <v>316</v>
      </c>
    </row>
    <row r="44893">
      <c r="A44893" s="17"/>
      <c r="H44893" s="18"/>
      <c r="K44893" s="18" t="s">
        <v>316</v>
      </c>
    </row>
    <row r="44894">
      <c r="A44894" s="17"/>
      <c r="H44894" s="18"/>
      <c r="K44894" s="18" t="s">
        <v>316</v>
      </c>
    </row>
    <row r="44895">
      <c r="A44895" s="17"/>
      <c r="H44895" s="18"/>
      <c r="K44895" s="18" t="s">
        <v>316</v>
      </c>
    </row>
    <row r="44896">
      <c r="A44896" s="17"/>
      <c r="H44896" s="18"/>
      <c r="K44896" s="18" t="s">
        <v>316</v>
      </c>
    </row>
    <row r="44897">
      <c r="A44897" s="17"/>
      <c r="H44897" s="18"/>
      <c r="K44897" s="18" t="s">
        <v>316</v>
      </c>
    </row>
    <row r="44898">
      <c r="A44898" s="17"/>
      <c r="H44898" s="18"/>
      <c r="K44898" s="18" t="s">
        <v>316</v>
      </c>
    </row>
    <row r="44899">
      <c r="A44899" s="17"/>
      <c r="H44899" s="18"/>
      <c r="K44899" s="18" t="s">
        <v>316</v>
      </c>
    </row>
    <row r="44900">
      <c r="A44900" s="17"/>
      <c r="H44900" s="18"/>
      <c r="K44900" s="18" t="s">
        <v>316</v>
      </c>
    </row>
    <row r="44901">
      <c r="A44901" s="17"/>
      <c r="H44901" s="18"/>
      <c r="K44901" s="18" t="s">
        <v>316</v>
      </c>
    </row>
    <row r="44902">
      <c r="A44902" s="17"/>
      <c r="H44902" s="18"/>
      <c r="K44902" s="18" t="s">
        <v>316</v>
      </c>
    </row>
    <row r="44903">
      <c r="A44903" s="17"/>
      <c r="H44903" s="18"/>
      <c r="K44903" s="18" t="s">
        <v>316</v>
      </c>
    </row>
    <row r="44904">
      <c r="A44904" s="17"/>
      <c r="H44904" s="18"/>
      <c r="K44904" s="18" t="s">
        <v>316</v>
      </c>
    </row>
    <row r="44905">
      <c r="A44905" s="17"/>
      <c r="H44905" s="18"/>
      <c r="K44905" s="18" t="s">
        <v>316</v>
      </c>
    </row>
    <row r="44906">
      <c r="A44906" s="17"/>
      <c r="H44906" s="18"/>
      <c r="K44906" s="18" t="s">
        <v>316</v>
      </c>
    </row>
    <row r="44907">
      <c r="A44907" s="17"/>
      <c r="H44907" s="18"/>
      <c r="K44907" s="18" t="s">
        <v>316</v>
      </c>
    </row>
    <row r="44908">
      <c r="A44908" s="17"/>
      <c r="H44908" s="18"/>
      <c r="K44908" s="18" t="s">
        <v>316</v>
      </c>
    </row>
    <row r="44909">
      <c r="A44909" s="17"/>
      <c r="H44909" s="18"/>
      <c r="K44909" s="18" t="s">
        <v>316</v>
      </c>
    </row>
    <row r="44910">
      <c r="A44910" s="17"/>
      <c r="H44910" s="18"/>
      <c r="K44910" s="18" t="s">
        <v>316</v>
      </c>
    </row>
    <row r="44911">
      <c r="A44911" s="17"/>
      <c r="H44911" s="18"/>
      <c r="K44911" s="18" t="s">
        <v>316</v>
      </c>
    </row>
    <row r="44912">
      <c r="A44912" s="17"/>
      <c r="H44912" s="18"/>
      <c r="K44912" s="18" t="s">
        <v>316</v>
      </c>
    </row>
    <row r="44913">
      <c r="A44913" s="17"/>
      <c r="H44913" s="18"/>
      <c r="K44913" s="18" t="s">
        <v>316</v>
      </c>
    </row>
    <row r="44914">
      <c r="A44914" s="17"/>
      <c r="H44914" s="18"/>
      <c r="K44914" s="18" t="s">
        <v>316</v>
      </c>
    </row>
    <row r="44915">
      <c r="A44915" s="17"/>
      <c r="H44915" s="18"/>
      <c r="K44915" s="18" t="s">
        <v>316</v>
      </c>
    </row>
    <row r="44916">
      <c r="A44916" s="17"/>
      <c r="H44916" s="18"/>
      <c r="K44916" s="18" t="s">
        <v>316</v>
      </c>
    </row>
    <row r="44917">
      <c r="A44917" s="17"/>
      <c r="H44917" s="18"/>
      <c r="K44917" s="18" t="s">
        <v>316</v>
      </c>
    </row>
    <row r="44918">
      <c r="A44918" s="17"/>
      <c r="H44918" s="18"/>
      <c r="K44918" s="18" t="s">
        <v>316</v>
      </c>
    </row>
    <row r="44919">
      <c r="A44919" s="17"/>
      <c r="H44919" s="18"/>
      <c r="K44919" s="18" t="s">
        <v>316</v>
      </c>
    </row>
    <row r="44920">
      <c r="A44920" s="17"/>
      <c r="H44920" s="18"/>
      <c r="K44920" s="18" t="s">
        <v>316</v>
      </c>
    </row>
    <row r="44921">
      <c r="A44921" s="17"/>
      <c r="H44921" s="18"/>
      <c r="K44921" s="18" t="s">
        <v>316</v>
      </c>
    </row>
    <row r="44922">
      <c r="A44922" s="17"/>
      <c r="H44922" s="18"/>
      <c r="K44922" s="18" t="s">
        <v>316</v>
      </c>
    </row>
    <row r="44923">
      <c r="A44923" s="17"/>
      <c r="H44923" s="18"/>
      <c r="K44923" s="18" t="s">
        <v>316</v>
      </c>
    </row>
    <row r="44924">
      <c r="A44924" s="17"/>
      <c r="H44924" s="18"/>
      <c r="K44924" s="18" t="s">
        <v>316</v>
      </c>
    </row>
    <row r="44925">
      <c r="A44925" s="17"/>
      <c r="H44925" s="18"/>
      <c r="K44925" s="18" t="s">
        <v>316</v>
      </c>
    </row>
    <row r="44926">
      <c r="A44926" s="17"/>
      <c r="H44926" s="18"/>
      <c r="K44926" s="18" t="s">
        <v>316</v>
      </c>
    </row>
    <row r="44927">
      <c r="A44927" s="17"/>
      <c r="H44927" s="18"/>
      <c r="K44927" s="18" t="s">
        <v>316</v>
      </c>
    </row>
    <row r="44928">
      <c r="A44928" s="17"/>
      <c r="H44928" s="18"/>
      <c r="K44928" s="18" t="s">
        <v>316</v>
      </c>
    </row>
    <row r="44929">
      <c r="A44929" s="17"/>
      <c r="H44929" s="18"/>
      <c r="K44929" s="18" t="s">
        <v>316</v>
      </c>
    </row>
    <row r="44930">
      <c r="A44930" s="17"/>
      <c r="H44930" s="18"/>
      <c r="K44930" s="18" t="s">
        <v>316</v>
      </c>
    </row>
    <row r="44931">
      <c r="A44931" s="17"/>
      <c r="H44931" s="18"/>
      <c r="K44931" s="18" t="s">
        <v>316</v>
      </c>
    </row>
    <row r="44932">
      <c r="A44932" s="17"/>
      <c r="H44932" s="18"/>
      <c r="K44932" s="18" t="s">
        <v>316</v>
      </c>
    </row>
    <row r="44933">
      <c r="A44933" s="17"/>
      <c r="H44933" s="18"/>
      <c r="K44933" s="18" t="s">
        <v>316</v>
      </c>
    </row>
    <row r="44934">
      <c r="A44934" s="17"/>
      <c r="H44934" s="18"/>
      <c r="K44934" s="18" t="s">
        <v>316</v>
      </c>
    </row>
    <row r="44935">
      <c r="A44935" s="17"/>
      <c r="H44935" s="18"/>
      <c r="K44935" s="18" t="s">
        <v>316</v>
      </c>
    </row>
    <row r="44936">
      <c r="A44936" s="17"/>
      <c r="H44936" s="18"/>
      <c r="K44936" s="18" t="s">
        <v>316</v>
      </c>
    </row>
    <row r="44937">
      <c r="A44937" s="17"/>
      <c r="H44937" s="18"/>
      <c r="K44937" s="18" t="s">
        <v>316</v>
      </c>
    </row>
    <row r="44938">
      <c r="A44938" s="17"/>
      <c r="H44938" s="18"/>
      <c r="K44938" s="18" t="s">
        <v>316</v>
      </c>
    </row>
    <row r="44939">
      <c r="A44939" s="17"/>
      <c r="H44939" s="18"/>
      <c r="K44939" s="18" t="s">
        <v>316</v>
      </c>
    </row>
    <row r="44940">
      <c r="A44940" s="17"/>
      <c r="H44940" s="18"/>
      <c r="K44940" s="18" t="s">
        <v>316</v>
      </c>
    </row>
    <row r="44941">
      <c r="A44941" s="17"/>
      <c r="H44941" s="18"/>
      <c r="K44941" s="18" t="s">
        <v>316</v>
      </c>
    </row>
    <row r="44942">
      <c r="A44942" s="17"/>
      <c r="H44942" s="18"/>
      <c r="K44942" s="18" t="s">
        <v>316</v>
      </c>
    </row>
    <row r="44943">
      <c r="A44943" s="17"/>
      <c r="H44943" s="18"/>
      <c r="K44943" s="18" t="s">
        <v>316</v>
      </c>
    </row>
    <row r="44944">
      <c r="A44944" s="17"/>
      <c r="H44944" s="18"/>
      <c r="K44944" s="18" t="s">
        <v>316</v>
      </c>
    </row>
    <row r="44945">
      <c r="A44945" s="17"/>
      <c r="H44945" s="18"/>
      <c r="K44945" s="18" t="s">
        <v>316</v>
      </c>
    </row>
    <row r="44946">
      <c r="A44946" s="17"/>
      <c r="H44946" s="18"/>
      <c r="K44946" s="18" t="s">
        <v>316</v>
      </c>
    </row>
    <row r="44947">
      <c r="A44947" s="17"/>
      <c r="H44947" s="18"/>
      <c r="K44947" s="18" t="s">
        <v>316</v>
      </c>
    </row>
    <row r="44948">
      <c r="A44948" s="17"/>
      <c r="H44948" s="18"/>
      <c r="K44948" s="18" t="s">
        <v>316</v>
      </c>
    </row>
    <row r="44949">
      <c r="A44949" s="17"/>
      <c r="H44949" s="18"/>
      <c r="K44949" s="18" t="s">
        <v>316</v>
      </c>
    </row>
    <row r="44950">
      <c r="A44950" s="17"/>
      <c r="H44950" s="18"/>
      <c r="K44950" s="18" t="s">
        <v>316</v>
      </c>
    </row>
    <row r="44951">
      <c r="A44951" s="17"/>
      <c r="H44951" s="18"/>
      <c r="K44951" s="18" t="s">
        <v>316</v>
      </c>
    </row>
    <row r="44952">
      <c r="A44952" s="17"/>
      <c r="H44952" s="18"/>
      <c r="K44952" s="18" t="s">
        <v>316</v>
      </c>
    </row>
    <row r="44953">
      <c r="A44953" s="17"/>
      <c r="H44953" s="18"/>
      <c r="K44953" s="18" t="s">
        <v>316</v>
      </c>
    </row>
    <row r="44954">
      <c r="A44954" s="17"/>
      <c r="H44954" s="18"/>
      <c r="K44954" s="18" t="s">
        <v>316</v>
      </c>
    </row>
    <row r="44955">
      <c r="A44955" s="17"/>
      <c r="H44955" s="18"/>
      <c r="K44955" s="18" t="s">
        <v>316</v>
      </c>
    </row>
    <row r="44956">
      <c r="A44956" s="17"/>
      <c r="H44956" s="18"/>
      <c r="K44956" s="18" t="s">
        <v>316</v>
      </c>
    </row>
    <row r="44957">
      <c r="A44957" s="17"/>
      <c r="H44957" s="18"/>
      <c r="K44957" s="18" t="s">
        <v>316</v>
      </c>
    </row>
    <row r="44958">
      <c r="A44958" s="17"/>
      <c r="H44958" s="18"/>
      <c r="K44958" s="18" t="s">
        <v>316</v>
      </c>
    </row>
    <row r="44959">
      <c r="A44959" s="17"/>
      <c r="H44959" s="18"/>
      <c r="K44959" s="18" t="s">
        <v>316</v>
      </c>
    </row>
    <row r="44960">
      <c r="A44960" s="17"/>
      <c r="H44960" s="18"/>
      <c r="K44960" s="18" t="s">
        <v>316</v>
      </c>
    </row>
    <row r="44961">
      <c r="A44961" s="17"/>
      <c r="H44961" s="18"/>
      <c r="K44961" s="18" t="s">
        <v>316</v>
      </c>
    </row>
    <row r="44962">
      <c r="A44962" s="17"/>
      <c r="H44962" s="18"/>
      <c r="K44962" s="18" t="s">
        <v>316</v>
      </c>
    </row>
    <row r="44963">
      <c r="A44963" s="17"/>
      <c r="H44963" s="18"/>
      <c r="K44963" s="18" t="s">
        <v>316</v>
      </c>
    </row>
    <row r="44964">
      <c r="A44964" s="17"/>
      <c r="H44964" s="18"/>
      <c r="K44964" s="18" t="s">
        <v>316</v>
      </c>
    </row>
    <row r="44965">
      <c r="A44965" s="17"/>
      <c r="H44965" s="18"/>
      <c r="K44965" s="18" t="s">
        <v>316</v>
      </c>
    </row>
    <row r="44966">
      <c r="A44966" s="17"/>
      <c r="H44966" s="18"/>
      <c r="K44966" s="18" t="s">
        <v>316</v>
      </c>
    </row>
    <row r="44967">
      <c r="A44967" s="17"/>
      <c r="H44967" s="18"/>
      <c r="K44967" s="18" t="s">
        <v>316</v>
      </c>
    </row>
    <row r="44968">
      <c r="A44968" s="17"/>
      <c r="H44968" s="18"/>
      <c r="K44968" s="18" t="s">
        <v>316</v>
      </c>
    </row>
    <row r="44969">
      <c r="A44969" s="17"/>
      <c r="H44969" s="18"/>
      <c r="K44969" s="18" t="s">
        <v>316</v>
      </c>
    </row>
    <row r="44970">
      <c r="A44970" s="17"/>
      <c r="H44970" s="18"/>
      <c r="K44970" s="18" t="s">
        <v>316</v>
      </c>
    </row>
    <row r="44971">
      <c r="A44971" s="17"/>
      <c r="H44971" s="18"/>
      <c r="K44971" s="18" t="s">
        <v>316</v>
      </c>
    </row>
    <row r="44972">
      <c r="A44972" s="17"/>
      <c r="H44972" s="18"/>
      <c r="K44972" s="18" t="s">
        <v>316</v>
      </c>
    </row>
    <row r="44973">
      <c r="A44973" s="17"/>
      <c r="H44973" s="18"/>
      <c r="K44973" s="18" t="s">
        <v>316</v>
      </c>
    </row>
    <row r="44974">
      <c r="A44974" s="17"/>
      <c r="H44974" s="18"/>
      <c r="K44974" s="18" t="s">
        <v>316</v>
      </c>
    </row>
    <row r="44975">
      <c r="A44975" s="17"/>
      <c r="H44975" s="18"/>
      <c r="K44975" s="18" t="s">
        <v>316</v>
      </c>
    </row>
    <row r="44976">
      <c r="A44976" s="17"/>
      <c r="H44976" s="18"/>
      <c r="K44976" s="18" t="s">
        <v>316</v>
      </c>
    </row>
    <row r="44977">
      <c r="A44977" s="17"/>
      <c r="H44977" s="18"/>
      <c r="K44977" s="18" t="s">
        <v>316</v>
      </c>
    </row>
    <row r="44978">
      <c r="A44978" s="17"/>
      <c r="H44978" s="18"/>
      <c r="K44978" s="18" t="s">
        <v>316</v>
      </c>
    </row>
    <row r="44979">
      <c r="A44979" s="17"/>
      <c r="H44979" s="18"/>
      <c r="K44979" s="18" t="s">
        <v>316</v>
      </c>
    </row>
    <row r="44980">
      <c r="A44980" s="17"/>
      <c r="H44980" s="18"/>
      <c r="K44980" s="18" t="s">
        <v>316</v>
      </c>
    </row>
    <row r="44981">
      <c r="A44981" s="17"/>
      <c r="H44981" s="18"/>
      <c r="K44981" s="18" t="s">
        <v>316</v>
      </c>
    </row>
    <row r="44982">
      <c r="A44982" s="17"/>
      <c r="H44982" s="18"/>
      <c r="K44982" s="18" t="s">
        <v>316</v>
      </c>
    </row>
    <row r="44983">
      <c r="A44983" s="17"/>
      <c r="H44983" s="18"/>
      <c r="K44983" s="18" t="s">
        <v>316</v>
      </c>
    </row>
    <row r="44984">
      <c r="A44984" s="17"/>
      <c r="H44984" s="18"/>
      <c r="K44984" s="18" t="s">
        <v>316</v>
      </c>
    </row>
    <row r="44985">
      <c r="A44985" s="17"/>
      <c r="H44985" s="18"/>
      <c r="K44985" s="18" t="s">
        <v>316</v>
      </c>
    </row>
    <row r="44986">
      <c r="A44986" s="17"/>
      <c r="H44986" s="18"/>
      <c r="K44986" s="18" t="s">
        <v>316</v>
      </c>
    </row>
    <row r="44987">
      <c r="A44987" s="17"/>
      <c r="H44987" s="18"/>
      <c r="K44987" s="18" t="s">
        <v>316</v>
      </c>
    </row>
    <row r="44988">
      <c r="A44988" s="17"/>
      <c r="H44988" s="18"/>
      <c r="K44988" s="18" t="s">
        <v>316</v>
      </c>
    </row>
    <row r="44989">
      <c r="A44989" s="17"/>
      <c r="H44989" s="18"/>
      <c r="K44989" s="18" t="s">
        <v>316</v>
      </c>
    </row>
    <row r="44990">
      <c r="A44990" s="17"/>
      <c r="H44990" s="18"/>
      <c r="K44990" s="18" t="s">
        <v>316</v>
      </c>
    </row>
    <row r="44991">
      <c r="A44991" s="17"/>
      <c r="H44991" s="18"/>
      <c r="K44991" s="18" t="s">
        <v>316</v>
      </c>
    </row>
    <row r="44992">
      <c r="A44992" s="17"/>
      <c r="H44992" s="18"/>
      <c r="K44992" s="18" t="s">
        <v>316</v>
      </c>
    </row>
    <row r="44993">
      <c r="A44993" s="17"/>
      <c r="H44993" s="18"/>
      <c r="K44993" s="18" t="s">
        <v>316</v>
      </c>
    </row>
    <row r="44994">
      <c r="A44994" s="17"/>
      <c r="H44994" s="18"/>
      <c r="K44994" s="18" t="s">
        <v>316</v>
      </c>
    </row>
    <row r="44995">
      <c r="A44995" s="17"/>
      <c r="H44995" s="18"/>
      <c r="K44995" s="18" t="s">
        <v>316</v>
      </c>
    </row>
    <row r="44996">
      <c r="A44996" s="17"/>
      <c r="H44996" s="18"/>
      <c r="K44996" s="18" t="s">
        <v>316</v>
      </c>
    </row>
    <row r="44997">
      <c r="A44997" s="17"/>
      <c r="H44997" s="18"/>
      <c r="K44997" s="18" t="s">
        <v>316</v>
      </c>
    </row>
    <row r="44998">
      <c r="A44998" s="17"/>
      <c r="H44998" s="18"/>
      <c r="K44998" s="18" t="s">
        <v>316</v>
      </c>
    </row>
    <row r="44999">
      <c r="A44999" s="17"/>
      <c r="H44999" s="18"/>
      <c r="K44999" s="18" t="s">
        <v>316</v>
      </c>
    </row>
    <row r="45000">
      <c r="A45000" s="17"/>
      <c r="H45000" s="18"/>
      <c r="K45000" s="18" t="s">
        <v>316</v>
      </c>
    </row>
    <row r="45001">
      <c r="A45001" s="17"/>
      <c r="H45001" s="18"/>
      <c r="K45001" s="18" t="s">
        <v>316</v>
      </c>
    </row>
    <row r="45002">
      <c r="A45002" s="17"/>
      <c r="H45002" s="18"/>
      <c r="K45002" s="18" t="s">
        <v>316</v>
      </c>
    </row>
    <row r="45003">
      <c r="A45003" s="17"/>
      <c r="H45003" s="18"/>
      <c r="K45003" s="18" t="s">
        <v>316</v>
      </c>
    </row>
    <row r="45004">
      <c r="A45004" s="17"/>
      <c r="H45004" s="18"/>
      <c r="K45004" s="18" t="s">
        <v>316</v>
      </c>
    </row>
    <row r="45005">
      <c r="A45005" s="17"/>
      <c r="H45005" s="18"/>
      <c r="K45005" s="18" t="s">
        <v>316</v>
      </c>
    </row>
    <row r="45006">
      <c r="A45006" s="17"/>
      <c r="H45006" s="18"/>
      <c r="K45006" s="18" t="s">
        <v>316</v>
      </c>
    </row>
    <row r="45007">
      <c r="A45007" s="17"/>
      <c r="H45007" s="18"/>
      <c r="K45007" s="18" t="s">
        <v>316</v>
      </c>
    </row>
    <row r="45008">
      <c r="A45008" s="17"/>
      <c r="H45008" s="18"/>
      <c r="K45008" s="18" t="s">
        <v>316</v>
      </c>
    </row>
    <row r="45009">
      <c r="A45009" s="17"/>
      <c r="H45009" s="18"/>
      <c r="K45009" s="18" t="s">
        <v>316</v>
      </c>
    </row>
    <row r="45010">
      <c r="A45010" s="17"/>
      <c r="H45010" s="18"/>
      <c r="K45010" s="18" t="s">
        <v>316</v>
      </c>
    </row>
    <row r="45011">
      <c r="A45011" s="17"/>
      <c r="H45011" s="18"/>
      <c r="K45011" s="18" t="s">
        <v>316</v>
      </c>
    </row>
    <row r="45012">
      <c r="A45012" s="17"/>
      <c r="H45012" s="18"/>
      <c r="K45012" s="18" t="s">
        <v>316</v>
      </c>
    </row>
    <row r="45013">
      <c r="A45013" s="17"/>
      <c r="H45013" s="18"/>
      <c r="K45013" s="18" t="s">
        <v>316</v>
      </c>
    </row>
    <row r="45014">
      <c r="A45014" s="17"/>
      <c r="H45014" s="18"/>
      <c r="K45014" s="18" t="s">
        <v>316</v>
      </c>
    </row>
    <row r="45015">
      <c r="A45015" s="17"/>
      <c r="H45015" s="18"/>
      <c r="K45015" s="18" t="s">
        <v>316</v>
      </c>
    </row>
    <row r="45016">
      <c r="A45016" s="17"/>
      <c r="H45016" s="18"/>
      <c r="K45016" s="18" t="s">
        <v>316</v>
      </c>
    </row>
    <row r="45017">
      <c r="A45017" s="17"/>
      <c r="H45017" s="18"/>
      <c r="K45017" s="18" t="s">
        <v>316</v>
      </c>
    </row>
    <row r="45018">
      <c r="A45018" s="17"/>
      <c r="H45018" s="18"/>
      <c r="K45018" s="18" t="s">
        <v>316</v>
      </c>
    </row>
    <row r="45019">
      <c r="A45019" s="17"/>
      <c r="H45019" s="18"/>
      <c r="K45019" s="18" t="s">
        <v>316</v>
      </c>
    </row>
    <row r="45020">
      <c r="A45020" s="17"/>
      <c r="H45020" s="18"/>
      <c r="K45020" s="18" t="s">
        <v>316</v>
      </c>
    </row>
    <row r="45021">
      <c r="A45021" s="17"/>
      <c r="H45021" s="18"/>
      <c r="K45021" s="18" t="s">
        <v>316</v>
      </c>
    </row>
    <row r="45022">
      <c r="A45022" s="17"/>
      <c r="H45022" s="18"/>
      <c r="K45022" s="18" t="s">
        <v>316</v>
      </c>
    </row>
    <row r="45023">
      <c r="A45023" s="17"/>
      <c r="H45023" s="18"/>
      <c r="K45023" s="18" t="s">
        <v>316</v>
      </c>
    </row>
    <row r="45024">
      <c r="A45024" s="17"/>
      <c r="H45024" s="18"/>
      <c r="K45024" s="18" t="s">
        <v>316</v>
      </c>
    </row>
    <row r="45025">
      <c r="A45025" s="17"/>
      <c r="H45025" s="18"/>
      <c r="K45025" s="18" t="s">
        <v>316</v>
      </c>
    </row>
    <row r="45026">
      <c r="A45026" s="17"/>
      <c r="H45026" s="18"/>
      <c r="K45026" s="18" t="s">
        <v>316</v>
      </c>
    </row>
    <row r="45027">
      <c r="A45027" s="17"/>
      <c r="H45027" s="18"/>
      <c r="K45027" s="18" t="s">
        <v>316</v>
      </c>
    </row>
    <row r="45028">
      <c r="A45028" s="17"/>
      <c r="H45028" s="18"/>
      <c r="K45028" s="18" t="s">
        <v>316</v>
      </c>
    </row>
    <row r="45029">
      <c r="A45029" s="17"/>
      <c r="H45029" s="18"/>
      <c r="K45029" s="18" t="s">
        <v>316</v>
      </c>
    </row>
    <row r="45030">
      <c r="A45030" s="17"/>
      <c r="H45030" s="18"/>
      <c r="K45030" s="18" t="s">
        <v>316</v>
      </c>
    </row>
    <row r="45031">
      <c r="A45031" s="17"/>
      <c r="H45031" s="18"/>
      <c r="K45031" s="18" t="s">
        <v>316</v>
      </c>
    </row>
    <row r="45032">
      <c r="A45032" s="17"/>
      <c r="H45032" s="18"/>
      <c r="K45032" s="18" t="s">
        <v>316</v>
      </c>
    </row>
    <row r="45033">
      <c r="A45033" s="17"/>
      <c r="H45033" s="18"/>
      <c r="K45033" s="18" t="s">
        <v>316</v>
      </c>
    </row>
    <row r="45034">
      <c r="A45034" s="17"/>
      <c r="H45034" s="18"/>
      <c r="K45034" s="18" t="s">
        <v>316</v>
      </c>
    </row>
    <row r="45035">
      <c r="A45035" s="17"/>
      <c r="H45035" s="18"/>
      <c r="K45035" s="18" t="s">
        <v>316</v>
      </c>
    </row>
    <row r="45036">
      <c r="A45036" s="17"/>
      <c r="H45036" s="18"/>
      <c r="K45036" s="18" t="s">
        <v>316</v>
      </c>
    </row>
    <row r="45037">
      <c r="A45037" s="17"/>
      <c r="H45037" s="18"/>
      <c r="K45037" s="18" t="s">
        <v>316</v>
      </c>
    </row>
    <row r="45038">
      <c r="A45038" s="17"/>
      <c r="H45038" s="18"/>
      <c r="K45038" s="18" t="s">
        <v>316</v>
      </c>
    </row>
    <row r="45039">
      <c r="A45039" s="17"/>
      <c r="H45039" s="18"/>
      <c r="K45039" s="18" t="s">
        <v>316</v>
      </c>
    </row>
    <row r="45040">
      <c r="A45040" s="17"/>
      <c r="H45040" s="18"/>
      <c r="K45040" s="18" t="s">
        <v>316</v>
      </c>
    </row>
    <row r="45041">
      <c r="A45041" s="17"/>
      <c r="H45041" s="18"/>
      <c r="K45041" s="18" t="s">
        <v>316</v>
      </c>
    </row>
    <row r="45042">
      <c r="A45042" s="17"/>
      <c r="H45042" s="18"/>
      <c r="K45042" s="18" t="s">
        <v>316</v>
      </c>
    </row>
    <row r="45043">
      <c r="A45043" s="17"/>
      <c r="H45043" s="18"/>
      <c r="K45043" s="18" t="s">
        <v>316</v>
      </c>
    </row>
    <row r="45044">
      <c r="A45044" s="17"/>
      <c r="H45044" s="18"/>
      <c r="K45044" s="18" t="s">
        <v>316</v>
      </c>
    </row>
    <row r="45045">
      <c r="A45045" s="17"/>
      <c r="H45045" s="18"/>
      <c r="K45045" s="18" t="s">
        <v>316</v>
      </c>
    </row>
    <row r="45046">
      <c r="A45046" s="17"/>
      <c r="H45046" s="18"/>
      <c r="K45046" s="18" t="s">
        <v>316</v>
      </c>
    </row>
    <row r="45047">
      <c r="A45047" s="17"/>
      <c r="H45047" s="18"/>
      <c r="K45047" s="18" t="s">
        <v>316</v>
      </c>
    </row>
    <row r="45048">
      <c r="A45048" s="17"/>
      <c r="H45048" s="18"/>
      <c r="K45048" s="18" t="s">
        <v>316</v>
      </c>
    </row>
    <row r="45049">
      <c r="A45049" s="17"/>
      <c r="H45049" s="18"/>
      <c r="K45049" s="18" t="s">
        <v>316</v>
      </c>
    </row>
    <row r="45050">
      <c r="A45050" s="17"/>
      <c r="H45050" s="18"/>
      <c r="K45050" s="18" t="s">
        <v>316</v>
      </c>
    </row>
    <row r="45051">
      <c r="A45051" s="17"/>
      <c r="H45051" s="18"/>
      <c r="K45051" s="18" t="s">
        <v>316</v>
      </c>
    </row>
    <row r="45052">
      <c r="A45052" s="17"/>
      <c r="H45052" s="18"/>
      <c r="K45052" s="18" t="s">
        <v>316</v>
      </c>
    </row>
    <row r="45053">
      <c r="A45053" s="17"/>
      <c r="H45053" s="18"/>
      <c r="K45053" s="18" t="s">
        <v>316</v>
      </c>
    </row>
    <row r="45054">
      <c r="A45054" s="17"/>
      <c r="H45054" s="18"/>
      <c r="K45054" s="18" t="s">
        <v>316</v>
      </c>
    </row>
    <row r="45055">
      <c r="A45055" s="17"/>
      <c r="H45055" s="18"/>
      <c r="K45055" s="18" t="s">
        <v>316</v>
      </c>
    </row>
    <row r="45056">
      <c r="A45056" s="17"/>
      <c r="H45056" s="18"/>
      <c r="K45056" s="18" t="s">
        <v>316</v>
      </c>
    </row>
    <row r="45057">
      <c r="A45057" s="17"/>
      <c r="H45057" s="18"/>
      <c r="K45057" s="18" t="s">
        <v>316</v>
      </c>
    </row>
    <row r="45058">
      <c r="A45058" s="17"/>
      <c r="H45058" s="18"/>
      <c r="K45058" s="18" t="s">
        <v>316</v>
      </c>
    </row>
    <row r="45059">
      <c r="A45059" s="17"/>
      <c r="H45059" s="18"/>
      <c r="K45059" s="18" t="s">
        <v>316</v>
      </c>
    </row>
    <row r="45060">
      <c r="A45060" s="17"/>
      <c r="H45060" s="18"/>
      <c r="K45060" s="18" t="s">
        <v>316</v>
      </c>
    </row>
    <row r="45061">
      <c r="A45061" s="17"/>
      <c r="H45061" s="18"/>
      <c r="K45061" s="18" t="s">
        <v>316</v>
      </c>
    </row>
    <row r="45062">
      <c r="A45062" s="17"/>
      <c r="H45062" s="18"/>
      <c r="K45062" s="18" t="s">
        <v>316</v>
      </c>
    </row>
    <row r="45063">
      <c r="A45063" s="17"/>
      <c r="H45063" s="18"/>
      <c r="K45063" s="18" t="s">
        <v>316</v>
      </c>
    </row>
    <row r="45064">
      <c r="A45064" s="17"/>
      <c r="H45064" s="18"/>
      <c r="K45064" s="18" t="s">
        <v>316</v>
      </c>
    </row>
    <row r="45065">
      <c r="A45065" s="17"/>
      <c r="H45065" s="18"/>
      <c r="K45065" s="18" t="s">
        <v>316</v>
      </c>
    </row>
    <row r="45066">
      <c r="A45066" s="17"/>
      <c r="H45066" s="18"/>
      <c r="K45066" s="18" t="s">
        <v>316</v>
      </c>
    </row>
    <row r="45067">
      <c r="A45067" s="17"/>
      <c r="H45067" s="18"/>
      <c r="K45067" s="18" t="s">
        <v>316</v>
      </c>
    </row>
    <row r="45068">
      <c r="A45068" s="17"/>
      <c r="H45068" s="18"/>
      <c r="K45068" s="18" t="s">
        <v>316</v>
      </c>
    </row>
    <row r="45069">
      <c r="A45069" s="17"/>
      <c r="H45069" s="18"/>
      <c r="K45069" s="18" t="s">
        <v>316</v>
      </c>
    </row>
    <row r="45070">
      <c r="A45070" s="17"/>
      <c r="H45070" s="18"/>
      <c r="K45070" s="18" t="s">
        <v>316</v>
      </c>
    </row>
    <row r="45071">
      <c r="A45071" s="17"/>
      <c r="H45071" s="18"/>
      <c r="K45071" s="18" t="s">
        <v>316</v>
      </c>
    </row>
    <row r="45072">
      <c r="A45072" s="17"/>
      <c r="H45072" s="18"/>
      <c r="K45072" s="18" t="s">
        <v>316</v>
      </c>
    </row>
    <row r="45073">
      <c r="A45073" s="17"/>
      <c r="H45073" s="18"/>
      <c r="K45073" s="18" t="s">
        <v>316</v>
      </c>
    </row>
    <row r="45074">
      <c r="A45074" s="17"/>
      <c r="H45074" s="18"/>
      <c r="K45074" s="18" t="s">
        <v>316</v>
      </c>
    </row>
    <row r="45075">
      <c r="A45075" s="17"/>
      <c r="H45075" s="18"/>
      <c r="K45075" s="18" t="s">
        <v>316</v>
      </c>
    </row>
    <row r="45076">
      <c r="A45076" s="17"/>
      <c r="H45076" s="18"/>
      <c r="K45076" s="18" t="s">
        <v>316</v>
      </c>
    </row>
    <row r="45077">
      <c r="A45077" s="17"/>
      <c r="H45077" s="18"/>
      <c r="K45077" s="18" t="s">
        <v>316</v>
      </c>
    </row>
    <row r="45078">
      <c r="A45078" s="17"/>
      <c r="H45078" s="18"/>
      <c r="K45078" s="18" t="s">
        <v>316</v>
      </c>
    </row>
    <row r="45079">
      <c r="A45079" s="17"/>
      <c r="H45079" s="18"/>
      <c r="K45079" s="18" t="s">
        <v>316</v>
      </c>
    </row>
    <row r="45080">
      <c r="A45080" s="17"/>
      <c r="H45080" s="18"/>
      <c r="K45080" s="18" t="s">
        <v>316</v>
      </c>
    </row>
    <row r="45081">
      <c r="A45081" s="17"/>
      <c r="H45081" s="18"/>
      <c r="K45081" s="18" t="s">
        <v>316</v>
      </c>
    </row>
    <row r="45082">
      <c r="A45082" s="17"/>
      <c r="H45082" s="18"/>
      <c r="K45082" s="18" t="s">
        <v>316</v>
      </c>
    </row>
    <row r="45083">
      <c r="A45083" s="17"/>
      <c r="H45083" s="18"/>
      <c r="K45083" s="18" t="s">
        <v>316</v>
      </c>
    </row>
    <row r="45084">
      <c r="A45084" s="17"/>
      <c r="H45084" s="18"/>
      <c r="K45084" s="18" t="s">
        <v>316</v>
      </c>
    </row>
    <row r="45085">
      <c r="A45085" s="17"/>
      <c r="H45085" s="18"/>
      <c r="K45085" s="18" t="s">
        <v>316</v>
      </c>
    </row>
    <row r="45086">
      <c r="A45086" s="17"/>
      <c r="H45086" s="18"/>
      <c r="K45086" s="18" t="s">
        <v>316</v>
      </c>
    </row>
    <row r="45087">
      <c r="A45087" s="17"/>
      <c r="H45087" s="18"/>
      <c r="K45087" s="18" t="s">
        <v>316</v>
      </c>
    </row>
    <row r="45088">
      <c r="A45088" s="17"/>
      <c r="H45088" s="18"/>
      <c r="K45088" s="18" t="s">
        <v>316</v>
      </c>
    </row>
    <row r="45089">
      <c r="A45089" s="17"/>
      <c r="H45089" s="18"/>
      <c r="K45089" s="18" t="s">
        <v>316</v>
      </c>
    </row>
    <row r="45090">
      <c r="A45090" s="17"/>
      <c r="H45090" s="18"/>
      <c r="K45090" s="18" t="s">
        <v>316</v>
      </c>
    </row>
    <row r="45091">
      <c r="A45091" s="17"/>
      <c r="H45091" s="18"/>
      <c r="K45091" s="18" t="s">
        <v>316</v>
      </c>
    </row>
    <row r="45092">
      <c r="A45092" s="17"/>
      <c r="H45092" s="18"/>
      <c r="K45092" s="18" t="s">
        <v>316</v>
      </c>
    </row>
    <row r="45093">
      <c r="A45093" s="17"/>
      <c r="H45093" s="18"/>
      <c r="K45093" s="18" t="s">
        <v>316</v>
      </c>
    </row>
    <row r="45094">
      <c r="A45094" s="17"/>
      <c r="H45094" s="18"/>
      <c r="K45094" s="18" t="s">
        <v>316</v>
      </c>
    </row>
    <row r="45095">
      <c r="A45095" s="17"/>
      <c r="H45095" s="18"/>
      <c r="K45095" s="18" t="s">
        <v>316</v>
      </c>
    </row>
    <row r="45096">
      <c r="A45096" s="17"/>
      <c r="H45096" s="18"/>
      <c r="K45096" s="18" t="s">
        <v>316</v>
      </c>
    </row>
    <row r="45097">
      <c r="A45097" s="17"/>
      <c r="H45097" s="18"/>
      <c r="K45097" s="18" t="s">
        <v>316</v>
      </c>
    </row>
    <row r="45098">
      <c r="A45098" s="17"/>
      <c r="H45098" s="18"/>
      <c r="K45098" s="18" t="s">
        <v>316</v>
      </c>
    </row>
    <row r="45099">
      <c r="A45099" s="17"/>
      <c r="H45099" s="18"/>
      <c r="K45099" s="18" t="s">
        <v>316</v>
      </c>
    </row>
    <row r="45100">
      <c r="A45100" s="17"/>
      <c r="H45100" s="18"/>
      <c r="K45100" s="18" t="s">
        <v>316</v>
      </c>
    </row>
    <row r="45101">
      <c r="A45101" s="17"/>
      <c r="H45101" s="18"/>
      <c r="K45101" s="18" t="s">
        <v>316</v>
      </c>
    </row>
    <row r="45102">
      <c r="A45102" s="17"/>
      <c r="H45102" s="18"/>
      <c r="K45102" s="18" t="s">
        <v>316</v>
      </c>
    </row>
    <row r="45103">
      <c r="A45103" s="17"/>
      <c r="H45103" s="18"/>
      <c r="K45103" s="18" t="s">
        <v>316</v>
      </c>
    </row>
    <row r="45104">
      <c r="A45104" s="17"/>
      <c r="H45104" s="18"/>
      <c r="K45104" s="18" t="s">
        <v>316</v>
      </c>
    </row>
    <row r="45105">
      <c r="A45105" s="17"/>
      <c r="H45105" s="18"/>
      <c r="K45105" s="18" t="s">
        <v>316</v>
      </c>
    </row>
    <row r="45106">
      <c r="A45106" s="17"/>
      <c r="H45106" s="18"/>
      <c r="K45106" s="18" t="s">
        <v>316</v>
      </c>
    </row>
    <row r="45107">
      <c r="A45107" s="17"/>
      <c r="H45107" s="18"/>
      <c r="K45107" s="18" t="s">
        <v>316</v>
      </c>
    </row>
    <row r="45108">
      <c r="A45108" s="17"/>
      <c r="H45108" s="18"/>
      <c r="K45108" s="18" t="s">
        <v>316</v>
      </c>
    </row>
    <row r="45109">
      <c r="A45109" s="17"/>
      <c r="H45109" s="18"/>
      <c r="K45109" s="18" t="s">
        <v>316</v>
      </c>
    </row>
    <row r="45110">
      <c r="A45110" s="17"/>
      <c r="H45110" s="18"/>
      <c r="K45110" s="18" t="s">
        <v>316</v>
      </c>
    </row>
    <row r="45111">
      <c r="A45111" s="17"/>
      <c r="H45111" s="18"/>
      <c r="K45111" s="18" t="s">
        <v>316</v>
      </c>
    </row>
    <row r="45112">
      <c r="A45112" s="17"/>
      <c r="H45112" s="18"/>
      <c r="K45112" s="18" t="s">
        <v>316</v>
      </c>
    </row>
    <row r="45113">
      <c r="A45113" s="17"/>
      <c r="H45113" s="18"/>
      <c r="K45113" s="18" t="s">
        <v>316</v>
      </c>
    </row>
    <row r="45114">
      <c r="A45114" s="17"/>
      <c r="H45114" s="18"/>
      <c r="K45114" s="18" t="s">
        <v>316</v>
      </c>
    </row>
    <row r="45115">
      <c r="A45115" s="17"/>
      <c r="H45115" s="18"/>
      <c r="K45115" s="18" t="s">
        <v>316</v>
      </c>
    </row>
    <row r="45116">
      <c r="A45116" s="17"/>
      <c r="H45116" s="18"/>
      <c r="K45116" s="18" t="s">
        <v>316</v>
      </c>
    </row>
    <row r="45117">
      <c r="A45117" s="17"/>
      <c r="H45117" s="18"/>
      <c r="K45117" s="18" t="s">
        <v>316</v>
      </c>
    </row>
    <row r="45118">
      <c r="A45118" s="17"/>
      <c r="H45118" s="18"/>
      <c r="K45118" s="18" t="s">
        <v>316</v>
      </c>
    </row>
    <row r="45119">
      <c r="A45119" s="17"/>
      <c r="H45119" s="18"/>
      <c r="K45119" s="18" t="s">
        <v>316</v>
      </c>
    </row>
    <row r="45120">
      <c r="A45120" s="17"/>
      <c r="H45120" s="18"/>
      <c r="K45120" s="18" t="s">
        <v>316</v>
      </c>
    </row>
    <row r="45121">
      <c r="A45121" s="17"/>
      <c r="H45121" s="18"/>
      <c r="K45121" s="18" t="s">
        <v>316</v>
      </c>
    </row>
    <row r="45122">
      <c r="A45122" s="17"/>
      <c r="H45122" s="18"/>
      <c r="K45122" s="18" t="s">
        <v>316</v>
      </c>
    </row>
    <row r="45123">
      <c r="A45123" s="17"/>
      <c r="H45123" s="18"/>
      <c r="K45123" s="18" t="s">
        <v>316</v>
      </c>
    </row>
    <row r="45124">
      <c r="A45124" s="17"/>
      <c r="H45124" s="18"/>
      <c r="K45124" s="18" t="s">
        <v>316</v>
      </c>
    </row>
    <row r="45125">
      <c r="A45125" s="17"/>
      <c r="H45125" s="18"/>
      <c r="K45125" s="18" t="s">
        <v>316</v>
      </c>
    </row>
    <row r="45126">
      <c r="A45126" s="17"/>
      <c r="H45126" s="18"/>
      <c r="K45126" s="18" t="s">
        <v>316</v>
      </c>
    </row>
    <row r="45127">
      <c r="A45127" s="17"/>
      <c r="H45127" s="18"/>
      <c r="K45127" s="18" t="s">
        <v>316</v>
      </c>
    </row>
    <row r="45128">
      <c r="A45128" s="17"/>
      <c r="H45128" s="18"/>
      <c r="K45128" s="18" t="s">
        <v>316</v>
      </c>
    </row>
    <row r="45129">
      <c r="A45129" s="17"/>
      <c r="H45129" s="18"/>
      <c r="K45129" s="18" t="s">
        <v>316</v>
      </c>
    </row>
    <row r="45130">
      <c r="A45130" s="17"/>
      <c r="H45130" s="18"/>
      <c r="K45130" s="18" t="s">
        <v>316</v>
      </c>
    </row>
    <row r="45131">
      <c r="A45131" s="17"/>
      <c r="H45131" s="18"/>
      <c r="K45131" s="18" t="s">
        <v>316</v>
      </c>
    </row>
    <row r="45132">
      <c r="A45132" s="17"/>
      <c r="H45132" s="18"/>
      <c r="K45132" s="18" t="s">
        <v>316</v>
      </c>
    </row>
    <row r="45133">
      <c r="A45133" s="17"/>
      <c r="H45133" s="18"/>
      <c r="K45133" s="18" t="s">
        <v>316</v>
      </c>
    </row>
    <row r="45134">
      <c r="A45134" s="17"/>
      <c r="H45134" s="18"/>
      <c r="K45134" s="18" t="s">
        <v>316</v>
      </c>
    </row>
    <row r="45135">
      <c r="A45135" s="17"/>
      <c r="H45135" s="18"/>
      <c r="K45135" s="18" t="s">
        <v>316</v>
      </c>
    </row>
    <row r="45136">
      <c r="A45136" s="17"/>
      <c r="H45136" s="18"/>
      <c r="K45136" s="18" t="s">
        <v>316</v>
      </c>
    </row>
    <row r="45137">
      <c r="A45137" s="17"/>
      <c r="H45137" s="18"/>
      <c r="K45137" s="18" t="s">
        <v>316</v>
      </c>
    </row>
    <row r="45138">
      <c r="A45138" s="17"/>
      <c r="H45138" s="18"/>
      <c r="K45138" s="18" t="s">
        <v>316</v>
      </c>
    </row>
    <row r="45139">
      <c r="A45139" s="17"/>
      <c r="H45139" s="18"/>
      <c r="K45139" s="18" t="s">
        <v>316</v>
      </c>
    </row>
    <row r="45140">
      <c r="A45140" s="17"/>
      <c r="H45140" s="18"/>
      <c r="K45140" s="18" t="s">
        <v>316</v>
      </c>
    </row>
    <row r="45141">
      <c r="A45141" s="17"/>
      <c r="H45141" s="18"/>
      <c r="K45141" s="18" t="s">
        <v>316</v>
      </c>
    </row>
    <row r="45142">
      <c r="A45142" s="17"/>
      <c r="H45142" s="18"/>
      <c r="K45142" s="18" t="s">
        <v>316</v>
      </c>
    </row>
    <row r="45143">
      <c r="A45143" s="17"/>
      <c r="H45143" s="18"/>
      <c r="K45143" s="18" t="s">
        <v>316</v>
      </c>
    </row>
    <row r="45144">
      <c r="A45144" s="17"/>
      <c r="H45144" s="18"/>
      <c r="K45144" s="18" t="s">
        <v>316</v>
      </c>
    </row>
    <row r="45145">
      <c r="A45145" s="17"/>
      <c r="H45145" s="18"/>
      <c r="K45145" s="18" t="s">
        <v>316</v>
      </c>
    </row>
    <row r="45146">
      <c r="A45146" s="17"/>
      <c r="H45146" s="18"/>
      <c r="K45146" s="18" t="s">
        <v>316</v>
      </c>
    </row>
    <row r="45147">
      <c r="A45147" s="17"/>
      <c r="H45147" s="18"/>
      <c r="K45147" s="18" t="s">
        <v>316</v>
      </c>
    </row>
    <row r="45148">
      <c r="A45148" s="17"/>
      <c r="H45148" s="18"/>
      <c r="K45148" s="18" t="s">
        <v>316</v>
      </c>
    </row>
    <row r="45149">
      <c r="A45149" s="17"/>
      <c r="H45149" s="18"/>
      <c r="K45149" s="18" t="s">
        <v>316</v>
      </c>
    </row>
    <row r="45150">
      <c r="A45150" s="17"/>
      <c r="H45150" s="18"/>
      <c r="K45150" s="18" t="s">
        <v>316</v>
      </c>
    </row>
    <row r="45151">
      <c r="A45151" s="17"/>
      <c r="H45151" s="18"/>
      <c r="K45151" s="18" t="s">
        <v>316</v>
      </c>
    </row>
    <row r="45152">
      <c r="A45152" s="17"/>
      <c r="H45152" s="18"/>
      <c r="K45152" s="18" t="s">
        <v>316</v>
      </c>
    </row>
    <row r="45153">
      <c r="A45153" s="17"/>
      <c r="H45153" s="18"/>
      <c r="K45153" s="18" t="s">
        <v>316</v>
      </c>
    </row>
    <row r="45154">
      <c r="A45154" s="17"/>
      <c r="H45154" s="18"/>
      <c r="K45154" s="18" t="s">
        <v>316</v>
      </c>
    </row>
    <row r="45155">
      <c r="A45155" s="17"/>
      <c r="H45155" s="18"/>
      <c r="K45155" s="18" t="s">
        <v>316</v>
      </c>
    </row>
    <row r="45156">
      <c r="A45156" s="17"/>
      <c r="H45156" s="18"/>
      <c r="K45156" s="18" t="s">
        <v>316</v>
      </c>
    </row>
    <row r="45157">
      <c r="A45157" s="17"/>
      <c r="H45157" s="18"/>
      <c r="K45157" s="18" t="s">
        <v>316</v>
      </c>
    </row>
    <row r="45158">
      <c r="A45158" s="17"/>
      <c r="H45158" s="18"/>
      <c r="K45158" s="18" t="s">
        <v>316</v>
      </c>
    </row>
    <row r="45159">
      <c r="A45159" s="17"/>
      <c r="H45159" s="18"/>
      <c r="K45159" s="18" t="s">
        <v>316</v>
      </c>
    </row>
    <row r="45160">
      <c r="A45160" s="17"/>
      <c r="H45160" s="18"/>
      <c r="K45160" s="18" t="s">
        <v>316</v>
      </c>
    </row>
    <row r="45161">
      <c r="A45161" s="17"/>
      <c r="H45161" s="18"/>
      <c r="K45161" s="18" t="s">
        <v>316</v>
      </c>
    </row>
    <row r="45162">
      <c r="A45162" s="17"/>
      <c r="H45162" s="18"/>
      <c r="K45162" s="18" t="s">
        <v>316</v>
      </c>
    </row>
    <row r="45163">
      <c r="A45163" s="17"/>
      <c r="H45163" s="18"/>
      <c r="K45163" s="18" t="s">
        <v>316</v>
      </c>
    </row>
    <row r="45164">
      <c r="A45164" s="17"/>
      <c r="H45164" s="18"/>
      <c r="K45164" s="18" t="s">
        <v>316</v>
      </c>
    </row>
    <row r="45165">
      <c r="A45165" s="17"/>
      <c r="H45165" s="18"/>
      <c r="K45165" s="18" t="s">
        <v>316</v>
      </c>
    </row>
    <row r="45166">
      <c r="A45166" s="17"/>
      <c r="H45166" s="18"/>
      <c r="K45166" s="18" t="s">
        <v>316</v>
      </c>
    </row>
    <row r="45167">
      <c r="A45167" s="17"/>
      <c r="H45167" s="18"/>
      <c r="K45167" s="18" t="s">
        <v>316</v>
      </c>
    </row>
    <row r="45168">
      <c r="A45168" s="17"/>
      <c r="H45168" s="18"/>
      <c r="K45168" s="18" t="s">
        <v>316</v>
      </c>
    </row>
    <row r="45169">
      <c r="A45169" s="17"/>
      <c r="H45169" s="18"/>
      <c r="K45169" s="18" t="s">
        <v>316</v>
      </c>
    </row>
    <row r="45170">
      <c r="A45170" s="17"/>
      <c r="H45170" s="18"/>
      <c r="K45170" s="18" t="s">
        <v>316</v>
      </c>
    </row>
    <row r="45171">
      <c r="A45171" s="17"/>
      <c r="H45171" s="18"/>
      <c r="K45171" s="18" t="s">
        <v>316</v>
      </c>
    </row>
    <row r="45172">
      <c r="A45172" s="17"/>
      <c r="H45172" s="18"/>
      <c r="K45172" s="18" t="s">
        <v>316</v>
      </c>
    </row>
    <row r="45173">
      <c r="A45173" s="17"/>
      <c r="H45173" s="18"/>
      <c r="K45173" s="18" t="s">
        <v>316</v>
      </c>
    </row>
    <row r="45174">
      <c r="A45174" s="17"/>
      <c r="H45174" s="18"/>
      <c r="K45174" s="18" t="s">
        <v>316</v>
      </c>
    </row>
    <row r="45175">
      <c r="A45175" s="17"/>
      <c r="H45175" s="18"/>
      <c r="K45175" s="18" t="s">
        <v>316</v>
      </c>
    </row>
    <row r="45176">
      <c r="A45176" s="17"/>
      <c r="H45176" s="18"/>
      <c r="K45176" s="18" t="s">
        <v>316</v>
      </c>
    </row>
    <row r="45177">
      <c r="A45177" s="17"/>
      <c r="H45177" s="18"/>
      <c r="K45177" s="18" t="s">
        <v>316</v>
      </c>
    </row>
    <row r="45178">
      <c r="A45178" s="17"/>
      <c r="H45178" s="18"/>
      <c r="K45178" s="18" t="s">
        <v>316</v>
      </c>
    </row>
    <row r="45179">
      <c r="A45179" s="17"/>
      <c r="H45179" s="18"/>
      <c r="K45179" s="18" t="s">
        <v>316</v>
      </c>
    </row>
    <row r="45180">
      <c r="A45180" s="17"/>
      <c r="H45180" s="18"/>
      <c r="K45180" s="18" t="s">
        <v>316</v>
      </c>
    </row>
    <row r="45181">
      <c r="A45181" s="17"/>
      <c r="H45181" s="18"/>
      <c r="K45181" s="18" t="s">
        <v>316</v>
      </c>
    </row>
    <row r="45182">
      <c r="A45182" s="17"/>
      <c r="H45182" s="18"/>
      <c r="K45182" s="18" t="s">
        <v>316</v>
      </c>
    </row>
    <row r="45183">
      <c r="A45183" s="17"/>
      <c r="H45183" s="18"/>
      <c r="K45183" s="18" t="s">
        <v>316</v>
      </c>
    </row>
    <row r="45184">
      <c r="A45184" s="17"/>
      <c r="H45184" s="18"/>
      <c r="K45184" s="18" t="s">
        <v>316</v>
      </c>
    </row>
    <row r="45185">
      <c r="A45185" s="17"/>
      <c r="H45185" s="18"/>
      <c r="K45185" s="18" t="s">
        <v>316</v>
      </c>
    </row>
    <row r="45186">
      <c r="A45186" s="17"/>
      <c r="H45186" s="18"/>
      <c r="K45186" s="18" t="s">
        <v>316</v>
      </c>
    </row>
    <row r="45187">
      <c r="A45187" s="17"/>
      <c r="H45187" s="18"/>
      <c r="K45187" s="18" t="s">
        <v>316</v>
      </c>
    </row>
    <row r="45188">
      <c r="A45188" s="17"/>
      <c r="H45188" s="18"/>
      <c r="K45188" s="18" t="s">
        <v>316</v>
      </c>
    </row>
    <row r="45189">
      <c r="A45189" s="17"/>
      <c r="H45189" s="18"/>
      <c r="K45189" s="18" t="s">
        <v>316</v>
      </c>
    </row>
    <row r="45190">
      <c r="A45190" s="17"/>
      <c r="H45190" s="18"/>
      <c r="K45190" s="18" t="s">
        <v>316</v>
      </c>
    </row>
    <row r="45191">
      <c r="A45191" s="17"/>
      <c r="H45191" s="18"/>
      <c r="K45191" s="18" t="s">
        <v>316</v>
      </c>
    </row>
    <row r="45192">
      <c r="A45192" s="17"/>
      <c r="H45192" s="18"/>
      <c r="K45192" s="18" t="s">
        <v>316</v>
      </c>
    </row>
    <row r="45193">
      <c r="A45193" s="17"/>
      <c r="H45193" s="18"/>
      <c r="K45193" s="18" t="s">
        <v>316</v>
      </c>
    </row>
    <row r="45194">
      <c r="A45194" s="17"/>
      <c r="H45194" s="18"/>
      <c r="K45194" s="18" t="s">
        <v>316</v>
      </c>
    </row>
    <row r="45195">
      <c r="A45195" s="17"/>
      <c r="H45195" s="18"/>
      <c r="K45195" s="18" t="s">
        <v>316</v>
      </c>
    </row>
    <row r="45196">
      <c r="A45196" s="17"/>
      <c r="H45196" s="18"/>
      <c r="K45196" s="18" t="s">
        <v>316</v>
      </c>
    </row>
    <row r="45197">
      <c r="A45197" s="17"/>
      <c r="H45197" s="18"/>
      <c r="K45197" s="18" t="s">
        <v>316</v>
      </c>
    </row>
    <row r="45198">
      <c r="A45198" s="17"/>
      <c r="H45198" s="18"/>
      <c r="K45198" s="18" t="s">
        <v>316</v>
      </c>
    </row>
    <row r="45199">
      <c r="A45199" s="17"/>
      <c r="H45199" s="18"/>
      <c r="K45199" s="18" t="s">
        <v>316</v>
      </c>
    </row>
    <row r="45200">
      <c r="A45200" s="17"/>
      <c r="H45200" s="18"/>
      <c r="K45200" s="18" t="s">
        <v>316</v>
      </c>
    </row>
    <row r="45201">
      <c r="A45201" s="17"/>
      <c r="H45201" s="18"/>
      <c r="K45201" s="18" t="s">
        <v>316</v>
      </c>
    </row>
    <row r="45202">
      <c r="A45202" s="17"/>
      <c r="H45202" s="18"/>
      <c r="K45202" s="18" t="s">
        <v>316</v>
      </c>
    </row>
    <row r="45203">
      <c r="A45203" s="17"/>
      <c r="H45203" s="18"/>
      <c r="K45203" s="18" t="s">
        <v>316</v>
      </c>
    </row>
    <row r="45204">
      <c r="A45204" s="17"/>
      <c r="H45204" s="18"/>
      <c r="K45204" s="18" t="s">
        <v>316</v>
      </c>
    </row>
    <row r="45205">
      <c r="A45205" s="17"/>
      <c r="H45205" s="18"/>
      <c r="K45205" s="18" t="s">
        <v>316</v>
      </c>
    </row>
    <row r="45206">
      <c r="A45206" s="17"/>
      <c r="H45206" s="18"/>
      <c r="K45206" s="18" t="s">
        <v>316</v>
      </c>
    </row>
    <row r="45207">
      <c r="A45207" s="17"/>
      <c r="H45207" s="18"/>
      <c r="K45207" s="18" t="s">
        <v>316</v>
      </c>
    </row>
    <row r="45208">
      <c r="A45208" s="17"/>
      <c r="H45208" s="18"/>
      <c r="K45208" s="18" t="s">
        <v>316</v>
      </c>
    </row>
    <row r="45209">
      <c r="A45209" s="17"/>
      <c r="H45209" s="18"/>
      <c r="K45209" s="18" t="s">
        <v>316</v>
      </c>
    </row>
    <row r="45210">
      <c r="A45210" s="17"/>
      <c r="H45210" s="18"/>
      <c r="K45210" s="18" t="s">
        <v>316</v>
      </c>
    </row>
    <row r="45211">
      <c r="A45211" s="17"/>
      <c r="H45211" s="18"/>
      <c r="K45211" s="18" t="s">
        <v>316</v>
      </c>
    </row>
    <row r="45212">
      <c r="A45212" s="17"/>
      <c r="H45212" s="18"/>
      <c r="K45212" s="18" t="s">
        <v>316</v>
      </c>
    </row>
    <row r="45213">
      <c r="A45213" s="17"/>
      <c r="H45213" s="18"/>
      <c r="K45213" s="18" t="s">
        <v>316</v>
      </c>
    </row>
    <row r="45214">
      <c r="A45214" s="17"/>
      <c r="H45214" s="18"/>
      <c r="K45214" s="18" t="s">
        <v>316</v>
      </c>
    </row>
    <row r="45215">
      <c r="A45215" s="17"/>
      <c r="H45215" s="18"/>
      <c r="K45215" s="18" t="s">
        <v>316</v>
      </c>
    </row>
    <row r="45216">
      <c r="A45216" s="17"/>
      <c r="H45216" s="18"/>
      <c r="K45216" s="18" t="s">
        <v>316</v>
      </c>
    </row>
    <row r="45217">
      <c r="A45217" s="17"/>
      <c r="H45217" s="18"/>
      <c r="K45217" s="18" t="s">
        <v>316</v>
      </c>
    </row>
    <row r="45218">
      <c r="A45218" s="17"/>
      <c r="H45218" s="18"/>
      <c r="K45218" s="18" t="s">
        <v>316</v>
      </c>
    </row>
    <row r="45219">
      <c r="A45219" s="17"/>
      <c r="H45219" s="18"/>
      <c r="K45219" s="18" t="s">
        <v>316</v>
      </c>
    </row>
    <row r="45220">
      <c r="A45220" s="17"/>
      <c r="H45220" s="18"/>
      <c r="K45220" s="18" t="s">
        <v>316</v>
      </c>
    </row>
    <row r="45221">
      <c r="A45221" s="17"/>
      <c r="H45221" s="18"/>
      <c r="K45221" s="18" t="s">
        <v>316</v>
      </c>
    </row>
    <row r="45222">
      <c r="A45222" s="17"/>
      <c r="H45222" s="18"/>
      <c r="K45222" s="18" t="s">
        <v>316</v>
      </c>
    </row>
    <row r="45223">
      <c r="A45223" s="17"/>
      <c r="H45223" s="18"/>
      <c r="K45223" s="18" t="s">
        <v>316</v>
      </c>
    </row>
    <row r="45224">
      <c r="A45224" s="17"/>
      <c r="H45224" s="18"/>
      <c r="K45224" s="18" t="s">
        <v>316</v>
      </c>
    </row>
    <row r="45225">
      <c r="A45225" s="17"/>
      <c r="H45225" s="18"/>
      <c r="K45225" s="18" t="s">
        <v>316</v>
      </c>
    </row>
    <row r="45226">
      <c r="A45226" s="17"/>
      <c r="H45226" s="18"/>
      <c r="K45226" s="18" t="s">
        <v>316</v>
      </c>
    </row>
    <row r="45227">
      <c r="A45227" s="17"/>
      <c r="H45227" s="18"/>
      <c r="K45227" s="18" t="s">
        <v>316</v>
      </c>
    </row>
    <row r="45228">
      <c r="A45228" s="17"/>
      <c r="H45228" s="18"/>
      <c r="K45228" s="18" t="s">
        <v>316</v>
      </c>
    </row>
    <row r="45229">
      <c r="A45229" s="17"/>
      <c r="H45229" s="18"/>
      <c r="K45229" s="18" t="s">
        <v>316</v>
      </c>
    </row>
    <row r="45230">
      <c r="A45230" s="17"/>
      <c r="H45230" s="18"/>
      <c r="K45230" s="18" t="s">
        <v>316</v>
      </c>
    </row>
    <row r="45231">
      <c r="A45231" s="17"/>
      <c r="H45231" s="18"/>
      <c r="K45231" s="18" t="s">
        <v>316</v>
      </c>
    </row>
    <row r="45232">
      <c r="A45232" s="17"/>
      <c r="H45232" s="18"/>
      <c r="K45232" s="18" t="s">
        <v>316</v>
      </c>
    </row>
    <row r="45233">
      <c r="A45233" s="17"/>
      <c r="H45233" s="18"/>
      <c r="K45233" s="18" t="s">
        <v>316</v>
      </c>
    </row>
    <row r="45234">
      <c r="A45234" s="17"/>
      <c r="H45234" s="18"/>
      <c r="K45234" s="18" t="s">
        <v>316</v>
      </c>
    </row>
    <row r="45235">
      <c r="A45235" s="17"/>
      <c r="H45235" s="18"/>
      <c r="K45235" s="18" t="s">
        <v>316</v>
      </c>
    </row>
    <row r="45236">
      <c r="A45236" s="17"/>
      <c r="H45236" s="18"/>
      <c r="K45236" s="18" t="s">
        <v>316</v>
      </c>
    </row>
    <row r="45237">
      <c r="A45237" s="17"/>
      <c r="H45237" s="18"/>
      <c r="K45237" s="18" t="s">
        <v>316</v>
      </c>
    </row>
    <row r="45238">
      <c r="A45238" s="17"/>
      <c r="H45238" s="18"/>
      <c r="K45238" s="18" t="s">
        <v>316</v>
      </c>
    </row>
    <row r="45239">
      <c r="A45239" s="17"/>
      <c r="H45239" s="18"/>
      <c r="K45239" s="18" t="s">
        <v>316</v>
      </c>
    </row>
    <row r="45240">
      <c r="A45240" s="17"/>
      <c r="H45240" s="18"/>
      <c r="K45240" s="18" t="s">
        <v>316</v>
      </c>
    </row>
    <row r="45241">
      <c r="A45241" s="17"/>
      <c r="H45241" s="18"/>
      <c r="K45241" s="18" t="s">
        <v>316</v>
      </c>
    </row>
    <row r="45242">
      <c r="A45242" s="17"/>
      <c r="H45242" s="18"/>
      <c r="K45242" s="18" t="s">
        <v>316</v>
      </c>
    </row>
    <row r="45243">
      <c r="A45243" s="17"/>
      <c r="H45243" s="18"/>
      <c r="K45243" s="18" t="s">
        <v>316</v>
      </c>
    </row>
    <row r="45244">
      <c r="A45244" s="17"/>
      <c r="H45244" s="18"/>
      <c r="K45244" s="18" t="s">
        <v>316</v>
      </c>
    </row>
    <row r="45245">
      <c r="A45245" s="17"/>
      <c r="H45245" s="18"/>
      <c r="K45245" s="18" t="s">
        <v>316</v>
      </c>
    </row>
    <row r="45246">
      <c r="A45246" s="17"/>
      <c r="H45246" s="18"/>
      <c r="K45246" s="18" t="s">
        <v>316</v>
      </c>
    </row>
    <row r="45247">
      <c r="A45247" s="17"/>
      <c r="H45247" s="18"/>
      <c r="K45247" s="18" t="s">
        <v>316</v>
      </c>
    </row>
    <row r="45248">
      <c r="A45248" s="17"/>
      <c r="H45248" s="18"/>
      <c r="K45248" s="18" t="s">
        <v>316</v>
      </c>
    </row>
    <row r="45249">
      <c r="A45249" s="17"/>
      <c r="H45249" s="18"/>
      <c r="K45249" s="18" t="s">
        <v>316</v>
      </c>
    </row>
    <row r="45250">
      <c r="A45250" s="17"/>
      <c r="H45250" s="18"/>
      <c r="K45250" s="18" t="s">
        <v>316</v>
      </c>
    </row>
    <row r="45251">
      <c r="A45251" s="17"/>
      <c r="H45251" s="18"/>
      <c r="K45251" s="18" t="s">
        <v>316</v>
      </c>
    </row>
    <row r="45252">
      <c r="A45252" s="17"/>
      <c r="H45252" s="18"/>
      <c r="K45252" s="18" t="s">
        <v>316</v>
      </c>
    </row>
    <row r="45253">
      <c r="A45253" s="17"/>
      <c r="H45253" s="18"/>
      <c r="K45253" s="18" t="s">
        <v>316</v>
      </c>
    </row>
    <row r="45254">
      <c r="A45254" s="17"/>
      <c r="H45254" s="18"/>
      <c r="K45254" s="18" t="s">
        <v>316</v>
      </c>
    </row>
    <row r="45255">
      <c r="A45255" s="17"/>
      <c r="H45255" s="18"/>
      <c r="K45255" s="18" t="s">
        <v>316</v>
      </c>
    </row>
    <row r="45256">
      <c r="A45256" s="17"/>
      <c r="H45256" s="18"/>
      <c r="K45256" s="18" t="s">
        <v>316</v>
      </c>
    </row>
    <row r="45257">
      <c r="A45257" s="17"/>
      <c r="H45257" s="18"/>
      <c r="K45257" s="18" t="s">
        <v>316</v>
      </c>
    </row>
    <row r="45258">
      <c r="A45258" s="17"/>
      <c r="H45258" s="18"/>
      <c r="K45258" s="18" t="s">
        <v>316</v>
      </c>
    </row>
    <row r="45259">
      <c r="A45259" s="17"/>
      <c r="H45259" s="18"/>
      <c r="K45259" s="18" t="s">
        <v>316</v>
      </c>
    </row>
    <row r="45260">
      <c r="A45260" s="17"/>
      <c r="H45260" s="18"/>
      <c r="K45260" s="18" t="s">
        <v>316</v>
      </c>
    </row>
    <row r="45261">
      <c r="A45261" s="17"/>
      <c r="H45261" s="18"/>
      <c r="K45261" s="18" t="s">
        <v>316</v>
      </c>
    </row>
    <row r="45262">
      <c r="A45262" s="17"/>
      <c r="H45262" s="18"/>
      <c r="K45262" s="18" t="s">
        <v>316</v>
      </c>
    </row>
    <row r="45263">
      <c r="A45263" s="17"/>
      <c r="H45263" s="18"/>
      <c r="K45263" s="18" t="s">
        <v>316</v>
      </c>
    </row>
    <row r="45264">
      <c r="A45264" s="17"/>
      <c r="H45264" s="18"/>
      <c r="K45264" s="18" t="s">
        <v>316</v>
      </c>
    </row>
    <row r="45265">
      <c r="A45265" s="17"/>
      <c r="H45265" s="18"/>
      <c r="K45265" s="18" t="s">
        <v>316</v>
      </c>
    </row>
    <row r="45266">
      <c r="A45266" s="17"/>
      <c r="H45266" s="18"/>
      <c r="K45266" s="18" t="s">
        <v>316</v>
      </c>
    </row>
    <row r="45267">
      <c r="A45267" s="17"/>
      <c r="H45267" s="18"/>
      <c r="K45267" s="18" t="s">
        <v>316</v>
      </c>
    </row>
    <row r="45268">
      <c r="A45268" s="17"/>
      <c r="H45268" s="18"/>
      <c r="K45268" s="18" t="s">
        <v>316</v>
      </c>
    </row>
    <row r="45269">
      <c r="A45269" s="17"/>
      <c r="H45269" s="18"/>
      <c r="K45269" s="18" t="s">
        <v>316</v>
      </c>
    </row>
    <row r="45270">
      <c r="A45270" s="17"/>
      <c r="H45270" s="18"/>
      <c r="K45270" s="18" t="s">
        <v>316</v>
      </c>
    </row>
    <row r="45271">
      <c r="A45271" s="17"/>
      <c r="H45271" s="18"/>
      <c r="K45271" s="18" t="s">
        <v>316</v>
      </c>
    </row>
    <row r="45272">
      <c r="A45272" s="17"/>
      <c r="H45272" s="18"/>
      <c r="K45272" s="18" t="s">
        <v>316</v>
      </c>
    </row>
    <row r="45273">
      <c r="A45273" s="17"/>
      <c r="H45273" s="18"/>
      <c r="K45273" s="18" t="s">
        <v>316</v>
      </c>
    </row>
    <row r="45274">
      <c r="A45274" s="17"/>
      <c r="H45274" s="18"/>
      <c r="K45274" s="18" t="s">
        <v>316</v>
      </c>
    </row>
    <row r="45275">
      <c r="A45275" s="17"/>
      <c r="H45275" s="18"/>
      <c r="K45275" s="18" t="s">
        <v>316</v>
      </c>
    </row>
    <row r="45276">
      <c r="A45276" s="17"/>
      <c r="H45276" s="18"/>
      <c r="K45276" s="18" t="s">
        <v>316</v>
      </c>
    </row>
    <row r="45277">
      <c r="A45277" s="17"/>
      <c r="H45277" s="18"/>
      <c r="K45277" s="18" t="s">
        <v>316</v>
      </c>
    </row>
    <row r="45278">
      <c r="A45278" s="17"/>
      <c r="H45278" s="18"/>
      <c r="K45278" s="18" t="s">
        <v>316</v>
      </c>
    </row>
    <row r="45279">
      <c r="A45279" s="17"/>
      <c r="H45279" s="18"/>
      <c r="K45279" s="18" t="s">
        <v>316</v>
      </c>
    </row>
    <row r="45280">
      <c r="A45280" s="17"/>
      <c r="H45280" s="18"/>
      <c r="K45280" s="18" t="s">
        <v>316</v>
      </c>
    </row>
    <row r="45281">
      <c r="A45281" s="17"/>
      <c r="H45281" s="18"/>
      <c r="K45281" s="18" t="s">
        <v>316</v>
      </c>
    </row>
    <row r="45282">
      <c r="A45282" s="17"/>
      <c r="H45282" s="18"/>
      <c r="K45282" s="18" t="s">
        <v>316</v>
      </c>
    </row>
    <row r="45283">
      <c r="A45283" s="17"/>
      <c r="H45283" s="18"/>
      <c r="K45283" s="18" t="s">
        <v>316</v>
      </c>
    </row>
    <row r="45284">
      <c r="A45284" s="17"/>
      <c r="H45284" s="18"/>
      <c r="K45284" s="18" t="s">
        <v>316</v>
      </c>
    </row>
    <row r="45285">
      <c r="A45285" s="17"/>
      <c r="H45285" s="18"/>
      <c r="K45285" s="18" t="s">
        <v>316</v>
      </c>
    </row>
    <row r="45286">
      <c r="A45286" s="17"/>
      <c r="H45286" s="18"/>
      <c r="K45286" s="18" t="s">
        <v>316</v>
      </c>
    </row>
    <row r="45287">
      <c r="A45287" s="17"/>
      <c r="H45287" s="18"/>
      <c r="K45287" s="18" t="s">
        <v>316</v>
      </c>
    </row>
    <row r="45288">
      <c r="A45288" s="17"/>
      <c r="H45288" s="18"/>
      <c r="K45288" s="18" t="s">
        <v>316</v>
      </c>
    </row>
    <row r="45289">
      <c r="A45289" s="17"/>
      <c r="H45289" s="18"/>
      <c r="K45289" s="18" t="s">
        <v>316</v>
      </c>
    </row>
    <row r="45290">
      <c r="A45290" s="17"/>
      <c r="H45290" s="18"/>
      <c r="K45290" s="18" t="s">
        <v>316</v>
      </c>
    </row>
    <row r="45291">
      <c r="A45291" s="17"/>
      <c r="H45291" s="18"/>
      <c r="K45291" s="18" t="s">
        <v>316</v>
      </c>
    </row>
    <row r="45292">
      <c r="A45292" s="17"/>
      <c r="H45292" s="18"/>
      <c r="K45292" s="18" t="s">
        <v>316</v>
      </c>
    </row>
    <row r="45293">
      <c r="A45293" s="17"/>
      <c r="H45293" s="18"/>
      <c r="K45293" s="18" t="s">
        <v>316</v>
      </c>
    </row>
    <row r="45294">
      <c r="A45294" s="17"/>
      <c r="H45294" s="18"/>
      <c r="K45294" s="18" t="s">
        <v>316</v>
      </c>
    </row>
    <row r="45295">
      <c r="A45295" s="17"/>
      <c r="H45295" s="18"/>
      <c r="K45295" s="18" t="s">
        <v>316</v>
      </c>
    </row>
    <row r="45296">
      <c r="A45296" s="17"/>
      <c r="H45296" s="18"/>
      <c r="K45296" s="18" t="s">
        <v>316</v>
      </c>
    </row>
    <row r="45297">
      <c r="A45297" s="17"/>
      <c r="H45297" s="18"/>
      <c r="K45297" s="18" t="s">
        <v>316</v>
      </c>
    </row>
    <row r="45298">
      <c r="A45298" s="17"/>
      <c r="H45298" s="18"/>
      <c r="K45298" s="18" t="s">
        <v>316</v>
      </c>
    </row>
    <row r="45299">
      <c r="A45299" s="17"/>
      <c r="H45299" s="18"/>
      <c r="K45299" s="18" t="s">
        <v>316</v>
      </c>
    </row>
    <row r="45300">
      <c r="A45300" s="17"/>
      <c r="H45300" s="18"/>
      <c r="K45300" s="18" t="s">
        <v>316</v>
      </c>
    </row>
    <row r="45301">
      <c r="A45301" s="17"/>
      <c r="H45301" s="18"/>
      <c r="K45301" s="18" t="s">
        <v>316</v>
      </c>
    </row>
    <row r="45302">
      <c r="A45302" s="17"/>
      <c r="H45302" s="18"/>
      <c r="K45302" s="18" t="s">
        <v>316</v>
      </c>
    </row>
    <row r="45303">
      <c r="A45303" s="17"/>
      <c r="H45303" s="18"/>
      <c r="K45303" s="18" t="s">
        <v>316</v>
      </c>
    </row>
    <row r="45304">
      <c r="A45304" s="17"/>
      <c r="H45304" s="18"/>
      <c r="K45304" s="18" t="s">
        <v>316</v>
      </c>
    </row>
    <row r="45305">
      <c r="A45305" s="17"/>
      <c r="H45305" s="18"/>
      <c r="K45305" s="18" t="s">
        <v>316</v>
      </c>
    </row>
    <row r="45306">
      <c r="A45306" s="17"/>
      <c r="H45306" s="18"/>
      <c r="K45306" s="18" t="s">
        <v>316</v>
      </c>
    </row>
    <row r="45307">
      <c r="A45307" s="17"/>
      <c r="H45307" s="18"/>
      <c r="K45307" s="18" t="s">
        <v>316</v>
      </c>
    </row>
    <row r="45308">
      <c r="A45308" s="17"/>
      <c r="H45308" s="18"/>
      <c r="K45308" s="18" t="s">
        <v>316</v>
      </c>
    </row>
    <row r="45309">
      <c r="A45309" s="17"/>
      <c r="H45309" s="18"/>
      <c r="K45309" s="18" t="s">
        <v>316</v>
      </c>
    </row>
    <row r="45310">
      <c r="A45310" s="17"/>
      <c r="H45310" s="18"/>
      <c r="K45310" s="18" t="s">
        <v>316</v>
      </c>
    </row>
    <row r="45311">
      <c r="A45311" s="17"/>
      <c r="H45311" s="18"/>
      <c r="K45311" s="18" t="s">
        <v>316</v>
      </c>
    </row>
    <row r="45312">
      <c r="A45312" s="17"/>
      <c r="H45312" s="18"/>
      <c r="K45312" s="18" t="s">
        <v>316</v>
      </c>
    </row>
    <row r="45313">
      <c r="A45313" s="17"/>
      <c r="H45313" s="18"/>
      <c r="K45313" s="18" t="s">
        <v>316</v>
      </c>
    </row>
    <row r="45314">
      <c r="A45314" s="17"/>
      <c r="H45314" s="18"/>
      <c r="K45314" s="18" t="s">
        <v>316</v>
      </c>
    </row>
    <row r="45315">
      <c r="A45315" s="17"/>
      <c r="H45315" s="18"/>
      <c r="K45315" s="18" t="s">
        <v>316</v>
      </c>
    </row>
    <row r="45316">
      <c r="A45316" s="17"/>
      <c r="H45316" s="18"/>
      <c r="K45316" s="18" t="s">
        <v>316</v>
      </c>
    </row>
    <row r="45317">
      <c r="A45317" s="17"/>
      <c r="H45317" s="18"/>
      <c r="K45317" s="18" t="s">
        <v>316</v>
      </c>
    </row>
    <row r="45318">
      <c r="A45318" s="17"/>
      <c r="H45318" s="18"/>
      <c r="K45318" s="18" t="s">
        <v>316</v>
      </c>
    </row>
    <row r="45319">
      <c r="A45319" s="17"/>
      <c r="H45319" s="18"/>
      <c r="K45319" s="18" t="s">
        <v>316</v>
      </c>
    </row>
    <row r="45320">
      <c r="A45320" s="17"/>
      <c r="H45320" s="18"/>
      <c r="K45320" s="18" t="s">
        <v>316</v>
      </c>
    </row>
    <row r="45321">
      <c r="A45321" s="17"/>
      <c r="H45321" s="18"/>
      <c r="K45321" s="18" t="s">
        <v>316</v>
      </c>
    </row>
    <row r="45322">
      <c r="A45322" s="17"/>
      <c r="H45322" s="18"/>
      <c r="K45322" s="18" t="s">
        <v>316</v>
      </c>
    </row>
    <row r="45323">
      <c r="A45323" s="17"/>
      <c r="H45323" s="18"/>
      <c r="K45323" s="18" t="s">
        <v>316</v>
      </c>
    </row>
    <row r="45324">
      <c r="A45324" s="17"/>
      <c r="H45324" s="18"/>
      <c r="K45324" s="18" t="s">
        <v>316</v>
      </c>
    </row>
    <row r="45325">
      <c r="A45325" s="17"/>
      <c r="H45325" s="18"/>
      <c r="K45325" s="18" t="s">
        <v>316</v>
      </c>
    </row>
    <row r="45326">
      <c r="A45326" s="17"/>
      <c r="H45326" s="18"/>
      <c r="K45326" s="18" t="s">
        <v>316</v>
      </c>
    </row>
    <row r="45327">
      <c r="A45327" s="17"/>
      <c r="H45327" s="18"/>
      <c r="K45327" s="18" t="s">
        <v>316</v>
      </c>
    </row>
    <row r="45328">
      <c r="A45328" s="17"/>
      <c r="H45328" s="18"/>
      <c r="K45328" s="18" t="s">
        <v>316</v>
      </c>
    </row>
    <row r="45329">
      <c r="A45329" s="17"/>
      <c r="H45329" s="18"/>
      <c r="K45329" s="18" t="s">
        <v>316</v>
      </c>
    </row>
    <row r="45330">
      <c r="A45330" s="17"/>
      <c r="H45330" s="18"/>
      <c r="K45330" s="18" t="s">
        <v>316</v>
      </c>
    </row>
    <row r="45331">
      <c r="A45331" s="17"/>
      <c r="H45331" s="18"/>
      <c r="K45331" s="18" t="s">
        <v>316</v>
      </c>
    </row>
    <row r="45332">
      <c r="A45332" s="17"/>
      <c r="H45332" s="18"/>
      <c r="K45332" s="18" t="s">
        <v>316</v>
      </c>
    </row>
    <row r="45333">
      <c r="A45333" s="17"/>
      <c r="H45333" s="18"/>
      <c r="K45333" s="18" t="s">
        <v>316</v>
      </c>
    </row>
    <row r="45334">
      <c r="A45334" s="17"/>
      <c r="H45334" s="18"/>
      <c r="K45334" s="18" t="s">
        <v>316</v>
      </c>
    </row>
    <row r="45335">
      <c r="A45335" s="17"/>
      <c r="H45335" s="18"/>
      <c r="K45335" s="18" t="s">
        <v>316</v>
      </c>
    </row>
    <row r="45336">
      <c r="A45336" s="17"/>
      <c r="H45336" s="18"/>
      <c r="K45336" s="18" t="s">
        <v>316</v>
      </c>
    </row>
    <row r="45337">
      <c r="A45337" s="17"/>
      <c r="H45337" s="18"/>
      <c r="K45337" s="18" t="s">
        <v>316</v>
      </c>
    </row>
    <row r="45338">
      <c r="A45338" s="17"/>
      <c r="H45338" s="18"/>
      <c r="K45338" s="18" t="s">
        <v>316</v>
      </c>
    </row>
    <row r="45339">
      <c r="A45339" s="17"/>
      <c r="H45339" s="18"/>
      <c r="K45339" s="18" t="s">
        <v>316</v>
      </c>
    </row>
    <row r="45340">
      <c r="A45340" s="17"/>
      <c r="H45340" s="18"/>
      <c r="K45340" s="18" t="s">
        <v>316</v>
      </c>
    </row>
    <row r="45341">
      <c r="A45341" s="17"/>
      <c r="H45341" s="18"/>
      <c r="K45341" s="18" t="s">
        <v>316</v>
      </c>
    </row>
    <row r="45342">
      <c r="A45342" s="17"/>
      <c r="H45342" s="18"/>
      <c r="K45342" s="18" t="s">
        <v>316</v>
      </c>
    </row>
    <row r="45343">
      <c r="A45343" s="17"/>
      <c r="H45343" s="18"/>
      <c r="K45343" s="18" t="s">
        <v>316</v>
      </c>
    </row>
    <row r="45344">
      <c r="A45344" s="17"/>
      <c r="H45344" s="18"/>
      <c r="K45344" s="18" t="s">
        <v>316</v>
      </c>
    </row>
    <row r="45345">
      <c r="A45345" s="17"/>
      <c r="H45345" s="18"/>
      <c r="K45345" s="18" t="s">
        <v>316</v>
      </c>
    </row>
    <row r="45346">
      <c r="A45346" s="17"/>
      <c r="H45346" s="18"/>
      <c r="K45346" s="18" t="s">
        <v>316</v>
      </c>
    </row>
    <row r="45347">
      <c r="A45347" s="17"/>
      <c r="H45347" s="18"/>
      <c r="K45347" s="18" t="s">
        <v>316</v>
      </c>
    </row>
    <row r="45348">
      <c r="A45348" s="17"/>
      <c r="H45348" s="18"/>
      <c r="K45348" s="18" t="s">
        <v>316</v>
      </c>
    </row>
    <row r="45349">
      <c r="A45349" s="17"/>
      <c r="H45349" s="18"/>
      <c r="K45349" s="18" t="s">
        <v>316</v>
      </c>
    </row>
    <row r="45350">
      <c r="A45350" s="17"/>
      <c r="H45350" s="18"/>
      <c r="K45350" s="18" t="s">
        <v>316</v>
      </c>
    </row>
    <row r="45351">
      <c r="A45351" s="17"/>
      <c r="H45351" s="18"/>
      <c r="K45351" s="18" t="s">
        <v>316</v>
      </c>
    </row>
    <row r="45352">
      <c r="A45352" s="17"/>
      <c r="H45352" s="18"/>
      <c r="K45352" s="18" t="s">
        <v>316</v>
      </c>
    </row>
    <row r="45353">
      <c r="A45353" s="17"/>
      <c r="H45353" s="18"/>
      <c r="K45353" s="18" t="s">
        <v>316</v>
      </c>
    </row>
    <row r="45354">
      <c r="A45354" s="17"/>
      <c r="H45354" s="18"/>
      <c r="K45354" s="18" t="s">
        <v>316</v>
      </c>
    </row>
    <row r="45355">
      <c r="A45355" s="17"/>
      <c r="H45355" s="18"/>
      <c r="K45355" s="18" t="s">
        <v>316</v>
      </c>
    </row>
    <row r="45356">
      <c r="A45356" s="17"/>
      <c r="H45356" s="18"/>
      <c r="K45356" s="18" t="s">
        <v>316</v>
      </c>
    </row>
    <row r="45357">
      <c r="A45357" s="17"/>
      <c r="H45357" s="18"/>
      <c r="K45357" s="18" t="s">
        <v>316</v>
      </c>
    </row>
    <row r="45358">
      <c r="A45358" s="17"/>
      <c r="H45358" s="18"/>
      <c r="K45358" s="18" t="s">
        <v>316</v>
      </c>
    </row>
    <row r="45359">
      <c r="A45359" s="17"/>
      <c r="H45359" s="18"/>
      <c r="K45359" s="18" t="s">
        <v>316</v>
      </c>
    </row>
    <row r="45360">
      <c r="A45360" s="17"/>
      <c r="H45360" s="18"/>
      <c r="K45360" s="18" t="s">
        <v>316</v>
      </c>
    </row>
    <row r="45361">
      <c r="A45361" s="17"/>
      <c r="H45361" s="18"/>
      <c r="K45361" s="18" t="s">
        <v>316</v>
      </c>
    </row>
    <row r="45362">
      <c r="A45362" s="17"/>
      <c r="H45362" s="18"/>
      <c r="K45362" s="18" t="s">
        <v>316</v>
      </c>
    </row>
    <row r="45363">
      <c r="A45363" s="17"/>
      <c r="H45363" s="18"/>
      <c r="K45363" s="18" t="s">
        <v>316</v>
      </c>
    </row>
    <row r="45364">
      <c r="A45364" s="17"/>
      <c r="H45364" s="18"/>
      <c r="K45364" s="18" t="s">
        <v>316</v>
      </c>
    </row>
    <row r="45365">
      <c r="A45365" s="17"/>
      <c r="H45365" s="18"/>
      <c r="K45365" s="18" t="s">
        <v>316</v>
      </c>
    </row>
    <row r="45366">
      <c r="A45366" s="17"/>
      <c r="H45366" s="18"/>
      <c r="K45366" s="18" t="s">
        <v>316</v>
      </c>
    </row>
    <row r="45367">
      <c r="A45367" s="17"/>
      <c r="H45367" s="18"/>
      <c r="K45367" s="18" t="s">
        <v>316</v>
      </c>
    </row>
    <row r="45368">
      <c r="A45368" s="17"/>
      <c r="H45368" s="18"/>
      <c r="K45368" s="18" t="s">
        <v>316</v>
      </c>
    </row>
    <row r="45369">
      <c r="A45369" s="17"/>
      <c r="H45369" s="18"/>
      <c r="K45369" s="18" t="s">
        <v>316</v>
      </c>
    </row>
    <row r="45370">
      <c r="A45370" s="17"/>
      <c r="H45370" s="18"/>
      <c r="K45370" s="18" t="s">
        <v>316</v>
      </c>
    </row>
    <row r="45371">
      <c r="A45371" s="17"/>
      <c r="H45371" s="18"/>
      <c r="K45371" s="18" t="s">
        <v>316</v>
      </c>
    </row>
    <row r="45372">
      <c r="A45372" s="17"/>
      <c r="H45372" s="18"/>
      <c r="K45372" s="18" t="s">
        <v>316</v>
      </c>
    </row>
    <row r="45373">
      <c r="A45373" s="17"/>
      <c r="H45373" s="18"/>
      <c r="K45373" s="18" t="s">
        <v>316</v>
      </c>
    </row>
    <row r="45374">
      <c r="A45374" s="17"/>
      <c r="H45374" s="18"/>
      <c r="K45374" s="18" t="s">
        <v>316</v>
      </c>
    </row>
    <row r="45375">
      <c r="A45375" s="17"/>
      <c r="H45375" s="18"/>
      <c r="K45375" s="18" t="s">
        <v>316</v>
      </c>
    </row>
    <row r="45376">
      <c r="A45376" s="17"/>
      <c r="H45376" s="18"/>
      <c r="K45376" s="18" t="s">
        <v>316</v>
      </c>
    </row>
    <row r="45377">
      <c r="A45377" s="17"/>
      <c r="H45377" s="18"/>
      <c r="K45377" s="18" t="s">
        <v>316</v>
      </c>
    </row>
    <row r="45378">
      <c r="A45378" s="17"/>
      <c r="H45378" s="18"/>
      <c r="K45378" s="18" t="s">
        <v>316</v>
      </c>
    </row>
    <row r="45379">
      <c r="A45379" s="17"/>
      <c r="H45379" s="18"/>
      <c r="K45379" s="18" t="s">
        <v>316</v>
      </c>
    </row>
    <row r="45380">
      <c r="A45380" s="17"/>
      <c r="H45380" s="18"/>
      <c r="K45380" s="18" t="s">
        <v>316</v>
      </c>
    </row>
    <row r="45381">
      <c r="A45381" s="17"/>
      <c r="H45381" s="18"/>
      <c r="K45381" s="18" t="s">
        <v>316</v>
      </c>
    </row>
    <row r="45382">
      <c r="A45382" s="17"/>
      <c r="H45382" s="18"/>
      <c r="K45382" s="18" t="s">
        <v>316</v>
      </c>
    </row>
    <row r="45383">
      <c r="A45383" s="17"/>
      <c r="H45383" s="18"/>
      <c r="K45383" s="18" t="s">
        <v>316</v>
      </c>
    </row>
    <row r="45384">
      <c r="A45384" s="17"/>
      <c r="H45384" s="18"/>
      <c r="K45384" s="18" t="s">
        <v>316</v>
      </c>
    </row>
    <row r="45385">
      <c r="A45385" s="17"/>
      <c r="H45385" s="18"/>
      <c r="K45385" s="18" t="s">
        <v>316</v>
      </c>
    </row>
    <row r="45386">
      <c r="A45386" s="17"/>
      <c r="H45386" s="18"/>
      <c r="K45386" s="18" t="s">
        <v>316</v>
      </c>
    </row>
    <row r="45387">
      <c r="A45387" s="17"/>
      <c r="H45387" s="18"/>
      <c r="K45387" s="18" t="s">
        <v>316</v>
      </c>
    </row>
    <row r="45388">
      <c r="A45388" s="17"/>
      <c r="H45388" s="18"/>
      <c r="K45388" s="18" t="s">
        <v>316</v>
      </c>
    </row>
    <row r="45389">
      <c r="A45389" s="17"/>
      <c r="H45389" s="18"/>
      <c r="K45389" s="18" t="s">
        <v>316</v>
      </c>
    </row>
    <row r="45390">
      <c r="A45390" s="17"/>
      <c r="H45390" s="18"/>
      <c r="K45390" s="18" t="s">
        <v>316</v>
      </c>
    </row>
    <row r="45391">
      <c r="A45391" s="17"/>
      <c r="H45391" s="18"/>
      <c r="K45391" s="18" t="s">
        <v>316</v>
      </c>
    </row>
    <row r="45392">
      <c r="A45392" s="17"/>
      <c r="H45392" s="18"/>
      <c r="K45392" s="18" t="s">
        <v>316</v>
      </c>
    </row>
    <row r="45393">
      <c r="A45393" s="17"/>
      <c r="H45393" s="18"/>
      <c r="K45393" s="18" t="s">
        <v>316</v>
      </c>
    </row>
    <row r="45394">
      <c r="A45394" s="17"/>
      <c r="H45394" s="18"/>
      <c r="K45394" s="18" t="s">
        <v>316</v>
      </c>
    </row>
    <row r="45395">
      <c r="A45395" s="17"/>
      <c r="H45395" s="18"/>
      <c r="K45395" s="18" t="s">
        <v>316</v>
      </c>
    </row>
    <row r="45396">
      <c r="A45396" s="17"/>
      <c r="H45396" s="18"/>
      <c r="K45396" s="18" t="s">
        <v>316</v>
      </c>
    </row>
    <row r="45397">
      <c r="A45397" s="17"/>
      <c r="H45397" s="18"/>
      <c r="K45397" s="18" t="s">
        <v>316</v>
      </c>
    </row>
    <row r="45398">
      <c r="A45398" s="17"/>
      <c r="H45398" s="18"/>
      <c r="K45398" s="18" t="s">
        <v>316</v>
      </c>
    </row>
    <row r="45399">
      <c r="A45399" s="17"/>
      <c r="H45399" s="18"/>
      <c r="K45399" s="18" t="s">
        <v>316</v>
      </c>
    </row>
    <row r="45400">
      <c r="A45400" s="17"/>
      <c r="H45400" s="18"/>
      <c r="K45400" s="18" t="s">
        <v>316</v>
      </c>
    </row>
    <row r="45401">
      <c r="A45401" s="17"/>
      <c r="H45401" s="18"/>
      <c r="K45401" s="18" t="s">
        <v>316</v>
      </c>
    </row>
    <row r="45402">
      <c r="A45402" s="17"/>
      <c r="H45402" s="18"/>
      <c r="K45402" s="18" t="s">
        <v>316</v>
      </c>
    </row>
    <row r="45403">
      <c r="A45403" s="17"/>
      <c r="H45403" s="18"/>
      <c r="K45403" s="18" t="s">
        <v>316</v>
      </c>
    </row>
    <row r="45404">
      <c r="A45404" s="17"/>
      <c r="H45404" s="18"/>
      <c r="K45404" s="18" t="s">
        <v>316</v>
      </c>
    </row>
    <row r="45405">
      <c r="A45405" s="17"/>
      <c r="H45405" s="18"/>
      <c r="K45405" s="18" t="s">
        <v>316</v>
      </c>
    </row>
    <row r="45406">
      <c r="A45406" s="17"/>
      <c r="H45406" s="18"/>
      <c r="K45406" s="18" t="s">
        <v>316</v>
      </c>
    </row>
    <row r="45407">
      <c r="A45407" s="17"/>
      <c r="H45407" s="18"/>
      <c r="K45407" s="18" t="s">
        <v>316</v>
      </c>
    </row>
    <row r="45408">
      <c r="A45408" s="17"/>
      <c r="H45408" s="18"/>
      <c r="K45408" s="18" t="s">
        <v>316</v>
      </c>
    </row>
    <row r="45409">
      <c r="A45409" s="17"/>
      <c r="H45409" s="18"/>
      <c r="K45409" s="18" t="s">
        <v>316</v>
      </c>
    </row>
    <row r="45410">
      <c r="A45410" s="17"/>
      <c r="H45410" s="18"/>
      <c r="K45410" s="18" t="s">
        <v>316</v>
      </c>
    </row>
    <row r="45411">
      <c r="A45411" s="17"/>
      <c r="H45411" s="18"/>
      <c r="K45411" s="18" t="s">
        <v>316</v>
      </c>
    </row>
    <row r="45412">
      <c r="A45412" s="17"/>
      <c r="H45412" s="18"/>
      <c r="K45412" s="18" t="s">
        <v>316</v>
      </c>
    </row>
    <row r="45413">
      <c r="A45413" s="17"/>
      <c r="H45413" s="18"/>
      <c r="K45413" s="18" t="s">
        <v>316</v>
      </c>
    </row>
    <row r="45414">
      <c r="A45414" s="17"/>
      <c r="H45414" s="18"/>
      <c r="K45414" s="18" t="s">
        <v>316</v>
      </c>
    </row>
    <row r="45415">
      <c r="A45415" s="17"/>
      <c r="H45415" s="18"/>
      <c r="K45415" s="18" t="s">
        <v>316</v>
      </c>
    </row>
    <row r="45416">
      <c r="A45416" s="17"/>
      <c r="H45416" s="18"/>
      <c r="K45416" s="18" t="s">
        <v>316</v>
      </c>
    </row>
    <row r="45417">
      <c r="A45417" s="17"/>
      <c r="H45417" s="18"/>
      <c r="K45417" s="18" t="s">
        <v>316</v>
      </c>
    </row>
    <row r="45418">
      <c r="A45418" s="17"/>
      <c r="H45418" s="18"/>
      <c r="K45418" s="18" t="s">
        <v>316</v>
      </c>
    </row>
    <row r="45419">
      <c r="A45419" s="17"/>
      <c r="H45419" s="18"/>
      <c r="K45419" s="18" t="s">
        <v>316</v>
      </c>
    </row>
    <row r="45420">
      <c r="A45420" s="17"/>
      <c r="H45420" s="18"/>
      <c r="K45420" s="18" t="s">
        <v>316</v>
      </c>
    </row>
    <row r="45421">
      <c r="A45421" s="17"/>
      <c r="H45421" s="18"/>
      <c r="K45421" s="18" t="s">
        <v>316</v>
      </c>
    </row>
    <row r="45422">
      <c r="A45422" s="17"/>
      <c r="H45422" s="18"/>
      <c r="K45422" s="18" t="s">
        <v>316</v>
      </c>
    </row>
    <row r="45423">
      <c r="A45423" s="17"/>
      <c r="H45423" s="18"/>
      <c r="K45423" s="18" t="s">
        <v>316</v>
      </c>
    </row>
    <row r="45424">
      <c r="A45424" s="17"/>
      <c r="H45424" s="18"/>
      <c r="K45424" s="18" t="s">
        <v>316</v>
      </c>
    </row>
    <row r="45425">
      <c r="A45425" s="17"/>
      <c r="H45425" s="18"/>
      <c r="K45425" s="18" t="s">
        <v>316</v>
      </c>
    </row>
    <row r="45426">
      <c r="A45426" s="17"/>
      <c r="H45426" s="18"/>
      <c r="K45426" s="18" t="s">
        <v>316</v>
      </c>
    </row>
    <row r="45427">
      <c r="A45427" s="17"/>
      <c r="H45427" s="18"/>
      <c r="K45427" s="18" t="s">
        <v>316</v>
      </c>
    </row>
    <row r="45428">
      <c r="A45428" s="17"/>
      <c r="H45428" s="18"/>
      <c r="K45428" s="18" t="s">
        <v>316</v>
      </c>
    </row>
    <row r="45429">
      <c r="A45429" s="17"/>
      <c r="H45429" s="18"/>
      <c r="K45429" s="18" t="s">
        <v>316</v>
      </c>
    </row>
    <row r="45430">
      <c r="A45430" s="17"/>
      <c r="H45430" s="18"/>
      <c r="K45430" s="18" t="s">
        <v>316</v>
      </c>
    </row>
    <row r="45431">
      <c r="A45431" s="17"/>
      <c r="H45431" s="18"/>
      <c r="K45431" s="18" t="s">
        <v>316</v>
      </c>
    </row>
    <row r="45432">
      <c r="A45432" s="17"/>
      <c r="H45432" s="18"/>
      <c r="K45432" s="18" t="s">
        <v>316</v>
      </c>
    </row>
    <row r="45433">
      <c r="A45433" s="17"/>
      <c r="H45433" s="18"/>
      <c r="K45433" s="18" t="s">
        <v>316</v>
      </c>
    </row>
    <row r="45434">
      <c r="A45434" s="17"/>
      <c r="H45434" s="18"/>
      <c r="K45434" s="18" t="s">
        <v>316</v>
      </c>
    </row>
    <row r="45435">
      <c r="A45435" s="17"/>
      <c r="H45435" s="18"/>
      <c r="K45435" s="18" t="s">
        <v>316</v>
      </c>
    </row>
    <row r="45436">
      <c r="A45436" s="17"/>
      <c r="H45436" s="18"/>
      <c r="K45436" s="18" t="s">
        <v>316</v>
      </c>
    </row>
    <row r="45437">
      <c r="A45437" s="17"/>
      <c r="H45437" s="18"/>
      <c r="K45437" s="18" t="s">
        <v>316</v>
      </c>
    </row>
    <row r="45438">
      <c r="A45438" s="17"/>
      <c r="H45438" s="18"/>
      <c r="K45438" s="18" t="s">
        <v>316</v>
      </c>
    </row>
    <row r="45439">
      <c r="A45439" s="17"/>
      <c r="H45439" s="18"/>
      <c r="K45439" s="18" t="s">
        <v>316</v>
      </c>
    </row>
    <row r="45440">
      <c r="A45440" s="17"/>
      <c r="H45440" s="18"/>
      <c r="K45440" s="18" t="s">
        <v>316</v>
      </c>
    </row>
    <row r="45441">
      <c r="A45441" s="17"/>
      <c r="H45441" s="18"/>
      <c r="K45441" s="18" t="s">
        <v>316</v>
      </c>
    </row>
    <row r="45442">
      <c r="A45442" s="17"/>
      <c r="H45442" s="18"/>
      <c r="K45442" s="18" t="s">
        <v>316</v>
      </c>
    </row>
    <row r="45443">
      <c r="A45443" s="17"/>
      <c r="H45443" s="18"/>
      <c r="K45443" s="18" t="s">
        <v>316</v>
      </c>
    </row>
    <row r="45444">
      <c r="A45444" s="17"/>
      <c r="H45444" s="18"/>
      <c r="K45444" s="18" t="s">
        <v>316</v>
      </c>
    </row>
    <row r="45445">
      <c r="A45445" s="17"/>
      <c r="H45445" s="18"/>
      <c r="K45445" s="18" t="s">
        <v>316</v>
      </c>
    </row>
    <row r="45446">
      <c r="A45446" s="17"/>
      <c r="H45446" s="18"/>
      <c r="K45446" s="18" t="s">
        <v>316</v>
      </c>
    </row>
    <row r="45447">
      <c r="A45447" s="17"/>
      <c r="H45447" s="18"/>
      <c r="K45447" s="18" t="s">
        <v>316</v>
      </c>
    </row>
    <row r="45448">
      <c r="A45448" s="17"/>
      <c r="H45448" s="18"/>
      <c r="K45448" s="18" t="s">
        <v>316</v>
      </c>
    </row>
    <row r="45449">
      <c r="A45449" s="17"/>
      <c r="H45449" s="18"/>
      <c r="K45449" s="18" t="s">
        <v>316</v>
      </c>
    </row>
    <row r="45450">
      <c r="A45450" s="17"/>
      <c r="H45450" s="18"/>
      <c r="K45450" s="18" t="s">
        <v>316</v>
      </c>
    </row>
    <row r="45451">
      <c r="A45451" s="17"/>
      <c r="H45451" s="18"/>
      <c r="K45451" s="18" t="s">
        <v>316</v>
      </c>
    </row>
    <row r="45452">
      <c r="A45452" s="17"/>
      <c r="H45452" s="18"/>
      <c r="K45452" s="18" t="s">
        <v>316</v>
      </c>
    </row>
    <row r="45453">
      <c r="A45453" s="17"/>
      <c r="H45453" s="18"/>
      <c r="K45453" s="18" t="s">
        <v>316</v>
      </c>
    </row>
    <row r="45454">
      <c r="A45454" s="17"/>
      <c r="H45454" s="18"/>
      <c r="K45454" s="18" t="s">
        <v>316</v>
      </c>
    </row>
    <row r="45455">
      <c r="A45455" s="17"/>
      <c r="H45455" s="18"/>
      <c r="K45455" s="18" t="s">
        <v>316</v>
      </c>
    </row>
    <row r="45456">
      <c r="A45456" s="17"/>
      <c r="H45456" s="18"/>
      <c r="K45456" s="18" t="s">
        <v>316</v>
      </c>
    </row>
    <row r="45457">
      <c r="A45457" s="17"/>
      <c r="H45457" s="18"/>
      <c r="K45457" s="18" t="s">
        <v>316</v>
      </c>
    </row>
    <row r="45458">
      <c r="A45458" s="17"/>
      <c r="H45458" s="18"/>
      <c r="K45458" s="18" t="s">
        <v>316</v>
      </c>
    </row>
    <row r="45459">
      <c r="A45459" s="17"/>
      <c r="H45459" s="18"/>
      <c r="K45459" s="18" t="s">
        <v>316</v>
      </c>
    </row>
    <row r="45460">
      <c r="A45460" s="17"/>
      <c r="H45460" s="18"/>
      <c r="K45460" s="18" t="s">
        <v>316</v>
      </c>
    </row>
    <row r="45461">
      <c r="A45461" s="17"/>
      <c r="H45461" s="18"/>
      <c r="K45461" s="18" t="s">
        <v>316</v>
      </c>
    </row>
    <row r="45462">
      <c r="A45462" s="17"/>
      <c r="H45462" s="18"/>
      <c r="K45462" s="18" t="s">
        <v>316</v>
      </c>
    </row>
    <row r="45463">
      <c r="A45463" s="17"/>
      <c r="H45463" s="18"/>
      <c r="K45463" s="18" t="s">
        <v>316</v>
      </c>
    </row>
    <row r="45464">
      <c r="A45464" s="17"/>
      <c r="H45464" s="18"/>
      <c r="K45464" s="18" t="s">
        <v>316</v>
      </c>
    </row>
    <row r="45465">
      <c r="A45465" s="17"/>
      <c r="H45465" s="18"/>
      <c r="K45465" s="18" t="s">
        <v>316</v>
      </c>
    </row>
    <row r="45466">
      <c r="A45466" s="17"/>
      <c r="H45466" s="18"/>
      <c r="K45466" s="18" t="s">
        <v>316</v>
      </c>
    </row>
    <row r="45467">
      <c r="A45467" s="17"/>
      <c r="H45467" s="18"/>
      <c r="K45467" s="18" t="s">
        <v>316</v>
      </c>
    </row>
    <row r="45468">
      <c r="A45468" s="17"/>
      <c r="H45468" s="18"/>
      <c r="K45468" s="18" t="s">
        <v>316</v>
      </c>
    </row>
    <row r="45469">
      <c r="A45469" s="17"/>
      <c r="H45469" s="18"/>
      <c r="K45469" s="18" t="s">
        <v>316</v>
      </c>
    </row>
    <row r="45470">
      <c r="A45470" s="17"/>
      <c r="H45470" s="18"/>
      <c r="K45470" s="18" t="s">
        <v>316</v>
      </c>
    </row>
    <row r="45471">
      <c r="A45471" s="17"/>
      <c r="H45471" s="18"/>
      <c r="K45471" s="18" t="s">
        <v>316</v>
      </c>
    </row>
    <row r="45472">
      <c r="A45472" s="17"/>
      <c r="H45472" s="18"/>
      <c r="K45472" s="18" t="s">
        <v>316</v>
      </c>
    </row>
    <row r="45473">
      <c r="A45473" s="17"/>
      <c r="H45473" s="18"/>
      <c r="K45473" s="18" t="s">
        <v>316</v>
      </c>
    </row>
    <row r="45474">
      <c r="A45474" s="17"/>
      <c r="H45474" s="18"/>
      <c r="K45474" s="18" t="s">
        <v>316</v>
      </c>
    </row>
    <row r="45475">
      <c r="A45475" s="17"/>
      <c r="H45475" s="18"/>
      <c r="K45475" s="18" t="s">
        <v>316</v>
      </c>
    </row>
    <row r="45476">
      <c r="A45476" s="17"/>
      <c r="H45476" s="18"/>
      <c r="K45476" s="18" t="s">
        <v>316</v>
      </c>
    </row>
    <row r="45477">
      <c r="A45477" s="17"/>
      <c r="H45477" s="18"/>
      <c r="K45477" s="18" t="s">
        <v>316</v>
      </c>
    </row>
    <row r="45478">
      <c r="A45478" s="17"/>
      <c r="H45478" s="18"/>
      <c r="K45478" s="18" t="s">
        <v>316</v>
      </c>
    </row>
    <row r="45479">
      <c r="A45479" s="17"/>
      <c r="H45479" s="18"/>
      <c r="K45479" s="18" t="s">
        <v>316</v>
      </c>
    </row>
    <row r="45480">
      <c r="A45480" s="17"/>
      <c r="H45480" s="18"/>
      <c r="K45480" s="18" t="s">
        <v>316</v>
      </c>
    </row>
    <row r="45481">
      <c r="A45481" s="17"/>
      <c r="H45481" s="18"/>
      <c r="K45481" s="18" t="s">
        <v>316</v>
      </c>
    </row>
    <row r="45482">
      <c r="A45482" s="17"/>
      <c r="H45482" s="18"/>
      <c r="K45482" s="18" t="s">
        <v>316</v>
      </c>
    </row>
    <row r="45483">
      <c r="A45483" s="17"/>
      <c r="H45483" s="18"/>
      <c r="K45483" s="18" t="s">
        <v>316</v>
      </c>
    </row>
    <row r="45484">
      <c r="A45484" s="17"/>
      <c r="H45484" s="18"/>
      <c r="K45484" s="18" t="s">
        <v>316</v>
      </c>
    </row>
    <row r="45485">
      <c r="A45485" s="17"/>
      <c r="H45485" s="18"/>
      <c r="K45485" s="18" t="s">
        <v>316</v>
      </c>
    </row>
    <row r="45486">
      <c r="A45486" s="17"/>
      <c r="H45486" s="18"/>
      <c r="K45486" s="18" t="s">
        <v>316</v>
      </c>
    </row>
    <row r="45487">
      <c r="A45487" s="17"/>
      <c r="H45487" s="18"/>
      <c r="K45487" s="18" t="s">
        <v>316</v>
      </c>
    </row>
    <row r="45488">
      <c r="A45488" s="17"/>
      <c r="H45488" s="18"/>
      <c r="K45488" s="18" t="s">
        <v>316</v>
      </c>
    </row>
    <row r="45489">
      <c r="A45489" s="17"/>
      <c r="H45489" s="18"/>
      <c r="K45489" s="18" t="s">
        <v>316</v>
      </c>
    </row>
    <row r="45490">
      <c r="A45490" s="17"/>
      <c r="H45490" s="18"/>
      <c r="K45490" s="18" t="s">
        <v>316</v>
      </c>
    </row>
    <row r="45491">
      <c r="A45491" s="17"/>
      <c r="H45491" s="18"/>
      <c r="K45491" s="18" t="s">
        <v>316</v>
      </c>
    </row>
    <row r="45492">
      <c r="A45492" s="17"/>
      <c r="H45492" s="18"/>
      <c r="K45492" s="18" t="s">
        <v>316</v>
      </c>
    </row>
    <row r="45493">
      <c r="A45493" s="17"/>
      <c r="H45493" s="18"/>
      <c r="K45493" s="18" t="s">
        <v>316</v>
      </c>
    </row>
    <row r="45494">
      <c r="A45494" s="17"/>
      <c r="H45494" s="18"/>
      <c r="K45494" s="18" t="s">
        <v>316</v>
      </c>
    </row>
    <row r="45495">
      <c r="A45495" s="17"/>
      <c r="H45495" s="18"/>
      <c r="K45495" s="18" t="s">
        <v>316</v>
      </c>
    </row>
    <row r="45496">
      <c r="A45496" s="17"/>
      <c r="H45496" s="18"/>
      <c r="K45496" s="18" t="s">
        <v>316</v>
      </c>
    </row>
    <row r="45497">
      <c r="A45497" s="17"/>
      <c r="H45497" s="18"/>
      <c r="K45497" s="18" t="s">
        <v>316</v>
      </c>
    </row>
    <row r="45498">
      <c r="A45498" s="17"/>
      <c r="H45498" s="18"/>
      <c r="K45498" s="18" t="s">
        <v>316</v>
      </c>
    </row>
    <row r="45499">
      <c r="A45499" s="17"/>
      <c r="H45499" s="18"/>
      <c r="K45499" s="18" t="s">
        <v>316</v>
      </c>
    </row>
    <row r="45500">
      <c r="A45500" s="17"/>
      <c r="H45500" s="18"/>
      <c r="K45500" s="18" t="s">
        <v>316</v>
      </c>
    </row>
    <row r="45501">
      <c r="A45501" s="17"/>
      <c r="H45501" s="18"/>
      <c r="K45501" s="18" t="s">
        <v>316</v>
      </c>
    </row>
    <row r="45502">
      <c r="A45502" s="17"/>
      <c r="H45502" s="18"/>
      <c r="K45502" s="18" t="s">
        <v>316</v>
      </c>
    </row>
    <row r="45503">
      <c r="A45503" s="17"/>
      <c r="H45503" s="18"/>
      <c r="K45503" s="18" t="s">
        <v>316</v>
      </c>
    </row>
    <row r="45504">
      <c r="A45504" s="17"/>
      <c r="H45504" s="18"/>
      <c r="K45504" s="18" t="s">
        <v>316</v>
      </c>
    </row>
    <row r="45505">
      <c r="A45505" s="17"/>
      <c r="H45505" s="18"/>
      <c r="K45505" s="18" t="s">
        <v>316</v>
      </c>
    </row>
    <row r="45506">
      <c r="A45506" s="17"/>
      <c r="H45506" s="18"/>
      <c r="K45506" s="18" t="s">
        <v>316</v>
      </c>
    </row>
    <row r="45507">
      <c r="A45507" s="17"/>
      <c r="H45507" s="18"/>
      <c r="K45507" s="18" t="s">
        <v>316</v>
      </c>
    </row>
    <row r="45508">
      <c r="A45508" s="17"/>
      <c r="H45508" s="18"/>
      <c r="K45508" s="18" t="s">
        <v>316</v>
      </c>
    </row>
    <row r="45509">
      <c r="A45509" s="17"/>
      <c r="H45509" s="18"/>
      <c r="K45509" s="18" t="s">
        <v>316</v>
      </c>
    </row>
    <row r="45510">
      <c r="A45510" s="17"/>
      <c r="H45510" s="18"/>
      <c r="K45510" s="18" t="s">
        <v>316</v>
      </c>
    </row>
    <row r="45511">
      <c r="A45511" s="17"/>
      <c r="H45511" s="18"/>
      <c r="K45511" s="18" t="s">
        <v>316</v>
      </c>
    </row>
    <row r="45512">
      <c r="A45512" s="17"/>
      <c r="H45512" s="18"/>
      <c r="K45512" s="18" t="s">
        <v>316</v>
      </c>
    </row>
    <row r="45513">
      <c r="A45513" s="17"/>
      <c r="H45513" s="18"/>
      <c r="K45513" s="18" t="s">
        <v>316</v>
      </c>
    </row>
    <row r="45514">
      <c r="A45514" s="17"/>
      <c r="H45514" s="18"/>
      <c r="K45514" s="18" t="s">
        <v>316</v>
      </c>
    </row>
    <row r="45515">
      <c r="A45515" s="17"/>
      <c r="H45515" s="18"/>
      <c r="K45515" s="18" t="s">
        <v>316</v>
      </c>
    </row>
    <row r="45516">
      <c r="A45516" s="17"/>
      <c r="H45516" s="18"/>
      <c r="K45516" s="18" t="s">
        <v>316</v>
      </c>
    </row>
    <row r="45517">
      <c r="A45517" s="17"/>
      <c r="H45517" s="18"/>
      <c r="K45517" s="18" t="s">
        <v>316</v>
      </c>
    </row>
    <row r="45518">
      <c r="A45518" s="17"/>
      <c r="H45518" s="18"/>
      <c r="K45518" s="18" t="s">
        <v>316</v>
      </c>
    </row>
    <row r="45519">
      <c r="A45519" s="17"/>
      <c r="H45519" s="18"/>
      <c r="K45519" s="18" t="s">
        <v>316</v>
      </c>
    </row>
    <row r="45520">
      <c r="A45520" s="17"/>
      <c r="H45520" s="18"/>
      <c r="K45520" s="18" t="s">
        <v>316</v>
      </c>
    </row>
    <row r="45521">
      <c r="A45521" s="17"/>
      <c r="H45521" s="18"/>
      <c r="K45521" s="18" t="s">
        <v>316</v>
      </c>
    </row>
    <row r="45522">
      <c r="A45522" s="17"/>
      <c r="H45522" s="18"/>
      <c r="K45522" s="18" t="s">
        <v>316</v>
      </c>
    </row>
    <row r="45523">
      <c r="A45523" s="17"/>
      <c r="H45523" s="18"/>
      <c r="K45523" s="18" t="s">
        <v>316</v>
      </c>
    </row>
    <row r="45524">
      <c r="A45524" s="17"/>
      <c r="H45524" s="18"/>
      <c r="K45524" s="18" t="s">
        <v>316</v>
      </c>
    </row>
    <row r="45525">
      <c r="A45525" s="17"/>
      <c r="H45525" s="18"/>
      <c r="K45525" s="18" t="s">
        <v>316</v>
      </c>
    </row>
    <row r="45526">
      <c r="A45526" s="17"/>
      <c r="H45526" s="18"/>
      <c r="K45526" s="18" t="s">
        <v>316</v>
      </c>
    </row>
    <row r="45527">
      <c r="A45527" s="17"/>
      <c r="H45527" s="18"/>
      <c r="K45527" s="18" t="s">
        <v>316</v>
      </c>
    </row>
    <row r="45528">
      <c r="A45528" s="17"/>
      <c r="H45528" s="18"/>
      <c r="K45528" s="18" t="s">
        <v>316</v>
      </c>
    </row>
    <row r="45529">
      <c r="A45529" s="17"/>
      <c r="H45529" s="18"/>
      <c r="K45529" s="18" t="s">
        <v>316</v>
      </c>
    </row>
    <row r="45530">
      <c r="A45530" s="17"/>
      <c r="H45530" s="18"/>
      <c r="K45530" s="18" t="s">
        <v>316</v>
      </c>
    </row>
    <row r="45531">
      <c r="A45531" s="17"/>
      <c r="H45531" s="18"/>
      <c r="K45531" s="18" t="s">
        <v>316</v>
      </c>
    </row>
    <row r="45532">
      <c r="A45532" s="17"/>
      <c r="H45532" s="18"/>
      <c r="K45532" s="18" t="s">
        <v>316</v>
      </c>
    </row>
    <row r="45533">
      <c r="A45533" s="17"/>
      <c r="H45533" s="18"/>
      <c r="K45533" s="18" t="s">
        <v>316</v>
      </c>
    </row>
    <row r="45534">
      <c r="A45534" s="17"/>
      <c r="H45534" s="18"/>
      <c r="K45534" s="18" t="s">
        <v>316</v>
      </c>
    </row>
    <row r="45535">
      <c r="A45535" s="17"/>
      <c r="H45535" s="18"/>
      <c r="K45535" s="18" t="s">
        <v>316</v>
      </c>
    </row>
    <row r="45536">
      <c r="A45536" s="17"/>
      <c r="H45536" s="18"/>
      <c r="K45536" s="18" t="s">
        <v>316</v>
      </c>
    </row>
    <row r="45537">
      <c r="A45537" s="17"/>
      <c r="H45537" s="18"/>
      <c r="K45537" s="18" t="s">
        <v>316</v>
      </c>
    </row>
    <row r="45538">
      <c r="A45538" s="17"/>
      <c r="H45538" s="18"/>
      <c r="K45538" s="18" t="s">
        <v>316</v>
      </c>
    </row>
    <row r="45539">
      <c r="A45539" s="17"/>
      <c r="H45539" s="18"/>
      <c r="K45539" s="18" t="s">
        <v>316</v>
      </c>
    </row>
    <row r="45540">
      <c r="A45540" s="17"/>
      <c r="H45540" s="18"/>
      <c r="K45540" s="18" t="s">
        <v>316</v>
      </c>
    </row>
    <row r="45541">
      <c r="A45541" s="17"/>
      <c r="H45541" s="18"/>
      <c r="K45541" s="18" t="s">
        <v>316</v>
      </c>
    </row>
    <row r="45542">
      <c r="A45542" s="17"/>
      <c r="H45542" s="18"/>
      <c r="K45542" s="18" t="s">
        <v>316</v>
      </c>
    </row>
    <row r="45543">
      <c r="A45543" s="17"/>
      <c r="H45543" s="18"/>
      <c r="K45543" s="18" t="s">
        <v>316</v>
      </c>
    </row>
    <row r="45544">
      <c r="A45544" s="17"/>
      <c r="H45544" s="18"/>
      <c r="K45544" s="18" t="s">
        <v>316</v>
      </c>
    </row>
    <row r="45545">
      <c r="A45545" s="17"/>
      <c r="H45545" s="18"/>
      <c r="K45545" s="18" t="s">
        <v>316</v>
      </c>
    </row>
    <row r="45546">
      <c r="A45546" s="17"/>
      <c r="H45546" s="18"/>
      <c r="K45546" s="18" t="s">
        <v>316</v>
      </c>
    </row>
    <row r="45547">
      <c r="A45547" s="17"/>
      <c r="H45547" s="18"/>
      <c r="K45547" s="18" t="s">
        <v>316</v>
      </c>
    </row>
    <row r="45548">
      <c r="A45548" s="17"/>
      <c r="H45548" s="18"/>
      <c r="K45548" s="18" t="s">
        <v>316</v>
      </c>
    </row>
    <row r="45549">
      <c r="A45549" s="17"/>
      <c r="H45549" s="18"/>
      <c r="K45549" s="18" t="s">
        <v>316</v>
      </c>
    </row>
    <row r="45550">
      <c r="A45550" s="17"/>
      <c r="H45550" s="18"/>
      <c r="K45550" s="18" t="s">
        <v>316</v>
      </c>
    </row>
    <row r="45551">
      <c r="A45551" s="17"/>
      <c r="H45551" s="18"/>
      <c r="K45551" s="18" t="s">
        <v>316</v>
      </c>
    </row>
    <row r="45552">
      <c r="A45552" s="17"/>
      <c r="H45552" s="18"/>
      <c r="K45552" s="18" t="s">
        <v>316</v>
      </c>
    </row>
    <row r="45553">
      <c r="A45553" s="17"/>
      <c r="H45553" s="18"/>
      <c r="K45553" s="18" t="s">
        <v>316</v>
      </c>
    </row>
    <row r="45554">
      <c r="A45554" s="17"/>
      <c r="H45554" s="18"/>
      <c r="K45554" s="18" t="s">
        <v>316</v>
      </c>
    </row>
    <row r="45555">
      <c r="A45555" s="17"/>
      <c r="H45555" s="18"/>
      <c r="K45555" s="18" t="s">
        <v>316</v>
      </c>
    </row>
    <row r="45556">
      <c r="A45556" s="17"/>
      <c r="H45556" s="18"/>
      <c r="K45556" s="18" t="s">
        <v>316</v>
      </c>
    </row>
    <row r="45557">
      <c r="A45557" s="17"/>
      <c r="H45557" s="18"/>
      <c r="K45557" s="18" t="s">
        <v>316</v>
      </c>
    </row>
    <row r="45558">
      <c r="A45558" s="17"/>
      <c r="H45558" s="18"/>
      <c r="K45558" s="18" t="s">
        <v>316</v>
      </c>
    </row>
    <row r="45559">
      <c r="A45559" s="17"/>
      <c r="H45559" s="18"/>
      <c r="K45559" s="18" t="s">
        <v>316</v>
      </c>
    </row>
    <row r="45560">
      <c r="A45560" s="17"/>
      <c r="H45560" s="18"/>
      <c r="K45560" s="18" t="s">
        <v>316</v>
      </c>
    </row>
    <row r="45561">
      <c r="A45561" s="17"/>
      <c r="H45561" s="18"/>
      <c r="K45561" s="18" t="s">
        <v>316</v>
      </c>
    </row>
    <row r="45562">
      <c r="A45562" s="17"/>
      <c r="H45562" s="18"/>
      <c r="K45562" s="18" t="s">
        <v>316</v>
      </c>
    </row>
    <row r="45563">
      <c r="A45563" s="17"/>
      <c r="H45563" s="18"/>
      <c r="K45563" s="18" t="s">
        <v>316</v>
      </c>
    </row>
    <row r="45564">
      <c r="A45564" s="17"/>
      <c r="H45564" s="18"/>
      <c r="K45564" s="18" t="s">
        <v>316</v>
      </c>
    </row>
    <row r="45565">
      <c r="A45565" s="17"/>
      <c r="H45565" s="18"/>
      <c r="K45565" s="18" t="s">
        <v>316</v>
      </c>
    </row>
    <row r="45566">
      <c r="A45566" s="17"/>
      <c r="H45566" s="18"/>
      <c r="K45566" s="18" t="s">
        <v>316</v>
      </c>
    </row>
    <row r="45567">
      <c r="A45567" s="17"/>
      <c r="H45567" s="18"/>
      <c r="K45567" s="18" t="s">
        <v>316</v>
      </c>
    </row>
    <row r="45568">
      <c r="A45568" s="17"/>
      <c r="H45568" s="18"/>
      <c r="K45568" s="18" t="s">
        <v>316</v>
      </c>
    </row>
    <row r="45569">
      <c r="A45569" s="17"/>
      <c r="H45569" s="18"/>
      <c r="K45569" s="18" t="s">
        <v>316</v>
      </c>
    </row>
    <row r="45570">
      <c r="A45570" s="17"/>
      <c r="H45570" s="18"/>
      <c r="K45570" s="18" t="s">
        <v>316</v>
      </c>
    </row>
    <row r="45571">
      <c r="A45571" s="17"/>
      <c r="H45571" s="18"/>
      <c r="K45571" s="18" t="s">
        <v>316</v>
      </c>
    </row>
    <row r="45572">
      <c r="A45572" s="17"/>
      <c r="H45572" s="18"/>
      <c r="K45572" s="18" t="s">
        <v>316</v>
      </c>
    </row>
    <row r="45573">
      <c r="A45573" s="17"/>
      <c r="H45573" s="18"/>
      <c r="K45573" s="18" t="s">
        <v>316</v>
      </c>
    </row>
    <row r="45574">
      <c r="A45574" s="17"/>
      <c r="H45574" s="18"/>
      <c r="K45574" s="18" t="s">
        <v>316</v>
      </c>
    </row>
    <row r="45575">
      <c r="A45575" s="17"/>
      <c r="H45575" s="18"/>
      <c r="K45575" s="18" t="s">
        <v>316</v>
      </c>
    </row>
    <row r="45576">
      <c r="A45576" s="17"/>
      <c r="H45576" s="18"/>
      <c r="K45576" s="18" t="s">
        <v>316</v>
      </c>
    </row>
    <row r="45577">
      <c r="A45577" s="17"/>
      <c r="H45577" s="18"/>
      <c r="K45577" s="18" t="s">
        <v>316</v>
      </c>
    </row>
    <row r="45578">
      <c r="A45578" s="17"/>
      <c r="H45578" s="18"/>
      <c r="K45578" s="18" t="s">
        <v>316</v>
      </c>
    </row>
    <row r="45579">
      <c r="A45579" s="17"/>
      <c r="H45579" s="18"/>
      <c r="K45579" s="18" t="s">
        <v>316</v>
      </c>
    </row>
    <row r="45580">
      <c r="A45580" s="17"/>
      <c r="H45580" s="18"/>
      <c r="K45580" s="18" t="s">
        <v>316</v>
      </c>
    </row>
    <row r="45581">
      <c r="A45581" s="17"/>
      <c r="H45581" s="18"/>
      <c r="K45581" s="18" t="s">
        <v>316</v>
      </c>
    </row>
    <row r="45582">
      <c r="A45582" s="17"/>
      <c r="H45582" s="18"/>
      <c r="K45582" s="18" t="s">
        <v>316</v>
      </c>
    </row>
    <row r="45583">
      <c r="A45583" s="17"/>
      <c r="H45583" s="18"/>
      <c r="K45583" s="18" t="s">
        <v>316</v>
      </c>
    </row>
    <row r="45584">
      <c r="A45584" s="17"/>
      <c r="H45584" s="18"/>
      <c r="K45584" s="18" t="s">
        <v>316</v>
      </c>
    </row>
    <row r="45585">
      <c r="A45585" s="17"/>
      <c r="H45585" s="18"/>
      <c r="K45585" s="18" t="s">
        <v>316</v>
      </c>
    </row>
    <row r="45586">
      <c r="A45586" s="17"/>
      <c r="H45586" s="18"/>
      <c r="K45586" s="18" t="s">
        <v>316</v>
      </c>
    </row>
    <row r="45587">
      <c r="A45587" s="17"/>
      <c r="H45587" s="18"/>
      <c r="K45587" s="18" t="s">
        <v>316</v>
      </c>
    </row>
    <row r="45588">
      <c r="A45588" s="17"/>
      <c r="H45588" s="18"/>
      <c r="K45588" s="18" t="s">
        <v>316</v>
      </c>
    </row>
    <row r="45589">
      <c r="A45589" s="17"/>
      <c r="H45589" s="18"/>
      <c r="K45589" s="18" t="s">
        <v>316</v>
      </c>
    </row>
    <row r="45590">
      <c r="A45590" s="17"/>
      <c r="H45590" s="18"/>
      <c r="K45590" s="18" t="s">
        <v>316</v>
      </c>
    </row>
    <row r="45591">
      <c r="A45591" s="17"/>
      <c r="H45591" s="18"/>
      <c r="K45591" s="18" t="s">
        <v>316</v>
      </c>
    </row>
    <row r="45592">
      <c r="A45592" s="17"/>
      <c r="H45592" s="18"/>
      <c r="K45592" s="18" t="s">
        <v>316</v>
      </c>
    </row>
    <row r="45593">
      <c r="A45593" s="17"/>
      <c r="H45593" s="18"/>
      <c r="K45593" s="18" t="s">
        <v>316</v>
      </c>
    </row>
    <row r="45594">
      <c r="A45594" s="17"/>
      <c r="H45594" s="18"/>
      <c r="K45594" s="18" t="s">
        <v>316</v>
      </c>
    </row>
    <row r="45595">
      <c r="A45595" s="17"/>
      <c r="H45595" s="18"/>
      <c r="K45595" s="18" t="s">
        <v>316</v>
      </c>
    </row>
    <row r="45596">
      <c r="A45596" s="17"/>
      <c r="H45596" s="18"/>
      <c r="K45596" s="18" t="s">
        <v>316</v>
      </c>
    </row>
    <row r="45597">
      <c r="A45597" s="17"/>
      <c r="H45597" s="18"/>
      <c r="K45597" s="18" t="s">
        <v>316</v>
      </c>
    </row>
    <row r="45598">
      <c r="A45598" s="17"/>
      <c r="H45598" s="18"/>
      <c r="K45598" s="18" t="s">
        <v>316</v>
      </c>
    </row>
    <row r="45599">
      <c r="A45599" s="17"/>
      <c r="H45599" s="18"/>
      <c r="K45599" s="18" t="s">
        <v>316</v>
      </c>
    </row>
    <row r="45600">
      <c r="A45600" s="17"/>
      <c r="H45600" s="18"/>
      <c r="K45600" s="18" t="s">
        <v>316</v>
      </c>
    </row>
    <row r="45601">
      <c r="A45601" s="17"/>
      <c r="H45601" s="18"/>
      <c r="K45601" s="18" t="s">
        <v>316</v>
      </c>
    </row>
    <row r="45602">
      <c r="A45602" s="17"/>
      <c r="H45602" s="18"/>
      <c r="K45602" s="18" t="s">
        <v>316</v>
      </c>
    </row>
    <row r="45603">
      <c r="A45603" s="17"/>
      <c r="H45603" s="18"/>
      <c r="K45603" s="18" t="s">
        <v>316</v>
      </c>
    </row>
    <row r="45604">
      <c r="A45604" s="17"/>
      <c r="H45604" s="18"/>
      <c r="K45604" s="18" t="s">
        <v>316</v>
      </c>
    </row>
    <row r="45605">
      <c r="A45605" s="17"/>
      <c r="H45605" s="18"/>
      <c r="K45605" s="18" t="s">
        <v>316</v>
      </c>
    </row>
    <row r="45606">
      <c r="A45606" s="17"/>
      <c r="H45606" s="18"/>
      <c r="K45606" s="18" t="s">
        <v>316</v>
      </c>
    </row>
    <row r="45607">
      <c r="A45607" s="17"/>
      <c r="H45607" s="18"/>
      <c r="K45607" s="18" t="s">
        <v>316</v>
      </c>
    </row>
    <row r="45608">
      <c r="A45608" s="17"/>
      <c r="H45608" s="18"/>
      <c r="K45608" s="18" t="s">
        <v>316</v>
      </c>
    </row>
    <row r="45609">
      <c r="A45609" s="17"/>
      <c r="H45609" s="18"/>
      <c r="K45609" s="18" t="s">
        <v>316</v>
      </c>
    </row>
    <row r="45610">
      <c r="A45610" s="17"/>
      <c r="H45610" s="18"/>
      <c r="K45610" s="18" t="s">
        <v>316</v>
      </c>
    </row>
    <row r="45611">
      <c r="A45611" s="17"/>
      <c r="H45611" s="18"/>
      <c r="K45611" s="18" t="s">
        <v>316</v>
      </c>
    </row>
    <row r="45612">
      <c r="A45612" s="17"/>
      <c r="H45612" s="18"/>
      <c r="K45612" s="18" t="s">
        <v>316</v>
      </c>
    </row>
    <row r="45613">
      <c r="A45613" s="17"/>
      <c r="H45613" s="18"/>
      <c r="K45613" s="18" t="s">
        <v>316</v>
      </c>
    </row>
    <row r="45614">
      <c r="A45614" s="17"/>
      <c r="H45614" s="18"/>
      <c r="K45614" s="18" t="s">
        <v>316</v>
      </c>
    </row>
    <row r="45615">
      <c r="A45615" s="17"/>
      <c r="H45615" s="18"/>
      <c r="K45615" s="18" t="s">
        <v>316</v>
      </c>
    </row>
    <row r="45616">
      <c r="A45616" s="17"/>
      <c r="H45616" s="18"/>
      <c r="K45616" s="18" t="s">
        <v>316</v>
      </c>
    </row>
    <row r="45617">
      <c r="A45617" s="17"/>
      <c r="H45617" s="18"/>
      <c r="K45617" s="18" t="s">
        <v>316</v>
      </c>
    </row>
    <row r="45618">
      <c r="A45618" s="17"/>
      <c r="H45618" s="18"/>
      <c r="K45618" s="18" t="s">
        <v>316</v>
      </c>
    </row>
    <row r="45619">
      <c r="A45619" s="17"/>
      <c r="H45619" s="18"/>
      <c r="K45619" s="18" t="s">
        <v>316</v>
      </c>
    </row>
    <row r="45620">
      <c r="A45620" s="17"/>
      <c r="H45620" s="18"/>
      <c r="K45620" s="18" t="s">
        <v>316</v>
      </c>
    </row>
    <row r="45621">
      <c r="A45621" s="17"/>
      <c r="H45621" s="18"/>
      <c r="K45621" s="18" t="s">
        <v>316</v>
      </c>
    </row>
    <row r="45622">
      <c r="A45622" s="17"/>
      <c r="H45622" s="18"/>
      <c r="K45622" s="18" t="s">
        <v>316</v>
      </c>
    </row>
    <row r="45623">
      <c r="A45623" s="17"/>
      <c r="H45623" s="18"/>
      <c r="K45623" s="18" t="s">
        <v>316</v>
      </c>
    </row>
    <row r="45624">
      <c r="A45624" s="17"/>
      <c r="H45624" s="18"/>
      <c r="K45624" s="18" t="s">
        <v>316</v>
      </c>
    </row>
    <row r="45625">
      <c r="A45625" s="17"/>
      <c r="H45625" s="18"/>
      <c r="K45625" s="18" t="s">
        <v>316</v>
      </c>
    </row>
    <row r="45626">
      <c r="A45626" s="17"/>
      <c r="H45626" s="18"/>
      <c r="K45626" s="18" t="s">
        <v>316</v>
      </c>
    </row>
    <row r="45627">
      <c r="A45627" s="17"/>
      <c r="H45627" s="18"/>
      <c r="K45627" s="18" t="s">
        <v>316</v>
      </c>
    </row>
    <row r="45628">
      <c r="A45628" s="17"/>
      <c r="H45628" s="18"/>
      <c r="K45628" s="18" t="s">
        <v>316</v>
      </c>
    </row>
    <row r="45629">
      <c r="A45629" s="17"/>
      <c r="H45629" s="18"/>
      <c r="K45629" s="18" t="s">
        <v>316</v>
      </c>
    </row>
    <row r="45630">
      <c r="A45630" s="17"/>
      <c r="H45630" s="18"/>
      <c r="K45630" s="18" t="s">
        <v>316</v>
      </c>
    </row>
    <row r="45631">
      <c r="A45631" s="17"/>
      <c r="H45631" s="18"/>
      <c r="K45631" s="18" t="s">
        <v>316</v>
      </c>
    </row>
    <row r="45632">
      <c r="A45632" s="17"/>
      <c r="H45632" s="18"/>
      <c r="K45632" s="18" t="s">
        <v>316</v>
      </c>
    </row>
    <row r="45633">
      <c r="A45633" s="17"/>
      <c r="H45633" s="18"/>
      <c r="K45633" s="18" t="s">
        <v>316</v>
      </c>
    </row>
    <row r="45634">
      <c r="A45634" s="17"/>
      <c r="H45634" s="18"/>
      <c r="K45634" s="18" t="s">
        <v>316</v>
      </c>
    </row>
    <row r="45635">
      <c r="A45635" s="17"/>
      <c r="H45635" s="18"/>
      <c r="K45635" s="18" t="s">
        <v>316</v>
      </c>
    </row>
    <row r="45636">
      <c r="A45636" s="17"/>
      <c r="H45636" s="18"/>
      <c r="K45636" s="18" t="s">
        <v>316</v>
      </c>
    </row>
    <row r="45637">
      <c r="A45637" s="17"/>
      <c r="H45637" s="18"/>
      <c r="K45637" s="18" t="s">
        <v>316</v>
      </c>
    </row>
    <row r="45638">
      <c r="A45638" s="17"/>
      <c r="H45638" s="18"/>
      <c r="K45638" s="18" t="s">
        <v>316</v>
      </c>
    </row>
    <row r="45639">
      <c r="A45639" s="17"/>
      <c r="H45639" s="18"/>
      <c r="K45639" s="18" t="s">
        <v>316</v>
      </c>
    </row>
    <row r="45640">
      <c r="A45640" s="17"/>
      <c r="H45640" s="18"/>
      <c r="K45640" s="18" t="s">
        <v>316</v>
      </c>
    </row>
    <row r="45641">
      <c r="A45641" s="17"/>
      <c r="H45641" s="18"/>
      <c r="K45641" s="18" t="s">
        <v>316</v>
      </c>
    </row>
    <row r="45642">
      <c r="A45642" s="17"/>
      <c r="H45642" s="18"/>
      <c r="K45642" s="18" t="s">
        <v>316</v>
      </c>
    </row>
    <row r="45643">
      <c r="A45643" s="17"/>
      <c r="H45643" s="18"/>
      <c r="K45643" s="18" t="s">
        <v>316</v>
      </c>
    </row>
    <row r="45644">
      <c r="A45644" s="17"/>
      <c r="H45644" s="18"/>
      <c r="K45644" s="18" t="s">
        <v>316</v>
      </c>
    </row>
    <row r="45645">
      <c r="A45645" s="17"/>
      <c r="H45645" s="18"/>
      <c r="K45645" s="18" t="s">
        <v>316</v>
      </c>
    </row>
    <row r="45646">
      <c r="A45646" s="17"/>
      <c r="H45646" s="18"/>
      <c r="K45646" s="18" t="s">
        <v>316</v>
      </c>
    </row>
    <row r="45647">
      <c r="A45647" s="17"/>
      <c r="H45647" s="18"/>
      <c r="K45647" s="18" t="s">
        <v>316</v>
      </c>
    </row>
    <row r="45648">
      <c r="A45648" s="17"/>
      <c r="H45648" s="18"/>
      <c r="K45648" s="18" t="s">
        <v>316</v>
      </c>
    </row>
    <row r="45649">
      <c r="A45649" s="17"/>
      <c r="H45649" s="18"/>
      <c r="K45649" s="18" t="s">
        <v>316</v>
      </c>
    </row>
    <row r="45650">
      <c r="A45650" s="17"/>
      <c r="H45650" s="18"/>
      <c r="K45650" s="18" t="s">
        <v>316</v>
      </c>
    </row>
    <row r="45651">
      <c r="A45651" s="17"/>
      <c r="H45651" s="18"/>
      <c r="K45651" s="18" t="s">
        <v>316</v>
      </c>
    </row>
    <row r="45652">
      <c r="A45652" s="17"/>
      <c r="H45652" s="18"/>
      <c r="K45652" s="18" t="s">
        <v>316</v>
      </c>
    </row>
    <row r="45653">
      <c r="A45653" s="17"/>
      <c r="H45653" s="18"/>
      <c r="K45653" s="18" t="s">
        <v>316</v>
      </c>
    </row>
    <row r="45654">
      <c r="A45654" s="17"/>
      <c r="H45654" s="18"/>
      <c r="K45654" s="18" t="s">
        <v>316</v>
      </c>
    </row>
    <row r="45655">
      <c r="A45655" s="17"/>
      <c r="H45655" s="18"/>
      <c r="K45655" s="18" t="s">
        <v>316</v>
      </c>
    </row>
    <row r="45656">
      <c r="A45656" s="17"/>
      <c r="H45656" s="18"/>
      <c r="K45656" s="18" t="s">
        <v>316</v>
      </c>
    </row>
    <row r="45657">
      <c r="A45657" s="17"/>
      <c r="H45657" s="18"/>
      <c r="K45657" s="18" t="s">
        <v>316</v>
      </c>
    </row>
    <row r="45658">
      <c r="A45658" s="17"/>
      <c r="H45658" s="18"/>
      <c r="K45658" s="18" t="s">
        <v>316</v>
      </c>
    </row>
    <row r="45659">
      <c r="A45659" s="17"/>
      <c r="H45659" s="18"/>
      <c r="K45659" s="18" t="s">
        <v>316</v>
      </c>
    </row>
    <row r="45660">
      <c r="A45660" s="17"/>
      <c r="H45660" s="18"/>
      <c r="K45660" s="18" t="s">
        <v>316</v>
      </c>
    </row>
    <row r="45661">
      <c r="A45661" s="17"/>
      <c r="H45661" s="18"/>
      <c r="K45661" s="18" t="s">
        <v>316</v>
      </c>
    </row>
    <row r="45662">
      <c r="A45662" s="17"/>
      <c r="H45662" s="18"/>
      <c r="K45662" s="18" t="s">
        <v>316</v>
      </c>
    </row>
    <row r="45663">
      <c r="A45663" s="17"/>
      <c r="H45663" s="18"/>
      <c r="K45663" s="18" t="s">
        <v>316</v>
      </c>
    </row>
    <row r="45664">
      <c r="A45664" s="17"/>
      <c r="H45664" s="18"/>
      <c r="K45664" s="18" t="s">
        <v>316</v>
      </c>
    </row>
    <row r="45665">
      <c r="A45665" s="17"/>
      <c r="H45665" s="18"/>
      <c r="K45665" s="18" t="s">
        <v>316</v>
      </c>
    </row>
    <row r="45666">
      <c r="A45666" s="17"/>
      <c r="H45666" s="18"/>
      <c r="K45666" s="18" t="s">
        <v>316</v>
      </c>
    </row>
    <row r="45667">
      <c r="A45667" s="17"/>
      <c r="H45667" s="18"/>
      <c r="K45667" s="18" t="s">
        <v>316</v>
      </c>
    </row>
    <row r="45668">
      <c r="A45668" s="17"/>
      <c r="H45668" s="18"/>
      <c r="K45668" s="18" t="s">
        <v>316</v>
      </c>
    </row>
    <row r="45669">
      <c r="A45669" s="17"/>
      <c r="H45669" s="18"/>
      <c r="K45669" s="18" t="s">
        <v>316</v>
      </c>
    </row>
    <row r="45670">
      <c r="A45670" s="17"/>
      <c r="H45670" s="18"/>
      <c r="K45670" s="18" t="s">
        <v>316</v>
      </c>
    </row>
    <row r="45671">
      <c r="A45671" s="17"/>
      <c r="H45671" s="18"/>
      <c r="K45671" s="18" t="s">
        <v>316</v>
      </c>
    </row>
    <row r="45672">
      <c r="A45672" s="17"/>
      <c r="H45672" s="18"/>
      <c r="K45672" s="18" t="s">
        <v>316</v>
      </c>
    </row>
    <row r="45673">
      <c r="A45673" s="17"/>
      <c r="H45673" s="18"/>
      <c r="K45673" s="18" t="s">
        <v>316</v>
      </c>
    </row>
    <row r="45674">
      <c r="A45674" s="17"/>
      <c r="H45674" s="18"/>
      <c r="K45674" s="18" t="s">
        <v>316</v>
      </c>
    </row>
    <row r="45675">
      <c r="A45675" s="17"/>
      <c r="H45675" s="18"/>
      <c r="K45675" s="18" t="s">
        <v>316</v>
      </c>
    </row>
    <row r="45676">
      <c r="A45676" s="17"/>
      <c r="H45676" s="18"/>
      <c r="K45676" s="18" t="s">
        <v>316</v>
      </c>
    </row>
    <row r="45677">
      <c r="A45677" s="17"/>
      <c r="H45677" s="18"/>
      <c r="K45677" s="18" t="s">
        <v>316</v>
      </c>
    </row>
    <row r="45678">
      <c r="A45678" s="17"/>
      <c r="H45678" s="18"/>
      <c r="K45678" s="18" t="s">
        <v>316</v>
      </c>
    </row>
    <row r="45679">
      <c r="A45679" s="17"/>
      <c r="H45679" s="18"/>
      <c r="K45679" s="18" t="s">
        <v>316</v>
      </c>
    </row>
    <row r="45680">
      <c r="A45680" s="17"/>
      <c r="H45680" s="18"/>
      <c r="K45680" s="18" t="s">
        <v>316</v>
      </c>
    </row>
    <row r="45681">
      <c r="A45681" s="17"/>
      <c r="H45681" s="18"/>
      <c r="K45681" s="18" t="s">
        <v>316</v>
      </c>
    </row>
    <row r="45682">
      <c r="A45682" s="17"/>
      <c r="H45682" s="18"/>
      <c r="K45682" s="18" t="s">
        <v>316</v>
      </c>
    </row>
    <row r="45683">
      <c r="A45683" s="17"/>
      <c r="H45683" s="18"/>
      <c r="K45683" s="18" t="s">
        <v>316</v>
      </c>
    </row>
    <row r="45684">
      <c r="A45684" s="17"/>
      <c r="H45684" s="18"/>
      <c r="K45684" s="18" t="s">
        <v>316</v>
      </c>
    </row>
    <row r="45685">
      <c r="A45685" s="17"/>
      <c r="H45685" s="18"/>
      <c r="K45685" s="18" t="s">
        <v>316</v>
      </c>
    </row>
    <row r="45686">
      <c r="A45686" s="17"/>
      <c r="H45686" s="18"/>
      <c r="K45686" s="18" t="s">
        <v>316</v>
      </c>
    </row>
    <row r="45687">
      <c r="A45687" s="17"/>
      <c r="H45687" s="18"/>
      <c r="K45687" s="18" t="s">
        <v>316</v>
      </c>
    </row>
    <row r="45688">
      <c r="A45688" s="17"/>
      <c r="H45688" s="18"/>
      <c r="K45688" s="18" t="s">
        <v>316</v>
      </c>
    </row>
    <row r="45689">
      <c r="A45689" s="17"/>
      <c r="H45689" s="18"/>
      <c r="K45689" s="18" t="s">
        <v>316</v>
      </c>
    </row>
    <row r="45690">
      <c r="A45690" s="17"/>
      <c r="H45690" s="18"/>
      <c r="K45690" s="18" t="s">
        <v>316</v>
      </c>
    </row>
    <row r="45691">
      <c r="A45691" s="17"/>
      <c r="H45691" s="18"/>
      <c r="K45691" s="18" t="s">
        <v>316</v>
      </c>
    </row>
    <row r="45692">
      <c r="A45692" s="17"/>
      <c r="H45692" s="18"/>
      <c r="K45692" s="18" t="s">
        <v>316</v>
      </c>
    </row>
    <row r="45693">
      <c r="A45693" s="17"/>
      <c r="H45693" s="18"/>
      <c r="K45693" s="18" t="s">
        <v>316</v>
      </c>
    </row>
    <row r="45694">
      <c r="A45694" s="17"/>
      <c r="H45694" s="18"/>
      <c r="K45694" s="18" t="s">
        <v>316</v>
      </c>
    </row>
    <row r="45695">
      <c r="A45695" s="17"/>
      <c r="H45695" s="18"/>
      <c r="K45695" s="18" t="s">
        <v>316</v>
      </c>
    </row>
    <row r="45696">
      <c r="A45696" s="17"/>
      <c r="H45696" s="18"/>
      <c r="K45696" s="18" t="s">
        <v>316</v>
      </c>
    </row>
    <row r="45697">
      <c r="A45697" s="17"/>
      <c r="H45697" s="18"/>
      <c r="K45697" s="18" t="s">
        <v>316</v>
      </c>
    </row>
    <row r="45698">
      <c r="A45698" s="17"/>
      <c r="H45698" s="18"/>
      <c r="K45698" s="18" t="s">
        <v>316</v>
      </c>
    </row>
    <row r="45699">
      <c r="A45699" s="17"/>
      <c r="H45699" s="18"/>
      <c r="K45699" s="18" t="s">
        <v>316</v>
      </c>
    </row>
    <row r="45700">
      <c r="A45700" s="17"/>
      <c r="H45700" s="18"/>
      <c r="K45700" s="18" t="s">
        <v>316</v>
      </c>
    </row>
    <row r="45701">
      <c r="A45701" s="17"/>
      <c r="H45701" s="18"/>
      <c r="K45701" s="18" t="s">
        <v>316</v>
      </c>
    </row>
    <row r="45702">
      <c r="A45702" s="17"/>
      <c r="H45702" s="18"/>
      <c r="K45702" s="18" t="s">
        <v>316</v>
      </c>
    </row>
    <row r="45703">
      <c r="A45703" s="17"/>
      <c r="H45703" s="18"/>
      <c r="K45703" s="18" t="s">
        <v>316</v>
      </c>
    </row>
    <row r="45704">
      <c r="A45704" s="17"/>
      <c r="H45704" s="18"/>
      <c r="K45704" s="18" t="s">
        <v>316</v>
      </c>
    </row>
    <row r="45705">
      <c r="A45705" s="17"/>
      <c r="H45705" s="18"/>
      <c r="K45705" s="18" t="s">
        <v>316</v>
      </c>
    </row>
    <row r="45706">
      <c r="A45706" s="17"/>
      <c r="H45706" s="18"/>
      <c r="K45706" s="18" t="s">
        <v>316</v>
      </c>
    </row>
    <row r="45707">
      <c r="A45707" s="17"/>
      <c r="H45707" s="18"/>
      <c r="K45707" s="18" t="s">
        <v>316</v>
      </c>
    </row>
    <row r="45708">
      <c r="A45708" s="17"/>
      <c r="H45708" s="18"/>
      <c r="K45708" s="18" t="s">
        <v>316</v>
      </c>
    </row>
    <row r="45709">
      <c r="A45709" s="17"/>
      <c r="H45709" s="18"/>
      <c r="K45709" s="18" t="s">
        <v>316</v>
      </c>
    </row>
    <row r="45710">
      <c r="A45710" s="17"/>
      <c r="H45710" s="18"/>
      <c r="K45710" s="18" t="s">
        <v>316</v>
      </c>
    </row>
    <row r="45711">
      <c r="A45711" s="17"/>
      <c r="H45711" s="18"/>
      <c r="K45711" s="18" t="s">
        <v>316</v>
      </c>
    </row>
    <row r="45712">
      <c r="A45712" s="17"/>
      <c r="H45712" s="18"/>
      <c r="K45712" s="18" t="s">
        <v>316</v>
      </c>
    </row>
    <row r="45713">
      <c r="A45713" s="17"/>
      <c r="H45713" s="18"/>
      <c r="K45713" s="18" t="s">
        <v>316</v>
      </c>
    </row>
    <row r="45714">
      <c r="A45714" s="17"/>
      <c r="H45714" s="18"/>
      <c r="K45714" s="18" t="s">
        <v>316</v>
      </c>
    </row>
    <row r="45715">
      <c r="A45715" s="17"/>
      <c r="H45715" s="18"/>
      <c r="K45715" s="18" t="s">
        <v>316</v>
      </c>
    </row>
    <row r="45716">
      <c r="A45716" s="17"/>
      <c r="H45716" s="18"/>
      <c r="K45716" s="18" t="s">
        <v>316</v>
      </c>
    </row>
    <row r="45717">
      <c r="A45717" s="17"/>
      <c r="H45717" s="18"/>
      <c r="K45717" s="18" t="s">
        <v>316</v>
      </c>
    </row>
    <row r="45718">
      <c r="A45718" s="17"/>
      <c r="H45718" s="18"/>
      <c r="K45718" s="18" t="s">
        <v>316</v>
      </c>
    </row>
    <row r="45719">
      <c r="A45719" s="17"/>
      <c r="H45719" s="18"/>
      <c r="K45719" s="18" t="s">
        <v>316</v>
      </c>
    </row>
    <row r="45720">
      <c r="A45720" s="17"/>
      <c r="H45720" s="18"/>
      <c r="K45720" s="18" t="s">
        <v>316</v>
      </c>
    </row>
    <row r="45721">
      <c r="A45721" s="17"/>
      <c r="H45721" s="18"/>
      <c r="K45721" s="18" t="s">
        <v>316</v>
      </c>
    </row>
    <row r="45722">
      <c r="A45722" s="17"/>
      <c r="H45722" s="18"/>
      <c r="K45722" s="18" t="s">
        <v>316</v>
      </c>
    </row>
    <row r="45723">
      <c r="A45723" s="17"/>
      <c r="H45723" s="18"/>
      <c r="K45723" s="18" t="s">
        <v>316</v>
      </c>
    </row>
    <row r="45724">
      <c r="A45724" s="17"/>
      <c r="H45724" s="18"/>
      <c r="K45724" s="18" t="s">
        <v>316</v>
      </c>
    </row>
    <row r="45725">
      <c r="A45725" s="17"/>
      <c r="H45725" s="18"/>
      <c r="K45725" s="18" t="s">
        <v>316</v>
      </c>
    </row>
    <row r="45726">
      <c r="A45726" s="17"/>
      <c r="H45726" s="18"/>
      <c r="K45726" s="18" t="s">
        <v>316</v>
      </c>
    </row>
    <row r="45727">
      <c r="A45727" s="17"/>
      <c r="H45727" s="18"/>
      <c r="K45727" s="18" t="s">
        <v>316</v>
      </c>
    </row>
    <row r="45728">
      <c r="A45728" s="17"/>
      <c r="H45728" s="18"/>
      <c r="K45728" s="18" t="s">
        <v>316</v>
      </c>
    </row>
    <row r="45729">
      <c r="A45729" s="17"/>
      <c r="H45729" s="18"/>
      <c r="K45729" s="18" t="s">
        <v>316</v>
      </c>
    </row>
    <row r="45730">
      <c r="A45730" s="17"/>
      <c r="H45730" s="18"/>
      <c r="K45730" s="18" t="s">
        <v>316</v>
      </c>
    </row>
    <row r="45731">
      <c r="A45731" s="17"/>
      <c r="H45731" s="18"/>
      <c r="K45731" s="18" t="s">
        <v>316</v>
      </c>
    </row>
    <row r="45732">
      <c r="A45732" s="17"/>
      <c r="H45732" s="18"/>
      <c r="K45732" s="18" t="s">
        <v>316</v>
      </c>
    </row>
    <row r="45733">
      <c r="A45733" s="17"/>
      <c r="H45733" s="18"/>
      <c r="K45733" s="18" t="s">
        <v>316</v>
      </c>
    </row>
    <row r="45734">
      <c r="A45734" s="17"/>
      <c r="H45734" s="18"/>
      <c r="K45734" s="18" t="s">
        <v>316</v>
      </c>
    </row>
    <row r="45735">
      <c r="A45735" s="17"/>
      <c r="H45735" s="18"/>
      <c r="K45735" s="18" t="s">
        <v>316</v>
      </c>
    </row>
    <row r="45736">
      <c r="A45736" s="17"/>
      <c r="H45736" s="18"/>
      <c r="K45736" s="18" t="s">
        <v>316</v>
      </c>
    </row>
    <row r="45737">
      <c r="A45737" s="17"/>
      <c r="H45737" s="18"/>
      <c r="K45737" s="18" t="s">
        <v>316</v>
      </c>
    </row>
    <row r="45738">
      <c r="A45738" s="17"/>
      <c r="H45738" s="18"/>
      <c r="K45738" s="18" t="s">
        <v>316</v>
      </c>
    </row>
    <row r="45739">
      <c r="A45739" s="17"/>
      <c r="H45739" s="18"/>
      <c r="K45739" s="18" t="s">
        <v>316</v>
      </c>
    </row>
    <row r="45740">
      <c r="A45740" s="17"/>
      <c r="H45740" s="18"/>
      <c r="K45740" s="18" t="s">
        <v>316</v>
      </c>
    </row>
    <row r="45741">
      <c r="A45741" s="17"/>
      <c r="H45741" s="18"/>
      <c r="K45741" s="18" t="s">
        <v>316</v>
      </c>
    </row>
    <row r="45742">
      <c r="A45742" s="17"/>
      <c r="H45742" s="18"/>
      <c r="K45742" s="18" t="s">
        <v>316</v>
      </c>
    </row>
    <row r="45743">
      <c r="A45743" s="17"/>
      <c r="H45743" s="18"/>
      <c r="K45743" s="18" t="s">
        <v>316</v>
      </c>
    </row>
    <row r="45744">
      <c r="A45744" s="17"/>
      <c r="H45744" s="18"/>
      <c r="K45744" s="18" t="s">
        <v>316</v>
      </c>
    </row>
    <row r="45745">
      <c r="A45745" s="17"/>
      <c r="H45745" s="18"/>
      <c r="K45745" s="18" t="s">
        <v>316</v>
      </c>
    </row>
    <row r="45746">
      <c r="A45746" s="17"/>
      <c r="H45746" s="18"/>
      <c r="K45746" s="18" t="s">
        <v>316</v>
      </c>
    </row>
    <row r="45747">
      <c r="A45747" s="17"/>
      <c r="H45747" s="18"/>
      <c r="K45747" s="18" t="s">
        <v>316</v>
      </c>
    </row>
    <row r="45748">
      <c r="A45748" s="17"/>
      <c r="H45748" s="18"/>
      <c r="K45748" s="18" t="s">
        <v>316</v>
      </c>
    </row>
    <row r="45749">
      <c r="A45749" s="17"/>
      <c r="H45749" s="18"/>
      <c r="K45749" s="18" t="s">
        <v>316</v>
      </c>
    </row>
    <row r="45750">
      <c r="A45750" s="17"/>
      <c r="H45750" s="18"/>
      <c r="K45750" s="18" t="s">
        <v>316</v>
      </c>
    </row>
    <row r="45751">
      <c r="A45751" s="17"/>
      <c r="H45751" s="18"/>
      <c r="K45751" s="18" t="s">
        <v>316</v>
      </c>
    </row>
    <row r="45752">
      <c r="A45752" s="17"/>
      <c r="H45752" s="18"/>
      <c r="K45752" s="18" t="s">
        <v>316</v>
      </c>
    </row>
    <row r="45753">
      <c r="A45753" s="17"/>
      <c r="H45753" s="18"/>
      <c r="K45753" s="18" t="s">
        <v>316</v>
      </c>
    </row>
    <row r="45754">
      <c r="A45754" s="17"/>
      <c r="H45754" s="18"/>
      <c r="K45754" s="18" t="s">
        <v>316</v>
      </c>
    </row>
    <row r="45755">
      <c r="A45755" s="17"/>
      <c r="H45755" s="18"/>
      <c r="K45755" s="18" t="s">
        <v>316</v>
      </c>
    </row>
    <row r="45756">
      <c r="A45756" s="17"/>
      <c r="H45756" s="18"/>
      <c r="K45756" s="18" t="s">
        <v>316</v>
      </c>
    </row>
    <row r="45757">
      <c r="A45757" s="17"/>
      <c r="H45757" s="18"/>
      <c r="K45757" s="18" t="s">
        <v>316</v>
      </c>
    </row>
    <row r="45758">
      <c r="A45758" s="17"/>
      <c r="H45758" s="18"/>
      <c r="K45758" s="18" t="s">
        <v>316</v>
      </c>
    </row>
    <row r="45759">
      <c r="A45759" s="17"/>
      <c r="H45759" s="18"/>
      <c r="K45759" s="18" t="s">
        <v>316</v>
      </c>
    </row>
    <row r="45760">
      <c r="A45760" s="17"/>
      <c r="H45760" s="18"/>
      <c r="K45760" s="18" t="s">
        <v>316</v>
      </c>
    </row>
    <row r="45761">
      <c r="A45761" s="17"/>
      <c r="H45761" s="18"/>
      <c r="K45761" s="18" t="s">
        <v>316</v>
      </c>
    </row>
    <row r="45762">
      <c r="A45762" s="17"/>
      <c r="H45762" s="18"/>
      <c r="K45762" s="18" t="s">
        <v>316</v>
      </c>
    </row>
    <row r="45763">
      <c r="A45763" s="17"/>
      <c r="H45763" s="18"/>
      <c r="K45763" s="18" t="s">
        <v>316</v>
      </c>
    </row>
    <row r="45764">
      <c r="A45764" s="17"/>
      <c r="H45764" s="18"/>
      <c r="K45764" s="18" t="s">
        <v>316</v>
      </c>
    </row>
    <row r="45765">
      <c r="A45765" s="17"/>
      <c r="H45765" s="18"/>
      <c r="K45765" s="18" t="s">
        <v>316</v>
      </c>
    </row>
    <row r="45766">
      <c r="A45766" s="17"/>
      <c r="H45766" s="18"/>
      <c r="K45766" s="18" t="s">
        <v>316</v>
      </c>
    </row>
    <row r="45767">
      <c r="A45767" s="17"/>
      <c r="H45767" s="18"/>
      <c r="K45767" s="18" t="s">
        <v>316</v>
      </c>
    </row>
    <row r="45768">
      <c r="A45768" s="17"/>
      <c r="H45768" s="18"/>
      <c r="K45768" s="18" t="s">
        <v>316</v>
      </c>
    </row>
    <row r="45769">
      <c r="A45769" s="17"/>
      <c r="H45769" s="18"/>
      <c r="K45769" s="18" t="s">
        <v>316</v>
      </c>
    </row>
    <row r="45770">
      <c r="A45770" s="17"/>
      <c r="H45770" s="18"/>
      <c r="K45770" s="18" t="s">
        <v>316</v>
      </c>
    </row>
    <row r="45771">
      <c r="A45771" s="17"/>
      <c r="H45771" s="18"/>
      <c r="K45771" s="18" t="s">
        <v>316</v>
      </c>
    </row>
    <row r="45772">
      <c r="A45772" s="17"/>
      <c r="H45772" s="18"/>
      <c r="K45772" s="18" t="s">
        <v>316</v>
      </c>
    </row>
    <row r="45773">
      <c r="A45773" s="17"/>
      <c r="H45773" s="18"/>
      <c r="K45773" s="18" t="s">
        <v>316</v>
      </c>
    </row>
    <row r="45774">
      <c r="A45774" s="17"/>
      <c r="H45774" s="18"/>
      <c r="K45774" s="18" t="s">
        <v>316</v>
      </c>
    </row>
    <row r="45775">
      <c r="A45775" s="17"/>
      <c r="H45775" s="18"/>
      <c r="K45775" s="18" t="s">
        <v>316</v>
      </c>
    </row>
    <row r="45776">
      <c r="A45776" s="17"/>
      <c r="H45776" s="18"/>
      <c r="K45776" s="18" t="s">
        <v>316</v>
      </c>
    </row>
    <row r="45777">
      <c r="A45777" s="17"/>
      <c r="H45777" s="18"/>
      <c r="K45777" s="18" t="s">
        <v>316</v>
      </c>
    </row>
    <row r="45778">
      <c r="A45778" s="17"/>
      <c r="H45778" s="18"/>
      <c r="K45778" s="18" t="s">
        <v>316</v>
      </c>
    </row>
    <row r="45779">
      <c r="A45779" s="17"/>
      <c r="H45779" s="18"/>
      <c r="K45779" s="18" t="s">
        <v>316</v>
      </c>
    </row>
    <row r="45780">
      <c r="A45780" s="17"/>
      <c r="H45780" s="18"/>
      <c r="K45780" s="18" t="s">
        <v>316</v>
      </c>
    </row>
    <row r="45781">
      <c r="A45781" s="17"/>
      <c r="H45781" s="18"/>
      <c r="K45781" s="18" t="s">
        <v>316</v>
      </c>
    </row>
    <row r="45782">
      <c r="A45782" s="17"/>
      <c r="H45782" s="18"/>
      <c r="K45782" s="18" t="s">
        <v>316</v>
      </c>
    </row>
    <row r="45783">
      <c r="A45783" s="17"/>
      <c r="H45783" s="18"/>
      <c r="K45783" s="18" t="s">
        <v>316</v>
      </c>
    </row>
    <row r="45784">
      <c r="A45784" s="17"/>
      <c r="H45784" s="18"/>
      <c r="K45784" s="18" t="s">
        <v>316</v>
      </c>
    </row>
    <row r="45785">
      <c r="A45785" s="17"/>
      <c r="H45785" s="18"/>
      <c r="K45785" s="18" t="s">
        <v>316</v>
      </c>
    </row>
    <row r="45786">
      <c r="A45786" s="17"/>
      <c r="H45786" s="18"/>
      <c r="K45786" s="18" t="s">
        <v>316</v>
      </c>
    </row>
    <row r="45787">
      <c r="A45787" s="17"/>
      <c r="H45787" s="18"/>
      <c r="K45787" s="18" t="s">
        <v>316</v>
      </c>
    </row>
    <row r="45788">
      <c r="A45788" s="17"/>
      <c r="H45788" s="18"/>
      <c r="K45788" s="18" t="s">
        <v>316</v>
      </c>
    </row>
    <row r="45789">
      <c r="A45789" s="17"/>
      <c r="H45789" s="18"/>
      <c r="K45789" s="18" t="s">
        <v>316</v>
      </c>
    </row>
    <row r="45790">
      <c r="A45790" s="17"/>
      <c r="H45790" s="18"/>
      <c r="K45790" s="18" t="s">
        <v>316</v>
      </c>
    </row>
    <row r="45791">
      <c r="A45791" s="17"/>
      <c r="H45791" s="18"/>
      <c r="K45791" s="18" t="s">
        <v>316</v>
      </c>
    </row>
    <row r="45792">
      <c r="A45792" s="17"/>
      <c r="H45792" s="18"/>
      <c r="K45792" s="18" t="s">
        <v>316</v>
      </c>
    </row>
    <row r="45793">
      <c r="A45793" s="17"/>
      <c r="H45793" s="18"/>
      <c r="K45793" s="18" t="s">
        <v>316</v>
      </c>
    </row>
    <row r="45794">
      <c r="A45794" s="17"/>
      <c r="H45794" s="18"/>
      <c r="K45794" s="18" t="s">
        <v>316</v>
      </c>
    </row>
    <row r="45795">
      <c r="A45795" s="17"/>
      <c r="H45795" s="18"/>
      <c r="K45795" s="18" t="s">
        <v>316</v>
      </c>
    </row>
    <row r="45796">
      <c r="A45796" s="17"/>
      <c r="H45796" s="18"/>
      <c r="K45796" s="18" t="s">
        <v>316</v>
      </c>
    </row>
    <row r="45797">
      <c r="A45797" s="17"/>
      <c r="H45797" s="18"/>
      <c r="K45797" s="18" t="s">
        <v>316</v>
      </c>
    </row>
    <row r="45798">
      <c r="A45798" s="17"/>
      <c r="H45798" s="18"/>
      <c r="K45798" s="18" t="s">
        <v>316</v>
      </c>
    </row>
    <row r="45799">
      <c r="A45799" s="17"/>
      <c r="H45799" s="18"/>
      <c r="K45799" s="18" t="s">
        <v>316</v>
      </c>
    </row>
    <row r="45800">
      <c r="A45800" s="17"/>
      <c r="H45800" s="18"/>
      <c r="K45800" s="18" t="s">
        <v>316</v>
      </c>
    </row>
    <row r="45801">
      <c r="A45801" s="17"/>
      <c r="H45801" s="18"/>
      <c r="K45801" s="18" t="s">
        <v>316</v>
      </c>
    </row>
    <row r="45802">
      <c r="A45802" s="17"/>
      <c r="H45802" s="18"/>
      <c r="K45802" s="18" t="s">
        <v>316</v>
      </c>
    </row>
    <row r="45803">
      <c r="A45803" s="17"/>
      <c r="H45803" s="18"/>
      <c r="K45803" s="18" t="s">
        <v>316</v>
      </c>
    </row>
    <row r="45804">
      <c r="A45804" s="17"/>
      <c r="H45804" s="18"/>
      <c r="K45804" s="18" t="s">
        <v>316</v>
      </c>
    </row>
    <row r="45805">
      <c r="A45805" s="17"/>
      <c r="H45805" s="18"/>
      <c r="K45805" s="18" t="s">
        <v>316</v>
      </c>
    </row>
    <row r="45806">
      <c r="A45806" s="17"/>
      <c r="H45806" s="18"/>
      <c r="K45806" s="18" t="s">
        <v>316</v>
      </c>
    </row>
    <row r="45807">
      <c r="A45807" s="17"/>
      <c r="H45807" s="18"/>
      <c r="K45807" s="18" t="s">
        <v>316</v>
      </c>
    </row>
    <row r="45808">
      <c r="A45808" s="17"/>
      <c r="H45808" s="18"/>
      <c r="K45808" s="18" t="s">
        <v>316</v>
      </c>
    </row>
    <row r="45809">
      <c r="A45809" s="17"/>
      <c r="H45809" s="18"/>
      <c r="K45809" s="18" t="s">
        <v>316</v>
      </c>
    </row>
    <row r="45810">
      <c r="A45810" s="17"/>
      <c r="H45810" s="18"/>
      <c r="K45810" s="18" t="s">
        <v>316</v>
      </c>
    </row>
    <row r="45811">
      <c r="A45811" s="17"/>
      <c r="H45811" s="18"/>
      <c r="K45811" s="18" t="s">
        <v>316</v>
      </c>
    </row>
    <row r="45812">
      <c r="A45812" s="17"/>
      <c r="H45812" s="18"/>
      <c r="K45812" s="18" t="s">
        <v>316</v>
      </c>
    </row>
    <row r="45813">
      <c r="A45813" s="17"/>
      <c r="H45813" s="18"/>
      <c r="K45813" s="18" t="s">
        <v>316</v>
      </c>
    </row>
    <row r="45814">
      <c r="A45814" s="17"/>
      <c r="H45814" s="18"/>
      <c r="K45814" s="18" t="s">
        <v>316</v>
      </c>
    </row>
    <row r="45815">
      <c r="A45815" s="17"/>
      <c r="H45815" s="18"/>
      <c r="K45815" s="18" t="s">
        <v>316</v>
      </c>
    </row>
    <row r="45816">
      <c r="A45816" s="17"/>
      <c r="H45816" s="18"/>
      <c r="K45816" s="18" t="s">
        <v>316</v>
      </c>
    </row>
    <row r="45817">
      <c r="A45817" s="17"/>
      <c r="H45817" s="18"/>
      <c r="K45817" s="18" t="s">
        <v>316</v>
      </c>
    </row>
    <row r="45818">
      <c r="A45818" s="17"/>
      <c r="H45818" s="18"/>
      <c r="K45818" s="18" t="s">
        <v>316</v>
      </c>
    </row>
    <row r="45819">
      <c r="A45819" s="17"/>
      <c r="H45819" s="18"/>
      <c r="K45819" s="18" t="s">
        <v>316</v>
      </c>
    </row>
    <row r="45820">
      <c r="A45820" s="17"/>
      <c r="H45820" s="18"/>
      <c r="K45820" s="18" t="s">
        <v>316</v>
      </c>
    </row>
    <row r="45821">
      <c r="A45821" s="17"/>
      <c r="H45821" s="18"/>
      <c r="K45821" s="18" t="s">
        <v>316</v>
      </c>
    </row>
    <row r="45822">
      <c r="A45822" s="17"/>
      <c r="H45822" s="18"/>
      <c r="K45822" s="18" t="s">
        <v>316</v>
      </c>
    </row>
    <row r="45823">
      <c r="A45823" s="17"/>
      <c r="H45823" s="18"/>
      <c r="K45823" s="18" t="s">
        <v>316</v>
      </c>
    </row>
    <row r="45824">
      <c r="A45824" s="17"/>
      <c r="H45824" s="18"/>
      <c r="K45824" s="18" t="s">
        <v>316</v>
      </c>
    </row>
    <row r="45825">
      <c r="A45825" s="17"/>
      <c r="H45825" s="18"/>
      <c r="K45825" s="18" t="s">
        <v>316</v>
      </c>
    </row>
    <row r="45826">
      <c r="A45826" s="17"/>
      <c r="H45826" s="18"/>
      <c r="K45826" s="18" t="s">
        <v>316</v>
      </c>
    </row>
    <row r="45827">
      <c r="A45827" s="17"/>
      <c r="H45827" s="18"/>
      <c r="K45827" s="18" t="s">
        <v>316</v>
      </c>
    </row>
    <row r="45828">
      <c r="A45828" s="17"/>
      <c r="H45828" s="18"/>
      <c r="K45828" s="18" t="s">
        <v>316</v>
      </c>
    </row>
    <row r="45829">
      <c r="A45829" s="17"/>
      <c r="H45829" s="18"/>
      <c r="K45829" s="18" t="s">
        <v>316</v>
      </c>
    </row>
    <row r="45830">
      <c r="A45830" s="17"/>
      <c r="H45830" s="18"/>
      <c r="K45830" s="18" t="s">
        <v>316</v>
      </c>
    </row>
    <row r="45831">
      <c r="A45831" s="17"/>
      <c r="H45831" s="18"/>
      <c r="K45831" s="18" t="s">
        <v>316</v>
      </c>
    </row>
    <row r="45832">
      <c r="A45832" s="17"/>
      <c r="H45832" s="18"/>
      <c r="K45832" s="18" t="s">
        <v>316</v>
      </c>
    </row>
    <row r="45833">
      <c r="A45833" s="17"/>
      <c r="H45833" s="18"/>
      <c r="K45833" s="18" t="s">
        <v>316</v>
      </c>
    </row>
    <row r="45834">
      <c r="A45834" s="17"/>
      <c r="H45834" s="18"/>
      <c r="K45834" s="18" t="s">
        <v>316</v>
      </c>
    </row>
    <row r="45835">
      <c r="A45835" s="17"/>
      <c r="H45835" s="18"/>
      <c r="K45835" s="18" t="s">
        <v>316</v>
      </c>
    </row>
    <row r="45836">
      <c r="A45836" s="17"/>
      <c r="H45836" s="18"/>
      <c r="K45836" s="18" t="s">
        <v>316</v>
      </c>
    </row>
    <row r="45837">
      <c r="A45837" s="17"/>
      <c r="H45837" s="18"/>
      <c r="K45837" s="18" t="s">
        <v>316</v>
      </c>
    </row>
    <row r="45838">
      <c r="A45838" s="17"/>
      <c r="H45838" s="18"/>
      <c r="K45838" s="18" t="s">
        <v>316</v>
      </c>
    </row>
    <row r="45839">
      <c r="A45839" s="17"/>
      <c r="H45839" s="18"/>
      <c r="K45839" s="18" t="s">
        <v>316</v>
      </c>
    </row>
    <row r="45840">
      <c r="A45840" s="17"/>
      <c r="H45840" s="18"/>
      <c r="K45840" s="18" t="s">
        <v>316</v>
      </c>
    </row>
    <row r="45841">
      <c r="A45841" s="17"/>
      <c r="H45841" s="18"/>
      <c r="K45841" s="18" t="s">
        <v>316</v>
      </c>
    </row>
    <row r="45842">
      <c r="A45842" s="17"/>
      <c r="H45842" s="18"/>
      <c r="K45842" s="18" t="s">
        <v>316</v>
      </c>
    </row>
    <row r="45843">
      <c r="A45843" s="17"/>
      <c r="H45843" s="18"/>
      <c r="K45843" s="18" t="s">
        <v>316</v>
      </c>
    </row>
    <row r="45844">
      <c r="A45844" s="17"/>
      <c r="H45844" s="18"/>
      <c r="K45844" s="18" t="s">
        <v>316</v>
      </c>
    </row>
    <row r="45845">
      <c r="A45845" s="17"/>
      <c r="H45845" s="18"/>
      <c r="K45845" s="18" t="s">
        <v>316</v>
      </c>
    </row>
    <row r="45846">
      <c r="A45846" s="17"/>
      <c r="H45846" s="18"/>
      <c r="K45846" s="18" t="s">
        <v>316</v>
      </c>
    </row>
    <row r="45847">
      <c r="A45847" s="17"/>
      <c r="H45847" s="18"/>
      <c r="K45847" s="18" t="s">
        <v>316</v>
      </c>
    </row>
    <row r="45848">
      <c r="A45848" s="17"/>
      <c r="H45848" s="18"/>
      <c r="K45848" s="18" t="s">
        <v>316</v>
      </c>
    </row>
    <row r="45849">
      <c r="A45849" s="17"/>
      <c r="H45849" s="18"/>
      <c r="K45849" s="18" t="s">
        <v>316</v>
      </c>
    </row>
    <row r="45850">
      <c r="A45850" s="17"/>
      <c r="H45850" s="18"/>
      <c r="K45850" s="18" t="s">
        <v>316</v>
      </c>
    </row>
    <row r="45851">
      <c r="A45851" s="17"/>
      <c r="H45851" s="18"/>
      <c r="K45851" s="18" t="s">
        <v>316</v>
      </c>
    </row>
    <row r="45852">
      <c r="A45852" s="17"/>
      <c r="H45852" s="18"/>
      <c r="K45852" s="18" t="s">
        <v>316</v>
      </c>
    </row>
    <row r="45853">
      <c r="A45853" s="17"/>
      <c r="H45853" s="18"/>
      <c r="K45853" s="18" t="s">
        <v>316</v>
      </c>
    </row>
    <row r="45854">
      <c r="A45854" s="17"/>
      <c r="H45854" s="18"/>
      <c r="K45854" s="18" t="s">
        <v>316</v>
      </c>
    </row>
    <row r="45855">
      <c r="A45855" s="17"/>
      <c r="H45855" s="18"/>
      <c r="K45855" s="18" t="s">
        <v>316</v>
      </c>
    </row>
    <row r="45856">
      <c r="A45856" s="17"/>
      <c r="H45856" s="18"/>
      <c r="K45856" s="18" t="s">
        <v>316</v>
      </c>
    </row>
    <row r="45857">
      <c r="A45857" s="17"/>
      <c r="H45857" s="18"/>
      <c r="K45857" s="18" t="s">
        <v>316</v>
      </c>
    </row>
    <row r="45858">
      <c r="A45858" s="17"/>
      <c r="H45858" s="18"/>
      <c r="K45858" s="18" t="s">
        <v>316</v>
      </c>
    </row>
    <row r="45859">
      <c r="A45859" s="17"/>
      <c r="H45859" s="18"/>
      <c r="K45859" s="18" t="s">
        <v>316</v>
      </c>
    </row>
    <row r="45860">
      <c r="A45860" s="17"/>
      <c r="H45860" s="18"/>
      <c r="K45860" s="18" t="s">
        <v>316</v>
      </c>
    </row>
    <row r="45861">
      <c r="A45861" s="17"/>
      <c r="H45861" s="18"/>
      <c r="K45861" s="18" t="s">
        <v>316</v>
      </c>
    </row>
    <row r="45862">
      <c r="A45862" s="17"/>
      <c r="H45862" s="18"/>
      <c r="K45862" s="18" t="s">
        <v>316</v>
      </c>
    </row>
    <row r="45863">
      <c r="A45863" s="17"/>
      <c r="H45863" s="18"/>
      <c r="K45863" s="18" t="s">
        <v>316</v>
      </c>
    </row>
    <row r="45864">
      <c r="A45864" s="17"/>
      <c r="H45864" s="18"/>
      <c r="K45864" s="18" t="s">
        <v>316</v>
      </c>
    </row>
    <row r="45865">
      <c r="A45865" s="17"/>
      <c r="H45865" s="18"/>
      <c r="K45865" s="18" t="s">
        <v>316</v>
      </c>
    </row>
    <row r="45866">
      <c r="A45866" s="17"/>
      <c r="H45866" s="18"/>
      <c r="K45866" s="18" t="s">
        <v>316</v>
      </c>
    </row>
    <row r="45867">
      <c r="A45867" s="17"/>
      <c r="H45867" s="18"/>
      <c r="K45867" s="18" t="s">
        <v>316</v>
      </c>
    </row>
    <row r="45868">
      <c r="A45868" s="17"/>
      <c r="H45868" s="18"/>
      <c r="K45868" s="18" t="s">
        <v>316</v>
      </c>
    </row>
    <row r="45869">
      <c r="A45869" s="17"/>
      <c r="H45869" s="18"/>
      <c r="K45869" s="18" t="s">
        <v>316</v>
      </c>
    </row>
    <row r="45870">
      <c r="A45870" s="17"/>
      <c r="H45870" s="18"/>
      <c r="K45870" s="18" t="s">
        <v>316</v>
      </c>
    </row>
    <row r="45871">
      <c r="A45871" s="17"/>
      <c r="H45871" s="18"/>
      <c r="K45871" s="18" t="s">
        <v>316</v>
      </c>
    </row>
    <row r="45872">
      <c r="A45872" s="17"/>
      <c r="H45872" s="18"/>
      <c r="K45872" s="18" t="s">
        <v>316</v>
      </c>
    </row>
    <row r="45873">
      <c r="A45873" s="17"/>
      <c r="H45873" s="18"/>
      <c r="K45873" s="18" t="s">
        <v>316</v>
      </c>
    </row>
    <row r="45874">
      <c r="A45874" s="17"/>
      <c r="H45874" s="18"/>
      <c r="K45874" s="18" t="s">
        <v>316</v>
      </c>
    </row>
    <row r="45875">
      <c r="A45875" s="17"/>
      <c r="H45875" s="18"/>
      <c r="K45875" s="18" t="s">
        <v>316</v>
      </c>
    </row>
    <row r="45876">
      <c r="A45876" s="17"/>
      <c r="H45876" s="18"/>
      <c r="K45876" s="18" t="s">
        <v>316</v>
      </c>
    </row>
    <row r="45877">
      <c r="A45877" s="17"/>
      <c r="H45877" s="18"/>
      <c r="K45877" s="18" t="s">
        <v>316</v>
      </c>
    </row>
    <row r="45878">
      <c r="A45878" s="17"/>
      <c r="H45878" s="18"/>
      <c r="K45878" s="18" t="s">
        <v>316</v>
      </c>
    </row>
    <row r="45879">
      <c r="A45879" s="17"/>
      <c r="H45879" s="18"/>
      <c r="K45879" s="18" t="s">
        <v>316</v>
      </c>
    </row>
    <row r="45880">
      <c r="A45880" s="17"/>
      <c r="H45880" s="18"/>
      <c r="K45880" s="18" t="s">
        <v>316</v>
      </c>
    </row>
    <row r="45881">
      <c r="A45881" s="17"/>
      <c r="H45881" s="18"/>
      <c r="K45881" s="18" t="s">
        <v>316</v>
      </c>
    </row>
    <row r="45882">
      <c r="A45882" s="17"/>
      <c r="H45882" s="18"/>
      <c r="K45882" s="18" t="s">
        <v>316</v>
      </c>
    </row>
    <row r="45883">
      <c r="A45883" s="17"/>
      <c r="H45883" s="18"/>
      <c r="K45883" s="18" t="s">
        <v>316</v>
      </c>
    </row>
    <row r="45884">
      <c r="A45884" s="17"/>
      <c r="H45884" s="18"/>
      <c r="K45884" s="18" t="s">
        <v>316</v>
      </c>
    </row>
    <row r="45885">
      <c r="A45885" s="17"/>
      <c r="H45885" s="18"/>
      <c r="K45885" s="18" t="s">
        <v>316</v>
      </c>
    </row>
    <row r="45886">
      <c r="A45886" s="17"/>
      <c r="H45886" s="18"/>
      <c r="K45886" s="18" t="s">
        <v>316</v>
      </c>
    </row>
    <row r="45887">
      <c r="A45887" s="17"/>
      <c r="H45887" s="18"/>
      <c r="K45887" s="18" t="s">
        <v>316</v>
      </c>
    </row>
    <row r="45888">
      <c r="A45888" s="17"/>
      <c r="H45888" s="18"/>
      <c r="K45888" s="18" t="s">
        <v>316</v>
      </c>
    </row>
    <row r="45889">
      <c r="A45889" s="17"/>
      <c r="H45889" s="18"/>
      <c r="K45889" s="18" t="s">
        <v>316</v>
      </c>
    </row>
    <row r="45890">
      <c r="A45890" s="17"/>
      <c r="H45890" s="18"/>
      <c r="K45890" s="18" t="s">
        <v>316</v>
      </c>
    </row>
    <row r="45891">
      <c r="A45891" s="17"/>
      <c r="H45891" s="18"/>
      <c r="K45891" s="18" t="s">
        <v>316</v>
      </c>
    </row>
    <row r="45892">
      <c r="A45892" s="17"/>
      <c r="H45892" s="18"/>
      <c r="K45892" s="18" t="s">
        <v>316</v>
      </c>
    </row>
    <row r="45893">
      <c r="A45893" s="17"/>
      <c r="H45893" s="18"/>
      <c r="K45893" s="18" t="s">
        <v>316</v>
      </c>
    </row>
    <row r="45894">
      <c r="A45894" s="17"/>
      <c r="H45894" s="18"/>
      <c r="K45894" s="18" t="s">
        <v>316</v>
      </c>
    </row>
    <row r="45895">
      <c r="A45895" s="17"/>
      <c r="H45895" s="18"/>
      <c r="K45895" s="18" t="s">
        <v>316</v>
      </c>
    </row>
    <row r="45896">
      <c r="A45896" s="17"/>
      <c r="H45896" s="18"/>
      <c r="K45896" s="18" t="s">
        <v>316</v>
      </c>
    </row>
    <row r="45897">
      <c r="A45897" s="17"/>
      <c r="H45897" s="18"/>
      <c r="K45897" s="18" t="s">
        <v>316</v>
      </c>
    </row>
    <row r="45898">
      <c r="A45898" s="17"/>
      <c r="H45898" s="18"/>
      <c r="K45898" s="18" t="s">
        <v>316</v>
      </c>
    </row>
    <row r="45899">
      <c r="A45899" s="17"/>
      <c r="H45899" s="18"/>
      <c r="K45899" s="18" t="s">
        <v>316</v>
      </c>
    </row>
    <row r="45900">
      <c r="A45900" s="17"/>
      <c r="H45900" s="18"/>
      <c r="K45900" s="18" t="s">
        <v>316</v>
      </c>
    </row>
    <row r="45901">
      <c r="A45901" s="17"/>
      <c r="H45901" s="18"/>
      <c r="K45901" s="18" t="s">
        <v>316</v>
      </c>
    </row>
    <row r="45902">
      <c r="A45902" s="17"/>
      <c r="H45902" s="18"/>
      <c r="K45902" s="18" t="s">
        <v>316</v>
      </c>
    </row>
    <row r="45903">
      <c r="A45903" s="17"/>
      <c r="H45903" s="18"/>
      <c r="K45903" s="18" t="s">
        <v>316</v>
      </c>
    </row>
    <row r="45904">
      <c r="A45904" s="17"/>
      <c r="H45904" s="18"/>
      <c r="K45904" s="18" t="s">
        <v>316</v>
      </c>
    </row>
    <row r="45905">
      <c r="A45905" s="17"/>
      <c r="H45905" s="18"/>
      <c r="K45905" s="18" t="s">
        <v>316</v>
      </c>
    </row>
    <row r="45906">
      <c r="A45906" s="17"/>
      <c r="H45906" s="18"/>
      <c r="K45906" s="18" t="s">
        <v>316</v>
      </c>
    </row>
    <row r="45907">
      <c r="A45907" s="17"/>
      <c r="H45907" s="18"/>
      <c r="K45907" s="18" t="s">
        <v>316</v>
      </c>
    </row>
    <row r="45908">
      <c r="A45908" s="17"/>
      <c r="H45908" s="18"/>
      <c r="K45908" s="18" t="s">
        <v>316</v>
      </c>
    </row>
    <row r="45909">
      <c r="A45909" s="17"/>
      <c r="H45909" s="18"/>
      <c r="K45909" s="18" t="s">
        <v>316</v>
      </c>
    </row>
    <row r="45910">
      <c r="A45910" s="17"/>
      <c r="H45910" s="18"/>
      <c r="K45910" s="18" t="s">
        <v>316</v>
      </c>
    </row>
    <row r="45911">
      <c r="A45911" s="17"/>
      <c r="H45911" s="18"/>
      <c r="K45911" s="18" t="s">
        <v>316</v>
      </c>
    </row>
    <row r="45912">
      <c r="A45912" s="17"/>
      <c r="H45912" s="18"/>
      <c r="K45912" s="18" t="s">
        <v>316</v>
      </c>
    </row>
    <row r="45913">
      <c r="A45913" s="17"/>
      <c r="H45913" s="18"/>
      <c r="K45913" s="18" t="s">
        <v>316</v>
      </c>
    </row>
    <row r="45914">
      <c r="A45914" s="17"/>
      <c r="H45914" s="18"/>
      <c r="K45914" s="18" t="s">
        <v>316</v>
      </c>
    </row>
    <row r="45915">
      <c r="A45915" s="17"/>
      <c r="H45915" s="18"/>
      <c r="K45915" s="18" t="s">
        <v>316</v>
      </c>
    </row>
    <row r="45916">
      <c r="A45916" s="17"/>
      <c r="H45916" s="18"/>
      <c r="K45916" s="18" t="s">
        <v>316</v>
      </c>
    </row>
    <row r="45917">
      <c r="A45917" s="17"/>
      <c r="H45917" s="18"/>
      <c r="K45917" s="18" t="s">
        <v>316</v>
      </c>
    </row>
    <row r="45918">
      <c r="A45918" s="17"/>
      <c r="H45918" s="18"/>
      <c r="K45918" s="18" t="s">
        <v>316</v>
      </c>
    </row>
    <row r="45919">
      <c r="A45919" s="17"/>
      <c r="H45919" s="18"/>
      <c r="K45919" s="18" t="s">
        <v>316</v>
      </c>
    </row>
    <row r="45920">
      <c r="A45920" s="17"/>
      <c r="H45920" s="18"/>
      <c r="K45920" s="18" t="s">
        <v>316</v>
      </c>
    </row>
    <row r="45921">
      <c r="A45921" s="17"/>
      <c r="H45921" s="18"/>
      <c r="K45921" s="18" t="s">
        <v>316</v>
      </c>
    </row>
    <row r="45922">
      <c r="A45922" s="17"/>
      <c r="H45922" s="18"/>
      <c r="K45922" s="18" t="s">
        <v>316</v>
      </c>
    </row>
    <row r="45923">
      <c r="A45923" s="17"/>
      <c r="H45923" s="18"/>
      <c r="K45923" s="18" t="s">
        <v>316</v>
      </c>
    </row>
    <row r="45924">
      <c r="A45924" s="17"/>
      <c r="H45924" s="18"/>
      <c r="K45924" s="18" t="s">
        <v>316</v>
      </c>
    </row>
    <row r="45925">
      <c r="A45925" s="17"/>
      <c r="H45925" s="18"/>
      <c r="K45925" s="18" t="s">
        <v>316</v>
      </c>
    </row>
    <row r="45926">
      <c r="A45926" s="17"/>
      <c r="H45926" s="18"/>
      <c r="K45926" s="18" t="s">
        <v>316</v>
      </c>
    </row>
    <row r="45927">
      <c r="A45927" s="17"/>
      <c r="H45927" s="18"/>
      <c r="K45927" s="18" t="s">
        <v>316</v>
      </c>
    </row>
    <row r="45928">
      <c r="A45928" s="17"/>
      <c r="H45928" s="18"/>
      <c r="K45928" s="18" t="s">
        <v>316</v>
      </c>
    </row>
    <row r="45929">
      <c r="A45929" s="17"/>
      <c r="H45929" s="18"/>
      <c r="K45929" s="18" t="s">
        <v>316</v>
      </c>
    </row>
    <row r="45930">
      <c r="A45930" s="17"/>
      <c r="H45930" s="18"/>
      <c r="K45930" s="18" t="s">
        <v>316</v>
      </c>
    </row>
    <row r="45931">
      <c r="A45931" s="17"/>
      <c r="H45931" s="18"/>
      <c r="K45931" s="18" t="s">
        <v>316</v>
      </c>
    </row>
    <row r="45932">
      <c r="A45932" s="17"/>
      <c r="H45932" s="18"/>
      <c r="K45932" s="18" t="s">
        <v>316</v>
      </c>
    </row>
    <row r="45933">
      <c r="A45933" s="17"/>
      <c r="H45933" s="18"/>
      <c r="K45933" s="18" t="s">
        <v>316</v>
      </c>
    </row>
    <row r="45934">
      <c r="A45934" s="17"/>
      <c r="H45934" s="18"/>
      <c r="K45934" s="18" t="s">
        <v>316</v>
      </c>
    </row>
    <row r="45935">
      <c r="A45935" s="17"/>
      <c r="H45935" s="18"/>
      <c r="K45935" s="18" t="s">
        <v>316</v>
      </c>
    </row>
    <row r="45936">
      <c r="A45936" s="17"/>
      <c r="H45936" s="18"/>
      <c r="K45936" s="18" t="s">
        <v>316</v>
      </c>
    </row>
    <row r="45937">
      <c r="A45937" s="17"/>
      <c r="H45937" s="18"/>
      <c r="K45937" s="18" t="s">
        <v>316</v>
      </c>
    </row>
    <row r="45938">
      <c r="A45938" s="17"/>
      <c r="H45938" s="18"/>
      <c r="K45938" s="18" t="s">
        <v>316</v>
      </c>
    </row>
    <row r="45939">
      <c r="A45939" s="17"/>
      <c r="H45939" s="18"/>
      <c r="K45939" s="18" t="s">
        <v>316</v>
      </c>
    </row>
    <row r="45940">
      <c r="A45940" s="17"/>
      <c r="H45940" s="18"/>
      <c r="K45940" s="18" t="s">
        <v>316</v>
      </c>
    </row>
    <row r="45941">
      <c r="A45941" s="17"/>
      <c r="H45941" s="18"/>
      <c r="K45941" s="18" t="s">
        <v>316</v>
      </c>
    </row>
    <row r="45942">
      <c r="A45942" s="17"/>
      <c r="H45942" s="18"/>
      <c r="K45942" s="18" t="s">
        <v>316</v>
      </c>
    </row>
    <row r="45943">
      <c r="A45943" s="17"/>
      <c r="H45943" s="18"/>
      <c r="K45943" s="18" t="s">
        <v>316</v>
      </c>
    </row>
    <row r="45944">
      <c r="A45944" s="17"/>
      <c r="H45944" s="18"/>
      <c r="K45944" s="18" t="s">
        <v>316</v>
      </c>
    </row>
    <row r="45945">
      <c r="A45945" s="17"/>
      <c r="H45945" s="18"/>
      <c r="K45945" s="18" t="s">
        <v>316</v>
      </c>
    </row>
    <row r="45946">
      <c r="A45946" s="17"/>
      <c r="H45946" s="18"/>
      <c r="K45946" s="18" t="s">
        <v>316</v>
      </c>
    </row>
    <row r="45947">
      <c r="A45947" s="17"/>
      <c r="H45947" s="18"/>
      <c r="K45947" s="18" t="s">
        <v>316</v>
      </c>
    </row>
    <row r="45948">
      <c r="A45948" s="17"/>
      <c r="H45948" s="18"/>
      <c r="K45948" s="18" t="s">
        <v>316</v>
      </c>
    </row>
    <row r="45949">
      <c r="A45949" s="17"/>
      <c r="H45949" s="18"/>
      <c r="K45949" s="18" t="s">
        <v>316</v>
      </c>
    </row>
    <row r="45950">
      <c r="A45950" s="17"/>
      <c r="H45950" s="18"/>
      <c r="K45950" s="18" t="s">
        <v>316</v>
      </c>
    </row>
    <row r="45951">
      <c r="A45951" s="17"/>
      <c r="H45951" s="18"/>
      <c r="K45951" s="18" t="s">
        <v>316</v>
      </c>
    </row>
    <row r="45952">
      <c r="A45952" s="17"/>
      <c r="H45952" s="18"/>
      <c r="K45952" s="18" t="s">
        <v>316</v>
      </c>
    </row>
    <row r="45953">
      <c r="A45953" s="17"/>
      <c r="H45953" s="18"/>
      <c r="K45953" s="18" t="s">
        <v>316</v>
      </c>
    </row>
    <row r="45954">
      <c r="A45954" s="17"/>
      <c r="H45954" s="18"/>
      <c r="K45954" s="18" t="s">
        <v>316</v>
      </c>
    </row>
    <row r="45955">
      <c r="A45955" s="17"/>
      <c r="H45955" s="18"/>
      <c r="K45955" s="18" t="s">
        <v>316</v>
      </c>
    </row>
    <row r="45956">
      <c r="A45956" s="17"/>
      <c r="H45956" s="18"/>
      <c r="K45956" s="18" t="s">
        <v>316</v>
      </c>
    </row>
    <row r="45957">
      <c r="A45957" s="17"/>
      <c r="H45957" s="18"/>
      <c r="K45957" s="18" t="s">
        <v>316</v>
      </c>
    </row>
    <row r="45958">
      <c r="A45958" s="17"/>
      <c r="H45958" s="18"/>
      <c r="K45958" s="18" t="s">
        <v>316</v>
      </c>
    </row>
    <row r="45959">
      <c r="A45959" s="17"/>
      <c r="H45959" s="18"/>
      <c r="K45959" s="18" t="s">
        <v>316</v>
      </c>
    </row>
    <row r="45960">
      <c r="A45960" s="17"/>
      <c r="H45960" s="18"/>
      <c r="K45960" s="18" t="s">
        <v>316</v>
      </c>
    </row>
    <row r="45961">
      <c r="A45961" s="17"/>
      <c r="H45961" s="18"/>
      <c r="K45961" s="18" t="s">
        <v>316</v>
      </c>
    </row>
    <row r="45962">
      <c r="A45962" s="17"/>
      <c r="H45962" s="18"/>
      <c r="K45962" s="18" t="s">
        <v>316</v>
      </c>
    </row>
    <row r="45963">
      <c r="A45963" s="17"/>
      <c r="H45963" s="18"/>
      <c r="K45963" s="18" t="s">
        <v>316</v>
      </c>
    </row>
    <row r="45964">
      <c r="A45964" s="17"/>
      <c r="H45964" s="18"/>
      <c r="K45964" s="18" t="s">
        <v>316</v>
      </c>
    </row>
    <row r="45965">
      <c r="A45965" s="17"/>
      <c r="H45965" s="18"/>
      <c r="K45965" s="18" t="s">
        <v>316</v>
      </c>
    </row>
    <row r="45966">
      <c r="A45966" s="17"/>
      <c r="H45966" s="18"/>
      <c r="K45966" s="18" t="s">
        <v>316</v>
      </c>
    </row>
    <row r="45967">
      <c r="A45967" s="17"/>
      <c r="H45967" s="18"/>
      <c r="K45967" s="18" t="s">
        <v>316</v>
      </c>
    </row>
    <row r="45968">
      <c r="A45968" s="17"/>
      <c r="H45968" s="18"/>
      <c r="K45968" s="18" t="s">
        <v>316</v>
      </c>
    </row>
    <row r="45969">
      <c r="A45969" s="17"/>
      <c r="H45969" s="18"/>
      <c r="K45969" s="18" t="s">
        <v>316</v>
      </c>
    </row>
    <row r="45970">
      <c r="A45970" s="17"/>
      <c r="H45970" s="18"/>
      <c r="K45970" s="18" t="s">
        <v>316</v>
      </c>
    </row>
    <row r="45971">
      <c r="A45971" s="17"/>
      <c r="H45971" s="18"/>
      <c r="K45971" s="18" t="s">
        <v>316</v>
      </c>
    </row>
    <row r="45972">
      <c r="A45972" s="17"/>
      <c r="H45972" s="18"/>
      <c r="K45972" s="18" t="s">
        <v>316</v>
      </c>
    </row>
    <row r="45973">
      <c r="A45973" s="17"/>
      <c r="H45973" s="18"/>
      <c r="K45973" s="18" t="s">
        <v>316</v>
      </c>
    </row>
    <row r="45974">
      <c r="A45974" s="17"/>
      <c r="H45974" s="18"/>
      <c r="K45974" s="18" t="s">
        <v>316</v>
      </c>
    </row>
    <row r="45975">
      <c r="A45975" s="17"/>
      <c r="H45975" s="18"/>
      <c r="K45975" s="18" t="s">
        <v>316</v>
      </c>
    </row>
    <row r="45976">
      <c r="A45976" s="17"/>
      <c r="H45976" s="18"/>
      <c r="K45976" s="18" t="s">
        <v>316</v>
      </c>
    </row>
    <row r="45977">
      <c r="A45977" s="17"/>
      <c r="H45977" s="18"/>
      <c r="K45977" s="18" t="s">
        <v>316</v>
      </c>
    </row>
    <row r="45978">
      <c r="A45978" s="17"/>
      <c r="H45978" s="18"/>
      <c r="K45978" s="18" t="s">
        <v>316</v>
      </c>
    </row>
    <row r="45979">
      <c r="A45979" s="17"/>
      <c r="H45979" s="18"/>
      <c r="K45979" s="18" t="s">
        <v>316</v>
      </c>
    </row>
    <row r="45980">
      <c r="A45980" s="17"/>
      <c r="H45980" s="18"/>
      <c r="K45980" s="18" t="s">
        <v>316</v>
      </c>
    </row>
    <row r="45981">
      <c r="A45981" s="17"/>
      <c r="H45981" s="18"/>
      <c r="K45981" s="18" t="s">
        <v>316</v>
      </c>
    </row>
    <row r="45982">
      <c r="A45982" s="17"/>
      <c r="H45982" s="18"/>
      <c r="K45982" s="18" t="s">
        <v>316</v>
      </c>
    </row>
    <row r="45983">
      <c r="A45983" s="17"/>
      <c r="H45983" s="18"/>
      <c r="K45983" s="18" t="s">
        <v>316</v>
      </c>
    </row>
    <row r="45984">
      <c r="A45984" s="17"/>
      <c r="H45984" s="18"/>
      <c r="K45984" s="18" t="s">
        <v>316</v>
      </c>
    </row>
    <row r="45985">
      <c r="A45985" s="17"/>
      <c r="H45985" s="18"/>
      <c r="K45985" s="18" t="s">
        <v>316</v>
      </c>
    </row>
    <row r="45986">
      <c r="A45986" s="17"/>
      <c r="H45986" s="18"/>
      <c r="K45986" s="18" t="s">
        <v>316</v>
      </c>
    </row>
    <row r="45987">
      <c r="A45987" s="17"/>
      <c r="H45987" s="18"/>
      <c r="K45987" s="18" t="s">
        <v>316</v>
      </c>
    </row>
    <row r="45988">
      <c r="A45988" s="17"/>
      <c r="H45988" s="18"/>
      <c r="K45988" s="18" t="s">
        <v>316</v>
      </c>
    </row>
    <row r="45989">
      <c r="A45989" s="17"/>
      <c r="H45989" s="18"/>
      <c r="K45989" s="18" t="s">
        <v>316</v>
      </c>
    </row>
    <row r="45990">
      <c r="A45990" s="17"/>
      <c r="H45990" s="18"/>
      <c r="K45990" s="18" t="s">
        <v>316</v>
      </c>
    </row>
    <row r="45991">
      <c r="A45991" s="17"/>
      <c r="H45991" s="18"/>
      <c r="K45991" s="18" t="s">
        <v>316</v>
      </c>
    </row>
    <row r="45992">
      <c r="A45992" s="17"/>
      <c r="H45992" s="18"/>
      <c r="K45992" s="18" t="s">
        <v>316</v>
      </c>
    </row>
    <row r="45993">
      <c r="A45993" s="17"/>
      <c r="H45993" s="18"/>
      <c r="K45993" s="18" t="s">
        <v>316</v>
      </c>
    </row>
    <row r="45994">
      <c r="A45994" s="17"/>
      <c r="H45994" s="18"/>
      <c r="K45994" s="18" t="s">
        <v>316</v>
      </c>
    </row>
    <row r="45995">
      <c r="A45995" s="17"/>
      <c r="H45995" s="18"/>
      <c r="K45995" s="18" t="s">
        <v>316</v>
      </c>
    </row>
    <row r="45996">
      <c r="A45996" s="17"/>
      <c r="H45996" s="18"/>
      <c r="K45996" s="18" t="s">
        <v>316</v>
      </c>
    </row>
    <row r="45997">
      <c r="A45997" s="17"/>
      <c r="H45997" s="18"/>
      <c r="K45997" s="18" t="s">
        <v>316</v>
      </c>
    </row>
    <row r="45998">
      <c r="A45998" s="17"/>
      <c r="H45998" s="18"/>
      <c r="K45998" s="18" t="s">
        <v>316</v>
      </c>
    </row>
    <row r="45999">
      <c r="A45999" s="17"/>
      <c r="H45999" s="18"/>
      <c r="K45999" s="18" t="s">
        <v>316</v>
      </c>
    </row>
    <row r="46000">
      <c r="A46000" s="17"/>
      <c r="H46000" s="18"/>
      <c r="K46000" s="18" t="s">
        <v>316</v>
      </c>
    </row>
    <row r="46001">
      <c r="A46001" s="17"/>
      <c r="H46001" s="18"/>
      <c r="K46001" s="18" t="s">
        <v>316</v>
      </c>
    </row>
    <row r="46002">
      <c r="A46002" s="17"/>
      <c r="H46002" s="18"/>
      <c r="K46002" s="18" t="s">
        <v>316</v>
      </c>
    </row>
    <row r="46003">
      <c r="A46003" s="17"/>
      <c r="H46003" s="18"/>
      <c r="K46003" s="18" t="s">
        <v>316</v>
      </c>
    </row>
    <row r="46004">
      <c r="A46004" s="17"/>
      <c r="H46004" s="18"/>
      <c r="K46004" s="18" t="s">
        <v>316</v>
      </c>
    </row>
    <row r="46005">
      <c r="A46005" s="17"/>
      <c r="H46005" s="18"/>
      <c r="K46005" s="18" t="s">
        <v>316</v>
      </c>
    </row>
    <row r="46006">
      <c r="A46006" s="17"/>
      <c r="H46006" s="18"/>
      <c r="K46006" s="18" t="s">
        <v>316</v>
      </c>
    </row>
    <row r="46007">
      <c r="A46007" s="17"/>
      <c r="H46007" s="18"/>
      <c r="K46007" s="18" t="s">
        <v>316</v>
      </c>
    </row>
    <row r="46008">
      <c r="A46008" s="17"/>
      <c r="H46008" s="18"/>
      <c r="K46008" s="18" t="s">
        <v>316</v>
      </c>
    </row>
    <row r="46009">
      <c r="A46009" s="17"/>
      <c r="H46009" s="18"/>
      <c r="K46009" s="18" t="s">
        <v>316</v>
      </c>
    </row>
    <row r="46010">
      <c r="A46010" s="17"/>
      <c r="H46010" s="18"/>
      <c r="K46010" s="18" t="s">
        <v>316</v>
      </c>
    </row>
    <row r="46011">
      <c r="A46011" s="17"/>
      <c r="H46011" s="18"/>
      <c r="K46011" s="18" t="s">
        <v>316</v>
      </c>
    </row>
    <row r="46012">
      <c r="A46012" s="17"/>
      <c r="H46012" s="18"/>
      <c r="K46012" s="18" t="s">
        <v>316</v>
      </c>
    </row>
    <row r="46013">
      <c r="A46013" s="17"/>
      <c r="H46013" s="18"/>
      <c r="K46013" s="18" t="s">
        <v>316</v>
      </c>
    </row>
    <row r="46014">
      <c r="A46014" s="17"/>
      <c r="H46014" s="18"/>
      <c r="K46014" s="18" t="s">
        <v>316</v>
      </c>
    </row>
    <row r="46015">
      <c r="A46015" s="17"/>
      <c r="H46015" s="18"/>
      <c r="K46015" s="18" t="s">
        <v>316</v>
      </c>
    </row>
    <row r="46016">
      <c r="A46016" s="17"/>
      <c r="H46016" s="18"/>
      <c r="K46016" s="18" t="s">
        <v>316</v>
      </c>
    </row>
    <row r="46017">
      <c r="A46017" s="17"/>
      <c r="H46017" s="18"/>
      <c r="K46017" s="18" t="s">
        <v>316</v>
      </c>
    </row>
    <row r="46018">
      <c r="A46018" s="17"/>
      <c r="H46018" s="18"/>
      <c r="K46018" s="18" t="s">
        <v>316</v>
      </c>
    </row>
    <row r="46019">
      <c r="A46019" s="17"/>
      <c r="H46019" s="18"/>
      <c r="K46019" s="18" t="s">
        <v>316</v>
      </c>
    </row>
    <row r="46020">
      <c r="A46020" s="17"/>
      <c r="H46020" s="18"/>
      <c r="K46020" s="18" t="s">
        <v>316</v>
      </c>
    </row>
    <row r="46021">
      <c r="A46021" s="17"/>
      <c r="H46021" s="18"/>
      <c r="K46021" s="18" t="s">
        <v>316</v>
      </c>
    </row>
    <row r="46022">
      <c r="A46022" s="17"/>
      <c r="H46022" s="18"/>
      <c r="K46022" s="18" t="s">
        <v>316</v>
      </c>
    </row>
    <row r="46023">
      <c r="A46023" s="17"/>
      <c r="H46023" s="18"/>
      <c r="K46023" s="18" t="s">
        <v>316</v>
      </c>
    </row>
    <row r="46024">
      <c r="A46024" s="17"/>
      <c r="H46024" s="18"/>
      <c r="K46024" s="18" t="s">
        <v>316</v>
      </c>
    </row>
    <row r="46025">
      <c r="A46025" s="17"/>
      <c r="H46025" s="18"/>
      <c r="K46025" s="18" t="s">
        <v>316</v>
      </c>
    </row>
    <row r="46026">
      <c r="A46026" s="17"/>
      <c r="H46026" s="18"/>
      <c r="K46026" s="18" t="s">
        <v>316</v>
      </c>
    </row>
    <row r="46027">
      <c r="A46027" s="17"/>
      <c r="H46027" s="18"/>
      <c r="K46027" s="18" t="s">
        <v>316</v>
      </c>
    </row>
    <row r="46028">
      <c r="A46028" s="17"/>
      <c r="H46028" s="18"/>
      <c r="K46028" s="18" t="s">
        <v>316</v>
      </c>
    </row>
    <row r="46029">
      <c r="A46029" s="17"/>
      <c r="H46029" s="18"/>
      <c r="K46029" s="18" t="s">
        <v>316</v>
      </c>
    </row>
    <row r="46030">
      <c r="A46030" s="17"/>
      <c r="H46030" s="18"/>
      <c r="K46030" s="18" t="s">
        <v>316</v>
      </c>
    </row>
    <row r="46031">
      <c r="A46031" s="17"/>
      <c r="H46031" s="18"/>
      <c r="K46031" s="18" t="s">
        <v>316</v>
      </c>
    </row>
    <row r="46032">
      <c r="A46032" s="17"/>
      <c r="H46032" s="18"/>
      <c r="K46032" s="18" t="s">
        <v>316</v>
      </c>
    </row>
    <row r="46033">
      <c r="A46033" s="17"/>
      <c r="H46033" s="18"/>
      <c r="K46033" s="18" t="s">
        <v>316</v>
      </c>
    </row>
    <row r="46034">
      <c r="A46034" s="17"/>
      <c r="H46034" s="18"/>
      <c r="K46034" s="18" t="s">
        <v>316</v>
      </c>
    </row>
    <row r="46035">
      <c r="A46035" s="17"/>
      <c r="H46035" s="18"/>
      <c r="K46035" s="18" t="s">
        <v>316</v>
      </c>
    </row>
    <row r="46036">
      <c r="A46036" s="17"/>
      <c r="H46036" s="18"/>
      <c r="K46036" s="18" t="s">
        <v>316</v>
      </c>
    </row>
    <row r="46037">
      <c r="A46037" s="17"/>
      <c r="H46037" s="18"/>
      <c r="K46037" s="18" t="s">
        <v>316</v>
      </c>
    </row>
    <row r="46038">
      <c r="A46038" s="17"/>
      <c r="H46038" s="18"/>
      <c r="K46038" s="18" t="s">
        <v>316</v>
      </c>
    </row>
    <row r="46039">
      <c r="A46039" s="17"/>
      <c r="H46039" s="18"/>
      <c r="K46039" s="18" t="s">
        <v>316</v>
      </c>
    </row>
    <row r="46040">
      <c r="A46040" s="17"/>
      <c r="H46040" s="18"/>
      <c r="K46040" s="18" t="s">
        <v>316</v>
      </c>
    </row>
    <row r="46041">
      <c r="A46041" s="17"/>
      <c r="H46041" s="18"/>
      <c r="K46041" s="18" t="s">
        <v>316</v>
      </c>
    </row>
    <row r="46042">
      <c r="A46042" s="17"/>
      <c r="H46042" s="18"/>
      <c r="K46042" s="18" t="s">
        <v>316</v>
      </c>
    </row>
    <row r="46043">
      <c r="A46043" s="17"/>
      <c r="H46043" s="18"/>
      <c r="K46043" s="18" t="s">
        <v>316</v>
      </c>
    </row>
    <row r="46044">
      <c r="A46044" s="17"/>
      <c r="H46044" s="18"/>
      <c r="K46044" s="18" t="s">
        <v>316</v>
      </c>
    </row>
    <row r="46045">
      <c r="A46045" s="17"/>
      <c r="H46045" s="18"/>
      <c r="K46045" s="18" t="s">
        <v>316</v>
      </c>
    </row>
    <row r="46046">
      <c r="A46046" s="17"/>
      <c r="H46046" s="18"/>
      <c r="K46046" s="18" t="s">
        <v>316</v>
      </c>
    </row>
    <row r="46047">
      <c r="A46047" s="17"/>
      <c r="H46047" s="18"/>
      <c r="K46047" s="18" t="s">
        <v>316</v>
      </c>
    </row>
    <row r="46048">
      <c r="A46048" s="17"/>
      <c r="H46048" s="18"/>
      <c r="K46048" s="18" t="s">
        <v>316</v>
      </c>
    </row>
    <row r="46049">
      <c r="A46049" s="17"/>
      <c r="H46049" s="18"/>
      <c r="K46049" s="18" t="s">
        <v>316</v>
      </c>
    </row>
    <row r="46050">
      <c r="A46050" s="17"/>
      <c r="H46050" s="18"/>
      <c r="K46050" s="18" t="s">
        <v>316</v>
      </c>
    </row>
    <row r="46051">
      <c r="A46051" s="17"/>
      <c r="H46051" s="18"/>
      <c r="K46051" s="18" t="s">
        <v>316</v>
      </c>
    </row>
    <row r="46052">
      <c r="A46052" s="17"/>
      <c r="H46052" s="18"/>
      <c r="K46052" s="18" t="s">
        <v>316</v>
      </c>
    </row>
    <row r="46053">
      <c r="A46053" s="17"/>
      <c r="H46053" s="18"/>
      <c r="K46053" s="18" t="s">
        <v>316</v>
      </c>
    </row>
    <row r="46054">
      <c r="A46054" s="17"/>
      <c r="H46054" s="18"/>
      <c r="K46054" s="18" t="s">
        <v>316</v>
      </c>
    </row>
    <row r="46055">
      <c r="A46055" s="17"/>
      <c r="H46055" s="18"/>
      <c r="K46055" s="18" t="s">
        <v>316</v>
      </c>
    </row>
    <row r="46056">
      <c r="A46056" s="17"/>
      <c r="H46056" s="18"/>
      <c r="K46056" s="18" t="s">
        <v>316</v>
      </c>
    </row>
    <row r="46057">
      <c r="A46057" s="17"/>
      <c r="H46057" s="18"/>
      <c r="K46057" s="18" t="s">
        <v>316</v>
      </c>
    </row>
    <row r="46058">
      <c r="A46058" s="17"/>
      <c r="H46058" s="18"/>
      <c r="K46058" s="18" t="s">
        <v>316</v>
      </c>
    </row>
    <row r="46059">
      <c r="A46059" s="17"/>
      <c r="H46059" s="18"/>
      <c r="K46059" s="18" t="s">
        <v>316</v>
      </c>
    </row>
    <row r="46060">
      <c r="A46060" s="17"/>
      <c r="H46060" s="18"/>
      <c r="K46060" s="18" t="s">
        <v>316</v>
      </c>
    </row>
    <row r="46061">
      <c r="A46061" s="17"/>
      <c r="H46061" s="18"/>
      <c r="K46061" s="18" t="s">
        <v>316</v>
      </c>
    </row>
    <row r="46062">
      <c r="A46062" s="17"/>
      <c r="H46062" s="18"/>
      <c r="K46062" s="18" t="s">
        <v>316</v>
      </c>
    </row>
    <row r="46063">
      <c r="A46063" s="17"/>
      <c r="H46063" s="18"/>
      <c r="K46063" s="18" t="s">
        <v>316</v>
      </c>
    </row>
    <row r="46064">
      <c r="A46064" s="17"/>
      <c r="H46064" s="18"/>
      <c r="K46064" s="18" t="s">
        <v>316</v>
      </c>
    </row>
    <row r="46065">
      <c r="A46065" s="17"/>
      <c r="H46065" s="18"/>
      <c r="K46065" s="18" t="s">
        <v>316</v>
      </c>
    </row>
    <row r="46066">
      <c r="A46066" s="17"/>
      <c r="H46066" s="18"/>
      <c r="K46066" s="18" t="s">
        <v>316</v>
      </c>
    </row>
    <row r="46067">
      <c r="A46067" s="17"/>
      <c r="H46067" s="18"/>
      <c r="K46067" s="18" t="s">
        <v>316</v>
      </c>
    </row>
    <row r="46068">
      <c r="A46068" s="17"/>
      <c r="H46068" s="18"/>
      <c r="K46068" s="18" t="s">
        <v>316</v>
      </c>
    </row>
    <row r="46069">
      <c r="A46069" s="17"/>
      <c r="H46069" s="18"/>
      <c r="K46069" s="18" t="s">
        <v>316</v>
      </c>
    </row>
    <row r="46070">
      <c r="A46070" s="17"/>
      <c r="H46070" s="18"/>
      <c r="K46070" s="18" t="s">
        <v>316</v>
      </c>
    </row>
    <row r="46071">
      <c r="A46071" s="17"/>
      <c r="H46071" s="18"/>
      <c r="K46071" s="18" t="s">
        <v>316</v>
      </c>
    </row>
    <row r="46072">
      <c r="A46072" s="17"/>
      <c r="H46072" s="18"/>
      <c r="K46072" s="18" t="s">
        <v>316</v>
      </c>
    </row>
    <row r="46073">
      <c r="A46073" s="17"/>
      <c r="H46073" s="18"/>
      <c r="K46073" s="18" t="s">
        <v>316</v>
      </c>
    </row>
    <row r="46074">
      <c r="A46074" s="17"/>
      <c r="H46074" s="18"/>
      <c r="K46074" s="18" t="s">
        <v>316</v>
      </c>
    </row>
    <row r="46075">
      <c r="A46075" s="17"/>
      <c r="H46075" s="18"/>
      <c r="K46075" s="18" t="s">
        <v>316</v>
      </c>
    </row>
    <row r="46076">
      <c r="A46076" s="17"/>
      <c r="H46076" s="18"/>
      <c r="K46076" s="18" t="s">
        <v>316</v>
      </c>
    </row>
    <row r="46077">
      <c r="A46077" s="17"/>
      <c r="H46077" s="18"/>
      <c r="K46077" s="18" t="s">
        <v>316</v>
      </c>
    </row>
    <row r="46078">
      <c r="A46078" s="17"/>
      <c r="H46078" s="18"/>
      <c r="K46078" s="18" t="s">
        <v>316</v>
      </c>
    </row>
    <row r="46079">
      <c r="A46079" s="17"/>
      <c r="H46079" s="18"/>
      <c r="K46079" s="18" t="s">
        <v>316</v>
      </c>
    </row>
    <row r="46080">
      <c r="A46080" s="17"/>
      <c r="H46080" s="18"/>
      <c r="K46080" s="18" t="s">
        <v>316</v>
      </c>
    </row>
    <row r="46081">
      <c r="A46081" s="17"/>
      <c r="H46081" s="18"/>
      <c r="K46081" s="18" t="s">
        <v>316</v>
      </c>
    </row>
    <row r="46082">
      <c r="A46082" s="17"/>
      <c r="H46082" s="18"/>
      <c r="K46082" s="18" t="s">
        <v>316</v>
      </c>
    </row>
    <row r="46083">
      <c r="A46083" s="17"/>
      <c r="H46083" s="18"/>
      <c r="K46083" s="18" t="s">
        <v>316</v>
      </c>
    </row>
    <row r="46084">
      <c r="A46084" s="17"/>
      <c r="H46084" s="18"/>
      <c r="K46084" s="18" t="s">
        <v>316</v>
      </c>
    </row>
    <row r="46085">
      <c r="A46085" s="17"/>
      <c r="H46085" s="18"/>
      <c r="K46085" s="18" t="s">
        <v>316</v>
      </c>
    </row>
    <row r="46086">
      <c r="A46086" s="17"/>
      <c r="H46086" s="18"/>
      <c r="K46086" s="18" t="s">
        <v>316</v>
      </c>
    </row>
    <row r="46087">
      <c r="A46087" s="17"/>
      <c r="H46087" s="18"/>
      <c r="K46087" s="18" t="s">
        <v>316</v>
      </c>
    </row>
    <row r="46088">
      <c r="A46088" s="17"/>
      <c r="H46088" s="18"/>
      <c r="K46088" s="18" t="s">
        <v>316</v>
      </c>
    </row>
    <row r="46089">
      <c r="A46089" s="17"/>
      <c r="H46089" s="18"/>
      <c r="K46089" s="18" t="s">
        <v>316</v>
      </c>
    </row>
    <row r="46090">
      <c r="A46090" s="17"/>
      <c r="H46090" s="18"/>
      <c r="K46090" s="18" t="s">
        <v>316</v>
      </c>
    </row>
    <row r="46091">
      <c r="A46091" s="17"/>
      <c r="H46091" s="18"/>
      <c r="K46091" s="18" t="s">
        <v>316</v>
      </c>
    </row>
    <row r="46092">
      <c r="A46092" s="17"/>
      <c r="H46092" s="18"/>
      <c r="K46092" s="18" t="s">
        <v>316</v>
      </c>
    </row>
    <row r="46093">
      <c r="A46093" s="17"/>
      <c r="H46093" s="18"/>
      <c r="K46093" s="18" t="s">
        <v>316</v>
      </c>
    </row>
    <row r="46094">
      <c r="A46094" s="17"/>
      <c r="H46094" s="18"/>
      <c r="K46094" s="18" t="s">
        <v>316</v>
      </c>
    </row>
    <row r="46095">
      <c r="A46095" s="17"/>
      <c r="H46095" s="18"/>
      <c r="K46095" s="18" t="s">
        <v>316</v>
      </c>
    </row>
    <row r="46096">
      <c r="A46096" s="17"/>
      <c r="H46096" s="18"/>
      <c r="K46096" s="18" t="s">
        <v>316</v>
      </c>
    </row>
    <row r="46097">
      <c r="A46097" s="17"/>
      <c r="H46097" s="18"/>
      <c r="K46097" s="18" t="s">
        <v>316</v>
      </c>
    </row>
    <row r="46098">
      <c r="A46098" s="17"/>
      <c r="H46098" s="18"/>
      <c r="K46098" s="18" t="s">
        <v>316</v>
      </c>
    </row>
    <row r="46099">
      <c r="A46099" s="17"/>
      <c r="H46099" s="18"/>
      <c r="K46099" s="18" t="s">
        <v>316</v>
      </c>
    </row>
    <row r="46100">
      <c r="A46100" s="17"/>
      <c r="H46100" s="18"/>
      <c r="K46100" s="18" t="s">
        <v>316</v>
      </c>
    </row>
    <row r="46101">
      <c r="A46101" s="17"/>
      <c r="H46101" s="18"/>
      <c r="K46101" s="18" t="s">
        <v>316</v>
      </c>
    </row>
    <row r="46102">
      <c r="A46102" s="17"/>
      <c r="H46102" s="18"/>
      <c r="K46102" s="18" t="s">
        <v>316</v>
      </c>
    </row>
    <row r="46103">
      <c r="A46103" s="17"/>
      <c r="H46103" s="18"/>
      <c r="K46103" s="18" t="s">
        <v>316</v>
      </c>
    </row>
    <row r="46104">
      <c r="A46104" s="17"/>
      <c r="H46104" s="18"/>
      <c r="K46104" s="18" t="s">
        <v>316</v>
      </c>
    </row>
    <row r="46105">
      <c r="A46105" s="17"/>
      <c r="H46105" s="18"/>
      <c r="K46105" s="18" t="s">
        <v>316</v>
      </c>
    </row>
    <row r="46106">
      <c r="A46106" s="17"/>
      <c r="H46106" s="18"/>
      <c r="K46106" s="18" t="s">
        <v>316</v>
      </c>
    </row>
    <row r="46107">
      <c r="A46107" s="17"/>
      <c r="H46107" s="18"/>
      <c r="K46107" s="18" t="s">
        <v>316</v>
      </c>
    </row>
    <row r="46108">
      <c r="A46108" s="17"/>
      <c r="H46108" s="18"/>
      <c r="K46108" s="18" t="s">
        <v>316</v>
      </c>
    </row>
    <row r="46109">
      <c r="A46109" s="17"/>
      <c r="H46109" s="18"/>
      <c r="K46109" s="18" t="s">
        <v>316</v>
      </c>
    </row>
    <row r="46110">
      <c r="A46110" s="17"/>
      <c r="H46110" s="18"/>
      <c r="K46110" s="18" t="s">
        <v>316</v>
      </c>
    </row>
    <row r="46111">
      <c r="A46111" s="17"/>
      <c r="H46111" s="18"/>
      <c r="K46111" s="18" t="s">
        <v>316</v>
      </c>
    </row>
    <row r="46112">
      <c r="A46112" s="17"/>
      <c r="H46112" s="18"/>
      <c r="K46112" s="18" t="s">
        <v>316</v>
      </c>
    </row>
    <row r="46113">
      <c r="A46113" s="17"/>
      <c r="H46113" s="18"/>
      <c r="K46113" s="18" t="s">
        <v>316</v>
      </c>
    </row>
    <row r="46114">
      <c r="A46114" s="17"/>
      <c r="H46114" s="18"/>
      <c r="K46114" s="18" t="s">
        <v>316</v>
      </c>
    </row>
    <row r="46115">
      <c r="A46115" s="17"/>
      <c r="H46115" s="18"/>
      <c r="K46115" s="18" t="s">
        <v>316</v>
      </c>
    </row>
    <row r="46116">
      <c r="A46116" s="17"/>
      <c r="H46116" s="18"/>
      <c r="K46116" s="18" t="s">
        <v>316</v>
      </c>
    </row>
    <row r="46117">
      <c r="A46117" s="17"/>
      <c r="H46117" s="18"/>
      <c r="K46117" s="18" t="s">
        <v>316</v>
      </c>
    </row>
    <row r="46118">
      <c r="A46118" s="17"/>
      <c r="H46118" s="18"/>
      <c r="K46118" s="18" t="s">
        <v>316</v>
      </c>
    </row>
    <row r="46119">
      <c r="A46119" s="17"/>
      <c r="H46119" s="18"/>
      <c r="K46119" s="18" t="s">
        <v>316</v>
      </c>
    </row>
    <row r="46120">
      <c r="A46120" s="17"/>
      <c r="H46120" s="18"/>
      <c r="K46120" s="18" t="s">
        <v>316</v>
      </c>
    </row>
    <row r="46121">
      <c r="A46121" s="17"/>
      <c r="H46121" s="18"/>
      <c r="K46121" s="18" t="s">
        <v>316</v>
      </c>
    </row>
    <row r="46122">
      <c r="A46122" s="17"/>
      <c r="H46122" s="18"/>
      <c r="K46122" s="18" t="s">
        <v>316</v>
      </c>
    </row>
    <row r="46123">
      <c r="A46123" s="17"/>
      <c r="H46123" s="18"/>
      <c r="K46123" s="18" t="s">
        <v>316</v>
      </c>
    </row>
    <row r="46124">
      <c r="A46124" s="17"/>
      <c r="H46124" s="18"/>
      <c r="K46124" s="18" t="s">
        <v>316</v>
      </c>
    </row>
    <row r="46125">
      <c r="A46125" s="17"/>
      <c r="H46125" s="18"/>
      <c r="K46125" s="18" t="s">
        <v>316</v>
      </c>
    </row>
    <row r="46126">
      <c r="A46126" s="17"/>
      <c r="H46126" s="18"/>
      <c r="K46126" s="18" t="s">
        <v>316</v>
      </c>
    </row>
    <row r="46127">
      <c r="A46127" s="17"/>
      <c r="H46127" s="18"/>
      <c r="K46127" s="18" t="s">
        <v>316</v>
      </c>
    </row>
    <row r="46128">
      <c r="A46128" s="17"/>
      <c r="H46128" s="18"/>
      <c r="K46128" s="18" t="s">
        <v>316</v>
      </c>
    </row>
    <row r="46129">
      <c r="A46129" s="17"/>
      <c r="H46129" s="18"/>
      <c r="K46129" s="18" t="s">
        <v>316</v>
      </c>
    </row>
    <row r="46130">
      <c r="A46130" s="17"/>
      <c r="H46130" s="18"/>
      <c r="K46130" s="18" t="s">
        <v>316</v>
      </c>
    </row>
    <row r="46131">
      <c r="A46131" s="17"/>
      <c r="H46131" s="18"/>
      <c r="K46131" s="18" t="s">
        <v>316</v>
      </c>
    </row>
    <row r="46132">
      <c r="A46132" s="17"/>
      <c r="H46132" s="18"/>
      <c r="K46132" s="18" t="s">
        <v>316</v>
      </c>
    </row>
    <row r="46133">
      <c r="A46133" s="17"/>
      <c r="H46133" s="18"/>
      <c r="K46133" s="18" t="s">
        <v>316</v>
      </c>
    </row>
    <row r="46134">
      <c r="A46134" s="17"/>
      <c r="H46134" s="18"/>
      <c r="K46134" s="18" t="s">
        <v>316</v>
      </c>
    </row>
    <row r="46135">
      <c r="A46135" s="17"/>
      <c r="H46135" s="18"/>
      <c r="K46135" s="18" t="s">
        <v>316</v>
      </c>
    </row>
    <row r="46136">
      <c r="A46136" s="17"/>
      <c r="H46136" s="18"/>
      <c r="K46136" s="18" t="s">
        <v>316</v>
      </c>
    </row>
    <row r="46137">
      <c r="A46137" s="17"/>
      <c r="H46137" s="18"/>
      <c r="K46137" s="18" t="s">
        <v>316</v>
      </c>
    </row>
    <row r="46138">
      <c r="A46138" s="17"/>
      <c r="H46138" s="18"/>
      <c r="K46138" s="18" t="s">
        <v>316</v>
      </c>
    </row>
    <row r="46139">
      <c r="A46139" s="17"/>
      <c r="H46139" s="18"/>
      <c r="K46139" s="18" t="s">
        <v>316</v>
      </c>
    </row>
    <row r="46140">
      <c r="A46140" s="17"/>
      <c r="H46140" s="18"/>
      <c r="K46140" s="18" t="s">
        <v>316</v>
      </c>
    </row>
    <row r="46141">
      <c r="A46141" s="17"/>
      <c r="H46141" s="18"/>
      <c r="K46141" s="18" t="s">
        <v>316</v>
      </c>
    </row>
    <row r="46142">
      <c r="A46142" s="17"/>
      <c r="H46142" s="18"/>
      <c r="K46142" s="18" t="s">
        <v>316</v>
      </c>
    </row>
    <row r="46143">
      <c r="A46143" s="17"/>
      <c r="H46143" s="18"/>
      <c r="K46143" s="18" t="s">
        <v>316</v>
      </c>
    </row>
    <row r="46144">
      <c r="A46144" s="17"/>
      <c r="H46144" s="18"/>
      <c r="K46144" s="18" t="s">
        <v>316</v>
      </c>
    </row>
    <row r="46145">
      <c r="A46145" s="17"/>
      <c r="H46145" s="18"/>
      <c r="K46145" s="18" t="s">
        <v>316</v>
      </c>
    </row>
    <row r="46146">
      <c r="A46146" s="17"/>
      <c r="H46146" s="18"/>
      <c r="K46146" s="18" t="s">
        <v>316</v>
      </c>
    </row>
    <row r="46147">
      <c r="A46147" s="17"/>
      <c r="H46147" s="18"/>
      <c r="K46147" s="18" t="s">
        <v>316</v>
      </c>
    </row>
    <row r="46148">
      <c r="A46148" s="17"/>
      <c r="H46148" s="18"/>
      <c r="K46148" s="18" t="s">
        <v>316</v>
      </c>
    </row>
    <row r="46149">
      <c r="A46149" s="17"/>
      <c r="H46149" s="18"/>
      <c r="K46149" s="18" t="s">
        <v>316</v>
      </c>
    </row>
    <row r="46150">
      <c r="A46150" s="17"/>
      <c r="H46150" s="18"/>
      <c r="K46150" s="18" t="s">
        <v>316</v>
      </c>
    </row>
    <row r="46151">
      <c r="A46151" s="17"/>
      <c r="H46151" s="18"/>
      <c r="K46151" s="18" t="s">
        <v>316</v>
      </c>
    </row>
    <row r="46152">
      <c r="A46152" s="17"/>
      <c r="H46152" s="18"/>
      <c r="K46152" s="18" t="s">
        <v>316</v>
      </c>
    </row>
    <row r="46153">
      <c r="A46153" s="17"/>
      <c r="H46153" s="18"/>
      <c r="K46153" s="18" t="s">
        <v>316</v>
      </c>
    </row>
    <row r="46154">
      <c r="A46154" s="17"/>
      <c r="H46154" s="18"/>
      <c r="K46154" s="18" t="s">
        <v>316</v>
      </c>
    </row>
    <row r="46155">
      <c r="A46155" s="17"/>
      <c r="H46155" s="18"/>
      <c r="K46155" s="18" t="s">
        <v>316</v>
      </c>
    </row>
    <row r="46156">
      <c r="A46156" s="17"/>
      <c r="H46156" s="18"/>
      <c r="K46156" s="18" t="s">
        <v>316</v>
      </c>
    </row>
    <row r="46157">
      <c r="A46157" s="17"/>
      <c r="H46157" s="18"/>
      <c r="K46157" s="18" t="s">
        <v>316</v>
      </c>
    </row>
    <row r="46158">
      <c r="A46158" s="17"/>
      <c r="H46158" s="18"/>
      <c r="K46158" s="18" t="s">
        <v>316</v>
      </c>
    </row>
    <row r="46159">
      <c r="A46159" s="17"/>
      <c r="H46159" s="18"/>
      <c r="K46159" s="18" t="s">
        <v>316</v>
      </c>
    </row>
    <row r="46160">
      <c r="A46160" s="17"/>
      <c r="H46160" s="18"/>
      <c r="K46160" s="18" t="s">
        <v>316</v>
      </c>
    </row>
    <row r="46161">
      <c r="A46161" s="17"/>
      <c r="H46161" s="18"/>
      <c r="K46161" s="18" t="s">
        <v>316</v>
      </c>
    </row>
    <row r="46162">
      <c r="A46162" s="17"/>
      <c r="H46162" s="18"/>
      <c r="K46162" s="18" t="s">
        <v>316</v>
      </c>
    </row>
    <row r="46163">
      <c r="A46163" s="17"/>
      <c r="H46163" s="18"/>
      <c r="K46163" s="18" t="s">
        <v>316</v>
      </c>
    </row>
    <row r="46164">
      <c r="A46164" s="17"/>
      <c r="H46164" s="18"/>
      <c r="K46164" s="18" t="s">
        <v>316</v>
      </c>
    </row>
    <row r="46165">
      <c r="A46165" s="17"/>
      <c r="H46165" s="18"/>
      <c r="K46165" s="18" t="s">
        <v>316</v>
      </c>
    </row>
    <row r="46166">
      <c r="A46166" s="17"/>
      <c r="H46166" s="18"/>
      <c r="K46166" s="18" t="s">
        <v>316</v>
      </c>
    </row>
    <row r="46167">
      <c r="A46167" s="17"/>
      <c r="H46167" s="18"/>
      <c r="K46167" s="18" t="s">
        <v>316</v>
      </c>
    </row>
    <row r="46168">
      <c r="A46168" s="17"/>
      <c r="H46168" s="18"/>
      <c r="K46168" s="18" t="s">
        <v>316</v>
      </c>
    </row>
    <row r="46169">
      <c r="A46169" s="17"/>
      <c r="H46169" s="18"/>
      <c r="K46169" s="18" t="s">
        <v>316</v>
      </c>
    </row>
    <row r="46170">
      <c r="A46170" s="17"/>
      <c r="H46170" s="18"/>
      <c r="K46170" s="18" t="s">
        <v>316</v>
      </c>
    </row>
    <row r="46171">
      <c r="A46171" s="17"/>
      <c r="H46171" s="18"/>
      <c r="K46171" s="18" t="s">
        <v>316</v>
      </c>
    </row>
    <row r="46172">
      <c r="A46172" s="17"/>
      <c r="H46172" s="18"/>
      <c r="K46172" s="18" t="s">
        <v>316</v>
      </c>
    </row>
    <row r="46173">
      <c r="A46173" s="17"/>
      <c r="H46173" s="18"/>
      <c r="K46173" s="18" t="s">
        <v>316</v>
      </c>
    </row>
    <row r="46174">
      <c r="A46174" s="17"/>
      <c r="H46174" s="18"/>
      <c r="K46174" s="18" t="s">
        <v>316</v>
      </c>
    </row>
    <row r="46175">
      <c r="A46175" s="17"/>
      <c r="H46175" s="18"/>
      <c r="K46175" s="18" t="s">
        <v>316</v>
      </c>
    </row>
    <row r="46176">
      <c r="A46176" s="17"/>
      <c r="H46176" s="18"/>
      <c r="K46176" s="18" t="s">
        <v>316</v>
      </c>
    </row>
    <row r="46177">
      <c r="A46177" s="17"/>
      <c r="H46177" s="18"/>
      <c r="K46177" s="18" t="s">
        <v>316</v>
      </c>
    </row>
    <row r="46178">
      <c r="A46178" s="17"/>
      <c r="H46178" s="18"/>
      <c r="K46178" s="18" t="s">
        <v>316</v>
      </c>
    </row>
    <row r="46179">
      <c r="A46179" s="17"/>
      <c r="H46179" s="18"/>
      <c r="K46179" s="18" t="s">
        <v>316</v>
      </c>
    </row>
    <row r="46180">
      <c r="A46180" s="17"/>
      <c r="H46180" s="18"/>
      <c r="K46180" s="18" t="s">
        <v>316</v>
      </c>
    </row>
    <row r="46181">
      <c r="A46181" s="17"/>
      <c r="H46181" s="18"/>
      <c r="K46181" s="18" t="s">
        <v>316</v>
      </c>
    </row>
    <row r="46182">
      <c r="A46182" s="17"/>
      <c r="H46182" s="18"/>
      <c r="K46182" s="18" t="s">
        <v>316</v>
      </c>
    </row>
    <row r="46183">
      <c r="A46183" s="17"/>
      <c r="H46183" s="18"/>
      <c r="K46183" s="18" t="s">
        <v>316</v>
      </c>
    </row>
    <row r="46184">
      <c r="A46184" s="17"/>
      <c r="H46184" s="18"/>
      <c r="K46184" s="18" t="s">
        <v>316</v>
      </c>
    </row>
    <row r="46185">
      <c r="A46185" s="17"/>
      <c r="H46185" s="18"/>
      <c r="K46185" s="18" t="s">
        <v>316</v>
      </c>
    </row>
    <row r="46186">
      <c r="A46186" s="17"/>
      <c r="H46186" s="18"/>
      <c r="K46186" s="18" t="s">
        <v>316</v>
      </c>
    </row>
    <row r="46187">
      <c r="A46187" s="17"/>
      <c r="H46187" s="18"/>
      <c r="K46187" s="18" t="s">
        <v>316</v>
      </c>
    </row>
    <row r="46188">
      <c r="A46188" s="17"/>
      <c r="H46188" s="18"/>
      <c r="K46188" s="18" t="s">
        <v>316</v>
      </c>
    </row>
    <row r="46189">
      <c r="A46189" s="17"/>
      <c r="H46189" s="18"/>
      <c r="K46189" s="18" t="s">
        <v>316</v>
      </c>
    </row>
    <row r="46190">
      <c r="A46190" s="17"/>
      <c r="H46190" s="18"/>
      <c r="K46190" s="18" t="s">
        <v>316</v>
      </c>
    </row>
    <row r="46191">
      <c r="A46191" s="17"/>
      <c r="H46191" s="18"/>
      <c r="K46191" s="18" t="s">
        <v>316</v>
      </c>
    </row>
    <row r="46192">
      <c r="A46192" s="17"/>
      <c r="H46192" s="18"/>
      <c r="K46192" s="18" t="s">
        <v>316</v>
      </c>
    </row>
    <row r="46193">
      <c r="A46193" s="17"/>
      <c r="H46193" s="18"/>
      <c r="K46193" s="18" t="s">
        <v>316</v>
      </c>
    </row>
    <row r="46194">
      <c r="A46194" s="17"/>
      <c r="H46194" s="18"/>
      <c r="K46194" s="18" t="s">
        <v>316</v>
      </c>
    </row>
    <row r="46195">
      <c r="A46195" s="17"/>
      <c r="H46195" s="18"/>
      <c r="K46195" s="18" t="s">
        <v>316</v>
      </c>
    </row>
    <row r="46196">
      <c r="A46196" s="17"/>
      <c r="H46196" s="18"/>
      <c r="K46196" s="18" t="s">
        <v>316</v>
      </c>
    </row>
    <row r="46197">
      <c r="A46197" s="17"/>
      <c r="H46197" s="18"/>
      <c r="K46197" s="18" t="s">
        <v>316</v>
      </c>
    </row>
    <row r="46198">
      <c r="A46198" s="17"/>
      <c r="H46198" s="18"/>
      <c r="K46198" s="18" t="s">
        <v>316</v>
      </c>
    </row>
    <row r="46199">
      <c r="A46199" s="17"/>
      <c r="H46199" s="18"/>
      <c r="K46199" s="18" t="s">
        <v>316</v>
      </c>
    </row>
    <row r="46200">
      <c r="A46200" s="17"/>
      <c r="H46200" s="18"/>
      <c r="K46200" s="18" t="s">
        <v>316</v>
      </c>
    </row>
    <row r="46201">
      <c r="A46201" s="17"/>
      <c r="H46201" s="18"/>
      <c r="K46201" s="18" t="s">
        <v>316</v>
      </c>
    </row>
    <row r="46202">
      <c r="A46202" s="17"/>
      <c r="H46202" s="18"/>
      <c r="K46202" s="18" t="s">
        <v>316</v>
      </c>
    </row>
    <row r="46203">
      <c r="A46203" s="17"/>
      <c r="H46203" s="18"/>
      <c r="K46203" s="18" t="s">
        <v>316</v>
      </c>
    </row>
    <row r="46204">
      <c r="A46204" s="17"/>
      <c r="H46204" s="18"/>
      <c r="K46204" s="18" t="s">
        <v>316</v>
      </c>
    </row>
    <row r="46205">
      <c r="A46205" s="17"/>
      <c r="H46205" s="18"/>
      <c r="K46205" s="18" t="s">
        <v>316</v>
      </c>
    </row>
    <row r="46206">
      <c r="A46206" s="17"/>
      <c r="H46206" s="18"/>
      <c r="K46206" s="18" t="s">
        <v>316</v>
      </c>
    </row>
    <row r="46207">
      <c r="A46207" s="17"/>
      <c r="H46207" s="18"/>
      <c r="K46207" s="18" t="s">
        <v>316</v>
      </c>
    </row>
    <row r="46208">
      <c r="A46208" s="17"/>
      <c r="H46208" s="18"/>
      <c r="K46208" s="18" t="s">
        <v>316</v>
      </c>
    </row>
    <row r="46209">
      <c r="A46209" s="17"/>
      <c r="H46209" s="18"/>
      <c r="K46209" s="18" t="s">
        <v>316</v>
      </c>
    </row>
    <row r="46210">
      <c r="A46210" s="17"/>
      <c r="H46210" s="18"/>
      <c r="K46210" s="18" t="s">
        <v>316</v>
      </c>
    </row>
    <row r="46211">
      <c r="A46211" s="17"/>
      <c r="H46211" s="18"/>
      <c r="K46211" s="18" t="s">
        <v>316</v>
      </c>
    </row>
    <row r="46212">
      <c r="A46212" s="17"/>
      <c r="H46212" s="18"/>
      <c r="K46212" s="18" t="s">
        <v>316</v>
      </c>
    </row>
    <row r="46213">
      <c r="A46213" s="17"/>
      <c r="H46213" s="18"/>
      <c r="K46213" s="18" t="s">
        <v>316</v>
      </c>
    </row>
    <row r="46214">
      <c r="A46214" s="17"/>
      <c r="H46214" s="18"/>
      <c r="K46214" s="18" t="s">
        <v>316</v>
      </c>
    </row>
    <row r="46215">
      <c r="A46215" s="17"/>
      <c r="H46215" s="18"/>
      <c r="K46215" s="18" t="s">
        <v>316</v>
      </c>
    </row>
    <row r="46216">
      <c r="A46216" s="17"/>
      <c r="H46216" s="18"/>
      <c r="K46216" s="18" t="s">
        <v>316</v>
      </c>
    </row>
    <row r="46217">
      <c r="A46217" s="17"/>
      <c r="H46217" s="18"/>
      <c r="K46217" s="18" t="s">
        <v>316</v>
      </c>
    </row>
    <row r="46218">
      <c r="A46218" s="17"/>
      <c r="H46218" s="18"/>
      <c r="K46218" s="18" t="s">
        <v>316</v>
      </c>
    </row>
    <row r="46219">
      <c r="A46219" s="17"/>
      <c r="H46219" s="18"/>
      <c r="K46219" s="18" t="s">
        <v>316</v>
      </c>
    </row>
    <row r="46220">
      <c r="A46220" s="17"/>
      <c r="H46220" s="18"/>
      <c r="K46220" s="18" t="s">
        <v>316</v>
      </c>
    </row>
    <row r="46221">
      <c r="A46221" s="17"/>
      <c r="H46221" s="18"/>
      <c r="K46221" s="18" t="s">
        <v>316</v>
      </c>
    </row>
    <row r="46222">
      <c r="A46222" s="17"/>
      <c r="H46222" s="18"/>
      <c r="K46222" s="18" t="s">
        <v>316</v>
      </c>
    </row>
    <row r="46223">
      <c r="A46223" s="17"/>
      <c r="H46223" s="18"/>
      <c r="K46223" s="18" t="s">
        <v>316</v>
      </c>
    </row>
    <row r="46224">
      <c r="A46224" s="17"/>
      <c r="H46224" s="18"/>
      <c r="K46224" s="18" t="s">
        <v>316</v>
      </c>
    </row>
    <row r="46225">
      <c r="A46225" s="17"/>
      <c r="H46225" s="18"/>
      <c r="K46225" s="18" t="s">
        <v>316</v>
      </c>
    </row>
    <row r="46226">
      <c r="A46226" s="17"/>
      <c r="H46226" s="18"/>
      <c r="K46226" s="18" t="s">
        <v>316</v>
      </c>
    </row>
    <row r="46227">
      <c r="A46227" s="17"/>
      <c r="H46227" s="18"/>
      <c r="K46227" s="18" t="s">
        <v>316</v>
      </c>
    </row>
    <row r="46228">
      <c r="A46228" s="17"/>
      <c r="H46228" s="18"/>
      <c r="K46228" s="18" t="s">
        <v>316</v>
      </c>
    </row>
    <row r="46229">
      <c r="A46229" s="17"/>
      <c r="H46229" s="18"/>
      <c r="K46229" s="18" t="s">
        <v>316</v>
      </c>
    </row>
    <row r="46230">
      <c r="A46230" s="17"/>
      <c r="H46230" s="18"/>
      <c r="K46230" s="18" t="s">
        <v>316</v>
      </c>
    </row>
    <row r="46231">
      <c r="A46231" s="17"/>
      <c r="H46231" s="18"/>
      <c r="K46231" s="18" t="s">
        <v>316</v>
      </c>
    </row>
    <row r="46232">
      <c r="A46232" s="17"/>
      <c r="H46232" s="18"/>
      <c r="K46232" s="18" t="s">
        <v>316</v>
      </c>
    </row>
    <row r="46233">
      <c r="A46233" s="17"/>
      <c r="H46233" s="18"/>
      <c r="K46233" s="18" t="s">
        <v>316</v>
      </c>
    </row>
    <row r="46234">
      <c r="A46234" s="17"/>
      <c r="H46234" s="18"/>
      <c r="K46234" s="18" t="s">
        <v>316</v>
      </c>
    </row>
    <row r="46235">
      <c r="A46235" s="17"/>
      <c r="H46235" s="18"/>
      <c r="K46235" s="18" t="s">
        <v>316</v>
      </c>
    </row>
    <row r="46236">
      <c r="A46236" s="17"/>
      <c r="H46236" s="18"/>
      <c r="K46236" s="18" t="s">
        <v>316</v>
      </c>
    </row>
    <row r="46237">
      <c r="A46237" s="17"/>
      <c r="H46237" s="18"/>
      <c r="K46237" s="18" t="s">
        <v>316</v>
      </c>
    </row>
    <row r="46238">
      <c r="A46238" s="17"/>
      <c r="H46238" s="18"/>
      <c r="K46238" s="18" t="s">
        <v>316</v>
      </c>
    </row>
    <row r="46239">
      <c r="A46239" s="17"/>
      <c r="H46239" s="18"/>
      <c r="K46239" s="18" t="s">
        <v>316</v>
      </c>
    </row>
    <row r="46240">
      <c r="A46240" s="17"/>
      <c r="H46240" s="18"/>
      <c r="K46240" s="18" t="s">
        <v>316</v>
      </c>
    </row>
    <row r="46241">
      <c r="A46241" s="17"/>
      <c r="H46241" s="18"/>
      <c r="K46241" s="18" t="s">
        <v>316</v>
      </c>
    </row>
    <row r="46242">
      <c r="A46242" s="17"/>
      <c r="H46242" s="18"/>
      <c r="K46242" s="18" t="s">
        <v>316</v>
      </c>
    </row>
    <row r="46243">
      <c r="A46243" s="17"/>
      <c r="H46243" s="18"/>
      <c r="K46243" s="18" t="s">
        <v>316</v>
      </c>
    </row>
    <row r="46244">
      <c r="A46244" s="17"/>
      <c r="H46244" s="18"/>
      <c r="K46244" s="18" t="s">
        <v>316</v>
      </c>
    </row>
    <row r="46245">
      <c r="A46245" s="17"/>
      <c r="H46245" s="18"/>
      <c r="K46245" s="18" t="s">
        <v>316</v>
      </c>
    </row>
    <row r="46246">
      <c r="A46246" s="17"/>
      <c r="H46246" s="18"/>
      <c r="K46246" s="18" t="s">
        <v>316</v>
      </c>
    </row>
    <row r="46247">
      <c r="A46247" s="17"/>
      <c r="H46247" s="18"/>
      <c r="K46247" s="18" t="s">
        <v>316</v>
      </c>
    </row>
    <row r="46248">
      <c r="A46248" s="17"/>
      <c r="H46248" s="18"/>
      <c r="K46248" s="18" t="s">
        <v>316</v>
      </c>
    </row>
    <row r="46249">
      <c r="A46249" s="17"/>
      <c r="H46249" s="18"/>
      <c r="K46249" s="18" t="s">
        <v>316</v>
      </c>
    </row>
    <row r="46250">
      <c r="A46250" s="17"/>
      <c r="H46250" s="18"/>
      <c r="K46250" s="18" t="s">
        <v>316</v>
      </c>
    </row>
    <row r="46251">
      <c r="A46251" s="17"/>
      <c r="H46251" s="18"/>
      <c r="K46251" s="18" t="s">
        <v>316</v>
      </c>
    </row>
    <row r="46252">
      <c r="A46252" s="17"/>
      <c r="H46252" s="18"/>
      <c r="K46252" s="18" t="s">
        <v>316</v>
      </c>
    </row>
    <row r="46253">
      <c r="A46253" s="17"/>
      <c r="H46253" s="18"/>
      <c r="K46253" s="18" t="s">
        <v>316</v>
      </c>
    </row>
    <row r="46254">
      <c r="A46254" s="17"/>
      <c r="H46254" s="18"/>
      <c r="K46254" s="18" t="s">
        <v>316</v>
      </c>
    </row>
    <row r="46255">
      <c r="A46255" s="17"/>
      <c r="H46255" s="18"/>
      <c r="K46255" s="18" t="s">
        <v>316</v>
      </c>
    </row>
    <row r="46256">
      <c r="A46256" s="17"/>
      <c r="H46256" s="18"/>
      <c r="K46256" s="18" t="s">
        <v>316</v>
      </c>
    </row>
    <row r="46257">
      <c r="A46257" s="17"/>
      <c r="H46257" s="18"/>
      <c r="K46257" s="18" t="s">
        <v>316</v>
      </c>
    </row>
    <row r="46258">
      <c r="A46258" s="17"/>
      <c r="H46258" s="18"/>
      <c r="K46258" s="18" t="s">
        <v>316</v>
      </c>
    </row>
    <row r="46259">
      <c r="A46259" s="17"/>
      <c r="H46259" s="18"/>
      <c r="K46259" s="18" t="s">
        <v>316</v>
      </c>
    </row>
    <row r="46260">
      <c r="A46260" s="17"/>
      <c r="H46260" s="18"/>
      <c r="K46260" s="18" t="s">
        <v>316</v>
      </c>
    </row>
    <row r="46261">
      <c r="A46261" s="17"/>
      <c r="H46261" s="18"/>
      <c r="K46261" s="18" t="s">
        <v>316</v>
      </c>
    </row>
    <row r="46262">
      <c r="A46262" s="17"/>
      <c r="H46262" s="18"/>
      <c r="K46262" s="18" t="s">
        <v>316</v>
      </c>
    </row>
    <row r="46263">
      <c r="A46263" s="17"/>
      <c r="H46263" s="18"/>
      <c r="K46263" s="18" t="s">
        <v>316</v>
      </c>
    </row>
    <row r="46264">
      <c r="A46264" s="17"/>
      <c r="H46264" s="18"/>
      <c r="K46264" s="18" t="s">
        <v>316</v>
      </c>
    </row>
    <row r="46265">
      <c r="A46265" s="17"/>
      <c r="H46265" s="18"/>
      <c r="K46265" s="18" t="s">
        <v>316</v>
      </c>
    </row>
    <row r="46266">
      <c r="A46266" s="17"/>
      <c r="H46266" s="18"/>
      <c r="K46266" s="18" t="s">
        <v>316</v>
      </c>
    </row>
    <row r="46267">
      <c r="A46267" s="17"/>
      <c r="H46267" s="18"/>
      <c r="K46267" s="18" t="s">
        <v>316</v>
      </c>
    </row>
    <row r="46268">
      <c r="A46268" s="17"/>
      <c r="H46268" s="18"/>
      <c r="K46268" s="18" t="s">
        <v>316</v>
      </c>
    </row>
    <row r="46269">
      <c r="A46269" s="17"/>
      <c r="H46269" s="18"/>
      <c r="K46269" s="18" t="s">
        <v>316</v>
      </c>
    </row>
    <row r="46270">
      <c r="A46270" s="17"/>
      <c r="H46270" s="18"/>
      <c r="K46270" s="18" t="s">
        <v>316</v>
      </c>
    </row>
    <row r="46271">
      <c r="A46271" s="17"/>
      <c r="H46271" s="18"/>
      <c r="K46271" s="18" t="s">
        <v>316</v>
      </c>
    </row>
    <row r="46272">
      <c r="A46272" s="17"/>
      <c r="H46272" s="18"/>
      <c r="K46272" s="18" t="s">
        <v>316</v>
      </c>
    </row>
    <row r="46273">
      <c r="A46273" s="17"/>
      <c r="H46273" s="18"/>
      <c r="K46273" s="18" t="s">
        <v>316</v>
      </c>
    </row>
    <row r="46274">
      <c r="A46274" s="17"/>
      <c r="H46274" s="18"/>
      <c r="K46274" s="18" t="s">
        <v>316</v>
      </c>
    </row>
    <row r="46275">
      <c r="A46275" s="17"/>
      <c r="H46275" s="18"/>
      <c r="K46275" s="18" t="s">
        <v>316</v>
      </c>
    </row>
    <row r="46276">
      <c r="A46276" s="17"/>
      <c r="H46276" s="18"/>
      <c r="K46276" s="18" t="s">
        <v>316</v>
      </c>
    </row>
    <row r="46277">
      <c r="A46277" s="17"/>
      <c r="H46277" s="18"/>
      <c r="K46277" s="18" t="s">
        <v>316</v>
      </c>
    </row>
    <row r="46278">
      <c r="A46278" s="17"/>
      <c r="H46278" s="18"/>
      <c r="K46278" s="18" t="s">
        <v>316</v>
      </c>
    </row>
    <row r="46279">
      <c r="A46279" s="17"/>
      <c r="H46279" s="18"/>
      <c r="K46279" s="18" t="s">
        <v>316</v>
      </c>
    </row>
    <row r="46280">
      <c r="A46280" s="17"/>
      <c r="H46280" s="18"/>
      <c r="K46280" s="18" t="s">
        <v>316</v>
      </c>
    </row>
    <row r="46281">
      <c r="A46281" s="17"/>
      <c r="H46281" s="18"/>
      <c r="K46281" s="18" t="s">
        <v>316</v>
      </c>
    </row>
    <row r="46282">
      <c r="A46282" s="17"/>
      <c r="H46282" s="18"/>
      <c r="K46282" s="18" t="s">
        <v>316</v>
      </c>
    </row>
    <row r="46283">
      <c r="A46283" s="17"/>
      <c r="H46283" s="18"/>
      <c r="K46283" s="18" t="s">
        <v>316</v>
      </c>
    </row>
    <row r="46284">
      <c r="A46284" s="17"/>
      <c r="H46284" s="18"/>
      <c r="K46284" s="18" t="s">
        <v>316</v>
      </c>
    </row>
    <row r="46285">
      <c r="A46285" s="17"/>
      <c r="H46285" s="18"/>
      <c r="K46285" s="18" t="s">
        <v>316</v>
      </c>
    </row>
    <row r="46286">
      <c r="A46286" s="17"/>
      <c r="H46286" s="18"/>
      <c r="K46286" s="18" t="s">
        <v>316</v>
      </c>
    </row>
    <row r="46287">
      <c r="A46287" s="17"/>
      <c r="H46287" s="18"/>
      <c r="K46287" s="18" t="s">
        <v>316</v>
      </c>
    </row>
    <row r="46288">
      <c r="A46288" s="17"/>
      <c r="H46288" s="18"/>
      <c r="K46288" s="18" t="s">
        <v>316</v>
      </c>
    </row>
    <row r="46289">
      <c r="A46289" s="17"/>
      <c r="H46289" s="18"/>
      <c r="K46289" s="18" t="s">
        <v>316</v>
      </c>
    </row>
    <row r="46290">
      <c r="A46290" s="17"/>
      <c r="H46290" s="18"/>
      <c r="K46290" s="18" t="s">
        <v>316</v>
      </c>
    </row>
    <row r="46291">
      <c r="A46291" s="17"/>
      <c r="H46291" s="18"/>
      <c r="K46291" s="18" t="s">
        <v>316</v>
      </c>
    </row>
    <row r="46292">
      <c r="A46292" s="17"/>
      <c r="H46292" s="18"/>
      <c r="K46292" s="18" t="s">
        <v>316</v>
      </c>
    </row>
    <row r="46293">
      <c r="A46293" s="17"/>
      <c r="H46293" s="18"/>
      <c r="K46293" s="18" t="s">
        <v>316</v>
      </c>
    </row>
    <row r="46294">
      <c r="A46294" s="17"/>
      <c r="H46294" s="18"/>
      <c r="K46294" s="18" t="s">
        <v>316</v>
      </c>
    </row>
    <row r="46295">
      <c r="A46295" s="17"/>
      <c r="H46295" s="18"/>
      <c r="K46295" s="18" t="s">
        <v>316</v>
      </c>
    </row>
    <row r="46296">
      <c r="A46296" s="17"/>
      <c r="H46296" s="18"/>
      <c r="K46296" s="18" t="s">
        <v>316</v>
      </c>
    </row>
    <row r="46297">
      <c r="A46297" s="17"/>
      <c r="H46297" s="18"/>
      <c r="K46297" s="18" t="s">
        <v>316</v>
      </c>
    </row>
    <row r="46298">
      <c r="A46298" s="17"/>
      <c r="H46298" s="18"/>
      <c r="K46298" s="18" t="s">
        <v>316</v>
      </c>
    </row>
    <row r="46299">
      <c r="A46299" s="17"/>
      <c r="H46299" s="18"/>
      <c r="K46299" s="18" t="s">
        <v>316</v>
      </c>
    </row>
    <row r="46300">
      <c r="A46300" s="17"/>
      <c r="H46300" s="18"/>
      <c r="K46300" s="18" t="s">
        <v>316</v>
      </c>
    </row>
    <row r="46301">
      <c r="A46301" s="17"/>
      <c r="H46301" s="18"/>
      <c r="K46301" s="18" t="s">
        <v>316</v>
      </c>
    </row>
    <row r="46302">
      <c r="A46302" s="17"/>
      <c r="H46302" s="18"/>
      <c r="K46302" s="18" t="s">
        <v>316</v>
      </c>
    </row>
    <row r="46303">
      <c r="A46303" s="17"/>
      <c r="H46303" s="18"/>
      <c r="K46303" s="18" t="s">
        <v>316</v>
      </c>
    </row>
    <row r="46304">
      <c r="A46304" s="17"/>
      <c r="H46304" s="18"/>
      <c r="K46304" s="18" t="s">
        <v>316</v>
      </c>
    </row>
    <row r="46305">
      <c r="A46305" s="17"/>
      <c r="H46305" s="18"/>
      <c r="K46305" s="18" t="s">
        <v>316</v>
      </c>
    </row>
    <row r="46306">
      <c r="A46306" s="17"/>
      <c r="H46306" s="18"/>
      <c r="K46306" s="18" t="s">
        <v>316</v>
      </c>
    </row>
    <row r="46307">
      <c r="A46307" s="17"/>
      <c r="H46307" s="18"/>
      <c r="K46307" s="18" t="s">
        <v>316</v>
      </c>
    </row>
    <row r="46308">
      <c r="A46308" s="17"/>
      <c r="H46308" s="18"/>
      <c r="K46308" s="18" t="s">
        <v>316</v>
      </c>
    </row>
    <row r="46309">
      <c r="A46309" s="17"/>
      <c r="H46309" s="18"/>
      <c r="K46309" s="18" t="s">
        <v>316</v>
      </c>
    </row>
    <row r="46310">
      <c r="A46310" s="17"/>
      <c r="H46310" s="18"/>
      <c r="K46310" s="18" t="s">
        <v>316</v>
      </c>
    </row>
    <row r="46311">
      <c r="A46311" s="17"/>
      <c r="H46311" s="18"/>
      <c r="K46311" s="18" t="s">
        <v>316</v>
      </c>
    </row>
    <row r="46312">
      <c r="A46312" s="17"/>
      <c r="H46312" s="18"/>
      <c r="K46312" s="18" t="s">
        <v>316</v>
      </c>
    </row>
    <row r="46313">
      <c r="A46313" s="17"/>
      <c r="H46313" s="18"/>
      <c r="K46313" s="18" t="s">
        <v>316</v>
      </c>
    </row>
    <row r="46314">
      <c r="A46314" s="17"/>
      <c r="H46314" s="18"/>
      <c r="K46314" s="18" t="s">
        <v>316</v>
      </c>
    </row>
    <row r="46315">
      <c r="A46315" s="17"/>
      <c r="H46315" s="18"/>
      <c r="K46315" s="18" t="s">
        <v>316</v>
      </c>
    </row>
    <row r="46316">
      <c r="A46316" s="17"/>
      <c r="H46316" s="18"/>
      <c r="K46316" s="18" t="s">
        <v>316</v>
      </c>
    </row>
    <row r="46317">
      <c r="A46317" s="17"/>
      <c r="H46317" s="18"/>
      <c r="K46317" s="18" t="s">
        <v>316</v>
      </c>
    </row>
    <row r="46318">
      <c r="A46318" s="17"/>
      <c r="H46318" s="18"/>
      <c r="K46318" s="18" t="s">
        <v>316</v>
      </c>
    </row>
    <row r="46319">
      <c r="A46319" s="17"/>
      <c r="H46319" s="18"/>
      <c r="K46319" s="18" t="s">
        <v>316</v>
      </c>
    </row>
    <row r="46320">
      <c r="A46320" s="17"/>
      <c r="H46320" s="18"/>
      <c r="K46320" s="18" t="s">
        <v>316</v>
      </c>
    </row>
    <row r="46321">
      <c r="A46321" s="17"/>
      <c r="H46321" s="18"/>
      <c r="K46321" s="18" t="s">
        <v>316</v>
      </c>
    </row>
    <row r="46322">
      <c r="A46322" s="17"/>
      <c r="H46322" s="18"/>
      <c r="K46322" s="18" t="s">
        <v>316</v>
      </c>
    </row>
    <row r="46323">
      <c r="A46323" s="17"/>
      <c r="H46323" s="18"/>
      <c r="K46323" s="18" t="s">
        <v>316</v>
      </c>
    </row>
    <row r="46324">
      <c r="A46324" s="17"/>
      <c r="H46324" s="18"/>
      <c r="K46324" s="18" t="s">
        <v>316</v>
      </c>
    </row>
    <row r="46325">
      <c r="A46325" s="17"/>
      <c r="H46325" s="18"/>
      <c r="K46325" s="18" t="s">
        <v>316</v>
      </c>
    </row>
    <row r="46326">
      <c r="A46326" s="17"/>
      <c r="H46326" s="18"/>
      <c r="K46326" s="18" t="s">
        <v>316</v>
      </c>
    </row>
    <row r="46327">
      <c r="A46327" s="17"/>
      <c r="H46327" s="18"/>
      <c r="K46327" s="18" t="s">
        <v>316</v>
      </c>
    </row>
    <row r="46328">
      <c r="A46328" s="17"/>
      <c r="H46328" s="18"/>
      <c r="K46328" s="18" t="s">
        <v>316</v>
      </c>
    </row>
    <row r="46329">
      <c r="A46329" s="17"/>
      <c r="H46329" s="18"/>
      <c r="K46329" s="18" t="s">
        <v>316</v>
      </c>
    </row>
    <row r="46330">
      <c r="A46330" s="17"/>
      <c r="H46330" s="18"/>
      <c r="K46330" s="18" t="s">
        <v>316</v>
      </c>
    </row>
    <row r="46331">
      <c r="A46331" s="17"/>
      <c r="H46331" s="18"/>
      <c r="K46331" s="18" t="s">
        <v>316</v>
      </c>
    </row>
    <row r="46332">
      <c r="A46332" s="17"/>
      <c r="H46332" s="18"/>
      <c r="K46332" s="18" t="s">
        <v>316</v>
      </c>
    </row>
    <row r="46333">
      <c r="A46333" s="17"/>
      <c r="H46333" s="18"/>
      <c r="K46333" s="18" t="s">
        <v>316</v>
      </c>
    </row>
    <row r="46334">
      <c r="A46334" s="17"/>
      <c r="H46334" s="18"/>
      <c r="K46334" s="18" t="s">
        <v>316</v>
      </c>
    </row>
    <row r="46335">
      <c r="A46335" s="17"/>
      <c r="H46335" s="18"/>
      <c r="K46335" s="18" t="s">
        <v>316</v>
      </c>
    </row>
    <row r="46336">
      <c r="A46336" s="17"/>
      <c r="H46336" s="18"/>
      <c r="K46336" s="18" t="s">
        <v>316</v>
      </c>
    </row>
    <row r="46337">
      <c r="A46337" s="17"/>
      <c r="H46337" s="18"/>
      <c r="K46337" s="18" t="s">
        <v>316</v>
      </c>
    </row>
    <row r="46338">
      <c r="A46338" s="17"/>
      <c r="H46338" s="18"/>
      <c r="K46338" s="18" t="s">
        <v>316</v>
      </c>
    </row>
    <row r="46339">
      <c r="A46339" s="17"/>
      <c r="H46339" s="18"/>
      <c r="K46339" s="18" t="s">
        <v>316</v>
      </c>
    </row>
    <row r="46340">
      <c r="A46340" s="17"/>
      <c r="H46340" s="18"/>
      <c r="K46340" s="18" t="s">
        <v>316</v>
      </c>
    </row>
    <row r="46341">
      <c r="A46341" s="17"/>
      <c r="H46341" s="18"/>
      <c r="K46341" s="18" t="s">
        <v>316</v>
      </c>
    </row>
    <row r="46342">
      <c r="A46342" s="17"/>
      <c r="H46342" s="18"/>
      <c r="K46342" s="18" t="s">
        <v>316</v>
      </c>
    </row>
    <row r="46343">
      <c r="A46343" s="17"/>
      <c r="H46343" s="18"/>
      <c r="K46343" s="18" t="s">
        <v>316</v>
      </c>
    </row>
    <row r="46344">
      <c r="A46344" s="17"/>
      <c r="H46344" s="18"/>
      <c r="K46344" s="18" t="s">
        <v>316</v>
      </c>
    </row>
    <row r="46345">
      <c r="A46345" s="17"/>
      <c r="H46345" s="18"/>
      <c r="K46345" s="18" t="s">
        <v>316</v>
      </c>
    </row>
    <row r="46346">
      <c r="A46346" s="17"/>
      <c r="H46346" s="18"/>
      <c r="K46346" s="18" t="s">
        <v>316</v>
      </c>
    </row>
    <row r="46347">
      <c r="A46347" s="17"/>
      <c r="H46347" s="18"/>
      <c r="K46347" s="18" t="s">
        <v>316</v>
      </c>
    </row>
    <row r="46348">
      <c r="A46348" s="17"/>
      <c r="H46348" s="18"/>
      <c r="K46348" s="18" t="s">
        <v>316</v>
      </c>
    </row>
    <row r="46349">
      <c r="A46349" s="17"/>
      <c r="H46349" s="18"/>
      <c r="K46349" s="18" t="s">
        <v>316</v>
      </c>
    </row>
    <row r="46350">
      <c r="A46350" s="17"/>
      <c r="H46350" s="18"/>
      <c r="K46350" s="18" t="s">
        <v>316</v>
      </c>
    </row>
    <row r="46351">
      <c r="A46351" s="17"/>
      <c r="H46351" s="18"/>
      <c r="K46351" s="18" t="s">
        <v>316</v>
      </c>
    </row>
    <row r="46352">
      <c r="A46352" s="17"/>
      <c r="H46352" s="18"/>
      <c r="K46352" s="18" t="s">
        <v>316</v>
      </c>
    </row>
    <row r="46353">
      <c r="A46353" s="17"/>
      <c r="H46353" s="18"/>
      <c r="K46353" s="18" t="s">
        <v>316</v>
      </c>
    </row>
    <row r="46354">
      <c r="A46354" s="17"/>
      <c r="H46354" s="18"/>
      <c r="K46354" s="18" t="s">
        <v>316</v>
      </c>
    </row>
    <row r="46355">
      <c r="A46355" s="17"/>
      <c r="H46355" s="18"/>
      <c r="K46355" s="18" t="s">
        <v>316</v>
      </c>
    </row>
    <row r="46356">
      <c r="A46356" s="17"/>
      <c r="H46356" s="18"/>
      <c r="K46356" s="18" t="s">
        <v>316</v>
      </c>
    </row>
    <row r="46357">
      <c r="A46357" s="17"/>
      <c r="H46357" s="18"/>
      <c r="K46357" s="18" t="s">
        <v>316</v>
      </c>
    </row>
    <row r="46358">
      <c r="A46358" s="17"/>
      <c r="H46358" s="18"/>
      <c r="K46358" s="18" t="s">
        <v>316</v>
      </c>
    </row>
    <row r="46359">
      <c r="A46359" s="17"/>
      <c r="H46359" s="18"/>
      <c r="K46359" s="18" t="s">
        <v>316</v>
      </c>
    </row>
    <row r="46360">
      <c r="A46360" s="17"/>
      <c r="H46360" s="18"/>
      <c r="K46360" s="18" t="s">
        <v>316</v>
      </c>
    </row>
    <row r="46361">
      <c r="A46361" s="17"/>
      <c r="H46361" s="18"/>
      <c r="K46361" s="18" t="s">
        <v>316</v>
      </c>
    </row>
    <row r="46362">
      <c r="A46362" s="17"/>
      <c r="H46362" s="18"/>
      <c r="K46362" s="18" t="s">
        <v>316</v>
      </c>
    </row>
    <row r="46363">
      <c r="A46363" s="17"/>
      <c r="H46363" s="18"/>
      <c r="K46363" s="18" t="s">
        <v>316</v>
      </c>
    </row>
    <row r="46364">
      <c r="A46364" s="17"/>
      <c r="H46364" s="18"/>
      <c r="K46364" s="18" t="s">
        <v>316</v>
      </c>
    </row>
    <row r="46365">
      <c r="A46365" s="17"/>
      <c r="H46365" s="18"/>
      <c r="K46365" s="18" t="s">
        <v>316</v>
      </c>
    </row>
    <row r="46366">
      <c r="A46366" s="17"/>
      <c r="H46366" s="18"/>
      <c r="K46366" s="18" t="s">
        <v>316</v>
      </c>
    </row>
    <row r="46367">
      <c r="A46367" s="17"/>
      <c r="H46367" s="18"/>
      <c r="K46367" s="18" t="s">
        <v>316</v>
      </c>
    </row>
    <row r="46368">
      <c r="A46368" s="17"/>
      <c r="H46368" s="18"/>
      <c r="K46368" s="18" t="s">
        <v>316</v>
      </c>
    </row>
    <row r="46369">
      <c r="A46369" s="17"/>
      <c r="H46369" s="18"/>
      <c r="K46369" s="18" t="s">
        <v>316</v>
      </c>
    </row>
    <row r="46370">
      <c r="A46370" s="17"/>
      <c r="H46370" s="18"/>
      <c r="K46370" s="18" t="s">
        <v>316</v>
      </c>
    </row>
    <row r="46371">
      <c r="A46371" s="17"/>
      <c r="H46371" s="18"/>
      <c r="K46371" s="18" t="s">
        <v>316</v>
      </c>
    </row>
    <row r="46372">
      <c r="A46372" s="17"/>
      <c r="H46372" s="18"/>
      <c r="K46372" s="18" t="s">
        <v>316</v>
      </c>
    </row>
    <row r="46373">
      <c r="A46373" s="17"/>
      <c r="H46373" s="18"/>
      <c r="K46373" s="18" t="s">
        <v>316</v>
      </c>
    </row>
    <row r="46374">
      <c r="A46374" s="17"/>
      <c r="H46374" s="18"/>
      <c r="K46374" s="18" t="s">
        <v>316</v>
      </c>
    </row>
    <row r="46375">
      <c r="A46375" s="17"/>
      <c r="H46375" s="18"/>
      <c r="K46375" s="18" t="s">
        <v>316</v>
      </c>
    </row>
    <row r="46376">
      <c r="A46376" s="17"/>
      <c r="H46376" s="18"/>
      <c r="K46376" s="18" t="s">
        <v>316</v>
      </c>
    </row>
    <row r="46377">
      <c r="A46377" s="17"/>
      <c r="H46377" s="18"/>
      <c r="K46377" s="18" t="s">
        <v>316</v>
      </c>
    </row>
    <row r="46378">
      <c r="A46378" s="17"/>
      <c r="H46378" s="18"/>
      <c r="K46378" s="18" t="s">
        <v>316</v>
      </c>
    </row>
    <row r="46379">
      <c r="A46379" s="17"/>
      <c r="H46379" s="18"/>
      <c r="K46379" s="18" t="s">
        <v>316</v>
      </c>
    </row>
    <row r="46380">
      <c r="A46380" s="17"/>
      <c r="H46380" s="18"/>
      <c r="K46380" s="18" t="s">
        <v>316</v>
      </c>
    </row>
    <row r="46381">
      <c r="A46381" s="17"/>
      <c r="H46381" s="18"/>
      <c r="K46381" s="18" t="s">
        <v>316</v>
      </c>
    </row>
    <row r="46382">
      <c r="A46382" s="17"/>
      <c r="H46382" s="18"/>
      <c r="K46382" s="18" t="s">
        <v>316</v>
      </c>
    </row>
    <row r="46383">
      <c r="A46383" s="17"/>
      <c r="H46383" s="18"/>
      <c r="K46383" s="18" t="s">
        <v>316</v>
      </c>
    </row>
    <row r="46384">
      <c r="A46384" s="17"/>
      <c r="H46384" s="18"/>
      <c r="K46384" s="18" t="s">
        <v>316</v>
      </c>
    </row>
    <row r="46385">
      <c r="A46385" s="17"/>
      <c r="H46385" s="18"/>
      <c r="K46385" s="18" t="s">
        <v>316</v>
      </c>
    </row>
    <row r="46386">
      <c r="A46386" s="17"/>
      <c r="H46386" s="18"/>
      <c r="K46386" s="18" t="s">
        <v>316</v>
      </c>
    </row>
    <row r="46387">
      <c r="A46387" s="17"/>
      <c r="H46387" s="18"/>
      <c r="K46387" s="18" t="s">
        <v>316</v>
      </c>
    </row>
    <row r="46388">
      <c r="A46388" s="17"/>
      <c r="H46388" s="18"/>
      <c r="K46388" s="18" t="s">
        <v>316</v>
      </c>
    </row>
    <row r="46389">
      <c r="A46389" s="17"/>
      <c r="H46389" s="18"/>
      <c r="K46389" s="18" t="s">
        <v>316</v>
      </c>
    </row>
    <row r="46390">
      <c r="A46390" s="17"/>
      <c r="H46390" s="18"/>
      <c r="K46390" s="18" t="s">
        <v>316</v>
      </c>
    </row>
    <row r="46391">
      <c r="A46391" s="17"/>
      <c r="H46391" s="18"/>
      <c r="K46391" s="18" t="s">
        <v>316</v>
      </c>
    </row>
    <row r="46392">
      <c r="A46392" s="17"/>
      <c r="H46392" s="18"/>
      <c r="K46392" s="18" t="s">
        <v>316</v>
      </c>
    </row>
    <row r="46393">
      <c r="A46393" s="17"/>
      <c r="H46393" s="18"/>
      <c r="K46393" s="18" t="s">
        <v>316</v>
      </c>
    </row>
    <row r="46394">
      <c r="A46394" s="17"/>
      <c r="H46394" s="18"/>
      <c r="K46394" s="18" t="s">
        <v>316</v>
      </c>
    </row>
    <row r="46395">
      <c r="A46395" s="17"/>
      <c r="H46395" s="18"/>
      <c r="K46395" s="18" t="s">
        <v>316</v>
      </c>
    </row>
    <row r="46396">
      <c r="A46396" s="17"/>
      <c r="H46396" s="18"/>
      <c r="K46396" s="18" t="s">
        <v>316</v>
      </c>
    </row>
    <row r="46397">
      <c r="A46397" s="17"/>
      <c r="H46397" s="18"/>
      <c r="K46397" s="18" t="s">
        <v>316</v>
      </c>
    </row>
    <row r="46398">
      <c r="A46398" s="17"/>
      <c r="H46398" s="18"/>
      <c r="K46398" s="18" t="s">
        <v>316</v>
      </c>
    </row>
    <row r="46399">
      <c r="A46399" s="17"/>
      <c r="H46399" s="18"/>
      <c r="K46399" s="18" t="s">
        <v>316</v>
      </c>
    </row>
    <row r="46400">
      <c r="A46400" s="17"/>
      <c r="H46400" s="18"/>
      <c r="K46400" s="18" t="s">
        <v>316</v>
      </c>
    </row>
    <row r="46401">
      <c r="A46401" s="17"/>
      <c r="H46401" s="18"/>
      <c r="K46401" s="18" t="s">
        <v>316</v>
      </c>
    </row>
    <row r="46402">
      <c r="A46402" s="17"/>
      <c r="H46402" s="18"/>
      <c r="K46402" s="18" t="s">
        <v>316</v>
      </c>
    </row>
    <row r="46403">
      <c r="A46403" s="17"/>
      <c r="H46403" s="18"/>
      <c r="K46403" s="18" t="s">
        <v>316</v>
      </c>
    </row>
    <row r="46404">
      <c r="A46404" s="17"/>
      <c r="H46404" s="18"/>
      <c r="K46404" s="18" t="s">
        <v>316</v>
      </c>
    </row>
    <row r="46405">
      <c r="A46405" s="17"/>
      <c r="H46405" s="18"/>
      <c r="K46405" s="18" t="s">
        <v>316</v>
      </c>
    </row>
    <row r="46406">
      <c r="A46406" s="17"/>
      <c r="H46406" s="18"/>
      <c r="K46406" s="18" t="s">
        <v>316</v>
      </c>
    </row>
    <row r="46407">
      <c r="A46407" s="17"/>
      <c r="H46407" s="18"/>
      <c r="K46407" s="18" t="s">
        <v>316</v>
      </c>
    </row>
    <row r="46408">
      <c r="A46408" s="17"/>
      <c r="H46408" s="18"/>
      <c r="K46408" s="18" t="s">
        <v>316</v>
      </c>
    </row>
    <row r="46409">
      <c r="A46409" s="17"/>
      <c r="H46409" s="18"/>
      <c r="K46409" s="18" t="s">
        <v>316</v>
      </c>
    </row>
    <row r="46410">
      <c r="A46410" s="17"/>
      <c r="H46410" s="18"/>
      <c r="K46410" s="18" t="s">
        <v>316</v>
      </c>
    </row>
    <row r="46411">
      <c r="A46411" s="17"/>
      <c r="H46411" s="18"/>
      <c r="K46411" s="18" t="s">
        <v>316</v>
      </c>
    </row>
    <row r="46412">
      <c r="A46412" s="17"/>
      <c r="H46412" s="18"/>
      <c r="K46412" s="18" t="s">
        <v>316</v>
      </c>
    </row>
    <row r="46413">
      <c r="A46413" s="17"/>
      <c r="H46413" s="18"/>
      <c r="K46413" s="18" t="s">
        <v>316</v>
      </c>
    </row>
    <row r="46414">
      <c r="A46414" s="17"/>
      <c r="H46414" s="18"/>
      <c r="K46414" s="18" t="s">
        <v>316</v>
      </c>
    </row>
    <row r="46415">
      <c r="A46415" s="17"/>
      <c r="H46415" s="18"/>
      <c r="K46415" s="18" t="s">
        <v>316</v>
      </c>
    </row>
    <row r="46416">
      <c r="A46416" s="17"/>
      <c r="H46416" s="18"/>
      <c r="K46416" s="18" t="s">
        <v>316</v>
      </c>
    </row>
    <row r="46417">
      <c r="A46417" s="17"/>
      <c r="H46417" s="18"/>
      <c r="K46417" s="18" t="s">
        <v>316</v>
      </c>
    </row>
    <row r="46418">
      <c r="A46418" s="17"/>
      <c r="H46418" s="18"/>
      <c r="K46418" s="18" t="s">
        <v>316</v>
      </c>
    </row>
    <row r="46419">
      <c r="A46419" s="17"/>
      <c r="H46419" s="18"/>
      <c r="K46419" s="18" t="s">
        <v>316</v>
      </c>
    </row>
    <row r="46420">
      <c r="A46420" s="17"/>
      <c r="H46420" s="18"/>
      <c r="K46420" s="18" t="s">
        <v>316</v>
      </c>
    </row>
    <row r="46421">
      <c r="A46421" s="17"/>
      <c r="H46421" s="18"/>
      <c r="K46421" s="18" t="s">
        <v>316</v>
      </c>
    </row>
    <row r="46422">
      <c r="A46422" s="17"/>
      <c r="H46422" s="18"/>
      <c r="K46422" s="18" t="s">
        <v>316</v>
      </c>
    </row>
    <row r="46423">
      <c r="A46423" s="17"/>
      <c r="H46423" s="18"/>
      <c r="K46423" s="18" t="s">
        <v>316</v>
      </c>
    </row>
    <row r="46424">
      <c r="A46424" s="17"/>
      <c r="H46424" s="18"/>
      <c r="K46424" s="18" t="s">
        <v>316</v>
      </c>
    </row>
    <row r="46425">
      <c r="A46425" s="17"/>
      <c r="H46425" s="18"/>
      <c r="K46425" s="18" t="s">
        <v>316</v>
      </c>
    </row>
    <row r="46426">
      <c r="A46426" s="17"/>
      <c r="H46426" s="18"/>
      <c r="K46426" s="18" t="s">
        <v>316</v>
      </c>
    </row>
    <row r="46427">
      <c r="A46427" s="17"/>
      <c r="H46427" s="18"/>
      <c r="K46427" s="18" t="s">
        <v>316</v>
      </c>
    </row>
    <row r="46428">
      <c r="A46428" s="17"/>
      <c r="H46428" s="18"/>
      <c r="K46428" s="18" t="s">
        <v>316</v>
      </c>
    </row>
    <row r="46429">
      <c r="A46429" s="17"/>
      <c r="H46429" s="18"/>
      <c r="K46429" s="18" t="s">
        <v>316</v>
      </c>
    </row>
    <row r="46430">
      <c r="A46430" s="17"/>
      <c r="H46430" s="18"/>
      <c r="K46430" s="18" t="s">
        <v>316</v>
      </c>
    </row>
    <row r="46431">
      <c r="A46431" s="17"/>
      <c r="H46431" s="18"/>
      <c r="K46431" s="18" t="s">
        <v>316</v>
      </c>
    </row>
    <row r="46432">
      <c r="A46432" s="17"/>
      <c r="H46432" s="18"/>
      <c r="K46432" s="18" t="s">
        <v>316</v>
      </c>
    </row>
    <row r="46433">
      <c r="A46433" s="17"/>
      <c r="H46433" s="18"/>
      <c r="K46433" s="18" t="s">
        <v>316</v>
      </c>
    </row>
    <row r="46434">
      <c r="A46434" s="17"/>
      <c r="H46434" s="18"/>
      <c r="K46434" s="18" t="s">
        <v>316</v>
      </c>
    </row>
    <row r="46435">
      <c r="A46435" s="17"/>
      <c r="H46435" s="18"/>
      <c r="K46435" s="18" t="s">
        <v>316</v>
      </c>
    </row>
    <row r="46436">
      <c r="A46436" s="17"/>
      <c r="H46436" s="18"/>
      <c r="K46436" s="18" t="s">
        <v>316</v>
      </c>
    </row>
    <row r="46437">
      <c r="A46437" s="17"/>
      <c r="H46437" s="18"/>
      <c r="K46437" s="18" t="s">
        <v>316</v>
      </c>
    </row>
    <row r="46438">
      <c r="A46438" s="17"/>
      <c r="H46438" s="18"/>
      <c r="K46438" s="18" t="s">
        <v>316</v>
      </c>
    </row>
    <row r="46439">
      <c r="A46439" s="17"/>
      <c r="H46439" s="18"/>
      <c r="K46439" s="18" t="s">
        <v>316</v>
      </c>
    </row>
    <row r="46440">
      <c r="A46440" s="17"/>
      <c r="H46440" s="18"/>
      <c r="K46440" s="18" t="s">
        <v>316</v>
      </c>
    </row>
    <row r="46441">
      <c r="A46441" s="17"/>
      <c r="H46441" s="18"/>
      <c r="K46441" s="18" t="s">
        <v>316</v>
      </c>
    </row>
    <row r="46442">
      <c r="A46442" s="17"/>
      <c r="H46442" s="18"/>
      <c r="K46442" s="18" t="s">
        <v>316</v>
      </c>
    </row>
    <row r="46443">
      <c r="A46443" s="17"/>
      <c r="H46443" s="18"/>
      <c r="K46443" s="18" t="s">
        <v>316</v>
      </c>
    </row>
    <row r="46444">
      <c r="A46444" s="17"/>
      <c r="H46444" s="18"/>
      <c r="K46444" s="18" t="s">
        <v>316</v>
      </c>
    </row>
    <row r="46445">
      <c r="A46445" s="17"/>
      <c r="H46445" s="18"/>
      <c r="K46445" s="18" t="s">
        <v>316</v>
      </c>
    </row>
    <row r="46446">
      <c r="A46446" s="17"/>
      <c r="H46446" s="18"/>
      <c r="K46446" s="18" t="s">
        <v>316</v>
      </c>
    </row>
    <row r="46447">
      <c r="A46447" s="17"/>
      <c r="H46447" s="18"/>
      <c r="K46447" s="18" t="s">
        <v>316</v>
      </c>
    </row>
    <row r="46448">
      <c r="A46448" s="17"/>
      <c r="H46448" s="18"/>
      <c r="K46448" s="18" t="s">
        <v>316</v>
      </c>
    </row>
    <row r="46449">
      <c r="A46449" s="17"/>
      <c r="H46449" s="18"/>
      <c r="K46449" s="18" t="s">
        <v>316</v>
      </c>
    </row>
    <row r="46450">
      <c r="A46450" s="17"/>
      <c r="H46450" s="18"/>
      <c r="K46450" s="18" t="s">
        <v>316</v>
      </c>
    </row>
    <row r="46451">
      <c r="A46451" s="17"/>
      <c r="H46451" s="18"/>
      <c r="K46451" s="18" t="s">
        <v>316</v>
      </c>
    </row>
    <row r="46452">
      <c r="A46452" s="17"/>
      <c r="H46452" s="18"/>
      <c r="K46452" s="18" t="s">
        <v>316</v>
      </c>
    </row>
    <row r="46453">
      <c r="A46453" s="17"/>
      <c r="H46453" s="18"/>
      <c r="K46453" s="18" t="s">
        <v>316</v>
      </c>
    </row>
    <row r="46454">
      <c r="A46454" s="17"/>
      <c r="H46454" s="18"/>
      <c r="K46454" s="18" t="s">
        <v>316</v>
      </c>
    </row>
    <row r="46455">
      <c r="A46455" s="17"/>
      <c r="H46455" s="18"/>
      <c r="K46455" s="18" t="s">
        <v>316</v>
      </c>
    </row>
    <row r="46456">
      <c r="A46456" s="17"/>
      <c r="H46456" s="18"/>
      <c r="K46456" s="18" t="s">
        <v>316</v>
      </c>
    </row>
    <row r="46457">
      <c r="A46457" s="17"/>
      <c r="H46457" s="18"/>
      <c r="K46457" s="18" t="s">
        <v>316</v>
      </c>
    </row>
    <row r="46458">
      <c r="A46458" s="17"/>
      <c r="H46458" s="18"/>
      <c r="K46458" s="18" t="s">
        <v>316</v>
      </c>
    </row>
    <row r="46459">
      <c r="A46459" s="17"/>
      <c r="H46459" s="18"/>
      <c r="K46459" s="18" t="s">
        <v>316</v>
      </c>
    </row>
    <row r="46460">
      <c r="A46460" s="17"/>
      <c r="H46460" s="18"/>
      <c r="K46460" s="18" t="s">
        <v>316</v>
      </c>
    </row>
    <row r="46461">
      <c r="A46461" s="17"/>
      <c r="H46461" s="18"/>
      <c r="K46461" s="18" t="s">
        <v>316</v>
      </c>
    </row>
    <row r="46462">
      <c r="A46462" s="17"/>
      <c r="H46462" s="18"/>
      <c r="K46462" s="18" t="s">
        <v>316</v>
      </c>
    </row>
    <row r="46463">
      <c r="A46463" s="17"/>
      <c r="H46463" s="18"/>
      <c r="K46463" s="18" t="s">
        <v>316</v>
      </c>
    </row>
    <row r="46464">
      <c r="A46464" s="17"/>
      <c r="H46464" s="18"/>
      <c r="K46464" s="18" t="s">
        <v>316</v>
      </c>
    </row>
    <row r="46465">
      <c r="A46465" s="17"/>
      <c r="H46465" s="18"/>
      <c r="K46465" s="18" t="s">
        <v>316</v>
      </c>
    </row>
    <row r="46466">
      <c r="A46466" s="17"/>
      <c r="H46466" s="18"/>
      <c r="K46466" s="18" t="s">
        <v>316</v>
      </c>
    </row>
    <row r="46467">
      <c r="A46467" s="17"/>
      <c r="H46467" s="18"/>
      <c r="K46467" s="18" t="s">
        <v>316</v>
      </c>
    </row>
    <row r="46468">
      <c r="A46468" s="17"/>
      <c r="H46468" s="18"/>
      <c r="K46468" s="18" t="s">
        <v>316</v>
      </c>
    </row>
    <row r="46469">
      <c r="A46469" s="17"/>
      <c r="H46469" s="18"/>
      <c r="K46469" s="18" t="s">
        <v>316</v>
      </c>
    </row>
    <row r="46470">
      <c r="A46470" s="17"/>
      <c r="H46470" s="18"/>
      <c r="K46470" s="18" t="s">
        <v>316</v>
      </c>
    </row>
    <row r="46471">
      <c r="A46471" s="17"/>
      <c r="H46471" s="18"/>
      <c r="K46471" s="18" t="s">
        <v>316</v>
      </c>
    </row>
    <row r="46472">
      <c r="A46472" s="17"/>
      <c r="H46472" s="18"/>
      <c r="K46472" s="18" t="s">
        <v>316</v>
      </c>
    </row>
    <row r="46473">
      <c r="A46473" s="17"/>
      <c r="H46473" s="18"/>
      <c r="K46473" s="18" t="s">
        <v>316</v>
      </c>
    </row>
    <row r="46474">
      <c r="A46474" s="17"/>
      <c r="H46474" s="18"/>
      <c r="K46474" s="18" t="s">
        <v>316</v>
      </c>
    </row>
    <row r="46475">
      <c r="A46475" s="17"/>
      <c r="H46475" s="18"/>
      <c r="K46475" s="18" t="s">
        <v>316</v>
      </c>
    </row>
    <row r="46476">
      <c r="A46476" s="17"/>
      <c r="H46476" s="18"/>
      <c r="K46476" s="18" t="s">
        <v>316</v>
      </c>
    </row>
    <row r="46477">
      <c r="A46477" s="17"/>
      <c r="H46477" s="18"/>
      <c r="K46477" s="18" t="s">
        <v>316</v>
      </c>
    </row>
    <row r="46478">
      <c r="A46478" s="17"/>
      <c r="H46478" s="18"/>
      <c r="K46478" s="18" t="s">
        <v>316</v>
      </c>
    </row>
    <row r="46479">
      <c r="A46479" s="17"/>
      <c r="H46479" s="18"/>
      <c r="K46479" s="18" t="s">
        <v>316</v>
      </c>
    </row>
    <row r="46480">
      <c r="A46480" s="17"/>
      <c r="H46480" s="18"/>
      <c r="K46480" s="18" t="s">
        <v>316</v>
      </c>
    </row>
    <row r="46481">
      <c r="A46481" s="17"/>
      <c r="H46481" s="18"/>
      <c r="K46481" s="18" t="s">
        <v>316</v>
      </c>
    </row>
    <row r="46482">
      <c r="A46482" s="17"/>
      <c r="H46482" s="18"/>
      <c r="K46482" s="18" t="s">
        <v>316</v>
      </c>
    </row>
    <row r="46483">
      <c r="A46483" s="17"/>
      <c r="H46483" s="18"/>
      <c r="K46483" s="18" t="s">
        <v>316</v>
      </c>
    </row>
    <row r="46484">
      <c r="A46484" s="17"/>
      <c r="H46484" s="18"/>
      <c r="K46484" s="18" t="s">
        <v>316</v>
      </c>
    </row>
    <row r="46485">
      <c r="A46485" s="17"/>
      <c r="H46485" s="18"/>
      <c r="K46485" s="18" t="s">
        <v>316</v>
      </c>
    </row>
    <row r="46486">
      <c r="A46486" s="17"/>
      <c r="H46486" s="18"/>
      <c r="K46486" s="18" t="s">
        <v>316</v>
      </c>
    </row>
    <row r="46487">
      <c r="A46487" s="17"/>
      <c r="H46487" s="18"/>
      <c r="K46487" s="18" t="s">
        <v>316</v>
      </c>
    </row>
    <row r="46488">
      <c r="A46488" s="17"/>
      <c r="H46488" s="18"/>
      <c r="K46488" s="18" t="s">
        <v>316</v>
      </c>
    </row>
    <row r="46489">
      <c r="A46489" s="17"/>
      <c r="H46489" s="18"/>
      <c r="K46489" s="18" t="s">
        <v>316</v>
      </c>
    </row>
    <row r="46490">
      <c r="A46490" s="17"/>
      <c r="H46490" s="18"/>
      <c r="K46490" s="18" t="s">
        <v>316</v>
      </c>
    </row>
    <row r="46491">
      <c r="A46491" s="17"/>
      <c r="H46491" s="18"/>
      <c r="K46491" s="18" t="s">
        <v>316</v>
      </c>
    </row>
    <row r="46492">
      <c r="A46492" s="17"/>
      <c r="H46492" s="18"/>
      <c r="K46492" s="18" t="s">
        <v>316</v>
      </c>
    </row>
    <row r="46493">
      <c r="A46493" s="17"/>
      <c r="H46493" s="18"/>
      <c r="K46493" s="18" t="s">
        <v>316</v>
      </c>
    </row>
    <row r="46494">
      <c r="A46494" s="17"/>
      <c r="H46494" s="18"/>
      <c r="K46494" s="18" t="s">
        <v>316</v>
      </c>
    </row>
    <row r="46495">
      <c r="A46495" s="17"/>
      <c r="H46495" s="18"/>
      <c r="K46495" s="18" t="s">
        <v>316</v>
      </c>
    </row>
    <row r="46496">
      <c r="A46496" s="17"/>
      <c r="H46496" s="18"/>
      <c r="K46496" s="18" t="s">
        <v>316</v>
      </c>
    </row>
    <row r="46497">
      <c r="A46497" s="17"/>
      <c r="H46497" s="18"/>
      <c r="K46497" s="18" t="s">
        <v>316</v>
      </c>
    </row>
    <row r="46498">
      <c r="A46498" s="17"/>
      <c r="H46498" s="18"/>
      <c r="K46498" s="18" t="s">
        <v>316</v>
      </c>
    </row>
    <row r="46499">
      <c r="A46499" s="17"/>
      <c r="H46499" s="18"/>
      <c r="K46499" s="18" t="s">
        <v>316</v>
      </c>
    </row>
    <row r="46500">
      <c r="A46500" s="17"/>
      <c r="H46500" s="18"/>
      <c r="K46500" s="18" t="s">
        <v>316</v>
      </c>
    </row>
    <row r="46501">
      <c r="A46501" s="17"/>
      <c r="H46501" s="18"/>
      <c r="K46501" s="18" t="s">
        <v>316</v>
      </c>
    </row>
    <row r="46502">
      <c r="A46502" s="17"/>
      <c r="H46502" s="18"/>
      <c r="K46502" s="18" t="s">
        <v>316</v>
      </c>
    </row>
    <row r="46503">
      <c r="A46503" s="17"/>
      <c r="H46503" s="18"/>
      <c r="K46503" s="18" t="s">
        <v>316</v>
      </c>
    </row>
    <row r="46504">
      <c r="A46504" s="17"/>
      <c r="H46504" s="18"/>
      <c r="K46504" s="18" t="s">
        <v>316</v>
      </c>
    </row>
    <row r="46505">
      <c r="A46505" s="17"/>
      <c r="H46505" s="18"/>
      <c r="K46505" s="18" t="s">
        <v>316</v>
      </c>
    </row>
    <row r="46506">
      <c r="A46506" s="17"/>
      <c r="H46506" s="18"/>
      <c r="K46506" s="18" t="s">
        <v>316</v>
      </c>
    </row>
    <row r="46507">
      <c r="A46507" s="17"/>
      <c r="H46507" s="18"/>
      <c r="K46507" s="18" t="s">
        <v>316</v>
      </c>
    </row>
    <row r="46508">
      <c r="A46508" s="17"/>
      <c r="H46508" s="18"/>
      <c r="K46508" s="18" t="s">
        <v>316</v>
      </c>
    </row>
    <row r="46509">
      <c r="A46509" s="17"/>
      <c r="H46509" s="18"/>
      <c r="K46509" s="18" t="s">
        <v>316</v>
      </c>
    </row>
    <row r="46510">
      <c r="A46510" s="17"/>
      <c r="H46510" s="18"/>
      <c r="K46510" s="18" t="s">
        <v>316</v>
      </c>
    </row>
    <row r="46511">
      <c r="A46511" s="17"/>
      <c r="H46511" s="18"/>
      <c r="K46511" s="18" t="s">
        <v>316</v>
      </c>
    </row>
    <row r="46512">
      <c r="A46512" s="17"/>
      <c r="H46512" s="18"/>
      <c r="K46512" s="18" t="s">
        <v>316</v>
      </c>
    </row>
    <row r="46513">
      <c r="A46513" s="17"/>
      <c r="H46513" s="18"/>
      <c r="K46513" s="18" t="s">
        <v>316</v>
      </c>
    </row>
    <row r="46514">
      <c r="A46514" s="17"/>
      <c r="H46514" s="18"/>
      <c r="K46514" s="18" t="s">
        <v>316</v>
      </c>
    </row>
    <row r="46515">
      <c r="A46515" s="17"/>
      <c r="H46515" s="18"/>
      <c r="K46515" s="18" t="s">
        <v>316</v>
      </c>
    </row>
    <row r="46516">
      <c r="A46516" s="17"/>
      <c r="H46516" s="18"/>
      <c r="K46516" s="18" t="s">
        <v>316</v>
      </c>
    </row>
    <row r="46517">
      <c r="A46517" s="17"/>
      <c r="H46517" s="18"/>
      <c r="K46517" s="18" t="s">
        <v>316</v>
      </c>
    </row>
    <row r="46518">
      <c r="A46518" s="17"/>
      <c r="H46518" s="18"/>
      <c r="K46518" s="18" t="s">
        <v>316</v>
      </c>
    </row>
    <row r="46519">
      <c r="A46519" s="17"/>
      <c r="H46519" s="18"/>
      <c r="K46519" s="18" t="s">
        <v>316</v>
      </c>
    </row>
    <row r="46520">
      <c r="A46520" s="17"/>
      <c r="H46520" s="18"/>
      <c r="K46520" s="18" t="s">
        <v>316</v>
      </c>
    </row>
    <row r="46521">
      <c r="A46521" s="17"/>
      <c r="H46521" s="18"/>
      <c r="K46521" s="18" t="s">
        <v>316</v>
      </c>
    </row>
    <row r="46522">
      <c r="A46522" s="17"/>
      <c r="H46522" s="18"/>
      <c r="K46522" s="18" t="s">
        <v>316</v>
      </c>
    </row>
    <row r="46523">
      <c r="A46523" s="17"/>
      <c r="H46523" s="18"/>
      <c r="K46523" s="18" t="s">
        <v>316</v>
      </c>
    </row>
    <row r="46524">
      <c r="A46524" s="17"/>
      <c r="H46524" s="18"/>
      <c r="K46524" s="18" t="s">
        <v>316</v>
      </c>
    </row>
    <row r="46525">
      <c r="A46525" s="17"/>
      <c r="H46525" s="18"/>
      <c r="K46525" s="18" t="s">
        <v>316</v>
      </c>
    </row>
    <row r="46526">
      <c r="A46526" s="17"/>
      <c r="H46526" s="18"/>
      <c r="K46526" s="18" t="s">
        <v>316</v>
      </c>
    </row>
    <row r="46527">
      <c r="A46527" s="17"/>
      <c r="H46527" s="18"/>
      <c r="K46527" s="18" t="s">
        <v>316</v>
      </c>
    </row>
    <row r="46528">
      <c r="A46528" s="17"/>
      <c r="H46528" s="18"/>
      <c r="K46528" s="18" t="s">
        <v>316</v>
      </c>
    </row>
    <row r="46529">
      <c r="A46529" s="17"/>
      <c r="H46529" s="18"/>
      <c r="K46529" s="18" t="s">
        <v>316</v>
      </c>
    </row>
    <row r="46530">
      <c r="A46530" s="17"/>
      <c r="H46530" s="18"/>
      <c r="K46530" s="18" t="s">
        <v>316</v>
      </c>
    </row>
    <row r="46531">
      <c r="A46531" s="17"/>
      <c r="H46531" s="18"/>
      <c r="K46531" s="18" t="s">
        <v>316</v>
      </c>
    </row>
    <row r="46532">
      <c r="A46532" s="17"/>
      <c r="H46532" s="18"/>
      <c r="K46532" s="18" t="s">
        <v>316</v>
      </c>
    </row>
    <row r="46533">
      <c r="A46533" s="17"/>
      <c r="H46533" s="18"/>
      <c r="K46533" s="18" t="s">
        <v>316</v>
      </c>
    </row>
    <row r="46534">
      <c r="A46534" s="17"/>
      <c r="H46534" s="18"/>
      <c r="K46534" s="18" t="s">
        <v>316</v>
      </c>
    </row>
    <row r="46535">
      <c r="A46535" s="17"/>
      <c r="H46535" s="18"/>
      <c r="K46535" s="18" t="s">
        <v>316</v>
      </c>
    </row>
    <row r="46536">
      <c r="A46536" s="17"/>
      <c r="H46536" s="18"/>
      <c r="K46536" s="18" t="s">
        <v>316</v>
      </c>
    </row>
    <row r="46537">
      <c r="A46537" s="17"/>
      <c r="H46537" s="18"/>
      <c r="K46537" s="18" t="s">
        <v>316</v>
      </c>
    </row>
    <row r="46538">
      <c r="A46538" s="17"/>
      <c r="H46538" s="18"/>
      <c r="K46538" s="18" t="s">
        <v>316</v>
      </c>
    </row>
    <row r="46539">
      <c r="A46539" s="17"/>
      <c r="H46539" s="18"/>
      <c r="K46539" s="18" t="s">
        <v>316</v>
      </c>
    </row>
    <row r="46540">
      <c r="A46540" s="17"/>
      <c r="H46540" s="18"/>
      <c r="K46540" s="18" t="s">
        <v>316</v>
      </c>
    </row>
    <row r="46541">
      <c r="A46541" s="17"/>
      <c r="H46541" s="18"/>
      <c r="K46541" s="18" t="s">
        <v>316</v>
      </c>
    </row>
    <row r="46542">
      <c r="A46542" s="17"/>
      <c r="H46542" s="18"/>
      <c r="K46542" s="18" t="s">
        <v>316</v>
      </c>
    </row>
    <row r="46543">
      <c r="A46543" s="17"/>
      <c r="H46543" s="18"/>
      <c r="K46543" s="18" t="s">
        <v>316</v>
      </c>
    </row>
    <row r="46544">
      <c r="A46544" s="17"/>
      <c r="H46544" s="18"/>
      <c r="K46544" s="18" t="s">
        <v>316</v>
      </c>
    </row>
    <row r="46545">
      <c r="A46545" s="17"/>
      <c r="H46545" s="18"/>
      <c r="K46545" s="18" t="s">
        <v>316</v>
      </c>
    </row>
    <row r="46546">
      <c r="A46546" s="17"/>
      <c r="H46546" s="18"/>
      <c r="K46546" s="18" t="s">
        <v>316</v>
      </c>
    </row>
    <row r="46547">
      <c r="A46547" s="17"/>
      <c r="H46547" s="18"/>
      <c r="K46547" s="18" t="s">
        <v>316</v>
      </c>
    </row>
    <row r="46548">
      <c r="A46548" s="17"/>
      <c r="H46548" s="18"/>
      <c r="K46548" s="18" t="s">
        <v>316</v>
      </c>
    </row>
    <row r="46549">
      <c r="A46549" s="17"/>
      <c r="H46549" s="18"/>
      <c r="K46549" s="18" t="s">
        <v>316</v>
      </c>
    </row>
    <row r="46550">
      <c r="A46550" s="17"/>
      <c r="H46550" s="18"/>
      <c r="K46550" s="18" t="s">
        <v>316</v>
      </c>
    </row>
    <row r="46551">
      <c r="A46551" s="17"/>
      <c r="H46551" s="18"/>
      <c r="K46551" s="18" t="s">
        <v>316</v>
      </c>
    </row>
    <row r="46552">
      <c r="A46552" s="17"/>
      <c r="H46552" s="18"/>
      <c r="K46552" s="18" t="s">
        <v>316</v>
      </c>
    </row>
    <row r="46553">
      <c r="A46553" s="17"/>
      <c r="H46553" s="18"/>
      <c r="K46553" s="18" t="s">
        <v>316</v>
      </c>
    </row>
    <row r="46554">
      <c r="A46554" s="17"/>
      <c r="H46554" s="18"/>
      <c r="K46554" s="18" t="s">
        <v>316</v>
      </c>
    </row>
    <row r="46555">
      <c r="A46555" s="17"/>
      <c r="H46555" s="18"/>
      <c r="K46555" s="18" t="s">
        <v>316</v>
      </c>
    </row>
    <row r="46556">
      <c r="A46556" s="17"/>
      <c r="H46556" s="18"/>
      <c r="K46556" s="18" t="s">
        <v>316</v>
      </c>
    </row>
    <row r="46557">
      <c r="A46557" s="17"/>
      <c r="H46557" s="18"/>
      <c r="K46557" s="18" t="s">
        <v>316</v>
      </c>
    </row>
    <row r="46558">
      <c r="A46558" s="17"/>
      <c r="H46558" s="18"/>
      <c r="K46558" s="18" t="s">
        <v>316</v>
      </c>
    </row>
    <row r="46559">
      <c r="A46559" s="17"/>
      <c r="H46559" s="18"/>
      <c r="K46559" s="18" t="s">
        <v>316</v>
      </c>
    </row>
    <row r="46560">
      <c r="A46560" s="17"/>
      <c r="H46560" s="18"/>
      <c r="K46560" s="18" t="s">
        <v>316</v>
      </c>
    </row>
    <row r="46561">
      <c r="A46561" s="17"/>
      <c r="H46561" s="18"/>
      <c r="K46561" s="18" t="s">
        <v>316</v>
      </c>
    </row>
    <row r="46562">
      <c r="A46562" s="17"/>
      <c r="H46562" s="18"/>
      <c r="K46562" s="18" t="s">
        <v>316</v>
      </c>
    </row>
    <row r="46563">
      <c r="A46563" s="17"/>
      <c r="H46563" s="18"/>
      <c r="K46563" s="18" t="s">
        <v>316</v>
      </c>
    </row>
    <row r="46564">
      <c r="A46564" s="17"/>
      <c r="H46564" s="18"/>
      <c r="K46564" s="18" t="s">
        <v>316</v>
      </c>
    </row>
    <row r="46565">
      <c r="A46565" s="17"/>
      <c r="H46565" s="18"/>
      <c r="K46565" s="18" t="s">
        <v>316</v>
      </c>
    </row>
    <row r="46566">
      <c r="A46566" s="17"/>
      <c r="H46566" s="18"/>
      <c r="K46566" s="18" t="s">
        <v>316</v>
      </c>
    </row>
    <row r="46567">
      <c r="A46567" s="17"/>
      <c r="H46567" s="18"/>
      <c r="K46567" s="18" t="s">
        <v>316</v>
      </c>
    </row>
    <row r="46568">
      <c r="A46568" s="17"/>
      <c r="H46568" s="18"/>
      <c r="K46568" s="18" t="s">
        <v>316</v>
      </c>
    </row>
    <row r="46569">
      <c r="A46569" s="17"/>
      <c r="H46569" s="18"/>
      <c r="K46569" s="18" t="s">
        <v>316</v>
      </c>
    </row>
    <row r="46570">
      <c r="A46570" s="17"/>
      <c r="H46570" s="18"/>
      <c r="K46570" s="18" t="s">
        <v>316</v>
      </c>
    </row>
    <row r="46571">
      <c r="A46571" s="17"/>
      <c r="H46571" s="18"/>
      <c r="K46571" s="18" t="s">
        <v>316</v>
      </c>
    </row>
    <row r="46572">
      <c r="A46572" s="17"/>
      <c r="H46572" s="18"/>
      <c r="K46572" s="18" t="s">
        <v>316</v>
      </c>
    </row>
    <row r="46573">
      <c r="A46573" s="17"/>
      <c r="H46573" s="18"/>
      <c r="K46573" s="18" t="s">
        <v>316</v>
      </c>
    </row>
    <row r="46574">
      <c r="A46574" s="17"/>
      <c r="H46574" s="18"/>
      <c r="K46574" s="18" t="s">
        <v>316</v>
      </c>
    </row>
    <row r="46575">
      <c r="A46575" s="17"/>
      <c r="H46575" s="18"/>
      <c r="K46575" s="18" t="s">
        <v>316</v>
      </c>
    </row>
    <row r="46576">
      <c r="A46576" s="17"/>
      <c r="H46576" s="18"/>
      <c r="K46576" s="18" t="s">
        <v>316</v>
      </c>
    </row>
    <row r="46577">
      <c r="A46577" s="17"/>
      <c r="H46577" s="18"/>
      <c r="K46577" s="18" t="s">
        <v>316</v>
      </c>
    </row>
    <row r="46578">
      <c r="A46578" s="17"/>
      <c r="H46578" s="18"/>
      <c r="K46578" s="18" t="s">
        <v>316</v>
      </c>
    </row>
    <row r="46579">
      <c r="A46579" s="17"/>
      <c r="H46579" s="18"/>
      <c r="K46579" s="18" t="s">
        <v>316</v>
      </c>
    </row>
    <row r="46580">
      <c r="A46580" s="17"/>
      <c r="H46580" s="18"/>
      <c r="K46580" s="18" t="s">
        <v>316</v>
      </c>
    </row>
    <row r="46581">
      <c r="A46581" s="17"/>
      <c r="H46581" s="18"/>
      <c r="K46581" s="18" t="s">
        <v>316</v>
      </c>
    </row>
    <row r="46582">
      <c r="A46582" s="17"/>
      <c r="H46582" s="18"/>
      <c r="K46582" s="18" t="s">
        <v>316</v>
      </c>
    </row>
    <row r="46583">
      <c r="A46583" s="17"/>
      <c r="H46583" s="18"/>
      <c r="K46583" s="18" t="s">
        <v>316</v>
      </c>
    </row>
    <row r="46584">
      <c r="A46584" s="17"/>
      <c r="H46584" s="18"/>
      <c r="K46584" s="18" t="s">
        <v>316</v>
      </c>
    </row>
    <row r="46585">
      <c r="A46585" s="17"/>
      <c r="H46585" s="18"/>
      <c r="K46585" s="18" t="s">
        <v>316</v>
      </c>
    </row>
    <row r="46586">
      <c r="A46586" s="17"/>
      <c r="H46586" s="18"/>
      <c r="K46586" s="18" t="s">
        <v>316</v>
      </c>
    </row>
    <row r="46587">
      <c r="A46587" s="17"/>
      <c r="H46587" s="18"/>
      <c r="K46587" s="18" t="s">
        <v>316</v>
      </c>
    </row>
    <row r="46588">
      <c r="A46588" s="17"/>
      <c r="H46588" s="18"/>
      <c r="K46588" s="18" t="s">
        <v>316</v>
      </c>
    </row>
    <row r="46589">
      <c r="A46589" s="17"/>
      <c r="H46589" s="18"/>
      <c r="K46589" s="18" t="s">
        <v>316</v>
      </c>
    </row>
    <row r="46590">
      <c r="A46590" s="17"/>
      <c r="H46590" s="18"/>
      <c r="K46590" s="18" t="s">
        <v>316</v>
      </c>
    </row>
    <row r="46591">
      <c r="A46591" s="17"/>
      <c r="H46591" s="18"/>
      <c r="K46591" s="18" t="s">
        <v>316</v>
      </c>
    </row>
    <row r="46592">
      <c r="A46592" s="17"/>
      <c r="H46592" s="18"/>
      <c r="K46592" s="18" t="s">
        <v>316</v>
      </c>
    </row>
    <row r="46593">
      <c r="A46593" s="17"/>
      <c r="H46593" s="18"/>
      <c r="K46593" s="18" t="s">
        <v>316</v>
      </c>
    </row>
    <row r="46594">
      <c r="A46594" s="17"/>
      <c r="H46594" s="18"/>
      <c r="K46594" s="18" t="s">
        <v>316</v>
      </c>
    </row>
    <row r="46595">
      <c r="A46595" s="17"/>
      <c r="H46595" s="18"/>
      <c r="K46595" s="18" t="s">
        <v>316</v>
      </c>
    </row>
    <row r="46596">
      <c r="A46596" s="17"/>
      <c r="H46596" s="18"/>
      <c r="K46596" s="18" t="s">
        <v>316</v>
      </c>
    </row>
    <row r="46597">
      <c r="A46597" s="17"/>
      <c r="H46597" s="18"/>
      <c r="K46597" s="18" t="s">
        <v>316</v>
      </c>
    </row>
    <row r="46598">
      <c r="A46598" s="17"/>
      <c r="H46598" s="18"/>
      <c r="K46598" s="18" t="s">
        <v>316</v>
      </c>
    </row>
    <row r="46599">
      <c r="A46599" s="17"/>
      <c r="H46599" s="18"/>
      <c r="K46599" s="18" t="s">
        <v>316</v>
      </c>
    </row>
    <row r="46600">
      <c r="A46600" s="17"/>
      <c r="H46600" s="18"/>
      <c r="K46600" s="18" t="s">
        <v>316</v>
      </c>
    </row>
    <row r="46601">
      <c r="A46601" s="17"/>
      <c r="H46601" s="18"/>
      <c r="K46601" s="18" t="s">
        <v>316</v>
      </c>
    </row>
    <row r="46602">
      <c r="A46602" s="17"/>
      <c r="H46602" s="18"/>
      <c r="K46602" s="18" t="s">
        <v>316</v>
      </c>
    </row>
    <row r="46603">
      <c r="A46603" s="17"/>
      <c r="H46603" s="18"/>
      <c r="K46603" s="18" t="s">
        <v>316</v>
      </c>
    </row>
    <row r="46604">
      <c r="A46604" s="17"/>
      <c r="H46604" s="18"/>
      <c r="K46604" s="18" t="s">
        <v>316</v>
      </c>
    </row>
    <row r="46605">
      <c r="A46605" s="17"/>
      <c r="H46605" s="18"/>
      <c r="K46605" s="18" t="s">
        <v>316</v>
      </c>
    </row>
    <row r="46606">
      <c r="A46606" s="17"/>
      <c r="H46606" s="18"/>
      <c r="K46606" s="18" t="s">
        <v>316</v>
      </c>
    </row>
    <row r="46607">
      <c r="A46607" s="17"/>
      <c r="H46607" s="18"/>
      <c r="K46607" s="18" t="s">
        <v>316</v>
      </c>
    </row>
    <row r="46608">
      <c r="A46608" s="17"/>
      <c r="H46608" s="18"/>
      <c r="K46608" s="18" t="s">
        <v>316</v>
      </c>
    </row>
    <row r="46609">
      <c r="A46609" s="17"/>
      <c r="H46609" s="18"/>
      <c r="K46609" s="18" t="s">
        <v>316</v>
      </c>
    </row>
    <row r="46610">
      <c r="A46610" s="17"/>
      <c r="H46610" s="18"/>
      <c r="K46610" s="18" t="s">
        <v>316</v>
      </c>
    </row>
    <row r="46611">
      <c r="A46611" s="17"/>
      <c r="H46611" s="18"/>
      <c r="K46611" s="18" t="s">
        <v>316</v>
      </c>
    </row>
    <row r="46612">
      <c r="A46612" s="17"/>
      <c r="H46612" s="18"/>
      <c r="K46612" s="18" t="s">
        <v>316</v>
      </c>
    </row>
    <row r="46613">
      <c r="A46613" s="17"/>
      <c r="H46613" s="18"/>
      <c r="K46613" s="18" t="s">
        <v>316</v>
      </c>
    </row>
    <row r="46614">
      <c r="A46614" s="17"/>
      <c r="H46614" s="18"/>
      <c r="K46614" s="18" t="s">
        <v>316</v>
      </c>
    </row>
    <row r="46615">
      <c r="A46615" s="17"/>
      <c r="H46615" s="18"/>
      <c r="K46615" s="18" t="s">
        <v>316</v>
      </c>
    </row>
    <row r="46616">
      <c r="A46616" s="17"/>
      <c r="H46616" s="18"/>
      <c r="K46616" s="18" t="s">
        <v>316</v>
      </c>
    </row>
    <row r="46617">
      <c r="A46617" s="17"/>
      <c r="H46617" s="18"/>
      <c r="K46617" s="18" t="s">
        <v>316</v>
      </c>
    </row>
    <row r="46618">
      <c r="A46618" s="17"/>
      <c r="H46618" s="18"/>
      <c r="K46618" s="18" t="s">
        <v>316</v>
      </c>
    </row>
    <row r="46619">
      <c r="A46619" s="17"/>
      <c r="H46619" s="18"/>
      <c r="K46619" s="18" t="s">
        <v>316</v>
      </c>
    </row>
    <row r="46620">
      <c r="A46620" s="17"/>
      <c r="H46620" s="18"/>
      <c r="K46620" s="18" t="s">
        <v>316</v>
      </c>
    </row>
    <row r="46621">
      <c r="A46621" s="17"/>
      <c r="H46621" s="18"/>
      <c r="K46621" s="18" t="s">
        <v>316</v>
      </c>
    </row>
    <row r="46622">
      <c r="A46622" s="17"/>
      <c r="H46622" s="18"/>
      <c r="K46622" s="18" t="s">
        <v>316</v>
      </c>
    </row>
    <row r="46623">
      <c r="A46623" s="17"/>
      <c r="H46623" s="18"/>
      <c r="K46623" s="18" t="s">
        <v>316</v>
      </c>
    </row>
    <row r="46624">
      <c r="A46624" s="17"/>
      <c r="H46624" s="18"/>
      <c r="K46624" s="18" t="s">
        <v>316</v>
      </c>
    </row>
    <row r="46625">
      <c r="A46625" s="17"/>
      <c r="H46625" s="18"/>
      <c r="K46625" s="18" t="s">
        <v>316</v>
      </c>
    </row>
    <row r="46626">
      <c r="A46626" s="17"/>
      <c r="H46626" s="18"/>
      <c r="K46626" s="18" t="s">
        <v>316</v>
      </c>
    </row>
    <row r="46627">
      <c r="A46627" s="17"/>
      <c r="H46627" s="18"/>
      <c r="K46627" s="18" t="s">
        <v>316</v>
      </c>
    </row>
    <row r="46628">
      <c r="A46628" s="17"/>
      <c r="H46628" s="18"/>
      <c r="K46628" s="18" t="s">
        <v>316</v>
      </c>
    </row>
    <row r="46629">
      <c r="A46629" s="17"/>
      <c r="H46629" s="18"/>
      <c r="K46629" s="18" t="s">
        <v>316</v>
      </c>
    </row>
    <row r="46630">
      <c r="A46630" s="17"/>
      <c r="H46630" s="18"/>
      <c r="K46630" s="18" t="s">
        <v>316</v>
      </c>
    </row>
    <row r="46631">
      <c r="A46631" s="17"/>
      <c r="H46631" s="18"/>
      <c r="K46631" s="18" t="s">
        <v>316</v>
      </c>
    </row>
    <row r="46632">
      <c r="A46632" s="17"/>
      <c r="H46632" s="18"/>
      <c r="K46632" s="18" t="s">
        <v>316</v>
      </c>
    </row>
    <row r="46633">
      <c r="A46633" s="17"/>
      <c r="H46633" s="18"/>
      <c r="K46633" s="18" t="s">
        <v>316</v>
      </c>
    </row>
    <row r="46634">
      <c r="A46634" s="17"/>
      <c r="H46634" s="18"/>
      <c r="K46634" s="18" t="s">
        <v>316</v>
      </c>
    </row>
    <row r="46635">
      <c r="A46635" s="17"/>
      <c r="H46635" s="18"/>
      <c r="K46635" s="18" t="s">
        <v>316</v>
      </c>
    </row>
    <row r="46636">
      <c r="A46636" s="17"/>
      <c r="H46636" s="18"/>
      <c r="K46636" s="18" t="s">
        <v>316</v>
      </c>
    </row>
    <row r="46637">
      <c r="A46637" s="17"/>
      <c r="H46637" s="18"/>
      <c r="K46637" s="18" t="s">
        <v>316</v>
      </c>
    </row>
    <row r="46638">
      <c r="A46638" s="17"/>
      <c r="H46638" s="18"/>
      <c r="K46638" s="18" t="s">
        <v>316</v>
      </c>
    </row>
    <row r="46639">
      <c r="A46639" s="17"/>
      <c r="H46639" s="18"/>
      <c r="K46639" s="18" t="s">
        <v>316</v>
      </c>
    </row>
    <row r="46640">
      <c r="A46640" s="17"/>
      <c r="H46640" s="18"/>
      <c r="K46640" s="18" t="s">
        <v>316</v>
      </c>
    </row>
    <row r="46641">
      <c r="A46641" s="17"/>
      <c r="H46641" s="18"/>
      <c r="K46641" s="18" t="s">
        <v>316</v>
      </c>
    </row>
    <row r="46642">
      <c r="A46642" s="17"/>
      <c r="H46642" s="18"/>
      <c r="K46642" s="18" t="s">
        <v>316</v>
      </c>
    </row>
    <row r="46643">
      <c r="A46643" s="17"/>
      <c r="H46643" s="18"/>
      <c r="K46643" s="18" t="s">
        <v>316</v>
      </c>
    </row>
    <row r="46644">
      <c r="A46644" s="17"/>
      <c r="H46644" s="18"/>
      <c r="K46644" s="18" t="s">
        <v>316</v>
      </c>
    </row>
    <row r="46645">
      <c r="A46645" s="17"/>
      <c r="H46645" s="18"/>
      <c r="K46645" s="18" t="s">
        <v>316</v>
      </c>
    </row>
    <row r="46646">
      <c r="A46646" s="17"/>
      <c r="H46646" s="18"/>
      <c r="K46646" s="18" t="s">
        <v>316</v>
      </c>
    </row>
    <row r="46647">
      <c r="A46647" s="17"/>
      <c r="H46647" s="18"/>
      <c r="K46647" s="18" t="s">
        <v>316</v>
      </c>
    </row>
    <row r="46648">
      <c r="A46648" s="17"/>
      <c r="H46648" s="18"/>
      <c r="K46648" s="18" t="s">
        <v>316</v>
      </c>
    </row>
    <row r="46649">
      <c r="A46649" s="17"/>
      <c r="H46649" s="18"/>
      <c r="K46649" s="18" t="s">
        <v>316</v>
      </c>
    </row>
    <row r="46650">
      <c r="A46650" s="17"/>
      <c r="H46650" s="18"/>
      <c r="K46650" s="18" t="s">
        <v>316</v>
      </c>
    </row>
    <row r="46651">
      <c r="A46651" s="17"/>
      <c r="H46651" s="18"/>
      <c r="K46651" s="18" t="s">
        <v>316</v>
      </c>
    </row>
    <row r="46652">
      <c r="A46652" s="17"/>
      <c r="H46652" s="18"/>
      <c r="K46652" s="18" t="s">
        <v>316</v>
      </c>
    </row>
    <row r="46653">
      <c r="A46653" s="17"/>
      <c r="H46653" s="18"/>
      <c r="K46653" s="18" t="s">
        <v>316</v>
      </c>
    </row>
    <row r="46654">
      <c r="A46654" s="17"/>
      <c r="H46654" s="18"/>
      <c r="K46654" s="18" t="s">
        <v>316</v>
      </c>
    </row>
    <row r="46655">
      <c r="A46655" s="17"/>
      <c r="H46655" s="18"/>
      <c r="K46655" s="18" t="s">
        <v>316</v>
      </c>
    </row>
    <row r="46656">
      <c r="A46656" s="17"/>
      <c r="H46656" s="18"/>
      <c r="K46656" s="18" t="s">
        <v>316</v>
      </c>
    </row>
    <row r="46657">
      <c r="A46657" s="17"/>
      <c r="H46657" s="18"/>
      <c r="K46657" s="18" t="s">
        <v>316</v>
      </c>
    </row>
    <row r="46658">
      <c r="A46658" s="17"/>
      <c r="H46658" s="18"/>
      <c r="K46658" s="18" t="s">
        <v>316</v>
      </c>
    </row>
    <row r="46659">
      <c r="A46659" s="17"/>
      <c r="H46659" s="18"/>
      <c r="K46659" s="18" t="s">
        <v>316</v>
      </c>
    </row>
    <row r="46660">
      <c r="A46660" s="17"/>
      <c r="H46660" s="18"/>
      <c r="K46660" s="18" t="s">
        <v>316</v>
      </c>
    </row>
    <row r="46661">
      <c r="A46661" s="17"/>
      <c r="H46661" s="18"/>
      <c r="K46661" s="18" t="s">
        <v>316</v>
      </c>
    </row>
    <row r="46662">
      <c r="A46662" s="17"/>
      <c r="H46662" s="18"/>
      <c r="K46662" s="18" t="s">
        <v>316</v>
      </c>
    </row>
    <row r="46663">
      <c r="A46663" s="17"/>
      <c r="H46663" s="18"/>
      <c r="K46663" s="18" t="s">
        <v>316</v>
      </c>
    </row>
    <row r="46664">
      <c r="A46664" s="17"/>
      <c r="H46664" s="18"/>
      <c r="K46664" s="18" t="s">
        <v>316</v>
      </c>
    </row>
    <row r="46665">
      <c r="A46665" s="17"/>
      <c r="H46665" s="18"/>
      <c r="K46665" s="18" t="s">
        <v>316</v>
      </c>
    </row>
    <row r="46666">
      <c r="A46666" s="17"/>
      <c r="H46666" s="18"/>
      <c r="K46666" s="18" t="s">
        <v>316</v>
      </c>
    </row>
    <row r="46667">
      <c r="A46667" s="17"/>
      <c r="H46667" s="18"/>
      <c r="K46667" s="18" t="s">
        <v>316</v>
      </c>
    </row>
    <row r="46668">
      <c r="A46668" s="17"/>
      <c r="H46668" s="18"/>
      <c r="K46668" s="18" t="s">
        <v>316</v>
      </c>
    </row>
    <row r="46669">
      <c r="A46669" s="17"/>
      <c r="H46669" s="18"/>
      <c r="K46669" s="18" t="s">
        <v>316</v>
      </c>
    </row>
    <row r="46670">
      <c r="A46670" s="17"/>
      <c r="H46670" s="18"/>
      <c r="K46670" s="18" t="s">
        <v>316</v>
      </c>
    </row>
    <row r="46671">
      <c r="A46671" s="17"/>
      <c r="H46671" s="18"/>
      <c r="K46671" s="18" t="s">
        <v>316</v>
      </c>
    </row>
    <row r="46672">
      <c r="A46672" s="17"/>
      <c r="H46672" s="18"/>
      <c r="K46672" s="18" t="s">
        <v>316</v>
      </c>
    </row>
    <row r="46673">
      <c r="A46673" s="17"/>
      <c r="H46673" s="18"/>
      <c r="K46673" s="18" t="s">
        <v>316</v>
      </c>
    </row>
    <row r="46674">
      <c r="A46674" s="17"/>
      <c r="H46674" s="18"/>
      <c r="K46674" s="18" t="s">
        <v>316</v>
      </c>
    </row>
    <row r="46675">
      <c r="A46675" s="17"/>
      <c r="H46675" s="18"/>
      <c r="K46675" s="18" t="s">
        <v>316</v>
      </c>
    </row>
    <row r="46676">
      <c r="A46676" s="17"/>
      <c r="H46676" s="18"/>
      <c r="K46676" s="18" t="s">
        <v>316</v>
      </c>
    </row>
    <row r="46677">
      <c r="A46677" s="17"/>
      <c r="H46677" s="18"/>
      <c r="K46677" s="18" t="s">
        <v>316</v>
      </c>
    </row>
    <row r="46678">
      <c r="A46678" s="17"/>
      <c r="H46678" s="18"/>
      <c r="K46678" s="18" t="s">
        <v>316</v>
      </c>
    </row>
    <row r="46679">
      <c r="A46679" s="17"/>
      <c r="H46679" s="18"/>
      <c r="K46679" s="18" t="s">
        <v>316</v>
      </c>
    </row>
    <row r="46680">
      <c r="A46680" s="17"/>
      <c r="H46680" s="18"/>
      <c r="K46680" s="18" t="s">
        <v>316</v>
      </c>
    </row>
    <row r="46681">
      <c r="A46681" s="17"/>
      <c r="H46681" s="18"/>
      <c r="K46681" s="18" t="s">
        <v>316</v>
      </c>
    </row>
    <row r="46682">
      <c r="A46682" s="17"/>
      <c r="H46682" s="18"/>
      <c r="K46682" s="18" t="s">
        <v>316</v>
      </c>
    </row>
    <row r="46683">
      <c r="A46683" s="17"/>
      <c r="H46683" s="18"/>
      <c r="K46683" s="18" t="s">
        <v>316</v>
      </c>
    </row>
    <row r="46684">
      <c r="A46684" s="17"/>
      <c r="H46684" s="18"/>
      <c r="K46684" s="18" t="s">
        <v>316</v>
      </c>
    </row>
    <row r="46685">
      <c r="A46685" s="17"/>
      <c r="H46685" s="18"/>
      <c r="K46685" s="18" t="s">
        <v>316</v>
      </c>
    </row>
    <row r="46686">
      <c r="A46686" s="17"/>
      <c r="H46686" s="18"/>
      <c r="K46686" s="18" t="s">
        <v>316</v>
      </c>
    </row>
    <row r="46687">
      <c r="A46687" s="17"/>
      <c r="H46687" s="18"/>
      <c r="K46687" s="18" t="s">
        <v>316</v>
      </c>
    </row>
    <row r="46688">
      <c r="A46688" s="17"/>
      <c r="H46688" s="18"/>
      <c r="K46688" s="18" t="s">
        <v>316</v>
      </c>
    </row>
    <row r="46689">
      <c r="A46689" s="17"/>
      <c r="H46689" s="18"/>
      <c r="K46689" s="18" t="s">
        <v>316</v>
      </c>
    </row>
    <row r="46690">
      <c r="A46690" s="17"/>
      <c r="H46690" s="18"/>
      <c r="K46690" s="18" t="s">
        <v>316</v>
      </c>
    </row>
    <row r="46691">
      <c r="A46691" s="17"/>
      <c r="H46691" s="18"/>
      <c r="K46691" s="18" t="s">
        <v>316</v>
      </c>
    </row>
    <row r="46692">
      <c r="A46692" s="17"/>
      <c r="H46692" s="18"/>
      <c r="K46692" s="18" t="s">
        <v>316</v>
      </c>
    </row>
    <row r="46693">
      <c r="A46693" s="17"/>
      <c r="H46693" s="18"/>
      <c r="K46693" s="18" t="s">
        <v>316</v>
      </c>
    </row>
    <row r="46694">
      <c r="A46694" s="17"/>
      <c r="H46694" s="18"/>
      <c r="K46694" s="18" t="s">
        <v>316</v>
      </c>
    </row>
    <row r="46695">
      <c r="A46695" s="17"/>
      <c r="H46695" s="18"/>
      <c r="K46695" s="18" t="s">
        <v>316</v>
      </c>
    </row>
    <row r="46696">
      <c r="A46696" s="17"/>
      <c r="H46696" s="18"/>
      <c r="K46696" s="18" t="s">
        <v>316</v>
      </c>
    </row>
    <row r="46697">
      <c r="A46697" s="17"/>
      <c r="H46697" s="18"/>
      <c r="K46697" s="18" t="s">
        <v>316</v>
      </c>
    </row>
    <row r="46698">
      <c r="A46698" s="17"/>
      <c r="H46698" s="18"/>
      <c r="K46698" s="18" t="s">
        <v>316</v>
      </c>
    </row>
    <row r="46699">
      <c r="A46699" s="17"/>
      <c r="H46699" s="18"/>
      <c r="K46699" s="18" t="s">
        <v>316</v>
      </c>
    </row>
    <row r="46700">
      <c r="A46700" s="17"/>
      <c r="H46700" s="18"/>
      <c r="K46700" s="18" t="s">
        <v>316</v>
      </c>
    </row>
    <row r="46701">
      <c r="A46701" s="17"/>
      <c r="H46701" s="18"/>
      <c r="K46701" s="18" t="s">
        <v>316</v>
      </c>
    </row>
    <row r="46702">
      <c r="A46702" s="17"/>
      <c r="H46702" s="18"/>
      <c r="K46702" s="18" t="s">
        <v>316</v>
      </c>
    </row>
    <row r="46703">
      <c r="A46703" s="17"/>
      <c r="H46703" s="18"/>
      <c r="K46703" s="18" t="s">
        <v>316</v>
      </c>
    </row>
    <row r="46704">
      <c r="A46704" s="17"/>
      <c r="H46704" s="18"/>
      <c r="K46704" s="18" t="s">
        <v>316</v>
      </c>
    </row>
    <row r="46705">
      <c r="A46705" s="17"/>
      <c r="H46705" s="18"/>
      <c r="K46705" s="18" t="s">
        <v>316</v>
      </c>
    </row>
    <row r="46706">
      <c r="A46706" s="17"/>
      <c r="H46706" s="18"/>
      <c r="K46706" s="18" t="s">
        <v>316</v>
      </c>
    </row>
    <row r="46707">
      <c r="A46707" s="17"/>
      <c r="H46707" s="18"/>
      <c r="K46707" s="18" t="s">
        <v>316</v>
      </c>
    </row>
    <row r="46708">
      <c r="A46708" s="17"/>
      <c r="H46708" s="18"/>
      <c r="K46708" s="18" t="s">
        <v>316</v>
      </c>
    </row>
    <row r="46709">
      <c r="A46709" s="17"/>
      <c r="H46709" s="18"/>
      <c r="K46709" s="18" t="s">
        <v>316</v>
      </c>
    </row>
    <row r="46710">
      <c r="A46710" s="17"/>
      <c r="H46710" s="18"/>
      <c r="K46710" s="18" t="s">
        <v>316</v>
      </c>
    </row>
    <row r="46711">
      <c r="A46711" s="17"/>
      <c r="H46711" s="18"/>
      <c r="K46711" s="18" t="s">
        <v>316</v>
      </c>
    </row>
    <row r="46712">
      <c r="A46712" s="17"/>
      <c r="H46712" s="18"/>
      <c r="K46712" s="18" t="s">
        <v>316</v>
      </c>
    </row>
    <row r="46713">
      <c r="A46713" s="17"/>
      <c r="H46713" s="18"/>
      <c r="K46713" s="18" t="s">
        <v>316</v>
      </c>
    </row>
    <row r="46714">
      <c r="A46714" s="17"/>
      <c r="H46714" s="18"/>
      <c r="K46714" s="18" t="s">
        <v>316</v>
      </c>
    </row>
    <row r="46715">
      <c r="A46715" s="17"/>
      <c r="H46715" s="18"/>
      <c r="K46715" s="18" t="s">
        <v>316</v>
      </c>
    </row>
    <row r="46716">
      <c r="A46716" s="17"/>
      <c r="H46716" s="18"/>
      <c r="K46716" s="18" t="s">
        <v>316</v>
      </c>
    </row>
    <row r="46717">
      <c r="A46717" s="17"/>
      <c r="H46717" s="18"/>
      <c r="K46717" s="18" t="s">
        <v>316</v>
      </c>
    </row>
    <row r="46718">
      <c r="A46718" s="17"/>
      <c r="H46718" s="18"/>
      <c r="K46718" s="18" t="s">
        <v>316</v>
      </c>
    </row>
    <row r="46719">
      <c r="A46719" s="17"/>
      <c r="H46719" s="18"/>
      <c r="K46719" s="18" t="s">
        <v>316</v>
      </c>
    </row>
    <row r="46720">
      <c r="A46720" s="17"/>
      <c r="H46720" s="18"/>
      <c r="K46720" s="18" t="s">
        <v>316</v>
      </c>
    </row>
    <row r="46721">
      <c r="A46721" s="17"/>
      <c r="H46721" s="18"/>
      <c r="K46721" s="18" t="s">
        <v>316</v>
      </c>
    </row>
    <row r="46722">
      <c r="A46722" s="17"/>
      <c r="H46722" s="18"/>
      <c r="K46722" s="18" t="s">
        <v>316</v>
      </c>
    </row>
    <row r="46723">
      <c r="A46723" s="17"/>
      <c r="H46723" s="18"/>
      <c r="K46723" s="18" t="s">
        <v>316</v>
      </c>
    </row>
    <row r="46724">
      <c r="A46724" s="17"/>
      <c r="H46724" s="18"/>
      <c r="K46724" s="18" t="s">
        <v>316</v>
      </c>
    </row>
    <row r="46725">
      <c r="A46725" s="17"/>
      <c r="H46725" s="18"/>
      <c r="K46725" s="18" t="s">
        <v>316</v>
      </c>
    </row>
    <row r="46726">
      <c r="A46726" s="17"/>
      <c r="H46726" s="18"/>
      <c r="K46726" s="18" t="s">
        <v>316</v>
      </c>
    </row>
    <row r="46727">
      <c r="A46727" s="17"/>
      <c r="H46727" s="18"/>
      <c r="K46727" s="18" t="s">
        <v>316</v>
      </c>
    </row>
    <row r="46728">
      <c r="A46728" s="17"/>
      <c r="H46728" s="18"/>
      <c r="K46728" s="18" t="s">
        <v>316</v>
      </c>
    </row>
    <row r="46729">
      <c r="A46729" s="17"/>
      <c r="H46729" s="18"/>
      <c r="K46729" s="18" t="s">
        <v>316</v>
      </c>
    </row>
    <row r="46730">
      <c r="A46730" s="17"/>
      <c r="H46730" s="18"/>
      <c r="K46730" s="18" t="s">
        <v>316</v>
      </c>
    </row>
    <row r="46731">
      <c r="A46731" s="17"/>
      <c r="H46731" s="18"/>
      <c r="K46731" s="18" t="s">
        <v>316</v>
      </c>
    </row>
    <row r="46732">
      <c r="A46732" s="17"/>
      <c r="H46732" s="18"/>
      <c r="K46732" s="18" t="s">
        <v>316</v>
      </c>
    </row>
    <row r="46733">
      <c r="A46733" s="17"/>
      <c r="H46733" s="18"/>
      <c r="K46733" s="18" t="s">
        <v>316</v>
      </c>
    </row>
    <row r="46734">
      <c r="A46734" s="17"/>
      <c r="H46734" s="18"/>
      <c r="K46734" s="18" t="s">
        <v>316</v>
      </c>
    </row>
    <row r="46735">
      <c r="A46735" s="17"/>
      <c r="H46735" s="18"/>
      <c r="K46735" s="18" t="s">
        <v>316</v>
      </c>
    </row>
    <row r="46736">
      <c r="A46736" s="17"/>
      <c r="H46736" s="18"/>
      <c r="K46736" s="18" t="s">
        <v>316</v>
      </c>
    </row>
    <row r="46737">
      <c r="A46737" s="17"/>
      <c r="H46737" s="18"/>
      <c r="K46737" s="18" t="s">
        <v>316</v>
      </c>
    </row>
    <row r="46738">
      <c r="A46738" s="17"/>
      <c r="H46738" s="18"/>
      <c r="K46738" s="18" t="s">
        <v>316</v>
      </c>
    </row>
    <row r="46739">
      <c r="A46739" s="17"/>
      <c r="H46739" s="18"/>
      <c r="K46739" s="18" t="s">
        <v>316</v>
      </c>
    </row>
    <row r="46740">
      <c r="A46740" s="17"/>
      <c r="H46740" s="18"/>
      <c r="K46740" s="18" t="s">
        <v>316</v>
      </c>
    </row>
    <row r="46741">
      <c r="A46741" s="17"/>
      <c r="H46741" s="18"/>
      <c r="K46741" s="18" t="s">
        <v>316</v>
      </c>
    </row>
    <row r="46742">
      <c r="A46742" s="17"/>
      <c r="H46742" s="18"/>
      <c r="K46742" s="18" t="s">
        <v>316</v>
      </c>
    </row>
    <row r="46743">
      <c r="A46743" s="17"/>
      <c r="H46743" s="18"/>
      <c r="K46743" s="18" t="s">
        <v>316</v>
      </c>
    </row>
    <row r="46744">
      <c r="A46744" s="17"/>
      <c r="H46744" s="18"/>
      <c r="K46744" s="18" t="s">
        <v>316</v>
      </c>
    </row>
    <row r="46745">
      <c r="A46745" s="17"/>
      <c r="H46745" s="18"/>
      <c r="K46745" s="18" t="s">
        <v>316</v>
      </c>
    </row>
    <row r="46746">
      <c r="A46746" s="17"/>
      <c r="H46746" s="18"/>
      <c r="K46746" s="18" t="s">
        <v>316</v>
      </c>
    </row>
    <row r="46747">
      <c r="A46747" s="17"/>
      <c r="H46747" s="18"/>
      <c r="K46747" s="18" t="s">
        <v>316</v>
      </c>
    </row>
    <row r="46748">
      <c r="A46748" s="17"/>
      <c r="H46748" s="18"/>
      <c r="K46748" s="18" t="s">
        <v>316</v>
      </c>
    </row>
    <row r="46749">
      <c r="A46749" s="17"/>
      <c r="H46749" s="18"/>
      <c r="K46749" s="18" t="s">
        <v>316</v>
      </c>
    </row>
    <row r="46750">
      <c r="A46750" s="17"/>
      <c r="H46750" s="18"/>
      <c r="K46750" s="18" t="s">
        <v>316</v>
      </c>
    </row>
    <row r="46751">
      <c r="A46751" s="17"/>
      <c r="H46751" s="18"/>
      <c r="K46751" s="18" t="s">
        <v>316</v>
      </c>
    </row>
    <row r="46752">
      <c r="A46752" s="17"/>
      <c r="H46752" s="18"/>
      <c r="K46752" s="18" t="s">
        <v>316</v>
      </c>
    </row>
    <row r="46753">
      <c r="A46753" s="17"/>
      <c r="H46753" s="18"/>
      <c r="K46753" s="18" t="s">
        <v>316</v>
      </c>
    </row>
    <row r="46754">
      <c r="A46754" s="17"/>
      <c r="H46754" s="18"/>
      <c r="K46754" s="18" t="s">
        <v>316</v>
      </c>
    </row>
    <row r="46755">
      <c r="A46755" s="17"/>
      <c r="H46755" s="18"/>
      <c r="K46755" s="18" t="s">
        <v>316</v>
      </c>
    </row>
    <row r="46756">
      <c r="A46756" s="17"/>
      <c r="H46756" s="18"/>
      <c r="K46756" s="18" t="s">
        <v>316</v>
      </c>
    </row>
    <row r="46757">
      <c r="A46757" s="17"/>
      <c r="H46757" s="18"/>
      <c r="K46757" s="18" t="s">
        <v>316</v>
      </c>
    </row>
    <row r="46758">
      <c r="A46758" s="17"/>
      <c r="H46758" s="18"/>
      <c r="K46758" s="18" t="s">
        <v>316</v>
      </c>
    </row>
    <row r="46759">
      <c r="A46759" s="17"/>
      <c r="H46759" s="18"/>
      <c r="K46759" s="18" t="s">
        <v>316</v>
      </c>
    </row>
    <row r="46760">
      <c r="A46760" s="17"/>
      <c r="H46760" s="18"/>
      <c r="K46760" s="18" t="s">
        <v>316</v>
      </c>
    </row>
    <row r="46761">
      <c r="A46761" s="17"/>
      <c r="H46761" s="18"/>
      <c r="K46761" s="18" t="s">
        <v>316</v>
      </c>
    </row>
    <row r="46762">
      <c r="A46762" s="17"/>
      <c r="H46762" s="18"/>
      <c r="K46762" s="18" t="s">
        <v>316</v>
      </c>
    </row>
    <row r="46763">
      <c r="A46763" s="17"/>
      <c r="H46763" s="18"/>
      <c r="K46763" s="18" t="s">
        <v>316</v>
      </c>
    </row>
    <row r="46764">
      <c r="A46764" s="17"/>
      <c r="H46764" s="18"/>
      <c r="K46764" s="18" t="s">
        <v>316</v>
      </c>
    </row>
    <row r="46765">
      <c r="A46765" s="17"/>
      <c r="H46765" s="18"/>
      <c r="K46765" s="18" t="s">
        <v>316</v>
      </c>
    </row>
    <row r="46766">
      <c r="A46766" s="17"/>
      <c r="H46766" s="18"/>
      <c r="K46766" s="18" t="s">
        <v>316</v>
      </c>
    </row>
    <row r="46767">
      <c r="A46767" s="17"/>
      <c r="H46767" s="18"/>
      <c r="K46767" s="18" t="s">
        <v>316</v>
      </c>
    </row>
    <row r="46768">
      <c r="A46768" s="17"/>
      <c r="H46768" s="18"/>
      <c r="K46768" s="18" t="s">
        <v>316</v>
      </c>
    </row>
    <row r="46769">
      <c r="A46769" s="17"/>
      <c r="H46769" s="18"/>
      <c r="K46769" s="18" t="s">
        <v>316</v>
      </c>
    </row>
    <row r="46770">
      <c r="A46770" s="17"/>
      <c r="H46770" s="18"/>
      <c r="K46770" s="18" t="s">
        <v>316</v>
      </c>
    </row>
    <row r="46771">
      <c r="A46771" s="17"/>
      <c r="H46771" s="18"/>
      <c r="K46771" s="18" t="s">
        <v>316</v>
      </c>
    </row>
    <row r="46772">
      <c r="A46772" s="17"/>
      <c r="H46772" s="18"/>
      <c r="K46772" s="18" t="s">
        <v>316</v>
      </c>
    </row>
    <row r="46773">
      <c r="A46773" s="17"/>
      <c r="H46773" s="18"/>
      <c r="K46773" s="18" t="s">
        <v>316</v>
      </c>
    </row>
    <row r="46774">
      <c r="A46774" s="17"/>
      <c r="H46774" s="18"/>
      <c r="K46774" s="18" t="s">
        <v>316</v>
      </c>
    </row>
    <row r="46775">
      <c r="A46775" s="17"/>
      <c r="H46775" s="18"/>
      <c r="K46775" s="18" t="s">
        <v>316</v>
      </c>
    </row>
    <row r="46776">
      <c r="A46776" s="17"/>
      <c r="H46776" s="18"/>
      <c r="K46776" s="18" t="s">
        <v>316</v>
      </c>
    </row>
    <row r="46777">
      <c r="A46777" s="17"/>
      <c r="H46777" s="18"/>
      <c r="K46777" s="18" t="s">
        <v>316</v>
      </c>
    </row>
    <row r="46778">
      <c r="A46778" s="17"/>
      <c r="H46778" s="18"/>
      <c r="K46778" s="18" t="s">
        <v>316</v>
      </c>
    </row>
    <row r="46779">
      <c r="A46779" s="17"/>
      <c r="H46779" s="18"/>
      <c r="K46779" s="18" t="s">
        <v>316</v>
      </c>
    </row>
    <row r="46780">
      <c r="A46780" s="17"/>
      <c r="H46780" s="18"/>
      <c r="K46780" s="18" t="s">
        <v>316</v>
      </c>
    </row>
    <row r="46781">
      <c r="A46781" s="17"/>
      <c r="H46781" s="18"/>
      <c r="K46781" s="18" t="s">
        <v>316</v>
      </c>
    </row>
    <row r="46782">
      <c r="A46782" s="17"/>
      <c r="H46782" s="18"/>
      <c r="K46782" s="18" t="s">
        <v>316</v>
      </c>
    </row>
    <row r="46783">
      <c r="A46783" s="17"/>
      <c r="H46783" s="18"/>
      <c r="K46783" s="18" t="s">
        <v>316</v>
      </c>
    </row>
    <row r="46784">
      <c r="A46784" s="17"/>
      <c r="H46784" s="18"/>
      <c r="K46784" s="18" t="s">
        <v>316</v>
      </c>
    </row>
    <row r="46785">
      <c r="A46785" s="17"/>
      <c r="H46785" s="18"/>
      <c r="K46785" s="18" t="s">
        <v>316</v>
      </c>
    </row>
    <row r="46786">
      <c r="A46786" s="17"/>
      <c r="H46786" s="18"/>
      <c r="K46786" s="18" t="s">
        <v>316</v>
      </c>
    </row>
    <row r="46787">
      <c r="A46787" s="17"/>
      <c r="H46787" s="18"/>
      <c r="K46787" s="18" t="s">
        <v>316</v>
      </c>
    </row>
    <row r="46788">
      <c r="A46788" s="17"/>
      <c r="H46788" s="18"/>
      <c r="K46788" s="18" t="s">
        <v>316</v>
      </c>
    </row>
    <row r="46789">
      <c r="A46789" s="17"/>
      <c r="H46789" s="18"/>
      <c r="K46789" s="18" t="s">
        <v>316</v>
      </c>
    </row>
    <row r="46790">
      <c r="A46790" s="17"/>
      <c r="H46790" s="18"/>
      <c r="K46790" s="18" t="s">
        <v>316</v>
      </c>
    </row>
    <row r="46791">
      <c r="A46791" s="17"/>
      <c r="H46791" s="18"/>
      <c r="K46791" s="18" t="s">
        <v>316</v>
      </c>
    </row>
    <row r="46792">
      <c r="A46792" s="17"/>
      <c r="H46792" s="18"/>
      <c r="K46792" s="18" t="s">
        <v>316</v>
      </c>
    </row>
    <row r="46793">
      <c r="A46793" s="17"/>
      <c r="H46793" s="18"/>
      <c r="K46793" s="18" t="s">
        <v>316</v>
      </c>
    </row>
    <row r="46794">
      <c r="A46794" s="17"/>
      <c r="H46794" s="18"/>
      <c r="K46794" s="18" t="s">
        <v>316</v>
      </c>
    </row>
    <row r="46795">
      <c r="A46795" s="17"/>
      <c r="H46795" s="18"/>
      <c r="K46795" s="18" t="s">
        <v>316</v>
      </c>
    </row>
    <row r="46796">
      <c r="A46796" s="17"/>
      <c r="H46796" s="18"/>
      <c r="K46796" s="18" t="s">
        <v>316</v>
      </c>
    </row>
    <row r="46797">
      <c r="A46797" s="17"/>
      <c r="H46797" s="18"/>
      <c r="K46797" s="18" t="s">
        <v>316</v>
      </c>
    </row>
    <row r="46798">
      <c r="A46798" s="17"/>
      <c r="H46798" s="18"/>
      <c r="K46798" s="18" t="s">
        <v>316</v>
      </c>
    </row>
    <row r="46799">
      <c r="A46799" s="17"/>
      <c r="H46799" s="18"/>
      <c r="K46799" s="18" t="s">
        <v>316</v>
      </c>
    </row>
    <row r="46800">
      <c r="A46800" s="17"/>
      <c r="H46800" s="18"/>
      <c r="K46800" s="18" t="s">
        <v>316</v>
      </c>
    </row>
    <row r="46801">
      <c r="A46801" s="17"/>
      <c r="H46801" s="18"/>
      <c r="K46801" s="18" t="s">
        <v>316</v>
      </c>
    </row>
    <row r="46802">
      <c r="A46802" s="17"/>
      <c r="H46802" s="18"/>
      <c r="K46802" s="18" t="s">
        <v>316</v>
      </c>
    </row>
    <row r="46803">
      <c r="A46803" s="17"/>
      <c r="H46803" s="18"/>
      <c r="K46803" s="18" t="s">
        <v>316</v>
      </c>
    </row>
    <row r="46804">
      <c r="A46804" s="17"/>
      <c r="H46804" s="18"/>
      <c r="K46804" s="18" t="s">
        <v>316</v>
      </c>
    </row>
    <row r="46805">
      <c r="A46805" s="17"/>
      <c r="H46805" s="18"/>
      <c r="K46805" s="18" t="s">
        <v>316</v>
      </c>
    </row>
    <row r="46806">
      <c r="A46806" s="17"/>
      <c r="H46806" s="18"/>
      <c r="K46806" s="18" t="s">
        <v>316</v>
      </c>
    </row>
    <row r="46807">
      <c r="A46807" s="17"/>
      <c r="H46807" s="18"/>
      <c r="K46807" s="18" t="s">
        <v>316</v>
      </c>
    </row>
    <row r="46808">
      <c r="A46808" s="17"/>
      <c r="H46808" s="18"/>
      <c r="K46808" s="18" t="s">
        <v>316</v>
      </c>
    </row>
    <row r="46809">
      <c r="A46809" s="17"/>
      <c r="H46809" s="18"/>
      <c r="K46809" s="18" t="s">
        <v>316</v>
      </c>
    </row>
    <row r="46810">
      <c r="A46810" s="17"/>
      <c r="H46810" s="18"/>
      <c r="K46810" s="18" t="s">
        <v>316</v>
      </c>
    </row>
    <row r="46811">
      <c r="A46811" s="17"/>
      <c r="H46811" s="18"/>
      <c r="K46811" s="18" t="s">
        <v>316</v>
      </c>
    </row>
    <row r="46812">
      <c r="A46812" s="17"/>
      <c r="H46812" s="18"/>
      <c r="K46812" s="18" t="s">
        <v>316</v>
      </c>
    </row>
    <row r="46813">
      <c r="A46813" s="17"/>
      <c r="H46813" s="18"/>
      <c r="K46813" s="18" t="s">
        <v>316</v>
      </c>
    </row>
    <row r="46814">
      <c r="A46814" s="17"/>
      <c r="H46814" s="18"/>
      <c r="K46814" s="18" t="s">
        <v>316</v>
      </c>
    </row>
    <row r="46815">
      <c r="A46815" s="17"/>
      <c r="H46815" s="18"/>
      <c r="K46815" s="18" t="s">
        <v>316</v>
      </c>
    </row>
    <row r="46816">
      <c r="A46816" s="17"/>
      <c r="H46816" s="18"/>
      <c r="K46816" s="18" t="s">
        <v>316</v>
      </c>
    </row>
    <row r="46817">
      <c r="A46817" s="17"/>
      <c r="H46817" s="18"/>
      <c r="K46817" s="18" t="s">
        <v>316</v>
      </c>
    </row>
    <row r="46818">
      <c r="A46818" s="17"/>
      <c r="H46818" s="18"/>
      <c r="K46818" s="18" t="s">
        <v>316</v>
      </c>
    </row>
    <row r="46819">
      <c r="A46819" s="17"/>
      <c r="H46819" s="18"/>
      <c r="K46819" s="18" t="s">
        <v>316</v>
      </c>
    </row>
    <row r="46820">
      <c r="A46820" s="17"/>
      <c r="H46820" s="18"/>
      <c r="K46820" s="18" t="s">
        <v>316</v>
      </c>
    </row>
    <row r="46821">
      <c r="A46821" s="17"/>
      <c r="H46821" s="18"/>
      <c r="K46821" s="18" t="s">
        <v>316</v>
      </c>
    </row>
    <row r="46822">
      <c r="A46822" s="17"/>
      <c r="H46822" s="18"/>
      <c r="K46822" s="18" t="s">
        <v>316</v>
      </c>
    </row>
    <row r="46823">
      <c r="A46823" s="17"/>
      <c r="H46823" s="18"/>
      <c r="K46823" s="18" t="s">
        <v>316</v>
      </c>
    </row>
    <row r="46824">
      <c r="A46824" s="17"/>
      <c r="H46824" s="18"/>
      <c r="K46824" s="18" t="s">
        <v>316</v>
      </c>
    </row>
    <row r="46825">
      <c r="A46825" s="17"/>
      <c r="H46825" s="18"/>
      <c r="K46825" s="18" t="s">
        <v>316</v>
      </c>
    </row>
    <row r="46826">
      <c r="A46826" s="17"/>
      <c r="H46826" s="18"/>
      <c r="K46826" s="18" t="s">
        <v>316</v>
      </c>
    </row>
    <row r="46827">
      <c r="A46827" s="17"/>
      <c r="H46827" s="18"/>
      <c r="K46827" s="18" t="s">
        <v>316</v>
      </c>
    </row>
    <row r="46828">
      <c r="A46828" s="17"/>
      <c r="H46828" s="18"/>
      <c r="K46828" s="18" t="s">
        <v>316</v>
      </c>
    </row>
    <row r="46829">
      <c r="A46829" s="17"/>
      <c r="H46829" s="18"/>
      <c r="K46829" s="18" t="s">
        <v>316</v>
      </c>
    </row>
    <row r="46830">
      <c r="A46830" s="17"/>
      <c r="H46830" s="18"/>
      <c r="K46830" s="18" t="s">
        <v>316</v>
      </c>
    </row>
    <row r="46831">
      <c r="A46831" s="17"/>
      <c r="H46831" s="18"/>
      <c r="K46831" s="18" t="s">
        <v>316</v>
      </c>
    </row>
    <row r="46832">
      <c r="A46832" s="17"/>
      <c r="H46832" s="18"/>
      <c r="K46832" s="18" t="s">
        <v>316</v>
      </c>
    </row>
    <row r="46833">
      <c r="A46833" s="17"/>
      <c r="H46833" s="18"/>
      <c r="K46833" s="18" t="s">
        <v>316</v>
      </c>
    </row>
    <row r="46834">
      <c r="A46834" s="17"/>
      <c r="H46834" s="18"/>
      <c r="K46834" s="18" t="s">
        <v>316</v>
      </c>
    </row>
    <row r="46835">
      <c r="A46835" s="17"/>
      <c r="H46835" s="18"/>
      <c r="K46835" s="18" t="s">
        <v>316</v>
      </c>
    </row>
    <row r="46836">
      <c r="A46836" s="17"/>
      <c r="H46836" s="18"/>
      <c r="K46836" s="18" t="s">
        <v>316</v>
      </c>
    </row>
    <row r="46837">
      <c r="A46837" s="17"/>
      <c r="H46837" s="18"/>
      <c r="K46837" s="18" t="s">
        <v>316</v>
      </c>
    </row>
    <row r="46838">
      <c r="A46838" s="17"/>
      <c r="H46838" s="18"/>
      <c r="K46838" s="18" t="s">
        <v>316</v>
      </c>
    </row>
    <row r="46839">
      <c r="A46839" s="17"/>
      <c r="H46839" s="18"/>
      <c r="K46839" s="18" t="s">
        <v>316</v>
      </c>
    </row>
    <row r="46840">
      <c r="A46840" s="17"/>
      <c r="H46840" s="18"/>
      <c r="K46840" s="18" t="s">
        <v>316</v>
      </c>
    </row>
    <row r="46841">
      <c r="A46841" s="17"/>
      <c r="H46841" s="18"/>
      <c r="K46841" s="18" t="s">
        <v>316</v>
      </c>
    </row>
    <row r="46842">
      <c r="A46842" s="17"/>
      <c r="H46842" s="18"/>
      <c r="K46842" s="18" t="s">
        <v>316</v>
      </c>
    </row>
    <row r="46843">
      <c r="A46843" s="17"/>
      <c r="H46843" s="18"/>
      <c r="K46843" s="18" t="s">
        <v>316</v>
      </c>
    </row>
    <row r="46844">
      <c r="A46844" s="17"/>
      <c r="H46844" s="18"/>
      <c r="K46844" s="18" t="s">
        <v>316</v>
      </c>
    </row>
    <row r="46845">
      <c r="A46845" s="17"/>
      <c r="H46845" s="18"/>
      <c r="K46845" s="18" t="s">
        <v>316</v>
      </c>
    </row>
    <row r="46846">
      <c r="A46846" s="17"/>
      <c r="H46846" s="18"/>
      <c r="K46846" s="18" t="s">
        <v>316</v>
      </c>
    </row>
    <row r="46847">
      <c r="A46847" s="17"/>
      <c r="H46847" s="18"/>
      <c r="K46847" s="18" t="s">
        <v>316</v>
      </c>
    </row>
    <row r="46848">
      <c r="A46848" s="17"/>
      <c r="H46848" s="18"/>
      <c r="K46848" s="18" t="s">
        <v>316</v>
      </c>
    </row>
    <row r="46849">
      <c r="A46849" s="17"/>
      <c r="H46849" s="18"/>
      <c r="K46849" s="18" t="s">
        <v>316</v>
      </c>
    </row>
    <row r="46850">
      <c r="A46850" s="17"/>
      <c r="H46850" s="18"/>
      <c r="K46850" s="18" t="s">
        <v>316</v>
      </c>
    </row>
    <row r="46851">
      <c r="A46851" s="17"/>
      <c r="H46851" s="18"/>
      <c r="K46851" s="18" t="s">
        <v>316</v>
      </c>
    </row>
    <row r="46852">
      <c r="A46852" s="17"/>
      <c r="H46852" s="18"/>
      <c r="K46852" s="18" t="s">
        <v>316</v>
      </c>
    </row>
    <row r="46853">
      <c r="A46853" s="17"/>
      <c r="H46853" s="18"/>
      <c r="K46853" s="18" t="s">
        <v>316</v>
      </c>
    </row>
    <row r="46854">
      <c r="A46854" s="17"/>
      <c r="H46854" s="18"/>
      <c r="K46854" s="18" t="s">
        <v>316</v>
      </c>
    </row>
    <row r="46855">
      <c r="A46855" s="17"/>
      <c r="H46855" s="18"/>
      <c r="K46855" s="18" t="s">
        <v>316</v>
      </c>
    </row>
    <row r="46856">
      <c r="A46856" s="17"/>
      <c r="H46856" s="18"/>
      <c r="K46856" s="18" t="s">
        <v>316</v>
      </c>
    </row>
    <row r="46857">
      <c r="A46857" s="17"/>
      <c r="H46857" s="18"/>
      <c r="K46857" s="18" t="s">
        <v>316</v>
      </c>
    </row>
    <row r="46858">
      <c r="A46858" s="17"/>
      <c r="H46858" s="18"/>
      <c r="K46858" s="18" t="s">
        <v>316</v>
      </c>
    </row>
    <row r="46859">
      <c r="A46859" s="17"/>
      <c r="H46859" s="18"/>
      <c r="K46859" s="18" t="s">
        <v>316</v>
      </c>
    </row>
    <row r="46860">
      <c r="A46860" s="17"/>
      <c r="H46860" s="18"/>
      <c r="K46860" s="18" t="s">
        <v>316</v>
      </c>
    </row>
    <row r="46861">
      <c r="A46861" s="17"/>
      <c r="H46861" s="18"/>
      <c r="K46861" s="18" t="s">
        <v>316</v>
      </c>
    </row>
    <row r="46862">
      <c r="A46862" s="17"/>
      <c r="H46862" s="18"/>
      <c r="K46862" s="18" t="s">
        <v>316</v>
      </c>
    </row>
    <row r="46863">
      <c r="A46863" s="17"/>
      <c r="H46863" s="18"/>
      <c r="K46863" s="18" t="s">
        <v>316</v>
      </c>
    </row>
    <row r="46864">
      <c r="A46864" s="17"/>
      <c r="H46864" s="18"/>
      <c r="K46864" s="18" t="s">
        <v>316</v>
      </c>
    </row>
    <row r="46865">
      <c r="A46865" s="17"/>
      <c r="H46865" s="18"/>
      <c r="K46865" s="18" t="s">
        <v>316</v>
      </c>
    </row>
    <row r="46866">
      <c r="A46866" s="17"/>
      <c r="H46866" s="18"/>
      <c r="K46866" s="18" t="s">
        <v>316</v>
      </c>
    </row>
    <row r="46867">
      <c r="A46867" s="17"/>
      <c r="H46867" s="18"/>
      <c r="K46867" s="18" t="s">
        <v>316</v>
      </c>
    </row>
    <row r="46868">
      <c r="A46868" s="17"/>
      <c r="H46868" s="18"/>
      <c r="K46868" s="18" t="s">
        <v>316</v>
      </c>
    </row>
    <row r="46869">
      <c r="A46869" s="17"/>
      <c r="H46869" s="18"/>
      <c r="K46869" s="18" t="s">
        <v>316</v>
      </c>
    </row>
    <row r="46870">
      <c r="A46870" s="17"/>
      <c r="H46870" s="18"/>
      <c r="K46870" s="18" t="s">
        <v>316</v>
      </c>
    </row>
    <row r="46871">
      <c r="A46871" s="17"/>
      <c r="H46871" s="18"/>
      <c r="K46871" s="18" t="s">
        <v>316</v>
      </c>
    </row>
    <row r="46872">
      <c r="A46872" s="17"/>
      <c r="H46872" s="18"/>
      <c r="K46872" s="18" t="s">
        <v>316</v>
      </c>
    </row>
    <row r="46873">
      <c r="A46873" s="17"/>
      <c r="H46873" s="18"/>
      <c r="K46873" s="18" t="s">
        <v>316</v>
      </c>
    </row>
    <row r="46874">
      <c r="A46874" s="17"/>
      <c r="H46874" s="18"/>
      <c r="K46874" s="18" t="s">
        <v>316</v>
      </c>
    </row>
    <row r="46875">
      <c r="A46875" s="17"/>
      <c r="H46875" s="18"/>
      <c r="K46875" s="18" t="s">
        <v>316</v>
      </c>
    </row>
    <row r="46876">
      <c r="A46876" s="17"/>
      <c r="H46876" s="18"/>
      <c r="K46876" s="18" t="s">
        <v>316</v>
      </c>
    </row>
    <row r="46877">
      <c r="A46877" s="17"/>
      <c r="H46877" s="18"/>
      <c r="K46877" s="18" t="s">
        <v>316</v>
      </c>
    </row>
    <row r="46878">
      <c r="A46878" s="17"/>
      <c r="H46878" s="18"/>
      <c r="K46878" s="18" t="s">
        <v>316</v>
      </c>
    </row>
    <row r="46879">
      <c r="A46879" s="17"/>
      <c r="H46879" s="18"/>
      <c r="K46879" s="18" t="s">
        <v>316</v>
      </c>
    </row>
    <row r="46880">
      <c r="A46880" s="17"/>
      <c r="H46880" s="18"/>
      <c r="K46880" s="18" t="s">
        <v>316</v>
      </c>
    </row>
    <row r="46881">
      <c r="A46881" s="17"/>
      <c r="H46881" s="18"/>
      <c r="K46881" s="18" t="s">
        <v>316</v>
      </c>
    </row>
    <row r="46882">
      <c r="A46882" s="17"/>
      <c r="H46882" s="18"/>
      <c r="K46882" s="18" t="s">
        <v>316</v>
      </c>
    </row>
    <row r="46883">
      <c r="A46883" s="17"/>
      <c r="H46883" s="18"/>
      <c r="K46883" s="18" t="s">
        <v>316</v>
      </c>
    </row>
    <row r="46884">
      <c r="A46884" s="17"/>
      <c r="H46884" s="18"/>
      <c r="K46884" s="18" t="s">
        <v>316</v>
      </c>
    </row>
    <row r="46885">
      <c r="A46885" s="17"/>
      <c r="H46885" s="18"/>
      <c r="K46885" s="18" t="s">
        <v>316</v>
      </c>
    </row>
    <row r="46886">
      <c r="A46886" s="17"/>
      <c r="H46886" s="18"/>
      <c r="K46886" s="18" t="s">
        <v>316</v>
      </c>
    </row>
    <row r="46887">
      <c r="A46887" s="17"/>
      <c r="H46887" s="18"/>
      <c r="K46887" s="18" t="s">
        <v>316</v>
      </c>
    </row>
    <row r="46888">
      <c r="A46888" s="17"/>
      <c r="H46888" s="18"/>
      <c r="K46888" s="18" t="s">
        <v>316</v>
      </c>
    </row>
    <row r="46889">
      <c r="A46889" s="17"/>
      <c r="H46889" s="18"/>
      <c r="K46889" s="18" t="s">
        <v>316</v>
      </c>
    </row>
    <row r="46890">
      <c r="A46890" s="17"/>
      <c r="H46890" s="18"/>
      <c r="K46890" s="18" t="s">
        <v>316</v>
      </c>
    </row>
    <row r="46891">
      <c r="A46891" s="17"/>
      <c r="H46891" s="18"/>
      <c r="K46891" s="18" t="s">
        <v>316</v>
      </c>
    </row>
    <row r="46892">
      <c r="A46892" s="17"/>
      <c r="H46892" s="18"/>
      <c r="K46892" s="18" t="s">
        <v>316</v>
      </c>
    </row>
    <row r="46893">
      <c r="A46893" s="17"/>
      <c r="H46893" s="18"/>
      <c r="K46893" s="18" t="s">
        <v>316</v>
      </c>
    </row>
    <row r="46894">
      <c r="A46894" s="17"/>
      <c r="H46894" s="18"/>
      <c r="K46894" s="18" t="s">
        <v>316</v>
      </c>
    </row>
    <row r="46895">
      <c r="A46895" s="17"/>
      <c r="H46895" s="18"/>
      <c r="K46895" s="18" t="s">
        <v>316</v>
      </c>
    </row>
    <row r="46896">
      <c r="A46896" s="17"/>
      <c r="H46896" s="18"/>
      <c r="K46896" s="18" t="s">
        <v>316</v>
      </c>
    </row>
    <row r="46897">
      <c r="A46897" s="17"/>
      <c r="H46897" s="18"/>
      <c r="K46897" s="18" t="s">
        <v>316</v>
      </c>
    </row>
    <row r="46898">
      <c r="A46898" s="17"/>
      <c r="H46898" s="18"/>
      <c r="K46898" s="18" t="s">
        <v>316</v>
      </c>
    </row>
    <row r="46899">
      <c r="A46899" s="17"/>
      <c r="H46899" s="18"/>
      <c r="K46899" s="18" t="s">
        <v>316</v>
      </c>
    </row>
    <row r="46900">
      <c r="A46900" s="17"/>
      <c r="H46900" s="18"/>
      <c r="K46900" s="18" t="s">
        <v>316</v>
      </c>
    </row>
    <row r="46901">
      <c r="A46901" s="17"/>
      <c r="H46901" s="18"/>
      <c r="K46901" s="18" t="s">
        <v>316</v>
      </c>
    </row>
    <row r="46902">
      <c r="A46902" s="17"/>
      <c r="H46902" s="18"/>
      <c r="K46902" s="18" t="s">
        <v>316</v>
      </c>
    </row>
    <row r="46903">
      <c r="A46903" s="17"/>
      <c r="H46903" s="18"/>
      <c r="K46903" s="18" t="s">
        <v>316</v>
      </c>
    </row>
    <row r="46904">
      <c r="A46904" s="17"/>
      <c r="H46904" s="18"/>
      <c r="K46904" s="18" t="s">
        <v>316</v>
      </c>
    </row>
    <row r="46905">
      <c r="A46905" s="17"/>
      <c r="H46905" s="18"/>
      <c r="K46905" s="18" t="s">
        <v>316</v>
      </c>
    </row>
    <row r="46906">
      <c r="A46906" s="17"/>
      <c r="H46906" s="18"/>
      <c r="K46906" s="18" t="s">
        <v>316</v>
      </c>
    </row>
    <row r="46907">
      <c r="A46907" s="17"/>
      <c r="H46907" s="18"/>
      <c r="K46907" s="18" t="s">
        <v>316</v>
      </c>
    </row>
    <row r="46908">
      <c r="A46908" s="17"/>
      <c r="H46908" s="18"/>
      <c r="K46908" s="18" t="s">
        <v>316</v>
      </c>
    </row>
    <row r="46909">
      <c r="A46909" s="17"/>
      <c r="H46909" s="18"/>
      <c r="K46909" s="18" t="s">
        <v>316</v>
      </c>
    </row>
    <row r="46910">
      <c r="A46910" s="17"/>
      <c r="H46910" s="18"/>
      <c r="K46910" s="18" t="s">
        <v>316</v>
      </c>
    </row>
    <row r="46911">
      <c r="A46911" s="17"/>
      <c r="H46911" s="18"/>
      <c r="K46911" s="18" t="s">
        <v>316</v>
      </c>
    </row>
    <row r="46912">
      <c r="A46912" s="17"/>
      <c r="H46912" s="18"/>
      <c r="K46912" s="18" t="s">
        <v>316</v>
      </c>
    </row>
    <row r="46913">
      <c r="A46913" s="17"/>
      <c r="H46913" s="18"/>
      <c r="K46913" s="18" t="s">
        <v>316</v>
      </c>
    </row>
    <row r="46914">
      <c r="A46914" s="17"/>
      <c r="H46914" s="18"/>
      <c r="K46914" s="18" t="s">
        <v>316</v>
      </c>
    </row>
    <row r="46915">
      <c r="A46915" s="17"/>
      <c r="H46915" s="18"/>
      <c r="K46915" s="18" t="s">
        <v>316</v>
      </c>
    </row>
    <row r="46916">
      <c r="A46916" s="17"/>
      <c r="H46916" s="18"/>
      <c r="K46916" s="18" t="s">
        <v>316</v>
      </c>
    </row>
    <row r="46917">
      <c r="A46917" s="17"/>
      <c r="H46917" s="18"/>
      <c r="K46917" s="18" t="s">
        <v>316</v>
      </c>
    </row>
    <row r="46918">
      <c r="A46918" s="17"/>
      <c r="H46918" s="18"/>
      <c r="K46918" s="18" t="s">
        <v>316</v>
      </c>
    </row>
    <row r="46919">
      <c r="A46919" s="17"/>
      <c r="H46919" s="18"/>
      <c r="K46919" s="18" t="s">
        <v>316</v>
      </c>
    </row>
    <row r="46920">
      <c r="A46920" s="17"/>
      <c r="H46920" s="18"/>
      <c r="K46920" s="18" t="s">
        <v>316</v>
      </c>
    </row>
    <row r="46921">
      <c r="A46921" s="17"/>
      <c r="H46921" s="18"/>
      <c r="K46921" s="18" t="s">
        <v>316</v>
      </c>
    </row>
    <row r="46922">
      <c r="A46922" s="17"/>
      <c r="H46922" s="18"/>
      <c r="K46922" s="18" t="s">
        <v>316</v>
      </c>
    </row>
    <row r="46923">
      <c r="A46923" s="17"/>
      <c r="H46923" s="18"/>
      <c r="K46923" s="18" t="s">
        <v>316</v>
      </c>
    </row>
    <row r="46924">
      <c r="A46924" s="17"/>
      <c r="H46924" s="18"/>
      <c r="K46924" s="18" t="s">
        <v>316</v>
      </c>
    </row>
    <row r="46925">
      <c r="A46925" s="17"/>
      <c r="H46925" s="18"/>
      <c r="K46925" s="18" t="s">
        <v>316</v>
      </c>
    </row>
    <row r="46926">
      <c r="A46926" s="17"/>
      <c r="H46926" s="18"/>
      <c r="K46926" s="18" t="s">
        <v>316</v>
      </c>
    </row>
    <row r="46927">
      <c r="A46927" s="17"/>
      <c r="H46927" s="18"/>
      <c r="K46927" s="18" t="s">
        <v>316</v>
      </c>
    </row>
    <row r="46928">
      <c r="A46928" s="17"/>
      <c r="H46928" s="18"/>
      <c r="K46928" s="18" t="s">
        <v>316</v>
      </c>
    </row>
    <row r="46929">
      <c r="A46929" s="17"/>
      <c r="H46929" s="18"/>
      <c r="K46929" s="18" t="s">
        <v>316</v>
      </c>
    </row>
    <row r="46930">
      <c r="A46930" s="17"/>
      <c r="H46930" s="18"/>
      <c r="K46930" s="18" t="s">
        <v>316</v>
      </c>
    </row>
    <row r="46931">
      <c r="A46931" s="17"/>
      <c r="H46931" s="18"/>
      <c r="K46931" s="18" t="s">
        <v>316</v>
      </c>
    </row>
    <row r="46932">
      <c r="A46932" s="17"/>
      <c r="H46932" s="18"/>
      <c r="K46932" s="18" t="s">
        <v>316</v>
      </c>
    </row>
    <row r="46933">
      <c r="A46933" s="17"/>
      <c r="H46933" s="18"/>
      <c r="K46933" s="18" t="s">
        <v>316</v>
      </c>
    </row>
    <row r="46934">
      <c r="A46934" s="17"/>
      <c r="H46934" s="18"/>
      <c r="K46934" s="18" t="s">
        <v>316</v>
      </c>
    </row>
    <row r="46935">
      <c r="A46935" s="17"/>
      <c r="H46935" s="18"/>
      <c r="K46935" s="18" t="s">
        <v>316</v>
      </c>
    </row>
    <row r="46936">
      <c r="A46936" s="17"/>
      <c r="H46936" s="18"/>
      <c r="K46936" s="18" t="s">
        <v>316</v>
      </c>
    </row>
    <row r="46937">
      <c r="A46937" s="17"/>
      <c r="H46937" s="18"/>
      <c r="K46937" s="18" t="s">
        <v>316</v>
      </c>
    </row>
    <row r="46938">
      <c r="A46938" s="17"/>
      <c r="H46938" s="18"/>
      <c r="K46938" s="18" t="s">
        <v>316</v>
      </c>
    </row>
    <row r="46939">
      <c r="A46939" s="17"/>
      <c r="H46939" s="18"/>
      <c r="K46939" s="18" t="s">
        <v>316</v>
      </c>
    </row>
    <row r="46940">
      <c r="A46940" s="17"/>
      <c r="H46940" s="18"/>
      <c r="K46940" s="18" t="s">
        <v>316</v>
      </c>
    </row>
    <row r="46941">
      <c r="A46941" s="17"/>
      <c r="H46941" s="18"/>
      <c r="K46941" s="18" t="s">
        <v>316</v>
      </c>
    </row>
    <row r="46942">
      <c r="A46942" s="17"/>
      <c r="H46942" s="18"/>
      <c r="K46942" s="18" t="s">
        <v>316</v>
      </c>
    </row>
    <row r="46943">
      <c r="A46943" s="17"/>
      <c r="H46943" s="18"/>
      <c r="K46943" s="18" t="s">
        <v>316</v>
      </c>
    </row>
    <row r="46944">
      <c r="A46944" s="17"/>
      <c r="H46944" s="18"/>
      <c r="K46944" s="18" t="s">
        <v>316</v>
      </c>
    </row>
    <row r="46945">
      <c r="A46945" s="17"/>
      <c r="H46945" s="18"/>
      <c r="K46945" s="18" t="s">
        <v>316</v>
      </c>
    </row>
    <row r="46946">
      <c r="A46946" s="17"/>
      <c r="H46946" s="18"/>
      <c r="K46946" s="18" t="s">
        <v>316</v>
      </c>
    </row>
    <row r="46947">
      <c r="A46947" s="17"/>
      <c r="H46947" s="18"/>
      <c r="K46947" s="18" t="s">
        <v>316</v>
      </c>
    </row>
    <row r="46948">
      <c r="A46948" s="17"/>
      <c r="H46948" s="18"/>
      <c r="K46948" s="18" t="s">
        <v>316</v>
      </c>
    </row>
    <row r="46949">
      <c r="A46949" s="17"/>
      <c r="H46949" s="18"/>
      <c r="K46949" s="18" t="s">
        <v>316</v>
      </c>
    </row>
    <row r="46950">
      <c r="A46950" s="17"/>
      <c r="H46950" s="18"/>
      <c r="K46950" s="18" t="s">
        <v>316</v>
      </c>
    </row>
    <row r="46951">
      <c r="A46951" s="17"/>
      <c r="H46951" s="18"/>
      <c r="K46951" s="18" t="s">
        <v>316</v>
      </c>
    </row>
    <row r="46952">
      <c r="A46952" s="17"/>
      <c r="H46952" s="18"/>
      <c r="K46952" s="18" t="s">
        <v>316</v>
      </c>
    </row>
    <row r="46953">
      <c r="A46953" s="17"/>
      <c r="H46953" s="18"/>
      <c r="K46953" s="18" t="s">
        <v>316</v>
      </c>
    </row>
    <row r="46954">
      <c r="A46954" s="17"/>
      <c r="H46954" s="18"/>
      <c r="K46954" s="18" t="s">
        <v>316</v>
      </c>
    </row>
    <row r="46955">
      <c r="A46955" s="17"/>
      <c r="H46955" s="18"/>
      <c r="K46955" s="18" t="s">
        <v>316</v>
      </c>
    </row>
    <row r="46956">
      <c r="A46956" s="17"/>
      <c r="H46956" s="18"/>
      <c r="K46956" s="18" t="s">
        <v>316</v>
      </c>
    </row>
    <row r="46957">
      <c r="A46957" s="17"/>
      <c r="H46957" s="18"/>
      <c r="K46957" s="18" t="s">
        <v>316</v>
      </c>
    </row>
    <row r="46958">
      <c r="A46958" s="17"/>
      <c r="H46958" s="18"/>
      <c r="K46958" s="18" t="s">
        <v>316</v>
      </c>
    </row>
    <row r="46959">
      <c r="A46959" s="17"/>
      <c r="H46959" s="18"/>
      <c r="K46959" s="18" t="s">
        <v>316</v>
      </c>
    </row>
    <row r="46960">
      <c r="A46960" s="17"/>
      <c r="H46960" s="18"/>
      <c r="K46960" s="18" t="s">
        <v>316</v>
      </c>
    </row>
    <row r="46961">
      <c r="A46961" s="17"/>
      <c r="H46961" s="18"/>
      <c r="K46961" s="18" t="s">
        <v>316</v>
      </c>
    </row>
    <row r="46962">
      <c r="A46962" s="17"/>
      <c r="H46962" s="18"/>
      <c r="K46962" s="18" t="s">
        <v>316</v>
      </c>
    </row>
    <row r="46963">
      <c r="A46963" s="17"/>
      <c r="H46963" s="18"/>
      <c r="K46963" s="18" t="s">
        <v>316</v>
      </c>
    </row>
    <row r="46964">
      <c r="A46964" s="17"/>
      <c r="H46964" s="18"/>
      <c r="K46964" s="18" t="s">
        <v>316</v>
      </c>
    </row>
    <row r="46965">
      <c r="A46965" s="17"/>
      <c r="H46965" s="18"/>
      <c r="K46965" s="18" t="s">
        <v>316</v>
      </c>
    </row>
    <row r="46966">
      <c r="A46966" s="17"/>
      <c r="H46966" s="18"/>
      <c r="K46966" s="18" t="s">
        <v>316</v>
      </c>
    </row>
    <row r="46967">
      <c r="A46967" s="17"/>
      <c r="H46967" s="18"/>
      <c r="K46967" s="18" t="s">
        <v>316</v>
      </c>
    </row>
    <row r="46968">
      <c r="A46968" s="17"/>
      <c r="H46968" s="18"/>
      <c r="K46968" s="18" t="s">
        <v>316</v>
      </c>
    </row>
    <row r="46969">
      <c r="A46969" s="17"/>
      <c r="H46969" s="18"/>
      <c r="K46969" s="18" t="s">
        <v>316</v>
      </c>
    </row>
    <row r="46970">
      <c r="A46970" s="17"/>
      <c r="H46970" s="18"/>
      <c r="K46970" s="18" t="s">
        <v>316</v>
      </c>
    </row>
    <row r="46971">
      <c r="A46971" s="17"/>
      <c r="H46971" s="18"/>
      <c r="K46971" s="18" t="s">
        <v>316</v>
      </c>
    </row>
    <row r="46972">
      <c r="A46972" s="17"/>
      <c r="H46972" s="18"/>
      <c r="K46972" s="18" t="s">
        <v>316</v>
      </c>
    </row>
    <row r="46973">
      <c r="A46973" s="17"/>
      <c r="H46973" s="18"/>
      <c r="K46973" s="18" t="s">
        <v>316</v>
      </c>
    </row>
    <row r="46974">
      <c r="A46974" s="17"/>
      <c r="H46974" s="18"/>
      <c r="K46974" s="18" t="s">
        <v>316</v>
      </c>
    </row>
    <row r="46975">
      <c r="A46975" s="17"/>
      <c r="H46975" s="18"/>
      <c r="K46975" s="18" t="s">
        <v>316</v>
      </c>
    </row>
    <row r="46976">
      <c r="A46976" s="17"/>
      <c r="H46976" s="18"/>
      <c r="K46976" s="18" t="s">
        <v>316</v>
      </c>
    </row>
    <row r="46977">
      <c r="A46977" s="17"/>
      <c r="H46977" s="18"/>
      <c r="K46977" s="18" t="s">
        <v>316</v>
      </c>
    </row>
    <row r="46978">
      <c r="A46978" s="17"/>
      <c r="H46978" s="18"/>
      <c r="K46978" s="18" t="s">
        <v>316</v>
      </c>
    </row>
    <row r="46979">
      <c r="A46979" s="17"/>
      <c r="H46979" s="18"/>
      <c r="K46979" s="18" t="s">
        <v>316</v>
      </c>
    </row>
    <row r="46980">
      <c r="A46980" s="17"/>
      <c r="H46980" s="18"/>
      <c r="K46980" s="18" t="s">
        <v>316</v>
      </c>
    </row>
    <row r="46981">
      <c r="A46981" s="17"/>
      <c r="H46981" s="18"/>
      <c r="K46981" s="18" t="s">
        <v>316</v>
      </c>
    </row>
    <row r="46982">
      <c r="A46982" s="17"/>
      <c r="H46982" s="18"/>
      <c r="K46982" s="18" t="s">
        <v>316</v>
      </c>
    </row>
    <row r="46983">
      <c r="A46983" s="17"/>
      <c r="H46983" s="18"/>
      <c r="K46983" s="18" t="s">
        <v>316</v>
      </c>
    </row>
    <row r="46984">
      <c r="A46984" s="17"/>
      <c r="H46984" s="18"/>
      <c r="K46984" s="18" t="s">
        <v>316</v>
      </c>
    </row>
    <row r="46985">
      <c r="A46985" s="17"/>
      <c r="H46985" s="18"/>
      <c r="K46985" s="18" t="s">
        <v>316</v>
      </c>
    </row>
    <row r="46986">
      <c r="A46986" s="17"/>
      <c r="H46986" s="18"/>
      <c r="K46986" s="18" t="s">
        <v>316</v>
      </c>
    </row>
    <row r="46987">
      <c r="A46987" s="17"/>
      <c r="H46987" s="18"/>
      <c r="K46987" s="18" t="s">
        <v>316</v>
      </c>
    </row>
    <row r="46988">
      <c r="A46988" s="17"/>
      <c r="H46988" s="18"/>
      <c r="K46988" s="18" t="s">
        <v>316</v>
      </c>
    </row>
    <row r="46989">
      <c r="A46989" s="17"/>
      <c r="H46989" s="18"/>
      <c r="K46989" s="18" t="s">
        <v>316</v>
      </c>
    </row>
    <row r="46990">
      <c r="A46990" s="17"/>
      <c r="H46990" s="18"/>
      <c r="K46990" s="18" t="s">
        <v>316</v>
      </c>
    </row>
    <row r="46991">
      <c r="A46991" s="17"/>
      <c r="H46991" s="18"/>
      <c r="K46991" s="18" t="s">
        <v>316</v>
      </c>
    </row>
    <row r="46992">
      <c r="A46992" s="17"/>
      <c r="H46992" s="18"/>
      <c r="K46992" s="18" t="s">
        <v>316</v>
      </c>
    </row>
    <row r="46993">
      <c r="A46993" s="17"/>
      <c r="H46993" s="18"/>
      <c r="K46993" s="18" t="s">
        <v>316</v>
      </c>
    </row>
    <row r="46994">
      <c r="A46994" s="17"/>
      <c r="H46994" s="18"/>
      <c r="K46994" s="18" t="s">
        <v>316</v>
      </c>
    </row>
    <row r="46995">
      <c r="A46995" s="17"/>
      <c r="H46995" s="18"/>
      <c r="K46995" s="18" t="s">
        <v>316</v>
      </c>
    </row>
    <row r="46996">
      <c r="A46996" s="17"/>
      <c r="H46996" s="18"/>
      <c r="K46996" s="18" t="s">
        <v>316</v>
      </c>
    </row>
    <row r="46997">
      <c r="A46997" s="17"/>
      <c r="H46997" s="18"/>
      <c r="K46997" s="18" t="s">
        <v>316</v>
      </c>
    </row>
    <row r="46998">
      <c r="A46998" s="17"/>
      <c r="H46998" s="18"/>
      <c r="K46998" s="18" t="s">
        <v>316</v>
      </c>
    </row>
    <row r="46999">
      <c r="A46999" s="17"/>
      <c r="H46999" s="18"/>
      <c r="K46999" s="18" t="s">
        <v>316</v>
      </c>
    </row>
    <row r="47000">
      <c r="A47000" s="17"/>
      <c r="H47000" s="18"/>
      <c r="K47000" s="18" t="s">
        <v>316</v>
      </c>
    </row>
    <row r="47001">
      <c r="A47001" s="17"/>
      <c r="H47001" s="18"/>
      <c r="K47001" s="18" t="s">
        <v>316</v>
      </c>
    </row>
    <row r="47002">
      <c r="A47002" s="17"/>
      <c r="H47002" s="18"/>
      <c r="K47002" s="18" t="s">
        <v>316</v>
      </c>
    </row>
    <row r="47003">
      <c r="A47003" s="17"/>
      <c r="H47003" s="18"/>
      <c r="K47003" s="18" t="s">
        <v>316</v>
      </c>
    </row>
    <row r="47004">
      <c r="A47004" s="17"/>
      <c r="H47004" s="18"/>
      <c r="K47004" s="18" t="s">
        <v>316</v>
      </c>
    </row>
    <row r="47005">
      <c r="A47005" s="17"/>
      <c r="H47005" s="18"/>
      <c r="K47005" s="18" t="s">
        <v>316</v>
      </c>
    </row>
    <row r="47006">
      <c r="A47006" s="17"/>
      <c r="H47006" s="18"/>
      <c r="K47006" s="18" t="s">
        <v>316</v>
      </c>
    </row>
    <row r="47007">
      <c r="A47007" s="17"/>
      <c r="H47007" s="18"/>
      <c r="K47007" s="18" t="s">
        <v>316</v>
      </c>
    </row>
    <row r="47008">
      <c r="A47008" s="17"/>
      <c r="H47008" s="18"/>
      <c r="K47008" s="18" t="s">
        <v>316</v>
      </c>
    </row>
    <row r="47009">
      <c r="A47009" s="17"/>
      <c r="H47009" s="18"/>
      <c r="K47009" s="18" t="s">
        <v>316</v>
      </c>
    </row>
    <row r="47010">
      <c r="A47010" s="17"/>
      <c r="H47010" s="18"/>
      <c r="K47010" s="18" t="s">
        <v>316</v>
      </c>
    </row>
    <row r="47011">
      <c r="A47011" s="17"/>
      <c r="H47011" s="18"/>
      <c r="K47011" s="18" t="s">
        <v>316</v>
      </c>
    </row>
    <row r="47012">
      <c r="A47012" s="17"/>
      <c r="H47012" s="18"/>
      <c r="K47012" s="18" t="s">
        <v>316</v>
      </c>
    </row>
    <row r="47013">
      <c r="A47013" s="17"/>
      <c r="H47013" s="18"/>
      <c r="K47013" s="18" t="s">
        <v>316</v>
      </c>
    </row>
    <row r="47014">
      <c r="A47014" s="17"/>
      <c r="H47014" s="18"/>
      <c r="K47014" s="18" t="s">
        <v>316</v>
      </c>
    </row>
    <row r="47015">
      <c r="A47015" s="17"/>
      <c r="H47015" s="18"/>
      <c r="K47015" s="18" t="s">
        <v>316</v>
      </c>
    </row>
    <row r="47016">
      <c r="A47016" s="17"/>
      <c r="H47016" s="18"/>
      <c r="K47016" s="18" t="s">
        <v>316</v>
      </c>
    </row>
    <row r="47017">
      <c r="A47017" s="17"/>
      <c r="H47017" s="18"/>
      <c r="K47017" s="18" t="s">
        <v>316</v>
      </c>
    </row>
    <row r="47018">
      <c r="A47018" s="17"/>
      <c r="H47018" s="18"/>
      <c r="K47018" s="18" t="s">
        <v>316</v>
      </c>
    </row>
    <row r="47019">
      <c r="A47019" s="17"/>
      <c r="H47019" s="18"/>
      <c r="K47019" s="18" t="s">
        <v>316</v>
      </c>
    </row>
    <row r="47020">
      <c r="A47020" s="17"/>
      <c r="H47020" s="18"/>
      <c r="K47020" s="18" t="s">
        <v>316</v>
      </c>
    </row>
    <row r="47021">
      <c r="A47021" s="17"/>
      <c r="H47021" s="18"/>
      <c r="K47021" s="18" t="s">
        <v>316</v>
      </c>
    </row>
    <row r="47022">
      <c r="A47022" s="17"/>
      <c r="H47022" s="18"/>
      <c r="K47022" s="18" t="s">
        <v>316</v>
      </c>
    </row>
    <row r="47023">
      <c r="A47023" s="17"/>
      <c r="H47023" s="18"/>
      <c r="K47023" s="18" t="s">
        <v>316</v>
      </c>
    </row>
    <row r="47024">
      <c r="A47024" s="17"/>
      <c r="H47024" s="18"/>
      <c r="K47024" s="18" t="s">
        <v>316</v>
      </c>
    </row>
    <row r="47025">
      <c r="A47025" s="17"/>
      <c r="H47025" s="18"/>
      <c r="K47025" s="18" t="s">
        <v>316</v>
      </c>
    </row>
    <row r="47026">
      <c r="A47026" s="17"/>
      <c r="H47026" s="18"/>
      <c r="K47026" s="18" t="s">
        <v>316</v>
      </c>
    </row>
    <row r="47027">
      <c r="A47027" s="17"/>
      <c r="H47027" s="18"/>
      <c r="K47027" s="18" t="s">
        <v>316</v>
      </c>
    </row>
    <row r="47028">
      <c r="A47028" s="17"/>
      <c r="H47028" s="18"/>
      <c r="K47028" s="18" t="s">
        <v>316</v>
      </c>
    </row>
    <row r="47029">
      <c r="A47029" s="17"/>
      <c r="H47029" s="18"/>
      <c r="K47029" s="18" t="s">
        <v>316</v>
      </c>
    </row>
    <row r="47030">
      <c r="A47030" s="17"/>
      <c r="H47030" s="18"/>
      <c r="K47030" s="18" t="s">
        <v>316</v>
      </c>
    </row>
    <row r="47031">
      <c r="A47031" s="17"/>
      <c r="H47031" s="18"/>
      <c r="K47031" s="18" t="s">
        <v>316</v>
      </c>
    </row>
    <row r="47032">
      <c r="A47032" s="17"/>
      <c r="H47032" s="18"/>
      <c r="K47032" s="18" t="s">
        <v>316</v>
      </c>
    </row>
    <row r="47033">
      <c r="A47033" s="17"/>
      <c r="H47033" s="18"/>
      <c r="K47033" s="18" t="s">
        <v>316</v>
      </c>
    </row>
    <row r="47034">
      <c r="A47034" s="17"/>
      <c r="H47034" s="18"/>
      <c r="K47034" s="18" t="s">
        <v>316</v>
      </c>
    </row>
    <row r="47035">
      <c r="A47035" s="17"/>
      <c r="H47035" s="18"/>
      <c r="K47035" s="18" t="s">
        <v>316</v>
      </c>
    </row>
    <row r="47036">
      <c r="A47036" s="17"/>
      <c r="H47036" s="18"/>
      <c r="K47036" s="18" t="s">
        <v>316</v>
      </c>
    </row>
    <row r="47037">
      <c r="A47037" s="17"/>
      <c r="H47037" s="18"/>
      <c r="K47037" s="18" t="s">
        <v>316</v>
      </c>
    </row>
    <row r="47038">
      <c r="A47038" s="17"/>
      <c r="H47038" s="18"/>
      <c r="K47038" s="18" t="s">
        <v>316</v>
      </c>
    </row>
    <row r="47039">
      <c r="A47039" s="17"/>
      <c r="H47039" s="18"/>
      <c r="K47039" s="18" t="s">
        <v>316</v>
      </c>
    </row>
    <row r="47040">
      <c r="A47040" s="17"/>
      <c r="H47040" s="18"/>
      <c r="K47040" s="18" t="s">
        <v>316</v>
      </c>
    </row>
    <row r="47041">
      <c r="A47041" s="17"/>
      <c r="H47041" s="18"/>
      <c r="K47041" s="18" t="s">
        <v>316</v>
      </c>
    </row>
    <row r="47042">
      <c r="A47042" s="17"/>
      <c r="H47042" s="18"/>
      <c r="K47042" s="18" t="s">
        <v>316</v>
      </c>
    </row>
    <row r="47043">
      <c r="A47043" s="17"/>
      <c r="H47043" s="18"/>
      <c r="K47043" s="18" t="s">
        <v>316</v>
      </c>
    </row>
    <row r="47044">
      <c r="A47044" s="17"/>
      <c r="H47044" s="18"/>
      <c r="K47044" s="18" t="s">
        <v>316</v>
      </c>
    </row>
    <row r="47045">
      <c r="A47045" s="17"/>
      <c r="H47045" s="18"/>
      <c r="K47045" s="18" t="s">
        <v>316</v>
      </c>
    </row>
    <row r="47046">
      <c r="A47046" s="17"/>
      <c r="H47046" s="18"/>
      <c r="K47046" s="18" t="s">
        <v>316</v>
      </c>
    </row>
    <row r="47047">
      <c r="A47047" s="17"/>
      <c r="H47047" s="18"/>
      <c r="K47047" s="18" t="s">
        <v>316</v>
      </c>
    </row>
    <row r="47048">
      <c r="A47048" s="17"/>
      <c r="H47048" s="18"/>
      <c r="K47048" s="18" t="s">
        <v>316</v>
      </c>
    </row>
    <row r="47049">
      <c r="A47049" s="17"/>
      <c r="H47049" s="18"/>
      <c r="K47049" s="18" t="s">
        <v>316</v>
      </c>
    </row>
    <row r="47050">
      <c r="A47050" s="17"/>
      <c r="H47050" s="18"/>
      <c r="K47050" s="18" t="s">
        <v>316</v>
      </c>
    </row>
    <row r="47051">
      <c r="A47051" s="17"/>
      <c r="H47051" s="18"/>
      <c r="K47051" s="18" t="s">
        <v>316</v>
      </c>
    </row>
    <row r="47052">
      <c r="A47052" s="17"/>
      <c r="H47052" s="18"/>
      <c r="K47052" s="18" t="s">
        <v>316</v>
      </c>
    </row>
    <row r="47053">
      <c r="A47053" s="17"/>
      <c r="H47053" s="18"/>
      <c r="K47053" s="18" t="s">
        <v>316</v>
      </c>
    </row>
    <row r="47054">
      <c r="A47054" s="17"/>
      <c r="H47054" s="18"/>
      <c r="K47054" s="18" t="s">
        <v>316</v>
      </c>
    </row>
    <row r="47055">
      <c r="A47055" s="17"/>
      <c r="H47055" s="18"/>
      <c r="K47055" s="18" t="s">
        <v>316</v>
      </c>
    </row>
    <row r="47056">
      <c r="A47056" s="17"/>
      <c r="H47056" s="18"/>
      <c r="K47056" s="18" t="s">
        <v>316</v>
      </c>
    </row>
    <row r="47057">
      <c r="A47057" s="17"/>
      <c r="H47057" s="18"/>
      <c r="K47057" s="18" t="s">
        <v>316</v>
      </c>
    </row>
    <row r="47058">
      <c r="A47058" s="17"/>
      <c r="H47058" s="18"/>
      <c r="K47058" s="18" t="s">
        <v>316</v>
      </c>
    </row>
    <row r="47059">
      <c r="A47059" s="17"/>
      <c r="H47059" s="18"/>
      <c r="K47059" s="18" t="s">
        <v>316</v>
      </c>
    </row>
    <row r="47060">
      <c r="A47060" s="17"/>
      <c r="H47060" s="18"/>
      <c r="K47060" s="18" t="s">
        <v>316</v>
      </c>
    </row>
    <row r="47061">
      <c r="A47061" s="17"/>
      <c r="H47061" s="18"/>
      <c r="K47061" s="18" t="s">
        <v>316</v>
      </c>
    </row>
    <row r="47062">
      <c r="A47062" s="17"/>
      <c r="H47062" s="18"/>
      <c r="K47062" s="18" t="s">
        <v>316</v>
      </c>
    </row>
    <row r="47063">
      <c r="A47063" s="17"/>
      <c r="H47063" s="18"/>
      <c r="K47063" s="18" t="s">
        <v>316</v>
      </c>
    </row>
    <row r="47064">
      <c r="A47064" s="17"/>
      <c r="H47064" s="18"/>
      <c r="K47064" s="18" t="s">
        <v>316</v>
      </c>
    </row>
    <row r="47065">
      <c r="A47065" s="17"/>
      <c r="H47065" s="18"/>
      <c r="K47065" s="18" t="s">
        <v>316</v>
      </c>
    </row>
    <row r="47066">
      <c r="A47066" s="17"/>
      <c r="H47066" s="18"/>
      <c r="K47066" s="18" t="s">
        <v>316</v>
      </c>
    </row>
    <row r="47067">
      <c r="A47067" s="17"/>
      <c r="H47067" s="18"/>
      <c r="K47067" s="18" t="s">
        <v>316</v>
      </c>
    </row>
    <row r="47068">
      <c r="A47068" s="17"/>
      <c r="H47068" s="18"/>
      <c r="K47068" s="18" t="s">
        <v>316</v>
      </c>
    </row>
    <row r="47069">
      <c r="A47069" s="17"/>
      <c r="H47069" s="18"/>
      <c r="K47069" s="18" t="s">
        <v>316</v>
      </c>
    </row>
    <row r="47070">
      <c r="A47070" s="17"/>
      <c r="H47070" s="18"/>
      <c r="K47070" s="18" t="s">
        <v>316</v>
      </c>
    </row>
    <row r="47071">
      <c r="A47071" s="17"/>
      <c r="H47071" s="18"/>
      <c r="K47071" s="18" t="s">
        <v>316</v>
      </c>
    </row>
    <row r="47072">
      <c r="A47072" s="17"/>
      <c r="H47072" s="18"/>
      <c r="K47072" s="18" t="s">
        <v>316</v>
      </c>
    </row>
    <row r="47073">
      <c r="A47073" s="17"/>
      <c r="H47073" s="18"/>
      <c r="K47073" s="18" t="s">
        <v>316</v>
      </c>
    </row>
    <row r="47074">
      <c r="A47074" s="17"/>
      <c r="H47074" s="18"/>
      <c r="K47074" s="18" t="s">
        <v>316</v>
      </c>
    </row>
    <row r="47075">
      <c r="A47075" s="17"/>
      <c r="H47075" s="18"/>
      <c r="K47075" s="18" t="s">
        <v>316</v>
      </c>
    </row>
    <row r="47076">
      <c r="A47076" s="17"/>
      <c r="H47076" s="18"/>
      <c r="K47076" s="18" t="s">
        <v>316</v>
      </c>
    </row>
    <row r="47077">
      <c r="A47077" s="17"/>
      <c r="H47077" s="18"/>
      <c r="K47077" s="18" t="s">
        <v>316</v>
      </c>
    </row>
    <row r="47078">
      <c r="A47078" s="17"/>
      <c r="H47078" s="18"/>
      <c r="K47078" s="18" t="s">
        <v>316</v>
      </c>
    </row>
    <row r="47079">
      <c r="A47079" s="17"/>
      <c r="H47079" s="18"/>
      <c r="K47079" s="18" t="s">
        <v>316</v>
      </c>
    </row>
    <row r="47080">
      <c r="A47080" s="17"/>
      <c r="H47080" s="18"/>
      <c r="K47080" s="18" t="s">
        <v>316</v>
      </c>
    </row>
    <row r="47081">
      <c r="A47081" s="17"/>
      <c r="H47081" s="18"/>
      <c r="K47081" s="18" t="s">
        <v>316</v>
      </c>
    </row>
    <row r="47082">
      <c r="A47082" s="17"/>
      <c r="H47082" s="18"/>
      <c r="K47082" s="18" t="s">
        <v>316</v>
      </c>
    </row>
    <row r="47083">
      <c r="A47083" s="17"/>
      <c r="H47083" s="18"/>
      <c r="K47083" s="18" t="s">
        <v>316</v>
      </c>
    </row>
    <row r="47084">
      <c r="A47084" s="17"/>
      <c r="H47084" s="18"/>
      <c r="K47084" s="18" t="s">
        <v>316</v>
      </c>
    </row>
    <row r="47085">
      <c r="A47085" s="17"/>
      <c r="H47085" s="18"/>
      <c r="K47085" s="18" t="s">
        <v>316</v>
      </c>
    </row>
    <row r="47086">
      <c r="A47086" s="17"/>
      <c r="H47086" s="18"/>
      <c r="K47086" s="18" t="s">
        <v>316</v>
      </c>
    </row>
    <row r="47087">
      <c r="A47087" s="17"/>
      <c r="H47087" s="18"/>
      <c r="K47087" s="18" t="s">
        <v>316</v>
      </c>
    </row>
    <row r="47088">
      <c r="A47088" s="17"/>
      <c r="H47088" s="18"/>
      <c r="K47088" s="18" t="s">
        <v>316</v>
      </c>
    </row>
    <row r="47089">
      <c r="A47089" s="17"/>
      <c r="H47089" s="18"/>
      <c r="K47089" s="18" t="s">
        <v>316</v>
      </c>
    </row>
    <row r="47090">
      <c r="A47090" s="17"/>
      <c r="H47090" s="18"/>
      <c r="K47090" s="18" t="s">
        <v>316</v>
      </c>
    </row>
    <row r="47091">
      <c r="A47091" s="17"/>
      <c r="H47091" s="18"/>
      <c r="K47091" s="18" t="s">
        <v>316</v>
      </c>
    </row>
    <row r="47092">
      <c r="A47092" s="17"/>
      <c r="H47092" s="18"/>
      <c r="K47092" s="18" t="s">
        <v>316</v>
      </c>
    </row>
    <row r="47093">
      <c r="A47093" s="17"/>
      <c r="H47093" s="18"/>
      <c r="K47093" s="18" t="s">
        <v>316</v>
      </c>
    </row>
    <row r="47094">
      <c r="A47094" s="17"/>
      <c r="H47094" s="18"/>
      <c r="K47094" s="18" t="s">
        <v>316</v>
      </c>
    </row>
    <row r="47095">
      <c r="A47095" s="17"/>
      <c r="H47095" s="18"/>
      <c r="K47095" s="18" t="s">
        <v>316</v>
      </c>
    </row>
    <row r="47096">
      <c r="A47096" s="17"/>
      <c r="H47096" s="18"/>
      <c r="K47096" s="18" t="s">
        <v>316</v>
      </c>
    </row>
    <row r="47097">
      <c r="A47097" s="17"/>
      <c r="H47097" s="18"/>
      <c r="K47097" s="18" t="s">
        <v>316</v>
      </c>
    </row>
    <row r="47098">
      <c r="A47098" s="17"/>
      <c r="H47098" s="18"/>
      <c r="K47098" s="18" t="s">
        <v>316</v>
      </c>
    </row>
    <row r="47099">
      <c r="A47099" s="17"/>
      <c r="H47099" s="18"/>
      <c r="K47099" s="18" t="s">
        <v>316</v>
      </c>
    </row>
    <row r="47100">
      <c r="A47100" s="17"/>
      <c r="H47100" s="18"/>
      <c r="K47100" s="18" t="s">
        <v>316</v>
      </c>
    </row>
    <row r="47101">
      <c r="A47101" s="17"/>
      <c r="H47101" s="18"/>
      <c r="K47101" s="18" t="s">
        <v>316</v>
      </c>
    </row>
    <row r="47102">
      <c r="A47102" s="17"/>
      <c r="H47102" s="18"/>
      <c r="K47102" s="18" t="s">
        <v>316</v>
      </c>
    </row>
    <row r="47103">
      <c r="A47103" s="17"/>
      <c r="H47103" s="18"/>
      <c r="K47103" s="18" t="s">
        <v>316</v>
      </c>
    </row>
    <row r="47104">
      <c r="A47104" s="17"/>
      <c r="H47104" s="18"/>
      <c r="K47104" s="18" t="s">
        <v>316</v>
      </c>
    </row>
    <row r="47105">
      <c r="A47105" s="17"/>
      <c r="H47105" s="18"/>
      <c r="K47105" s="18" t="s">
        <v>316</v>
      </c>
    </row>
    <row r="47106">
      <c r="A47106" s="17"/>
      <c r="H47106" s="18"/>
      <c r="K47106" s="18" t="s">
        <v>316</v>
      </c>
    </row>
    <row r="47107">
      <c r="A47107" s="17"/>
      <c r="H47107" s="18"/>
      <c r="K47107" s="18" t="s">
        <v>316</v>
      </c>
    </row>
    <row r="47108">
      <c r="A47108" s="17"/>
      <c r="H47108" s="18"/>
      <c r="K47108" s="18" t="s">
        <v>316</v>
      </c>
    </row>
    <row r="47109">
      <c r="A47109" s="17"/>
      <c r="H47109" s="18"/>
      <c r="K47109" s="18" t="s">
        <v>316</v>
      </c>
    </row>
    <row r="47110">
      <c r="A47110" s="17"/>
      <c r="H47110" s="18"/>
      <c r="K47110" s="18" t="s">
        <v>316</v>
      </c>
    </row>
    <row r="47111">
      <c r="A47111" s="17"/>
      <c r="H47111" s="18"/>
      <c r="K47111" s="18" t="s">
        <v>316</v>
      </c>
    </row>
    <row r="47112">
      <c r="A47112" s="17"/>
      <c r="H47112" s="18"/>
      <c r="K47112" s="18" t="s">
        <v>316</v>
      </c>
    </row>
    <row r="47113">
      <c r="A47113" s="17"/>
      <c r="H47113" s="18"/>
      <c r="K47113" s="18" t="s">
        <v>316</v>
      </c>
    </row>
    <row r="47114">
      <c r="A47114" s="17"/>
      <c r="H47114" s="18"/>
      <c r="K47114" s="18" t="s">
        <v>316</v>
      </c>
    </row>
    <row r="47115">
      <c r="A47115" s="17"/>
      <c r="H47115" s="18"/>
      <c r="K47115" s="18" t="s">
        <v>316</v>
      </c>
    </row>
    <row r="47116">
      <c r="A47116" s="17"/>
      <c r="H47116" s="18"/>
      <c r="K47116" s="18" t="s">
        <v>316</v>
      </c>
    </row>
    <row r="47117">
      <c r="A47117" s="17"/>
      <c r="H47117" s="18"/>
      <c r="K47117" s="18" t="s">
        <v>316</v>
      </c>
    </row>
    <row r="47118">
      <c r="A47118" s="17"/>
      <c r="H47118" s="18"/>
      <c r="K47118" s="18" t="s">
        <v>316</v>
      </c>
    </row>
    <row r="47119">
      <c r="A47119" s="17"/>
      <c r="H47119" s="18"/>
      <c r="K47119" s="18" t="s">
        <v>316</v>
      </c>
    </row>
    <row r="47120">
      <c r="A47120" s="17"/>
      <c r="H47120" s="18"/>
      <c r="K47120" s="18" t="s">
        <v>316</v>
      </c>
    </row>
    <row r="47121">
      <c r="A47121" s="17"/>
      <c r="H47121" s="18"/>
      <c r="K47121" s="18" t="s">
        <v>316</v>
      </c>
    </row>
    <row r="47122">
      <c r="A47122" s="17"/>
      <c r="H47122" s="18"/>
      <c r="K47122" s="18" t="s">
        <v>316</v>
      </c>
    </row>
    <row r="47123">
      <c r="A47123" s="17"/>
      <c r="H47123" s="18"/>
      <c r="K47123" s="18" t="s">
        <v>316</v>
      </c>
    </row>
    <row r="47124">
      <c r="A47124" s="17"/>
      <c r="H47124" s="18"/>
      <c r="K47124" s="18" t="s">
        <v>316</v>
      </c>
    </row>
    <row r="47125">
      <c r="A47125" s="17"/>
      <c r="H47125" s="18"/>
      <c r="K47125" s="18" t="s">
        <v>316</v>
      </c>
    </row>
    <row r="47126">
      <c r="A47126" s="17"/>
      <c r="H47126" s="18"/>
      <c r="K47126" s="18" t="s">
        <v>316</v>
      </c>
    </row>
    <row r="47127">
      <c r="A47127" s="17"/>
      <c r="H47127" s="18"/>
      <c r="K47127" s="18" t="s">
        <v>316</v>
      </c>
    </row>
    <row r="47128">
      <c r="A47128" s="17"/>
      <c r="H47128" s="18"/>
      <c r="K47128" s="18" t="s">
        <v>316</v>
      </c>
    </row>
    <row r="47129">
      <c r="A47129" s="17"/>
      <c r="H47129" s="18"/>
      <c r="K47129" s="18" t="s">
        <v>316</v>
      </c>
    </row>
    <row r="47130">
      <c r="A47130" s="17"/>
      <c r="H47130" s="18"/>
      <c r="K47130" s="18" t="s">
        <v>316</v>
      </c>
    </row>
    <row r="47131">
      <c r="A47131" s="17"/>
      <c r="H47131" s="18"/>
      <c r="K47131" s="18" t="s">
        <v>316</v>
      </c>
    </row>
    <row r="47132">
      <c r="A47132" s="17"/>
      <c r="H47132" s="18"/>
      <c r="K47132" s="18" t="s">
        <v>316</v>
      </c>
    </row>
    <row r="47133">
      <c r="A47133" s="17"/>
      <c r="H47133" s="18"/>
      <c r="K47133" s="18" t="s">
        <v>316</v>
      </c>
    </row>
    <row r="47134">
      <c r="A47134" s="17"/>
      <c r="H47134" s="18"/>
      <c r="K47134" s="18" t="s">
        <v>316</v>
      </c>
    </row>
    <row r="47135">
      <c r="A47135" s="17"/>
      <c r="H47135" s="18"/>
      <c r="K47135" s="18" t="s">
        <v>316</v>
      </c>
    </row>
    <row r="47136">
      <c r="A47136" s="17"/>
      <c r="H47136" s="18"/>
      <c r="K47136" s="18" t="s">
        <v>316</v>
      </c>
    </row>
    <row r="47137">
      <c r="A47137" s="17"/>
      <c r="H47137" s="18"/>
      <c r="K47137" s="18" t="s">
        <v>316</v>
      </c>
    </row>
    <row r="47138">
      <c r="A47138" s="17"/>
      <c r="H47138" s="18"/>
      <c r="K47138" s="18" t="s">
        <v>316</v>
      </c>
    </row>
    <row r="47139">
      <c r="A47139" s="17"/>
      <c r="H47139" s="18"/>
      <c r="K47139" s="18" t="s">
        <v>316</v>
      </c>
    </row>
    <row r="47140">
      <c r="A47140" s="17"/>
      <c r="H47140" s="18"/>
      <c r="K47140" s="18" t="s">
        <v>316</v>
      </c>
    </row>
    <row r="47141">
      <c r="A47141" s="17"/>
      <c r="H47141" s="18"/>
      <c r="K47141" s="18" t="s">
        <v>316</v>
      </c>
    </row>
    <row r="47142">
      <c r="A47142" s="17"/>
      <c r="H47142" s="18"/>
      <c r="K47142" s="18" t="s">
        <v>316</v>
      </c>
    </row>
    <row r="47143">
      <c r="A47143" s="17"/>
      <c r="H47143" s="18"/>
      <c r="K47143" s="18" t="s">
        <v>316</v>
      </c>
    </row>
    <row r="47144">
      <c r="A47144" s="17"/>
      <c r="H47144" s="18"/>
      <c r="K47144" s="18" t="s">
        <v>316</v>
      </c>
    </row>
    <row r="47145">
      <c r="A47145" s="17"/>
      <c r="H47145" s="18"/>
      <c r="K47145" s="18" t="s">
        <v>316</v>
      </c>
    </row>
    <row r="47146">
      <c r="A47146" s="17"/>
      <c r="H47146" s="18"/>
      <c r="K47146" s="18" t="s">
        <v>316</v>
      </c>
    </row>
    <row r="47147">
      <c r="A47147" s="17"/>
      <c r="H47147" s="18"/>
      <c r="K47147" s="18" t="s">
        <v>316</v>
      </c>
    </row>
    <row r="47148">
      <c r="A47148" s="17"/>
      <c r="H47148" s="18"/>
      <c r="K47148" s="18" t="s">
        <v>316</v>
      </c>
    </row>
    <row r="47149">
      <c r="A47149" s="17"/>
      <c r="H47149" s="18"/>
      <c r="K47149" s="18" t="s">
        <v>316</v>
      </c>
    </row>
    <row r="47150">
      <c r="A47150" s="17"/>
      <c r="H47150" s="18"/>
      <c r="K47150" s="18" t="s">
        <v>316</v>
      </c>
    </row>
    <row r="47151">
      <c r="A47151" s="17"/>
      <c r="H47151" s="18"/>
      <c r="K47151" s="18" t="s">
        <v>316</v>
      </c>
    </row>
    <row r="47152">
      <c r="A47152" s="17"/>
      <c r="H47152" s="18"/>
      <c r="K47152" s="18" t="s">
        <v>316</v>
      </c>
    </row>
    <row r="47153">
      <c r="A47153" s="17"/>
      <c r="H47153" s="18"/>
      <c r="K47153" s="18" t="s">
        <v>316</v>
      </c>
    </row>
    <row r="47154">
      <c r="A47154" s="17"/>
      <c r="H47154" s="18"/>
      <c r="K47154" s="18" t="s">
        <v>316</v>
      </c>
    </row>
    <row r="47155">
      <c r="A47155" s="17"/>
      <c r="H47155" s="18"/>
      <c r="K47155" s="18" t="s">
        <v>316</v>
      </c>
    </row>
    <row r="47156">
      <c r="A47156" s="17"/>
      <c r="H47156" s="18"/>
      <c r="K47156" s="18" t="s">
        <v>316</v>
      </c>
    </row>
    <row r="47157">
      <c r="A47157" s="17"/>
      <c r="H47157" s="18"/>
      <c r="K47157" s="18" t="s">
        <v>316</v>
      </c>
    </row>
    <row r="47158">
      <c r="A47158" s="17"/>
      <c r="H47158" s="18"/>
      <c r="K47158" s="18" t="s">
        <v>316</v>
      </c>
    </row>
    <row r="47159">
      <c r="A47159" s="17"/>
      <c r="H47159" s="18"/>
      <c r="K47159" s="18" t="s">
        <v>316</v>
      </c>
    </row>
    <row r="47160">
      <c r="A47160" s="17"/>
      <c r="H47160" s="18"/>
      <c r="K47160" s="18" t="s">
        <v>316</v>
      </c>
    </row>
    <row r="47161">
      <c r="A47161" s="17"/>
      <c r="H47161" s="18"/>
      <c r="K47161" s="18" t="s">
        <v>316</v>
      </c>
    </row>
    <row r="47162">
      <c r="A47162" s="17"/>
      <c r="H47162" s="18"/>
      <c r="K47162" s="18" t="s">
        <v>316</v>
      </c>
    </row>
    <row r="47163">
      <c r="A47163" s="17"/>
      <c r="H47163" s="18"/>
      <c r="K47163" s="18" t="s">
        <v>316</v>
      </c>
    </row>
    <row r="47164">
      <c r="A47164" s="17"/>
      <c r="H47164" s="18"/>
      <c r="K47164" s="18" t="s">
        <v>316</v>
      </c>
    </row>
    <row r="47165">
      <c r="A47165" s="17"/>
      <c r="H47165" s="18"/>
      <c r="K47165" s="18" t="s">
        <v>316</v>
      </c>
    </row>
    <row r="47166">
      <c r="A47166" s="17"/>
      <c r="H47166" s="18"/>
      <c r="K47166" s="18" t="s">
        <v>316</v>
      </c>
    </row>
    <row r="47167">
      <c r="A47167" s="17"/>
      <c r="H47167" s="18"/>
      <c r="K47167" s="18" t="s">
        <v>316</v>
      </c>
    </row>
    <row r="47168">
      <c r="A47168" s="17"/>
      <c r="H47168" s="18"/>
      <c r="K47168" s="18" t="s">
        <v>316</v>
      </c>
    </row>
    <row r="47169">
      <c r="A47169" s="17"/>
      <c r="H47169" s="18"/>
      <c r="K47169" s="18" t="s">
        <v>316</v>
      </c>
    </row>
    <row r="47170">
      <c r="A47170" s="17"/>
      <c r="H47170" s="18"/>
      <c r="K47170" s="18" t="s">
        <v>316</v>
      </c>
    </row>
    <row r="47171">
      <c r="A47171" s="17"/>
      <c r="H47171" s="18"/>
      <c r="K47171" s="18" t="s">
        <v>316</v>
      </c>
    </row>
    <row r="47172">
      <c r="A47172" s="17"/>
      <c r="H47172" s="18"/>
      <c r="K47172" s="18" t="s">
        <v>316</v>
      </c>
    </row>
    <row r="47173">
      <c r="A47173" s="17"/>
      <c r="H47173" s="18"/>
      <c r="K47173" s="18" t="s">
        <v>316</v>
      </c>
    </row>
    <row r="47174">
      <c r="A47174" s="17"/>
      <c r="H47174" s="18"/>
      <c r="K47174" s="18" t="s">
        <v>316</v>
      </c>
    </row>
    <row r="47175">
      <c r="A47175" s="17"/>
      <c r="H47175" s="18"/>
      <c r="K47175" s="18" t="s">
        <v>316</v>
      </c>
    </row>
    <row r="47176">
      <c r="A47176" s="17"/>
      <c r="H47176" s="18"/>
      <c r="K47176" s="18" t="s">
        <v>316</v>
      </c>
    </row>
    <row r="47177">
      <c r="A47177" s="17"/>
      <c r="H47177" s="18"/>
      <c r="K47177" s="18" t="s">
        <v>316</v>
      </c>
    </row>
    <row r="47178">
      <c r="A47178" s="17"/>
      <c r="H47178" s="18"/>
      <c r="K47178" s="18" t="s">
        <v>316</v>
      </c>
    </row>
    <row r="47179">
      <c r="A47179" s="17"/>
      <c r="H47179" s="18"/>
      <c r="K47179" s="18" t="s">
        <v>316</v>
      </c>
    </row>
    <row r="47180">
      <c r="A47180" s="17"/>
      <c r="H47180" s="18"/>
      <c r="K47180" s="18" t="s">
        <v>316</v>
      </c>
    </row>
    <row r="47181">
      <c r="A47181" s="17"/>
      <c r="H47181" s="18"/>
      <c r="K47181" s="18" t="s">
        <v>316</v>
      </c>
    </row>
    <row r="47182">
      <c r="A47182" s="17"/>
      <c r="H47182" s="18"/>
      <c r="K47182" s="18" t="s">
        <v>316</v>
      </c>
    </row>
    <row r="47183">
      <c r="A47183" s="17"/>
      <c r="H47183" s="18"/>
      <c r="K47183" s="18" t="s">
        <v>316</v>
      </c>
    </row>
    <row r="47184">
      <c r="A47184" s="17"/>
      <c r="H47184" s="18"/>
      <c r="K47184" s="18" t="s">
        <v>316</v>
      </c>
    </row>
    <row r="47185">
      <c r="A47185" s="17"/>
      <c r="H47185" s="18"/>
      <c r="K47185" s="18" t="s">
        <v>316</v>
      </c>
    </row>
    <row r="47186">
      <c r="A47186" s="17"/>
      <c r="H47186" s="18"/>
      <c r="K47186" s="18" t="s">
        <v>316</v>
      </c>
    </row>
    <row r="47187">
      <c r="A47187" s="17"/>
      <c r="H47187" s="18"/>
      <c r="K47187" s="18" t="s">
        <v>316</v>
      </c>
    </row>
    <row r="47188">
      <c r="A47188" s="17"/>
      <c r="H47188" s="18"/>
      <c r="K47188" s="18" t="s">
        <v>316</v>
      </c>
    </row>
    <row r="47189">
      <c r="A47189" s="17"/>
      <c r="H47189" s="18"/>
      <c r="K47189" s="18" t="s">
        <v>316</v>
      </c>
    </row>
    <row r="47190">
      <c r="A47190" s="17"/>
      <c r="H47190" s="18"/>
      <c r="K47190" s="18" t="s">
        <v>316</v>
      </c>
    </row>
    <row r="47191">
      <c r="A47191" s="17"/>
      <c r="H47191" s="18"/>
      <c r="K47191" s="18" t="s">
        <v>316</v>
      </c>
    </row>
    <row r="47192">
      <c r="A47192" s="17"/>
      <c r="H47192" s="18"/>
      <c r="K47192" s="18" t="s">
        <v>316</v>
      </c>
    </row>
    <row r="47193">
      <c r="A47193" s="17"/>
      <c r="H47193" s="18"/>
      <c r="K47193" s="18" t="s">
        <v>316</v>
      </c>
    </row>
    <row r="47194">
      <c r="A47194" s="17"/>
      <c r="H47194" s="18"/>
      <c r="K47194" s="18" t="s">
        <v>316</v>
      </c>
    </row>
    <row r="47195">
      <c r="A47195" s="17"/>
      <c r="H47195" s="18"/>
      <c r="K47195" s="18" t="s">
        <v>316</v>
      </c>
    </row>
    <row r="47196">
      <c r="A47196" s="17"/>
      <c r="H47196" s="18"/>
      <c r="K47196" s="18" t="s">
        <v>316</v>
      </c>
    </row>
    <row r="47197">
      <c r="A47197" s="17"/>
      <c r="H47197" s="18"/>
      <c r="K47197" s="18" t="s">
        <v>316</v>
      </c>
    </row>
    <row r="47198">
      <c r="A47198" s="17"/>
      <c r="H47198" s="18"/>
      <c r="K47198" s="18" t="s">
        <v>316</v>
      </c>
    </row>
    <row r="47199">
      <c r="A47199" s="17"/>
      <c r="H47199" s="18"/>
      <c r="K47199" s="18" t="s">
        <v>316</v>
      </c>
    </row>
    <row r="47200">
      <c r="A47200" s="17"/>
      <c r="H47200" s="18"/>
      <c r="K47200" s="18" t="s">
        <v>316</v>
      </c>
    </row>
    <row r="47201">
      <c r="A47201" s="17"/>
      <c r="H47201" s="18"/>
      <c r="K47201" s="18" t="s">
        <v>316</v>
      </c>
    </row>
    <row r="47202">
      <c r="A47202" s="17"/>
      <c r="H47202" s="18"/>
      <c r="K47202" s="18" t="s">
        <v>316</v>
      </c>
    </row>
    <row r="47203">
      <c r="A47203" s="17"/>
      <c r="H47203" s="18"/>
      <c r="K47203" s="18" t="s">
        <v>316</v>
      </c>
    </row>
    <row r="47204">
      <c r="A47204" s="17"/>
      <c r="H47204" s="18"/>
      <c r="K47204" s="18" t="s">
        <v>316</v>
      </c>
    </row>
    <row r="47205">
      <c r="A47205" s="17"/>
      <c r="H47205" s="18"/>
      <c r="K47205" s="18" t="s">
        <v>316</v>
      </c>
    </row>
    <row r="47206">
      <c r="A47206" s="17"/>
      <c r="H47206" s="18"/>
      <c r="K47206" s="18" t="s">
        <v>316</v>
      </c>
    </row>
    <row r="47207">
      <c r="A47207" s="17"/>
      <c r="H47207" s="18"/>
      <c r="K47207" s="18" t="s">
        <v>316</v>
      </c>
    </row>
    <row r="47208">
      <c r="A47208" s="17"/>
      <c r="H47208" s="18"/>
      <c r="K47208" s="18" t="s">
        <v>316</v>
      </c>
    </row>
    <row r="47209">
      <c r="A47209" s="17"/>
      <c r="H47209" s="18"/>
      <c r="K47209" s="18" t="s">
        <v>316</v>
      </c>
    </row>
    <row r="47210">
      <c r="A47210" s="17"/>
      <c r="H47210" s="18"/>
      <c r="K47210" s="18" t="s">
        <v>316</v>
      </c>
    </row>
    <row r="47211">
      <c r="A47211" s="17"/>
      <c r="H47211" s="18"/>
      <c r="K47211" s="18" t="s">
        <v>316</v>
      </c>
    </row>
    <row r="47212">
      <c r="A47212" s="17"/>
      <c r="H47212" s="18"/>
      <c r="K47212" s="18" t="s">
        <v>316</v>
      </c>
    </row>
    <row r="47213">
      <c r="A47213" s="17"/>
      <c r="H47213" s="18"/>
      <c r="K47213" s="18" t="s">
        <v>316</v>
      </c>
    </row>
    <row r="47214">
      <c r="A47214" s="17"/>
      <c r="H47214" s="18"/>
      <c r="K47214" s="18" t="s">
        <v>316</v>
      </c>
    </row>
    <row r="47215">
      <c r="A47215" s="17"/>
      <c r="H47215" s="18"/>
      <c r="K47215" s="18" t="s">
        <v>316</v>
      </c>
    </row>
    <row r="47216">
      <c r="A47216" s="17"/>
      <c r="H47216" s="18"/>
      <c r="K47216" s="18" t="s">
        <v>316</v>
      </c>
    </row>
    <row r="47217">
      <c r="A47217" s="17"/>
      <c r="H47217" s="18"/>
      <c r="K47217" s="18" t="s">
        <v>316</v>
      </c>
    </row>
    <row r="47218">
      <c r="A47218" s="17"/>
      <c r="H47218" s="18"/>
      <c r="K47218" s="18" t="s">
        <v>316</v>
      </c>
    </row>
    <row r="47219">
      <c r="A47219" s="17"/>
      <c r="H47219" s="18"/>
      <c r="K47219" s="18" t="s">
        <v>316</v>
      </c>
    </row>
    <row r="47220">
      <c r="A47220" s="17"/>
      <c r="H47220" s="18"/>
      <c r="K47220" s="18" t="s">
        <v>316</v>
      </c>
    </row>
    <row r="47221">
      <c r="A47221" s="17"/>
      <c r="H47221" s="18"/>
      <c r="K47221" s="18" t="s">
        <v>316</v>
      </c>
    </row>
    <row r="47222">
      <c r="A47222" s="17"/>
      <c r="H47222" s="18"/>
      <c r="K47222" s="18" t="s">
        <v>316</v>
      </c>
    </row>
    <row r="47223">
      <c r="A47223" s="17"/>
      <c r="H47223" s="18"/>
      <c r="K47223" s="18" t="s">
        <v>316</v>
      </c>
    </row>
    <row r="47224">
      <c r="A47224" s="17"/>
      <c r="H47224" s="18"/>
      <c r="K47224" s="18" t="s">
        <v>316</v>
      </c>
    </row>
    <row r="47225">
      <c r="A47225" s="17"/>
      <c r="H47225" s="18"/>
      <c r="K47225" s="18" t="s">
        <v>316</v>
      </c>
    </row>
    <row r="47226">
      <c r="A47226" s="17"/>
      <c r="H47226" s="18"/>
      <c r="K47226" s="18" t="s">
        <v>316</v>
      </c>
    </row>
    <row r="47227">
      <c r="A47227" s="17"/>
      <c r="H47227" s="18"/>
      <c r="K47227" s="18" t="s">
        <v>316</v>
      </c>
    </row>
    <row r="47228">
      <c r="A47228" s="17"/>
      <c r="H47228" s="18"/>
      <c r="K47228" s="18" t="s">
        <v>316</v>
      </c>
    </row>
    <row r="47229">
      <c r="A47229" s="17"/>
      <c r="H47229" s="18"/>
      <c r="K47229" s="18" t="s">
        <v>316</v>
      </c>
    </row>
    <row r="47230">
      <c r="A47230" s="17"/>
      <c r="H47230" s="18"/>
      <c r="K47230" s="18" t="s">
        <v>316</v>
      </c>
    </row>
    <row r="47231">
      <c r="A47231" s="17"/>
      <c r="H47231" s="18"/>
      <c r="K47231" s="18" t="s">
        <v>316</v>
      </c>
    </row>
    <row r="47232">
      <c r="A47232" s="17"/>
      <c r="H47232" s="18"/>
      <c r="K47232" s="18" t="s">
        <v>316</v>
      </c>
    </row>
    <row r="47233">
      <c r="A47233" s="17"/>
      <c r="H47233" s="18"/>
      <c r="K47233" s="18" t="s">
        <v>316</v>
      </c>
    </row>
    <row r="47234">
      <c r="A47234" s="17"/>
      <c r="H47234" s="18"/>
      <c r="K47234" s="18" t="s">
        <v>316</v>
      </c>
    </row>
    <row r="47235">
      <c r="A47235" s="17"/>
      <c r="H47235" s="18"/>
      <c r="K47235" s="18" t="s">
        <v>316</v>
      </c>
    </row>
    <row r="47236">
      <c r="A47236" s="17"/>
      <c r="H47236" s="18"/>
      <c r="K47236" s="18" t="s">
        <v>316</v>
      </c>
    </row>
    <row r="47237">
      <c r="A47237" s="17"/>
      <c r="H47237" s="18"/>
      <c r="K47237" s="18" t="s">
        <v>316</v>
      </c>
    </row>
    <row r="47238">
      <c r="A47238" s="17"/>
      <c r="H47238" s="18"/>
      <c r="K47238" s="18" t="s">
        <v>316</v>
      </c>
    </row>
    <row r="47239">
      <c r="A47239" s="17"/>
      <c r="H47239" s="18"/>
      <c r="K47239" s="18" t="s">
        <v>316</v>
      </c>
    </row>
    <row r="47240">
      <c r="A47240" s="17"/>
      <c r="H47240" s="18"/>
      <c r="K47240" s="18" t="s">
        <v>316</v>
      </c>
    </row>
    <row r="47241">
      <c r="A47241" s="17"/>
      <c r="H47241" s="18"/>
      <c r="K47241" s="18" t="s">
        <v>316</v>
      </c>
    </row>
    <row r="47242">
      <c r="A47242" s="17"/>
      <c r="H47242" s="18"/>
      <c r="K47242" s="18" t="s">
        <v>316</v>
      </c>
    </row>
    <row r="47243">
      <c r="A47243" s="17"/>
      <c r="H47243" s="18"/>
      <c r="K47243" s="18" t="s">
        <v>316</v>
      </c>
    </row>
    <row r="47244">
      <c r="A47244" s="17"/>
      <c r="H47244" s="18"/>
      <c r="K47244" s="18" t="s">
        <v>316</v>
      </c>
    </row>
    <row r="47245">
      <c r="A47245" s="17"/>
      <c r="H47245" s="18"/>
      <c r="K47245" s="18" t="s">
        <v>316</v>
      </c>
    </row>
    <row r="47246">
      <c r="A47246" s="17"/>
      <c r="H47246" s="18"/>
      <c r="K47246" s="18" t="s">
        <v>316</v>
      </c>
    </row>
    <row r="47247">
      <c r="A47247" s="17"/>
      <c r="H47247" s="18"/>
      <c r="K47247" s="18" t="s">
        <v>316</v>
      </c>
    </row>
    <row r="47248">
      <c r="A47248" s="17"/>
      <c r="H47248" s="18"/>
      <c r="K47248" s="18" t="s">
        <v>316</v>
      </c>
    </row>
    <row r="47249">
      <c r="A47249" s="17"/>
      <c r="H47249" s="18"/>
      <c r="K47249" s="18" t="s">
        <v>316</v>
      </c>
    </row>
    <row r="47250">
      <c r="A47250" s="17"/>
      <c r="H47250" s="18"/>
      <c r="K47250" s="18" t="s">
        <v>316</v>
      </c>
    </row>
    <row r="47251">
      <c r="A47251" s="17"/>
      <c r="H47251" s="18"/>
      <c r="K47251" s="18" t="s">
        <v>316</v>
      </c>
    </row>
    <row r="47252">
      <c r="A47252" s="17"/>
      <c r="H47252" s="18"/>
      <c r="K47252" s="18" t="s">
        <v>316</v>
      </c>
    </row>
    <row r="47253">
      <c r="A47253" s="17"/>
      <c r="H47253" s="18"/>
      <c r="K47253" s="18" t="s">
        <v>316</v>
      </c>
    </row>
    <row r="47254">
      <c r="A47254" s="17"/>
      <c r="H47254" s="18"/>
      <c r="K47254" s="18" t="s">
        <v>316</v>
      </c>
    </row>
    <row r="47255">
      <c r="A47255" s="17"/>
      <c r="H47255" s="18"/>
      <c r="K47255" s="18" t="s">
        <v>316</v>
      </c>
    </row>
    <row r="47256">
      <c r="A47256" s="17"/>
      <c r="H47256" s="18"/>
      <c r="K47256" s="18" t="s">
        <v>316</v>
      </c>
    </row>
    <row r="47257">
      <c r="A47257" s="17"/>
      <c r="H47257" s="18"/>
      <c r="K47257" s="18" t="s">
        <v>316</v>
      </c>
    </row>
    <row r="47258">
      <c r="A47258" s="17"/>
      <c r="H47258" s="18"/>
      <c r="K47258" s="18" t="s">
        <v>316</v>
      </c>
    </row>
    <row r="47259">
      <c r="A47259" s="17"/>
      <c r="H47259" s="18"/>
      <c r="K47259" s="18" t="s">
        <v>316</v>
      </c>
    </row>
    <row r="47260">
      <c r="A47260" s="17"/>
      <c r="H47260" s="18"/>
      <c r="K47260" s="18" t="s">
        <v>316</v>
      </c>
    </row>
    <row r="47261">
      <c r="A47261" s="17"/>
      <c r="H47261" s="18"/>
      <c r="K47261" s="18" t="s">
        <v>316</v>
      </c>
    </row>
    <row r="47262">
      <c r="A47262" s="17"/>
      <c r="H47262" s="18"/>
      <c r="K47262" s="18" t="s">
        <v>316</v>
      </c>
    </row>
    <row r="47263">
      <c r="A47263" s="17"/>
      <c r="H47263" s="18"/>
      <c r="K47263" s="18" t="s">
        <v>316</v>
      </c>
    </row>
    <row r="47264">
      <c r="A47264" s="17"/>
      <c r="H47264" s="18"/>
      <c r="K47264" s="18" t="s">
        <v>316</v>
      </c>
    </row>
    <row r="47265">
      <c r="A47265" s="17"/>
      <c r="H47265" s="18"/>
      <c r="K47265" s="18" t="s">
        <v>316</v>
      </c>
    </row>
    <row r="47266">
      <c r="A47266" s="17"/>
      <c r="H47266" s="18"/>
      <c r="K47266" s="18" t="s">
        <v>316</v>
      </c>
    </row>
    <row r="47267">
      <c r="A47267" s="17"/>
      <c r="H47267" s="18"/>
      <c r="K47267" s="18" t="s">
        <v>316</v>
      </c>
    </row>
    <row r="47268">
      <c r="A47268" s="17"/>
      <c r="H47268" s="18"/>
      <c r="K47268" s="18" t="s">
        <v>316</v>
      </c>
    </row>
    <row r="47269">
      <c r="A47269" s="17"/>
      <c r="H47269" s="18"/>
      <c r="K47269" s="18" t="s">
        <v>316</v>
      </c>
    </row>
    <row r="47270">
      <c r="A47270" s="17"/>
      <c r="H47270" s="18"/>
      <c r="K47270" s="18" t="s">
        <v>316</v>
      </c>
    </row>
    <row r="47271">
      <c r="A47271" s="17"/>
      <c r="H47271" s="18"/>
      <c r="K47271" s="18" t="s">
        <v>316</v>
      </c>
    </row>
    <row r="47272">
      <c r="A47272" s="17"/>
      <c r="H47272" s="18"/>
      <c r="K47272" s="18" t="s">
        <v>316</v>
      </c>
    </row>
    <row r="47273">
      <c r="A47273" s="17"/>
      <c r="H47273" s="18"/>
      <c r="K47273" s="18" t="s">
        <v>316</v>
      </c>
    </row>
    <row r="47274">
      <c r="A47274" s="17"/>
      <c r="H47274" s="18"/>
      <c r="K47274" s="18" t="s">
        <v>316</v>
      </c>
    </row>
    <row r="47275">
      <c r="A47275" s="17"/>
      <c r="H47275" s="18"/>
      <c r="K47275" s="18" t="s">
        <v>316</v>
      </c>
    </row>
    <row r="47276">
      <c r="A47276" s="17"/>
      <c r="H47276" s="18"/>
      <c r="K47276" s="18" t="s">
        <v>316</v>
      </c>
    </row>
    <row r="47277">
      <c r="A47277" s="17"/>
      <c r="H47277" s="18"/>
      <c r="K47277" s="18" t="s">
        <v>316</v>
      </c>
    </row>
    <row r="47278">
      <c r="A47278" s="17"/>
      <c r="H47278" s="18"/>
      <c r="K47278" s="18" t="s">
        <v>316</v>
      </c>
    </row>
    <row r="47279">
      <c r="A47279" s="17"/>
      <c r="H47279" s="18"/>
      <c r="K47279" s="18" t="s">
        <v>316</v>
      </c>
    </row>
    <row r="47280">
      <c r="A47280" s="17"/>
      <c r="H47280" s="18"/>
      <c r="K47280" s="18" t="s">
        <v>316</v>
      </c>
    </row>
    <row r="47281">
      <c r="A47281" s="17"/>
      <c r="H47281" s="18"/>
      <c r="K47281" s="18" t="s">
        <v>316</v>
      </c>
    </row>
    <row r="47282">
      <c r="A47282" s="17"/>
      <c r="H47282" s="18"/>
      <c r="K47282" s="18" t="s">
        <v>316</v>
      </c>
    </row>
    <row r="47283">
      <c r="A47283" s="17"/>
      <c r="H47283" s="18"/>
      <c r="K47283" s="18" t="s">
        <v>316</v>
      </c>
    </row>
    <row r="47284">
      <c r="A47284" s="17"/>
      <c r="H47284" s="18"/>
      <c r="K47284" s="18" t="s">
        <v>316</v>
      </c>
    </row>
    <row r="47285">
      <c r="A47285" s="17"/>
      <c r="H47285" s="18"/>
      <c r="K47285" s="18" t="s">
        <v>316</v>
      </c>
    </row>
    <row r="47286">
      <c r="A47286" s="17"/>
      <c r="H47286" s="18"/>
      <c r="K47286" s="18" t="s">
        <v>316</v>
      </c>
    </row>
    <row r="47287">
      <c r="A47287" s="17"/>
      <c r="H47287" s="18"/>
      <c r="K47287" s="18" t="s">
        <v>316</v>
      </c>
    </row>
    <row r="47288">
      <c r="A47288" s="17"/>
      <c r="H47288" s="18"/>
      <c r="K47288" s="18" t="s">
        <v>316</v>
      </c>
    </row>
    <row r="47289">
      <c r="A47289" s="17"/>
      <c r="H47289" s="18"/>
      <c r="K47289" s="18" t="s">
        <v>316</v>
      </c>
    </row>
    <row r="47290">
      <c r="A47290" s="17"/>
      <c r="H47290" s="18"/>
      <c r="K47290" s="18" t="s">
        <v>316</v>
      </c>
    </row>
    <row r="47291">
      <c r="A47291" s="17"/>
      <c r="H47291" s="18"/>
      <c r="K47291" s="18" t="s">
        <v>316</v>
      </c>
    </row>
    <row r="47292">
      <c r="A47292" s="17"/>
      <c r="H47292" s="18"/>
      <c r="K47292" s="18" t="s">
        <v>316</v>
      </c>
    </row>
    <row r="47293">
      <c r="A47293" s="17"/>
      <c r="H47293" s="18"/>
      <c r="K47293" s="18" t="s">
        <v>316</v>
      </c>
    </row>
    <row r="47294">
      <c r="A47294" s="17"/>
      <c r="H47294" s="18"/>
      <c r="K47294" s="18" t="s">
        <v>316</v>
      </c>
    </row>
    <row r="47295">
      <c r="A47295" s="17"/>
      <c r="H47295" s="18"/>
      <c r="K47295" s="18" t="s">
        <v>316</v>
      </c>
    </row>
    <row r="47296">
      <c r="A47296" s="17"/>
      <c r="H47296" s="18"/>
      <c r="K47296" s="18" t="s">
        <v>316</v>
      </c>
    </row>
    <row r="47297">
      <c r="A47297" s="17"/>
      <c r="H47297" s="18"/>
      <c r="K47297" s="18" t="s">
        <v>316</v>
      </c>
    </row>
    <row r="47298">
      <c r="A47298" s="17"/>
      <c r="H47298" s="18"/>
      <c r="K47298" s="18" t="s">
        <v>316</v>
      </c>
    </row>
    <row r="47299">
      <c r="A47299" s="17"/>
      <c r="H47299" s="18"/>
      <c r="K47299" s="18" t="s">
        <v>316</v>
      </c>
    </row>
    <row r="47300">
      <c r="A47300" s="17"/>
      <c r="H47300" s="18"/>
      <c r="K47300" s="18" t="s">
        <v>316</v>
      </c>
    </row>
    <row r="47301">
      <c r="A47301" s="17"/>
      <c r="H47301" s="18"/>
      <c r="K47301" s="18" t="s">
        <v>316</v>
      </c>
    </row>
    <row r="47302">
      <c r="A47302" s="17"/>
      <c r="H47302" s="18"/>
      <c r="K47302" s="18" t="s">
        <v>316</v>
      </c>
    </row>
    <row r="47303">
      <c r="A47303" s="17"/>
      <c r="H47303" s="18"/>
      <c r="K47303" s="18" t="s">
        <v>316</v>
      </c>
    </row>
    <row r="47304">
      <c r="A47304" s="17"/>
      <c r="H47304" s="18"/>
      <c r="K47304" s="18" t="s">
        <v>316</v>
      </c>
    </row>
    <row r="47305">
      <c r="A47305" s="17"/>
      <c r="H47305" s="18"/>
      <c r="K47305" s="18" t="s">
        <v>316</v>
      </c>
    </row>
    <row r="47306">
      <c r="A47306" s="17"/>
      <c r="H47306" s="18"/>
      <c r="K47306" s="18" t="s">
        <v>316</v>
      </c>
    </row>
    <row r="47307">
      <c r="A47307" s="17"/>
      <c r="H47307" s="18"/>
      <c r="K47307" s="18" t="s">
        <v>316</v>
      </c>
    </row>
    <row r="47308">
      <c r="A47308" s="17"/>
      <c r="H47308" s="18"/>
      <c r="K47308" s="18" t="s">
        <v>316</v>
      </c>
    </row>
    <row r="47309">
      <c r="A47309" s="17"/>
      <c r="H47309" s="18"/>
      <c r="K47309" s="18" t="s">
        <v>316</v>
      </c>
    </row>
    <row r="47310">
      <c r="A47310" s="17"/>
      <c r="H47310" s="18"/>
      <c r="K47310" s="18" t="s">
        <v>316</v>
      </c>
    </row>
    <row r="47311">
      <c r="A47311" s="17"/>
      <c r="H47311" s="18"/>
      <c r="K47311" s="18" t="s">
        <v>316</v>
      </c>
    </row>
    <row r="47312">
      <c r="A47312" s="17"/>
      <c r="H47312" s="18"/>
      <c r="K47312" s="18" t="s">
        <v>316</v>
      </c>
    </row>
    <row r="47313">
      <c r="A47313" s="17"/>
      <c r="H47313" s="18"/>
      <c r="K47313" s="18" t="s">
        <v>316</v>
      </c>
    </row>
    <row r="47314">
      <c r="A47314" s="17"/>
      <c r="H47314" s="18"/>
      <c r="K47314" s="18" t="s">
        <v>316</v>
      </c>
    </row>
    <row r="47315">
      <c r="A47315" s="17"/>
      <c r="H47315" s="18"/>
      <c r="K47315" s="18" t="s">
        <v>316</v>
      </c>
    </row>
    <row r="47316">
      <c r="A47316" s="17"/>
      <c r="H47316" s="18"/>
      <c r="K47316" s="18" t="s">
        <v>316</v>
      </c>
    </row>
    <row r="47317">
      <c r="A47317" s="17"/>
      <c r="H47317" s="18"/>
      <c r="K47317" s="18" t="s">
        <v>316</v>
      </c>
    </row>
    <row r="47318">
      <c r="A47318" s="17"/>
      <c r="H47318" s="18"/>
      <c r="K47318" s="18" t="s">
        <v>316</v>
      </c>
    </row>
    <row r="47319">
      <c r="A47319" s="17"/>
      <c r="H47319" s="18"/>
      <c r="K47319" s="18" t="s">
        <v>316</v>
      </c>
    </row>
    <row r="47320">
      <c r="A47320" s="17"/>
      <c r="H47320" s="18"/>
      <c r="K47320" s="18" t="s">
        <v>316</v>
      </c>
    </row>
    <row r="47321">
      <c r="A47321" s="17"/>
      <c r="H47321" s="18"/>
      <c r="K47321" s="18" t="s">
        <v>316</v>
      </c>
    </row>
    <row r="47322">
      <c r="A47322" s="17"/>
      <c r="H47322" s="18"/>
      <c r="K47322" s="18" t="s">
        <v>316</v>
      </c>
    </row>
    <row r="47323">
      <c r="A47323" s="17"/>
      <c r="H47323" s="18"/>
      <c r="K47323" s="18" t="s">
        <v>316</v>
      </c>
    </row>
    <row r="47324">
      <c r="A47324" s="17"/>
      <c r="H47324" s="18"/>
      <c r="K47324" s="18" t="s">
        <v>316</v>
      </c>
    </row>
    <row r="47325">
      <c r="A47325" s="17"/>
      <c r="H47325" s="18"/>
      <c r="K47325" s="18" t="s">
        <v>316</v>
      </c>
    </row>
    <row r="47326">
      <c r="A47326" s="17"/>
      <c r="H47326" s="18"/>
      <c r="K47326" s="18" t="s">
        <v>316</v>
      </c>
    </row>
    <row r="47327">
      <c r="A47327" s="17"/>
      <c r="H47327" s="18"/>
      <c r="K47327" s="18" t="s">
        <v>316</v>
      </c>
    </row>
    <row r="47328">
      <c r="A47328" s="17"/>
      <c r="H47328" s="18"/>
      <c r="K47328" s="18" t="s">
        <v>316</v>
      </c>
    </row>
    <row r="47329">
      <c r="A47329" s="17"/>
      <c r="H47329" s="18"/>
      <c r="K47329" s="18" t="s">
        <v>316</v>
      </c>
    </row>
    <row r="47330">
      <c r="A47330" s="17"/>
      <c r="H47330" s="18"/>
      <c r="K47330" s="18" t="s">
        <v>316</v>
      </c>
    </row>
    <row r="47331">
      <c r="A47331" s="17"/>
      <c r="H47331" s="18"/>
      <c r="K47331" s="18" t="s">
        <v>316</v>
      </c>
    </row>
    <row r="47332">
      <c r="A47332" s="17"/>
      <c r="H47332" s="18"/>
      <c r="K47332" s="18" t="s">
        <v>316</v>
      </c>
    </row>
    <row r="47333">
      <c r="A47333" s="17"/>
      <c r="H47333" s="18"/>
      <c r="K47333" s="18" t="s">
        <v>316</v>
      </c>
    </row>
    <row r="47334">
      <c r="A47334" s="17"/>
      <c r="H47334" s="18"/>
      <c r="K47334" s="18" t="s">
        <v>316</v>
      </c>
    </row>
    <row r="47335">
      <c r="A47335" s="17"/>
      <c r="H47335" s="18"/>
      <c r="K47335" s="18" t="s">
        <v>316</v>
      </c>
    </row>
    <row r="47336">
      <c r="A47336" s="17"/>
      <c r="H47336" s="18"/>
      <c r="K47336" s="18" t="s">
        <v>316</v>
      </c>
    </row>
    <row r="47337">
      <c r="A47337" s="17"/>
      <c r="H47337" s="18"/>
      <c r="K47337" s="18" t="s">
        <v>316</v>
      </c>
    </row>
    <row r="47338">
      <c r="A47338" s="17"/>
      <c r="H47338" s="18"/>
      <c r="K47338" s="18" t="s">
        <v>316</v>
      </c>
    </row>
    <row r="47339">
      <c r="A47339" s="17"/>
      <c r="H47339" s="18"/>
      <c r="K47339" s="18" t="s">
        <v>316</v>
      </c>
    </row>
    <row r="47340">
      <c r="A47340" s="17"/>
      <c r="H47340" s="18"/>
      <c r="K47340" s="18" t="s">
        <v>316</v>
      </c>
    </row>
    <row r="47341">
      <c r="A47341" s="17"/>
      <c r="H47341" s="18"/>
      <c r="K47341" s="18" t="s">
        <v>316</v>
      </c>
    </row>
    <row r="47342">
      <c r="A47342" s="17"/>
      <c r="H47342" s="18"/>
      <c r="K47342" s="18" t="s">
        <v>316</v>
      </c>
    </row>
    <row r="47343">
      <c r="A47343" s="17"/>
      <c r="H47343" s="18"/>
      <c r="K47343" s="18" t="s">
        <v>316</v>
      </c>
    </row>
    <row r="47344">
      <c r="A47344" s="17"/>
      <c r="H47344" s="18"/>
      <c r="K47344" s="18" t="s">
        <v>316</v>
      </c>
    </row>
    <row r="47345">
      <c r="A47345" s="17"/>
      <c r="H47345" s="18"/>
      <c r="K47345" s="18" t="s">
        <v>316</v>
      </c>
    </row>
    <row r="47346">
      <c r="A47346" s="17"/>
      <c r="H47346" s="18"/>
      <c r="K47346" s="18" t="s">
        <v>316</v>
      </c>
    </row>
    <row r="47347">
      <c r="A47347" s="17"/>
      <c r="H47347" s="18"/>
      <c r="K47347" s="18" t="s">
        <v>316</v>
      </c>
    </row>
    <row r="47348">
      <c r="A47348" s="17"/>
      <c r="H47348" s="18"/>
      <c r="K47348" s="18" t="s">
        <v>316</v>
      </c>
    </row>
    <row r="47349">
      <c r="A47349" s="17"/>
      <c r="H47349" s="18"/>
      <c r="K47349" s="18" t="s">
        <v>316</v>
      </c>
    </row>
    <row r="47350">
      <c r="A47350" s="17"/>
      <c r="H47350" s="18"/>
      <c r="K47350" s="18" t="s">
        <v>316</v>
      </c>
    </row>
    <row r="47351">
      <c r="A47351" s="17"/>
      <c r="H47351" s="18"/>
      <c r="K47351" s="18" t="s">
        <v>316</v>
      </c>
    </row>
    <row r="47352">
      <c r="A47352" s="17"/>
      <c r="H47352" s="18"/>
      <c r="K47352" s="18" t="s">
        <v>316</v>
      </c>
    </row>
    <row r="47353">
      <c r="A47353" s="17"/>
      <c r="H47353" s="18"/>
      <c r="K47353" s="18" t="s">
        <v>316</v>
      </c>
    </row>
    <row r="47354">
      <c r="A47354" s="17"/>
      <c r="H47354" s="18"/>
      <c r="K47354" s="18" t="s">
        <v>316</v>
      </c>
    </row>
    <row r="47355">
      <c r="A47355" s="17"/>
      <c r="H47355" s="18"/>
      <c r="K47355" s="18" t="s">
        <v>316</v>
      </c>
    </row>
    <row r="47356">
      <c r="A47356" s="17"/>
      <c r="H47356" s="18"/>
      <c r="K47356" s="18" t="s">
        <v>316</v>
      </c>
    </row>
    <row r="47357">
      <c r="A47357" s="17"/>
      <c r="H47357" s="18"/>
      <c r="K47357" s="18" t="s">
        <v>316</v>
      </c>
    </row>
    <row r="47358">
      <c r="A47358" s="17"/>
      <c r="H47358" s="18"/>
      <c r="K47358" s="18" t="s">
        <v>316</v>
      </c>
    </row>
    <row r="47359">
      <c r="A47359" s="17"/>
      <c r="H47359" s="18"/>
      <c r="K47359" s="18" t="s">
        <v>316</v>
      </c>
    </row>
    <row r="47360">
      <c r="A47360" s="17"/>
      <c r="H47360" s="18"/>
      <c r="K47360" s="18" t="s">
        <v>316</v>
      </c>
    </row>
    <row r="47361">
      <c r="A47361" s="17"/>
      <c r="H47361" s="18"/>
      <c r="K47361" s="18" t="s">
        <v>316</v>
      </c>
    </row>
    <row r="47362">
      <c r="A47362" s="17"/>
      <c r="H47362" s="18"/>
      <c r="K47362" s="18" t="s">
        <v>316</v>
      </c>
    </row>
    <row r="47363">
      <c r="A47363" s="17"/>
      <c r="H47363" s="18"/>
      <c r="K47363" s="18" t="s">
        <v>316</v>
      </c>
    </row>
    <row r="47364">
      <c r="A47364" s="17"/>
      <c r="H47364" s="18"/>
      <c r="K47364" s="18" t="s">
        <v>316</v>
      </c>
    </row>
    <row r="47365">
      <c r="A47365" s="17"/>
      <c r="H47365" s="18"/>
      <c r="K47365" s="18" t="s">
        <v>316</v>
      </c>
    </row>
    <row r="47366">
      <c r="A47366" s="17"/>
      <c r="H47366" s="18"/>
      <c r="K47366" s="18" t="s">
        <v>316</v>
      </c>
    </row>
    <row r="47367">
      <c r="A47367" s="17"/>
      <c r="H47367" s="18"/>
      <c r="K47367" s="18" t="s">
        <v>316</v>
      </c>
    </row>
    <row r="47368">
      <c r="A47368" s="17"/>
      <c r="H47368" s="18"/>
      <c r="K47368" s="18" t="s">
        <v>316</v>
      </c>
    </row>
    <row r="47369">
      <c r="A47369" s="17"/>
      <c r="H47369" s="18"/>
      <c r="K47369" s="18" t="s">
        <v>316</v>
      </c>
    </row>
    <row r="47370">
      <c r="A47370" s="17"/>
      <c r="H47370" s="18"/>
      <c r="K47370" s="18" t="s">
        <v>316</v>
      </c>
    </row>
    <row r="47371">
      <c r="A47371" s="17"/>
      <c r="H47371" s="18"/>
      <c r="K47371" s="18" t="s">
        <v>316</v>
      </c>
    </row>
    <row r="47372">
      <c r="A47372" s="17"/>
      <c r="H47372" s="18"/>
      <c r="K47372" s="18" t="s">
        <v>316</v>
      </c>
    </row>
    <row r="47373">
      <c r="A47373" s="17"/>
      <c r="H47373" s="18"/>
      <c r="K47373" s="18" t="s">
        <v>316</v>
      </c>
    </row>
    <row r="47374">
      <c r="A47374" s="17"/>
      <c r="H47374" s="18"/>
      <c r="K47374" s="18" t="s">
        <v>316</v>
      </c>
    </row>
    <row r="47375">
      <c r="A47375" s="17"/>
      <c r="H47375" s="18"/>
      <c r="K47375" s="18" t="s">
        <v>316</v>
      </c>
    </row>
    <row r="47376">
      <c r="A47376" s="17"/>
      <c r="H47376" s="18"/>
      <c r="K47376" s="18" t="s">
        <v>316</v>
      </c>
    </row>
    <row r="47377">
      <c r="A47377" s="17"/>
      <c r="H47377" s="18"/>
      <c r="K47377" s="18" t="s">
        <v>316</v>
      </c>
    </row>
    <row r="47378">
      <c r="A47378" s="17"/>
      <c r="H47378" s="18"/>
      <c r="K47378" s="18" t="s">
        <v>316</v>
      </c>
    </row>
    <row r="47379">
      <c r="A47379" s="17"/>
      <c r="H47379" s="18"/>
      <c r="K47379" s="18" t="s">
        <v>316</v>
      </c>
    </row>
    <row r="47380">
      <c r="A47380" s="17"/>
      <c r="H47380" s="18"/>
      <c r="K47380" s="18" t="s">
        <v>316</v>
      </c>
    </row>
    <row r="47381">
      <c r="A47381" s="17"/>
      <c r="H47381" s="18"/>
      <c r="K47381" s="18" t="s">
        <v>316</v>
      </c>
    </row>
    <row r="47382">
      <c r="A47382" s="17"/>
      <c r="H47382" s="18"/>
      <c r="K47382" s="18" t="s">
        <v>316</v>
      </c>
    </row>
    <row r="47383">
      <c r="A47383" s="17"/>
      <c r="H47383" s="18"/>
      <c r="K47383" s="18" t="s">
        <v>316</v>
      </c>
    </row>
    <row r="47384">
      <c r="A47384" s="17"/>
      <c r="H47384" s="18"/>
      <c r="K47384" s="18" t="s">
        <v>316</v>
      </c>
    </row>
    <row r="47385">
      <c r="A47385" s="17"/>
      <c r="H47385" s="18"/>
      <c r="K47385" s="18" t="s">
        <v>316</v>
      </c>
    </row>
    <row r="47386">
      <c r="A47386" s="17"/>
      <c r="H47386" s="18"/>
      <c r="K47386" s="18" t="s">
        <v>316</v>
      </c>
    </row>
    <row r="47387">
      <c r="A47387" s="17"/>
      <c r="H47387" s="18"/>
      <c r="K47387" s="18" t="s">
        <v>316</v>
      </c>
    </row>
    <row r="47388">
      <c r="A47388" s="17"/>
      <c r="H47388" s="18"/>
      <c r="K47388" s="18" t="s">
        <v>316</v>
      </c>
    </row>
    <row r="47389">
      <c r="A47389" s="17"/>
      <c r="H47389" s="18"/>
      <c r="K47389" s="18" t="s">
        <v>316</v>
      </c>
    </row>
    <row r="47390">
      <c r="A47390" s="17"/>
      <c r="H47390" s="18"/>
      <c r="K47390" s="18" t="s">
        <v>316</v>
      </c>
    </row>
    <row r="47391">
      <c r="A47391" s="17"/>
      <c r="H47391" s="18"/>
      <c r="K47391" s="18" t="s">
        <v>316</v>
      </c>
    </row>
    <row r="47392">
      <c r="A47392" s="17"/>
      <c r="H47392" s="18"/>
      <c r="K47392" s="18" t="s">
        <v>316</v>
      </c>
    </row>
    <row r="47393">
      <c r="A47393" s="17"/>
      <c r="H47393" s="18"/>
      <c r="K47393" s="18" t="s">
        <v>316</v>
      </c>
    </row>
    <row r="47394">
      <c r="A47394" s="17"/>
      <c r="H47394" s="18"/>
      <c r="K47394" s="18" t="s">
        <v>316</v>
      </c>
    </row>
    <row r="47395">
      <c r="A47395" s="17"/>
      <c r="H47395" s="18"/>
      <c r="K47395" s="18" t="s">
        <v>316</v>
      </c>
    </row>
    <row r="47396">
      <c r="A47396" s="17"/>
      <c r="H47396" s="18"/>
      <c r="K47396" s="18" t="s">
        <v>316</v>
      </c>
    </row>
    <row r="47397">
      <c r="A47397" s="17"/>
      <c r="H47397" s="18"/>
      <c r="K47397" s="18" t="s">
        <v>316</v>
      </c>
    </row>
    <row r="47398">
      <c r="A47398" s="17"/>
      <c r="H47398" s="18"/>
      <c r="K47398" s="18" t="s">
        <v>316</v>
      </c>
    </row>
    <row r="47399">
      <c r="A47399" s="17"/>
      <c r="H47399" s="18"/>
      <c r="K47399" s="18" t="s">
        <v>316</v>
      </c>
    </row>
    <row r="47400">
      <c r="A47400" s="17"/>
      <c r="H47400" s="18"/>
      <c r="K47400" s="18" t="s">
        <v>316</v>
      </c>
    </row>
    <row r="47401">
      <c r="A47401" s="17"/>
      <c r="H47401" s="18"/>
      <c r="K47401" s="18" t="s">
        <v>316</v>
      </c>
    </row>
    <row r="47402">
      <c r="A47402" s="17"/>
      <c r="H47402" s="18"/>
      <c r="K47402" s="18" t="s">
        <v>316</v>
      </c>
    </row>
    <row r="47403">
      <c r="A47403" s="17"/>
      <c r="H47403" s="18"/>
      <c r="K47403" s="18" t="s">
        <v>316</v>
      </c>
    </row>
    <row r="47404">
      <c r="A47404" s="17"/>
      <c r="H47404" s="18"/>
      <c r="K47404" s="18" t="s">
        <v>316</v>
      </c>
    </row>
    <row r="47405">
      <c r="A47405" s="17"/>
      <c r="H47405" s="18"/>
      <c r="K47405" s="18" t="s">
        <v>316</v>
      </c>
    </row>
    <row r="47406">
      <c r="A47406" s="17"/>
      <c r="H47406" s="18"/>
      <c r="K47406" s="18" t="s">
        <v>316</v>
      </c>
    </row>
    <row r="47407">
      <c r="A47407" s="17"/>
      <c r="H47407" s="18"/>
      <c r="K47407" s="18" t="s">
        <v>316</v>
      </c>
    </row>
    <row r="47408">
      <c r="A47408" s="17"/>
      <c r="H47408" s="18"/>
      <c r="K47408" s="18" t="s">
        <v>316</v>
      </c>
    </row>
    <row r="47409">
      <c r="A47409" s="17"/>
      <c r="H47409" s="18"/>
      <c r="K47409" s="18" t="s">
        <v>316</v>
      </c>
    </row>
    <row r="47410">
      <c r="A47410" s="17"/>
      <c r="H47410" s="18"/>
      <c r="K47410" s="18" t="s">
        <v>316</v>
      </c>
    </row>
    <row r="47411">
      <c r="A47411" s="17"/>
      <c r="H47411" s="18"/>
      <c r="K47411" s="18" t="s">
        <v>316</v>
      </c>
    </row>
    <row r="47412">
      <c r="A47412" s="17"/>
      <c r="H47412" s="18"/>
      <c r="K47412" s="18" t="s">
        <v>316</v>
      </c>
    </row>
    <row r="47413">
      <c r="A47413" s="17"/>
      <c r="H47413" s="18"/>
      <c r="K47413" s="18" t="s">
        <v>316</v>
      </c>
    </row>
    <row r="47414">
      <c r="A47414" s="17"/>
      <c r="H47414" s="18"/>
      <c r="K47414" s="18" t="s">
        <v>316</v>
      </c>
    </row>
    <row r="47415">
      <c r="A47415" s="17"/>
      <c r="H47415" s="18"/>
      <c r="K47415" s="18" t="s">
        <v>316</v>
      </c>
    </row>
    <row r="47416">
      <c r="A47416" s="17"/>
      <c r="H47416" s="18"/>
      <c r="K47416" s="18" t="s">
        <v>316</v>
      </c>
    </row>
    <row r="47417">
      <c r="A47417" s="17"/>
      <c r="H47417" s="18"/>
      <c r="K47417" s="18" t="s">
        <v>316</v>
      </c>
    </row>
    <row r="47418">
      <c r="A47418" s="17"/>
      <c r="H47418" s="18"/>
      <c r="K47418" s="18" t="s">
        <v>316</v>
      </c>
    </row>
    <row r="47419">
      <c r="A47419" s="17"/>
      <c r="H47419" s="18"/>
      <c r="K47419" s="18" t="s">
        <v>316</v>
      </c>
    </row>
    <row r="47420">
      <c r="A47420" s="17"/>
      <c r="H47420" s="18"/>
      <c r="K47420" s="18" t="s">
        <v>316</v>
      </c>
    </row>
    <row r="47421">
      <c r="A47421" s="17"/>
      <c r="H47421" s="18"/>
      <c r="K47421" s="18" t="s">
        <v>316</v>
      </c>
    </row>
    <row r="47422">
      <c r="A47422" s="17"/>
      <c r="H47422" s="18"/>
      <c r="K47422" s="18" t="s">
        <v>316</v>
      </c>
    </row>
    <row r="47423">
      <c r="A47423" s="17"/>
      <c r="H47423" s="18"/>
      <c r="K47423" s="18" t="s">
        <v>316</v>
      </c>
    </row>
    <row r="47424">
      <c r="A47424" s="17"/>
      <c r="H47424" s="18"/>
      <c r="K47424" s="18" t="s">
        <v>316</v>
      </c>
    </row>
    <row r="47425">
      <c r="A47425" s="17"/>
      <c r="H47425" s="18"/>
      <c r="K47425" s="18" t="s">
        <v>316</v>
      </c>
    </row>
    <row r="47426">
      <c r="A47426" s="17"/>
      <c r="H47426" s="18"/>
      <c r="K47426" s="18" t="s">
        <v>316</v>
      </c>
    </row>
    <row r="47427">
      <c r="A47427" s="17"/>
      <c r="H47427" s="18"/>
      <c r="K47427" s="18" t="s">
        <v>316</v>
      </c>
    </row>
    <row r="47428">
      <c r="A47428" s="17"/>
      <c r="H47428" s="18"/>
      <c r="K47428" s="18" t="s">
        <v>316</v>
      </c>
    </row>
    <row r="47429">
      <c r="A47429" s="17"/>
      <c r="H47429" s="18"/>
      <c r="K47429" s="18" t="s">
        <v>316</v>
      </c>
    </row>
    <row r="47430">
      <c r="A47430" s="17"/>
      <c r="H47430" s="18"/>
      <c r="K47430" s="18" t="s">
        <v>316</v>
      </c>
    </row>
    <row r="47431">
      <c r="A47431" s="17"/>
      <c r="H47431" s="18"/>
      <c r="K47431" s="18" t="s">
        <v>316</v>
      </c>
    </row>
    <row r="47432">
      <c r="A47432" s="17"/>
      <c r="H47432" s="18"/>
      <c r="K47432" s="18" t="s">
        <v>316</v>
      </c>
    </row>
    <row r="47433">
      <c r="A47433" s="17"/>
      <c r="H47433" s="18"/>
      <c r="K47433" s="18" t="s">
        <v>316</v>
      </c>
    </row>
    <row r="47434">
      <c r="A47434" s="17"/>
      <c r="H47434" s="18"/>
      <c r="K47434" s="18" t="s">
        <v>316</v>
      </c>
    </row>
    <row r="47435">
      <c r="A47435" s="17"/>
      <c r="H47435" s="18"/>
      <c r="K47435" s="18" t="s">
        <v>316</v>
      </c>
    </row>
    <row r="47436">
      <c r="A47436" s="17"/>
      <c r="H47436" s="18"/>
      <c r="K47436" s="18" t="s">
        <v>316</v>
      </c>
    </row>
    <row r="47437">
      <c r="A47437" s="17"/>
      <c r="H47437" s="18"/>
      <c r="K47437" s="18" t="s">
        <v>316</v>
      </c>
    </row>
    <row r="47438">
      <c r="A47438" s="17"/>
      <c r="H47438" s="18"/>
      <c r="K47438" s="18" t="s">
        <v>316</v>
      </c>
    </row>
    <row r="47439">
      <c r="A47439" s="17"/>
      <c r="H47439" s="18"/>
      <c r="K47439" s="18" t="s">
        <v>316</v>
      </c>
    </row>
    <row r="47440">
      <c r="A47440" s="17"/>
      <c r="H47440" s="18"/>
      <c r="K47440" s="18" t="s">
        <v>316</v>
      </c>
    </row>
    <row r="47441">
      <c r="A47441" s="17"/>
      <c r="H47441" s="18"/>
      <c r="K47441" s="18" t="s">
        <v>316</v>
      </c>
    </row>
    <row r="47442">
      <c r="A47442" s="17"/>
      <c r="H47442" s="18"/>
      <c r="K47442" s="18" t="s">
        <v>316</v>
      </c>
    </row>
    <row r="47443">
      <c r="A47443" s="17"/>
      <c r="H47443" s="18"/>
      <c r="K47443" s="18" t="s">
        <v>316</v>
      </c>
    </row>
    <row r="47444">
      <c r="A47444" s="17"/>
      <c r="H47444" s="18"/>
      <c r="K47444" s="18" t="s">
        <v>316</v>
      </c>
    </row>
    <row r="47445">
      <c r="A47445" s="17"/>
      <c r="H47445" s="18"/>
      <c r="K47445" s="18" t="s">
        <v>316</v>
      </c>
    </row>
    <row r="47446">
      <c r="A47446" s="17"/>
      <c r="H47446" s="18"/>
      <c r="K47446" s="18" t="s">
        <v>316</v>
      </c>
    </row>
    <row r="47447">
      <c r="A47447" s="17"/>
      <c r="H47447" s="18"/>
      <c r="K47447" s="18" t="s">
        <v>316</v>
      </c>
    </row>
    <row r="47448">
      <c r="A47448" s="17"/>
      <c r="H47448" s="18"/>
      <c r="K47448" s="18" t="s">
        <v>316</v>
      </c>
    </row>
    <row r="47449">
      <c r="A47449" s="17"/>
      <c r="H47449" s="18"/>
      <c r="K47449" s="18" t="s">
        <v>316</v>
      </c>
    </row>
    <row r="47450">
      <c r="A47450" s="17"/>
      <c r="H47450" s="18"/>
      <c r="K47450" s="18" t="s">
        <v>316</v>
      </c>
    </row>
    <row r="47451">
      <c r="A47451" s="17"/>
      <c r="H47451" s="18"/>
      <c r="K47451" s="18" t="s">
        <v>316</v>
      </c>
    </row>
    <row r="47452">
      <c r="A47452" s="17"/>
      <c r="H47452" s="18"/>
      <c r="K47452" s="18" t="s">
        <v>316</v>
      </c>
    </row>
    <row r="47453">
      <c r="A47453" s="17"/>
      <c r="H47453" s="18"/>
      <c r="K47453" s="18" t="s">
        <v>316</v>
      </c>
    </row>
    <row r="47454">
      <c r="A47454" s="17"/>
      <c r="H47454" s="18"/>
      <c r="K47454" s="18" t="s">
        <v>316</v>
      </c>
    </row>
    <row r="47455">
      <c r="A47455" s="17"/>
      <c r="H47455" s="18"/>
      <c r="K47455" s="18" t="s">
        <v>316</v>
      </c>
    </row>
    <row r="47456">
      <c r="A47456" s="17"/>
      <c r="H47456" s="18"/>
      <c r="K47456" s="18" t="s">
        <v>316</v>
      </c>
    </row>
    <row r="47457">
      <c r="A47457" s="17"/>
      <c r="H47457" s="18"/>
      <c r="K47457" s="18" t="s">
        <v>316</v>
      </c>
    </row>
    <row r="47458">
      <c r="A47458" s="17"/>
      <c r="H47458" s="18"/>
      <c r="K47458" s="18" t="s">
        <v>316</v>
      </c>
    </row>
    <row r="47459">
      <c r="A47459" s="17"/>
      <c r="H47459" s="18"/>
      <c r="K47459" s="18" t="s">
        <v>316</v>
      </c>
    </row>
    <row r="47460">
      <c r="A47460" s="17"/>
      <c r="H47460" s="18"/>
      <c r="K47460" s="18" t="s">
        <v>316</v>
      </c>
    </row>
    <row r="47461">
      <c r="A47461" s="17"/>
      <c r="H47461" s="18"/>
      <c r="K47461" s="18" t="s">
        <v>316</v>
      </c>
    </row>
    <row r="47462">
      <c r="A47462" s="17"/>
      <c r="H47462" s="18"/>
      <c r="K47462" s="18" t="s">
        <v>316</v>
      </c>
    </row>
    <row r="47463">
      <c r="A47463" s="17"/>
      <c r="H47463" s="18"/>
      <c r="K47463" s="18" t="s">
        <v>316</v>
      </c>
    </row>
    <row r="47464">
      <c r="A47464" s="17"/>
      <c r="H47464" s="18"/>
      <c r="K47464" s="18" t="s">
        <v>316</v>
      </c>
    </row>
    <row r="47465">
      <c r="A47465" s="17"/>
      <c r="H47465" s="18"/>
      <c r="K47465" s="18" t="s">
        <v>316</v>
      </c>
    </row>
    <row r="47466">
      <c r="A47466" s="17"/>
      <c r="H47466" s="18"/>
      <c r="K47466" s="18" t="s">
        <v>316</v>
      </c>
    </row>
    <row r="47467">
      <c r="A47467" s="17"/>
      <c r="H47467" s="18"/>
      <c r="K47467" s="18" t="s">
        <v>316</v>
      </c>
    </row>
    <row r="47468">
      <c r="A47468" s="17"/>
      <c r="H47468" s="18"/>
      <c r="K47468" s="18" t="s">
        <v>316</v>
      </c>
    </row>
    <row r="47469">
      <c r="A47469" s="17"/>
      <c r="H47469" s="18"/>
      <c r="K47469" s="18" t="s">
        <v>316</v>
      </c>
    </row>
    <row r="47470">
      <c r="A47470" s="17"/>
      <c r="H47470" s="18"/>
      <c r="K47470" s="18" t="s">
        <v>316</v>
      </c>
    </row>
    <row r="47471">
      <c r="A47471" s="17"/>
      <c r="H47471" s="18"/>
      <c r="K47471" s="18" t="s">
        <v>316</v>
      </c>
    </row>
    <row r="47472">
      <c r="A47472" s="17"/>
      <c r="H47472" s="18"/>
      <c r="K47472" s="18" t="s">
        <v>316</v>
      </c>
    </row>
    <row r="47473">
      <c r="A47473" s="17"/>
      <c r="H47473" s="18"/>
      <c r="K47473" s="18" t="s">
        <v>316</v>
      </c>
    </row>
    <row r="47474">
      <c r="A47474" s="17"/>
      <c r="H47474" s="18"/>
      <c r="K47474" s="18" t="s">
        <v>316</v>
      </c>
    </row>
    <row r="47475">
      <c r="A47475" s="17"/>
      <c r="H47475" s="18"/>
      <c r="K47475" s="18" t="s">
        <v>316</v>
      </c>
    </row>
    <row r="47476">
      <c r="A47476" s="17"/>
      <c r="H47476" s="18"/>
      <c r="K47476" s="18" t="s">
        <v>316</v>
      </c>
    </row>
    <row r="47477">
      <c r="A47477" s="17"/>
      <c r="H47477" s="18"/>
      <c r="K47477" s="18" t="s">
        <v>316</v>
      </c>
    </row>
    <row r="47478">
      <c r="A47478" s="17"/>
      <c r="H47478" s="18"/>
      <c r="K47478" s="18" t="s">
        <v>316</v>
      </c>
    </row>
    <row r="47479">
      <c r="A47479" s="17"/>
      <c r="H47479" s="18"/>
      <c r="K47479" s="18" t="s">
        <v>316</v>
      </c>
    </row>
    <row r="47480">
      <c r="A47480" s="17"/>
      <c r="H47480" s="18"/>
      <c r="K47480" s="18" t="s">
        <v>316</v>
      </c>
    </row>
    <row r="47481">
      <c r="A47481" s="17"/>
      <c r="H47481" s="18"/>
      <c r="K47481" s="18" t="s">
        <v>316</v>
      </c>
    </row>
    <row r="47482">
      <c r="A47482" s="17"/>
      <c r="H47482" s="18"/>
      <c r="K47482" s="18" t="s">
        <v>316</v>
      </c>
    </row>
    <row r="47483">
      <c r="A47483" s="17"/>
      <c r="H47483" s="18"/>
      <c r="K47483" s="18" t="s">
        <v>316</v>
      </c>
    </row>
    <row r="47484">
      <c r="A47484" s="17"/>
      <c r="H47484" s="18"/>
      <c r="K47484" s="18" t="s">
        <v>316</v>
      </c>
    </row>
    <row r="47485">
      <c r="A47485" s="17"/>
      <c r="H47485" s="18"/>
      <c r="K47485" s="18" t="s">
        <v>316</v>
      </c>
    </row>
    <row r="47486">
      <c r="A47486" s="17"/>
      <c r="H47486" s="18"/>
      <c r="K47486" s="18" t="s">
        <v>316</v>
      </c>
    </row>
    <row r="47487">
      <c r="A47487" s="17"/>
      <c r="H47487" s="18"/>
      <c r="K47487" s="18" t="s">
        <v>316</v>
      </c>
    </row>
    <row r="47488">
      <c r="A47488" s="17"/>
      <c r="H47488" s="18"/>
      <c r="K47488" s="18" t="s">
        <v>316</v>
      </c>
    </row>
    <row r="47489">
      <c r="A47489" s="17"/>
      <c r="H47489" s="18"/>
      <c r="K47489" s="18" t="s">
        <v>316</v>
      </c>
    </row>
    <row r="47490">
      <c r="A47490" s="17"/>
      <c r="H47490" s="18"/>
      <c r="K47490" s="18" t="s">
        <v>316</v>
      </c>
    </row>
    <row r="47491">
      <c r="A47491" s="17"/>
      <c r="H47491" s="18"/>
      <c r="K47491" s="18" t="s">
        <v>316</v>
      </c>
    </row>
    <row r="47492">
      <c r="A47492" s="17"/>
      <c r="H47492" s="18"/>
      <c r="K47492" s="18" t="s">
        <v>316</v>
      </c>
    </row>
    <row r="47493">
      <c r="A47493" s="17"/>
      <c r="H47493" s="18"/>
      <c r="K47493" s="18" t="s">
        <v>316</v>
      </c>
    </row>
    <row r="47494">
      <c r="A47494" s="17"/>
      <c r="H47494" s="18"/>
      <c r="K47494" s="18" t="s">
        <v>316</v>
      </c>
    </row>
    <row r="47495">
      <c r="A47495" s="17"/>
      <c r="H47495" s="18"/>
      <c r="K47495" s="18" t="s">
        <v>316</v>
      </c>
    </row>
    <row r="47496">
      <c r="A47496" s="17"/>
      <c r="H47496" s="18"/>
      <c r="K47496" s="18" t="s">
        <v>316</v>
      </c>
    </row>
    <row r="47497">
      <c r="A47497" s="17"/>
      <c r="H47497" s="18"/>
      <c r="K47497" s="18" t="s">
        <v>316</v>
      </c>
    </row>
    <row r="47498">
      <c r="A47498" s="17"/>
      <c r="H47498" s="18"/>
      <c r="K47498" s="18" t="s">
        <v>316</v>
      </c>
    </row>
    <row r="47499">
      <c r="A47499" s="17"/>
      <c r="H47499" s="18"/>
      <c r="K47499" s="18" t="s">
        <v>316</v>
      </c>
    </row>
    <row r="47500">
      <c r="A47500" s="17"/>
      <c r="H47500" s="18"/>
      <c r="K47500" s="18" t="s">
        <v>316</v>
      </c>
    </row>
    <row r="47501">
      <c r="A47501" s="17"/>
      <c r="H47501" s="18"/>
      <c r="K47501" s="18" t="s">
        <v>316</v>
      </c>
    </row>
    <row r="47502">
      <c r="A47502" s="17"/>
      <c r="H47502" s="18"/>
      <c r="K47502" s="18" t="s">
        <v>316</v>
      </c>
    </row>
    <row r="47503">
      <c r="A47503" s="17"/>
      <c r="H47503" s="18"/>
      <c r="K47503" s="18" t="s">
        <v>316</v>
      </c>
    </row>
    <row r="47504">
      <c r="A47504" s="17"/>
      <c r="H47504" s="18"/>
      <c r="K47504" s="18" t="s">
        <v>316</v>
      </c>
    </row>
    <row r="47505">
      <c r="A47505" s="17"/>
      <c r="H47505" s="18"/>
      <c r="K47505" s="18" t="s">
        <v>316</v>
      </c>
    </row>
    <row r="47506">
      <c r="A47506" s="17"/>
      <c r="H47506" s="18"/>
      <c r="K47506" s="18" t="s">
        <v>316</v>
      </c>
    </row>
    <row r="47507">
      <c r="A47507" s="17"/>
      <c r="H47507" s="18"/>
      <c r="K47507" s="18" t="s">
        <v>316</v>
      </c>
    </row>
    <row r="47508">
      <c r="A47508" s="17"/>
      <c r="H47508" s="18"/>
      <c r="K47508" s="18" t="s">
        <v>316</v>
      </c>
    </row>
    <row r="47509">
      <c r="A47509" s="17"/>
      <c r="H47509" s="18"/>
      <c r="K47509" s="18" t="s">
        <v>316</v>
      </c>
    </row>
    <row r="47510">
      <c r="A47510" s="17"/>
      <c r="H47510" s="18"/>
      <c r="K47510" s="18" t="s">
        <v>316</v>
      </c>
    </row>
    <row r="47511">
      <c r="A47511" s="17"/>
      <c r="H47511" s="18"/>
      <c r="K47511" s="18" t="s">
        <v>316</v>
      </c>
    </row>
    <row r="47512">
      <c r="A47512" s="17"/>
      <c r="H47512" s="18"/>
      <c r="K47512" s="18" t="s">
        <v>316</v>
      </c>
    </row>
    <row r="47513">
      <c r="A47513" s="17"/>
      <c r="H47513" s="18"/>
      <c r="K47513" s="18" t="s">
        <v>316</v>
      </c>
    </row>
    <row r="47514">
      <c r="A47514" s="17"/>
      <c r="H47514" s="18"/>
      <c r="K47514" s="18" t="s">
        <v>316</v>
      </c>
    </row>
    <row r="47515">
      <c r="A47515" s="17"/>
      <c r="H47515" s="18"/>
      <c r="K47515" s="18" t="s">
        <v>316</v>
      </c>
    </row>
    <row r="47516">
      <c r="A47516" s="17"/>
      <c r="H47516" s="18"/>
      <c r="K47516" s="18" t="s">
        <v>316</v>
      </c>
    </row>
    <row r="47517">
      <c r="A47517" s="17"/>
      <c r="H47517" s="18"/>
      <c r="K47517" s="18" t="s">
        <v>316</v>
      </c>
    </row>
    <row r="47518">
      <c r="A47518" s="17"/>
      <c r="H47518" s="18"/>
      <c r="K47518" s="18" t="s">
        <v>316</v>
      </c>
    </row>
    <row r="47519">
      <c r="A47519" s="17"/>
      <c r="H47519" s="18"/>
      <c r="K47519" s="18" t="s">
        <v>316</v>
      </c>
    </row>
    <row r="47520">
      <c r="A47520" s="17"/>
      <c r="H47520" s="18"/>
      <c r="K47520" s="18" t="s">
        <v>316</v>
      </c>
    </row>
    <row r="47521">
      <c r="A47521" s="17"/>
      <c r="H47521" s="18"/>
      <c r="K47521" s="18" t="s">
        <v>316</v>
      </c>
    </row>
    <row r="47522">
      <c r="A47522" s="17"/>
      <c r="H47522" s="18"/>
      <c r="K47522" s="18" t="s">
        <v>316</v>
      </c>
    </row>
    <row r="47523">
      <c r="A47523" s="17"/>
      <c r="H47523" s="18"/>
      <c r="K47523" s="18" t="s">
        <v>316</v>
      </c>
    </row>
    <row r="47524">
      <c r="A47524" s="17"/>
      <c r="H47524" s="18"/>
      <c r="K47524" s="18" t="s">
        <v>316</v>
      </c>
    </row>
    <row r="47525">
      <c r="A47525" s="17"/>
      <c r="H47525" s="18"/>
      <c r="K47525" s="18" t="s">
        <v>316</v>
      </c>
    </row>
    <row r="47526">
      <c r="A47526" s="17"/>
      <c r="H47526" s="18"/>
      <c r="K47526" s="18" t="s">
        <v>316</v>
      </c>
    </row>
    <row r="47527">
      <c r="A47527" s="17"/>
      <c r="H47527" s="18"/>
      <c r="K47527" s="18" t="s">
        <v>316</v>
      </c>
    </row>
    <row r="47528">
      <c r="A47528" s="17"/>
      <c r="H47528" s="18"/>
      <c r="K47528" s="18" t="s">
        <v>316</v>
      </c>
    </row>
    <row r="47529">
      <c r="A47529" s="17"/>
      <c r="H47529" s="18"/>
      <c r="K47529" s="18" t="s">
        <v>316</v>
      </c>
    </row>
    <row r="47530">
      <c r="A47530" s="17"/>
      <c r="H47530" s="18"/>
      <c r="K47530" s="18" t="s">
        <v>316</v>
      </c>
    </row>
    <row r="47531">
      <c r="A47531" s="17"/>
      <c r="H47531" s="18"/>
      <c r="K47531" s="18" t="s">
        <v>316</v>
      </c>
    </row>
    <row r="47532">
      <c r="A47532" s="17"/>
      <c r="H47532" s="18"/>
      <c r="K47532" s="18" t="s">
        <v>316</v>
      </c>
    </row>
    <row r="47533">
      <c r="A47533" s="17"/>
      <c r="H47533" s="18"/>
      <c r="K47533" s="18" t="s">
        <v>316</v>
      </c>
    </row>
    <row r="47534">
      <c r="A47534" s="17"/>
      <c r="H47534" s="18"/>
      <c r="K47534" s="18" t="s">
        <v>316</v>
      </c>
    </row>
    <row r="47535">
      <c r="A47535" s="17"/>
      <c r="H47535" s="18"/>
      <c r="K47535" s="18" t="s">
        <v>316</v>
      </c>
    </row>
    <row r="47536">
      <c r="A47536" s="17"/>
      <c r="H47536" s="18"/>
      <c r="K47536" s="18" t="s">
        <v>316</v>
      </c>
    </row>
    <row r="47537">
      <c r="A47537" s="17"/>
      <c r="H47537" s="18"/>
      <c r="K47537" s="18" t="s">
        <v>316</v>
      </c>
    </row>
    <row r="47538">
      <c r="A47538" s="17"/>
      <c r="H47538" s="18"/>
      <c r="K47538" s="18" t="s">
        <v>316</v>
      </c>
    </row>
    <row r="47539">
      <c r="A47539" s="17"/>
      <c r="H47539" s="18"/>
      <c r="K47539" s="18" t="s">
        <v>316</v>
      </c>
    </row>
    <row r="47540">
      <c r="A47540" s="17"/>
      <c r="H47540" s="18"/>
      <c r="K47540" s="18" t="s">
        <v>316</v>
      </c>
    </row>
    <row r="47541">
      <c r="A47541" s="17"/>
      <c r="H47541" s="18"/>
      <c r="K47541" s="18" t="s">
        <v>316</v>
      </c>
    </row>
    <row r="47542">
      <c r="A47542" s="17"/>
      <c r="H47542" s="18"/>
      <c r="K47542" s="18" t="s">
        <v>316</v>
      </c>
    </row>
    <row r="47543">
      <c r="A47543" s="17"/>
      <c r="H47543" s="18"/>
      <c r="K47543" s="18" t="s">
        <v>316</v>
      </c>
    </row>
    <row r="47544">
      <c r="A47544" s="17"/>
      <c r="H47544" s="18"/>
      <c r="K47544" s="18" t="s">
        <v>316</v>
      </c>
    </row>
    <row r="47545">
      <c r="A47545" s="17"/>
      <c r="H47545" s="18"/>
      <c r="K47545" s="18" t="s">
        <v>316</v>
      </c>
    </row>
    <row r="47546">
      <c r="A47546" s="17"/>
      <c r="H47546" s="18"/>
      <c r="K47546" s="18" t="s">
        <v>316</v>
      </c>
    </row>
    <row r="47547">
      <c r="A47547" s="17"/>
      <c r="H47547" s="18"/>
      <c r="K47547" s="18" t="s">
        <v>316</v>
      </c>
    </row>
    <row r="47548">
      <c r="A47548" s="17"/>
      <c r="H47548" s="18"/>
      <c r="K47548" s="18" t="s">
        <v>316</v>
      </c>
    </row>
    <row r="47549">
      <c r="A47549" s="17"/>
      <c r="H47549" s="18"/>
      <c r="K47549" s="18" t="s">
        <v>316</v>
      </c>
    </row>
    <row r="47550">
      <c r="A47550" s="17"/>
      <c r="H47550" s="18"/>
      <c r="K47550" s="18" t="s">
        <v>316</v>
      </c>
    </row>
    <row r="47551">
      <c r="A47551" s="17"/>
      <c r="H47551" s="18"/>
      <c r="K47551" s="18" t="s">
        <v>316</v>
      </c>
    </row>
    <row r="47552">
      <c r="A47552" s="17"/>
      <c r="H47552" s="18"/>
      <c r="K47552" s="18" t="s">
        <v>316</v>
      </c>
    </row>
    <row r="47553">
      <c r="A47553" s="17"/>
      <c r="H47553" s="18"/>
      <c r="K47553" s="18" t="s">
        <v>316</v>
      </c>
    </row>
    <row r="47554">
      <c r="A47554" s="17"/>
      <c r="H47554" s="18"/>
      <c r="K47554" s="18" t="s">
        <v>316</v>
      </c>
    </row>
    <row r="47555">
      <c r="A47555" s="17"/>
      <c r="H47555" s="18"/>
      <c r="K47555" s="18" t="s">
        <v>316</v>
      </c>
    </row>
    <row r="47556">
      <c r="A47556" s="17"/>
      <c r="H47556" s="18"/>
      <c r="K47556" s="18" t="s">
        <v>316</v>
      </c>
    </row>
    <row r="47557">
      <c r="A47557" s="17"/>
      <c r="H47557" s="18"/>
      <c r="K47557" s="18" t="s">
        <v>316</v>
      </c>
    </row>
    <row r="47558">
      <c r="A47558" s="17"/>
      <c r="H47558" s="18"/>
      <c r="K47558" s="18" t="s">
        <v>316</v>
      </c>
    </row>
    <row r="47559">
      <c r="A47559" s="17"/>
      <c r="H47559" s="18"/>
      <c r="K47559" s="18" t="s">
        <v>316</v>
      </c>
    </row>
    <row r="47560">
      <c r="A47560" s="17"/>
      <c r="H47560" s="18"/>
      <c r="K47560" s="18" t="s">
        <v>316</v>
      </c>
    </row>
    <row r="47561">
      <c r="A47561" s="17"/>
      <c r="H47561" s="18"/>
      <c r="K47561" s="18" t="s">
        <v>316</v>
      </c>
    </row>
    <row r="47562">
      <c r="A47562" s="17"/>
      <c r="H47562" s="18"/>
      <c r="K47562" s="18" t="s">
        <v>316</v>
      </c>
    </row>
    <row r="47563">
      <c r="A47563" s="17"/>
      <c r="H47563" s="18"/>
      <c r="K47563" s="18" t="s">
        <v>316</v>
      </c>
    </row>
    <row r="47564">
      <c r="A47564" s="17"/>
      <c r="H47564" s="18"/>
      <c r="K47564" s="18" t="s">
        <v>316</v>
      </c>
    </row>
    <row r="47565">
      <c r="A47565" s="17"/>
      <c r="H47565" s="18"/>
      <c r="K47565" s="18" t="s">
        <v>316</v>
      </c>
    </row>
    <row r="47566">
      <c r="A47566" s="17"/>
      <c r="H47566" s="18"/>
      <c r="K47566" s="18" t="s">
        <v>316</v>
      </c>
    </row>
    <row r="47567">
      <c r="A47567" s="17"/>
      <c r="H47567" s="18"/>
      <c r="K47567" s="18" t="s">
        <v>316</v>
      </c>
    </row>
    <row r="47568">
      <c r="A47568" s="17"/>
      <c r="H47568" s="18"/>
      <c r="K47568" s="18" t="s">
        <v>316</v>
      </c>
    </row>
    <row r="47569">
      <c r="A47569" s="17"/>
      <c r="H47569" s="18"/>
      <c r="K47569" s="18" t="s">
        <v>316</v>
      </c>
    </row>
    <row r="47570">
      <c r="A47570" s="17"/>
      <c r="H47570" s="18"/>
      <c r="K47570" s="18" t="s">
        <v>316</v>
      </c>
    </row>
    <row r="47571">
      <c r="A47571" s="17"/>
      <c r="H47571" s="18"/>
      <c r="K47571" s="18" t="s">
        <v>316</v>
      </c>
    </row>
    <row r="47572">
      <c r="A47572" s="17"/>
      <c r="H47572" s="18"/>
      <c r="K47572" s="18" t="s">
        <v>316</v>
      </c>
    </row>
    <row r="47573">
      <c r="A47573" s="17"/>
      <c r="H47573" s="18"/>
      <c r="K47573" s="18" t="s">
        <v>316</v>
      </c>
    </row>
    <row r="47574">
      <c r="A47574" s="17"/>
      <c r="H47574" s="18"/>
      <c r="K47574" s="18" t="s">
        <v>316</v>
      </c>
    </row>
    <row r="47575">
      <c r="A47575" s="17"/>
      <c r="H47575" s="18"/>
      <c r="K47575" s="18" t="s">
        <v>316</v>
      </c>
    </row>
    <row r="47576">
      <c r="A47576" s="17"/>
      <c r="H47576" s="18"/>
      <c r="K47576" s="18" t="s">
        <v>316</v>
      </c>
    </row>
    <row r="47577">
      <c r="A47577" s="17"/>
      <c r="H47577" s="18"/>
      <c r="K47577" s="18" t="s">
        <v>316</v>
      </c>
    </row>
    <row r="47578">
      <c r="A47578" s="17"/>
      <c r="H47578" s="18"/>
      <c r="K47578" s="18" t="s">
        <v>316</v>
      </c>
    </row>
    <row r="47579">
      <c r="A47579" s="17"/>
      <c r="H47579" s="18"/>
      <c r="K47579" s="18" t="s">
        <v>316</v>
      </c>
    </row>
    <row r="47580">
      <c r="A47580" s="17"/>
      <c r="H47580" s="18"/>
      <c r="K47580" s="18" t="s">
        <v>316</v>
      </c>
    </row>
    <row r="47581">
      <c r="A47581" s="17"/>
      <c r="H47581" s="18"/>
      <c r="K47581" s="18" t="s">
        <v>316</v>
      </c>
    </row>
    <row r="47582">
      <c r="A47582" s="17"/>
      <c r="H47582" s="18"/>
      <c r="K47582" s="18" t="s">
        <v>316</v>
      </c>
    </row>
    <row r="47583">
      <c r="A47583" s="17"/>
      <c r="H47583" s="18"/>
      <c r="K47583" s="18" t="s">
        <v>316</v>
      </c>
    </row>
    <row r="47584">
      <c r="A47584" s="17"/>
      <c r="H47584" s="18"/>
      <c r="K47584" s="18" t="s">
        <v>316</v>
      </c>
    </row>
    <row r="47585">
      <c r="A47585" s="17"/>
      <c r="H47585" s="18"/>
      <c r="K47585" s="18" t="s">
        <v>316</v>
      </c>
    </row>
    <row r="47586">
      <c r="A47586" s="17"/>
      <c r="H47586" s="18"/>
      <c r="K47586" s="18" t="s">
        <v>316</v>
      </c>
    </row>
    <row r="47587">
      <c r="A47587" s="17"/>
      <c r="H47587" s="18"/>
      <c r="K47587" s="18" t="s">
        <v>316</v>
      </c>
    </row>
    <row r="47588">
      <c r="A47588" s="17"/>
      <c r="H47588" s="18"/>
      <c r="K47588" s="18" t="s">
        <v>316</v>
      </c>
    </row>
    <row r="47589">
      <c r="A47589" s="17"/>
      <c r="H47589" s="18"/>
      <c r="K47589" s="18" t="s">
        <v>316</v>
      </c>
    </row>
    <row r="47590">
      <c r="A47590" s="17"/>
      <c r="H47590" s="18"/>
      <c r="K47590" s="18" t="s">
        <v>316</v>
      </c>
    </row>
    <row r="47591">
      <c r="A47591" s="17"/>
      <c r="H47591" s="18"/>
      <c r="K47591" s="18" t="s">
        <v>316</v>
      </c>
    </row>
    <row r="47592">
      <c r="A47592" s="17"/>
      <c r="H47592" s="18"/>
      <c r="K47592" s="18" t="s">
        <v>316</v>
      </c>
    </row>
    <row r="47593">
      <c r="A47593" s="17"/>
      <c r="H47593" s="18"/>
      <c r="K47593" s="18" t="s">
        <v>316</v>
      </c>
    </row>
    <row r="47594">
      <c r="A47594" s="17"/>
      <c r="H47594" s="18"/>
      <c r="K47594" s="18" t="s">
        <v>316</v>
      </c>
    </row>
    <row r="47595">
      <c r="A47595" s="17"/>
      <c r="H47595" s="18"/>
      <c r="K47595" s="18" t="s">
        <v>316</v>
      </c>
    </row>
    <row r="47596">
      <c r="A47596" s="17"/>
      <c r="H47596" s="18"/>
      <c r="K47596" s="18" t="s">
        <v>316</v>
      </c>
    </row>
    <row r="47597">
      <c r="A47597" s="17"/>
      <c r="H47597" s="18"/>
      <c r="K47597" s="18" t="s">
        <v>316</v>
      </c>
    </row>
    <row r="47598">
      <c r="A47598" s="17"/>
      <c r="H47598" s="18"/>
      <c r="K47598" s="18" t="s">
        <v>316</v>
      </c>
    </row>
    <row r="47599">
      <c r="A47599" s="17"/>
      <c r="H47599" s="18"/>
      <c r="K47599" s="18" t="s">
        <v>316</v>
      </c>
    </row>
    <row r="47600">
      <c r="A47600" s="17"/>
      <c r="H47600" s="18"/>
      <c r="K47600" s="18" t="s">
        <v>316</v>
      </c>
    </row>
    <row r="47601">
      <c r="A47601" s="17"/>
      <c r="H47601" s="18"/>
      <c r="K47601" s="18" t="s">
        <v>316</v>
      </c>
    </row>
    <row r="47602">
      <c r="A47602" s="17"/>
      <c r="H47602" s="18"/>
      <c r="K47602" s="18" t="s">
        <v>316</v>
      </c>
    </row>
    <row r="47603">
      <c r="A47603" s="17"/>
      <c r="H47603" s="18"/>
      <c r="K47603" s="18" t="s">
        <v>316</v>
      </c>
    </row>
    <row r="47604">
      <c r="A47604" s="17"/>
      <c r="H47604" s="18"/>
      <c r="K47604" s="18" t="s">
        <v>316</v>
      </c>
    </row>
    <row r="47605">
      <c r="A47605" s="17"/>
      <c r="H47605" s="18"/>
      <c r="K47605" s="18" t="s">
        <v>316</v>
      </c>
    </row>
    <row r="47606">
      <c r="A47606" s="17"/>
      <c r="H47606" s="18"/>
      <c r="K47606" s="18" t="s">
        <v>316</v>
      </c>
    </row>
    <row r="47607">
      <c r="A47607" s="17"/>
      <c r="H47607" s="18"/>
      <c r="K47607" s="18" t="s">
        <v>316</v>
      </c>
    </row>
    <row r="47608">
      <c r="A47608" s="17"/>
      <c r="H47608" s="18"/>
      <c r="K47608" s="18" t="s">
        <v>316</v>
      </c>
    </row>
    <row r="47609">
      <c r="A47609" s="17"/>
      <c r="H47609" s="18"/>
      <c r="K47609" s="18" t="s">
        <v>316</v>
      </c>
    </row>
    <row r="47610">
      <c r="A47610" s="17"/>
      <c r="H47610" s="18"/>
      <c r="K47610" s="18" t="s">
        <v>316</v>
      </c>
    </row>
    <row r="47611">
      <c r="A47611" s="17"/>
      <c r="H47611" s="18"/>
      <c r="K47611" s="18" t="s">
        <v>316</v>
      </c>
    </row>
    <row r="47612">
      <c r="A47612" s="17"/>
      <c r="H47612" s="18"/>
      <c r="K47612" s="18" t="s">
        <v>316</v>
      </c>
    </row>
    <row r="47613">
      <c r="A47613" s="17"/>
      <c r="H47613" s="18"/>
      <c r="K47613" s="18" t="s">
        <v>316</v>
      </c>
    </row>
    <row r="47614">
      <c r="A47614" s="17"/>
      <c r="H47614" s="18"/>
      <c r="K47614" s="18" t="s">
        <v>316</v>
      </c>
    </row>
    <row r="47615">
      <c r="A47615" s="17"/>
      <c r="H47615" s="18"/>
      <c r="K47615" s="18" t="s">
        <v>316</v>
      </c>
    </row>
    <row r="47616">
      <c r="A47616" s="17"/>
      <c r="H47616" s="18"/>
      <c r="K47616" s="18" t="s">
        <v>316</v>
      </c>
    </row>
    <row r="47617">
      <c r="A47617" s="17"/>
      <c r="H47617" s="18"/>
      <c r="K47617" s="18" t="s">
        <v>316</v>
      </c>
    </row>
    <row r="47618">
      <c r="A47618" s="17"/>
      <c r="H47618" s="18"/>
      <c r="K47618" s="18" t="s">
        <v>316</v>
      </c>
    </row>
    <row r="47619">
      <c r="A47619" s="17"/>
      <c r="H47619" s="18"/>
      <c r="K47619" s="18" t="s">
        <v>316</v>
      </c>
    </row>
    <row r="47620">
      <c r="A47620" s="17"/>
      <c r="H47620" s="18"/>
      <c r="K47620" s="18" t="s">
        <v>316</v>
      </c>
    </row>
    <row r="47621">
      <c r="A47621" s="17"/>
      <c r="H47621" s="18"/>
      <c r="K47621" s="18" t="s">
        <v>316</v>
      </c>
    </row>
    <row r="47622">
      <c r="A47622" s="17"/>
      <c r="H47622" s="18"/>
      <c r="K47622" s="18" t="s">
        <v>316</v>
      </c>
    </row>
    <row r="47623">
      <c r="A47623" s="17"/>
      <c r="H47623" s="18"/>
      <c r="K47623" s="18" t="s">
        <v>316</v>
      </c>
    </row>
    <row r="47624">
      <c r="A47624" s="17"/>
      <c r="H47624" s="18"/>
      <c r="K47624" s="18" t="s">
        <v>316</v>
      </c>
    </row>
    <row r="47625">
      <c r="A47625" s="17"/>
      <c r="H47625" s="18"/>
      <c r="K47625" s="18" t="s">
        <v>316</v>
      </c>
    </row>
    <row r="47626">
      <c r="A47626" s="17"/>
      <c r="H47626" s="18"/>
      <c r="K47626" s="18" t="s">
        <v>316</v>
      </c>
    </row>
    <row r="47627">
      <c r="A47627" s="17"/>
      <c r="H47627" s="18"/>
      <c r="K47627" s="18" t="s">
        <v>316</v>
      </c>
    </row>
    <row r="47628">
      <c r="A47628" s="17"/>
      <c r="H47628" s="18"/>
      <c r="K47628" s="18" t="s">
        <v>316</v>
      </c>
    </row>
    <row r="47629">
      <c r="A47629" s="17"/>
      <c r="H47629" s="18"/>
      <c r="K47629" s="18" t="s">
        <v>316</v>
      </c>
    </row>
    <row r="47630">
      <c r="A47630" s="17"/>
      <c r="H47630" s="18"/>
      <c r="K47630" s="18" t="s">
        <v>316</v>
      </c>
    </row>
    <row r="47631">
      <c r="A47631" s="17"/>
      <c r="H47631" s="18"/>
      <c r="K47631" s="18" t="s">
        <v>316</v>
      </c>
    </row>
    <row r="47632">
      <c r="A47632" s="17"/>
      <c r="H47632" s="18"/>
      <c r="K47632" s="18" t="s">
        <v>316</v>
      </c>
    </row>
    <row r="47633">
      <c r="A47633" s="17"/>
      <c r="H47633" s="18"/>
      <c r="K47633" s="18" t="s">
        <v>316</v>
      </c>
    </row>
    <row r="47634">
      <c r="A47634" s="17"/>
      <c r="H47634" s="18"/>
      <c r="K47634" s="18" t="s">
        <v>316</v>
      </c>
    </row>
    <row r="47635">
      <c r="A47635" s="17"/>
      <c r="H47635" s="18"/>
      <c r="K47635" s="18" t="s">
        <v>316</v>
      </c>
    </row>
    <row r="47636">
      <c r="A47636" s="17"/>
      <c r="H47636" s="18"/>
      <c r="K47636" s="18" t="s">
        <v>316</v>
      </c>
    </row>
    <row r="47637">
      <c r="A47637" s="17"/>
      <c r="H47637" s="18"/>
      <c r="K47637" s="18" t="s">
        <v>316</v>
      </c>
    </row>
    <row r="47638">
      <c r="A47638" s="17"/>
      <c r="H47638" s="18"/>
      <c r="K47638" s="18" t="s">
        <v>316</v>
      </c>
    </row>
    <row r="47639">
      <c r="A47639" s="17"/>
      <c r="H47639" s="18"/>
      <c r="K47639" s="18" t="s">
        <v>316</v>
      </c>
    </row>
    <row r="47640">
      <c r="A47640" s="17"/>
      <c r="H47640" s="18"/>
      <c r="K47640" s="18" t="s">
        <v>316</v>
      </c>
    </row>
    <row r="47641">
      <c r="A47641" s="17"/>
      <c r="H47641" s="18"/>
      <c r="K47641" s="18" t="s">
        <v>316</v>
      </c>
    </row>
    <row r="47642">
      <c r="A47642" s="17"/>
      <c r="H47642" s="18"/>
      <c r="K47642" s="18" t="s">
        <v>316</v>
      </c>
    </row>
    <row r="47643">
      <c r="A47643" s="17"/>
      <c r="H47643" s="18"/>
      <c r="K47643" s="18" t="s">
        <v>316</v>
      </c>
    </row>
    <row r="47644">
      <c r="A47644" s="17"/>
      <c r="H47644" s="18"/>
      <c r="K47644" s="18" t="s">
        <v>316</v>
      </c>
    </row>
    <row r="47645">
      <c r="A47645" s="17"/>
      <c r="H47645" s="18"/>
      <c r="K47645" s="18" t="s">
        <v>316</v>
      </c>
    </row>
    <row r="47646">
      <c r="A47646" s="17"/>
      <c r="H47646" s="18"/>
      <c r="K47646" s="18" t="s">
        <v>316</v>
      </c>
    </row>
    <row r="47647">
      <c r="A47647" s="17"/>
      <c r="H47647" s="18"/>
      <c r="K47647" s="18" t="s">
        <v>316</v>
      </c>
    </row>
    <row r="47648">
      <c r="A47648" s="17"/>
      <c r="H47648" s="18"/>
      <c r="K47648" s="18" t="s">
        <v>316</v>
      </c>
    </row>
    <row r="47649">
      <c r="A47649" s="17"/>
      <c r="H47649" s="18"/>
      <c r="K47649" s="18" t="s">
        <v>316</v>
      </c>
    </row>
    <row r="47650">
      <c r="A47650" s="17"/>
      <c r="H47650" s="18"/>
      <c r="K47650" s="18" t="s">
        <v>316</v>
      </c>
    </row>
    <row r="47651">
      <c r="A47651" s="17"/>
      <c r="H47651" s="18"/>
      <c r="K47651" s="18" t="s">
        <v>316</v>
      </c>
    </row>
    <row r="47652">
      <c r="A47652" s="17"/>
      <c r="H47652" s="18"/>
      <c r="K47652" s="18" t="s">
        <v>316</v>
      </c>
    </row>
    <row r="47653">
      <c r="A47653" s="17"/>
      <c r="H47653" s="18"/>
      <c r="K47653" s="18" t="s">
        <v>316</v>
      </c>
    </row>
    <row r="47654">
      <c r="A47654" s="17"/>
      <c r="H47654" s="18"/>
      <c r="K47654" s="18" t="s">
        <v>316</v>
      </c>
    </row>
    <row r="47655">
      <c r="A47655" s="17"/>
      <c r="H47655" s="18"/>
      <c r="K47655" s="18" t="s">
        <v>316</v>
      </c>
    </row>
    <row r="47656">
      <c r="A47656" s="17"/>
      <c r="H47656" s="18"/>
      <c r="K47656" s="18" t="s">
        <v>316</v>
      </c>
    </row>
    <row r="47657">
      <c r="A47657" s="17"/>
      <c r="H47657" s="18"/>
      <c r="K47657" s="18" t="s">
        <v>316</v>
      </c>
    </row>
    <row r="47658">
      <c r="A47658" s="17"/>
      <c r="H47658" s="18"/>
      <c r="K47658" s="18" t="s">
        <v>316</v>
      </c>
    </row>
    <row r="47659">
      <c r="A47659" s="17"/>
      <c r="H47659" s="18"/>
      <c r="K47659" s="18" t="s">
        <v>316</v>
      </c>
    </row>
    <row r="47660">
      <c r="A47660" s="17"/>
      <c r="H47660" s="18"/>
      <c r="K47660" s="18" t="s">
        <v>316</v>
      </c>
    </row>
    <row r="47661">
      <c r="A47661" s="17"/>
      <c r="H47661" s="18"/>
      <c r="K47661" s="18" t="s">
        <v>316</v>
      </c>
    </row>
    <row r="47662">
      <c r="A47662" s="17"/>
      <c r="H47662" s="18"/>
      <c r="K47662" s="18" t="s">
        <v>316</v>
      </c>
    </row>
    <row r="47663">
      <c r="A47663" s="17"/>
      <c r="H47663" s="18"/>
      <c r="K47663" s="18" t="s">
        <v>316</v>
      </c>
    </row>
    <row r="47664">
      <c r="A47664" s="17"/>
      <c r="H47664" s="18"/>
      <c r="K47664" s="18" t="s">
        <v>316</v>
      </c>
    </row>
    <row r="47665">
      <c r="A47665" s="17"/>
      <c r="H47665" s="18"/>
      <c r="K47665" s="18" t="s">
        <v>316</v>
      </c>
    </row>
    <row r="47666">
      <c r="A47666" s="17"/>
      <c r="H47666" s="18"/>
      <c r="K47666" s="18" t="s">
        <v>316</v>
      </c>
    </row>
    <row r="47667">
      <c r="A47667" s="17"/>
      <c r="H47667" s="18"/>
      <c r="K47667" s="18" t="s">
        <v>316</v>
      </c>
    </row>
    <row r="47668">
      <c r="A47668" s="17"/>
      <c r="H47668" s="18"/>
      <c r="K47668" s="18" t="s">
        <v>316</v>
      </c>
    </row>
    <row r="47669">
      <c r="A47669" s="17"/>
      <c r="H47669" s="18"/>
      <c r="K47669" s="18" t="s">
        <v>316</v>
      </c>
    </row>
    <row r="47670">
      <c r="A47670" s="17"/>
      <c r="H47670" s="18"/>
      <c r="K47670" s="18" t="s">
        <v>316</v>
      </c>
    </row>
    <row r="47671">
      <c r="A47671" s="17"/>
      <c r="H47671" s="18"/>
      <c r="K47671" s="18" t="s">
        <v>316</v>
      </c>
    </row>
    <row r="47672">
      <c r="A47672" s="17"/>
      <c r="H47672" s="18"/>
      <c r="K47672" s="18" t="s">
        <v>316</v>
      </c>
    </row>
    <row r="47673">
      <c r="A47673" s="17"/>
      <c r="H47673" s="18"/>
      <c r="K47673" s="18" t="s">
        <v>316</v>
      </c>
    </row>
    <row r="47674">
      <c r="A47674" s="17"/>
      <c r="H47674" s="18"/>
      <c r="K47674" s="18" t="s">
        <v>316</v>
      </c>
    </row>
    <row r="47675">
      <c r="A47675" s="17"/>
      <c r="H47675" s="18"/>
      <c r="K47675" s="18" t="s">
        <v>316</v>
      </c>
    </row>
    <row r="47676">
      <c r="A47676" s="17"/>
      <c r="H47676" s="18"/>
      <c r="K47676" s="18" t="s">
        <v>316</v>
      </c>
    </row>
    <row r="47677">
      <c r="A47677" s="17"/>
      <c r="H47677" s="18"/>
      <c r="K47677" s="18" t="s">
        <v>316</v>
      </c>
    </row>
    <row r="47678">
      <c r="A47678" s="17"/>
      <c r="H47678" s="18"/>
      <c r="K47678" s="18" t="s">
        <v>316</v>
      </c>
    </row>
    <row r="47679">
      <c r="A47679" s="17"/>
      <c r="H47679" s="18"/>
      <c r="K47679" s="18" t="s">
        <v>316</v>
      </c>
    </row>
    <row r="47680">
      <c r="A47680" s="17"/>
      <c r="H47680" s="18"/>
      <c r="K47680" s="18" t="s">
        <v>316</v>
      </c>
    </row>
    <row r="47681">
      <c r="A47681" s="17"/>
      <c r="H47681" s="18"/>
      <c r="K47681" s="18" t="s">
        <v>316</v>
      </c>
    </row>
    <row r="47682">
      <c r="A47682" s="17"/>
      <c r="H47682" s="18"/>
      <c r="K47682" s="18" t="s">
        <v>316</v>
      </c>
    </row>
    <row r="47683">
      <c r="A47683" s="17"/>
      <c r="H47683" s="18"/>
      <c r="K47683" s="18" t="s">
        <v>316</v>
      </c>
    </row>
    <row r="47684">
      <c r="A47684" s="17"/>
      <c r="H47684" s="18"/>
      <c r="K47684" s="18" t="s">
        <v>316</v>
      </c>
    </row>
    <row r="47685">
      <c r="A47685" s="17"/>
      <c r="H47685" s="18"/>
      <c r="K47685" s="18" t="s">
        <v>316</v>
      </c>
    </row>
    <row r="47686">
      <c r="A47686" s="17"/>
      <c r="H47686" s="18"/>
      <c r="K47686" s="18" t="s">
        <v>316</v>
      </c>
    </row>
    <row r="47687">
      <c r="A47687" s="17"/>
      <c r="H47687" s="18"/>
      <c r="K47687" s="18" t="s">
        <v>316</v>
      </c>
    </row>
    <row r="47688">
      <c r="A47688" s="17"/>
      <c r="H47688" s="18"/>
      <c r="K47688" s="18" t="s">
        <v>316</v>
      </c>
    </row>
    <row r="47689">
      <c r="A47689" s="17"/>
      <c r="H47689" s="18"/>
      <c r="K47689" s="18" t="s">
        <v>316</v>
      </c>
    </row>
    <row r="47690">
      <c r="A47690" s="17"/>
      <c r="H47690" s="18"/>
      <c r="K47690" s="18" t="s">
        <v>316</v>
      </c>
    </row>
    <row r="47691">
      <c r="A47691" s="17"/>
      <c r="H47691" s="18"/>
      <c r="K47691" s="18" t="s">
        <v>316</v>
      </c>
    </row>
    <row r="47692">
      <c r="A47692" s="17"/>
      <c r="H47692" s="18"/>
      <c r="K47692" s="18" t="s">
        <v>316</v>
      </c>
    </row>
    <row r="47693">
      <c r="A47693" s="17"/>
      <c r="H47693" s="18"/>
      <c r="K47693" s="18" t="s">
        <v>316</v>
      </c>
    </row>
    <row r="47694">
      <c r="A47694" s="17"/>
      <c r="H47694" s="18"/>
      <c r="K47694" s="18" t="s">
        <v>316</v>
      </c>
    </row>
    <row r="47695">
      <c r="A47695" s="17"/>
      <c r="H47695" s="18"/>
      <c r="K47695" s="18" t="s">
        <v>316</v>
      </c>
    </row>
    <row r="47696">
      <c r="A47696" s="17"/>
      <c r="H47696" s="18"/>
      <c r="K47696" s="18" t="s">
        <v>316</v>
      </c>
    </row>
    <row r="47697">
      <c r="A47697" s="17"/>
      <c r="H47697" s="18"/>
      <c r="K47697" s="18" t="s">
        <v>316</v>
      </c>
    </row>
    <row r="47698">
      <c r="A47698" s="17"/>
      <c r="H47698" s="18"/>
      <c r="K47698" s="18" t="s">
        <v>316</v>
      </c>
    </row>
    <row r="47699">
      <c r="A47699" s="17"/>
      <c r="H47699" s="18"/>
      <c r="K47699" s="18" t="s">
        <v>316</v>
      </c>
    </row>
    <row r="47700">
      <c r="A47700" s="17"/>
      <c r="H47700" s="18"/>
      <c r="K47700" s="18" t="s">
        <v>316</v>
      </c>
    </row>
    <row r="47701">
      <c r="A47701" s="17"/>
      <c r="H47701" s="18"/>
      <c r="K47701" s="18" t="s">
        <v>316</v>
      </c>
    </row>
    <row r="47702">
      <c r="A47702" s="17"/>
      <c r="H47702" s="18"/>
      <c r="K47702" s="18" t="s">
        <v>316</v>
      </c>
    </row>
    <row r="47703">
      <c r="A47703" s="17"/>
      <c r="H47703" s="18"/>
      <c r="K47703" s="18" t="s">
        <v>316</v>
      </c>
    </row>
    <row r="47704">
      <c r="A47704" s="17"/>
      <c r="H47704" s="18"/>
      <c r="K47704" s="18" t="s">
        <v>316</v>
      </c>
    </row>
    <row r="47705">
      <c r="A47705" s="17"/>
      <c r="H47705" s="18"/>
      <c r="K47705" s="18" t="s">
        <v>316</v>
      </c>
    </row>
    <row r="47706">
      <c r="A47706" s="17"/>
      <c r="H47706" s="18"/>
      <c r="K47706" s="18" t="s">
        <v>316</v>
      </c>
    </row>
    <row r="47707">
      <c r="A47707" s="17"/>
      <c r="H47707" s="18"/>
      <c r="K47707" s="18" t="s">
        <v>316</v>
      </c>
    </row>
    <row r="47708">
      <c r="A47708" s="17"/>
      <c r="H47708" s="18"/>
      <c r="K47708" s="18" t="s">
        <v>316</v>
      </c>
    </row>
    <row r="47709">
      <c r="A47709" s="17"/>
      <c r="H47709" s="18"/>
      <c r="K47709" s="18" t="s">
        <v>316</v>
      </c>
    </row>
    <row r="47710">
      <c r="A47710" s="17"/>
      <c r="H47710" s="18"/>
      <c r="K47710" s="18" t="s">
        <v>316</v>
      </c>
    </row>
    <row r="47711">
      <c r="A47711" s="17"/>
      <c r="H47711" s="18"/>
      <c r="K47711" s="18" t="s">
        <v>316</v>
      </c>
    </row>
    <row r="47712">
      <c r="A47712" s="17"/>
      <c r="H47712" s="18"/>
      <c r="K47712" s="18" t="s">
        <v>316</v>
      </c>
    </row>
    <row r="47713">
      <c r="A47713" s="17"/>
      <c r="H47713" s="18"/>
      <c r="K47713" s="18" t="s">
        <v>316</v>
      </c>
    </row>
    <row r="47714">
      <c r="A47714" s="17"/>
      <c r="H47714" s="18"/>
      <c r="K47714" s="18" t="s">
        <v>316</v>
      </c>
    </row>
    <row r="47715">
      <c r="A47715" s="17"/>
      <c r="H47715" s="18"/>
      <c r="K47715" s="18" t="s">
        <v>316</v>
      </c>
    </row>
    <row r="47716">
      <c r="A47716" s="17"/>
      <c r="H47716" s="18"/>
      <c r="K47716" s="18" t="s">
        <v>316</v>
      </c>
    </row>
    <row r="47717">
      <c r="A47717" s="17"/>
      <c r="H47717" s="18"/>
      <c r="K47717" s="18" t="s">
        <v>316</v>
      </c>
    </row>
    <row r="47718">
      <c r="A47718" s="17"/>
      <c r="H47718" s="18"/>
      <c r="K47718" s="18" t="s">
        <v>316</v>
      </c>
    </row>
    <row r="47719">
      <c r="A47719" s="17"/>
      <c r="H47719" s="18"/>
      <c r="K47719" s="18" t="s">
        <v>316</v>
      </c>
    </row>
    <row r="47720">
      <c r="A47720" s="17"/>
      <c r="H47720" s="18"/>
      <c r="K47720" s="18" t="s">
        <v>316</v>
      </c>
    </row>
    <row r="47721">
      <c r="A47721" s="17"/>
      <c r="H47721" s="18"/>
      <c r="K47721" s="18" t="s">
        <v>316</v>
      </c>
    </row>
    <row r="47722">
      <c r="A47722" s="17"/>
      <c r="H47722" s="18"/>
      <c r="K47722" s="18" t="s">
        <v>316</v>
      </c>
    </row>
    <row r="47723">
      <c r="A47723" s="17"/>
      <c r="H47723" s="18"/>
      <c r="K47723" s="18" t="s">
        <v>316</v>
      </c>
    </row>
    <row r="47724">
      <c r="A47724" s="17"/>
      <c r="H47724" s="18"/>
      <c r="K47724" s="18" t="s">
        <v>316</v>
      </c>
    </row>
    <row r="47725">
      <c r="A47725" s="17"/>
      <c r="H47725" s="18"/>
      <c r="K47725" s="18" t="s">
        <v>316</v>
      </c>
    </row>
    <row r="47726">
      <c r="A47726" s="17"/>
      <c r="H47726" s="18"/>
      <c r="K47726" s="18" t="s">
        <v>316</v>
      </c>
    </row>
    <row r="47727">
      <c r="A47727" s="17"/>
      <c r="H47727" s="18"/>
      <c r="K47727" s="18" t="s">
        <v>316</v>
      </c>
    </row>
    <row r="47728">
      <c r="A47728" s="17"/>
      <c r="H47728" s="18"/>
      <c r="K47728" s="18" t="s">
        <v>316</v>
      </c>
    </row>
    <row r="47729">
      <c r="A47729" s="17"/>
      <c r="H47729" s="18"/>
      <c r="K47729" s="18" t="s">
        <v>316</v>
      </c>
    </row>
    <row r="47730">
      <c r="A47730" s="17"/>
      <c r="H47730" s="18"/>
      <c r="K47730" s="18" t="s">
        <v>316</v>
      </c>
    </row>
    <row r="47731">
      <c r="A47731" s="17"/>
      <c r="H47731" s="18"/>
      <c r="K47731" s="18" t="s">
        <v>316</v>
      </c>
    </row>
    <row r="47732">
      <c r="A47732" s="17"/>
      <c r="H47732" s="18"/>
      <c r="K47732" s="18" t="s">
        <v>316</v>
      </c>
    </row>
    <row r="47733">
      <c r="A47733" s="17"/>
      <c r="H47733" s="18"/>
      <c r="K47733" s="18" t="s">
        <v>316</v>
      </c>
    </row>
    <row r="47734">
      <c r="A47734" s="17"/>
      <c r="H47734" s="18"/>
      <c r="K47734" s="18" t="s">
        <v>316</v>
      </c>
    </row>
    <row r="47735">
      <c r="A47735" s="17"/>
      <c r="H47735" s="18"/>
      <c r="K47735" s="18" t="s">
        <v>316</v>
      </c>
    </row>
    <row r="47736">
      <c r="A47736" s="17"/>
      <c r="H47736" s="18"/>
      <c r="K47736" s="18" t="s">
        <v>316</v>
      </c>
    </row>
    <row r="47737">
      <c r="A47737" s="17"/>
      <c r="H47737" s="18"/>
      <c r="K47737" s="18" t="s">
        <v>316</v>
      </c>
    </row>
    <row r="47738">
      <c r="A47738" s="17"/>
      <c r="H47738" s="18"/>
      <c r="K47738" s="18" t="s">
        <v>316</v>
      </c>
    </row>
    <row r="47739">
      <c r="A47739" s="17"/>
      <c r="H47739" s="18"/>
      <c r="K47739" s="18" t="s">
        <v>316</v>
      </c>
    </row>
    <row r="47740">
      <c r="A47740" s="17"/>
      <c r="H47740" s="18"/>
      <c r="K47740" s="18" t="s">
        <v>316</v>
      </c>
    </row>
    <row r="47741">
      <c r="A47741" s="17"/>
      <c r="H47741" s="18"/>
      <c r="K47741" s="18" t="s">
        <v>316</v>
      </c>
    </row>
    <row r="47742">
      <c r="A47742" s="17"/>
      <c r="H47742" s="18"/>
      <c r="K47742" s="18" t="s">
        <v>316</v>
      </c>
    </row>
    <row r="47743">
      <c r="A47743" s="17"/>
      <c r="H47743" s="18"/>
      <c r="K47743" s="18" t="s">
        <v>316</v>
      </c>
    </row>
    <row r="47744">
      <c r="A47744" s="17"/>
      <c r="H47744" s="18"/>
      <c r="K47744" s="18" t="s">
        <v>316</v>
      </c>
    </row>
    <row r="47745">
      <c r="A47745" s="17"/>
      <c r="H47745" s="18"/>
      <c r="K47745" s="18" t="s">
        <v>316</v>
      </c>
    </row>
    <row r="47746">
      <c r="A47746" s="17"/>
      <c r="H47746" s="18"/>
      <c r="K47746" s="18" t="s">
        <v>316</v>
      </c>
    </row>
    <row r="47747">
      <c r="A47747" s="17"/>
      <c r="H47747" s="18"/>
      <c r="K47747" s="18" t="s">
        <v>316</v>
      </c>
    </row>
    <row r="47748">
      <c r="A47748" s="17"/>
      <c r="H47748" s="18"/>
      <c r="K47748" s="18" t="s">
        <v>316</v>
      </c>
    </row>
    <row r="47749">
      <c r="A47749" s="17"/>
      <c r="H47749" s="18"/>
      <c r="K47749" s="18" t="s">
        <v>316</v>
      </c>
    </row>
    <row r="47750">
      <c r="A47750" s="17"/>
      <c r="H47750" s="18"/>
      <c r="K47750" s="18" t="s">
        <v>316</v>
      </c>
    </row>
    <row r="47751">
      <c r="A47751" s="17"/>
      <c r="H47751" s="18"/>
      <c r="K47751" s="18" t="s">
        <v>316</v>
      </c>
    </row>
    <row r="47752">
      <c r="A47752" s="17"/>
      <c r="H47752" s="18"/>
      <c r="K47752" s="18" t="s">
        <v>316</v>
      </c>
    </row>
    <row r="47753">
      <c r="A47753" s="17"/>
      <c r="H47753" s="18"/>
      <c r="K47753" s="18" t="s">
        <v>316</v>
      </c>
    </row>
    <row r="47754">
      <c r="A47754" s="17"/>
      <c r="H47754" s="18"/>
      <c r="K47754" s="18" t="s">
        <v>316</v>
      </c>
    </row>
    <row r="47755">
      <c r="A47755" s="17"/>
      <c r="H47755" s="18"/>
      <c r="K47755" s="18" t="s">
        <v>316</v>
      </c>
    </row>
    <row r="47756">
      <c r="A47756" s="17"/>
      <c r="H47756" s="18"/>
      <c r="K47756" s="18" t="s">
        <v>316</v>
      </c>
    </row>
    <row r="47757">
      <c r="A47757" s="17"/>
      <c r="H47757" s="18"/>
      <c r="K47757" s="18" t="s">
        <v>316</v>
      </c>
    </row>
    <row r="47758">
      <c r="A47758" s="17"/>
      <c r="H47758" s="18"/>
      <c r="K47758" s="18" t="s">
        <v>316</v>
      </c>
    </row>
    <row r="47759">
      <c r="A47759" s="17"/>
      <c r="H47759" s="18"/>
      <c r="K47759" s="18" t="s">
        <v>316</v>
      </c>
    </row>
    <row r="47760">
      <c r="A47760" s="17"/>
      <c r="H47760" s="18"/>
      <c r="K47760" s="18" t="s">
        <v>316</v>
      </c>
    </row>
    <row r="47761">
      <c r="A47761" s="17"/>
      <c r="H47761" s="18"/>
      <c r="K47761" s="18" t="s">
        <v>316</v>
      </c>
    </row>
    <row r="47762">
      <c r="A47762" s="17"/>
      <c r="H47762" s="18"/>
      <c r="K47762" s="18" t="s">
        <v>316</v>
      </c>
    </row>
    <row r="47763">
      <c r="A47763" s="17"/>
      <c r="H47763" s="18"/>
      <c r="K47763" s="18" t="s">
        <v>316</v>
      </c>
    </row>
    <row r="47764">
      <c r="A47764" s="17"/>
      <c r="H47764" s="18"/>
      <c r="K47764" s="18" t="s">
        <v>316</v>
      </c>
    </row>
    <row r="47765">
      <c r="A47765" s="17"/>
      <c r="H47765" s="18"/>
      <c r="K47765" s="18" t="s">
        <v>316</v>
      </c>
    </row>
    <row r="47766">
      <c r="A47766" s="17"/>
      <c r="H47766" s="18"/>
      <c r="K47766" s="18" t="s">
        <v>316</v>
      </c>
    </row>
    <row r="47767">
      <c r="A47767" s="17"/>
      <c r="H47767" s="18"/>
      <c r="K47767" s="18" t="s">
        <v>316</v>
      </c>
    </row>
    <row r="47768">
      <c r="A47768" s="17"/>
      <c r="H47768" s="18"/>
      <c r="K47768" s="18" t="s">
        <v>316</v>
      </c>
    </row>
    <row r="47769">
      <c r="A47769" s="17"/>
      <c r="H47769" s="18"/>
      <c r="K47769" s="18" t="s">
        <v>316</v>
      </c>
    </row>
    <row r="47770">
      <c r="A47770" s="17"/>
      <c r="H47770" s="18"/>
      <c r="K47770" s="18" t="s">
        <v>316</v>
      </c>
    </row>
    <row r="47771">
      <c r="A47771" s="17"/>
      <c r="H47771" s="18"/>
      <c r="K47771" s="18" t="s">
        <v>316</v>
      </c>
    </row>
    <row r="47772">
      <c r="A47772" s="17"/>
      <c r="H47772" s="18"/>
      <c r="K47772" s="18" t="s">
        <v>316</v>
      </c>
    </row>
    <row r="47773">
      <c r="A47773" s="17"/>
      <c r="H47773" s="18"/>
      <c r="K47773" s="18" t="s">
        <v>316</v>
      </c>
    </row>
    <row r="47774">
      <c r="A47774" s="17"/>
      <c r="H47774" s="18"/>
      <c r="K47774" s="18" t="s">
        <v>316</v>
      </c>
    </row>
    <row r="47775">
      <c r="A47775" s="17"/>
      <c r="H47775" s="18"/>
      <c r="K47775" s="18" t="s">
        <v>316</v>
      </c>
    </row>
    <row r="47776">
      <c r="A47776" s="17"/>
      <c r="H47776" s="18"/>
      <c r="K47776" s="18" t="s">
        <v>316</v>
      </c>
    </row>
    <row r="47777">
      <c r="A47777" s="17"/>
      <c r="H47777" s="18"/>
      <c r="K47777" s="18" t="s">
        <v>316</v>
      </c>
    </row>
    <row r="47778">
      <c r="A47778" s="17"/>
      <c r="H47778" s="18"/>
      <c r="K47778" s="18" t="s">
        <v>316</v>
      </c>
    </row>
    <row r="47779">
      <c r="A47779" s="17"/>
      <c r="H47779" s="18"/>
      <c r="K47779" s="18" t="s">
        <v>316</v>
      </c>
    </row>
    <row r="47780">
      <c r="A47780" s="17"/>
      <c r="H47780" s="18"/>
      <c r="K47780" s="18" t="s">
        <v>316</v>
      </c>
    </row>
    <row r="47781">
      <c r="A47781" s="17"/>
      <c r="H47781" s="18"/>
      <c r="K47781" s="18" t="s">
        <v>316</v>
      </c>
    </row>
    <row r="47782">
      <c r="A47782" s="17"/>
      <c r="H47782" s="18"/>
      <c r="K47782" s="18" t="s">
        <v>316</v>
      </c>
    </row>
    <row r="47783">
      <c r="A47783" s="17"/>
      <c r="H47783" s="18"/>
      <c r="K47783" s="18" t="s">
        <v>316</v>
      </c>
    </row>
    <row r="47784">
      <c r="A47784" s="17"/>
      <c r="H47784" s="18"/>
      <c r="K47784" s="18" t="s">
        <v>316</v>
      </c>
    </row>
    <row r="47785">
      <c r="A47785" s="17"/>
      <c r="H47785" s="18"/>
      <c r="K47785" s="18" t="s">
        <v>316</v>
      </c>
    </row>
    <row r="47786">
      <c r="A47786" s="17"/>
      <c r="H47786" s="18"/>
      <c r="K47786" s="18" t="s">
        <v>316</v>
      </c>
    </row>
    <row r="47787">
      <c r="A47787" s="17"/>
      <c r="H47787" s="18"/>
      <c r="K47787" s="18" t="s">
        <v>316</v>
      </c>
    </row>
    <row r="47788">
      <c r="A47788" s="17"/>
      <c r="H47788" s="18"/>
      <c r="K47788" s="18" t="s">
        <v>316</v>
      </c>
    </row>
    <row r="47789">
      <c r="A47789" s="17"/>
      <c r="H47789" s="18"/>
      <c r="K47789" s="18" t="s">
        <v>316</v>
      </c>
    </row>
    <row r="47790">
      <c r="A47790" s="17"/>
      <c r="H47790" s="18"/>
      <c r="K47790" s="18" t="s">
        <v>316</v>
      </c>
    </row>
    <row r="47791">
      <c r="A47791" s="17"/>
      <c r="H47791" s="18"/>
      <c r="K47791" s="18" t="s">
        <v>316</v>
      </c>
    </row>
    <row r="47792">
      <c r="A47792" s="17"/>
      <c r="H47792" s="18"/>
      <c r="K47792" s="18" t="s">
        <v>316</v>
      </c>
    </row>
    <row r="47793">
      <c r="A47793" s="17"/>
      <c r="H47793" s="18"/>
      <c r="K47793" s="18" t="s">
        <v>316</v>
      </c>
    </row>
    <row r="47794">
      <c r="A47794" s="17"/>
      <c r="H47794" s="18"/>
      <c r="K47794" s="18" t="s">
        <v>316</v>
      </c>
    </row>
    <row r="47795">
      <c r="A47795" s="17"/>
      <c r="H47795" s="18"/>
      <c r="K47795" s="18" t="s">
        <v>316</v>
      </c>
    </row>
    <row r="47796">
      <c r="A47796" s="17"/>
      <c r="H47796" s="18"/>
      <c r="K47796" s="18" t="s">
        <v>316</v>
      </c>
    </row>
    <row r="47797">
      <c r="A47797" s="17"/>
      <c r="H47797" s="18"/>
      <c r="K47797" s="18" t="s">
        <v>316</v>
      </c>
    </row>
    <row r="47798">
      <c r="A47798" s="17"/>
      <c r="H47798" s="18"/>
      <c r="K47798" s="18" t="s">
        <v>316</v>
      </c>
    </row>
    <row r="47799">
      <c r="A47799" s="17"/>
      <c r="H47799" s="18"/>
      <c r="K47799" s="18" t="s">
        <v>316</v>
      </c>
    </row>
    <row r="47800">
      <c r="A47800" s="17"/>
      <c r="H47800" s="18"/>
      <c r="K47800" s="18" t="s">
        <v>316</v>
      </c>
    </row>
    <row r="47801">
      <c r="A47801" s="17"/>
      <c r="H47801" s="18"/>
      <c r="K47801" s="18" t="s">
        <v>316</v>
      </c>
    </row>
    <row r="47802">
      <c r="A47802" s="17"/>
      <c r="H47802" s="18"/>
      <c r="K47802" s="18" t="s">
        <v>316</v>
      </c>
    </row>
    <row r="47803">
      <c r="A47803" s="17"/>
      <c r="H47803" s="18"/>
      <c r="K47803" s="18" t="s">
        <v>316</v>
      </c>
    </row>
    <row r="47804">
      <c r="A47804" s="17"/>
      <c r="H47804" s="18"/>
      <c r="K47804" s="18" t="s">
        <v>316</v>
      </c>
    </row>
    <row r="47805">
      <c r="A47805" s="17"/>
      <c r="H47805" s="18"/>
      <c r="K47805" s="18" t="s">
        <v>316</v>
      </c>
    </row>
    <row r="47806">
      <c r="A47806" s="17"/>
      <c r="H47806" s="18"/>
      <c r="K47806" s="18" t="s">
        <v>316</v>
      </c>
    </row>
    <row r="47807">
      <c r="A47807" s="17"/>
      <c r="H47807" s="18"/>
      <c r="K47807" s="18" t="s">
        <v>316</v>
      </c>
    </row>
    <row r="47808">
      <c r="A47808" s="17"/>
      <c r="H47808" s="18"/>
      <c r="K47808" s="18" t="s">
        <v>316</v>
      </c>
    </row>
    <row r="47809">
      <c r="A47809" s="17"/>
      <c r="H47809" s="18"/>
      <c r="K47809" s="18" t="s">
        <v>316</v>
      </c>
    </row>
    <row r="47810">
      <c r="A47810" s="17"/>
      <c r="H47810" s="18"/>
      <c r="K47810" s="18" t="s">
        <v>316</v>
      </c>
    </row>
    <row r="47811">
      <c r="A47811" s="17"/>
      <c r="H47811" s="18"/>
      <c r="K47811" s="18" t="s">
        <v>316</v>
      </c>
    </row>
    <row r="47812">
      <c r="A47812" s="17"/>
      <c r="H47812" s="18"/>
      <c r="K47812" s="18" t="s">
        <v>316</v>
      </c>
    </row>
    <row r="47813">
      <c r="A47813" s="17"/>
      <c r="H47813" s="18"/>
      <c r="K47813" s="18" t="s">
        <v>316</v>
      </c>
    </row>
    <row r="47814">
      <c r="A47814" s="17"/>
      <c r="H47814" s="18"/>
      <c r="K47814" s="18" t="s">
        <v>316</v>
      </c>
    </row>
    <row r="47815">
      <c r="A47815" s="17"/>
      <c r="H47815" s="18"/>
      <c r="K47815" s="18" t="s">
        <v>316</v>
      </c>
    </row>
    <row r="47816">
      <c r="A47816" s="17"/>
      <c r="H47816" s="18"/>
      <c r="K47816" s="18" t="s">
        <v>316</v>
      </c>
    </row>
    <row r="47817">
      <c r="A47817" s="17"/>
      <c r="H47817" s="18"/>
      <c r="K47817" s="18" t="s">
        <v>316</v>
      </c>
    </row>
    <row r="47818">
      <c r="A47818" s="17"/>
      <c r="H47818" s="18"/>
      <c r="K47818" s="18" t="s">
        <v>316</v>
      </c>
    </row>
    <row r="47819">
      <c r="A47819" s="17"/>
      <c r="H47819" s="18"/>
      <c r="K47819" s="18" t="s">
        <v>316</v>
      </c>
    </row>
    <row r="47820">
      <c r="A47820" s="17"/>
      <c r="H47820" s="18"/>
      <c r="K47820" s="18" t="s">
        <v>316</v>
      </c>
    </row>
    <row r="47821">
      <c r="A47821" s="17"/>
      <c r="H47821" s="18"/>
      <c r="K47821" s="18" t="s">
        <v>316</v>
      </c>
    </row>
    <row r="47822">
      <c r="A47822" s="17"/>
      <c r="H47822" s="18"/>
      <c r="K47822" s="18" t="s">
        <v>316</v>
      </c>
    </row>
    <row r="47823">
      <c r="A47823" s="17"/>
      <c r="H47823" s="18"/>
      <c r="K47823" s="18" t="s">
        <v>316</v>
      </c>
    </row>
    <row r="47824">
      <c r="A47824" s="17"/>
      <c r="H47824" s="18"/>
      <c r="K47824" s="18" t="s">
        <v>316</v>
      </c>
    </row>
    <row r="47825">
      <c r="A47825" s="17"/>
      <c r="H47825" s="18"/>
      <c r="K47825" s="18" t="s">
        <v>316</v>
      </c>
    </row>
    <row r="47826">
      <c r="A47826" s="17"/>
      <c r="H47826" s="18"/>
      <c r="K47826" s="18" t="s">
        <v>316</v>
      </c>
    </row>
    <row r="47827">
      <c r="A47827" s="17"/>
      <c r="H47827" s="18"/>
      <c r="K47827" s="18" t="s">
        <v>316</v>
      </c>
    </row>
    <row r="47828">
      <c r="A47828" s="17"/>
      <c r="H47828" s="18"/>
      <c r="K47828" s="18" t="s">
        <v>316</v>
      </c>
    </row>
    <row r="47829">
      <c r="A47829" s="17"/>
      <c r="H47829" s="18"/>
      <c r="K47829" s="18" t="s">
        <v>316</v>
      </c>
    </row>
    <row r="47830">
      <c r="A47830" s="17"/>
      <c r="H47830" s="18"/>
      <c r="K47830" s="18" t="s">
        <v>316</v>
      </c>
    </row>
    <row r="47831">
      <c r="A47831" s="17"/>
      <c r="H47831" s="18"/>
      <c r="K47831" s="18" t="s">
        <v>316</v>
      </c>
    </row>
    <row r="47832">
      <c r="A47832" s="17"/>
      <c r="H47832" s="18"/>
      <c r="K47832" s="18" t="s">
        <v>316</v>
      </c>
    </row>
    <row r="47833">
      <c r="A47833" s="17"/>
      <c r="H47833" s="18"/>
      <c r="K47833" s="18" t="s">
        <v>316</v>
      </c>
    </row>
    <row r="47834">
      <c r="A47834" s="17"/>
      <c r="H47834" s="18"/>
      <c r="K47834" s="18" t="s">
        <v>316</v>
      </c>
    </row>
    <row r="47835">
      <c r="A47835" s="17"/>
      <c r="H47835" s="18"/>
      <c r="K47835" s="18" t="s">
        <v>316</v>
      </c>
    </row>
    <row r="47836">
      <c r="A47836" s="17"/>
      <c r="H47836" s="18"/>
      <c r="K47836" s="18" t="s">
        <v>316</v>
      </c>
    </row>
    <row r="47837">
      <c r="A47837" s="17"/>
      <c r="H47837" s="18"/>
      <c r="K47837" s="18" t="s">
        <v>316</v>
      </c>
    </row>
    <row r="47838">
      <c r="A47838" s="17"/>
      <c r="H47838" s="18"/>
      <c r="K47838" s="18" t="s">
        <v>316</v>
      </c>
    </row>
    <row r="47839">
      <c r="A47839" s="17"/>
      <c r="H47839" s="18"/>
      <c r="K47839" s="18" t="s">
        <v>316</v>
      </c>
    </row>
    <row r="47840">
      <c r="A47840" s="17"/>
      <c r="H47840" s="18"/>
      <c r="K47840" s="18" t="s">
        <v>316</v>
      </c>
    </row>
    <row r="47841">
      <c r="A47841" s="17"/>
      <c r="H47841" s="18"/>
      <c r="K47841" s="18" t="s">
        <v>316</v>
      </c>
    </row>
    <row r="47842">
      <c r="A47842" s="17"/>
      <c r="H47842" s="18"/>
      <c r="K47842" s="18" t="s">
        <v>316</v>
      </c>
    </row>
    <row r="47843">
      <c r="A47843" s="17"/>
      <c r="H47843" s="18"/>
      <c r="K47843" s="18" t="s">
        <v>316</v>
      </c>
    </row>
    <row r="47844">
      <c r="A47844" s="17"/>
      <c r="H47844" s="18"/>
      <c r="K47844" s="18" t="s">
        <v>316</v>
      </c>
    </row>
    <row r="47845">
      <c r="A47845" s="17"/>
      <c r="H47845" s="18"/>
      <c r="K47845" s="18" t="s">
        <v>316</v>
      </c>
    </row>
    <row r="47846">
      <c r="A47846" s="17"/>
      <c r="H47846" s="18"/>
      <c r="K47846" s="18" t="s">
        <v>316</v>
      </c>
    </row>
    <row r="47847">
      <c r="A47847" s="17"/>
      <c r="H47847" s="18"/>
      <c r="K47847" s="18" t="s">
        <v>316</v>
      </c>
    </row>
    <row r="47848">
      <c r="A47848" s="17"/>
      <c r="H47848" s="18"/>
      <c r="K47848" s="18" t="s">
        <v>316</v>
      </c>
    </row>
    <row r="47849">
      <c r="A47849" s="17"/>
      <c r="H47849" s="18"/>
      <c r="K47849" s="18" t="s">
        <v>316</v>
      </c>
    </row>
    <row r="47850">
      <c r="A47850" s="17"/>
      <c r="H47850" s="18"/>
      <c r="K47850" s="18" t="s">
        <v>316</v>
      </c>
    </row>
    <row r="47851">
      <c r="A47851" s="17"/>
      <c r="H47851" s="18"/>
      <c r="K47851" s="18" t="s">
        <v>316</v>
      </c>
    </row>
    <row r="47852">
      <c r="A47852" s="17"/>
      <c r="H47852" s="18"/>
      <c r="K47852" s="18" t="s">
        <v>316</v>
      </c>
    </row>
    <row r="47853">
      <c r="A47853" s="17"/>
      <c r="H47853" s="18"/>
      <c r="K47853" s="18" t="s">
        <v>316</v>
      </c>
    </row>
    <row r="47854">
      <c r="A47854" s="17"/>
      <c r="H47854" s="18"/>
      <c r="K47854" s="18" t="s">
        <v>316</v>
      </c>
    </row>
    <row r="47855">
      <c r="A47855" s="17"/>
      <c r="H47855" s="18"/>
      <c r="K47855" s="18" t="s">
        <v>316</v>
      </c>
    </row>
    <row r="47856">
      <c r="A47856" s="17"/>
      <c r="H47856" s="18"/>
      <c r="K47856" s="18" t="s">
        <v>316</v>
      </c>
    </row>
    <row r="47857">
      <c r="A47857" s="17"/>
      <c r="H47857" s="18"/>
      <c r="K47857" s="18" t="s">
        <v>316</v>
      </c>
    </row>
    <row r="47858">
      <c r="A47858" s="17"/>
      <c r="H47858" s="18"/>
      <c r="K47858" s="18" t="s">
        <v>316</v>
      </c>
    </row>
    <row r="47859">
      <c r="A47859" s="17"/>
      <c r="H47859" s="18"/>
      <c r="K47859" s="18" t="s">
        <v>316</v>
      </c>
    </row>
    <row r="47860">
      <c r="A47860" s="17"/>
      <c r="H47860" s="18"/>
      <c r="K47860" s="18" t="s">
        <v>316</v>
      </c>
    </row>
    <row r="47861">
      <c r="A47861" s="17"/>
      <c r="H47861" s="18"/>
      <c r="K47861" s="18" t="s">
        <v>316</v>
      </c>
    </row>
    <row r="47862">
      <c r="A47862" s="17"/>
      <c r="H47862" s="18"/>
      <c r="K47862" s="18" t="s">
        <v>316</v>
      </c>
    </row>
    <row r="47863">
      <c r="A47863" s="17"/>
      <c r="H47863" s="18"/>
      <c r="K47863" s="18" t="s">
        <v>316</v>
      </c>
    </row>
    <row r="47864">
      <c r="A47864" s="17"/>
      <c r="H47864" s="18"/>
      <c r="K47864" s="18" t="s">
        <v>316</v>
      </c>
    </row>
    <row r="47865">
      <c r="A47865" s="17"/>
      <c r="H47865" s="18"/>
      <c r="K47865" s="18" t="s">
        <v>316</v>
      </c>
    </row>
    <row r="47866">
      <c r="A47866" s="17"/>
      <c r="H47866" s="18"/>
      <c r="K47866" s="18" t="s">
        <v>316</v>
      </c>
    </row>
    <row r="47867">
      <c r="A47867" s="17"/>
      <c r="H47867" s="18"/>
      <c r="K47867" s="18" t="s">
        <v>316</v>
      </c>
    </row>
    <row r="47868">
      <c r="A47868" s="17"/>
      <c r="H47868" s="18"/>
      <c r="K47868" s="18" t="s">
        <v>316</v>
      </c>
    </row>
    <row r="47869">
      <c r="A47869" s="17"/>
      <c r="H47869" s="18"/>
      <c r="K47869" s="18" t="s">
        <v>316</v>
      </c>
    </row>
    <row r="47870">
      <c r="A47870" s="17"/>
      <c r="H47870" s="18"/>
      <c r="K47870" s="18" t="s">
        <v>316</v>
      </c>
    </row>
    <row r="47871">
      <c r="A47871" s="17"/>
      <c r="H47871" s="18"/>
      <c r="K47871" s="18" t="s">
        <v>316</v>
      </c>
    </row>
    <row r="47872">
      <c r="A47872" s="17"/>
      <c r="H47872" s="18"/>
      <c r="K47872" s="18" t="s">
        <v>316</v>
      </c>
    </row>
    <row r="47873">
      <c r="A47873" s="17"/>
      <c r="H47873" s="18"/>
      <c r="K47873" s="18" t="s">
        <v>316</v>
      </c>
    </row>
    <row r="47874">
      <c r="A47874" s="17"/>
      <c r="H47874" s="18"/>
      <c r="K47874" s="18" t="s">
        <v>316</v>
      </c>
    </row>
    <row r="47875">
      <c r="A47875" s="17"/>
      <c r="H47875" s="18"/>
      <c r="K47875" s="18" t="s">
        <v>316</v>
      </c>
    </row>
    <row r="47876">
      <c r="A47876" s="17"/>
      <c r="H47876" s="18"/>
      <c r="K47876" s="18" t="s">
        <v>316</v>
      </c>
    </row>
    <row r="47877">
      <c r="A47877" s="17"/>
      <c r="H47877" s="18"/>
      <c r="K47877" s="18" t="s">
        <v>316</v>
      </c>
    </row>
    <row r="47878">
      <c r="A47878" s="17"/>
      <c r="H47878" s="18"/>
      <c r="K47878" s="18" t="s">
        <v>316</v>
      </c>
    </row>
    <row r="47879">
      <c r="A47879" s="17"/>
      <c r="H47879" s="18"/>
      <c r="K47879" s="18" t="s">
        <v>316</v>
      </c>
    </row>
    <row r="47880">
      <c r="A47880" s="17"/>
      <c r="H47880" s="18"/>
      <c r="K47880" s="18" t="s">
        <v>316</v>
      </c>
    </row>
    <row r="47881">
      <c r="A47881" s="17"/>
      <c r="H47881" s="18"/>
      <c r="K47881" s="18" t="s">
        <v>316</v>
      </c>
    </row>
    <row r="47882">
      <c r="A47882" s="17"/>
      <c r="H47882" s="18"/>
      <c r="K47882" s="18" t="s">
        <v>316</v>
      </c>
    </row>
    <row r="47883">
      <c r="A47883" s="17"/>
      <c r="H47883" s="18"/>
      <c r="K47883" s="18" t="s">
        <v>316</v>
      </c>
    </row>
    <row r="47884">
      <c r="A47884" s="17"/>
      <c r="H47884" s="18"/>
      <c r="K47884" s="18" t="s">
        <v>316</v>
      </c>
    </row>
    <row r="47885">
      <c r="A47885" s="17"/>
      <c r="H47885" s="18"/>
      <c r="K47885" s="18" t="s">
        <v>316</v>
      </c>
    </row>
    <row r="47886">
      <c r="A47886" s="17"/>
      <c r="H47886" s="18"/>
      <c r="K47886" s="18" t="s">
        <v>316</v>
      </c>
    </row>
    <row r="47887">
      <c r="A47887" s="17"/>
      <c r="H47887" s="18"/>
      <c r="K47887" s="18" t="s">
        <v>316</v>
      </c>
    </row>
    <row r="47888">
      <c r="A47888" s="17"/>
      <c r="H47888" s="18"/>
      <c r="K47888" s="18" t="s">
        <v>316</v>
      </c>
    </row>
    <row r="47889">
      <c r="A47889" s="17"/>
      <c r="H47889" s="18"/>
      <c r="K47889" s="18" t="s">
        <v>316</v>
      </c>
    </row>
    <row r="47890">
      <c r="A47890" s="17"/>
      <c r="H47890" s="18"/>
      <c r="K47890" s="18" t="s">
        <v>316</v>
      </c>
    </row>
    <row r="47891">
      <c r="A47891" s="17"/>
      <c r="H47891" s="18"/>
      <c r="K47891" s="18" t="s">
        <v>316</v>
      </c>
    </row>
    <row r="47892">
      <c r="A47892" s="17"/>
      <c r="H47892" s="18"/>
      <c r="K47892" s="18" t="s">
        <v>316</v>
      </c>
    </row>
    <row r="47893">
      <c r="A47893" s="17"/>
      <c r="H47893" s="18"/>
      <c r="K47893" s="18" t="s">
        <v>316</v>
      </c>
    </row>
    <row r="47894">
      <c r="A47894" s="17"/>
      <c r="H47894" s="18"/>
      <c r="K47894" s="18" t="s">
        <v>316</v>
      </c>
    </row>
    <row r="47895">
      <c r="A47895" s="17"/>
      <c r="H47895" s="18"/>
      <c r="K47895" s="18" t="s">
        <v>316</v>
      </c>
    </row>
    <row r="47896">
      <c r="A47896" s="17"/>
      <c r="H47896" s="18"/>
      <c r="K47896" s="18" t="s">
        <v>316</v>
      </c>
    </row>
    <row r="47897">
      <c r="A47897" s="17"/>
      <c r="H47897" s="18"/>
      <c r="K47897" s="18" t="s">
        <v>316</v>
      </c>
    </row>
    <row r="47898">
      <c r="A47898" s="17"/>
      <c r="H47898" s="18"/>
      <c r="K47898" s="18" t="s">
        <v>316</v>
      </c>
    </row>
    <row r="47899">
      <c r="A47899" s="17"/>
      <c r="H47899" s="18"/>
      <c r="K47899" s="18" t="s">
        <v>316</v>
      </c>
    </row>
    <row r="47900">
      <c r="A47900" s="17"/>
      <c r="H47900" s="18"/>
      <c r="K47900" s="18" t="s">
        <v>316</v>
      </c>
    </row>
    <row r="47901">
      <c r="A47901" s="17"/>
      <c r="H47901" s="18"/>
      <c r="K47901" s="18" t="s">
        <v>316</v>
      </c>
    </row>
    <row r="47902">
      <c r="A47902" s="17"/>
      <c r="H47902" s="18"/>
      <c r="K47902" s="18" t="s">
        <v>316</v>
      </c>
    </row>
    <row r="47903">
      <c r="A47903" s="17"/>
      <c r="H47903" s="18"/>
      <c r="K47903" s="18" t="s">
        <v>316</v>
      </c>
    </row>
    <row r="47904">
      <c r="A47904" s="17"/>
      <c r="H47904" s="18"/>
      <c r="K47904" s="18" t="s">
        <v>316</v>
      </c>
    </row>
    <row r="47905">
      <c r="A47905" s="17"/>
      <c r="H47905" s="18"/>
      <c r="K47905" s="18" t="s">
        <v>316</v>
      </c>
    </row>
    <row r="47906">
      <c r="A47906" s="17"/>
      <c r="H47906" s="18"/>
      <c r="K47906" s="18" t="s">
        <v>316</v>
      </c>
    </row>
    <row r="47907">
      <c r="A47907" s="17"/>
      <c r="H47907" s="18"/>
      <c r="K47907" s="18" t="s">
        <v>316</v>
      </c>
    </row>
    <row r="47908">
      <c r="A47908" s="17"/>
      <c r="H47908" s="18"/>
      <c r="K47908" s="18" t="s">
        <v>316</v>
      </c>
    </row>
    <row r="47909">
      <c r="A47909" s="17"/>
      <c r="H47909" s="18"/>
      <c r="K47909" s="18" t="s">
        <v>316</v>
      </c>
    </row>
    <row r="47910">
      <c r="A47910" s="17"/>
      <c r="H47910" s="18"/>
      <c r="K47910" s="18" t="s">
        <v>316</v>
      </c>
    </row>
    <row r="47911">
      <c r="A47911" s="17"/>
      <c r="H47911" s="18"/>
      <c r="K47911" s="18" t="s">
        <v>316</v>
      </c>
    </row>
    <row r="47912">
      <c r="A47912" s="17"/>
      <c r="H47912" s="18"/>
      <c r="K47912" s="18" t="s">
        <v>316</v>
      </c>
    </row>
    <row r="47913">
      <c r="A47913" s="17"/>
      <c r="H47913" s="18"/>
      <c r="K47913" s="18" t="s">
        <v>316</v>
      </c>
    </row>
    <row r="47914">
      <c r="A47914" s="17"/>
      <c r="H47914" s="18"/>
      <c r="K47914" s="18" t="s">
        <v>316</v>
      </c>
    </row>
    <row r="47915">
      <c r="A47915" s="17"/>
      <c r="H47915" s="18"/>
      <c r="K47915" s="18" t="s">
        <v>316</v>
      </c>
    </row>
    <row r="47916">
      <c r="A47916" s="17"/>
      <c r="H47916" s="18"/>
      <c r="K47916" s="18" t="s">
        <v>316</v>
      </c>
    </row>
    <row r="47917">
      <c r="A47917" s="17"/>
      <c r="H47917" s="18"/>
      <c r="K47917" s="18" t="s">
        <v>316</v>
      </c>
    </row>
    <row r="47918">
      <c r="A47918" s="17"/>
      <c r="H47918" s="18"/>
      <c r="K47918" s="18" t="s">
        <v>316</v>
      </c>
    </row>
    <row r="47919">
      <c r="A47919" s="17"/>
      <c r="H47919" s="18"/>
      <c r="K47919" s="18" t="s">
        <v>316</v>
      </c>
    </row>
    <row r="47920">
      <c r="A47920" s="17"/>
      <c r="H47920" s="18"/>
      <c r="K47920" s="18" t="s">
        <v>316</v>
      </c>
    </row>
    <row r="47921">
      <c r="A47921" s="17"/>
      <c r="H47921" s="18"/>
      <c r="K47921" s="18" t="s">
        <v>316</v>
      </c>
    </row>
    <row r="47922">
      <c r="A47922" s="17"/>
      <c r="H47922" s="18"/>
      <c r="K47922" s="18" t="s">
        <v>316</v>
      </c>
    </row>
    <row r="47923">
      <c r="A47923" s="17"/>
      <c r="H47923" s="18"/>
      <c r="K47923" s="18" t="s">
        <v>316</v>
      </c>
    </row>
    <row r="47924">
      <c r="A47924" s="17"/>
      <c r="H47924" s="18"/>
      <c r="K47924" s="18" t="s">
        <v>316</v>
      </c>
    </row>
    <row r="47925">
      <c r="A47925" s="17"/>
      <c r="H47925" s="18"/>
      <c r="K47925" s="18" t="s">
        <v>316</v>
      </c>
    </row>
    <row r="47926">
      <c r="A47926" s="17"/>
      <c r="H47926" s="18"/>
      <c r="K47926" s="18" t="s">
        <v>316</v>
      </c>
    </row>
    <row r="47927">
      <c r="A47927" s="17"/>
      <c r="H47927" s="18"/>
      <c r="K47927" s="18" t="s">
        <v>316</v>
      </c>
    </row>
    <row r="47928">
      <c r="A47928" s="17"/>
      <c r="H47928" s="18"/>
      <c r="K47928" s="18" t="s">
        <v>316</v>
      </c>
    </row>
    <row r="47929">
      <c r="A47929" s="17"/>
      <c r="H47929" s="18"/>
      <c r="K47929" s="18" t="s">
        <v>316</v>
      </c>
    </row>
    <row r="47930">
      <c r="A47930" s="17"/>
      <c r="H47930" s="18"/>
      <c r="K47930" s="18" t="s">
        <v>316</v>
      </c>
    </row>
    <row r="47931">
      <c r="A47931" s="17"/>
      <c r="H47931" s="18"/>
      <c r="K47931" s="18" t="s">
        <v>316</v>
      </c>
    </row>
    <row r="47932">
      <c r="A47932" s="17"/>
      <c r="H47932" s="18"/>
      <c r="K47932" s="18" t="s">
        <v>316</v>
      </c>
    </row>
    <row r="47933">
      <c r="A47933" s="17"/>
      <c r="H47933" s="18"/>
      <c r="K47933" s="18" t="s">
        <v>316</v>
      </c>
    </row>
    <row r="47934">
      <c r="A47934" s="17"/>
      <c r="H47934" s="18"/>
      <c r="K47934" s="18" t="s">
        <v>316</v>
      </c>
    </row>
    <row r="47935">
      <c r="A47935" s="17"/>
      <c r="H47935" s="18"/>
      <c r="K47935" s="18" t="s">
        <v>316</v>
      </c>
    </row>
    <row r="47936">
      <c r="A47936" s="17"/>
      <c r="H47936" s="18"/>
      <c r="K47936" s="18" t="s">
        <v>316</v>
      </c>
    </row>
    <row r="47937">
      <c r="A47937" s="17"/>
      <c r="H47937" s="18"/>
      <c r="K47937" s="18" t="s">
        <v>316</v>
      </c>
    </row>
    <row r="47938">
      <c r="A47938" s="17"/>
      <c r="H47938" s="18"/>
      <c r="K47938" s="18" t="s">
        <v>316</v>
      </c>
    </row>
    <row r="47939">
      <c r="A47939" s="17"/>
      <c r="H47939" s="18"/>
      <c r="K47939" s="18" t="s">
        <v>316</v>
      </c>
    </row>
    <row r="47940">
      <c r="A47940" s="17"/>
      <c r="H47940" s="18"/>
      <c r="K47940" s="18" t="s">
        <v>316</v>
      </c>
    </row>
    <row r="47941">
      <c r="A47941" s="17"/>
      <c r="H47941" s="18"/>
      <c r="K47941" s="18" t="s">
        <v>316</v>
      </c>
    </row>
    <row r="47942">
      <c r="A47942" s="17"/>
      <c r="H47942" s="18"/>
      <c r="K47942" s="18" t="s">
        <v>316</v>
      </c>
    </row>
    <row r="47943">
      <c r="A47943" s="17"/>
      <c r="H47943" s="18"/>
      <c r="K47943" s="18" t="s">
        <v>316</v>
      </c>
    </row>
    <row r="47944">
      <c r="A47944" s="17"/>
      <c r="H47944" s="18"/>
      <c r="K47944" s="18" t="s">
        <v>316</v>
      </c>
    </row>
    <row r="47945">
      <c r="A47945" s="17"/>
      <c r="H47945" s="18"/>
      <c r="K47945" s="18" t="s">
        <v>316</v>
      </c>
    </row>
    <row r="47946">
      <c r="A47946" s="17"/>
      <c r="H47946" s="18"/>
      <c r="K47946" s="18" t="s">
        <v>316</v>
      </c>
    </row>
    <row r="47947">
      <c r="A47947" s="17"/>
      <c r="H47947" s="18"/>
      <c r="K47947" s="18" t="s">
        <v>316</v>
      </c>
    </row>
    <row r="47948">
      <c r="A47948" s="17"/>
      <c r="H47948" s="18"/>
      <c r="K47948" s="18" t="s">
        <v>316</v>
      </c>
    </row>
    <row r="47949">
      <c r="A47949" s="17"/>
      <c r="H47949" s="18"/>
      <c r="K47949" s="18" t="s">
        <v>316</v>
      </c>
    </row>
    <row r="47950">
      <c r="A47950" s="17"/>
      <c r="H47950" s="18"/>
      <c r="K47950" s="18" t="s">
        <v>316</v>
      </c>
    </row>
    <row r="47951">
      <c r="A47951" s="17"/>
      <c r="H47951" s="18"/>
      <c r="K47951" s="18" t="s">
        <v>316</v>
      </c>
    </row>
    <row r="47952">
      <c r="A47952" s="17"/>
      <c r="H47952" s="18"/>
      <c r="K47952" s="18" t="s">
        <v>316</v>
      </c>
    </row>
    <row r="47953">
      <c r="A47953" s="17"/>
      <c r="H47953" s="18"/>
      <c r="K47953" s="18" t="s">
        <v>316</v>
      </c>
    </row>
    <row r="47954">
      <c r="A47954" s="17"/>
      <c r="H47954" s="18"/>
      <c r="K47954" s="18" t="s">
        <v>316</v>
      </c>
    </row>
    <row r="47955">
      <c r="A47955" s="17"/>
      <c r="H47955" s="18"/>
      <c r="K47955" s="18" t="s">
        <v>316</v>
      </c>
    </row>
    <row r="47956">
      <c r="A47956" s="17"/>
      <c r="H47956" s="18"/>
      <c r="K47956" s="18" t="s">
        <v>316</v>
      </c>
    </row>
    <row r="47957">
      <c r="A47957" s="17"/>
      <c r="H47957" s="18"/>
      <c r="K47957" s="18" t="s">
        <v>316</v>
      </c>
    </row>
    <row r="47958">
      <c r="A47958" s="17"/>
      <c r="H47958" s="18"/>
      <c r="K47958" s="18" t="s">
        <v>316</v>
      </c>
    </row>
    <row r="47959">
      <c r="A47959" s="17"/>
      <c r="H47959" s="18"/>
      <c r="K47959" s="18" t="s">
        <v>316</v>
      </c>
    </row>
    <row r="47960">
      <c r="A47960" s="17"/>
      <c r="H47960" s="18"/>
      <c r="K47960" s="18" t="s">
        <v>316</v>
      </c>
    </row>
    <row r="47961">
      <c r="A47961" s="17"/>
      <c r="H47961" s="18"/>
      <c r="K47961" s="18" t="s">
        <v>316</v>
      </c>
    </row>
    <row r="47962">
      <c r="A47962" s="17"/>
      <c r="H47962" s="18"/>
      <c r="K47962" s="18" t="s">
        <v>316</v>
      </c>
    </row>
    <row r="47963">
      <c r="A47963" s="17"/>
      <c r="H47963" s="18"/>
      <c r="K47963" s="18" t="s">
        <v>316</v>
      </c>
    </row>
    <row r="47964">
      <c r="A47964" s="17"/>
      <c r="H47964" s="18"/>
      <c r="K47964" s="18" t="s">
        <v>316</v>
      </c>
    </row>
    <row r="47965">
      <c r="A47965" s="17"/>
      <c r="H47965" s="18"/>
      <c r="K47965" s="18" t="s">
        <v>316</v>
      </c>
    </row>
    <row r="47966">
      <c r="A47966" s="17"/>
      <c r="H47966" s="18"/>
      <c r="K47966" s="18" t="s">
        <v>316</v>
      </c>
    </row>
    <row r="47967">
      <c r="A47967" s="17"/>
      <c r="H47967" s="18"/>
      <c r="K47967" s="18" t="s">
        <v>316</v>
      </c>
    </row>
    <row r="47968">
      <c r="A47968" s="17"/>
      <c r="H47968" s="18"/>
      <c r="K47968" s="18" t="s">
        <v>316</v>
      </c>
    </row>
    <row r="47969">
      <c r="A47969" s="17"/>
      <c r="H47969" s="18"/>
      <c r="K47969" s="18" t="s">
        <v>316</v>
      </c>
    </row>
    <row r="47970">
      <c r="A47970" s="17"/>
      <c r="H47970" s="18"/>
      <c r="K47970" s="18" t="s">
        <v>316</v>
      </c>
    </row>
    <row r="47971">
      <c r="A47971" s="17"/>
      <c r="H47971" s="18"/>
      <c r="K47971" s="18" t="s">
        <v>316</v>
      </c>
    </row>
    <row r="47972">
      <c r="A47972" s="17"/>
      <c r="H47972" s="18"/>
      <c r="K47972" s="18" t="s">
        <v>316</v>
      </c>
    </row>
    <row r="47973">
      <c r="A47973" s="17"/>
      <c r="H47973" s="18"/>
      <c r="K47973" s="18" t="s">
        <v>316</v>
      </c>
    </row>
    <row r="47974">
      <c r="A47974" s="17"/>
      <c r="H47974" s="18"/>
      <c r="K47974" s="18" t="s">
        <v>316</v>
      </c>
    </row>
    <row r="47975">
      <c r="A47975" s="17"/>
      <c r="H47975" s="18"/>
      <c r="K47975" s="18" t="s">
        <v>316</v>
      </c>
    </row>
    <row r="47976">
      <c r="A47976" s="17"/>
      <c r="H47976" s="18"/>
      <c r="K47976" s="18" t="s">
        <v>316</v>
      </c>
    </row>
    <row r="47977">
      <c r="A47977" s="17"/>
      <c r="H47977" s="18"/>
      <c r="K47977" s="18" t="s">
        <v>316</v>
      </c>
    </row>
    <row r="47978">
      <c r="A47978" s="17"/>
      <c r="H47978" s="18"/>
      <c r="K47978" s="18" t="s">
        <v>316</v>
      </c>
    </row>
    <row r="47979">
      <c r="A47979" s="17"/>
      <c r="H47979" s="18"/>
      <c r="K47979" s="18" t="s">
        <v>316</v>
      </c>
    </row>
    <row r="47980">
      <c r="A47980" s="17"/>
      <c r="H47980" s="18"/>
      <c r="K47980" s="18" t="s">
        <v>316</v>
      </c>
    </row>
    <row r="47981">
      <c r="A47981" s="17"/>
      <c r="H47981" s="18"/>
      <c r="K47981" s="18" t="s">
        <v>316</v>
      </c>
    </row>
    <row r="47982">
      <c r="A47982" s="17"/>
      <c r="H47982" s="18"/>
      <c r="K47982" s="18" t="s">
        <v>316</v>
      </c>
    </row>
    <row r="47983">
      <c r="A47983" s="17"/>
      <c r="H47983" s="18"/>
      <c r="K47983" s="18" t="s">
        <v>316</v>
      </c>
    </row>
    <row r="47984">
      <c r="A47984" s="17"/>
      <c r="H47984" s="18"/>
      <c r="K47984" s="18" t="s">
        <v>316</v>
      </c>
    </row>
    <row r="47985">
      <c r="A47985" s="17"/>
      <c r="H47985" s="18"/>
      <c r="K47985" s="18" t="s">
        <v>316</v>
      </c>
    </row>
    <row r="47986">
      <c r="A47986" s="17"/>
      <c r="H47986" s="18"/>
      <c r="K47986" s="18" t="s">
        <v>316</v>
      </c>
    </row>
    <row r="47987">
      <c r="A47987" s="17"/>
      <c r="H47987" s="18"/>
      <c r="K47987" s="18" t="s">
        <v>316</v>
      </c>
    </row>
    <row r="47988">
      <c r="A47988" s="17"/>
      <c r="H47988" s="18"/>
      <c r="K47988" s="18" t="s">
        <v>316</v>
      </c>
    </row>
    <row r="47989">
      <c r="A47989" s="17"/>
      <c r="H47989" s="18"/>
      <c r="K47989" s="18" t="s">
        <v>316</v>
      </c>
    </row>
    <row r="47990">
      <c r="A47990" s="17"/>
      <c r="H47990" s="18"/>
      <c r="K47990" s="18" t="s">
        <v>316</v>
      </c>
    </row>
    <row r="47991">
      <c r="A47991" s="17"/>
      <c r="H47991" s="18"/>
      <c r="K47991" s="18" t="s">
        <v>316</v>
      </c>
    </row>
    <row r="47992">
      <c r="A47992" s="17"/>
      <c r="H47992" s="18"/>
      <c r="K47992" s="18" t="s">
        <v>316</v>
      </c>
    </row>
    <row r="47993">
      <c r="A47993" s="17"/>
      <c r="H47993" s="18"/>
      <c r="K47993" s="18" t="s">
        <v>316</v>
      </c>
    </row>
    <row r="47994">
      <c r="A47994" s="17"/>
      <c r="H47994" s="18"/>
      <c r="K47994" s="18" t="s">
        <v>316</v>
      </c>
    </row>
    <row r="47995">
      <c r="A47995" s="17"/>
      <c r="H47995" s="18"/>
      <c r="K47995" s="18" t="s">
        <v>316</v>
      </c>
    </row>
    <row r="47996">
      <c r="A47996" s="17"/>
      <c r="H47996" s="18"/>
      <c r="K47996" s="18" t="s">
        <v>316</v>
      </c>
    </row>
    <row r="47997">
      <c r="A47997" s="17"/>
      <c r="H47997" s="18"/>
      <c r="K47997" s="18" t="s">
        <v>316</v>
      </c>
    </row>
    <row r="47998">
      <c r="A47998" s="17"/>
      <c r="H47998" s="18"/>
      <c r="K47998" s="18" t="s">
        <v>316</v>
      </c>
    </row>
    <row r="47999">
      <c r="A47999" s="17"/>
      <c r="H47999" s="18"/>
      <c r="K47999" s="18" t="s">
        <v>316</v>
      </c>
    </row>
    <row r="48000">
      <c r="A48000" s="17"/>
      <c r="H48000" s="18"/>
      <c r="K48000" s="18" t="s">
        <v>316</v>
      </c>
    </row>
    <row r="48001">
      <c r="A48001" s="17"/>
      <c r="H48001" s="18"/>
      <c r="K48001" s="18" t="s">
        <v>316</v>
      </c>
    </row>
    <row r="48002">
      <c r="A48002" s="17"/>
      <c r="H48002" s="18"/>
      <c r="K48002" s="18" t="s">
        <v>316</v>
      </c>
    </row>
    <row r="48003">
      <c r="A48003" s="17"/>
      <c r="H48003" s="18"/>
      <c r="K48003" s="18" t="s">
        <v>316</v>
      </c>
    </row>
    <row r="48004">
      <c r="A48004" s="17"/>
      <c r="H48004" s="18"/>
      <c r="K48004" s="18" t="s">
        <v>316</v>
      </c>
    </row>
    <row r="48005">
      <c r="A48005" s="17"/>
      <c r="H48005" s="18"/>
      <c r="K48005" s="18" t="s">
        <v>316</v>
      </c>
    </row>
    <row r="48006">
      <c r="A48006" s="17"/>
      <c r="H48006" s="18"/>
      <c r="K48006" s="18" t="s">
        <v>316</v>
      </c>
    </row>
    <row r="48007">
      <c r="A48007" s="17"/>
      <c r="H48007" s="18"/>
      <c r="K48007" s="18" t="s">
        <v>316</v>
      </c>
    </row>
    <row r="48008">
      <c r="A48008" s="17"/>
      <c r="H48008" s="18"/>
      <c r="K48008" s="18" t="s">
        <v>316</v>
      </c>
    </row>
    <row r="48009">
      <c r="A48009" s="17"/>
      <c r="H48009" s="18"/>
      <c r="K48009" s="18" t="s">
        <v>316</v>
      </c>
    </row>
    <row r="48010">
      <c r="A48010" s="17"/>
      <c r="H48010" s="18"/>
      <c r="K48010" s="18" t="s">
        <v>316</v>
      </c>
    </row>
    <row r="48011">
      <c r="A48011" s="17"/>
      <c r="H48011" s="18"/>
      <c r="K48011" s="18" t="s">
        <v>316</v>
      </c>
    </row>
    <row r="48012">
      <c r="A48012" s="17"/>
      <c r="H48012" s="18"/>
      <c r="K48012" s="18" t="s">
        <v>316</v>
      </c>
    </row>
    <row r="48013">
      <c r="A48013" s="17"/>
      <c r="H48013" s="18"/>
      <c r="K48013" s="18" t="s">
        <v>316</v>
      </c>
    </row>
    <row r="48014">
      <c r="A48014" s="17"/>
      <c r="H48014" s="18"/>
      <c r="K48014" s="18" t="s">
        <v>316</v>
      </c>
    </row>
    <row r="48015">
      <c r="A48015" s="17"/>
      <c r="H48015" s="18"/>
      <c r="K48015" s="18" t="s">
        <v>316</v>
      </c>
    </row>
    <row r="48016">
      <c r="A48016" s="17"/>
      <c r="H48016" s="18"/>
      <c r="K48016" s="18" t="s">
        <v>316</v>
      </c>
    </row>
    <row r="48017">
      <c r="A48017" s="17"/>
      <c r="H48017" s="18"/>
      <c r="K48017" s="18" t="s">
        <v>316</v>
      </c>
    </row>
    <row r="48018">
      <c r="A48018" s="17"/>
      <c r="H48018" s="18"/>
      <c r="K48018" s="18" t="s">
        <v>316</v>
      </c>
    </row>
    <row r="48019">
      <c r="A48019" s="17"/>
      <c r="H48019" s="18"/>
      <c r="K48019" s="18" t="s">
        <v>316</v>
      </c>
    </row>
    <row r="48020">
      <c r="A48020" s="17"/>
      <c r="H48020" s="18"/>
      <c r="K48020" s="18" t="s">
        <v>316</v>
      </c>
    </row>
    <row r="48021">
      <c r="A48021" s="17"/>
      <c r="H48021" s="18"/>
      <c r="K48021" s="18" t="s">
        <v>316</v>
      </c>
    </row>
    <row r="48022">
      <c r="A48022" s="17"/>
      <c r="H48022" s="18"/>
      <c r="K48022" s="18" t="s">
        <v>316</v>
      </c>
    </row>
    <row r="48023">
      <c r="A48023" s="17"/>
      <c r="H48023" s="18"/>
      <c r="K48023" s="18" t="s">
        <v>316</v>
      </c>
    </row>
    <row r="48024">
      <c r="A48024" s="17"/>
      <c r="H48024" s="18"/>
      <c r="K48024" s="18" t="s">
        <v>316</v>
      </c>
    </row>
    <row r="48025">
      <c r="A48025" s="17"/>
      <c r="H48025" s="18"/>
      <c r="K48025" s="18" t="s">
        <v>316</v>
      </c>
    </row>
    <row r="48026">
      <c r="A48026" s="17"/>
      <c r="H48026" s="18"/>
      <c r="K48026" s="18" t="s">
        <v>316</v>
      </c>
    </row>
    <row r="48027">
      <c r="A48027" s="17"/>
      <c r="H48027" s="18"/>
      <c r="K48027" s="18" t="s">
        <v>316</v>
      </c>
    </row>
    <row r="48028">
      <c r="A48028" s="17"/>
      <c r="H48028" s="18"/>
      <c r="K48028" s="18" t="s">
        <v>316</v>
      </c>
    </row>
    <row r="48029">
      <c r="A48029" s="17"/>
      <c r="H48029" s="18"/>
      <c r="K48029" s="18" t="s">
        <v>316</v>
      </c>
    </row>
    <row r="48030">
      <c r="A48030" s="17"/>
      <c r="H48030" s="18"/>
      <c r="K48030" s="18" t="s">
        <v>316</v>
      </c>
    </row>
    <row r="48031">
      <c r="A48031" s="17"/>
      <c r="H48031" s="18"/>
      <c r="K48031" s="18" t="s">
        <v>316</v>
      </c>
    </row>
    <row r="48032">
      <c r="A48032" s="17"/>
      <c r="H48032" s="18"/>
      <c r="K48032" s="18" t="s">
        <v>316</v>
      </c>
    </row>
    <row r="48033">
      <c r="A48033" s="17"/>
      <c r="H48033" s="18"/>
      <c r="K48033" s="18" t="s">
        <v>316</v>
      </c>
    </row>
    <row r="48034">
      <c r="A48034" s="17"/>
      <c r="H48034" s="18"/>
      <c r="K48034" s="18" t="s">
        <v>316</v>
      </c>
    </row>
    <row r="48035">
      <c r="A48035" s="17"/>
      <c r="H48035" s="18"/>
      <c r="K48035" s="18" t="s">
        <v>316</v>
      </c>
    </row>
    <row r="48036">
      <c r="A48036" s="17"/>
      <c r="H48036" s="18"/>
      <c r="K48036" s="18" t="s">
        <v>316</v>
      </c>
    </row>
    <row r="48037">
      <c r="A48037" s="17"/>
      <c r="H48037" s="18"/>
      <c r="K48037" s="18" t="s">
        <v>316</v>
      </c>
    </row>
    <row r="48038">
      <c r="A48038" s="17"/>
      <c r="H48038" s="18"/>
      <c r="K48038" s="18" t="s">
        <v>316</v>
      </c>
    </row>
    <row r="48039">
      <c r="A48039" s="17"/>
      <c r="H48039" s="18"/>
      <c r="K48039" s="18" t="s">
        <v>316</v>
      </c>
    </row>
    <row r="48040">
      <c r="A48040" s="17"/>
      <c r="H48040" s="18"/>
      <c r="K48040" s="18" t="s">
        <v>316</v>
      </c>
    </row>
    <row r="48041">
      <c r="A48041" s="17"/>
      <c r="H48041" s="18"/>
      <c r="K48041" s="18" t="s">
        <v>316</v>
      </c>
    </row>
    <row r="48042">
      <c r="A48042" s="17"/>
      <c r="H48042" s="18"/>
      <c r="K48042" s="18" t="s">
        <v>316</v>
      </c>
    </row>
    <row r="48043">
      <c r="A48043" s="17"/>
      <c r="H48043" s="18"/>
      <c r="K48043" s="18" t="s">
        <v>316</v>
      </c>
    </row>
    <row r="48044">
      <c r="A48044" s="17"/>
      <c r="H48044" s="18"/>
      <c r="K48044" s="18" t="s">
        <v>316</v>
      </c>
    </row>
    <row r="48045">
      <c r="A48045" s="17"/>
      <c r="H48045" s="18"/>
      <c r="K48045" s="18" t="s">
        <v>316</v>
      </c>
    </row>
    <row r="48046">
      <c r="A48046" s="17"/>
      <c r="H48046" s="18"/>
      <c r="K48046" s="18" t="s">
        <v>316</v>
      </c>
    </row>
    <row r="48047">
      <c r="A48047" s="17"/>
      <c r="H48047" s="18"/>
      <c r="K48047" s="18" t="s">
        <v>316</v>
      </c>
    </row>
    <row r="48048">
      <c r="A48048" s="17"/>
      <c r="H48048" s="18"/>
      <c r="K48048" s="18" t="s">
        <v>316</v>
      </c>
    </row>
    <row r="48049">
      <c r="A48049" s="17"/>
      <c r="H48049" s="18"/>
      <c r="K48049" s="18" t="s">
        <v>316</v>
      </c>
    </row>
    <row r="48050">
      <c r="A48050" s="17"/>
      <c r="H48050" s="18"/>
      <c r="K48050" s="18" t="s">
        <v>316</v>
      </c>
    </row>
    <row r="48051">
      <c r="A48051" s="17"/>
      <c r="H48051" s="18"/>
      <c r="K48051" s="18" t="s">
        <v>316</v>
      </c>
    </row>
    <row r="48052">
      <c r="A48052" s="17"/>
      <c r="H48052" s="18"/>
      <c r="K48052" s="18" t="s">
        <v>316</v>
      </c>
    </row>
    <row r="48053">
      <c r="A48053" s="17"/>
      <c r="H48053" s="18"/>
      <c r="K48053" s="18" t="s">
        <v>316</v>
      </c>
    </row>
    <row r="48054">
      <c r="A48054" s="17"/>
      <c r="H48054" s="18"/>
      <c r="K48054" s="18" t="s">
        <v>316</v>
      </c>
    </row>
    <row r="48055">
      <c r="A48055" s="17"/>
      <c r="H48055" s="18"/>
      <c r="K48055" s="18" t="s">
        <v>316</v>
      </c>
    </row>
    <row r="48056">
      <c r="A48056" s="17"/>
      <c r="H48056" s="18"/>
      <c r="K48056" s="18" t="s">
        <v>316</v>
      </c>
    </row>
    <row r="48057">
      <c r="A48057" s="17"/>
      <c r="H48057" s="18"/>
      <c r="K48057" s="18" t="s">
        <v>316</v>
      </c>
    </row>
    <row r="48058">
      <c r="A48058" s="17"/>
      <c r="H48058" s="18"/>
      <c r="K48058" s="18" t="s">
        <v>316</v>
      </c>
    </row>
    <row r="48059">
      <c r="A48059" s="17"/>
      <c r="H48059" s="18"/>
      <c r="K48059" s="18" t="s">
        <v>316</v>
      </c>
    </row>
    <row r="48060">
      <c r="A48060" s="17"/>
      <c r="H48060" s="18"/>
      <c r="K48060" s="18" t="s">
        <v>316</v>
      </c>
    </row>
    <row r="48061">
      <c r="A48061" s="17"/>
      <c r="H48061" s="18"/>
      <c r="K48061" s="18" t="s">
        <v>316</v>
      </c>
    </row>
    <row r="48062">
      <c r="A48062" s="17"/>
      <c r="H48062" s="18"/>
      <c r="K48062" s="18" t="s">
        <v>316</v>
      </c>
    </row>
    <row r="48063">
      <c r="A48063" s="17"/>
      <c r="H48063" s="18"/>
      <c r="K48063" s="18" t="s">
        <v>316</v>
      </c>
    </row>
    <row r="48064">
      <c r="A48064" s="17"/>
      <c r="H48064" s="18"/>
      <c r="K48064" s="18" t="s">
        <v>316</v>
      </c>
    </row>
    <row r="48065">
      <c r="A48065" s="17"/>
      <c r="H48065" s="18"/>
      <c r="K48065" s="18" t="s">
        <v>316</v>
      </c>
    </row>
    <row r="48066">
      <c r="A48066" s="17"/>
      <c r="H48066" s="18"/>
      <c r="K48066" s="18" t="s">
        <v>316</v>
      </c>
    </row>
    <row r="48067">
      <c r="A48067" s="17"/>
      <c r="H48067" s="18"/>
      <c r="K48067" s="18" t="s">
        <v>316</v>
      </c>
    </row>
    <row r="48068">
      <c r="A48068" s="17"/>
      <c r="H48068" s="18"/>
      <c r="K48068" s="18" t="s">
        <v>316</v>
      </c>
    </row>
    <row r="48069">
      <c r="A48069" s="17"/>
      <c r="H48069" s="18"/>
      <c r="K48069" s="18" t="s">
        <v>316</v>
      </c>
    </row>
    <row r="48070">
      <c r="A48070" s="17"/>
      <c r="H48070" s="18"/>
      <c r="K48070" s="18" t="s">
        <v>316</v>
      </c>
    </row>
    <row r="48071">
      <c r="A48071" s="17"/>
      <c r="H48071" s="18"/>
      <c r="K48071" s="18" t="s">
        <v>316</v>
      </c>
    </row>
    <row r="48072">
      <c r="A48072" s="17"/>
      <c r="H48072" s="18"/>
      <c r="K48072" s="18" t="s">
        <v>316</v>
      </c>
    </row>
    <row r="48073">
      <c r="A48073" s="17"/>
      <c r="H48073" s="18"/>
      <c r="K48073" s="18" t="s">
        <v>316</v>
      </c>
    </row>
    <row r="48074">
      <c r="A48074" s="17"/>
      <c r="H48074" s="18"/>
      <c r="K48074" s="18" t="s">
        <v>316</v>
      </c>
    </row>
    <row r="48075">
      <c r="A48075" s="17"/>
      <c r="H48075" s="18"/>
      <c r="K48075" s="18" t="s">
        <v>316</v>
      </c>
    </row>
    <row r="48076">
      <c r="A48076" s="17"/>
      <c r="H48076" s="18"/>
      <c r="K48076" s="18" t="s">
        <v>316</v>
      </c>
    </row>
    <row r="48077">
      <c r="A48077" s="17"/>
      <c r="H48077" s="18"/>
      <c r="K48077" s="18" t="s">
        <v>316</v>
      </c>
    </row>
    <row r="48078">
      <c r="A48078" s="17"/>
      <c r="H48078" s="18"/>
      <c r="K48078" s="18" t="s">
        <v>316</v>
      </c>
    </row>
    <row r="48079">
      <c r="A48079" s="17"/>
      <c r="H48079" s="18"/>
      <c r="K48079" s="18" t="s">
        <v>316</v>
      </c>
    </row>
    <row r="48080">
      <c r="A48080" s="17"/>
      <c r="H48080" s="18"/>
      <c r="K48080" s="18" t="s">
        <v>316</v>
      </c>
    </row>
    <row r="48081">
      <c r="A48081" s="17"/>
      <c r="H48081" s="18"/>
      <c r="K48081" s="18" t="s">
        <v>316</v>
      </c>
    </row>
    <row r="48082">
      <c r="A48082" s="17"/>
      <c r="H48082" s="18"/>
      <c r="K48082" s="18" t="s">
        <v>316</v>
      </c>
    </row>
    <row r="48083">
      <c r="A48083" s="17"/>
      <c r="H48083" s="18"/>
      <c r="K48083" s="18" t="s">
        <v>316</v>
      </c>
    </row>
    <row r="48084">
      <c r="A48084" s="17"/>
      <c r="H48084" s="18"/>
      <c r="K48084" s="18" t="s">
        <v>316</v>
      </c>
    </row>
    <row r="48085">
      <c r="A48085" s="17"/>
      <c r="H48085" s="18"/>
      <c r="K48085" s="18" t="s">
        <v>316</v>
      </c>
    </row>
    <row r="48086">
      <c r="A48086" s="17"/>
      <c r="H48086" s="18"/>
      <c r="K48086" s="18" t="s">
        <v>316</v>
      </c>
    </row>
    <row r="48087">
      <c r="A48087" s="17"/>
      <c r="H48087" s="18"/>
      <c r="K48087" s="18" t="s">
        <v>316</v>
      </c>
    </row>
    <row r="48088">
      <c r="A48088" s="17"/>
      <c r="H48088" s="18"/>
      <c r="K48088" s="18" t="s">
        <v>316</v>
      </c>
    </row>
    <row r="48089">
      <c r="A48089" s="17"/>
      <c r="H48089" s="18"/>
      <c r="K48089" s="18" t="s">
        <v>316</v>
      </c>
    </row>
    <row r="48090">
      <c r="A48090" s="17"/>
      <c r="H48090" s="18"/>
      <c r="K48090" s="18" t="s">
        <v>316</v>
      </c>
    </row>
    <row r="48091">
      <c r="A48091" s="17"/>
      <c r="H48091" s="18"/>
      <c r="K48091" s="18" t="s">
        <v>316</v>
      </c>
    </row>
    <row r="48092">
      <c r="A48092" s="17"/>
      <c r="H48092" s="18"/>
      <c r="K48092" s="18" t="s">
        <v>316</v>
      </c>
    </row>
    <row r="48093">
      <c r="A48093" s="17"/>
      <c r="H48093" s="18"/>
      <c r="K48093" s="18" t="s">
        <v>316</v>
      </c>
    </row>
    <row r="48094">
      <c r="A48094" s="17"/>
      <c r="H48094" s="18"/>
      <c r="K48094" s="18" t="s">
        <v>316</v>
      </c>
    </row>
    <row r="48095">
      <c r="A48095" s="17"/>
      <c r="H48095" s="18"/>
      <c r="K48095" s="18" t="s">
        <v>316</v>
      </c>
    </row>
    <row r="48096">
      <c r="A48096" s="17"/>
      <c r="H48096" s="18"/>
      <c r="K48096" s="18" t="s">
        <v>316</v>
      </c>
    </row>
    <row r="48097">
      <c r="A48097" s="17"/>
      <c r="H48097" s="18"/>
      <c r="K48097" s="18" t="s">
        <v>316</v>
      </c>
    </row>
    <row r="48098">
      <c r="A48098" s="17"/>
      <c r="H48098" s="18"/>
      <c r="K48098" s="18" t="s">
        <v>316</v>
      </c>
    </row>
    <row r="48099">
      <c r="A48099" s="17"/>
      <c r="H48099" s="18"/>
      <c r="K48099" s="18" t="s">
        <v>316</v>
      </c>
    </row>
    <row r="48100">
      <c r="A48100" s="17"/>
      <c r="H48100" s="18"/>
      <c r="K48100" s="18" t="s">
        <v>316</v>
      </c>
    </row>
    <row r="48101">
      <c r="A48101" s="17"/>
      <c r="H48101" s="18"/>
      <c r="K48101" s="18" t="s">
        <v>316</v>
      </c>
    </row>
    <row r="48102">
      <c r="A48102" s="17"/>
      <c r="H48102" s="18"/>
      <c r="K48102" s="18" t="s">
        <v>316</v>
      </c>
    </row>
    <row r="48103">
      <c r="A48103" s="17"/>
      <c r="H48103" s="18"/>
      <c r="K48103" s="18" t="s">
        <v>316</v>
      </c>
    </row>
    <row r="48104">
      <c r="A48104" s="17"/>
      <c r="H48104" s="18"/>
      <c r="K48104" s="18" t="s">
        <v>316</v>
      </c>
    </row>
    <row r="48105">
      <c r="A48105" s="17"/>
      <c r="H48105" s="18"/>
      <c r="K48105" s="18" t="s">
        <v>316</v>
      </c>
    </row>
    <row r="48106">
      <c r="A48106" s="17"/>
      <c r="H48106" s="18"/>
      <c r="K48106" s="18" t="s">
        <v>316</v>
      </c>
    </row>
    <row r="48107">
      <c r="A48107" s="17"/>
      <c r="H48107" s="18"/>
      <c r="K48107" s="18" t="s">
        <v>316</v>
      </c>
    </row>
    <row r="48108">
      <c r="A48108" s="17"/>
      <c r="H48108" s="18"/>
      <c r="K48108" s="18" t="s">
        <v>316</v>
      </c>
    </row>
    <row r="48109">
      <c r="A48109" s="17"/>
      <c r="H48109" s="18"/>
      <c r="K48109" s="18" t="s">
        <v>316</v>
      </c>
    </row>
    <row r="48110">
      <c r="A48110" s="17"/>
      <c r="H48110" s="18"/>
      <c r="K48110" s="18" t="s">
        <v>316</v>
      </c>
    </row>
    <row r="48111">
      <c r="A48111" s="17"/>
      <c r="H48111" s="18"/>
      <c r="K48111" s="18" t="s">
        <v>316</v>
      </c>
    </row>
    <row r="48112">
      <c r="A48112" s="17"/>
      <c r="H48112" s="18"/>
      <c r="K48112" s="18" t="s">
        <v>316</v>
      </c>
    </row>
    <row r="48113">
      <c r="A48113" s="17"/>
      <c r="H48113" s="18"/>
      <c r="K48113" s="18" t="s">
        <v>316</v>
      </c>
    </row>
    <row r="48114">
      <c r="A48114" s="17"/>
      <c r="H48114" s="18"/>
      <c r="K48114" s="18" t="s">
        <v>316</v>
      </c>
    </row>
    <row r="48115">
      <c r="A48115" s="17"/>
      <c r="H48115" s="18"/>
      <c r="K48115" s="18" t="s">
        <v>316</v>
      </c>
    </row>
    <row r="48116">
      <c r="A48116" s="17"/>
      <c r="H48116" s="18"/>
      <c r="K48116" s="18" t="s">
        <v>316</v>
      </c>
    </row>
    <row r="48117">
      <c r="A48117" s="17"/>
      <c r="H48117" s="18"/>
      <c r="K48117" s="18" t="s">
        <v>316</v>
      </c>
    </row>
    <row r="48118">
      <c r="A48118" s="17"/>
      <c r="H48118" s="18"/>
      <c r="K48118" s="18" t="s">
        <v>316</v>
      </c>
    </row>
    <row r="48119">
      <c r="A48119" s="17"/>
      <c r="H48119" s="18"/>
      <c r="K48119" s="18" t="s">
        <v>316</v>
      </c>
    </row>
    <row r="48120">
      <c r="A48120" s="17"/>
      <c r="H48120" s="18"/>
      <c r="K48120" s="18" t="s">
        <v>316</v>
      </c>
    </row>
    <row r="48121">
      <c r="A48121" s="17"/>
      <c r="H48121" s="18"/>
      <c r="K48121" s="18" t="s">
        <v>316</v>
      </c>
    </row>
    <row r="48122">
      <c r="A48122" s="17"/>
      <c r="H48122" s="18"/>
      <c r="K48122" s="18" t="s">
        <v>316</v>
      </c>
    </row>
    <row r="48123">
      <c r="A48123" s="17"/>
      <c r="H48123" s="18"/>
      <c r="K48123" s="18" t="s">
        <v>316</v>
      </c>
    </row>
    <row r="48124">
      <c r="A48124" s="17"/>
      <c r="H48124" s="18"/>
      <c r="K48124" s="18" t="s">
        <v>316</v>
      </c>
    </row>
    <row r="48125">
      <c r="A48125" s="17"/>
      <c r="H48125" s="18"/>
      <c r="K48125" s="18" t="s">
        <v>316</v>
      </c>
    </row>
    <row r="48126">
      <c r="A48126" s="17"/>
      <c r="H48126" s="18"/>
      <c r="K48126" s="18" t="s">
        <v>316</v>
      </c>
    </row>
    <row r="48127">
      <c r="A48127" s="17"/>
      <c r="H48127" s="18"/>
      <c r="K48127" s="18" t="s">
        <v>316</v>
      </c>
    </row>
    <row r="48128">
      <c r="A48128" s="17"/>
      <c r="H48128" s="18"/>
      <c r="K48128" s="18" t="s">
        <v>316</v>
      </c>
    </row>
    <row r="48129">
      <c r="A48129" s="17"/>
      <c r="H48129" s="18"/>
      <c r="K48129" s="18" t="s">
        <v>316</v>
      </c>
    </row>
    <row r="48130">
      <c r="A48130" s="17"/>
      <c r="H48130" s="18"/>
      <c r="K48130" s="18" t="s">
        <v>316</v>
      </c>
    </row>
    <row r="48131">
      <c r="A48131" s="17"/>
      <c r="H48131" s="18"/>
      <c r="K48131" s="18" t="s">
        <v>316</v>
      </c>
    </row>
    <row r="48132">
      <c r="A48132" s="17"/>
      <c r="H48132" s="18"/>
      <c r="K48132" s="18" t="s">
        <v>316</v>
      </c>
    </row>
    <row r="48133">
      <c r="A48133" s="17"/>
      <c r="H48133" s="18"/>
      <c r="K48133" s="18" t="s">
        <v>316</v>
      </c>
    </row>
    <row r="48134">
      <c r="A48134" s="17"/>
      <c r="H48134" s="18"/>
      <c r="K48134" s="18" t="s">
        <v>316</v>
      </c>
    </row>
    <row r="48135">
      <c r="A48135" s="17"/>
      <c r="H48135" s="18"/>
      <c r="K48135" s="18" t="s">
        <v>316</v>
      </c>
    </row>
    <row r="48136">
      <c r="A48136" s="17"/>
      <c r="H48136" s="18"/>
      <c r="K48136" s="18" t="s">
        <v>316</v>
      </c>
    </row>
    <row r="48137">
      <c r="A48137" s="17"/>
      <c r="H48137" s="18"/>
      <c r="K48137" s="18" t="s">
        <v>316</v>
      </c>
    </row>
    <row r="48138">
      <c r="A48138" s="17"/>
      <c r="H48138" s="18"/>
      <c r="K48138" s="18" t="s">
        <v>316</v>
      </c>
    </row>
    <row r="48139">
      <c r="A48139" s="17"/>
      <c r="H48139" s="18"/>
      <c r="K48139" s="18" t="s">
        <v>316</v>
      </c>
    </row>
    <row r="48140">
      <c r="A48140" s="17"/>
      <c r="H48140" s="18"/>
      <c r="K48140" s="18" t="s">
        <v>316</v>
      </c>
    </row>
    <row r="48141">
      <c r="A48141" s="17"/>
      <c r="H48141" s="18"/>
      <c r="K48141" s="18" t="s">
        <v>316</v>
      </c>
    </row>
    <row r="48142">
      <c r="A48142" s="17"/>
      <c r="H48142" s="18"/>
      <c r="K48142" s="18" t="s">
        <v>316</v>
      </c>
    </row>
    <row r="48143">
      <c r="A48143" s="17"/>
      <c r="H48143" s="18"/>
      <c r="K48143" s="18" t="s">
        <v>316</v>
      </c>
    </row>
    <row r="48144">
      <c r="A48144" s="17"/>
      <c r="H48144" s="18"/>
      <c r="K48144" s="18" t="s">
        <v>316</v>
      </c>
    </row>
    <row r="48145">
      <c r="A48145" s="17"/>
      <c r="H48145" s="18"/>
      <c r="K48145" s="18" t="s">
        <v>316</v>
      </c>
    </row>
    <row r="48146">
      <c r="A48146" s="17"/>
      <c r="H48146" s="18"/>
      <c r="K48146" s="18" t="s">
        <v>316</v>
      </c>
    </row>
    <row r="48147">
      <c r="A48147" s="17"/>
      <c r="H48147" s="18"/>
      <c r="K48147" s="18" t="s">
        <v>316</v>
      </c>
    </row>
    <row r="48148">
      <c r="A48148" s="17"/>
      <c r="H48148" s="18"/>
      <c r="K48148" s="18" t="s">
        <v>316</v>
      </c>
    </row>
    <row r="48149">
      <c r="A48149" s="17"/>
      <c r="H48149" s="18"/>
      <c r="K48149" s="18" t="s">
        <v>316</v>
      </c>
    </row>
    <row r="48150">
      <c r="A48150" s="17"/>
      <c r="H48150" s="18"/>
      <c r="K48150" s="18" t="s">
        <v>316</v>
      </c>
    </row>
    <row r="48151">
      <c r="A48151" s="17"/>
      <c r="H48151" s="18"/>
      <c r="K48151" s="18" t="s">
        <v>316</v>
      </c>
    </row>
    <row r="48152">
      <c r="A48152" s="17"/>
      <c r="H48152" s="18"/>
      <c r="K48152" s="18" t="s">
        <v>316</v>
      </c>
    </row>
    <row r="48153">
      <c r="A48153" s="17"/>
      <c r="H48153" s="18"/>
      <c r="K48153" s="18" t="s">
        <v>316</v>
      </c>
    </row>
    <row r="48154">
      <c r="A48154" s="17"/>
      <c r="H48154" s="18"/>
      <c r="K48154" s="18" t="s">
        <v>316</v>
      </c>
    </row>
    <row r="48155">
      <c r="A48155" s="17"/>
      <c r="H48155" s="18"/>
      <c r="K48155" s="18" t="s">
        <v>316</v>
      </c>
    </row>
    <row r="48156">
      <c r="A48156" s="17"/>
      <c r="H48156" s="18"/>
      <c r="K48156" s="18" t="s">
        <v>316</v>
      </c>
    </row>
    <row r="48157">
      <c r="A48157" s="17"/>
      <c r="H48157" s="18"/>
      <c r="K48157" s="18" t="s">
        <v>316</v>
      </c>
    </row>
    <row r="48158">
      <c r="A48158" s="17"/>
      <c r="H48158" s="18"/>
      <c r="K48158" s="18" t="s">
        <v>316</v>
      </c>
    </row>
    <row r="48159">
      <c r="A48159" s="17"/>
      <c r="H48159" s="18"/>
      <c r="K48159" s="18" t="s">
        <v>316</v>
      </c>
    </row>
    <row r="48160">
      <c r="A48160" s="17"/>
      <c r="H48160" s="18"/>
      <c r="K48160" s="18" t="s">
        <v>316</v>
      </c>
    </row>
    <row r="48161">
      <c r="A48161" s="17"/>
      <c r="H48161" s="18"/>
      <c r="K48161" s="18" t="s">
        <v>316</v>
      </c>
    </row>
    <row r="48162">
      <c r="A48162" s="17"/>
      <c r="H48162" s="18"/>
      <c r="K48162" s="18" t="s">
        <v>316</v>
      </c>
    </row>
    <row r="48163">
      <c r="A48163" s="17"/>
      <c r="H48163" s="18"/>
      <c r="K48163" s="18" t="s">
        <v>316</v>
      </c>
    </row>
    <row r="48164">
      <c r="A48164" s="17"/>
      <c r="H48164" s="18"/>
      <c r="K48164" s="18" t="s">
        <v>316</v>
      </c>
    </row>
    <row r="48165">
      <c r="A48165" s="17"/>
      <c r="H48165" s="18"/>
      <c r="K48165" s="18" t="s">
        <v>316</v>
      </c>
    </row>
    <row r="48166">
      <c r="A48166" s="17"/>
      <c r="H48166" s="18"/>
      <c r="K48166" s="18" t="s">
        <v>316</v>
      </c>
    </row>
    <row r="48167">
      <c r="A48167" s="17"/>
      <c r="H48167" s="18"/>
      <c r="K48167" s="18" t="s">
        <v>316</v>
      </c>
    </row>
    <row r="48168">
      <c r="A48168" s="17"/>
      <c r="H48168" s="18"/>
      <c r="K48168" s="18" t="s">
        <v>316</v>
      </c>
    </row>
    <row r="48169">
      <c r="A48169" s="17"/>
      <c r="H48169" s="18"/>
      <c r="K48169" s="18" t="s">
        <v>316</v>
      </c>
    </row>
    <row r="48170">
      <c r="A48170" s="17"/>
      <c r="H48170" s="18"/>
      <c r="K48170" s="18" t="s">
        <v>316</v>
      </c>
    </row>
    <row r="48171">
      <c r="A48171" s="17"/>
      <c r="H48171" s="18"/>
      <c r="K48171" s="18" t="s">
        <v>316</v>
      </c>
    </row>
    <row r="48172">
      <c r="A48172" s="17"/>
      <c r="H48172" s="18"/>
      <c r="K48172" s="18" t="s">
        <v>316</v>
      </c>
    </row>
    <row r="48173">
      <c r="A48173" s="17"/>
      <c r="H48173" s="18"/>
      <c r="K48173" s="18" t="s">
        <v>316</v>
      </c>
    </row>
    <row r="48174">
      <c r="A48174" s="17"/>
      <c r="H48174" s="18"/>
      <c r="K48174" s="18" t="s">
        <v>316</v>
      </c>
    </row>
    <row r="48175">
      <c r="A48175" s="17"/>
      <c r="H48175" s="18"/>
      <c r="K48175" s="18" t="s">
        <v>316</v>
      </c>
    </row>
    <row r="48176">
      <c r="A48176" s="17"/>
      <c r="H48176" s="18"/>
      <c r="K48176" s="18" t="s">
        <v>316</v>
      </c>
    </row>
    <row r="48177">
      <c r="A48177" s="17"/>
      <c r="H48177" s="18"/>
      <c r="K48177" s="18" t="s">
        <v>316</v>
      </c>
    </row>
    <row r="48178">
      <c r="A48178" s="17"/>
      <c r="H48178" s="18"/>
      <c r="K48178" s="18" t="s">
        <v>316</v>
      </c>
    </row>
    <row r="48179">
      <c r="A48179" s="17"/>
      <c r="H48179" s="18"/>
      <c r="K48179" s="18" t="s">
        <v>316</v>
      </c>
    </row>
    <row r="48180">
      <c r="A48180" s="17"/>
      <c r="H48180" s="18"/>
      <c r="K48180" s="18" t="s">
        <v>316</v>
      </c>
    </row>
    <row r="48181">
      <c r="A48181" s="17"/>
      <c r="H48181" s="18"/>
      <c r="K48181" s="18" t="s">
        <v>316</v>
      </c>
    </row>
    <row r="48182">
      <c r="A48182" s="17"/>
      <c r="H48182" s="18"/>
      <c r="K48182" s="18" t="s">
        <v>316</v>
      </c>
    </row>
    <row r="48183">
      <c r="A48183" s="17"/>
      <c r="H48183" s="18"/>
      <c r="K48183" s="18" t="s">
        <v>316</v>
      </c>
    </row>
    <row r="48184">
      <c r="A48184" s="17"/>
      <c r="H48184" s="18"/>
      <c r="K48184" s="18" t="s">
        <v>316</v>
      </c>
    </row>
    <row r="48185">
      <c r="A48185" s="17"/>
      <c r="H48185" s="18"/>
      <c r="K48185" s="18" t="s">
        <v>316</v>
      </c>
    </row>
    <row r="48186">
      <c r="A48186" s="17"/>
      <c r="H48186" s="18"/>
      <c r="K48186" s="18" t="s">
        <v>316</v>
      </c>
    </row>
    <row r="48187">
      <c r="A48187" s="17"/>
      <c r="H48187" s="18"/>
      <c r="K48187" s="18" t="s">
        <v>316</v>
      </c>
    </row>
    <row r="48188">
      <c r="A48188" s="17"/>
      <c r="H48188" s="18"/>
      <c r="K48188" s="18" t="s">
        <v>316</v>
      </c>
    </row>
    <row r="48189">
      <c r="A48189" s="17"/>
      <c r="H48189" s="18"/>
      <c r="K48189" s="18" t="s">
        <v>316</v>
      </c>
    </row>
    <row r="48190">
      <c r="A48190" s="17"/>
      <c r="H48190" s="18"/>
      <c r="K48190" s="18" t="s">
        <v>316</v>
      </c>
    </row>
    <row r="48191">
      <c r="A48191" s="17"/>
      <c r="H48191" s="18"/>
      <c r="K48191" s="18" t="s">
        <v>316</v>
      </c>
    </row>
    <row r="48192">
      <c r="A48192" s="17"/>
      <c r="H48192" s="18"/>
      <c r="K48192" s="18" t="s">
        <v>316</v>
      </c>
    </row>
    <row r="48193">
      <c r="A48193" s="17"/>
      <c r="H48193" s="18"/>
      <c r="K48193" s="18" t="s">
        <v>316</v>
      </c>
    </row>
    <row r="48194">
      <c r="A48194" s="17"/>
      <c r="H48194" s="18"/>
      <c r="K48194" s="18" t="s">
        <v>316</v>
      </c>
    </row>
    <row r="48195">
      <c r="A48195" s="17"/>
      <c r="H48195" s="18"/>
      <c r="K48195" s="18" t="s">
        <v>316</v>
      </c>
    </row>
    <row r="48196">
      <c r="A48196" s="17"/>
      <c r="H48196" s="18"/>
      <c r="K48196" s="18" t="s">
        <v>316</v>
      </c>
    </row>
    <row r="48197">
      <c r="A48197" s="17"/>
      <c r="H48197" s="18"/>
      <c r="K48197" s="18" t="s">
        <v>316</v>
      </c>
    </row>
    <row r="48198">
      <c r="A48198" s="17"/>
      <c r="H48198" s="18"/>
      <c r="K48198" s="18" t="s">
        <v>316</v>
      </c>
    </row>
    <row r="48199">
      <c r="A48199" s="17"/>
      <c r="H48199" s="18"/>
      <c r="K48199" s="18" t="s">
        <v>316</v>
      </c>
    </row>
    <row r="48200">
      <c r="A48200" s="17"/>
      <c r="H48200" s="18"/>
      <c r="K48200" s="18" t="s">
        <v>316</v>
      </c>
    </row>
    <row r="48201">
      <c r="A48201" s="17"/>
      <c r="H48201" s="18"/>
      <c r="K48201" s="18" t="s">
        <v>316</v>
      </c>
    </row>
    <row r="48202">
      <c r="A48202" s="17"/>
      <c r="H48202" s="18"/>
      <c r="K48202" s="18" t="s">
        <v>316</v>
      </c>
    </row>
    <row r="48203">
      <c r="A48203" s="17"/>
      <c r="H48203" s="18"/>
      <c r="K48203" s="18" t="s">
        <v>316</v>
      </c>
    </row>
    <row r="48204">
      <c r="A48204" s="17"/>
      <c r="H48204" s="18"/>
      <c r="K48204" s="18" t="s">
        <v>316</v>
      </c>
    </row>
    <row r="48205">
      <c r="A48205" s="17"/>
      <c r="H48205" s="18"/>
      <c r="K48205" s="18" t="s">
        <v>316</v>
      </c>
    </row>
    <row r="48206">
      <c r="A48206" s="17"/>
      <c r="H48206" s="18"/>
      <c r="K48206" s="18" t="s">
        <v>316</v>
      </c>
    </row>
    <row r="48207">
      <c r="A48207" s="17"/>
      <c r="H48207" s="18"/>
      <c r="K48207" s="18" t="s">
        <v>316</v>
      </c>
    </row>
    <row r="48208">
      <c r="A48208" s="17"/>
      <c r="H48208" s="18"/>
      <c r="K48208" s="18" t="s">
        <v>316</v>
      </c>
    </row>
    <row r="48209">
      <c r="A48209" s="17"/>
      <c r="H48209" s="18"/>
      <c r="K48209" s="18" t="s">
        <v>316</v>
      </c>
    </row>
    <row r="48210">
      <c r="A48210" s="17"/>
      <c r="H48210" s="18"/>
      <c r="K48210" s="18" t="s">
        <v>316</v>
      </c>
    </row>
    <row r="48211">
      <c r="A48211" s="17"/>
      <c r="H48211" s="18"/>
      <c r="K48211" s="18" t="s">
        <v>316</v>
      </c>
    </row>
    <row r="48212">
      <c r="A48212" s="17"/>
      <c r="H48212" s="18"/>
      <c r="K48212" s="18" t="s">
        <v>316</v>
      </c>
    </row>
    <row r="48213">
      <c r="A48213" s="17"/>
      <c r="H48213" s="18"/>
      <c r="K48213" s="18" t="s">
        <v>316</v>
      </c>
    </row>
    <row r="48214">
      <c r="A48214" s="17"/>
      <c r="H48214" s="18"/>
      <c r="K48214" s="18" t="s">
        <v>316</v>
      </c>
    </row>
    <row r="48215">
      <c r="A48215" s="17"/>
      <c r="H48215" s="18"/>
      <c r="K48215" s="18" t="s">
        <v>316</v>
      </c>
    </row>
    <row r="48216">
      <c r="A48216" s="17"/>
      <c r="H48216" s="18"/>
      <c r="K48216" s="18" t="s">
        <v>316</v>
      </c>
    </row>
    <row r="48217">
      <c r="A48217" s="17"/>
      <c r="H48217" s="18"/>
      <c r="K48217" s="18" t="s">
        <v>316</v>
      </c>
    </row>
    <row r="48218">
      <c r="A48218" s="17"/>
      <c r="H48218" s="18"/>
      <c r="K48218" s="18" t="s">
        <v>316</v>
      </c>
    </row>
    <row r="48219">
      <c r="A48219" s="17"/>
      <c r="H48219" s="18"/>
      <c r="K48219" s="18" t="s">
        <v>316</v>
      </c>
    </row>
    <row r="48220">
      <c r="A48220" s="17"/>
      <c r="H48220" s="18"/>
      <c r="K48220" s="18" t="s">
        <v>316</v>
      </c>
    </row>
    <row r="48221">
      <c r="A48221" s="17"/>
      <c r="H48221" s="18"/>
      <c r="K48221" s="18" t="s">
        <v>316</v>
      </c>
    </row>
    <row r="48222">
      <c r="A48222" s="17"/>
      <c r="H48222" s="18"/>
      <c r="K48222" s="18" t="s">
        <v>316</v>
      </c>
    </row>
    <row r="48223">
      <c r="A48223" s="17"/>
      <c r="H48223" s="18"/>
      <c r="K48223" s="18" t="s">
        <v>316</v>
      </c>
    </row>
    <row r="48224">
      <c r="A48224" s="17"/>
      <c r="H48224" s="18"/>
      <c r="K48224" s="18" t="s">
        <v>316</v>
      </c>
    </row>
    <row r="48225">
      <c r="A48225" s="17"/>
      <c r="H48225" s="18"/>
      <c r="K48225" s="18" t="s">
        <v>316</v>
      </c>
    </row>
    <row r="48226">
      <c r="A48226" s="17"/>
      <c r="H48226" s="18"/>
      <c r="K48226" s="18" t="s">
        <v>316</v>
      </c>
    </row>
    <row r="48227">
      <c r="A48227" s="17"/>
      <c r="H48227" s="18"/>
      <c r="K48227" s="18" t="s">
        <v>316</v>
      </c>
    </row>
    <row r="48228">
      <c r="A48228" s="17"/>
      <c r="H48228" s="18"/>
      <c r="K48228" s="18" t="s">
        <v>316</v>
      </c>
    </row>
    <row r="48229">
      <c r="A48229" s="17"/>
      <c r="H48229" s="18"/>
      <c r="K48229" s="18" t="s">
        <v>316</v>
      </c>
    </row>
    <row r="48230">
      <c r="A48230" s="17"/>
      <c r="H48230" s="18"/>
      <c r="K48230" s="18" t="s">
        <v>316</v>
      </c>
    </row>
    <row r="48231">
      <c r="A48231" s="17"/>
      <c r="H48231" s="18"/>
      <c r="K48231" s="18" t="s">
        <v>316</v>
      </c>
    </row>
    <row r="48232">
      <c r="A48232" s="17"/>
      <c r="H48232" s="18"/>
      <c r="K48232" s="18" t="s">
        <v>316</v>
      </c>
    </row>
    <row r="48233">
      <c r="A48233" s="17"/>
      <c r="H48233" s="18"/>
      <c r="K48233" s="18" t="s">
        <v>316</v>
      </c>
    </row>
    <row r="48234">
      <c r="A48234" s="17"/>
      <c r="H48234" s="18"/>
      <c r="K48234" s="18" t="s">
        <v>316</v>
      </c>
    </row>
    <row r="48235">
      <c r="A48235" s="17"/>
      <c r="H48235" s="18"/>
      <c r="K48235" s="18" t="s">
        <v>316</v>
      </c>
    </row>
    <row r="48236">
      <c r="A48236" s="17"/>
      <c r="H48236" s="18"/>
      <c r="K48236" s="18" t="s">
        <v>316</v>
      </c>
    </row>
    <row r="48237">
      <c r="A48237" s="17"/>
      <c r="H48237" s="18"/>
      <c r="K48237" s="18" t="s">
        <v>316</v>
      </c>
    </row>
    <row r="48238">
      <c r="A48238" s="17"/>
      <c r="H48238" s="18"/>
      <c r="K48238" s="18" t="s">
        <v>316</v>
      </c>
    </row>
    <row r="48239">
      <c r="A48239" s="17"/>
      <c r="H48239" s="18"/>
      <c r="K48239" s="18" t="s">
        <v>316</v>
      </c>
    </row>
    <row r="48240">
      <c r="A48240" s="17"/>
      <c r="H48240" s="18"/>
      <c r="K48240" s="18" t="s">
        <v>316</v>
      </c>
    </row>
    <row r="48241">
      <c r="A48241" s="17"/>
      <c r="H48241" s="18"/>
      <c r="K48241" s="18" t="s">
        <v>316</v>
      </c>
    </row>
    <row r="48242">
      <c r="A48242" s="17"/>
      <c r="H48242" s="18"/>
      <c r="K48242" s="18" t="s">
        <v>316</v>
      </c>
    </row>
    <row r="48243">
      <c r="A48243" s="17"/>
      <c r="H48243" s="18"/>
      <c r="K48243" s="18" t="s">
        <v>316</v>
      </c>
    </row>
    <row r="48244">
      <c r="A48244" s="17"/>
      <c r="H48244" s="18"/>
      <c r="K48244" s="18" t="s">
        <v>316</v>
      </c>
    </row>
    <row r="48245">
      <c r="A48245" s="17"/>
      <c r="H48245" s="18"/>
      <c r="K48245" s="18" t="s">
        <v>316</v>
      </c>
    </row>
    <row r="48246">
      <c r="A48246" s="17"/>
      <c r="H48246" s="18"/>
      <c r="K48246" s="18" t="s">
        <v>316</v>
      </c>
    </row>
    <row r="48247">
      <c r="A48247" s="17"/>
      <c r="H48247" s="18"/>
      <c r="K48247" s="18" t="s">
        <v>316</v>
      </c>
    </row>
    <row r="48248">
      <c r="A48248" s="17"/>
      <c r="H48248" s="18"/>
      <c r="K48248" s="18" t="s">
        <v>316</v>
      </c>
    </row>
    <row r="48249">
      <c r="A48249" s="17"/>
      <c r="H48249" s="18"/>
      <c r="K48249" s="18" t="s">
        <v>316</v>
      </c>
    </row>
    <row r="48250">
      <c r="A48250" s="17"/>
      <c r="H48250" s="18"/>
      <c r="K48250" s="18" t="s">
        <v>316</v>
      </c>
    </row>
    <row r="48251">
      <c r="A48251" s="17"/>
      <c r="H48251" s="18"/>
      <c r="K48251" s="18" t="s">
        <v>316</v>
      </c>
    </row>
    <row r="48252">
      <c r="A48252" s="17"/>
      <c r="H48252" s="18"/>
      <c r="K48252" s="18" t="s">
        <v>316</v>
      </c>
    </row>
    <row r="48253">
      <c r="A48253" s="17"/>
      <c r="H48253" s="18"/>
      <c r="K48253" s="18" t="s">
        <v>316</v>
      </c>
    </row>
    <row r="48254">
      <c r="A48254" s="17"/>
      <c r="H48254" s="18"/>
      <c r="K48254" s="18" t="s">
        <v>316</v>
      </c>
    </row>
    <row r="48255">
      <c r="A48255" s="17"/>
      <c r="H48255" s="18"/>
      <c r="K48255" s="18" t="s">
        <v>316</v>
      </c>
    </row>
    <row r="48256">
      <c r="A48256" s="17"/>
      <c r="H48256" s="18"/>
      <c r="K48256" s="18" t="s">
        <v>316</v>
      </c>
    </row>
    <row r="48257">
      <c r="A48257" s="17"/>
      <c r="H48257" s="18"/>
      <c r="K48257" s="18" t="s">
        <v>316</v>
      </c>
    </row>
    <row r="48258">
      <c r="A48258" s="17"/>
      <c r="H48258" s="18"/>
      <c r="K48258" s="18" t="s">
        <v>316</v>
      </c>
    </row>
    <row r="48259">
      <c r="A48259" s="17"/>
      <c r="H48259" s="18"/>
      <c r="K48259" s="18" t="s">
        <v>316</v>
      </c>
    </row>
    <row r="48260">
      <c r="A48260" s="17"/>
      <c r="H48260" s="18"/>
      <c r="K48260" s="18" t="s">
        <v>316</v>
      </c>
    </row>
    <row r="48261">
      <c r="A48261" s="17"/>
      <c r="H48261" s="18"/>
      <c r="K48261" s="18" t="s">
        <v>316</v>
      </c>
    </row>
    <row r="48262">
      <c r="A48262" s="17"/>
      <c r="H48262" s="18"/>
      <c r="K48262" s="18" t="s">
        <v>316</v>
      </c>
    </row>
    <row r="48263">
      <c r="A48263" s="17"/>
      <c r="H48263" s="18"/>
      <c r="K48263" s="18" t="s">
        <v>316</v>
      </c>
    </row>
    <row r="48264">
      <c r="A48264" s="17"/>
      <c r="H48264" s="18"/>
      <c r="K48264" s="18" t="s">
        <v>316</v>
      </c>
    </row>
    <row r="48265">
      <c r="A48265" s="17"/>
      <c r="H48265" s="18"/>
      <c r="K48265" s="18" t="s">
        <v>316</v>
      </c>
    </row>
    <row r="48266">
      <c r="A48266" s="17"/>
      <c r="H48266" s="18"/>
      <c r="K48266" s="18" t="s">
        <v>316</v>
      </c>
    </row>
    <row r="48267">
      <c r="A48267" s="17"/>
      <c r="H48267" s="18"/>
      <c r="K48267" s="18" t="s">
        <v>316</v>
      </c>
    </row>
    <row r="48268">
      <c r="A48268" s="17"/>
      <c r="H48268" s="18"/>
      <c r="K48268" s="18" t="s">
        <v>316</v>
      </c>
    </row>
    <row r="48269">
      <c r="A48269" s="17"/>
      <c r="H48269" s="18"/>
      <c r="K48269" s="18" t="s">
        <v>316</v>
      </c>
    </row>
    <row r="48270">
      <c r="A48270" s="17"/>
      <c r="H48270" s="18"/>
      <c r="K48270" s="18" t="s">
        <v>316</v>
      </c>
    </row>
    <row r="48271">
      <c r="A48271" s="17"/>
      <c r="H48271" s="18"/>
      <c r="K48271" s="18" t="s">
        <v>316</v>
      </c>
    </row>
    <row r="48272">
      <c r="A48272" s="17"/>
      <c r="H48272" s="18"/>
      <c r="K48272" s="18" t="s">
        <v>316</v>
      </c>
    </row>
    <row r="48273">
      <c r="A48273" s="17"/>
      <c r="H48273" s="18"/>
      <c r="K48273" s="18" t="s">
        <v>316</v>
      </c>
    </row>
    <row r="48274">
      <c r="A48274" s="17"/>
      <c r="H48274" s="18"/>
      <c r="K48274" s="18" t="s">
        <v>316</v>
      </c>
    </row>
    <row r="48275">
      <c r="A48275" s="17"/>
      <c r="H48275" s="18"/>
      <c r="K48275" s="18" t="s">
        <v>316</v>
      </c>
    </row>
    <row r="48276">
      <c r="A48276" s="17"/>
      <c r="H48276" s="18"/>
      <c r="K48276" s="18" t="s">
        <v>316</v>
      </c>
    </row>
    <row r="48277">
      <c r="A48277" s="17"/>
      <c r="H48277" s="18"/>
      <c r="K48277" s="18" t="s">
        <v>316</v>
      </c>
    </row>
    <row r="48278">
      <c r="A48278" s="17"/>
      <c r="H48278" s="18"/>
      <c r="K48278" s="18" t="s">
        <v>316</v>
      </c>
    </row>
    <row r="48279">
      <c r="A48279" s="17"/>
      <c r="H48279" s="18"/>
      <c r="K48279" s="18" t="s">
        <v>316</v>
      </c>
    </row>
    <row r="48280">
      <c r="A48280" s="17"/>
      <c r="H48280" s="18"/>
      <c r="K48280" s="18" t="s">
        <v>316</v>
      </c>
    </row>
    <row r="48281">
      <c r="A48281" s="17"/>
      <c r="H48281" s="18"/>
      <c r="K48281" s="18" t="s">
        <v>316</v>
      </c>
    </row>
    <row r="48282">
      <c r="A48282" s="17"/>
      <c r="H48282" s="18"/>
      <c r="K48282" s="18" t="s">
        <v>316</v>
      </c>
    </row>
    <row r="48283">
      <c r="A48283" s="17"/>
      <c r="H48283" s="18"/>
      <c r="K48283" s="18" t="s">
        <v>316</v>
      </c>
    </row>
    <row r="48284">
      <c r="A48284" s="17"/>
      <c r="H48284" s="18"/>
      <c r="K48284" s="18" t="s">
        <v>316</v>
      </c>
    </row>
    <row r="48285">
      <c r="A48285" s="17"/>
      <c r="H48285" s="18"/>
      <c r="K48285" s="18" t="s">
        <v>316</v>
      </c>
    </row>
    <row r="48286">
      <c r="A48286" s="17"/>
      <c r="H48286" s="18"/>
      <c r="K48286" s="18" t="s">
        <v>316</v>
      </c>
    </row>
    <row r="48287">
      <c r="A48287" s="17"/>
      <c r="H48287" s="18"/>
      <c r="K48287" s="18" t="s">
        <v>316</v>
      </c>
    </row>
    <row r="48288">
      <c r="A48288" s="17"/>
      <c r="H48288" s="18"/>
      <c r="K48288" s="18" t="s">
        <v>316</v>
      </c>
    </row>
    <row r="48289">
      <c r="A48289" s="17"/>
      <c r="H48289" s="18"/>
      <c r="K48289" s="18" t="s">
        <v>316</v>
      </c>
    </row>
    <row r="48290">
      <c r="A48290" s="17"/>
      <c r="H48290" s="18"/>
      <c r="K48290" s="18" t="s">
        <v>316</v>
      </c>
    </row>
    <row r="48291">
      <c r="A48291" s="17"/>
      <c r="H48291" s="18"/>
      <c r="K48291" s="18" t="s">
        <v>316</v>
      </c>
    </row>
    <row r="48292">
      <c r="A48292" s="17"/>
      <c r="H48292" s="18"/>
      <c r="K48292" s="18" t="s">
        <v>316</v>
      </c>
    </row>
    <row r="48293">
      <c r="A48293" s="17"/>
      <c r="H48293" s="18"/>
      <c r="K48293" s="18" t="s">
        <v>316</v>
      </c>
    </row>
    <row r="48294">
      <c r="A48294" s="17"/>
      <c r="H48294" s="18"/>
      <c r="K48294" s="18" t="s">
        <v>316</v>
      </c>
    </row>
    <row r="48295">
      <c r="A48295" s="17"/>
      <c r="H48295" s="18"/>
      <c r="K48295" s="18" t="s">
        <v>316</v>
      </c>
    </row>
    <row r="48296">
      <c r="A48296" s="17"/>
      <c r="H48296" s="18"/>
      <c r="K48296" s="18" t="s">
        <v>316</v>
      </c>
    </row>
    <row r="48297">
      <c r="A48297" s="17"/>
      <c r="H48297" s="18"/>
      <c r="K48297" s="18" t="s">
        <v>316</v>
      </c>
    </row>
    <row r="48298">
      <c r="A48298" s="17"/>
      <c r="H48298" s="18"/>
      <c r="K48298" s="18" t="s">
        <v>316</v>
      </c>
    </row>
    <row r="48299">
      <c r="A48299" s="17"/>
      <c r="H48299" s="18"/>
      <c r="K48299" s="18" t="s">
        <v>316</v>
      </c>
    </row>
    <row r="48300">
      <c r="A48300" s="17"/>
      <c r="H48300" s="18"/>
      <c r="K48300" s="18" t="s">
        <v>316</v>
      </c>
    </row>
    <row r="48301">
      <c r="A48301" s="17"/>
      <c r="H48301" s="18"/>
      <c r="K48301" s="18" t="s">
        <v>316</v>
      </c>
    </row>
    <row r="48302">
      <c r="A48302" s="17"/>
      <c r="H48302" s="18"/>
      <c r="K48302" s="18" t="s">
        <v>316</v>
      </c>
    </row>
    <row r="48303">
      <c r="A48303" s="17"/>
      <c r="H48303" s="18"/>
      <c r="K48303" s="18" t="s">
        <v>316</v>
      </c>
    </row>
    <row r="48304">
      <c r="A48304" s="17"/>
      <c r="H48304" s="18"/>
      <c r="K48304" s="18" t="s">
        <v>316</v>
      </c>
    </row>
    <row r="48305">
      <c r="A48305" s="17"/>
      <c r="H48305" s="18"/>
      <c r="K48305" s="18" t="s">
        <v>316</v>
      </c>
    </row>
    <row r="48306">
      <c r="A48306" s="17"/>
      <c r="H48306" s="18"/>
      <c r="K48306" s="18" t="s">
        <v>316</v>
      </c>
    </row>
    <row r="48307">
      <c r="A48307" s="17"/>
      <c r="H48307" s="18"/>
      <c r="K48307" s="18" t="s">
        <v>316</v>
      </c>
    </row>
    <row r="48308">
      <c r="A48308" s="17"/>
      <c r="H48308" s="18"/>
      <c r="K48308" s="18" t="s">
        <v>316</v>
      </c>
    </row>
    <row r="48309">
      <c r="A48309" s="17"/>
      <c r="H48309" s="18"/>
      <c r="K48309" s="18" t="s">
        <v>316</v>
      </c>
    </row>
    <row r="48310">
      <c r="A48310" s="17"/>
      <c r="H48310" s="18"/>
      <c r="K48310" s="18" t="s">
        <v>316</v>
      </c>
    </row>
    <row r="48311">
      <c r="A48311" s="17"/>
      <c r="H48311" s="18"/>
      <c r="K48311" s="18" t="s">
        <v>316</v>
      </c>
    </row>
    <row r="48312">
      <c r="A48312" s="17"/>
      <c r="H48312" s="18"/>
      <c r="K48312" s="18" t="s">
        <v>316</v>
      </c>
    </row>
    <row r="48313">
      <c r="A48313" s="17"/>
      <c r="H48313" s="18"/>
      <c r="K48313" s="18" t="s">
        <v>316</v>
      </c>
    </row>
    <row r="48314">
      <c r="A48314" s="17"/>
      <c r="H48314" s="18"/>
      <c r="K48314" s="18" t="s">
        <v>316</v>
      </c>
    </row>
    <row r="48315">
      <c r="A48315" s="17"/>
      <c r="H48315" s="18"/>
      <c r="K48315" s="18" t="s">
        <v>316</v>
      </c>
    </row>
    <row r="48316">
      <c r="A48316" s="17"/>
      <c r="H48316" s="18"/>
      <c r="K48316" s="18" t="s">
        <v>316</v>
      </c>
    </row>
    <row r="48317">
      <c r="A48317" s="17"/>
      <c r="H48317" s="18"/>
      <c r="K48317" s="18" t="s">
        <v>316</v>
      </c>
    </row>
    <row r="48318">
      <c r="A48318" s="17"/>
      <c r="H48318" s="18"/>
      <c r="K48318" s="18" t="s">
        <v>316</v>
      </c>
    </row>
    <row r="48319">
      <c r="A48319" s="17"/>
      <c r="H48319" s="18"/>
      <c r="K48319" s="18" t="s">
        <v>316</v>
      </c>
    </row>
    <row r="48320">
      <c r="A48320" s="17"/>
      <c r="H48320" s="18"/>
      <c r="K48320" s="18" t="s">
        <v>316</v>
      </c>
    </row>
    <row r="48321">
      <c r="A48321" s="17"/>
      <c r="H48321" s="18"/>
      <c r="K48321" s="18" t="s">
        <v>316</v>
      </c>
    </row>
    <row r="48322">
      <c r="A48322" s="17"/>
      <c r="H48322" s="18"/>
      <c r="K48322" s="18" t="s">
        <v>316</v>
      </c>
    </row>
    <row r="48323">
      <c r="A48323" s="17"/>
      <c r="H48323" s="18"/>
      <c r="K48323" s="18" t="s">
        <v>316</v>
      </c>
    </row>
    <row r="48324">
      <c r="A48324" s="17"/>
      <c r="H48324" s="18"/>
      <c r="K48324" s="18" t="s">
        <v>316</v>
      </c>
    </row>
    <row r="48325">
      <c r="A48325" s="17"/>
      <c r="H48325" s="18"/>
      <c r="K48325" s="18" t="s">
        <v>316</v>
      </c>
    </row>
    <row r="48326">
      <c r="A48326" s="17"/>
      <c r="H48326" s="18"/>
      <c r="K48326" s="18" t="s">
        <v>316</v>
      </c>
    </row>
    <row r="48327">
      <c r="A48327" s="17"/>
      <c r="H48327" s="18"/>
      <c r="K48327" s="18" t="s">
        <v>316</v>
      </c>
    </row>
    <row r="48328">
      <c r="A48328" s="17"/>
      <c r="H48328" s="18"/>
      <c r="K48328" s="18" t="s">
        <v>316</v>
      </c>
    </row>
    <row r="48329">
      <c r="A48329" s="17"/>
      <c r="H48329" s="18"/>
      <c r="K48329" s="18" t="s">
        <v>316</v>
      </c>
    </row>
    <row r="48330">
      <c r="A48330" s="17"/>
      <c r="H48330" s="18"/>
      <c r="K48330" s="18" t="s">
        <v>316</v>
      </c>
    </row>
    <row r="48331">
      <c r="A48331" s="17"/>
      <c r="H48331" s="18"/>
      <c r="K48331" s="18" t="s">
        <v>316</v>
      </c>
    </row>
    <row r="48332">
      <c r="A48332" s="17"/>
      <c r="H48332" s="18"/>
      <c r="K48332" s="18" t="s">
        <v>316</v>
      </c>
    </row>
    <row r="48333">
      <c r="A48333" s="17"/>
      <c r="H48333" s="18"/>
      <c r="K48333" s="18" t="s">
        <v>316</v>
      </c>
    </row>
    <row r="48334">
      <c r="A48334" s="17"/>
      <c r="H48334" s="18"/>
      <c r="K48334" s="18" t="s">
        <v>316</v>
      </c>
    </row>
    <row r="48335">
      <c r="A48335" s="17"/>
      <c r="H48335" s="18"/>
      <c r="K48335" s="18" t="s">
        <v>316</v>
      </c>
    </row>
    <row r="48336">
      <c r="A48336" s="17"/>
      <c r="H48336" s="18"/>
      <c r="K48336" s="18" t="s">
        <v>316</v>
      </c>
    </row>
    <row r="48337">
      <c r="A48337" s="17"/>
      <c r="H48337" s="18"/>
      <c r="K48337" s="18" t="s">
        <v>316</v>
      </c>
    </row>
    <row r="48338">
      <c r="A48338" s="17"/>
      <c r="H48338" s="18"/>
      <c r="K48338" s="18" t="s">
        <v>316</v>
      </c>
    </row>
    <row r="48339">
      <c r="A48339" s="17"/>
      <c r="H48339" s="18"/>
      <c r="K48339" s="18" t="s">
        <v>316</v>
      </c>
    </row>
    <row r="48340">
      <c r="A48340" s="17"/>
      <c r="H48340" s="18"/>
      <c r="K48340" s="18" t="s">
        <v>316</v>
      </c>
    </row>
    <row r="48341">
      <c r="A48341" s="17"/>
      <c r="H48341" s="18"/>
      <c r="K48341" s="18" t="s">
        <v>316</v>
      </c>
    </row>
    <row r="48342">
      <c r="A48342" s="17"/>
      <c r="H48342" s="18"/>
      <c r="K48342" s="18" t="s">
        <v>316</v>
      </c>
    </row>
    <row r="48343">
      <c r="A48343" s="17"/>
      <c r="H48343" s="18"/>
      <c r="K48343" s="18" t="s">
        <v>316</v>
      </c>
    </row>
    <row r="48344">
      <c r="A48344" s="17"/>
      <c r="H48344" s="18"/>
      <c r="K48344" s="18" t="s">
        <v>316</v>
      </c>
    </row>
    <row r="48345">
      <c r="A48345" s="17"/>
      <c r="H48345" s="18"/>
      <c r="K48345" s="18" t="s">
        <v>316</v>
      </c>
    </row>
    <row r="48346">
      <c r="A48346" s="17"/>
      <c r="H48346" s="18"/>
      <c r="K48346" s="18" t="s">
        <v>316</v>
      </c>
    </row>
    <row r="48347">
      <c r="A48347" s="17"/>
      <c r="H48347" s="18"/>
      <c r="K48347" s="18" t="s">
        <v>316</v>
      </c>
    </row>
    <row r="48348">
      <c r="A48348" s="17"/>
      <c r="H48348" s="18"/>
      <c r="K48348" s="18" t="s">
        <v>316</v>
      </c>
    </row>
    <row r="48349">
      <c r="A48349" s="17"/>
      <c r="H48349" s="18"/>
      <c r="K48349" s="18" t="s">
        <v>316</v>
      </c>
    </row>
    <row r="48350">
      <c r="A48350" s="17"/>
      <c r="H48350" s="18"/>
      <c r="K48350" s="18" t="s">
        <v>316</v>
      </c>
    </row>
    <row r="48351">
      <c r="A48351" s="17"/>
      <c r="H48351" s="18"/>
      <c r="K48351" s="18" t="s">
        <v>316</v>
      </c>
    </row>
    <row r="48352">
      <c r="A48352" s="17"/>
      <c r="H48352" s="18"/>
      <c r="K48352" s="18" t="s">
        <v>316</v>
      </c>
    </row>
    <row r="48353">
      <c r="A48353" s="17"/>
      <c r="H48353" s="18"/>
      <c r="K48353" s="18" t="s">
        <v>316</v>
      </c>
    </row>
    <row r="48354">
      <c r="A48354" s="17"/>
      <c r="H48354" s="18"/>
      <c r="K48354" s="18" t="s">
        <v>316</v>
      </c>
    </row>
    <row r="48355">
      <c r="A48355" s="17"/>
      <c r="H48355" s="18"/>
      <c r="K48355" s="18" t="s">
        <v>316</v>
      </c>
    </row>
    <row r="48356">
      <c r="A48356" s="17"/>
      <c r="H48356" s="18"/>
      <c r="K48356" s="18" t="s">
        <v>316</v>
      </c>
    </row>
    <row r="48357">
      <c r="A48357" s="17"/>
      <c r="H48357" s="18"/>
      <c r="K48357" s="18" t="s">
        <v>316</v>
      </c>
    </row>
    <row r="48358">
      <c r="A48358" s="17"/>
      <c r="H48358" s="18"/>
      <c r="K48358" s="18" t="s">
        <v>316</v>
      </c>
    </row>
    <row r="48359">
      <c r="A48359" s="17"/>
      <c r="H48359" s="18"/>
      <c r="K48359" s="18" t="s">
        <v>316</v>
      </c>
    </row>
    <row r="48360">
      <c r="A48360" s="17"/>
      <c r="H48360" s="18"/>
      <c r="K48360" s="18" t="s">
        <v>316</v>
      </c>
    </row>
    <row r="48361">
      <c r="A48361" s="17"/>
      <c r="H48361" s="18"/>
      <c r="K48361" s="18" t="s">
        <v>316</v>
      </c>
    </row>
    <row r="48362">
      <c r="A48362" s="17"/>
      <c r="H48362" s="18"/>
      <c r="K48362" s="18" t="s">
        <v>316</v>
      </c>
    </row>
    <row r="48363">
      <c r="A48363" s="17"/>
      <c r="H48363" s="18"/>
      <c r="K48363" s="18" t="s">
        <v>316</v>
      </c>
    </row>
    <row r="48364">
      <c r="A48364" s="17"/>
      <c r="H48364" s="18"/>
      <c r="K48364" s="18" t="s">
        <v>316</v>
      </c>
    </row>
    <row r="48365">
      <c r="A48365" s="17"/>
      <c r="H48365" s="18"/>
      <c r="K48365" s="18" t="s">
        <v>316</v>
      </c>
    </row>
    <row r="48366">
      <c r="A48366" s="17"/>
      <c r="H48366" s="18"/>
      <c r="K48366" s="18" t="s">
        <v>316</v>
      </c>
    </row>
    <row r="48367">
      <c r="A48367" s="17"/>
      <c r="H48367" s="18"/>
      <c r="K48367" s="18" t="s">
        <v>316</v>
      </c>
    </row>
    <row r="48368">
      <c r="A48368" s="17"/>
      <c r="H48368" s="18"/>
      <c r="K48368" s="18" t="s">
        <v>316</v>
      </c>
    </row>
    <row r="48369">
      <c r="A48369" s="17"/>
      <c r="H48369" s="18"/>
      <c r="K48369" s="18" t="s">
        <v>316</v>
      </c>
    </row>
    <row r="48370">
      <c r="A48370" s="17"/>
      <c r="H48370" s="18"/>
      <c r="K48370" s="18" t="s">
        <v>316</v>
      </c>
    </row>
    <row r="48371">
      <c r="A48371" s="17"/>
      <c r="H48371" s="18"/>
      <c r="K48371" s="18" t="s">
        <v>316</v>
      </c>
    </row>
    <row r="48372">
      <c r="A48372" s="17"/>
      <c r="H48372" s="18"/>
      <c r="K48372" s="18" t="s">
        <v>316</v>
      </c>
    </row>
    <row r="48373">
      <c r="A48373" s="17"/>
      <c r="H48373" s="18"/>
      <c r="K48373" s="18" t="s">
        <v>316</v>
      </c>
    </row>
    <row r="48374">
      <c r="A48374" s="17"/>
      <c r="H48374" s="18"/>
      <c r="K48374" s="18" t="s">
        <v>316</v>
      </c>
    </row>
    <row r="48375">
      <c r="A48375" s="17"/>
      <c r="H48375" s="18"/>
      <c r="K48375" s="18" t="s">
        <v>316</v>
      </c>
    </row>
    <row r="48376">
      <c r="A48376" s="17"/>
      <c r="H48376" s="18"/>
      <c r="K48376" s="18" t="s">
        <v>316</v>
      </c>
    </row>
    <row r="48377">
      <c r="A48377" s="17"/>
      <c r="H48377" s="18"/>
      <c r="K48377" s="18" t="s">
        <v>316</v>
      </c>
    </row>
    <row r="48378">
      <c r="A48378" s="17"/>
      <c r="H48378" s="18"/>
      <c r="K48378" s="18" t="s">
        <v>316</v>
      </c>
    </row>
    <row r="48379">
      <c r="A48379" s="17"/>
      <c r="H48379" s="18"/>
      <c r="K48379" s="18" t="s">
        <v>316</v>
      </c>
    </row>
    <row r="48380">
      <c r="A48380" s="17"/>
      <c r="H48380" s="18"/>
      <c r="K48380" s="18" t="s">
        <v>316</v>
      </c>
    </row>
    <row r="48381">
      <c r="A48381" s="17"/>
      <c r="H48381" s="18"/>
      <c r="K48381" s="18" t="s">
        <v>316</v>
      </c>
    </row>
    <row r="48382">
      <c r="A48382" s="17"/>
      <c r="H48382" s="18"/>
      <c r="K48382" s="18" t="s">
        <v>316</v>
      </c>
    </row>
    <row r="48383">
      <c r="A48383" s="17"/>
      <c r="H48383" s="18"/>
      <c r="K48383" s="18" t="s">
        <v>316</v>
      </c>
    </row>
    <row r="48384">
      <c r="A48384" s="17"/>
      <c r="H48384" s="18"/>
      <c r="K48384" s="18" t="s">
        <v>316</v>
      </c>
    </row>
    <row r="48385">
      <c r="A48385" s="17"/>
      <c r="H48385" s="18"/>
      <c r="K48385" s="18" t="s">
        <v>316</v>
      </c>
    </row>
    <row r="48386">
      <c r="A48386" s="17"/>
      <c r="H48386" s="18"/>
      <c r="K48386" s="18" t="s">
        <v>316</v>
      </c>
    </row>
    <row r="48387">
      <c r="A48387" s="17"/>
      <c r="H48387" s="18"/>
      <c r="K48387" s="18" t="s">
        <v>316</v>
      </c>
    </row>
    <row r="48388">
      <c r="A48388" s="17"/>
      <c r="H48388" s="18"/>
      <c r="K48388" s="18" t="s">
        <v>316</v>
      </c>
    </row>
    <row r="48389">
      <c r="A48389" s="17"/>
      <c r="H48389" s="18"/>
      <c r="K48389" s="18" t="s">
        <v>316</v>
      </c>
    </row>
    <row r="48390">
      <c r="A48390" s="17"/>
      <c r="H48390" s="18"/>
      <c r="K48390" s="18" t="s">
        <v>316</v>
      </c>
    </row>
    <row r="48391">
      <c r="A48391" s="17"/>
      <c r="H48391" s="18"/>
      <c r="K48391" s="18" t="s">
        <v>316</v>
      </c>
    </row>
    <row r="48392">
      <c r="A48392" s="17"/>
      <c r="H48392" s="18"/>
      <c r="K48392" s="18" t="s">
        <v>316</v>
      </c>
    </row>
    <row r="48393">
      <c r="A48393" s="17"/>
      <c r="H48393" s="18"/>
      <c r="K48393" s="18" t="s">
        <v>316</v>
      </c>
    </row>
    <row r="48394">
      <c r="A48394" s="17"/>
      <c r="H48394" s="18"/>
      <c r="K48394" s="18" t="s">
        <v>316</v>
      </c>
    </row>
    <row r="48395">
      <c r="A48395" s="17"/>
      <c r="H48395" s="18"/>
      <c r="K48395" s="18" t="s">
        <v>316</v>
      </c>
    </row>
    <row r="48396">
      <c r="A48396" s="17"/>
      <c r="H48396" s="18"/>
      <c r="K48396" s="18" t="s">
        <v>316</v>
      </c>
    </row>
    <row r="48397">
      <c r="A48397" s="17"/>
      <c r="H48397" s="18"/>
      <c r="K48397" s="18" t="s">
        <v>316</v>
      </c>
    </row>
    <row r="48398">
      <c r="A48398" s="17"/>
      <c r="H48398" s="18"/>
      <c r="K48398" s="18" t="s">
        <v>316</v>
      </c>
    </row>
    <row r="48399">
      <c r="A48399" s="17"/>
      <c r="H48399" s="18"/>
      <c r="K48399" s="18" t="s">
        <v>316</v>
      </c>
    </row>
    <row r="48400">
      <c r="A48400" s="17"/>
      <c r="H48400" s="18"/>
      <c r="K48400" s="18" t="s">
        <v>316</v>
      </c>
    </row>
    <row r="48401">
      <c r="A48401" s="17"/>
      <c r="H48401" s="18"/>
      <c r="K48401" s="18" t="s">
        <v>316</v>
      </c>
    </row>
    <row r="48402">
      <c r="A48402" s="17"/>
      <c r="H48402" s="18"/>
      <c r="K48402" s="18" t="s">
        <v>316</v>
      </c>
    </row>
    <row r="48403">
      <c r="A48403" s="17"/>
      <c r="H48403" s="18"/>
      <c r="K48403" s="18" t="s">
        <v>316</v>
      </c>
    </row>
    <row r="48404">
      <c r="A48404" s="17"/>
      <c r="H48404" s="18"/>
      <c r="K48404" s="18" t="s">
        <v>316</v>
      </c>
    </row>
    <row r="48405">
      <c r="A48405" s="17"/>
      <c r="H48405" s="18"/>
      <c r="K48405" s="18" t="s">
        <v>316</v>
      </c>
    </row>
    <row r="48406">
      <c r="A48406" s="17"/>
      <c r="H48406" s="18"/>
      <c r="K48406" s="18" t="s">
        <v>316</v>
      </c>
    </row>
    <row r="48407">
      <c r="A48407" s="17"/>
      <c r="H48407" s="18"/>
      <c r="K48407" s="18" t="s">
        <v>316</v>
      </c>
    </row>
    <row r="48408">
      <c r="A48408" s="17"/>
      <c r="H48408" s="18"/>
      <c r="K48408" s="18" t="s">
        <v>316</v>
      </c>
    </row>
    <row r="48409">
      <c r="A48409" s="17"/>
      <c r="H48409" s="18"/>
      <c r="K48409" s="18" t="s">
        <v>316</v>
      </c>
    </row>
    <row r="48410">
      <c r="A48410" s="17"/>
      <c r="H48410" s="18"/>
      <c r="K48410" s="18" t="s">
        <v>316</v>
      </c>
    </row>
    <row r="48411">
      <c r="A48411" s="17"/>
      <c r="H48411" s="18"/>
      <c r="K48411" s="18" t="s">
        <v>316</v>
      </c>
    </row>
    <row r="48412">
      <c r="A48412" s="17"/>
      <c r="H48412" s="18"/>
      <c r="K48412" s="18" t="s">
        <v>316</v>
      </c>
    </row>
    <row r="48413">
      <c r="A48413" s="17"/>
      <c r="H48413" s="18"/>
      <c r="K48413" s="18" t="s">
        <v>316</v>
      </c>
    </row>
    <row r="48414">
      <c r="A48414" s="17"/>
      <c r="H48414" s="18"/>
      <c r="K48414" s="18" t="s">
        <v>316</v>
      </c>
    </row>
    <row r="48415">
      <c r="A48415" s="17"/>
      <c r="H48415" s="18"/>
      <c r="K48415" s="18" t="s">
        <v>316</v>
      </c>
    </row>
    <row r="48416">
      <c r="A48416" s="17"/>
      <c r="H48416" s="18"/>
      <c r="K48416" s="18" t="s">
        <v>316</v>
      </c>
    </row>
    <row r="48417">
      <c r="A48417" s="17"/>
      <c r="H48417" s="18"/>
      <c r="K48417" s="18" t="s">
        <v>316</v>
      </c>
    </row>
    <row r="48418">
      <c r="A48418" s="17"/>
      <c r="H48418" s="18"/>
      <c r="K48418" s="18" t="s">
        <v>316</v>
      </c>
    </row>
    <row r="48419">
      <c r="A48419" s="17"/>
      <c r="H48419" s="18"/>
      <c r="K48419" s="18" t="s">
        <v>316</v>
      </c>
    </row>
    <row r="48420">
      <c r="A48420" s="17"/>
      <c r="H48420" s="18"/>
      <c r="K48420" s="18" t="s">
        <v>316</v>
      </c>
    </row>
    <row r="48421">
      <c r="A48421" s="17"/>
      <c r="H48421" s="18"/>
      <c r="K48421" s="18" t="s">
        <v>316</v>
      </c>
    </row>
    <row r="48422">
      <c r="A48422" s="17"/>
      <c r="H48422" s="18"/>
      <c r="K48422" s="18" t="s">
        <v>316</v>
      </c>
    </row>
    <row r="48423">
      <c r="A48423" s="17"/>
      <c r="H48423" s="18"/>
      <c r="K48423" s="18" t="s">
        <v>316</v>
      </c>
    </row>
    <row r="48424">
      <c r="A48424" s="17"/>
      <c r="H48424" s="18"/>
      <c r="K48424" s="18" t="s">
        <v>316</v>
      </c>
    </row>
    <row r="48425">
      <c r="A48425" s="17"/>
      <c r="H48425" s="18"/>
      <c r="K48425" s="18" t="s">
        <v>316</v>
      </c>
    </row>
    <row r="48426">
      <c r="A48426" s="17"/>
      <c r="H48426" s="18"/>
      <c r="K48426" s="18" t="s">
        <v>316</v>
      </c>
    </row>
    <row r="48427">
      <c r="A48427" s="17"/>
      <c r="H48427" s="18"/>
      <c r="K48427" s="18" t="s">
        <v>316</v>
      </c>
    </row>
    <row r="48428">
      <c r="A48428" s="17"/>
      <c r="H48428" s="18"/>
      <c r="K48428" s="18" t="s">
        <v>316</v>
      </c>
    </row>
    <row r="48429">
      <c r="A48429" s="17"/>
      <c r="H48429" s="18"/>
      <c r="K48429" s="18" t="s">
        <v>316</v>
      </c>
    </row>
    <row r="48430">
      <c r="A48430" s="17"/>
      <c r="H48430" s="18"/>
      <c r="K48430" s="18" t="s">
        <v>316</v>
      </c>
    </row>
    <row r="48431">
      <c r="A48431" s="17"/>
      <c r="H48431" s="18"/>
      <c r="K48431" s="18" t="s">
        <v>316</v>
      </c>
    </row>
    <row r="48432">
      <c r="A48432" s="17"/>
      <c r="H48432" s="18"/>
      <c r="K48432" s="18" t="s">
        <v>316</v>
      </c>
    </row>
    <row r="48433">
      <c r="A48433" s="17"/>
      <c r="H48433" s="18"/>
      <c r="K48433" s="18" t="s">
        <v>316</v>
      </c>
    </row>
    <row r="48434">
      <c r="A48434" s="17"/>
      <c r="H48434" s="18"/>
      <c r="K48434" s="18" t="s">
        <v>316</v>
      </c>
    </row>
    <row r="48435">
      <c r="A48435" s="17"/>
      <c r="H48435" s="18"/>
      <c r="K48435" s="18" t="s">
        <v>316</v>
      </c>
    </row>
    <row r="48436">
      <c r="A48436" s="17"/>
      <c r="H48436" s="18"/>
      <c r="K48436" s="18" t="s">
        <v>316</v>
      </c>
    </row>
    <row r="48437">
      <c r="A48437" s="17"/>
      <c r="H48437" s="18"/>
      <c r="K48437" s="18" t="s">
        <v>316</v>
      </c>
    </row>
    <row r="48438">
      <c r="A48438" s="17"/>
      <c r="H48438" s="18"/>
      <c r="K48438" s="18" t="s">
        <v>316</v>
      </c>
    </row>
    <row r="48439">
      <c r="A48439" s="17"/>
      <c r="H48439" s="18"/>
      <c r="K48439" s="18" t="s">
        <v>316</v>
      </c>
    </row>
    <row r="48440">
      <c r="A48440" s="17"/>
      <c r="H48440" s="18"/>
      <c r="K48440" s="18" t="s">
        <v>316</v>
      </c>
    </row>
    <row r="48441">
      <c r="A48441" s="17"/>
      <c r="H48441" s="18"/>
      <c r="K48441" s="18" t="s">
        <v>316</v>
      </c>
    </row>
    <row r="48442">
      <c r="A48442" s="17"/>
      <c r="H48442" s="18"/>
      <c r="K48442" s="18" t="s">
        <v>316</v>
      </c>
    </row>
    <row r="48443">
      <c r="A48443" s="17"/>
      <c r="H48443" s="18"/>
      <c r="K48443" s="18" t="s">
        <v>316</v>
      </c>
    </row>
    <row r="48444">
      <c r="A48444" s="17"/>
      <c r="H48444" s="18"/>
      <c r="K48444" s="18" t="s">
        <v>316</v>
      </c>
    </row>
    <row r="48445">
      <c r="A48445" s="17"/>
      <c r="H48445" s="18"/>
      <c r="K48445" s="18" t="s">
        <v>316</v>
      </c>
    </row>
    <row r="48446">
      <c r="A48446" s="17"/>
      <c r="H48446" s="18"/>
      <c r="K48446" s="18" t="s">
        <v>316</v>
      </c>
    </row>
    <row r="48447">
      <c r="A48447" s="17"/>
      <c r="H48447" s="18"/>
      <c r="K48447" s="18" t="s">
        <v>316</v>
      </c>
    </row>
    <row r="48448">
      <c r="A48448" s="17"/>
      <c r="H48448" s="18"/>
      <c r="K48448" s="18" t="s">
        <v>316</v>
      </c>
    </row>
    <row r="48449">
      <c r="A48449" s="17"/>
      <c r="H48449" s="18"/>
      <c r="K48449" s="18" t="s">
        <v>316</v>
      </c>
    </row>
    <row r="48450">
      <c r="A48450" s="17"/>
      <c r="H48450" s="18"/>
      <c r="K48450" s="18" t="s">
        <v>316</v>
      </c>
    </row>
    <row r="48451">
      <c r="A48451" s="17"/>
      <c r="H48451" s="18"/>
      <c r="K48451" s="18" t="s">
        <v>316</v>
      </c>
    </row>
    <row r="48452">
      <c r="A48452" s="17"/>
      <c r="H48452" s="18"/>
      <c r="K48452" s="18" t="s">
        <v>316</v>
      </c>
    </row>
    <row r="48453">
      <c r="A48453" s="17"/>
      <c r="H48453" s="18"/>
      <c r="K48453" s="18" t="s">
        <v>316</v>
      </c>
    </row>
    <row r="48454">
      <c r="A48454" s="17"/>
      <c r="H48454" s="18"/>
      <c r="K48454" s="18" t="s">
        <v>316</v>
      </c>
    </row>
    <row r="48455">
      <c r="A48455" s="17"/>
      <c r="H48455" s="18"/>
      <c r="K48455" s="18" t="s">
        <v>316</v>
      </c>
    </row>
    <row r="48456">
      <c r="A48456" s="17"/>
      <c r="H48456" s="18"/>
      <c r="K48456" s="18" t="s">
        <v>316</v>
      </c>
    </row>
    <row r="48457">
      <c r="A48457" s="17"/>
      <c r="H48457" s="18"/>
      <c r="K48457" s="18" t="s">
        <v>316</v>
      </c>
    </row>
    <row r="48458">
      <c r="A48458" s="17"/>
      <c r="H48458" s="18"/>
      <c r="K48458" s="18" t="s">
        <v>316</v>
      </c>
    </row>
    <row r="48459">
      <c r="A48459" s="17"/>
      <c r="H48459" s="18"/>
      <c r="K48459" s="18" t="s">
        <v>316</v>
      </c>
    </row>
    <row r="48460">
      <c r="A48460" s="17"/>
      <c r="H48460" s="18"/>
      <c r="K48460" s="18" t="s">
        <v>316</v>
      </c>
    </row>
    <row r="48461">
      <c r="A48461" s="17"/>
      <c r="H48461" s="18"/>
      <c r="K48461" s="18" t="s">
        <v>316</v>
      </c>
    </row>
    <row r="48462">
      <c r="A48462" s="17"/>
      <c r="H48462" s="18"/>
      <c r="K48462" s="18" t="s">
        <v>316</v>
      </c>
    </row>
    <row r="48463">
      <c r="A48463" s="17"/>
      <c r="H48463" s="18"/>
      <c r="K48463" s="18" t="s">
        <v>316</v>
      </c>
    </row>
    <row r="48464">
      <c r="A48464" s="17"/>
      <c r="H48464" s="18"/>
      <c r="K48464" s="18" t="s">
        <v>316</v>
      </c>
    </row>
    <row r="48465">
      <c r="A48465" s="17"/>
      <c r="H48465" s="18"/>
      <c r="K48465" s="18" t="s">
        <v>316</v>
      </c>
    </row>
    <row r="48466">
      <c r="A48466" s="17"/>
      <c r="H48466" s="18"/>
      <c r="K48466" s="18" t="s">
        <v>316</v>
      </c>
    </row>
    <row r="48467">
      <c r="A48467" s="17"/>
      <c r="H48467" s="18"/>
      <c r="K48467" s="18" t="s">
        <v>316</v>
      </c>
    </row>
    <row r="48468">
      <c r="A48468" s="17"/>
      <c r="H48468" s="18"/>
      <c r="K48468" s="18" t="s">
        <v>316</v>
      </c>
    </row>
    <row r="48469">
      <c r="A48469" s="17"/>
      <c r="H48469" s="18"/>
      <c r="K48469" s="18" t="s">
        <v>316</v>
      </c>
    </row>
    <row r="48470">
      <c r="A48470" s="17"/>
      <c r="H48470" s="18"/>
      <c r="K48470" s="18" t="s">
        <v>316</v>
      </c>
    </row>
    <row r="48471">
      <c r="A48471" s="17"/>
      <c r="H48471" s="18"/>
      <c r="K48471" s="18" t="s">
        <v>316</v>
      </c>
    </row>
    <row r="48472">
      <c r="A48472" s="17"/>
      <c r="H48472" s="18"/>
      <c r="K48472" s="18" t="s">
        <v>316</v>
      </c>
    </row>
    <row r="48473">
      <c r="A48473" s="17"/>
      <c r="H48473" s="18"/>
      <c r="K48473" s="18" t="s">
        <v>316</v>
      </c>
    </row>
    <row r="48474">
      <c r="A48474" s="17"/>
      <c r="H48474" s="18"/>
      <c r="K48474" s="18" t="s">
        <v>316</v>
      </c>
    </row>
    <row r="48475">
      <c r="A48475" s="17"/>
      <c r="H48475" s="18"/>
      <c r="K48475" s="18" t="s">
        <v>316</v>
      </c>
    </row>
    <row r="48476">
      <c r="A48476" s="17"/>
      <c r="H48476" s="18"/>
      <c r="K48476" s="18" t="s">
        <v>316</v>
      </c>
    </row>
    <row r="48477">
      <c r="A48477" s="17"/>
      <c r="H48477" s="18"/>
      <c r="K48477" s="18" t="s">
        <v>316</v>
      </c>
    </row>
    <row r="48478">
      <c r="A48478" s="17"/>
      <c r="H48478" s="18"/>
      <c r="K48478" s="18" t="s">
        <v>316</v>
      </c>
    </row>
    <row r="48479">
      <c r="A48479" s="17"/>
      <c r="H48479" s="18"/>
      <c r="K48479" s="18" t="s">
        <v>316</v>
      </c>
    </row>
    <row r="48480">
      <c r="A48480" s="17"/>
      <c r="H48480" s="18"/>
      <c r="K48480" s="18" t="s">
        <v>316</v>
      </c>
    </row>
    <row r="48481">
      <c r="A48481" s="17"/>
      <c r="H48481" s="18"/>
      <c r="K48481" s="18" t="s">
        <v>316</v>
      </c>
    </row>
    <row r="48482">
      <c r="A48482" s="17"/>
      <c r="H48482" s="18"/>
      <c r="K48482" s="18" t="s">
        <v>316</v>
      </c>
    </row>
    <row r="48483">
      <c r="A48483" s="17"/>
      <c r="H48483" s="18"/>
      <c r="K48483" s="18" t="s">
        <v>316</v>
      </c>
    </row>
    <row r="48484">
      <c r="A48484" s="17"/>
      <c r="H48484" s="18"/>
      <c r="K48484" s="18" t="s">
        <v>316</v>
      </c>
    </row>
    <row r="48485">
      <c r="A48485" s="17"/>
      <c r="H48485" s="18"/>
      <c r="K48485" s="18" t="s">
        <v>316</v>
      </c>
    </row>
    <row r="48486">
      <c r="A48486" s="17"/>
      <c r="H48486" s="18"/>
      <c r="K48486" s="18" t="s">
        <v>316</v>
      </c>
    </row>
    <row r="48487">
      <c r="A48487" s="17"/>
      <c r="H48487" s="18"/>
      <c r="K48487" s="18" t="s">
        <v>316</v>
      </c>
    </row>
    <row r="48488">
      <c r="A48488" s="17"/>
      <c r="H48488" s="18"/>
      <c r="K48488" s="18" t="s">
        <v>316</v>
      </c>
    </row>
    <row r="48489">
      <c r="A48489" s="17"/>
      <c r="H48489" s="18"/>
      <c r="K48489" s="18" t="s">
        <v>316</v>
      </c>
    </row>
    <row r="48490">
      <c r="A48490" s="17"/>
      <c r="H48490" s="18"/>
      <c r="K48490" s="18" t="s">
        <v>316</v>
      </c>
    </row>
    <row r="48491">
      <c r="A48491" s="17"/>
      <c r="H48491" s="18"/>
      <c r="K48491" s="18" t="s">
        <v>316</v>
      </c>
    </row>
    <row r="48492">
      <c r="A48492" s="17"/>
      <c r="H48492" s="18"/>
      <c r="K48492" s="18" t="s">
        <v>316</v>
      </c>
    </row>
    <row r="48493">
      <c r="A48493" s="17"/>
      <c r="H48493" s="18"/>
      <c r="K48493" s="18" t="s">
        <v>316</v>
      </c>
    </row>
    <row r="48494">
      <c r="A48494" s="17"/>
      <c r="H48494" s="18"/>
      <c r="K48494" s="18" t="s">
        <v>316</v>
      </c>
    </row>
    <row r="48495">
      <c r="A48495" s="17"/>
      <c r="H48495" s="18"/>
      <c r="K48495" s="18" t="s">
        <v>316</v>
      </c>
    </row>
    <row r="48496">
      <c r="A48496" s="17"/>
      <c r="H48496" s="18"/>
      <c r="K48496" s="18" t="s">
        <v>316</v>
      </c>
    </row>
    <row r="48497">
      <c r="A48497" s="17"/>
      <c r="H48497" s="18"/>
      <c r="K48497" s="18" t="s">
        <v>316</v>
      </c>
    </row>
    <row r="48498">
      <c r="A48498" s="17"/>
      <c r="H48498" s="18"/>
      <c r="K48498" s="18" t="s">
        <v>316</v>
      </c>
    </row>
    <row r="48499">
      <c r="A48499" s="17"/>
      <c r="H48499" s="18"/>
      <c r="K48499" s="18" t="s">
        <v>316</v>
      </c>
    </row>
    <row r="48500">
      <c r="A48500" s="17"/>
      <c r="H48500" s="18"/>
      <c r="K48500" s="18" t="s">
        <v>316</v>
      </c>
    </row>
    <row r="48501">
      <c r="A48501" s="17"/>
      <c r="H48501" s="18"/>
      <c r="K48501" s="18" t="s">
        <v>316</v>
      </c>
    </row>
    <row r="48502">
      <c r="A48502" s="17"/>
      <c r="H48502" s="18"/>
      <c r="K48502" s="18" t="s">
        <v>316</v>
      </c>
    </row>
    <row r="48503">
      <c r="A48503" s="17"/>
      <c r="H48503" s="18"/>
      <c r="K48503" s="18" t="s">
        <v>316</v>
      </c>
    </row>
    <row r="48504">
      <c r="A48504" s="17"/>
      <c r="H48504" s="18"/>
      <c r="K48504" s="18" t="s">
        <v>316</v>
      </c>
    </row>
    <row r="48505">
      <c r="A48505" s="17"/>
      <c r="H48505" s="18"/>
      <c r="K48505" s="18" t="s">
        <v>316</v>
      </c>
    </row>
    <row r="48506">
      <c r="A48506" s="17"/>
      <c r="H48506" s="18"/>
      <c r="K48506" s="18" t="s">
        <v>316</v>
      </c>
    </row>
    <row r="48507">
      <c r="A48507" s="17"/>
      <c r="H48507" s="18"/>
      <c r="K48507" s="18" t="s">
        <v>316</v>
      </c>
    </row>
    <row r="48508">
      <c r="A48508" s="17"/>
      <c r="H48508" s="18"/>
      <c r="K48508" s="18" t="s">
        <v>316</v>
      </c>
    </row>
    <row r="48509">
      <c r="A48509" s="17"/>
      <c r="H48509" s="18"/>
      <c r="K48509" s="18" t="s">
        <v>316</v>
      </c>
    </row>
    <row r="48510">
      <c r="A48510" s="17"/>
      <c r="H48510" s="18"/>
      <c r="K48510" s="18" t="s">
        <v>316</v>
      </c>
    </row>
    <row r="48511">
      <c r="A48511" s="17"/>
      <c r="H48511" s="18"/>
      <c r="K48511" s="18" t="s">
        <v>316</v>
      </c>
    </row>
    <row r="48512">
      <c r="A48512" s="17"/>
      <c r="H48512" s="18"/>
      <c r="K48512" s="18" t="s">
        <v>316</v>
      </c>
    </row>
    <row r="48513">
      <c r="A48513" s="17"/>
      <c r="H48513" s="18"/>
      <c r="K48513" s="18" t="s">
        <v>316</v>
      </c>
    </row>
    <row r="48514">
      <c r="A48514" s="17"/>
      <c r="H48514" s="18"/>
      <c r="K48514" s="18" t="s">
        <v>316</v>
      </c>
    </row>
    <row r="48515">
      <c r="A48515" s="17"/>
      <c r="H48515" s="18"/>
      <c r="K48515" s="18" t="s">
        <v>316</v>
      </c>
    </row>
    <row r="48516">
      <c r="A48516" s="17"/>
      <c r="H48516" s="18"/>
      <c r="K48516" s="18" t="s">
        <v>316</v>
      </c>
    </row>
    <row r="48517">
      <c r="A48517" s="17"/>
      <c r="H48517" s="18"/>
      <c r="K48517" s="18" t="s">
        <v>316</v>
      </c>
    </row>
    <row r="48518">
      <c r="A48518" s="17"/>
      <c r="H48518" s="18"/>
      <c r="K48518" s="18" t="s">
        <v>316</v>
      </c>
    </row>
    <row r="48519">
      <c r="A48519" s="17"/>
      <c r="H48519" s="18"/>
      <c r="K48519" s="18" t="s">
        <v>316</v>
      </c>
    </row>
    <row r="48520">
      <c r="A48520" s="17"/>
      <c r="H48520" s="18"/>
      <c r="K48520" s="18" t="s">
        <v>316</v>
      </c>
    </row>
    <row r="48521">
      <c r="A48521" s="17"/>
      <c r="H48521" s="18"/>
      <c r="K48521" s="18" t="s">
        <v>316</v>
      </c>
    </row>
    <row r="48522">
      <c r="A48522" s="17"/>
      <c r="H48522" s="18"/>
      <c r="K48522" s="18" t="s">
        <v>316</v>
      </c>
    </row>
    <row r="48523">
      <c r="A48523" s="17"/>
      <c r="H48523" s="18"/>
      <c r="K48523" s="18" t="s">
        <v>316</v>
      </c>
    </row>
    <row r="48524">
      <c r="A48524" s="17"/>
      <c r="H48524" s="18"/>
      <c r="K48524" s="18" t="s">
        <v>316</v>
      </c>
    </row>
    <row r="48525">
      <c r="A48525" s="17"/>
      <c r="H48525" s="18"/>
      <c r="K48525" s="18" t="s">
        <v>316</v>
      </c>
    </row>
    <row r="48526">
      <c r="A48526" s="17"/>
      <c r="H48526" s="18"/>
      <c r="K48526" s="18" t="s">
        <v>316</v>
      </c>
    </row>
    <row r="48527">
      <c r="A48527" s="17"/>
      <c r="H48527" s="18"/>
      <c r="K48527" s="18" t="s">
        <v>316</v>
      </c>
    </row>
    <row r="48528">
      <c r="A48528" s="17"/>
      <c r="H48528" s="18"/>
      <c r="K48528" s="18" t="s">
        <v>316</v>
      </c>
    </row>
    <row r="48529">
      <c r="A48529" s="17"/>
      <c r="H48529" s="18"/>
      <c r="K48529" s="18" t="s">
        <v>316</v>
      </c>
    </row>
    <row r="48530">
      <c r="A48530" s="17"/>
      <c r="H48530" s="18"/>
      <c r="K48530" s="18" t="s">
        <v>316</v>
      </c>
    </row>
    <row r="48531">
      <c r="A48531" s="17"/>
      <c r="H48531" s="18"/>
      <c r="K48531" s="18" t="s">
        <v>316</v>
      </c>
    </row>
    <row r="48532">
      <c r="A48532" s="17"/>
      <c r="H48532" s="18"/>
      <c r="K48532" s="18" t="s">
        <v>316</v>
      </c>
    </row>
    <row r="48533">
      <c r="A48533" s="17"/>
      <c r="H48533" s="18"/>
      <c r="K48533" s="18" t="s">
        <v>316</v>
      </c>
    </row>
    <row r="48534">
      <c r="A48534" s="17"/>
      <c r="H48534" s="18"/>
      <c r="K48534" s="18" t="s">
        <v>316</v>
      </c>
    </row>
    <row r="48535">
      <c r="A48535" s="17"/>
      <c r="H48535" s="18"/>
      <c r="K48535" s="18" t="s">
        <v>316</v>
      </c>
    </row>
    <row r="48536">
      <c r="A48536" s="17"/>
      <c r="H48536" s="18"/>
      <c r="K48536" s="18" t="s">
        <v>316</v>
      </c>
    </row>
    <row r="48537">
      <c r="A48537" s="17"/>
      <c r="H48537" s="18"/>
      <c r="K48537" s="18" t="s">
        <v>316</v>
      </c>
    </row>
    <row r="48538">
      <c r="A48538" s="17"/>
      <c r="H48538" s="18"/>
      <c r="K48538" s="18" t="s">
        <v>316</v>
      </c>
    </row>
    <row r="48539">
      <c r="A48539" s="17"/>
      <c r="H48539" s="18"/>
      <c r="K48539" s="18" t="s">
        <v>316</v>
      </c>
    </row>
    <row r="48540">
      <c r="A48540" s="17"/>
      <c r="H48540" s="18"/>
      <c r="K48540" s="18" t="s">
        <v>316</v>
      </c>
    </row>
    <row r="48541">
      <c r="A48541" s="17"/>
      <c r="H48541" s="18"/>
      <c r="K48541" s="18" t="s">
        <v>316</v>
      </c>
    </row>
    <row r="48542">
      <c r="A48542" s="17"/>
      <c r="H48542" s="18"/>
      <c r="K48542" s="18" t="s">
        <v>316</v>
      </c>
    </row>
    <row r="48543">
      <c r="A48543" s="17"/>
      <c r="H48543" s="18"/>
      <c r="K48543" s="18" t="s">
        <v>316</v>
      </c>
    </row>
    <row r="48544">
      <c r="A48544" s="17"/>
      <c r="H48544" s="18"/>
      <c r="K48544" s="18" t="s">
        <v>316</v>
      </c>
    </row>
    <row r="48545">
      <c r="A48545" s="17"/>
      <c r="H48545" s="18"/>
      <c r="K48545" s="18" t="s">
        <v>316</v>
      </c>
    </row>
    <row r="48546">
      <c r="A48546" s="17"/>
      <c r="H48546" s="18"/>
      <c r="K48546" s="18" t="s">
        <v>316</v>
      </c>
    </row>
    <row r="48547">
      <c r="A48547" s="17"/>
      <c r="H48547" s="18"/>
      <c r="K48547" s="18" t="s">
        <v>316</v>
      </c>
    </row>
    <row r="48548">
      <c r="A48548" s="17"/>
      <c r="H48548" s="18"/>
      <c r="K48548" s="18" t="s">
        <v>316</v>
      </c>
    </row>
    <row r="48549">
      <c r="A48549" s="17"/>
      <c r="H48549" s="18"/>
      <c r="K48549" s="18" t="s">
        <v>316</v>
      </c>
    </row>
    <row r="48550">
      <c r="A48550" s="17"/>
      <c r="H48550" s="18"/>
      <c r="K48550" s="18" t="s">
        <v>316</v>
      </c>
    </row>
    <row r="48551">
      <c r="A48551" s="17"/>
      <c r="H48551" s="18"/>
      <c r="K48551" s="18" t="s">
        <v>316</v>
      </c>
    </row>
    <row r="48552">
      <c r="A48552" s="17"/>
      <c r="H48552" s="18"/>
      <c r="K48552" s="18" t="s">
        <v>316</v>
      </c>
    </row>
    <row r="48553">
      <c r="A48553" s="17"/>
      <c r="H48553" s="18"/>
      <c r="K48553" s="18" t="s">
        <v>316</v>
      </c>
    </row>
    <row r="48554">
      <c r="A48554" s="17"/>
      <c r="H48554" s="18"/>
      <c r="K48554" s="18" t="s">
        <v>316</v>
      </c>
    </row>
    <row r="48555">
      <c r="A48555" s="17"/>
      <c r="H48555" s="18"/>
      <c r="K48555" s="18" t="s">
        <v>316</v>
      </c>
    </row>
    <row r="48556">
      <c r="A48556" s="17"/>
      <c r="H48556" s="18"/>
      <c r="K48556" s="18" t="s">
        <v>316</v>
      </c>
    </row>
    <row r="48557">
      <c r="A48557" s="17"/>
      <c r="H48557" s="18"/>
      <c r="K48557" s="18" t="s">
        <v>316</v>
      </c>
    </row>
    <row r="48558">
      <c r="A48558" s="17"/>
      <c r="H48558" s="18"/>
      <c r="K48558" s="18" t="s">
        <v>316</v>
      </c>
    </row>
    <row r="48559">
      <c r="A48559" s="17"/>
      <c r="H48559" s="18"/>
      <c r="K48559" s="18" t="s">
        <v>316</v>
      </c>
    </row>
    <row r="48560">
      <c r="A48560" s="17"/>
      <c r="H48560" s="18"/>
      <c r="K48560" s="18" t="s">
        <v>316</v>
      </c>
    </row>
    <row r="48561">
      <c r="A48561" s="17"/>
      <c r="H48561" s="18"/>
      <c r="K48561" s="18" t="s">
        <v>316</v>
      </c>
    </row>
    <row r="48562">
      <c r="A48562" s="17"/>
      <c r="H48562" s="18"/>
      <c r="K48562" s="18" t="s">
        <v>316</v>
      </c>
    </row>
    <row r="48563">
      <c r="A48563" s="17"/>
      <c r="H48563" s="18"/>
      <c r="K48563" s="18" t="s">
        <v>316</v>
      </c>
    </row>
    <row r="48564">
      <c r="A48564" s="17"/>
      <c r="H48564" s="18"/>
      <c r="K48564" s="18" t="s">
        <v>316</v>
      </c>
    </row>
    <row r="48565">
      <c r="A48565" s="17"/>
      <c r="H48565" s="18"/>
      <c r="K48565" s="18" t="s">
        <v>316</v>
      </c>
    </row>
    <row r="48566">
      <c r="A48566" s="17"/>
      <c r="H48566" s="18"/>
      <c r="K48566" s="18" t="s">
        <v>316</v>
      </c>
    </row>
    <row r="48567">
      <c r="A48567" s="17"/>
      <c r="H48567" s="18"/>
      <c r="K48567" s="18" t="s">
        <v>316</v>
      </c>
    </row>
    <row r="48568">
      <c r="A48568" s="17"/>
      <c r="H48568" s="18"/>
      <c r="K48568" s="18" t="s">
        <v>316</v>
      </c>
    </row>
    <row r="48569">
      <c r="A48569" s="17"/>
      <c r="H48569" s="18"/>
      <c r="K48569" s="18" t="s">
        <v>316</v>
      </c>
    </row>
    <row r="48570">
      <c r="A48570" s="17"/>
      <c r="H48570" s="18"/>
      <c r="K48570" s="18" t="s">
        <v>316</v>
      </c>
    </row>
    <row r="48571">
      <c r="A48571" s="17"/>
      <c r="H48571" s="18"/>
      <c r="K48571" s="18" t="s">
        <v>316</v>
      </c>
    </row>
    <row r="48572">
      <c r="A48572" s="17"/>
      <c r="H48572" s="18"/>
      <c r="K48572" s="18" t="s">
        <v>316</v>
      </c>
    </row>
    <row r="48573">
      <c r="A48573" s="17"/>
      <c r="H48573" s="18"/>
      <c r="K48573" s="18" t="s">
        <v>316</v>
      </c>
    </row>
    <row r="48574">
      <c r="A48574" s="17"/>
      <c r="H48574" s="18"/>
      <c r="K48574" s="18" t="s">
        <v>316</v>
      </c>
    </row>
    <row r="48575">
      <c r="A48575" s="17"/>
      <c r="H48575" s="18"/>
      <c r="K48575" s="18" t="s">
        <v>316</v>
      </c>
    </row>
    <row r="48576">
      <c r="A48576" s="17"/>
      <c r="H48576" s="18"/>
      <c r="K48576" s="18" t="s">
        <v>316</v>
      </c>
    </row>
    <row r="48577">
      <c r="A48577" s="17"/>
      <c r="H48577" s="18"/>
      <c r="K48577" s="18" t="s">
        <v>316</v>
      </c>
    </row>
    <row r="48578">
      <c r="A48578" s="17"/>
      <c r="H48578" s="18"/>
      <c r="K48578" s="18" t="s">
        <v>316</v>
      </c>
    </row>
    <row r="48579">
      <c r="A48579" s="17"/>
      <c r="H48579" s="18"/>
      <c r="K48579" s="18" t="s">
        <v>316</v>
      </c>
    </row>
    <row r="48580">
      <c r="A48580" s="17"/>
      <c r="H48580" s="18"/>
      <c r="K48580" s="18" t="s">
        <v>316</v>
      </c>
    </row>
    <row r="48581">
      <c r="A48581" s="17"/>
      <c r="H48581" s="18"/>
      <c r="K48581" s="18" t="s">
        <v>316</v>
      </c>
    </row>
    <row r="48582">
      <c r="A48582" s="17"/>
      <c r="H48582" s="18"/>
      <c r="K48582" s="18" t="s">
        <v>316</v>
      </c>
    </row>
    <row r="48583">
      <c r="A48583" s="17"/>
      <c r="H48583" s="18"/>
      <c r="K48583" s="18" t="s">
        <v>316</v>
      </c>
    </row>
    <row r="48584">
      <c r="A48584" s="17"/>
      <c r="H48584" s="18"/>
      <c r="K48584" s="18" t="s">
        <v>316</v>
      </c>
    </row>
    <row r="48585">
      <c r="A48585" s="17"/>
      <c r="H48585" s="18"/>
      <c r="K48585" s="18" t="s">
        <v>316</v>
      </c>
    </row>
    <row r="48586">
      <c r="A48586" s="17"/>
      <c r="H48586" s="18"/>
      <c r="K48586" s="18" t="s">
        <v>316</v>
      </c>
    </row>
    <row r="48587">
      <c r="A48587" s="17"/>
      <c r="H48587" s="18"/>
      <c r="K48587" s="18" t="s">
        <v>316</v>
      </c>
    </row>
    <row r="48588">
      <c r="A48588" s="17"/>
      <c r="H48588" s="18"/>
      <c r="K48588" s="18" t="s">
        <v>316</v>
      </c>
    </row>
    <row r="48589">
      <c r="A48589" s="17"/>
      <c r="H48589" s="18"/>
      <c r="K48589" s="18" t="s">
        <v>316</v>
      </c>
    </row>
    <row r="48590">
      <c r="A48590" s="17"/>
      <c r="H48590" s="18"/>
      <c r="K48590" s="18" t="s">
        <v>316</v>
      </c>
    </row>
    <row r="48591">
      <c r="A48591" s="17"/>
      <c r="H48591" s="18"/>
      <c r="K48591" s="18" t="s">
        <v>316</v>
      </c>
    </row>
    <row r="48592">
      <c r="A48592" s="17"/>
      <c r="H48592" s="18"/>
      <c r="K48592" s="18" t="s">
        <v>316</v>
      </c>
    </row>
    <row r="48593">
      <c r="A48593" s="17"/>
      <c r="H48593" s="18"/>
      <c r="K48593" s="18" t="s">
        <v>316</v>
      </c>
    </row>
    <row r="48594">
      <c r="A48594" s="17"/>
      <c r="H48594" s="18"/>
      <c r="K48594" s="18" t="s">
        <v>316</v>
      </c>
    </row>
    <row r="48595">
      <c r="A48595" s="17"/>
      <c r="H48595" s="18"/>
      <c r="K48595" s="18" t="s">
        <v>316</v>
      </c>
    </row>
    <row r="48596">
      <c r="A48596" s="17"/>
      <c r="H48596" s="18"/>
      <c r="K48596" s="18" t="s">
        <v>316</v>
      </c>
    </row>
    <row r="48597">
      <c r="A48597" s="17"/>
      <c r="H48597" s="18"/>
      <c r="K48597" s="18" t="s">
        <v>316</v>
      </c>
    </row>
    <row r="48598">
      <c r="A48598" s="17"/>
      <c r="H48598" s="18"/>
      <c r="K48598" s="18" t="s">
        <v>316</v>
      </c>
    </row>
    <row r="48599">
      <c r="A48599" s="17"/>
      <c r="H48599" s="18"/>
      <c r="K48599" s="18" t="s">
        <v>316</v>
      </c>
    </row>
    <row r="48600">
      <c r="A48600" s="17"/>
      <c r="H48600" s="18"/>
      <c r="K48600" s="18" t="s">
        <v>316</v>
      </c>
    </row>
    <row r="48601">
      <c r="A48601" s="17"/>
      <c r="H48601" s="18"/>
      <c r="K48601" s="18" t="s">
        <v>316</v>
      </c>
    </row>
    <row r="48602">
      <c r="A48602" s="17"/>
      <c r="H48602" s="18"/>
      <c r="K48602" s="18" t="s">
        <v>316</v>
      </c>
    </row>
    <row r="48603">
      <c r="A48603" s="17"/>
      <c r="H48603" s="18"/>
      <c r="K48603" s="18" t="s">
        <v>316</v>
      </c>
    </row>
    <row r="48604">
      <c r="A48604" s="17"/>
      <c r="H48604" s="18"/>
      <c r="K48604" s="18" t="s">
        <v>316</v>
      </c>
    </row>
    <row r="48605">
      <c r="A48605" s="17"/>
      <c r="H48605" s="18"/>
      <c r="K48605" s="18" t="s">
        <v>316</v>
      </c>
    </row>
    <row r="48606">
      <c r="A48606" s="17"/>
      <c r="H48606" s="18"/>
      <c r="K48606" s="18" t="s">
        <v>316</v>
      </c>
    </row>
    <row r="48607">
      <c r="A48607" s="17"/>
      <c r="H48607" s="18"/>
      <c r="K48607" s="18" t="s">
        <v>316</v>
      </c>
    </row>
    <row r="48608">
      <c r="A48608" s="17"/>
      <c r="H48608" s="18"/>
      <c r="K48608" s="18" t="s">
        <v>316</v>
      </c>
    </row>
    <row r="48609">
      <c r="A48609" s="17"/>
      <c r="H48609" s="18"/>
      <c r="K48609" s="18" t="s">
        <v>316</v>
      </c>
    </row>
    <row r="48610">
      <c r="A48610" s="17"/>
      <c r="H48610" s="18"/>
      <c r="K48610" s="18" t="s">
        <v>316</v>
      </c>
    </row>
    <row r="48611">
      <c r="A48611" s="17"/>
      <c r="H48611" s="18"/>
      <c r="K48611" s="18" t="s">
        <v>316</v>
      </c>
    </row>
    <row r="48612">
      <c r="A48612" s="17"/>
      <c r="H48612" s="18"/>
      <c r="K48612" s="18" t="s">
        <v>316</v>
      </c>
    </row>
    <row r="48613">
      <c r="A48613" s="17"/>
      <c r="H48613" s="18"/>
      <c r="K48613" s="18" t="s">
        <v>316</v>
      </c>
    </row>
    <row r="48614">
      <c r="A48614" s="17"/>
      <c r="H48614" s="18"/>
      <c r="K48614" s="18" t="s">
        <v>316</v>
      </c>
    </row>
    <row r="48615">
      <c r="A48615" s="17"/>
      <c r="H48615" s="18"/>
      <c r="K48615" s="18" t="s">
        <v>316</v>
      </c>
    </row>
    <row r="48616">
      <c r="A48616" s="17"/>
      <c r="H48616" s="18"/>
      <c r="K48616" s="18" t="s">
        <v>316</v>
      </c>
    </row>
    <row r="48617">
      <c r="A48617" s="17"/>
      <c r="H48617" s="18"/>
      <c r="K48617" s="18" t="s">
        <v>316</v>
      </c>
    </row>
    <row r="48618">
      <c r="A48618" s="17"/>
      <c r="H48618" s="18"/>
      <c r="K48618" s="18" t="s">
        <v>316</v>
      </c>
    </row>
    <row r="48619">
      <c r="A48619" s="17"/>
      <c r="H48619" s="18"/>
      <c r="K48619" s="18" t="s">
        <v>316</v>
      </c>
    </row>
    <row r="48620">
      <c r="A48620" s="17"/>
      <c r="H48620" s="18"/>
      <c r="K48620" s="18" t="s">
        <v>316</v>
      </c>
    </row>
    <row r="48621">
      <c r="A48621" s="17"/>
      <c r="H48621" s="18"/>
      <c r="K48621" s="18" t="s">
        <v>316</v>
      </c>
    </row>
    <row r="48622">
      <c r="A48622" s="17"/>
      <c r="H48622" s="18"/>
      <c r="K48622" s="18" t="s">
        <v>316</v>
      </c>
    </row>
    <row r="48623">
      <c r="A48623" s="17"/>
      <c r="H48623" s="18"/>
      <c r="K48623" s="18" t="s">
        <v>316</v>
      </c>
    </row>
    <row r="48624">
      <c r="A48624" s="17"/>
      <c r="H48624" s="18"/>
      <c r="K48624" s="18" t="s">
        <v>316</v>
      </c>
    </row>
    <row r="48625">
      <c r="A48625" s="17"/>
      <c r="H48625" s="18"/>
      <c r="K48625" s="18" t="s">
        <v>316</v>
      </c>
    </row>
    <row r="48626">
      <c r="A48626" s="17"/>
      <c r="H48626" s="18"/>
      <c r="K48626" s="18" t="s">
        <v>316</v>
      </c>
    </row>
    <row r="48627">
      <c r="A48627" s="17"/>
      <c r="H48627" s="18"/>
      <c r="K48627" s="18" t="s">
        <v>316</v>
      </c>
    </row>
    <row r="48628">
      <c r="A48628" s="17"/>
      <c r="H48628" s="18"/>
      <c r="K48628" s="18" t="s">
        <v>316</v>
      </c>
    </row>
    <row r="48629">
      <c r="A48629" s="17"/>
      <c r="H48629" s="18"/>
      <c r="K48629" s="18" t="s">
        <v>316</v>
      </c>
    </row>
    <row r="48630">
      <c r="A48630" s="17"/>
      <c r="H48630" s="18"/>
      <c r="K48630" s="18" t="s">
        <v>316</v>
      </c>
    </row>
    <row r="48631">
      <c r="A48631" s="17"/>
      <c r="H48631" s="18"/>
      <c r="K48631" s="18" t="s">
        <v>316</v>
      </c>
    </row>
    <row r="48632">
      <c r="A48632" s="17"/>
      <c r="H48632" s="18"/>
      <c r="K48632" s="18" t="s">
        <v>316</v>
      </c>
    </row>
    <row r="48633">
      <c r="A48633" s="17"/>
      <c r="H48633" s="18"/>
      <c r="K48633" s="18" t="s">
        <v>316</v>
      </c>
    </row>
    <row r="48634">
      <c r="A48634" s="17"/>
      <c r="H48634" s="18"/>
      <c r="K48634" s="18" t="s">
        <v>316</v>
      </c>
    </row>
    <row r="48635">
      <c r="A48635" s="17"/>
      <c r="H48635" s="18"/>
      <c r="K48635" s="18" t="s">
        <v>316</v>
      </c>
    </row>
    <row r="48636">
      <c r="A48636" s="17"/>
      <c r="H48636" s="18"/>
      <c r="K48636" s="18" t="s">
        <v>316</v>
      </c>
    </row>
    <row r="48637">
      <c r="A48637" s="17"/>
      <c r="H48637" s="18"/>
      <c r="K48637" s="18" t="s">
        <v>316</v>
      </c>
    </row>
    <row r="48638">
      <c r="A48638" s="17"/>
      <c r="H48638" s="18"/>
      <c r="K48638" s="18" t="s">
        <v>316</v>
      </c>
    </row>
    <row r="48639">
      <c r="A48639" s="17"/>
      <c r="H48639" s="18"/>
      <c r="K48639" s="18" t="s">
        <v>316</v>
      </c>
    </row>
    <row r="48640">
      <c r="A48640" s="17"/>
      <c r="H48640" s="18"/>
      <c r="K48640" s="18" t="s">
        <v>316</v>
      </c>
    </row>
    <row r="48641">
      <c r="A48641" s="17"/>
      <c r="H48641" s="18"/>
      <c r="K48641" s="18" t="s">
        <v>316</v>
      </c>
    </row>
    <row r="48642">
      <c r="A48642" s="17"/>
      <c r="H48642" s="18"/>
      <c r="K48642" s="18" t="s">
        <v>316</v>
      </c>
    </row>
    <row r="48643">
      <c r="A48643" s="17"/>
      <c r="H48643" s="18"/>
      <c r="K48643" s="18" t="s">
        <v>316</v>
      </c>
    </row>
    <row r="48644">
      <c r="A48644" s="17"/>
      <c r="H48644" s="18"/>
      <c r="K48644" s="18" t="s">
        <v>316</v>
      </c>
    </row>
    <row r="48645">
      <c r="A48645" s="17"/>
      <c r="H48645" s="18"/>
      <c r="K48645" s="18" t="s">
        <v>316</v>
      </c>
    </row>
    <row r="48646">
      <c r="A48646" s="17"/>
      <c r="H48646" s="18"/>
      <c r="K48646" s="18" t="s">
        <v>316</v>
      </c>
    </row>
    <row r="48647">
      <c r="A48647" s="17"/>
      <c r="H48647" s="18"/>
      <c r="K48647" s="18" t="s">
        <v>316</v>
      </c>
    </row>
    <row r="48648">
      <c r="A48648" s="17"/>
      <c r="H48648" s="18"/>
      <c r="K48648" s="18" t="s">
        <v>316</v>
      </c>
    </row>
    <row r="48649">
      <c r="A48649" s="17"/>
      <c r="H48649" s="18"/>
      <c r="K48649" s="18" t="s">
        <v>316</v>
      </c>
    </row>
    <row r="48650">
      <c r="A48650" s="17"/>
      <c r="H48650" s="18"/>
      <c r="K48650" s="18" t="s">
        <v>316</v>
      </c>
    </row>
    <row r="48651">
      <c r="A48651" s="17"/>
      <c r="H48651" s="18"/>
      <c r="K48651" s="18" t="s">
        <v>316</v>
      </c>
    </row>
    <row r="48652">
      <c r="A48652" s="17"/>
      <c r="H48652" s="18"/>
      <c r="K48652" s="18" t="s">
        <v>316</v>
      </c>
    </row>
    <row r="48653">
      <c r="A48653" s="17"/>
      <c r="H48653" s="18"/>
      <c r="K48653" s="18" t="s">
        <v>316</v>
      </c>
    </row>
    <row r="48654">
      <c r="A48654" s="17"/>
      <c r="H48654" s="18"/>
      <c r="K48654" s="18" t="s">
        <v>316</v>
      </c>
    </row>
    <row r="48655">
      <c r="A48655" s="17"/>
      <c r="H48655" s="18"/>
      <c r="K48655" s="18" t="s">
        <v>316</v>
      </c>
    </row>
    <row r="48656">
      <c r="A48656" s="17"/>
      <c r="H48656" s="18"/>
      <c r="K48656" s="18" t="s">
        <v>316</v>
      </c>
    </row>
    <row r="48657">
      <c r="A48657" s="17"/>
      <c r="H48657" s="18"/>
      <c r="K48657" s="18" t="s">
        <v>316</v>
      </c>
    </row>
    <row r="48658">
      <c r="A48658" s="17"/>
      <c r="H48658" s="18"/>
      <c r="K48658" s="18" t="s">
        <v>316</v>
      </c>
    </row>
    <row r="48659">
      <c r="A48659" s="17"/>
      <c r="H48659" s="18"/>
      <c r="K48659" s="18" t="s">
        <v>316</v>
      </c>
    </row>
    <row r="48660">
      <c r="A48660" s="17"/>
      <c r="H48660" s="18"/>
      <c r="K48660" s="18" t="s">
        <v>316</v>
      </c>
    </row>
    <row r="48661">
      <c r="A48661" s="17"/>
      <c r="H48661" s="18"/>
      <c r="K48661" s="18" t="s">
        <v>316</v>
      </c>
    </row>
    <row r="48662">
      <c r="A48662" s="17"/>
      <c r="H48662" s="18"/>
      <c r="K48662" s="18" t="s">
        <v>316</v>
      </c>
    </row>
    <row r="48663">
      <c r="A48663" s="17"/>
      <c r="H48663" s="18"/>
      <c r="K48663" s="18" t="s">
        <v>316</v>
      </c>
    </row>
    <row r="48664">
      <c r="A48664" s="17"/>
      <c r="H48664" s="18"/>
      <c r="K48664" s="18" t="s">
        <v>316</v>
      </c>
    </row>
    <row r="48665">
      <c r="A48665" s="17"/>
      <c r="H48665" s="18"/>
      <c r="K48665" s="18" t="s">
        <v>316</v>
      </c>
    </row>
    <row r="48666">
      <c r="A48666" s="17"/>
      <c r="H48666" s="18"/>
      <c r="K48666" s="18" t="s">
        <v>316</v>
      </c>
    </row>
    <row r="48667">
      <c r="A48667" s="17"/>
      <c r="H48667" s="18"/>
      <c r="K48667" s="18" t="s">
        <v>316</v>
      </c>
    </row>
    <row r="48668">
      <c r="A48668" s="17"/>
      <c r="H48668" s="18"/>
      <c r="K48668" s="18" t="s">
        <v>316</v>
      </c>
    </row>
    <row r="48669">
      <c r="A48669" s="17"/>
      <c r="H48669" s="18"/>
      <c r="K48669" s="18" t="s">
        <v>316</v>
      </c>
    </row>
    <row r="48670">
      <c r="A48670" s="17"/>
      <c r="H48670" s="18"/>
      <c r="K48670" s="18" t="s">
        <v>316</v>
      </c>
    </row>
    <row r="48671">
      <c r="A48671" s="17"/>
      <c r="H48671" s="18"/>
      <c r="K48671" s="18" t="s">
        <v>316</v>
      </c>
    </row>
    <row r="48672">
      <c r="A48672" s="17"/>
      <c r="H48672" s="18"/>
      <c r="K48672" s="18" t="s">
        <v>316</v>
      </c>
    </row>
    <row r="48673">
      <c r="A48673" s="17"/>
      <c r="H48673" s="18"/>
      <c r="K48673" s="18" t="s">
        <v>316</v>
      </c>
    </row>
    <row r="48674">
      <c r="A48674" s="17"/>
      <c r="H48674" s="18"/>
      <c r="K48674" s="18" t="s">
        <v>316</v>
      </c>
    </row>
    <row r="48675">
      <c r="A48675" s="17"/>
      <c r="H48675" s="18"/>
      <c r="K48675" s="18" t="s">
        <v>316</v>
      </c>
    </row>
    <row r="48676">
      <c r="A48676" s="17"/>
      <c r="H48676" s="18"/>
      <c r="K48676" s="18" t="s">
        <v>316</v>
      </c>
    </row>
    <row r="48677">
      <c r="A48677" s="17"/>
      <c r="H48677" s="18"/>
      <c r="K48677" s="18" t="s">
        <v>316</v>
      </c>
    </row>
    <row r="48678">
      <c r="A48678" s="17"/>
      <c r="H48678" s="18"/>
      <c r="K48678" s="18" t="s">
        <v>316</v>
      </c>
    </row>
    <row r="48679">
      <c r="A48679" s="17"/>
      <c r="H48679" s="18"/>
      <c r="K48679" s="18" t="s">
        <v>316</v>
      </c>
    </row>
    <row r="48680">
      <c r="A48680" s="17"/>
      <c r="H48680" s="18"/>
      <c r="K48680" s="18" t="s">
        <v>316</v>
      </c>
    </row>
    <row r="48681">
      <c r="A48681" s="17"/>
      <c r="H48681" s="18"/>
      <c r="K48681" s="18" t="s">
        <v>316</v>
      </c>
    </row>
    <row r="48682">
      <c r="A48682" s="17"/>
      <c r="H48682" s="18"/>
      <c r="K48682" s="18" t="s">
        <v>316</v>
      </c>
    </row>
    <row r="48683">
      <c r="A48683" s="17"/>
      <c r="H48683" s="18"/>
      <c r="K48683" s="18" t="s">
        <v>316</v>
      </c>
    </row>
    <row r="48684">
      <c r="A48684" s="17"/>
      <c r="H48684" s="18"/>
      <c r="K48684" s="18" t="s">
        <v>316</v>
      </c>
    </row>
    <row r="48685">
      <c r="A48685" s="17"/>
      <c r="H48685" s="18"/>
      <c r="K48685" s="18" t="s">
        <v>316</v>
      </c>
    </row>
    <row r="48686">
      <c r="A48686" s="17"/>
      <c r="H48686" s="18"/>
      <c r="K48686" s="18" t="s">
        <v>316</v>
      </c>
    </row>
    <row r="48687">
      <c r="A48687" s="17"/>
      <c r="H48687" s="18"/>
      <c r="K48687" s="18" t="s">
        <v>316</v>
      </c>
    </row>
    <row r="48688">
      <c r="A48688" s="17"/>
      <c r="H48688" s="18"/>
      <c r="K48688" s="18" t="s">
        <v>316</v>
      </c>
    </row>
    <row r="48689">
      <c r="A48689" s="17"/>
      <c r="H48689" s="18"/>
      <c r="K48689" s="18" t="s">
        <v>316</v>
      </c>
    </row>
    <row r="48690">
      <c r="A48690" s="17"/>
      <c r="H48690" s="18"/>
      <c r="K48690" s="18" t="s">
        <v>316</v>
      </c>
    </row>
    <row r="48691">
      <c r="A48691" s="17"/>
      <c r="H48691" s="18"/>
      <c r="K48691" s="18" t="s">
        <v>316</v>
      </c>
    </row>
    <row r="48692">
      <c r="A48692" s="17"/>
      <c r="H48692" s="18"/>
      <c r="K48692" s="18" t="s">
        <v>316</v>
      </c>
    </row>
    <row r="48693">
      <c r="A48693" s="17"/>
      <c r="H48693" s="18"/>
      <c r="K48693" s="18" t="s">
        <v>316</v>
      </c>
    </row>
    <row r="48694">
      <c r="A48694" s="17"/>
      <c r="H48694" s="18"/>
      <c r="K48694" s="18" t="s">
        <v>316</v>
      </c>
    </row>
    <row r="48695">
      <c r="A48695" s="17"/>
      <c r="H48695" s="18"/>
      <c r="K48695" s="18" t="s">
        <v>316</v>
      </c>
    </row>
    <row r="48696">
      <c r="A48696" s="17"/>
      <c r="H48696" s="18"/>
      <c r="K48696" s="18" t="s">
        <v>316</v>
      </c>
    </row>
    <row r="48697">
      <c r="A48697" s="17"/>
      <c r="H48697" s="18"/>
      <c r="K48697" s="18" t="s">
        <v>316</v>
      </c>
    </row>
    <row r="48698">
      <c r="A48698" s="17"/>
      <c r="H48698" s="18"/>
      <c r="K48698" s="18" t="s">
        <v>316</v>
      </c>
    </row>
    <row r="48699">
      <c r="A48699" s="17"/>
      <c r="H48699" s="18"/>
      <c r="K48699" s="18" t="s">
        <v>316</v>
      </c>
    </row>
    <row r="48700">
      <c r="A48700" s="17"/>
      <c r="H48700" s="18"/>
      <c r="K48700" s="18" t="s">
        <v>316</v>
      </c>
    </row>
    <row r="48701">
      <c r="A48701" s="17"/>
      <c r="H48701" s="18"/>
      <c r="K48701" s="18" t="s">
        <v>316</v>
      </c>
    </row>
    <row r="48702">
      <c r="A48702" s="17"/>
      <c r="H48702" s="18"/>
      <c r="K48702" s="18" t="s">
        <v>316</v>
      </c>
    </row>
    <row r="48703">
      <c r="A48703" s="17"/>
      <c r="H48703" s="18"/>
      <c r="K48703" s="18" t="s">
        <v>316</v>
      </c>
    </row>
    <row r="48704">
      <c r="A48704" s="17"/>
      <c r="H48704" s="18"/>
      <c r="K48704" s="18" t="s">
        <v>316</v>
      </c>
    </row>
    <row r="48705">
      <c r="A48705" s="17"/>
      <c r="H48705" s="18"/>
      <c r="K48705" s="18" t="s">
        <v>316</v>
      </c>
    </row>
    <row r="48706">
      <c r="A48706" s="17"/>
      <c r="H48706" s="18"/>
      <c r="K48706" s="18" t="s">
        <v>316</v>
      </c>
    </row>
    <row r="48707">
      <c r="A48707" s="17"/>
      <c r="H48707" s="18"/>
      <c r="K48707" s="18" t="s">
        <v>316</v>
      </c>
    </row>
    <row r="48708">
      <c r="A48708" s="17"/>
      <c r="H48708" s="18"/>
      <c r="K48708" s="18" t="s">
        <v>316</v>
      </c>
    </row>
    <row r="48709">
      <c r="A48709" s="17"/>
      <c r="H48709" s="18"/>
      <c r="K48709" s="18" t="s">
        <v>316</v>
      </c>
    </row>
    <row r="48710">
      <c r="A48710" s="17"/>
      <c r="H48710" s="18"/>
      <c r="K48710" s="18" t="s">
        <v>316</v>
      </c>
    </row>
    <row r="48711">
      <c r="A48711" s="17"/>
      <c r="H48711" s="18"/>
      <c r="K48711" s="18" t="s">
        <v>316</v>
      </c>
    </row>
    <row r="48712">
      <c r="A48712" s="17"/>
      <c r="H48712" s="18"/>
      <c r="K48712" s="18" t="s">
        <v>316</v>
      </c>
    </row>
    <row r="48713">
      <c r="A48713" s="17"/>
      <c r="H48713" s="18"/>
      <c r="K48713" s="18" t="s">
        <v>316</v>
      </c>
    </row>
    <row r="48714">
      <c r="A48714" s="17"/>
      <c r="H48714" s="18"/>
      <c r="K48714" s="18" t="s">
        <v>316</v>
      </c>
    </row>
    <row r="48715">
      <c r="A48715" s="17"/>
      <c r="H48715" s="18"/>
      <c r="K48715" s="18" t="s">
        <v>316</v>
      </c>
    </row>
    <row r="48716">
      <c r="A48716" s="17"/>
      <c r="H48716" s="18"/>
      <c r="K48716" s="18" t="s">
        <v>316</v>
      </c>
    </row>
    <row r="48717">
      <c r="A48717" s="17"/>
      <c r="H48717" s="18"/>
      <c r="K48717" s="18" t="s">
        <v>316</v>
      </c>
    </row>
    <row r="48718">
      <c r="A48718" s="17"/>
      <c r="H48718" s="18"/>
      <c r="K48718" s="18" t="s">
        <v>316</v>
      </c>
    </row>
    <row r="48719">
      <c r="A48719" s="17"/>
      <c r="H48719" s="18"/>
      <c r="K48719" s="18" t="s">
        <v>316</v>
      </c>
    </row>
    <row r="48720">
      <c r="A48720" s="17"/>
      <c r="H48720" s="18"/>
      <c r="K48720" s="18" t="s">
        <v>316</v>
      </c>
    </row>
    <row r="48721">
      <c r="A48721" s="17"/>
      <c r="H48721" s="18"/>
      <c r="K48721" s="18" t="s">
        <v>316</v>
      </c>
    </row>
    <row r="48722">
      <c r="A48722" s="17"/>
      <c r="H48722" s="18"/>
      <c r="K48722" s="18" t="s">
        <v>316</v>
      </c>
    </row>
    <row r="48723">
      <c r="A48723" s="17"/>
      <c r="H48723" s="18"/>
      <c r="K48723" s="18" t="s">
        <v>316</v>
      </c>
    </row>
    <row r="48724">
      <c r="A48724" s="17"/>
      <c r="H48724" s="18"/>
      <c r="K48724" s="18" t="s">
        <v>316</v>
      </c>
    </row>
    <row r="48725">
      <c r="A48725" s="17"/>
      <c r="H48725" s="18"/>
      <c r="K48725" s="18" t="s">
        <v>316</v>
      </c>
    </row>
    <row r="48726">
      <c r="A48726" s="17"/>
      <c r="H48726" s="18"/>
      <c r="K48726" s="18" t="s">
        <v>316</v>
      </c>
    </row>
    <row r="48727">
      <c r="A48727" s="17"/>
      <c r="H48727" s="18"/>
      <c r="K48727" s="18" t="s">
        <v>316</v>
      </c>
    </row>
    <row r="48728">
      <c r="A48728" s="17"/>
      <c r="H48728" s="18"/>
      <c r="K48728" s="18" t="s">
        <v>316</v>
      </c>
    </row>
    <row r="48729">
      <c r="A48729" s="17"/>
      <c r="H48729" s="18"/>
      <c r="K48729" s="18" t="s">
        <v>316</v>
      </c>
    </row>
    <row r="48730">
      <c r="A48730" s="17"/>
      <c r="H48730" s="18"/>
      <c r="K48730" s="18" t="s">
        <v>316</v>
      </c>
    </row>
    <row r="48731">
      <c r="A48731" s="17"/>
      <c r="H48731" s="18"/>
      <c r="K48731" s="18" t="s">
        <v>316</v>
      </c>
    </row>
    <row r="48732">
      <c r="A48732" s="17"/>
      <c r="H48732" s="18"/>
      <c r="K48732" s="18" t="s">
        <v>316</v>
      </c>
    </row>
    <row r="48733">
      <c r="A48733" s="17"/>
      <c r="H48733" s="18"/>
      <c r="K48733" s="18" t="s">
        <v>316</v>
      </c>
    </row>
    <row r="48734">
      <c r="A48734" s="17"/>
      <c r="H48734" s="18"/>
      <c r="K48734" s="18" t="s">
        <v>316</v>
      </c>
    </row>
    <row r="48735">
      <c r="A48735" s="17"/>
      <c r="H48735" s="18"/>
      <c r="K48735" s="18" t="s">
        <v>316</v>
      </c>
    </row>
    <row r="48736">
      <c r="A48736" s="17"/>
      <c r="H48736" s="18"/>
      <c r="K48736" s="18" t="s">
        <v>316</v>
      </c>
    </row>
    <row r="48737">
      <c r="A48737" s="17"/>
      <c r="H48737" s="18"/>
      <c r="K48737" s="18" t="s">
        <v>316</v>
      </c>
    </row>
    <row r="48738">
      <c r="A48738" s="17"/>
      <c r="H48738" s="18"/>
      <c r="K48738" s="18" t="s">
        <v>316</v>
      </c>
    </row>
    <row r="48739">
      <c r="A48739" s="17"/>
      <c r="H48739" s="18"/>
      <c r="K48739" s="18" t="s">
        <v>316</v>
      </c>
    </row>
    <row r="48740">
      <c r="A48740" s="17"/>
      <c r="H48740" s="18"/>
      <c r="K48740" s="18" t="s">
        <v>316</v>
      </c>
    </row>
    <row r="48741">
      <c r="A48741" s="17"/>
      <c r="H48741" s="18"/>
      <c r="K48741" s="18" t="s">
        <v>316</v>
      </c>
    </row>
    <row r="48742">
      <c r="A48742" s="17"/>
      <c r="H48742" s="18"/>
      <c r="K48742" s="18" t="s">
        <v>316</v>
      </c>
    </row>
    <row r="48743">
      <c r="A48743" s="17"/>
      <c r="H48743" s="18"/>
      <c r="K48743" s="18" t="s">
        <v>316</v>
      </c>
    </row>
    <row r="48744">
      <c r="A48744" s="17"/>
      <c r="H48744" s="18"/>
      <c r="K48744" s="18" t="s">
        <v>316</v>
      </c>
    </row>
    <row r="48745">
      <c r="A48745" s="17"/>
      <c r="H48745" s="18"/>
      <c r="K48745" s="18" t="s">
        <v>316</v>
      </c>
    </row>
    <row r="48746">
      <c r="A48746" s="17"/>
      <c r="H48746" s="18"/>
      <c r="K48746" s="18" t="s">
        <v>316</v>
      </c>
    </row>
    <row r="48747">
      <c r="A48747" s="17"/>
      <c r="H48747" s="18"/>
      <c r="K48747" s="18" t="s">
        <v>316</v>
      </c>
    </row>
    <row r="48748">
      <c r="A48748" s="17"/>
      <c r="H48748" s="18"/>
      <c r="K48748" s="18" t="s">
        <v>316</v>
      </c>
    </row>
    <row r="48749">
      <c r="A48749" s="17"/>
      <c r="H48749" s="18"/>
      <c r="K48749" s="18" t="s">
        <v>316</v>
      </c>
    </row>
    <row r="48750">
      <c r="A48750" s="17"/>
      <c r="H48750" s="18"/>
      <c r="K48750" s="18" t="s">
        <v>316</v>
      </c>
    </row>
    <row r="48751">
      <c r="A48751" s="17"/>
      <c r="H48751" s="18"/>
      <c r="K48751" s="18" t="s">
        <v>316</v>
      </c>
    </row>
    <row r="48752">
      <c r="A48752" s="17"/>
      <c r="H48752" s="18"/>
      <c r="K48752" s="18" t="s">
        <v>316</v>
      </c>
    </row>
    <row r="48753">
      <c r="A48753" s="17"/>
      <c r="H48753" s="18"/>
      <c r="K48753" s="18" t="s">
        <v>316</v>
      </c>
    </row>
    <row r="48754">
      <c r="A48754" s="17"/>
      <c r="H48754" s="18"/>
      <c r="K48754" s="18" t="s">
        <v>316</v>
      </c>
    </row>
    <row r="48755">
      <c r="A48755" s="17"/>
      <c r="H48755" s="18"/>
      <c r="K48755" s="18" t="s">
        <v>316</v>
      </c>
    </row>
    <row r="48756">
      <c r="A48756" s="17"/>
      <c r="H48756" s="18"/>
      <c r="K48756" s="18" t="s">
        <v>316</v>
      </c>
    </row>
    <row r="48757">
      <c r="A48757" s="17"/>
      <c r="H48757" s="18"/>
      <c r="K48757" s="18" t="s">
        <v>316</v>
      </c>
    </row>
    <row r="48758">
      <c r="A48758" s="17"/>
      <c r="H48758" s="18"/>
      <c r="K48758" s="18" t="s">
        <v>316</v>
      </c>
    </row>
    <row r="48759">
      <c r="A48759" s="17"/>
      <c r="H48759" s="18"/>
      <c r="K48759" s="18" t="s">
        <v>316</v>
      </c>
    </row>
    <row r="48760">
      <c r="A48760" s="17"/>
      <c r="H48760" s="18"/>
      <c r="K48760" s="18" t="s">
        <v>316</v>
      </c>
    </row>
    <row r="48761">
      <c r="A48761" s="17"/>
      <c r="H48761" s="18"/>
      <c r="K48761" s="18" t="s">
        <v>316</v>
      </c>
    </row>
    <row r="48762">
      <c r="A48762" s="17"/>
      <c r="H48762" s="18"/>
      <c r="K48762" s="18" t="s">
        <v>316</v>
      </c>
    </row>
    <row r="48763">
      <c r="A48763" s="17"/>
      <c r="H48763" s="18"/>
      <c r="K48763" s="18" t="s">
        <v>316</v>
      </c>
    </row>
    <row r="48764">
      <c r="A48764" s="17"/>
      <c r="H48764" s="18"/>
      <c r="K48764" s="18" t="s">
        <v>316</v>
      </c>
    </row>
    <row r="48765">
      <c r="A48765" s="17"/>
      <c r="H48765" s="18"/>
      <c r="K48765" s="18" t="s">
        <v>316</v>
      </c>
    </row>
    <row r="48766">
      <c r="A48766" s="17"/>
      <c r="H48766" s="18"/>
      <c r="K48766" s="18" t="s">
        <v>316</v>
      </c>
    </row>
    <row r="48767">
      <c r="A48767" s="17"/>
      <c r="H48767" s="18"/>
      <c r="K48767" s="18" t="s">
        <v>316</v>
      </c>
    </row>
    <row r="48768">
      <c r="A48768" s="17"/>
      <c r="H48768" s="18"/>
      <c r="K48768" s="18" t="s">
        <v>316</v>
      </c>
    </row>
    <row r="48769">
      <c r="A48769" s="17"/>
      <c r="H48769" s="18"/>
      <c r="K48769" s="18" t="s">
        <v>316</v>
      </c>
    </row>
    <row r="48770">
      <c r="A48770" s="17"/>
      <c r="H48770" s="18"/>
      <c r="K48770" s="18" t="s">
        <v>316</v>
      </c>
    </row>
    <row r="48771">
      <c r="A48771" s="17"/>
      <c r="H48771" s="18"/>
      <c r="K48771" s="18" t="s">
        <v>316</v>
      </c>
    </row>
    <row r="48772">
      <c r="A48772" s="17"/>
      <c r="H48772" s="18"/>
      <c r="K48772" s="18" t="s">
        <v>316</v>
      </c>
    </row>
    <row r="48773">
      <c r="A48773" s="17"/>
      <c r="H48773" s="18"/>
      <c r="K48773" s="18" t="s">
        <v>316</v>
      </c>
    </row>
    <row r="48774">
      <c r="A48774" s="17"/>
      <c r="H48774" s="18"/>
      <c r="K48774" s="18" t="s">
        <v>316</v>
      </c>
    </row>
    <row r="48775">
      <c r="A48775" s="17"/>
      <c r="H48775" s="18"/>
      <c r="K48775" s="18" t="s">
        <v>316</v>
      </c>
    </row>
    <row r="48776">
      <c r="A48776" s="17"/>
      <c r="H48776" s="18"/>
      <c r="K48776" s="18" t="s">
        <v>316</v>
      </c>
    </row>
    <row r="48777">
      <c r="A48777" s="17"/>
      <c r="H48777" s="18"/>
      <c r="K48777" s="18" t="s">
        <v>316</v>
      </c>
    </row>
    <row r="48778">
      <c r="A48778" s="17"/>
      <c r="H48778" s="18"/>
      <c r="K48778" s="18" t="s">
        <v>316</v>
      </c>
    </row>
    <row r="48779">
      <c r="A48779" s="17"/>
      <c r="H48779" s="18"/>
      <c r="K48779" s="18" t="s">
        <v>316</v>
      </c>
    </row>
    <row r="48780">
      <c r="A48780" s="17"/>
      <c r="H48780" s="18"/>
      <c r="K48780" s="18" t="s">
        <v>316</v>
      </c>
    </row>
    <row r="48781">
      <c r="A48781" s="17"/>
      <c r="H48781" s="18"/>
      <c r="K48781" s="18" t="s">
        <v>316</v>
      </c>
    </row>
    <row r="48782">
      <c r="A48782" s="17"/>
      <c r="H48782" s="18"/>
      <c r="K48782" s="18" t="s">
        <v>316</v>
      </c>
    </row>
    <row r="48783">
      <c r="A48783" s="17"/>
      <c r="H48783" s="18"/>
      <c r="K48783" s="18" t="s">
        <v>316</v>
      </c>
    </row>
    <row r="48784">
      <c r="A48784" s="17"/>
      <c r="H48784" s="18"/>
      <c r="K48784" s="18" t="s">
        <v>316</v>
      </c>
    </row>
    <row r="48785">
      <c r="A48785" s="17"/>
      <c r="H48785" s="18"/>
      <c r="K48785" s="18" t="s">
        <v>316</v>
      </c>
    </row>
    <row r="48786">
      <c r="A48786" s="17"/>
      <c r="H48786" s="18"/>
      <c r="K48786" s="18" t="s">
        <v>316</v>
      </c>
    </row>
    <row r="48787">
      <c r="A48787" s="17"/>
      <c r="H48787" s="18"/>
      <c r="K48787" s="18" t="s">
        <v>316</v>
      </c>
    </row>
    <row r="48788">
      <c r="A48788" s="17"/>
      <c r="H48788" s="18"/>
      <c r="K48788" s="18" t="s">
        <v>316</v>
      </c>
    </row>
    <row r="48789">
      <c r="A48789" s="17"/>
      <c r="H48789" s="18"/>
      <c r="K48789" s="18" t="s">
        <v>316</v>
      </c>
    </row>
    <row r="48790">
      <c r="A48790" s="17"/>
      <c r="H48790" s="18"/>
      <c r="K48790" s="18" t="s">
        <v>316</v>
      </c>
    </row>
    <row r="48791">
      <c r="A48791" s="17"/>
      <c r="H48791" s="18"/>
      <c r="K48791" s="18" t="s">
        <v>316</v>
      </c>
    </row>
    <row r="48792">
      <c r="A48792" s="17"/>
      <c r="H48792" s="18"/>
      <c r="K48792" s="18" t="s">
        <v>316</v>
      </c>
    </row>
    <row r="48793">
      <c r="A48793" s="17"/>
      <c r="H48793" s="18"/>
      <c r="K48793" s="18" t="s">
        <v>316</v>
      </c>
    </row>
    <row r="48794">
      <c r="A48794" s="17"/>
      <c r="H48794" s="18"/>
      <c r="K48794" s="18" t="s">
        <v>316</v>
      </c>
    </row>
    <row r="48795">
      <c r="A48795" s="17"/>
      <c r="H48795" s="18"/>
      <c r="K48795" s="18" t="s">
        <v>316</v>
      </c>
    </row>
    <row r="48796">
      <c r="A48796" s="17"/>
      <c r="H48796" s="18"/>
      <c r="K48796" s="18" t="s">
        <v>316</v>
      </c>
    </row>
    <row r="48797">
      <c r="A48797" s="17"/>
      <c r="H48797" s="18"/>
      <c r="K48797" s="18" t="s">
        <v>316</v>
      </c>
    </row>
    <row r="48798">
      <c r="A48798" s="17"/>
      <c r="H48798" s="18"/>
      <c r="K48798" s="18" t="s">
        <v>316</v>
      </c>
    </row>
    <row r="48799">
      <c r="A48799" s="17"/>
      <c r="H48799" s="18"/>
      <c r="K48799" s="18" t="s">
        <v>316</v>
      </c>
    </row>
    <row r="48800">
      <c r="A48800" s="17"/>
      <c r="H48800" s="18"/>
      <c r="K48800" s="18" t="s">
        <v>316</v>
      </c>
    </row>
    <row r="48801">
      <c r="A48801" s="17"/>
      <c r="H48801" s="18"/>
      <c r="K48801" s="18" t="s">
        <v>316</v>
      </c>
    </row>
    <row r="48802">
      <c r="A48802" s="17"/>
      <c r="H48802" s="18"/>
      <c r="K48802" s="18" t="s">
        <v>316</v>
      </c>
    </row>
    <row r="48803">
      <c r="A48803" s="17"/>
      <c r="H48803" s="18"/>
      <c r="K48803" s="18" t="s">
        <v>316</v>
      </c>
    </row>
    <row r="48804">
      <c r="A48804" s="17"/>
      <c r="H48804" s="18"/>
      <c r="K48804" s="18" t="s">
        <v>316</v>
      </c>
    </row>
    <row r="48805">
      <c r="A48805" s="17"/>
      <c r="H48805" s="18"/>
      <c r="K48805" s="18" t="s">
        <v>316</v>
      </c>
    </row>
    <row r="48806">
      <c r="A48806" s="17"/>
      <c r="H48806" s="18"/>
      <c r="K48806" s="18" t="s">
        <v>316</v>
      </c>
    </row>
    <row r="48807">
      <c r="A48807" s="17"/>
      <c r="H48807" s="18"/>
      <c r="K48807" s="18" t="s">
        <v>316</v>
      </c>
    </row>
    <row r="48808">
      <c r="A48808" s="17"/>
      <c r="H48808" s="18"/>
      <c r="K48808" s="18" t="s">
        <v>316</v>
      </c>
    </row>
    <row r="48809">
      <c r="A48809" s="17"/>
      <c r="H48809" s="18"/>
      <c r="K48809" s="18" t="s">
        <v>316</v>
      </c>
    </row>
    <row r="48810">
      <c r="A48810" s="17"/>
      <c r="H48810" s="18"/>
      <c r="K48810" s="18" t="s">
        <v>316</v>
      </c>
    </row>
    <row r="48811">
      <c r="A48811" s="17"/>
      <c r="H48811" s="18"/>
      <c r="K48811" s="18" t="s">
        <v>316</v>
      </c>
    </row>
    <row r="48812">
      <c r="A48812" s="17"/>
      <c r="H48812" s="18"/>
      <c r="K48812" s="18" t="s">
        <v>316</v>
      </c>
    </row>
    <row r="48813">
      <c r="A48813" s="17"/>
      <c r="H48813" s="18"/>
      <c r="K48813" s="18" t="s">
        <v>316</v>
      </c>
    </row>
    <row r="48814">
      <c r="A48814" s="17"/>
      <c r="H48814" s="18"/>
      <c r="K48814" s="18" t="s">
        <v>316</v>
      </c>
    </row>
    <row r="48815">
      <c r="A48815" s="17"/>
      <c r="H48815" s="18"/>
      <c r="K48815" s="18" t="s">
        <v>316</v>
      </c>
    </row>
    <row r="48816">
      <c r="A48816" s="17"/>
      <c r="H48816" s="18"/>
      <c r="K48816" s="18" t="s">
        <v>316</v>
      </c>
    </row>
    <row r="48817">
      <c r="A48817" s="17"/>
      <c r="H48817" s="18"/>
      <c r="K48817" s="18" t="s">
        <v>316</v>
      </c>
    </row>
    <row r="48818">
      <c r="A48818" s="17"/>
      <c r="H48818" s="18"/>
      <c r="K48818" s="18" t="s">
        <v>316</v>
      </c>
    </row>
    <row r="48819">
      <c r="A48819" s="17"/>
      <c r="H48819" s="18"/>
      <c r="K48819" s="18" t="s">
        <v>316</v>
      </c>
    </row>
    <row r="48820">
      <c r="A48820" s="17"/>
      <c r="H48820" s="18"/>
      <c r="K48820" s="18" t="s">
        <v>316</v>
      </c>
    </row>
    <row r="48821">
      <c r="A48821" s="17"/>
      <c r="H48821" s="18"/>
      <c r="K48821" s="18" t="s">
        <v>316</v>
      </c>
    </row>
    <row r="48822">
      <c r="A48822" s="17"/>
      <c r="H48822" s="18"/>
      <c r="K48822" s="18" t="s">
        <v>316</v>
      </c>
    </row>
    <row r="48823">
      <c r="A48823" s="17"/>
      <c r="H48823" s="18"/>
      <c r="K48823" s="18" t="s">
        <v>316</v>
      </c>
    </row>
    <row r="48824">
      <c r="A48824" s="17"/>
      <c r="H48824" s="18"/>
      <c r="K48824" s="18" t="s">
        <v>316</v>
      </c>
    </row>
    <row r="48825">
      <c r="A48825" s="17"/>
      <c r="H48825" s="18"/>
      <c r="K48825" s="18" t="s">
        <v>316</v>
      </c>
    </row>
    <row r="48826">
      <c r="A48826" s="17"/>
      <c r="H48826" s="18"/>
      <c r="K48826" s="18" t="s">
        <v>316</v>
      </c>
    </row>
    <row r="48827">
      <c r="A48827" s="17"/>
      <c r="H48827" s="18"/>
      <c r="K48827" s="18" t="s">
        <v>316</v>
      </c>
    </row>
    <row r="48828">
      <c r="A48828" s="17"/>
      <c r="H48828" s="18"/>
      <c r="K48828" s="18" t="s">
        <v>316</v>
      </c>
    </row>
    <row r="48829">
      <c r="A48829" s="17"/>
      <c r="H48829" s="18"/>
      <c r="K48829" s="18" t="s">
        <v>316</v>
      </c>
    </row>
    <row r="48830">
      <c r="A48830" s="17"/>
      <c r="H48830" s="18"/>
      <c r="K48830" s="18" t="s">
        <v>316</v>
      </c>
    </row>
    <row r="48831">
      <c r="A48831" s="17"/>
      <c r="H48831" s="18"/>
      <c r="K48831" s="18" t="s">
        <v>316</v>
      </c>
    </row>
    <row r="48832">
      <c r="A48832" s="17"/>
      <c r="H48832" s="18"/>
      <c r="K48832" s="18" t="s">
        <v>316</v>
      </c>
    </row>
    <row r="48833">
      <c r="A48833" s="17"/>
      <c r="H48833" s="18"/>
      <c r="K48833" s="18" t="s">
        <v>316</v>
      </c>
    </row>
    <row r="48834">
      <c r="A48834" s="17"/>
      <c r="H48834" s="18"/>
      <c r="K48834" s="18" t="s">
        <v>316</v>
      </c>
    </row>
    <row r="48835">
      <c r="A48835" s="17"/>
      <c r="H48835" s="18"/>
      <c r="K48835" s="18" t="s">
        <v>316</v>
      </c>
    </row>
    <row r="48836">
      <c r="A48836" s="17"/>
      <c r="H48836" s="18"/>
      <c r="K48836" s="18" t="s">
        <v>316</v>
      </c>
    </row>
    <row r="48837">
      <c r="A48837" s="17"/>
      <c r="H48837" s="18"/>
      <c r="K48837" s="18" t="s">
        <v>316</v>
      </c>
    </row>
    <row r="48838">
      <c r="A48838" s="17"/>
      <c r="H48838" s="18"/>
      <c r="K48838" s="18" t="s">
        <v>316</v>
      </c>
    </row>
    <row r="48839">
      <c r="A48839" s="17"/>
      <c r="H48839" s="18"/>
      <c r="K48839" s="18" t="s">
        <v>316</v>
      </c>
    </row>
    <row r="48840">
      <c r="A48840" s="17"/>
      <c r="H48840" s="18"/>
      <c r="K48840" s="18" t="s">
        <v>316</v>
      </c>
    </row>
    <row r="48841">
      <c r="A48841" s="17"/>
      <c r="H48841" s="18"/>
      <c r="K48841" s="18" t="s">
        <v>316</v>
      </c>
    </row>
    <row r="48842">
      <c r="A48842" s="17"/>
      <c r="H48842" s="18"/>
      <c r="K48842" s="18" t="s">
        <v>316</v>
      </c>
    </row>
    <row r="48843">
      <c r="A48843" s="17"/>
      <c r="H48843" s="18"/>
      <c r="K48843" s="18" t="s">
        <v>316</v>
      </c>
    </row>
    <row r="48844">
      <c r="A48844" s="17"/>
      <c r="H48844" s="18"/>
      <c r="K48844" s="18" t="s">
        <v>316</v>
      </c>
    </row>
    <row r="48845">
      <c r="A48845" s="17"/>
      <c r="H48845" s="18"/>
      <c r="K48845" s="18" t="s">
        <v>316</v>
      </c>
    </row>
    <row r="48846">
      <c r="A48846" s="17"/>
      <c r="H48846" s="18"/>
      <c r="K48846" s="18" t="s">
        <v>316</v>
      </c>
    </row>
    <row r="48847">
      <c r="A48847" s="17"/>
      <c r="H48847" s="18"/>
      <c r="K48847" s="18" t="s">
        <v>316</v>
      </c>
    </row>
    <row r="48848">
      <c r="A48848" s="17"/>
      <c r="H48848" s="18"/>
      <c r="K48848" s="18" t="s">
        <v>316</v>
      </c>
    </row>
    <row r="48849">
      <c r="A48849" s="17"/>
      <c r="H48849" s="18"/>
      <c r="K48849" s="18" t="s">
        <v>316</v>
      </c>
    </row>
    <row r="48850">
      <c r="A48850" s="17"/>
      <c r="H48850" s="18"/>
      <c r="K48850" s="18" t="s">
        <v>316</v>
      </c>
    </row>
    <row r="48851">
      <c r="A48851" s="17"/>
      <c r="H48851" s="18"/>
      <c r="K48851" s="18" t="s">
        <v>316</v>
      </c>
    </row>
    <row r="48852">
      <c r="A48852" s="17"/>
      <c r="H48852" s="18"/>
      <c r="K48852" s="18" t="s">
        <v>316</v>
      </c>
    </row>
    <row r="48853">
      <c r="A48853" s="17"/>
      <c r="H48853" s="18"/>
      <c r="K48853" s="18" t="s">
        <v>316</v>
      </c>
    </row>
    <row r="48854">
      <c r="A48854" s="17"/>
      <c r="H48854" s="18"/>
      <c r="K48854" s="18" t="s">
        <v>316</v>
      </c>
    </row>
    <row r="48855">
      <c r="A48855" s="17"/>
      <c r="H48855" s="18"/>
      <c r="K48855" s="18" t="s">
        <v>316</v>
      </c>
    </row>
    <row r="48856">
      <c r="A48856" s="17"/>
      <c r="H48856" s="18"/>
      <c r="K48856" s="18" t="s">
        <v>316</v>
      </c>
    </row>
    <row r="48857">
      <c r="A48857" s="17"/>
      <c r="H48857" s="18"/>
      <c r="K48857" s="18" t="s">
        <v>316</v>
      </c>
    </row>
    <row r="48858">
      <c r="A48858" s="17"/>
      <c r="H48858" s="18"/>
      <c r="K48858" s="18" t="s">
        <v>316</v>
      </c>
    </row>
    <row r="48859">
      <c r="A48859" s="17"/>
      <c r="H48859" s="18"/>
      <c r="K48859" s="18" t="s">
        <v>316</v>
      </c>
    </row>
    <row r="48860">
      <c r="A48860" s="17"/>
      <c r="H48860" s="18"/>
      <c r="K48860" s="18" t="s">
        <v>316</v>
      </c>
    </row>
    <row r="48861">
      <c r="A48861" s="17"/>
      <c r="H48861" s="18"/>
      <c r="K48861" s="18" t="s">
        <v>316</v>
      </c>
    </row>
    <row r="48862">
      <c r="A48862" s="17"/>
      <c r="H48862" s="18"/>
      <c r="K48862" s="18" t="s">
        <v>316</v>
      </c>
    </row>
    <row r="48863">
      <c r="A48863" s="17"/>
      <c r="H48863" s="18"/>
      <c r="K48863" s="18" t="s">
        <v>316</v>
      </c>
    </row>
    <row r="48864">
      <c r="A48864" s="17"/>
      <c r="H48864" s="18"/>
      <c r="K48864" s="18" t="s">
        <v>316</v>
      </c>
    </row>
    <row r="48865">
      <c r="A48865" s="17"/>
      <c r="H48865" s="18"/>
      <c r="K48865" s="18" t="s">
        <v>316</v>
      </c>
    </row>
    <row r="48866">
      <c r="A48866" s="17"/>
      <c r="H48866" s="18"/>
      <c r="K48866" s="18" t="s">
        <v>316</v>
      </c>
    </row>
    <row r="48867">
      <c r="A48867" s="17"/>
      <c r="H48867" s="18"/>
      <c r="K48867" s="18" t="s">
        <v>316</v>
      </c>
    </row>
    <row r="48868">
      <c r="A48868" s="17"/>
      <c r="H48868" s="18"/>
      <c r="K48868" s="18" t="s">
        <v>316</v>
      </c>
    </row>
    <row r="48869">
      <c r="A48869" s="17"/>
      <c r="H48869" s="18"/>
      <c r="K48869" s="18" t="s">
        <v>316</v>
      </c>
    </row>
    <row r="48870">
      <c r="A48870" s="17"/>
      <c r="H48870" s="18"/>
      <c r="K48870" s="18" t="s">
        <v>316</v>
      </c>
    </row>
    <row r="48871">
      <c r="A48871" s="17"/>
      <c r="H48871" s="18"/>
      <c r="K48871" s="18" t="s">
        <v>316</v>
      </c>
    </row>
    <row r="48872">
      <c r="A48872" s="17"/>
      <c r="H48872" s="18"/>
      <c r="K48872" s="18" t="s">
        <v>316</v>
      </c>
    </row>
    <row r="48873">
      <c r="A48873" s="17"/>
      <c r="H48873" s="18"/>
      <c r="K48873" s="18" t="s">
        <v>316</v>
      </c>
    </row>
    <row r="48874">
      <c r="A48874" s="17"/>
      <c r="H48874" s="18"/>
      <c r="K48874" s="18" t="s">
        <v>316</v>
      </c>
    </row>
    <row r="48875">
      <c r="A48875" s="17"/>
      <c r="H48875" s="18"/>
      <c r="K48875" s="18" t="s">
        <v>316</v>
      </c>
    </row>
    <row r="48876">
      <c r="A48876" s="17"/>
      <c r="H48876" s="18"/>
      <c r="K48876" s="18" t="s">
        <v>316</v>
      </c>
    </row>
    <row r="48877">
      <c r="A48877" s="17"/>
      <c r="H48877" s="18"/>
      <c r="K48877" s="18" t="s">
        <v>316</v>
      </c>
    </row>
    <row r="48878">
      <c r="A48878" s="17"/>
      <c r="H48878" s="18"/>
      <c r="K48878" s="18" t="s">
        <v>316</v>
      </c>
    </row>
    <row r="48879">
      <c r="A48879" s="17"/>
      <c r="H48879" s="18"/>
      <c r="K48879" s="18" t="s">
        <v>316</v>
      </c>
    </row>
    <row r="48880">
      <c r="A48880" s="17"/>
      <c r="H48880" s="18"/>
      <c r="K48880" s="18" t="s">
        <v>316</v>
      </c>
    </row>
    <row r="48881">
      <c r="A48881" s="17"/>
      <c r="H48881" s="18"/>
      <c r="K48881" s="18" t="s">
        <v>316</v>
      </c>
    </row>
    <row r="48882">
      <c r="A48882" s="17"/>
      <c r="H48882" s="18"/>
      <c r="K48882" s="18" t="s">
        <v>316</v>
      </c>
    </row>
    <row r="48883">
      <c r="A48883" s="17"/>
      <c r="H48883" s="18"/>
      <c r="K48883" s="18" t="s">
        <v>316</v>
      </c>
    </row>
    <row r="48884">
      <c r="A48884" s="17"/>
      <c r="H48884" s="18"/>
      <c r="K48884" s="18" t="s">
        <v>316</v>
      </c>
    </row>
    <row r="48885">
      <c r="A48885" s="17"/>
      <c r="H48885" s="18"/>
      <c r="K48885" s="18" t="s">
        <v>316</v>
      </c>
    </row>
    <row r="48886">
      <c r="A48886" s="17"/>
      <c r="H48886" s="18"/>
      <c r="K48886" s="18" t="s">
        <v>316</v>
      </c>
    </row>
    <row r="48887">
      <c r="A48887" s="17"/>
      <c r="H48887" s="18"/>
      <c r="K48887" s="18" t="s">
        <v>316</v>
      </c>
    </row>
    <row r="48888">
      <c r="A48888" s="17"/>
      <c r="H48888" s="18"/>
      <c r="K48888" s="18" t="s">
        <v>316</v>
      </c>
    </row>
    <row r="48889">
      <c r="A48889" s="17"/>
      <c r="H48889" s="18"/>
      <c r="K48889" s="18" t="s">
        <v>316</v>
      </c>
    </row>
    <row r="48890">
      <c r="A48890" s="17"/>
      <c r="H48890" s="18"/>
      <c r="K48890" s="18" t="s">
        <v>316</v>
      </c>
    </row>
    <row r="48891">
      <c r="A48891" s="17"/>
      <c r="H48891" s="18"/>
      <c r="K48891" s="18" t="s">
        <v>316</v>
      </c>
    </row>
    <row r="48892">
      <c r="A48892" s="17"/>
      <c r="H48892" s="18"/>
      <c r="K48892" s="18" t="s">
        <v>316</v>
      </c>
    </row>
    <row r="48893">
      <c r="A48893" s="17"/>
      <c r="H48893" s="18"/>
      <c r="K48893" s="18" t="s">
        <v>316</v>
      </c>
    </row>
    <row r="48894">
      <c r="A48894" s="17"/>
      <c r="H48894" s="18"/>
      <c r="K48894" s="18" t="s">
        <v>316</v>
      </c>
    </row>
    <row r="48895">
      <c r="A48895" s="17"/>
      <c r="H48895" s="18"/>
      <c r="K48895" s="18" t="s">
        <v>316</v>
      </c>
    </row>
    <row r="48896">
      <c r="A48896" s="17"/>
      <c r="H48896" s="18"/>
      <c r="K48896" s="18" t="s">
        <v>316</v>
      </c>
    </row>
    <row r="48897">
      <c r="A48897" s="17"/>
      <c r="H48897" s="18"/>
      <c r="K48897" s="18" t="s">
        <v>316</v>
      </c>
    </row>
    <row r="48898">
      <c r="A48898" s="17"/>
      <c r="H48898" s="18"/>
      <c r="K48898" s="18" t="s">
        <v>316</v>
      </c>
    </row>
    <row r="48899">
      <c r="A48899" s="17"/>
      <c r="H48899" s="18"/>
      <c r="K48899" s="18" t="s">
        <v>316</v>
      </c>
    </row>
    <row r="48900">
      <c r="A48900" s="17"/>
      <c r="H48900" s="18"/>
      <c r="K48900" s="18" t="s">
        <v>316</v>
      </c>
    </row>
    <row r="48901">
      <c r="A48901" s="17"/>
      <c r="H48901" s="18"/>
      <c r="K48901" s="18" t="s">
        <v>316</v>
      </c>
    </row>
    <row r="48902">
      <c r="A48902" s="17"/>
      <c r="H48902" s="18"/>
      <c r="K48902" s="18" t="s">
        <v>316</v>
      </c>
    </row>
    <row r="48903">
      <c r="A48903" s="17"/>
      <c r="H48903" s="18"/>
      <c r="K48903" s="18" t="s">
        <v>316</v>
      </c>
    </row>
    <row r="48904">
      <c r="A48904" s="17"/>
      <c r="H48904" s="18"/>
      <c r="K48904" s="18" t="s">
        <v>316</v>
      </c>
    </row>
    <row r="48905">
      <c r="A48905" s="17"/>
      <c r="H48905" s="18"/>
      <c r="K48905" s="18" t="s">
        <v>316</v>
      </c>
    </row>
    <row r="48906">
      <c r="A48906" s="17"/>
      <c r="H48906" s="18"/>
      <c r="K48906" s="18" t="s">
        <v>316</v>
      </c>
    </row>
    <row r="48907">
      <c r="A48907" s="17"/>
      <c r="H48907" s="18"/>
      <c r="K48907" s="18" t="s">
        <v>316</v>
      </c>
    </row>
    <row r="48908">
      <c r="A48908" s="17"/>
      <c r="H48908" s="18"/>
      <c r="K48908" s="18" t="s">
        <v>316</v>
      </c>
    </row>
    <row r="48909">
      <c r="A48909" s="17"/>
      <c r="H48909" s="18"/>
      <c r="K48909" s="18" t="s">
        <v>316</v>
      </c>
    </row>
    <row r="48910">
      <c r="A48910" s="17"/>
      <c r="H48910" s="18"/>
      <c r="K48910" s="18" t="s">
        <v>316</v>
      </c>
    </row>
    <row r="48911">
      <c r="A48911" s="17"/>
      <c r="H48911" s="18"/>
      <c r="K48911" s="18" t="s">
        <v>316</v>
      </c>
    </row>
    <row r="48912">
      <c r="A48912" s="17"/>
      <c r="H48912" s="18"/>
      <c r="K48912" s="18" t="s">
        <v>316</v>
      </c>
    </row>
    <row r="48913">
      <c r="A48913" s="17"/>
      <c r="H48913" s="18"/>
      <c r="K48913" s="18" t="s">
        <v>316</v>
      </c>
    </row>
    <row r="48914">
      <c r="A48914" s="17"/>
      <c r="H48914" s="18"/>
      <c r="K48914" s="18" t="s">
        <v>316</v>
      </c>
    </row>
    <row r="48915">
      <c r="A48915" s="17"/>
      <c r="H48915" s="18"/>
      <c r="K48915" s="18" t="s">
        <v>316</v>
      </c>
    </row>
    <row r="48916">
      <c r="A48916" s="17"/>
      <c r="H48916" s="18"/>
      <c r="K48916" s="18" t="s">
        <v>316</v>
      </c>
    </row>
    <row r="48917">
      <c r="A48917" s="17"/>
      <c r="H48917" s="18"/>
      <c r="K48917" s="18" t="s">
        <v>316</v>
      </c>
    </row>
    <row r="48918">
      <c r="A48918" s="17"/>
      <c r="H48918" s="18"/>
      <c r="K48918" s="18" t="s">
        <v>316</v>
      </c>
    </row>
    <row r="48919">
      <c r="A48919" s="17"/>
      <c r="H48919" s="18"/>
      <c r="K48919" s="18" t="s">
        <v>316</v>
      </c>
    </row>
    <row r="48920">
      <c r="A48920" s="17"/>
      <c r="H48920" s="18"/>
      <c r="K48920" s="18" t="s">
        <v>316</v>
      </c>
    </row>
    <row r="48921">
      <c r="A48921" s="17"/>
      <c r="H48921" s="18"/>
      <c r="K48921" s="18" t="s">
        <v>316</v>
      </c>
    </row>
    <row r="48922">
      <c r="A48922" s="17"/>
      <c r="H48922" s="18"/>
      <c r="K48922" s="18" t="s">
        <v>316</v>
      </c>
    </row>
    <row r="48923">
      <c r="A48923" s="17"/>
      <c r="H48923" s="18"/>
      <c r="K48923" s="18" t="s">
        <v>316</v>
      </c>
    </row>
    <row r="48924">
      <c r="A48924" s="17"/>
      <c r="H48924" s="18"/>
      <c r="K48924" s="18" t="s">
        <v>316</v>
      </c>
    </row>
    <row r="48925">
      <c r="A48925" s="17"/>
      <c r="H48925" s="18"/>
      <c r="K48925" s="18" t="s">
        <v>316</v>
      </c>
    </row>
    <row r="48926">
      <c r="A48926" s="17"/>
      <c r="H48926" s="18"/>
      <c r="K48926" s="18" t="s">
        <v>316</v>
      </c>
    </row>
    <row r="48927">
      <c r="A48927" s="17"/>
      <c r="H48927" s="18"/>
      <c r="K48927" s="18" t="s">
        <v>316</v>
      </c>
    </row>
    <row r="48928">
      <c r="A48928" s="17"/>
      <c r="H48928" s="18"/>
      <c r="K48928" s="18" t="s">
        <v>316</v>
      </c>
    </row>
    <row r="48929">
      <c r="A48929" s="17"/>
      <c r="H48929" s="18"/>
      <c r="K48929" s="18" t="s">
        <v>316</v>
      </c>
    </row>
    <row r="48930">
      <c r="A48930" s="17"/>
      <c r="H48930" s="18"/>
      <c r="K48930" s="18" t="s">
        <v>316</v>
      </c>
    </row>
    <row r="48931">
      <c r="A48931" s="17"/>
      <c r="H48931" s="18"/>
      <c r="K48931" s="18" t="s">
        <v>316</v>
      </c>
    </row>
    <row r="48932">
      <c r="A48932" s="17"/>
      <c r="H48932" s="18"/>
      <c r="K48932" s="18" t="s">
        <v>316</v>
      </c>
    </row>
    <row r="48933">
      <c r="A48933" s="17"/>
      <c r="H48933" s="18"/>
      <c r="K48933" s="18" t="s">
        <v>316</v>
      </c>
    </row>
    <row r="48934">
      <c r="A48934" s="17"/>
      <c r="H48934" s="18"/>
      <c r="K48934" s="18" t="s">
        <v>316</v>
      </c>
    </row>
    <row r="48935">
      <c r="A48935" s="17"/>
      <c r="H48935" s="18"/>
      <c r="K48935" s="18" t="s">
        <v>316</v>
      </c>
    </row>
    <row r="48936">
      <c r="A48936" s="17"/>
      <c r="H48936" s="18"/>
      <c r="K48936" s="18" t="s">
        <v>316</v>
      </c>
    </row>
    <row r="48937">
      <c r="A48937" s="17"/>
      <c r="H48937" s="18"/>
      <c r="K48937" s="18" t="s">
        <v>316</v>
      </c>
    </row>
    <row r="48938">
      <c r="A48938" s="17"/>
      <c r="H48938" s="18"/>
      <c r="K48938" s="18" t="s">
        <v>316</v>
      </c>
    </row>
    <row r="48939">
      <c r="A48939" s="17"/>
      <c r="H48939" s="18"/>
      <c r="K48939" s="18" t="s">
        <v>316</v>
      </c>
    </row>
    <row r="48940">
      <c r="A48940" s="17"/>
      <c r="H48940" s="18"/>
      <c r="K48940" s="18" t="s">
        <v>316</v>
      </c>
    </row>
    <row r="48941">
      <c r="A48941" s="17"/>
      <c r="H48941" s="18"/>
      <c r="K48941" s="18" t="s">
        <v>316</v>
      </c>
    </row>
    <row r="48942">
      <c r="A48942" s="17"/>
      <c r="H48942" s="18"/>
      <c r="K48942" s="18" t="s">
        <v>316</v>
      </c>
    </row>
    <row r="48943">
      <c r="A48943" s="17"/>
      <c r="H48943" s="18"/>
      <c r="K48943" s="18" t="s">
        <v>316</v>
      </c>
    </row>
    <row r="48944">
      <c r="A48944" s="17"/>
      <c r="H48944" s="18"/>
      <c r="K48944" s="18" t="s">
        <v>316</v>
      </c>
    </row>
    <row r="48945">
      <c r="A48945" s="17"/>
      <c r="H48945" s="18"/>
      <c r="K48945" s="18" t="s">
        <v>316</v>
      </c>
    </row>
    <row r="48946">
      <c r="A48946" s="17"/>
      <c r="H48946" s="18"/>
      <c r="K48946" s="18" t="s">
        <v>316</v>
      </c>
    </row>
    <row r="48947">
      <c r="A48947" s="17"/>
      <c r="H48947" s="18"/>
      <c r="K48947" s="18" t="s">
        <v>316</v>
      </c>
    </row>
    <row r="48948">
      <c r="A48948" s="17"/>
      <c r="H48948" s="18"/>
      <c r="K48948" s="18" t="s">
        <v>316</v>
      </c>
    </row>
    <row r="48949">
      <c r="A48949" s="17"/>
      <c r="H48949" s="18"/>
      <c r="K48949" s="18" t="s">
        <v>316</v>
      </c>
    </row>
    <row r="48950">
      <c r="A48950" s="17"/>
      <c r="H48950" s="18"/>
      <c r="K48950" s="18" t="s">
        <v>316</v>
      </c>
    </row>
    <row r="48951">
      <c r="A48951" s="17"/>
      <c r="H48951" s="18"/>
      <c r="K48951" s="18" t="s">
        <v>316</v>
      </c>
    </row>
    <row r="48952">
      <c r="A48952" s="17"/>
      <c r="H48952" s="18"/>
      <c r="K48952" s="18" t="s">
        <v>316</v>
      </c>
    </row>
    <row r="48953">
      <c r="A48953" s="17"/>
      <c r="H48953" s="18"/>
      <c r="K48953" s="18" t="s">
        <v>316</v>
      </c>
    </row>
    <row r="48954">
      <c r="A48954" s="17"/>
      <c r="H48954" s="18"/>
      <c r="K48954" s="18" t="s">
        <v>316</v>
      </c>
    </row>
    <row r="48955">
      <c r="A48955" s="17"/>
      <c r="H48955" s="18"/>
      <c r="K48955" s="18" t="s">
        <v>316</v>
      </c>
    </row>
    <row r="48956">
      <c r="A48956" s="17"/>
      <c r="H48956" s="18"/>
      <c r="K48956" s="18" t="s">
        <v>316</v>
      </c>
    </row>
    <row r="48957">
      <c r="A48957" s="17"/>
      <c r="H48957" s="18"/>
      <c r="K48957" s="18" t="s">
        <v>316</v>
      </c>
    </row>
    <row r="48958">
      <c r="A48958" s="17"/>
      <c r="H48958" s="18"/>
      <c r="K48958" s="18" t="s">
        <v>316</v>
      </c>
    </row>
    <row r="48959">
      <c r="A48959" s="17"/>
      <c r="H48959" s="18"/>
      <c r="K48959" s="18" t="s">
        <v>316</v>
      </c>
    </row>
    <row r="48960">
      <c r="A48960" s="17"/>
      <c r="H48960" s="18"/>
      <c r="K48960" s="18" t="s">
        <v>316</v>
      </c>
    </row>
    <row r="48961">
      <c r="A48961" s="17"/>
      <c r="H48961" s="18"/>
      <c r="K48961" s="18" t="s">
        <v>316</v>
      </c>
    </row>
    <row r="48962">
      <c r="A48962" s="17"/>
      <c r="H48962" s="18"/>
      <c r="K48962" s="18" t="s">
        <v>316</v>
      </c>
    </row>
    <row r="48963">
      <c r="A48963" s="17"/>
      <c r="H48963" s="18"/>
      <c r="K48963" s="18" t="s">
        <v>316</v>
      </c>
    </row>
    <row r="48964">
      <c r="A48964" s="17"/>
      <c r="H48964" s="18"/>
      <c r="K48964" s="18" t="s">
        <v>316</v>
      </c>
    </row>
    <row r="48965">
      <c r="A48965" s="17"/>
      <c r="H48965" s="18"/>
      <c r="K48965" s="18" t="s">
        <v>316</v>
      </c>
    </row>
    <row r="48966">
      <c r="A48966" s="17"/>
      <c r="H48966" s="18"/>
      <c r="K48966" s="18" t="s">
        <v>316</v>
      </c>
    </row>
    <row r="48967">
      <c r="A48967" s="17"/>
      <c r="H48967" s="18"/>
      <c r="K48967" s="18" t="s">
        <v>316</v>
      </c>
    </row>
    <row r="48968">
      <c r="A48968" s="17"/>
      <c r="H48968" s="18"/>
      <c r="K48968" s="18" t="s">
        <v>316</v>
      </c>
    </row>
    <row r="48969">
      <c r="A48969" s="17"/>
      <c r="H48969" s="18"/>
      <c r="K48969" s="18" t="s">
        <v>316</v>
      </c>
    </row>
    <row r="48970">
      <c r="A48970" s="17"/>
      <c r="H48970" s="18"/>
      <c r="K48970" s="18" t="s">
        <v>316</v>
      </c>
    </row>
    <row r="48971">
      <c r="A48971" s="17"/>
      <c r="H48971" s="18"/>
      <c r="K48971" s="18" t="s">
        <v>316</v>
      </c>
    </row>
    <row r="48972">
      <c r="A48972" s="17"/>
      <c r="H48972" s="18"/>
      <c r="K48972" s="18" t="s">
        <v>316</v>
      </c>
    </row>
    <row r="48973">
      <c r="A48973" s="17"/>
      <c r="H48973" s="18"/>
      <c r="K48973" s="18" t="s">
        <v>316</v>
      </c>
    </row>
    <row r="48974">
      <c r="A48974" s="17"/>
      <c r="H48974" s="18"/>
      <c r="K48974" s="18" t="s">
        <v>316</v>
      </c>
    </row>
    <row r="48975">
      <c r="A48975" s="17"/>
      <c r="H48975" s="18"/>
      <c r="K48975" s="18" t="s">
        <v>316</v>
      </c>
    </row>
    <row r="48976">
      <c r="A48976" s="17"/>
      <c r="H48976" s="18"/>
      <c r="K48976" s="18" t="s">
        <v>316</v>
      </c>
    </row>
    <row r="48977">
      <c r="A48977" s="17"/>
      <c r="H48977" s="18"/>
      <c r="K48977" s="18" t="s">
        <v>316</v>
      </c>
    </row>
    <row r="48978">
      <c r="A48978" s="17"/>
      <c r="H48978" s="18"/>
      <c r="K48978" s="18" t="s">
        <v>316</v>
      </c>
    </row>
    <row r="48979">
      <c r="A48979" s="17"/>
      <c r="H48979" s="18"/>
      <c r="K48979" s="18" t="s">
        <v>316</v>
      </c>
    </row>
    <row r="48980">
      <c r="A48980" s="17"/>
      <c r="H48980" s="18"/>
      <c r="K48980" s="18" t="s">
        <v>316</v>
      </c>
    </row>
    <row r="48981">
      <c r="A48981" s="17"/>
      <c r="H48981" s="18"/>
      <c r="K48981" s="18" t="s">
        <v>316</v>
      </c>
    </row>
    <row r="48982">
      <c r="A48982" s="17"/>
      <c r="H48982" s="18"/>
      <c r="K48982" s="18" t="s">
        <v>316</v>
      </c>
    </row>
    <row r="48983">
      <c r="A48983" s="17"/>
      <c r="H48983" s="18"/>
      <c r="K48983" s="18" t="s">
        <v>316</v>
      </c>
    </row>
    <row r="48984">
      <c r="A48984" s="17"/>
      <c r="H48984" s="18"/>
      <c r="K48984" s="18" t="s">
        <v>316</v>
      </c>
    </row>
    <row r="48985">
      <c r="A48985" s="17"/>
      <c r="H48985" s="18"/>
      <c r="K48985" s="18" t="s">
        <v>316</v>
      </c>
    </row>
    <row r="48986">
      <c r="A48986" s="17"/>
      <c r="H48986" s="18"/>
      <c r="K48986" s="18" t="s">
        <v>316</v>
      </c>
    </row>
    <row r="48987">
      <c r="A48987" s="17"/>
      <c r="H48987" s="18"/>
      <c r="K48987" s="18" t="s">
        <v>316</v>
      </c>
    </row>
    <row r="48988">
      <c r="A48988" s="17"/>
      <c r="H48988" s="18"/>
      <c r="K48988" s="18" t="s">
        <v>316</v>
      </c>
    </row>
    <row r="48989">
      <c r="A48989" s="17"/>
      <c r="H48989" s="18"/>
      <c r="K48989" s="18" t="s">
        <v>316</v>
      </c>
    </row>
    <row r="48990">
      <c r="A48990" s="17"/>
      <c r="H48990" s="18"/>
      <c r="K48990" s="18" t="s">
        <v>316</v>
      </c>
    </row>
    <row r="48991">
      <c r="A48991" s="17"/>
      <c r="H48991" s="18"/>
      <c r="K48991" s="18" t="s">
        <v>316</v>
      </c>
    </row>
    <row r="48992">
      <c r="A48992" s="17"/>
      <c r="H48992" s="18"/>
      <c r="K48992" s="18" t="s">
        <v>316</v>
      </c>
    </row>
    <row r="48993">
      <c r="A48993" s="17"/>
      <c r="H48993" s="18"/>
      <c r="K48993" s="18" t="s">
        <v>316</v>
      </c>
    </row>
    <row r="48994">
      <c r="A48994" s="17"/>
      <c r="H48994" s="18"/>
      <c r="K48994" s="18" t="s">
        <v>316</v>
      </c>
    </row>
    <row r="48995">
      <c r="A48995" s="17"/>
      <c r="H48995" s="18"/>
      <c r="K48995" s="18" t="s">
        <v>316</v>
      </c>
    </row>
    <row r="48996">
      <c r="A48996" s="17"/>
      <c r="H48996" s="18"/>
      <c r="K48996" s="18" t="s">
        <v>316</v>
      </c>
    </row>
    <row r="48997">
      <c r="A48997" s="17"/>
      <c r="H48997" s="18"/>
      <c r="K48997" s="18" t="s">
        <v>316</v>
      </c>
    </row>
    <row r="48998">
      <c r="A48998" s="17"/>
      <c r="H48998" s="18"/>
      <c r="K48998" s="18" t="s">
        <v>316</v>
      </c>
    </row>
    <row r="48999">
      <c r="A48999" s="17"/>
      <c r="H48999" s="18"/>
      <c r="K48999" s="18" t="s">
        <v>316</v>
      </c>
    </row>
    <row r="49000">
      <c r="A49000" s="17"/>
      <c r="H49000" s="18"/>
      <c r="K49000" s="18" t="s">
        <v>316</v>
      </c>
    </row>
    <row r="49001">
      <c r="A49001" s="17"/>
      <c r="H49001" s="18"/>
      <c r="K49001" s="18" t="s">
        <v>316</v>
      </c>
    </row>
    <row r="49002">
      <c r="A49002" s="17"/>
      <c r="H49002" s="18"/>
      <c r="K49002" s="18" t="s">
        <v>316</v>
      </c>
    </row>
    <row r="49003">
      <c r="A49003" s="17"/>
      <c r="H49003" s="18"/>
      <c r="K49003" s="18" t="s">
        <v>316</v>
      </c>
    </row>
    <row r="49004">
      <c r="A49004" s="17"/>
      <c r="H49004" s="18"/>
      <c r="K49004" s="18" t="s">
        <v>316</v>
      </c>
    </row>
    <row r="49005">
      <c r="A49005" s="17"/>
      <c r="H49005" s="18"/>
      <c r="K49005" s="18" t="s">
        <v>316</v>
      </c>
    </row>
    <row r="49006">
      <c r="A49006" s="17"/>
      <c r="H49006" s="18"/>
      <c r="K49006" s="18" t="s">
        <v>316</v>
      </c>
    </row>
    <row r="49007">
      <c r="A49007" s="17"/>
      <c r="H49007" s="18"/>
      <c r="K49007" s="18" t="s">
        <v>316</v>
      </c>
    </row>
    <row r="49008">
      <c r="A49008" s="17"/>
      <c r="H49008" s="18"/>
      <c r="K49008" s="18" t="s">
        <v>316</v>
      </c>
    </row>
    <row r="49009">
      <c r="A49009" s="17"/>
      <c r="H49009" s="18"/>
      <c r="K49009" s="18" t="s">
        <v>316</v>
      </c>
    </row>
    <row r="49010">
      <c r="A49010" s="17"/>
      <c r="H49010" s="18"/>
      <c r="K49010" s="18" t="s">
        <v>316</v>
      </c>
    </row>
    <row r="49011">
      <c r="A49011" s="17"/>
      <c r="H49011" s="18"/>
      <c r="K49011" s="18" t="s">
        <v>316</v>
      </c>
    </row>
    <row r="49012">
      <c r="A49012" s="17"/>
      <c r="H49012" s="18"/>
      <c r="K49012" s="18" t="s">
        <v>316</v>
      </c>
    </row>
    <row r="49013">
      <c r="A49013" s="17"/>
      <c r="H49013" s="18"/>
      <c r="K49013" s="18" t="s">
        <v>316</v>
      </c>
    </row>
    <row r="49014">
      <c r="A49014" s="17"/>
      <c r="H49014" s="18"/>
      <c r="K49014" s="18" t="s">
        <v>316</v>
      </c>
    </row>
    <row r="49015">
      <c r="A49015" s="17"/>
      <c r="H49015" s="18"/>
      <c r="K49015" s="18" t="s">
        <v>316</v>
      </c>
    </row>
    <row r="49016">
      <c r="A49016" s="17"/>
      <c r="H49016" s="18"/>
      <c r="K49016" s="18" t="s">
        <v>316</v>
      </c>
    </row>
    <row r="49017">
      <c r="A49017" s="17"/>
      <c r="H49017" s="18"/>
      <c r="K49017" s="18" t="s">
        <v>316</v>
      </c>
    </row>
    <row r="49018">
      <c r="A49018" s="17"/>
      <c r="H49018" s="18"/>
      <c r="K49018" s="18" t="s">
        <v>316</v>
      </c>
    </row>
    <row r="49019">
      <c r="A49019" s="17"/>
      <c r="H49019" s="18"/>
      <c r="K49019" s="18" t="s">
        <v>316</v>
      </c>
    </row>
    <row r="49020">
      <c r="A49020" s="17"/>
      <c r="H49020" s="18"/>
      <c r="K49020" s="18" t="s">
        <v>316</v>
      </c>
    </row>
    <row r="49021">
      <c r="A49021" s="17"/>
      <c r="H49021" s="18"/>
      <c r="K49021" s="18" t="s">
        <v>316</v>
      </c>
    </row>
    <row r="49022">
      <c r="A49022" s="17"/>
      <c r="H49022" s="18"/>
      <c r="K49022" s="18" t="s">
        <v>316</v>
      </c>
    </row>
    <row r="49023">
      <c r="A49023" s="17"/>
      <c r="H49023" s="18"/>
      <c r="K49023" s="18" t="s">
        <v>316</v>
      </c>
    </row>
    <row r="49024">
      <c r="A49024" s="17"/>
      <c r="H49024" s="18"/>
      <c r="K49024" s="18" t="s">
        <v>316</v>
      </c>
    </row>
    <row r="49025">
      <c r="A49025" s="17"/>
      <c r="H49025" s="18"/>
      <c r="K49025" s="18" t="s">
        <v>316</v>
      </c>
    </row>
    <row r="49026">
      <c r="A49026" s="17"/>
      <c r="H49026" s="18"/>
      <c r="K49026" s="18" t="s">
        <v>316</v>
      </c>
    </row>
    <row r="49027">
      <c r="A49027" s="17"/>
      <c r="H49027" s="18"/>
      <c r="K49027" s="18" t="s">
        <v>316</v>
      </c>
    </row>
    <row r="49028">
      <c r="A49028" s="17"/>
      <c r="H49028" s="18"/>
      <c r="K49028" s="18" t="s">
        <v>316</v>
      </c>
    </row>
    <row r="49029">
      <c r="A49029" s="17"/>
      <c r="H49029" s="18"/>
      <c r="K49029" s="18" t="s">
        <v>316</v>
      </c>
    </row>
    <row r="49030">
      <c r="A49030" s="17"/>
      <c r="H49030" s="18"/>
      <c r="K49030" s="18" t="s">
        <v>316</v>
      </c>
    </row>
    <row r="49031">
      <c r="A49031" s="17"/>
      <c r="H49031" s="18"/>
      <c r="K49031" s="18" t="s">
        <v>316</v>
      </c>
    </row>
    <row r="49032">
      <c r="A49032" s="17"/>
      <c r="H49032" s="18"/>
      <c r="K49032" s="18" t="s">
        <v>316</v>
      </c>
    </row>
    <row r="49033">
      <c r="A49033" s="17"/>
      <c r="H49033" s="18"/>
      <c r="K49033" s="18" t="s">
        <v>316</v>
      </c>
    </row>
    <row r="49034">
      <c r="A49034" s="17"/>
      <c r="H49034" s="18"/>
      <c r="K49034" s="18" t="s">
        <v>316</v>
      </c>
    </row>
    <row r="49035">
      <c r="A49035" s="17"/>
      <c r="H49035" s="18"/>
      <c r="K49035" s="18" t="s">
        <v>316</v>
      </c>
    </row>
    <row r="49036">
      <c r="A49036" s="17"/>
      <c r="H49036" s="18"/>
      <c r="K49036" s="18" t="s">
        <v>316</v>
      </c>
    </row>
    <row r="49037">
      <c r="A49037" s="17"/>
      <c r="H49037" s="18"/>
      <c r="K49037" s="18" t="s">
        <v>316</v>
      </c>
    </row>
    <row r="49038">
      <c r="A49038" s="17"/>
      <c r="H49038" s="18"/>
      <c r="K49038" s="18" t="s">
        <v>316</v>
      </c>
    </row>
    <row r="49039">
      <c r="A49039" s="17"/>
      <c r="H49039" s="18"/>
      <c r="K49039" s="18" t="s">
        <v>316</v>
      </c>
    </row>
    <row r="49040">
      <c r="A49040" s="17"/>
      <c r="H49040" s="18"/>
      <c r="K49040" s="18" t="s">
        <v>316</v>
      </c>
    </row>
    <row r="49041">
      <c r="A49041" s="17"/>
      <c r="H49041" s="18"/>
      <c r="K49041" s="18" t="s">
        <v>316</v>
      </c>
    </row>
    <row r="49042">
      <c r="A49042" s="17"/>
      <c r="H49042" s="18"/>
      <c r="K49042" s="18" t="s">
        <v>316</v>
      </c>
    </row>
    <row r="49043">
      <c r="A49043" s="17"/>
      <c r="H49043" s="18"/>
      <c r="K49043" s="18" t="s">
        <v>316</v>
      </c>
    </row>
    <row r="49044">
      <c r="A49044" s="17"/>
      <c r="H49044" s="18"/>
      <c r="K49044" s="18" t="s">
        <v>316</v>
      </c>
    </row>
    <row r="49045">
      <c r="A49045" s="17"/>
      <c r="H49045" s="18"/>
      <c r="K49045" s="18" t="s">
        <v>316</v>
      </c>
    </row>
    <row r="49046">
      <c r="A49046" s="17"/>
      <c r="H49046" s="18"/>
      <c r="K49046" s="18" t="s">
        <v>316</v>
      </c>
    </row>
    <row r="49047">
      <c r="A49047" s="17"/>
      <c r="H49047" s="18"/>
      <c r="K49047" s="18" t="s">
        <v>316</v>
      </c>
    </row>
    <row r="49048">
      <c r="A49048" s="17"/>
      <c r="H49048" s="18"/>
      <c r="K49048" s="18" t="s">
        <v>316</v>
      </c>
    </row>
    <row r="49049">
      <c r="A49049" s="17"/>
      <c r="H49049" s="18"/>
      <c r="K49049" s="18" t="s">
        <v>316</v>
      </c>
    </row>
    <row r="49050">
      <c r="A49050" s="17"/>
      <c r="H49050" s="18"/>
      <c r="K49050" s="18" t="s">
        <v>316</v>
      </c>
    </row>
    <row r="49051">
      <c r="A49051" s="17"/>
      <c r="H49051" s="18"/>
      <c r="K49051" s="18" t="s">
        <v>316</v>
      </c>
    </row>
    <row r="49052">
      <c r="A49052" s="17"/>
      <c r="H49052" s="18"/>
      <c r="K49052" s="18" t="s">
        <v>316</v>
      </c>
    </row>
    <row r="49053">
      <c r="A49053" s="17"/>
      <c r="H49053" s="18"/>
      <c r="K49053" s="18" t="s">
        <v>316</v>
      </c>
    </row>
    <row r="49054">
      <c r="A49054" s="17"/>
      <c r="H49054" s="18"/>
      <c r="K49054" s="18" t="s">
        <v>316</v>
      </c>
    </row>
    <row r="49055">
      <c r="A49055" s="17"/>
      <c r="H49055" s="18"/>
      <c r="K49055" s="18" t="s">
        <v>316</v>
      </c>
    </row>
    <row r="49056">
      <c r="A49056" s="17"/>
      <c r="H49056" s="18"/>
      <c r="K49056" s="18" t="s">
        <v>316</v>
      </c>
    </row>
    <row r="49057">
      <c r="A49057" s="17"/>
      <c r="H49057" s="18"/>
      <c r="K49057" s="18" t="s">
        <v>316</v>
      </c>
    </row>
    <row r="49058">
      <c r="A49058" s="17"/>
      <c r="H49058" s="18"/>
      <c r="K49058" s="18" t="s">
        <v>316</v>
      </c>
    </row>
    <row r="49059">
      <c r="A49059" s="17"/>
      <c r="H49059" s="18"/>
      <c r="K49059" s="18" t="s">
        <v>316</v>
      </c>
    </row>
    <row r="49060">
      <c r="A49060" s="17"/>
      <c r="H49060" s="18"/>
      <c r="K49060" s="18" t="s">
        <v>316</v>
      </c>
    </row>
    <row r="49061">
      <c r="A49061" s="17"/>
      <c r="H49061" s="18"/>
      <c r="K49061" s="18" t="s">
        <v>316</v>
      </c>
    </row>
    <row r="49062">
      <c r="A49062" s="17"/>
      <c r="H49062" s="18"/>
      <c r="K49062" s="18" t="s">
        <v>316</v>
      </c>
    </row>
    <row r="49063">
      <c r="A49063" s="17"/>
      <c r="H49063" s="18"/>
      <c r="K49063" s="18" t="s">
        <v>316</v>
      </c>
    </row>
    <row r="49064">
      <c r="A49064" s="17"/>
      <c r="H49064" s="18"/>
      <c r="K49064" s="18" t="s">
        <v>316</v>
      </c>
    </row>
    <row r="49065">
      <c r="A49065" s="17"/>
      <c r="H49065" s="18"/>
      <c r="K49065" s="18" t="s">
        <v>316</v>
      </c>
    </row>
    <row r="49066">
      <c r="A49066" s="17"/>
      <c r="H49066" s="18"/>
      <c r="K49066" s="18" t="s">
        <v>316</v>
      </c>
    </row>
    <row r="49067">
      <c r="A49067" s="17"/>
      <c r="H49067" s="18"/>
      <c r="K49067" s="18" t="s">
        <v>316</v>
      </c>
    </row>
    <row r="49068">
      <c r="A49068" s="17"/>
      <c r="H49068" s="18"/>
      <c r="K49068" s="18" t="s">
        <v>316</v>
      </c>
    </row>
    <row r="49069">
      <c r="A49069" s="17"/>
      <c r="H49069" s="18"/>
      <c r="K49069" s="18" t="s">
        <v>316</v>
      </c>
    </row>
    <row r="49070">
      <c r="A49070" s="17"/>
      <c r="H49070" s="18"/>
      <c r="K49070" s="18" t="s">
        <v>316</v>
      </c>
    </row>
    <row r="49071">
      <c r="A49071" s="17"/>
      <c r="H49071" s="18"/>
      <c r="K49071" s="18" t="s">
        <v>316</v>
      </c>
    </row>
    <row r="49072">
      <c r="A49072" s="17"/>
      <c r="H49072" s="18"/>
      <c r="K49072" s="18" t="s">
        <v>316</v>
      </c>
    </row>
    <row r="49073">
      <c r="A49073" s="17"/>
      <c r="H49073" s="18"/>
      <c r="K49073" s="18" t="s">
        <v>316</v>
      </c>
    </row>
    <row r="49074">
      <c r="A49074" s="17"/>
      <c r="H49074" s="18"/>
      <c r="K49074" s="18" t="s">
        <v>316</v>
      </c>
    </row>
    <row r="49075">
      <c r="A49075" s="17"/>
      <c r="H49075" s="18"/>
      <c r="K49075" s="18" t="s">
        <v>316</v>
      </c>
    </row>
    <row r="49076">
      <c r="A49076" s="17"/>
      <c r="H49076" s="18"/>
      <c r="K49076" s="18" t="s">
        <v>316</v>
      </c>
    </row>
    <row r="49077">
      <c r="A49077" s="17"/>
      <c r="H49077" s="18"/>
      <c r="K49077" s="18" t="s">
        <v>316</v>
      </c>
    </row>
    <row r="49078">
      <c r="A49078" s="17"/>
      <c r="H49078" s="18"/>
      <c r="K49078" s="18" t="s">
        <v>316</v>
      </c>
    </row>
    <row r="49079">
      <c r="A49079" s="17"/>
      <c r="H49079" s="18"/>
      <c r="K49079" s="18" t="s">
        <v>316</v>
      </c>
    </row>
    <row r="49080">
      <c r="A49080" s="17"/>
      <c r="H49080" s="18"/>
      <c r="K49080" s="18" t="s">
        <v>316</v>
      </c>
    </row>
    <row r="49081">
      <c r="A49081" s="17"/>
      <c r="H49081" s="18"/>
      <c r="K49081" s="18" t="s">
        <v>316</v>
      </c>
    </row>
    <row r="49082">
      <c r="A49082" s="17"/>
      <c r="H49082" s="18"/>
      <c r="K49082" s="18" t="s">
        <v>316</v>
      </c>
    </row>
    <row r="49083">
      <c r="A49083" s="17"/>
      <c r="H49083" s="18"/>
      <c r="K49083" s="18" t="s">
        <v>316</v>
      </c>
    </row>
    <row r="49084">
      <c r="A49084" s="17"/>
      <c r="H49084" s="18"/>
      <c r="K49084" s="18" t="s">
        <v>316</v>
      </c>
    </row>
    <row r="49085">
      <c r="A49085" s="17"/>
      <c r="H49085" s="18"/>
      <c r="K49085" s="18" t="s">
        <v>316</v>
      </c>
    </row>
    <row r="49086">
      <c r="A49086" s="17"/>
      <c r="H49086" s="18"/>
      <c r="K49086" s="18" t="s">
        <v>316</v>
      </c>
    </row>
    <row r="49087">
      <c r="A49087" s="17"/>
      <c r="H49087" s="18"/>
      <c r="K49087" s="18" t="s">
        <v>316</v>
      </c>
    </row>
    <row r="49088">
      <c r="A49088" s="17"/>
      <c r="H49088" s="18"/>
      <c r="K49088" s="18" t="s">
        <v>316</v>
      </c>
    </row>
    <row r="49089">
      <c r="A49089" s="17"/>
      <c r="H49089" s="18"/>
      <c r="K49089" s="18" t="s">
        <v>316</v>
      </c>
    </row>
    <row r="49090">
      <c r="A49090" s="17"/>
      <c r="H49090" s="18"/>
      <c r="K49090" s="18" t="s">
        <v>316</v>
      </c>
    </row>
    <row r="49091">
      <c r="A49091" s="17"/>
      <c r="H49091" s="18"/>
      <c r="K49091" s="18" t="s">
        <v>316</v>
      </c>
    </row>
    <row r="49092">
      <c r="A49092" s="17"/>
      <c r="H49092" s="18"/>
      <c r="K49092" s="18" t="s">
        <v>316</v>
      </c>
    </row>
    <row r="49093">
      <c r="A49093" s="17"/>
      <c r="H49093" s="18"/>
      <c r="K49093" s="18" t="s">
        <v>316</v>
      </c>
    </row>
    <row r="49094">
      <c r="A49094" s="17"/>
      <c r="H49094" s="18"/>
      <c r="K49094" s="18" t="s">
        <v>316</v>
      </c>
    </row>
    <row r="49095">
      <c r="A49095" s="17"/>
      <c r="H49095" s="18"/>
      <c r="K49095" s="18" t="s">
        <v>316</v>
      </c>
    </row>
    <row r="49096">
      <c r="A49096" s="17"/>
      <c r="H49096" s="18"/>
      <c r="K49096" s="18" t="s">
        <v>316</v>
      </c>
    </row>
    <row r="49097">
      <c r="A49097" s="17"/>
      <c r="H49097" s="18"/>
      <c r="K49097" s="18" t="s">
        <v>316</v>
      </c>
    </row>
    <row r="49098">
      <c r="A49098" s="17"/>
      <c r="H49098" s="18"/>
      <c r="K49098" s="18" t="s">
        <v>316</v>
      </c>
    </row>
    <row r="49099">
      <c r="A49099" s="17"/>
      <c r="H49099" s="18"/>
      <c r="K49099" s="18" t="s">
        <v>316</v>
      </c>
    </row>
    <row r="49100">
      <c r="A49100" s="17"/>
      <c r="H49100" s="18"/>
      <c r="K49100" s="18" t="s">
        <v>316</v>
      </c>
    </row>
    <row r="49101">
      <c r="A49101" s="17"/>
      <c r="H49101" s="18"/>
      <c r="K49101" s="18" t="s">
        <v>316</v>
      </c>
    </row>
    <row r="49102">
      <c r="A49102" s="17"/>
      <c r="H49102" s="18"/>
      <c r="K49102" s="18" t="s">
        <v>316</v>
      </c>
    </row>
    <row r="49103">
      <c r="A49103" s="17"/>
      <c r="H49103" s="18"/>
      <c r="K49103" s="18" t="s">
        <v>316</v>
      </c>
    </row>
    <row r="49104">
      <c r="A49104" s="17"/>
      <c r="H49104" s="18"/>
      <c r="K49104" s="18" t="s">
        <v>316</v>
      </c>
    </row>
    <row r="49105">
      <c r="A49105" s="17"/>
      <c r="H49105" s="18"/>
      <c r="K49105" s="18" t="s">
        <v>316</v>
      </c>
    </row>
    <row r="49106">
      <c r="A49106" s="17"/>
      <c r="H49106" s="18"/>
      <c r="K49106" s="18" t="s">
        <v>316</v>
      </c>
    </row>
    <row r="49107">
      <c r="A49107" s="17"/>
      <c r="H49107" s="18"/>
      <c r="K49107" s="18" t="s">
        <v>316</v>
      </c>
    </row>
    <row r="49108">
      <c r="A49108" s="17"/>
      <c r="H49108" s="18"/>
      <c r="K49108" s="18" t="s">
        <v>316</v>
      </c>
    </row>
    <row r="49109">
      <c r="A49109" s="17"/>
      <c r="H49109" s="18"/>
      <c r="K49109" s="18" t="s">
        <v>316</v>
      </c>
    </row>
    <row r="49110">
      <c r="A49110" s="17"/>
      <c r="H49110" s="18"/>
      <c r="K49110" s="18" t="s">
        <v>316</v>
      </c>
    </row>
    <row r="49111">
      <c r="A49111" s="17"/>
      <c r="H49111" s="18"/>
      <c r="K49111" s="18" t="s">
        <v>316</v>
      </c>
    </row>
    <row r="49112">
      <c r="A49112" s="17"/>
      <c r="H49112" s="18"/>
      <c r="K49112" s="18" t="s">
        <v>316</v>
      </c>
    </row>
    <row r="49113">
      <c r="A49113" s="17"/>
      <c r="H49113" s="18"/>
      <c r="K49113" s="18" t="s">
        <v>316</v>
      </c>
    </row>
    <row r="49114">
      <c r="A49114" s="17"/>
      <c r="H49114" s="18"/>
      <c r="K49114" s="18" t="s">
        <v>316</v>
      </c>
    </row>
    <row r="49115">
      <c r="A49115" s="17"/>
      <c r="H49115" s="18"/>
      <c r="K49115" s="18" t="s">
        <v>316</v>
      </c>
    </row>
    <row r="49116">
      <c r="A49116" s="17"/>
      <c r="H49116" s="18"/>
      <c r="K49116" s="18" t="s">
        <v>316</v>
      </c>
    </row>
    <row r="49117">
      <c r="A49117" s="17"/>
      <c r="H49117" s="18"/>
      <c r="K49117" s="18" t="s">
        <v>316</v>
      </c>
    </row>
    <row r="49118">
      <c r="A49118" s="17"/>
      <c r="H49118" s="18"/>
      <c r="K49118" s="18" t="s">
        <v>316</v>
      </c>
    </row>
    <row r="49119">
      <c r="A49119" s="17"/>
      <c r="H49119" s="18"/>
      <c r="K49119" s="18" t="s">
        <v>316</v>
      </c>
    </row>
    <row r="49120">
      <c r="A49120" s="17"/>
      <c r="H49120" s="18"/>
      <c r="K49120" s="18" t="s">
        <v>316</v>
      </c>
    </row>
    <row r="49121">
      <c r="A49121" s="17"/>
      <c r="H49121" s="18"/>
      <c r="K49121" s="18" t="s">
        <v>316</v>
      </c>
    </row>
    <row r="49122">
      <c r="A49122" s="17"/>
      <c r="H49122" s="18"/>
      <c r="K49122" s="18" t="s">
        <v>316</v>
      </c>
    </row>
    <row r="49123">
      <c r="A49123" s="17"/>
      <c r="H49123" s="18"/>
      <c r="K49123" s="18" t="s">
        <v>316</v>
      </c>
    </row>
    <row r="49124">
      <c r="A49124" s="17"/>
      <c r="H49124" s="18"/>
      <c r="K49124" s="18" t="s">
        <v>316</v>
      </c>
    </row>
    <row r="49125">
      <c r="A49125" s="17"/>
      <c r="H49125" s="18"/>
      <c r="K49125" s="18" t="s">
        <v>316</v>
      </c>
    </row>
    <row r="49126">
      <c r="A49126" s="17"/>
      <c r="H49126" s="18"/>
      <c r="K49126" s="18" t="s">
        <v>316</v>
      </c>
    </row>
    <row r="49127">
      <c r="A49127" s="17"/>
      <c r="H49127" s="18"/>
      <c r="K49127" s="18" t="s">
        <v>316</v>
      </c>
    </row>
    <row r="49128">
      <c r="A49128" s="17"/>
      <c r="H49128" s="18"/>
      <c r="K49128" s="18" t="s">
        <v>316</v>
      </c>
    </row>
    <row r="49129">
      <c r="A49129" s="17"/>
      <c r="H49129" s="18"/>
      <c r="K49129" s="18" t="s">
        <v>316</v>
      </c>
    </row>
    <row r="49130">
      <c r="A49130" s="17"/>
      <c r="H49130" s="18"/>
      <c r="K49130" s="18" t="s">
        <v>316</v>
      </c>
    </row>
    <row r="49131">
      <c r="A49131" s="17"/>
      <c r="H49131" s="18"/>
      <c r="K49131" s="18" t="s">
        <v>316</v>
      </c>
    </row>
    <row r="49132">
      <c r="A49132" s="17"/>
      <c r="H49132" s="18"/>
      <c r="K49132" s="18" t="s">
        <v>316</v>
      </c>
    </row>
    <row r="49133">
      <c r="A49133" s="17"/>
      <c r="H49133" s="18"/>
      <c r="K49133" s="18" t="s">
        <v>316</v>
      </c>
    </row>
    <row r="49134">
      <c r="A49134" s="17"/>
      <c r="H49134" s="18"/>
      <c r="K49134" s="18" t="s">
        <v>316</v>
      </c>
    </row>
    <row r="49135">
      <c r="A49135" s="17"/>
      <c r="H49135" s="18"/>
      <c r="K49135" s="18" t="s">
        <v>316</v>
      </c>
    </row>
    <row r="49136">
      <c r="A49136" s="17"/>
      <c r="H49136" s="18"/>
      <c r="K49136" s="18" t="s">
        <v>316</v>
      </c>
    </row>
    <row r="49137">
      <c r="A49137" s="17"/>
      <c r="H49137" s="18"/>
      <c r="K49137" s="18" t="s">
        <v>316</v>
      </c>
    </row>
    <row r="49138">
      <c r="A49138" s="17"/>
      <c r="H49138" s="18"/>
      <c r="K49138" s="18" t="s">
        <v>316</v>
      </c>
    </row>
    <row r="49139">
      <c r="A49139" s="17"/>
      <c r="H49139" s="18"/>
      <c r="K49139" s="18" t="s">
        <v>316</v>
      </c>
    </row>
    <row r="49140">
      <c r="A49140" s="17"/>
      <c r="H49140" s="18"/>
      <c r="K49140" s="18" t="s">
        <v>316</v>
      </c>
    </row>
    <row r="49141">
      <c r="A49141" s="17"/>
      <c r="H49141" s="18"/>
      <c r="K49141" s="18" t="s">
        <v>316</v>
      </c>
    </row>
    <row r="49142">
      <c r="A49142" s="17"/>
      <c r="H49142" s="18"/>
      <c r="K49142" s="18" t="s">
        <v>316</v>
      </c>
    </row>
    <row r="49143">
      <c r="A49143" s="17"/>
      <c r="H49143" s="18"/>
      <c r="K49143" s="18" t="s">
        <v>316</v>
      </c>
    </row>
    <row r="49144">
      <c r="A49144" s="17"/>
      <c r="H49144" s="18"/>
      <c r="K49144" s="18" t="s">
        <v>316</v>
      </c>
    </row>
    <row r="49145">
      <c r="A49145" s="17"/>
      <c r="H49145" s="18"/>
      <c r="K49145" s="18" t="s">
        <v>316</v>
      </c>
    </row>
    <row r="49146">
      <c r="A49146" s="17"/>
      <c r="H49146" s="18"/>
      <c r="K49146" s="18" t="s">
        <v>316</v>
      </c>
    </row>
    <row r="49147">
      <c r="A49147" s="17"/>
      <c r="H49147" s="18"/>
      <c r="K49147" s="18" t="s">
        <v>316</v>
      </c>
    </row>
    <row r="49148">
      <c r="A49148" s="17"/>
      <c r="H49148" s="18"/>
      <c r="K49148" s="18" t="s">
        <v>316</v>
      </c>
    </row>
    <row r="49149">
      <c r="A49149" s="17"/>
      <c r="H49149" s="18"/>
      <c r="K49149" s="18" t="s">
        <v>316</v>
      </c>
    </row>
    <row r="49150">
      <c r="A49150" s="17"/>
      <c r="H49150" s="18"/>
      <c r="K49150" s="18" t="s">
        <v>316</v>
      </c>
    </row>
    <row r="49151">
      <c r="A49151" s="17"/>
      <c r="H49151" s="18"/>
      <c r="K49151" s="18" t="s">
        <v>316</v>
      </c>
    </row>
    <row r="49152">
      <c r="A49152" s="17"/>
      <c r="H49152" s="18"/>
      <c r="K49152" s="18" t="s">
        <v>316</v>
      </c>
    </row>
    <row r="49153">
      <c r="A49153" s="17"/>
      <c r="H49153" s="18"/>
      <c r="K49153" s="18" t="s">
        <v>316</v>
      </c>
    </row>
    <row r="49154">
      <c r="A49154" s="17"/>
      <c r="H49154" s="18"/>
      <c r="K49154" s="18" t="s">
        <v>316</v>
      </c>
    </row>
    <row r="49155">
      <c r="A49155" s="17"/>
      <c r="H49155" s="18"/>
      <c r="K49155" s="18" t="s">
        <v>316</v>
      </c>
    </row>
    <row r="49156">
      <c r="A49156" s="17"/>
      <c r="H49156" s="18"/>
      <c r="K49156" s="18" t="s">
        <v>316</v>
      </c>
    </row>
    <row r="49157">
      <c r="A49157" s="17"/>
      <c r="H49157" s="18"/>
      <c r="K49157" s="18" t="s">
        <v>316</v>
      </c>
    </row>
    <row r="49158">
      <c r="A49158" s="17"/>
      <c r="H49158" s="18"/>
      <c r="K49158" s="18" t="s">
        <v>316</v>
      </c>
    </row>
    <row r="49159">
      <c r="A49159" s="17"/>
      <c r="H49159" s="18"/>
      <c r="K49159" s="18" t="s">
        <v>316</v>
      </c>
    </row>
    <row r="49160">
      <c r="A49160" s="17"/>
      <c r="H49160" s="18"/>
      <c r="K49160" s="18" t="s">
        <v>316</v>
      </c>
    </row>
    <row r="49161">
      <c r="A49161" s="17"/>
      <c r="H49161" s="18"/>
      <c r="K49161" s="18" t="s">
        <v>316</v>
      </c>
    </row>
    <row r="49162">
      <c r="A49162" s="17"/>
      <c r="H49162" s="18"/>
      <c r="K49162" s="18" t="s">
        <v>316</v>
      </c>
    </row>
    <row r="49163">
      <c r="A49163" s="17"/>
      <c r="H49163" s="18"/>
      <c r="K49163" s="18" t="s">
        <v>316</v>
      </c>
    </row>
    <row r="49164">
      <c r="A49164" s="17"/>
      <c r="H49164" s="18"/>
      <c r="K49164" s="18" t="s">
        <v>316</v>
      </c>
    </row>
    <row r="49165">
      <c r="A49165" s="17"/>
      <c r="H49165" s="18"/>
      <c r="K49165" s="18" t="s">
        <v>316</v>
      </c>
    </row>
    <row r="49166">
      <c r="A49166" s="17"/>
      <c r="H49166" s="18"/>
      <c r="K49166" s="18" t="s">
        <v>316</v>
      </c>
    </row>
    <row r="49167">
      <c r="A49167" s="17"/>
      <c r="H49167" s="18"/>
      <c r="K49167" s="18" t="s">
        <v>316</v>
      </c>
    </row>
    <row r="49168">
      <c r="A49168" s="17"/>
      <c r="H49168" s="18"/>
      <c r="K49168" s="18" t="s">
        <v>316</v>
      </c>
    </row>
    <row r="49169">
      <c r="A49169" s="17"/>
      <c r="H49169" s="18"/>
      <c r="K49169" s="18" t="s">
        <v>316</v>
      </c>
    </row>
    <row r="49170">
      <c r="A49170" s="17"/>
      <c r="H49170" s="18"/>
      <c r="K49170" s="18" t="s">
        <v>316</v>
      </c>
    </row>
    <row r="49171">
      <c r="A49171" s="17"/>
      <c r="H49171" s="18"/>
      <c r="K49171" s="18" t="s">
        <v>316</v>
      </c>
    </row>
    <row r="49172">
      <c r="A49172" s="17"/>
      <c r="H49172" s="18"/>
      <c r="K49172" s="18" t="s">
        <v>316</v>
      </c>
    </row>
    <row r="49173">
      <c r="A49173" s="17"/>
      <c r="H49173" s="18"/>
      <c r="K49173" s="18" t="s">
        <v>316</v>
      </c>
    </row>
    <row r="49174">
      <c r="A49174" s="17"/>
      <c r="H49174" s="18"/>
      <c r="K49174" s="18" t="s">
        <v>316</v>
      </c>
    </row>
    <row r="49175">
      <c r="A49175" s="17"/>
      <c r="H49175" s="18"/>
      <c r="K49175" s="18" t="s">
        <v>316</v>
      </c>
    </row>
    <row r="49176">
      <c r="A49176" s="17"/>
      <c r="H49176" s="18"/>
      <c r="K49176" s="18" t="s">
        <v>316</v>
      </c>
    </row>
    <row r="49177">
      <c r="A49177" s="17"/>
      <c r="H49177" s="18"/>
      <c r="K49177" s="18" t="s">
        <v>316</v>
      </c>
    </row>
    <row r="49178">
      <c r="A49178" s="17"/>
      <c r="H49178" s="18"/>
      <c r="K49178" s="18" t="s">
        <v>316</v>
      </c>
    </row>
    <row r="49179">
      <c r="A49179" s="17"/>
      <c r="H49179" s="18"/>
      <c r="K49179" s="18" t="s">
        <v>316</v>
      </c>
    </row>
    <row r="49180">
      <c r="A49180" s="17"/>
      <c r="H49180" s="18"/>
      <c r="K49180" s="18" t="s">
        <v>316</v>
      </c>
    </row>
    <row r="49181">
      <c r="A49181" s="17"/>
      <c r="H49181" s="18"/>
      <c r="K49181" s="18" t="s">
        <v>316</v>
      </c>
    </row>
    <row r="49182">
      <c r="A49182" s="17"/>
      <c r="H49182" s="18"/>
      <c r="K49182" s="18" t="s">
        <v>316</v>
      </c>
    </row>
    <row r="49183">
      <c r="A49183" s="17"/>
      <c r="H49183" s="18"/>
      <c r="K49183" s="18" t="s">
        <v>316</v>
      </c>
    </row>
    <row r="49184">
      <c r="A49184" s="17"/>
      <c r="H49184" s="18"/>
      <c r="K49184" s="18" t="s">
        <v>316</v>
      </c>
    </row>
    <row r="49185">
      <c r="A49185" s="17"/>
      <c r="H49185" s="18"/>
      <c r="K49185" s="18" t="s">
        <v>316</v>
      </c>
    </row>
    <row r="49186">
      <c r="A49186" s="17"/>
      <c r="H49186" s="18"/>
      <c r="K49186" s="18" t="s">
        <v>316</v>
      </c>
    </row>
    <row r="49187">
      <c r="A49187" s="17"/>
      <c r="H49187" s="18"/>
      <c r="K49187" s="18" t="s">
        <v>316</v>
      </c>
    </row>
    <row r="49188">
      <c r="A49188" s="17"/>
      <c r="H49188" s="18"/>
      <c r="K49188" s="18" t="s">
        <v>316</v>
      </c>
    </row>
    <row r="49189">
      <c r="A49189" s="17"/>
      <c r="H49189" s="18"/>
      <c r="K49189" s="18" t="s">
        <v>316</v>
      </c>
    </row>
    <row r="49190">
      <c r="A49190" s="17"/>
      <c r="H49190" s="18"/>
      <c r="K49190" s="18" t="s">
        <v>316</v>
      </c>
    </row>
    <row r="49191">
      <c r="A49191" s="17"/>
      <c r="H49191" s="18"/>
      <c r="K49191" s="18" t="s">
        <v>316</v>
      </c>
    </row>
    <row r="49192">
      <c r="A49192" s="17"/>
      <c r="H49192" s="18"/>
      <c r="K49192" s="18" t="s">
        <v>316</v>
      </c>
    </row>
    <row r="49193">
      <c r="A49193" s="17"/>
      <c r="H49193" s="18"/>
      <c r="K49193" s="18" t="s">
        <v>316</v>
      </c>
    </row>
    <row r="49194">
      <c r="A49194" s="17"/>
      <c r="H49194" s="18"/>
      <c r="K49194" s="18" t="s">
        <v>316</v>
      </c>
    </row>
    <row r="49195">
      <c r="A49195" s="17"/>
      <c r="H49195" s="18"/>
      <c r="K49195" s="18" t="s">
        <v>316</v>
      </c>
    </row>
    <row r="49196">
      <c r="A49196" s="17"/>
      <c r="H49196" s="18"/>
      <c r="K49196" s="18" t="s">
        <v>316</v>
      </c>
    </row>
    <row r="49197">
      <c r="A49197" s="17"/>
      <c r="H49197" s="18"/>
      <c r="K49197" s="18" t="s">
        <v>316</v>
      </c>
    </row>
    <row r="49198">
      <c r="A49198" s="17"/>
      <c r="H49198" s="18"/>
      <c r="K49198" s="18" t="s">
        <v>316</v>
      </c>
    </row>
    <row r="49199">
      <c r="A49199" s="17"/>
      <c r="H49199" s="18"/>
      <c r="K49199" s="18" t="s">
        <v>316</v>
      </c>
    </row>
    <row r="49200">
      <c r="A49200" s="17"/>
      <c r="H49200" s="18"/>
      <c r="K49200" s="18" t="s">
        <v>316</v>
      </c>
    </row>
    <row r="49201">
      <c r="A49201" s="17"/>
      <c r="H49201" s="18"/>
      <c r="K49201" s="18" t="s">
        <v>316</v>
      </c>
    </row>
    <row r="49202">
      <c r="A49202" s="17"/>
      <c r="H49202" s="18"/>
      <c r="K49202" s="18" t="s">
        <v>316</v>
      </c>
    </row>
    <row r="49203">
      <c r="A49203" s="17"/>
      <c r="H49203" s="18"/>
      <c r="K49203" s="18" t="s">
        <v>316</v>
      </c>
    </row>
    <row r="49204">
      <c r="A49204" s="17"/>
      <c r="H49204" s="18"/>
      <c r="K49204" s="18" t="s">
        <v>316</v>
      </c>
    </row>
    <row r="49205">
      <c r="A49205" s="17"/>
      <c r="H49205" s="18"/>
      <c r="K49205" s="18" t="s">
        <v>316</v>
      </c>
    </row>
    <row r="49206">
      <c r="A49206" s="17"/>
      <c r="H49206" s="18"/>
      <c r="K49206" s="18" t="s">
        <v>316</v>
      </c>
    </row>
    <row r="49207">
      <c r="A49207" s="17"/>
      <c r="H49207" s="18"/>
      <c r="K49207" s="18" t="s">
        <v>316</v>
      </c>
    </row>
    <row r="49208">
      <c r="A49208" s="17"/>
      <c r="H49208" s="18"/>
      <c r="K49208" s="18" t="s">
        <v>316</v>
      </c>
    </row>
    <row r="49209">
      <c r="A49209" s="17"/>
      <c r="H49209" s="18"/>
      <c r="K49209" s="18" t="s">
        <v>316</v>
      </c>
    </row>
    <row r="49210">
      <c r="A49210" s="17"/>
      <c r="H49210" s="18"/>
      <c r="K49210" s="18" t="s">
        <v>316</v>
      </c>
    </row>
    <row r="49211">
      <c r="A49211" s="17"/>
      <c r="H49211" s="18"/>
      <c r="K49211" s="18" t="s">
        <v>316</v>
      </c>
    </row>
    <row r="49212">
      <c r="A49212" s="17"/>
      <c r="H49212" s="18"/>
      <c r="K49212" s="18" t="s">
        <v>316</v>
      </c>
    </row>
    <row r="49213">
      <c r="A49213" s="17"/>
      <c r="H49213" s="18"/>
      <c r="K49213" s="18" t="s">
        <v>316</v>
      </c>
    </row>
    <row r="49214">
      <c r="A49214" s="17"/>
      <c r="H49214" s="18"/>
      <c r="K49214" s="18" t="s">
        <v>316</v>
      </c>
    </row>
    <row r="49215">
      <c r="A49215" s="17"/>
      <c r="H49215" s="18"/>
      <c r="K49215" s="18" t="s">
        <v>316</v>
      </c>
    </row>
    <row r="49216">
      <c r="A49216" s="17"/>
      <c r="H49216" s="18"/>
      <c r="K49216" s="18" t="s">
        <v>316</v>
      </c>
    </row>
    <row r="49217">
      <c r="A49217" s="17"/>
      <c r="H49217" s="18"/>
      <c r="K49217" s="18" t="s">
        <v>316</v>
      </c>
    </row>
    <row r="49218">
      <c r="A49218" s="17"/>
      <c r="H49218" s="18"/>
      <c r="K49218" s="18" t="s">
        <v>316</v>
      </c>
    </row>
    <row r="49219">
      <c r="A49219" s="17"/>
      <c r="H49219" s="18"/>
      <c r="K49219" s="18" t="s">
        <v>316</v>
      </c>
    </row>
    <row r="49220">
      <c r="A49220" s="17"/>
      <c r="H49220" s="18"/>
      <c r="K49220" s="18" t="s">
        <v>316</v>
      </c>
    </row>
    <row r="49221">
      <c r="A49221" s="17"/>
      <c r="H49221" s="18"/>
      <c r="K49221" s="18" t="s">
        <v>316</v>
      </c>
    </row>
    <row r="49222">
      <c r="A49222" s="17"/>
      <c r="H49222" s="18"/>
      <c r="K49222" s="18" t="s">
        <v>316</v>
      </c>
    </row>
    <row r="49223">
      <c r="A49223" s="17"/>
      <c r="H49223" s="18"/>
      <c r="K49223" s="18" t="s">
        <v>316</v>
      </c>
    </row>
    <row r="49224">
      <c r="A49224" s="17"/>
      <c r="H49224" s="18"/>
      <c r="K49224" s="18" t="s">
        <v>316</v>
      </c>
    </row>
    <row r="49225">
      <c r="A49225" s="17"/>
      <c r="H49225" s="18"/>
      <c r="K49225" s="18" t="s">
        <v>316</v>
      </c>
    </row>
    <row r="49226">
      <c r="A49226" s="17"/>
      <c r="H49226" s="18"/>
      <c r="K49226" s="18" t="s">
        <v>316</v>
      </c>
    </row>
    <row r="49227">
      <c r="A49227" s="17"/>
      <c r="H49227" s="18"/>
      <c r="K49227" s="18" t="s">
        <v>316</v>
      </c>
    </row>
    <row r="49228">
      <c r="A49228" s="17"/>
      <c r="H49228" s="18"/>
      <c r="K49228" s="18" t="s">
        <v>316</v>
      </c>
    </row>
    <row r="49229">
      <c r="A49229" s="17"/>
      <c r="H49229" s="18"/>
      <c r="K49229" s="18" t="s">
        <v>316</v>
      </c>
    </row>
    <row r="49230">
      <c r="A49230" s="17"/>
      <c r="H49230" s="18"/>
      <c r="K49230" s="18" t="s">
        <v>316</v>
      </c>
    </row>
    <row r="49231">
      <c r="A49231" s="17"/>
      <c r="H49231" s="18"/>
      <c r="K49231" s="18" t="s">
        <v>316</v>
      </c>
    </row>
    <row r="49232">
      <c r="A49232" s="17"/>
      <c r="H49232" s="18"/>
      <c r="K49232" s="18" t="s">
        <v>316</v>
      </c>
    </row>
    <row r="49233">
      <c r="A49233" s="17"/>
      <c r="H49233" s="18"/>
      <c r="K49233" s="18" t="s">
        <v>316</v>
      </c>
    </row>
    <row r="49234">
      <c r="A49234" s="17"/>
      <c r="H49234" s="18"/>
      <c r="K49234" s="18" t="s">
        <v>316</v>
      </c>
    </row>
    <row r="49235">
      <c r="A49235" s="17"/>
      <c r="H49235" s="18"/>
      <c r="K49235" s="18" t="s">
        <v>316</v>
      </c>
    </row>
    <row r="49236">
      <c r="A49236" s="17"/>
      <c r="H49236" s="18"/>
      <c r="K49236" s="18" t="s">
        <v>316</v>
      </c>
    </row>
    <row r="49237">
      <c r="A49237" s="17"/>
      <c r="H49237" s="18"/>
      <c r="K49237" s="18" t="s">
        <v>316</v>
      </c>
    </row>
    <row r="49238">
      <c r="A49238" s="17"/>
      <c r="H49238" s="18"/>
      <c r="K49238" s="18" t="s">
        <v>316</v>
      </c>
    </row>
    <row r="49239">
      <c r="A49239" s="17"/>
      <c r="H49239" s="18"/>
      <c r="K49239" s="18" t="s">
        <v>316</v>
      </c>
    </row>
    <row r="49240">
      <c r="A49240" s="17"/>
      <c r="H49240" s="18"/>
      <c r="K49240" s="18" t="s">
        <v>316</v>
      </c>
    </row>
    <row r="49241">
      <c r="A49241" s="17"/>
      <c r="H49241" s="18"/>
      <c r="K49241" s="18" t="s">
        <v>316</v>
      </c>
    </row>
    <row r="49242">
      <c r="A49242" s="17"/>
      <c r="H49242" s="18"/>
      <c r="K49242" s="18" t="s">
        <v>316</v>
      </c>
    </row>
    <row r="49243">
      <c r="A49243" s="17"/>
      <c r="H49243" s="18"/>
      <c r="K49243" s="18" t="s">
        <v>316</v>
      </c>
    </row>
    <row r="49244">
      <c r="A49244" s="17"/>
      <c r="H49244" s="18"/>
      <c r="K49244" s="18" t="s">
        <v>316</v>
      </c>
    </row>
    <row r="49245">
      <c r="A49245" s="17"/>
      <c r="H49245" s="18"/>
      <c r="K49245" s="18" t="s">
        <v>316</v>
      </c>
    </row>
    <row r="49246">
      <c r="A49246" s="17"/>
      <c r="H49246" s="18"/>
      <c r="K49246" s="18" t="s">
        <v>316</v>
      </c>
    </row>
    <row r="49247">
      <c r="A49247" s="17"/>
      <c r="H49247" s="18"/>
      <c r="K49247" s="18" t="s">
        <v>316</v>
      </c>
    </row>
    <row r="49248">
      <c r="A49248" s="17"/>
      <c r="H49248" s="18"/>
      <c r="K49248" s="18" t="s">
        <v>316</v>
      </c>
    </row>
    <row r="49249">
      <c r="A49249" s="17"/>
      <c r="H49249" s="18"/>
      <c r="K49249" s="18" t="s">
        <v>316</v>
      </c>
    </row>
    <row r="49250">
      <c r="A49250" s="17"/>
      <c r="H49250" s="18"/>
      <c r="K49250" s="18" t="s">
        <v>316</v>
      </c>
    </row>
    <row r="49251">
      <c r="A49251" s="17"/>
      <c r="H49251" s="18"/>
      <c r="K49251" s="18" t="s">
        <v>316</v>
      </c>
    </row>
    <row r="49252">
      <c r="A49252" s="17"/>
      <c r="H49252" s="18"/>
      <c r="K49252" s="18" t="s">
        <v>316</v>
      </c>
    </row>
    <row r="49253">
      <c r="A49253" s="17"/>
      <c r="H49253" s="18"/>
      <c r="K49253" s="18" t="s">
        <v>316</v>
      </c>
    </row>
    <row r="49254">
      <c r="A49254" s="17"/>
      <c r="H49254" s="18"/>
      <c r="K49254" s="18" t="s">
        <v>316</v>
      </c>
    </row>
    <row r="49255">
      <c r="A49255" s="17"/>
      <c r="H49255" s="18"/>
      <c r="K49255" s="18" t="s">
        <v>316</v>
      </c>
    </row>
    <row r="49256">
      <c r="A49256" s="17"/>
      <c r="H49256" s="18"/>
      <c r="K49256" s="18" t="s">
        <v>316</v>
      </c>
    </row>
    <row r="49257">
      <c r="A49257" s="17"/>
      <c r="H49257" s="18"/>
      <c r="K49257" s="18" t="s">
        <v>316</v>
      </c>
    </row>
    <row r="49258">
      <c r="A49258" s="17"/>
      <c r="H49258" s="18"/>
      <c r="K49258" s="18" t="s">
        <v>316</v>
      </c>
    </row>
    <row r="49259">
      <c r="A49259" s="17"/>
      <c r="H49259" s="18"/>
      <c r="K49259" s="18" t="s">
        <v>316</v>
      </c>
    </row>
    <row r="49260">
      <c r="A49260" s="17"/>
      <c r="H49260" s="18"/>
      <c r="K49260" s="18" t="s">
        <v>316</v>
      </c>
    </row>
    <row r="49261">
      <c r="A49261" s="17"/>
      <c r="H49261" s="18"/>
      <c r="K49261" s="18" t="s">
        <v>316</v>
      </c>
    </row>
    <row r="49262">
      <c r="A49262" s="17"/>
      <c r="H49262" s="18"/>
      <c r="K49262" s="18" t="s">
        <v>316</v>
      </c>
    </row>
    <row r="49263">
      <c r="A49263" s="17"/>
      <c r="H49263" s="18"/>
      <c r="K49263" s="18" t="s">
        <v>316</v>
      </c>
    </row>
    <row r="49264">
      <c r="A49264" s="17"/>
      <c r="H49264" s="18"/>
      <c r="K49264" s="18" t="s">
        <v>316</v>
      </c>
    </row>
    <row r="49265">
      <c r="A49265" s="17"/>
      <c r="H49265" s="18"/>
      <c r="K49265" s="18" t="s">
        <v>316</v>
      </c>
    </row>
    <row r="49266">
      <c r="A49266" s="17"/>
      <c r="H49266" s="18"/>
      <c r="K49266" s="18" t="s">
        <v>316</v>
      </c>
    </row>
    <row r="49267">
      <c r="A49267" s="17"/>
      <c r="H49267" s="18"/>
      <c r="K49267" s="18" t="s">
        <v>316</v>
      </c>
    </row>
    <row r="49268">
      <c r="A49268" s="17"/>
      <c r="H49268" s="18"/>
      <c r="K49268" s="18" t="s">
        <v>316</v>
      </c>
    </row>
    <row r="49269">
      <c r="A49269" s="17"/>
      <c r="H49269" s="18"/>
      <c r="K49269" s="18" t="s">
        <v>316</v>
      </c>
    </row>
    <row r="49270">
      <c r="A49270" s="17"/>
      <c r="H49270" s="18"/>
      <c r="K49270" s="18" t="s">
        <v>316</v>
      </c>
    </row>
    <row r="49271">
      <c r="A49271" s="17"/>
      <c r="H49271" s="18"/>
      <c r="K49271" s="18" t="s">
        <v>316</v>
      </c>
    </row>
    <row r="49272">
      <c r="A49272" s="17"/>
      <c r="H49272" s="18"/>
      <c r="K49272" s="18" t="s">
        <v>316</v>
      </c>
    </row>
    <row r="49273">
      <c r="A49273" s="17"/>
      <c r="H49273" s="18"/>
      <c r="K49273" s="18" t="s">
        <v>316</v>
      </c>
    </row>
    <row r="49274">
      <c r="A49274" s="17"/>
      <c r="H49274" s="18"/>
      <c r="K49274" s="18" t="s">
        <v>316</v>
      </c>
    </row>
    <row r="49275">
      <c r="A49275" s="17"/>
      <c r="H49275" s="18"/>
      <c r="K49275" s="18" t="s">
        <v>316</v>
      </c>
    </row>
    <row r="49276">
      <c r="A49276" s="17"/>
      <c r="H49276" s="18"/>
      <c r="K49276" s="18" t="s">
        <v>316</v>
      </c>
    </row>
    <row r="49277">
      <c r="A49277" s="17"/>
      <c r="H49277" s="18"/>
      <c r="K49277" s="18" t="s">
        <v>316</v>
      </c>
    </row>
    <row r="49278">
      <c r="A49278" s="17"/>
      <c r="H49278" s="18"/>
      <c r="K49278" s="18" t="s">
        <v>316</v>
      </c>
    </row>
    <row r="49279">
      <c r="A49279" s="17"/>
      <c r="H49279" s="18"/>
      <c r="K49279" s="18" t="s">
        <v>316</v>
      </c>
    </row>
    <row r="49280">
      <c r="A49280" s="17"/>
      <c r="H49280" s="18"/>
      <c r="K49280" s="18" t="s">
        <v>316</v>
      </c>
    </row>
    <row r="49281">
      <c r="A49281" s="17"/>
      <c r="H49281" s="18"/>
      <c r="K49281" s="18" t="s">
        <v>316</v>
      </c>
    </row>
    <row r="49282">
      <c r="A49282" s="17"/>
      <c r="H49282" s="18"/>
      <c r="K49282" s="18" t="s">
        <v>316</v>
      </c>
    </row>
    <row r="49283">
      <c r="A49283" s="17"/>
      <c r="H49283" s="18"/>
      <c r="K49283" s="18" t="s">
        <v>316</v>
      </c>
    </row>
    <row r="49284">
      <c r="A49284" s="17"/>
      <c r="H49284" s="18"/>
      <c r="K49284" s="18" t="s">
        <v>316</v>
      </c>
    </row>
    <row r="49285">
      <c r="A49285" s="17"/>
      <c r="H49285" s="18"/>
      <c r="K49285" s="18" t="s">
        <v>316</v>
      </c>
    </row>
    <row r="49286">
      <c r="A49286" s="17"/>
      <c r="H49286" s="18"/>
      <c r="K49286" s="18" t="s">
        <v>316</v>
      </c>
    </row>
    <row r="49287">
      <c r="A49287" s="17"/>
      <c r="H49287" s="18"/>
      <c r="K49287" s="18" t="s">
        <v>316</v>
      </c>
    </row>
    <row r="49288">
      <c r="A49288" s="17"/>
      <c r="H49288" s="18"/>
      <c r="K49288" s="18" t="s">
        <v>316</v>
      </c>
    </row>
    <row r="49289">
      <c r="A49289" s="17"/>
      <c r="H49289" s="18"/>
      <c r="K49289" s="18" t="s">
        <v>316</v>
      </c>
    </row>
    <row r="49290">
      <c r="A49290" s="17"/>
      <c r="H49290" s="18"/>
      <c r="K49290" s="18" t="s">
        <v>316</v>
      </c>
    </row>
    <row r="49291">
      <c r="A49291" s="17"/>
      <c r="H49291" s="18"/>
      <c r="K49291" s="18" t="s">
        <v>316</v>
      </c>
    </row>
    <row r="49292">
      <c r="A49292" s="17"/>
      <c r="H49292" s="18"/>
      <c r="K49292" s="18" t="s">
        <v>316</v>
      </c>
    </row>
    <row r="49293">
      <c r="A49293" s="17"/>
      <c r="H49293" s="18"/>
      <c r="K49293" s="18" t="s">
        <v>316</v>
      </c>
    </row>
    <row r="49294">
      <c r="A49294" s="17"/>
      <c r="H49294" s="18"/>
      <c r="K49294" s="18" t="s">
        <v>316</v>
      </c>
    </row>
    <row r="49295">
      <c r="A49295" s="17"/>
      <c r="H49295" s="18"/>
      <c r="K49295" s="18" t="s">
        <v>316</v>
      </c>
    </row>
    <row r="49296">
      <c r="A49296" s="17"/>
      <c r="H49296" s="18"/>
      <c r="K49296" s="18" t="s">
        <v>316</v>
      </c>
    </row>
    <row r="49297">
      <c r="A49297" s="17"/>
      <c r="H49297" s="18"/>
      <c r="K49297" s="18" t="s">
        <v>316</v>
      </c>
    </row>
    <row r="49298">
      <c r="A49298" s="17"/>
      <c r="H49298" s="18"/>
      <c r="K49298" s="18" t="s">
        <v>316</v>
      </c>
    </row>
    <row r="49299">
      <c r="A49299" s="17"/>
      <c r="H49299" s="18"/>
      <c r="K49299" s="18" t="s">
        <v>316</v>
      </c>
    </row>
    <row r="49300">
      <c r="A49300" s="17"/>
      <c r="H49300" s="18"/>
      <c r="K49300" s="18" t="s">
        <v>316</v>
      </c>
    </row>
    <row r="49301">
      <c r="A49301" s="17"/>
      <c r="H49301" s="18"/>
      <c r="K49301" s="18" t="s">
        <v>316</v>
      </c>
    </row>
    <row r="49302">
      <c r="A49302" s="17"/>
      <c r="H49302" s="18"/>
      <c r="K49302" s="18" t="s">
        <v>316</v>
      </c>
    </row>
    <row r="49303">
      <c r="A49303" s="17"/>
      <c r="H49303" s="18"/>
      <c r="K49303" s="18" t="s">
        <v>316</v>
      </c>
    </row>
    <row r="49304">
      <c r="A49304" s="17"/>
      <c r="H49304" s="18"/>
      <c r="K49304" s="18" t="s">
        <v>316</v>
      </c>
    </row>
    <row r="49305">
      <c r="A49305" s="17"/>
      <c r="H49305" s="18"/>
      <c r="K49305" s="18" t="s">
        <v>316</v>
      </c>
    </row>
    <row r="49306">
      <c r="A49306" s="17"/>
      <c r="H49306" s="18"/>
      <c r="K49306" s="18" t="s">
        <v>316</v>
      </c>
    </row>
    <row r="49307">
      <c r="A49307" s="17"/>
      <c r="H49307" s="18"/>
      <c r="K49307" s="18" t="s">
        <v>316</v>
      </c>
    </row>
    <row r="49308">
      <c r="A49308" s="17"/>
      <c r="H49308" s="18"/>
      <c r="K49308" s="18" t="s">
        <v>316</v>
      </c>
    </row>
    <row r="49309">
      <c r="A49309" s="17"/>
      <c r="H49309" s="18"/>
      <c r="K49309" s="18" t="s">
        <v>316</v>
      </c>
    </row>
    <row r="49310">
      <c r="A49310" s="17"/>
      <c r="H49310" s="18"/>
      <c r="K49310" s="18" t="s">
        <v>316</v>
      </c>
    </row>
    <row r="49311">
      <c r="A49311" s="17"/>
      <c r="H49311" s="18"/>
      <c r="K49311" s="18" t="s">
        <v>316</v>
      </c>
    </row>
    <row r="49312">
      <c r="A49312" s="17"/>
      <c r="H49312" s="18"/>
      <c r="K49312" s="18" t="s">
        <v>316</v>
      </c>
    </row>
    <row r="49313">
      <c r="A49313" s="17"/>
      <c r="H49313" s="18"/>
      <c r="K49313" s="18" t="s">
        <v>316</v>
      </c>
    </row>
    <row r="49314">
      <c r="A49314" s="17"/>
      <c r="H49314" s="18"/>
      <c r="K49314" s="18" t="s">
        <v>316</v>
      </c>
    </row>
    <row r="49315">
      <c r="A49315" s="17"/>
      <c r="H49315" s="18"/>
      <c r="K49315" s="18" t="s">
        <v>316</v>
      </c>
    </row>
    <row r="49316">
      <c r="A49316" s="17"/>
      <c r="H49316" s="18"/>
      <c r="K49316" s="18" t="s">
        <v>316</v>
      </c>
    </row>
    <row r="49317">
      <c r="A49317" s="17"/>
      <c r="H49317" s="18"/>
      <c r="K49317" s="18" t="s">
        <v>316</v>
      </c>
    </row>
    <row r="49318">
      <c r="A49318" s="17"/>
      <c r="H49318" s="18"/>
      <c r="K49318" s="18" t="s">
        <v>316</v>
      </c>
    </row>
    <row r="49319">
      <c r="A49319" s="17"/>
      <c r="H49319" s="18"/>
      <c r="K49319" s="18" t="s">
        <v>316</v>
      </c>
    </row>
    <row r="49320">
      <c r="A49320" s="17"/>
      <c r="H49320" s="18"/>
      <c r="K49320" s="18" t="s">
        <v>316</v>
      </c>
    </row>
    <row r="49321">
      <c r="A49321" s="17"/>
      <c r="H49321" s="18"/>
      <c r="K49321" s="18" t="s">
        <v>316</v>
      </c>
    </row>
    <row r="49322">
      <c r="A49322" s="17"/>
      <c r="H49322" s="18"/>
      <c r="K49322" s="18" t="s">
        <v>316</v>
      </c>
    </row>
    <row r="49323">
      <c r="A49323" s="17"/>
      <c r="H49323" s="18"/>
      <c r="K49323" s="18" t="s">
        <v>316</v>
      </c>
    </row>
    <row r="49324">
      <c r="A49324" s="17"/>
      <c r="H49324" s="18"/>
      <c r="K49324" s="18" t="s">
        <v>316</v>
      </c>
    </row>
    <row r="49325">
      <c r="A49325" s="17"/>
      <c r="H49325" s="18"/>
      <c r="K49325" s="18" t="s">
        <v>316</v>
      </c>
    </row>
    <row r="49326">
      <c r="A49326" s="17"/>
      <c r="H49326" s="18"/>
      <c r="K49326" s="18" t="s">
        <v>316</v>
      </c>
    </row>
    <row r="49327">
      <c r="A49327" s="17"/>
      <c r="H49327" s="18"/>
      <c r="K49327" s="18" t="s">
        <v>316</v>
      </c>
    </row>
    <row r="49328">
      <c r="A49328" s="17"/>
      <c r="H49328" s="18"/>
      <c r="K49328" s="18" t="s">
        <v>316</v>
      </c>
    </row>
    <row r="49329">
      <c r="A49329" s="17"/>
      <c r="H49329" s="18"/>
      <c r="K49329" s="18" t="s">
        <v>316</v>
      </c>
    </row>
    <row r="49330">
      <c r="A49330" s="17"/>
      <c r="H49330" s="18"/>
      <c r="K49330" s="18" t="s">
        <v>316</v>
      </c>
    </row>
    <row r="49331">
      <c r="A49331" s="17"/>
      <c r="H49331" s="18"/>
      <c r="K49331" s="18" t="s">
        <v>316</v>
      </c>
    </row>
    <row r="49332">
      <c r="A49332" s="17"/>
      <c r="H49332" s="18"/>
      <c r="K49332" s="18" t="s">
        <v>316</v>
      </c>
    </row>
    <row r="49333">
      <c r="A49333" s="17"/>
      <c r="H49333" s="18"/>
      <c r="K49333" s="18" t="s">
        <v>316</v>
      </c>
    </row>
    <row r="49334">
      <c r="A49334" s="17"/>
      <c r="H49334" s="18"/>
      <c r="K49334" s="18" t="s">
        <v>316</v>
      </c>
    </row>
    <row r="49335">
      <c r="A49335" s="17"/>
      <c r="H49335" s="18"/>
      <c r="K49335" s="18" t="s">
        <v>316</v>
      </c>
    </row>
    <row r="49336">
      <c r="A49336" s="17"/>
      <c r="H49336" s="18"/>
      <c r="K49336" s="18" t="s">
        <v>316</v>
      </c>
    </row>
    <row r="49337">
      <c r="A49337" s="17"/>
      <c r="H49337" s="18"/>
      <c r="K49337" s="18" t="s">
        <v>316</v>
      </c>
    </row>
    <row r="49338">
      <c r="A49338" s="17"/>
      <c r="H49338" s="18"/>
      <c r="K49338" s="18" t="s">
        <v>316</v>
      </c>
    </row>
    <row r="49339">
      <c r="A49339" s="17"/>
      <c r="H49339" s="18"/>
      <c r="K49339" s="18" t="s">
        <v>316</v>
      </c>
    </row>
    <row r="49340">
      <c r="A49340" s="17"/>
      <c r="H49340" s="18"/>
      <c r="K49340" s="18" t="s">
        <v>316</v>
      </c>
    </row>
    <row r="49341">
      <c r="A49341" s="17"/>
      <c r="H49341" s="18"/>
      <c r="K49341" s="18" t="s">
        <v>316</v>
      </c>
    </row>
    <row r="49342">
      <c r="A49342" s="17"/>
      <c r="H49342" s="18"/>
      <c r="K49342" s="18" t="s">
        <v>316</v>
      </c>
    </row>
    <row r="49343">
      <c r="A49343" s="17"/>
      <c r="H49343" s="18"/>
      <c r="K49343" s="18" t="s">
        <v>316</v>
      </c>
    </row>
    <row r="49344">
      <c r="A49344" s="17"/>
      <c r="H49344" s="18"/>
      <c r="K49344" s="18" t="s">
        <v>316</v>
      </c>
    </row>
    <row r="49345">
      <c r="A49345" s="17"/>
      <c r="H49345" s="18"/>
      <c r="K49345" s="18" t="s">
        <v>316</v>
      </c>
    </row>
    <row r="49346">
      <c r="A49346" s="17"/>
      <c r="H49346" s="18"/>
      <c r="K49346" s="18" t="s">
        <v>316</v>
      </c>
    </row>
    <row r="49347">
      <c r="A49347" s="17"/>
      <c r="H49347" s="18"/>
      <c r="K49347" s="18" t="s">
        <v>316</v>
      </c>
    </row>
    <row r="49348">
      <c r="A49348" s="17"/>
      <c r="H49348" s="18"/>
      <c r="K49348" s="18" t="s">
        <v>316</v>
      </c>
    </row>
    <row r="49349">
      <c r="A49349" s="17"/>
      <c r="H49349" s="18"/>
      <c r="K49349" s="18" t="s">
        <v>316</v>
      </c>
    </row>
    <row r="49350">
      <c r="A49350" s="17"/>
      <c r="H49350" s="18"/>
      <c r="K49350" s="18" t="s">
        <v>316</v>
      </c>
    </row>
    <row r="49351">
      <c r="A49351" s="17"/>
      <c r="H49351" s="18"/>
      <c r="K49351" s="18" t="s">
        <v>316</v>
      </c>
    </row>
    <row r="49352">
      <c r="A49352" s="17"/>
      <c r="H49352" s="18"/>
      <c r="K49352" s="18" t="s">
        <v>316</v>
      </c>
    </row>
    <row r="49353">
      <c r="A49353" s="17"/>
      <c r="H49353" s="18"/>
      <c r="K49353" s="18" t="s">
        <v>316</v>
      </c>
    </row>
    <row r="49354">
      <c r="A49354" s="17"/>
      <c r="H49354" s="18"/>
      <c r="K49354" s="18" t="s">
        <v>316</v>
      </c>
    </row>
    <row r="49355">
      <c r="A49355" s="17"/>
      <c r="H49355" s="18"/>
      <c r="K49355" s="18" t="s">
        <v>316</v>
      </c>
    </row>
    <row r="49356">
      <c r="A49356" s="17"/>
      <c r="H49356" s="18"/>
      <c r="K49356" s="18" t="s">
        <v>316</v>
      </c>
    </row>
    <row r="49357">
      <c r="A49357" s="17"/>
      <c r="H49357" s="18"/>
      <c r="K49357" s="18" t="s">
        <v>316</v>
      </c>
    </row>
    <row r="49358">
      <c r="A49358" s="17"/>
      <c r="H49358" s="18"/>
      <c r="K49358" s="18" t="s">
        <v>316</v>
      </c>
    </row>
    <row r="49359">
      <c r="A49359" s="17"/>
      <c r="H49359" s="18"/>
      <c r="K49359" s="18" t="s">
        <v>316</v>
      </c>
    </row>
    <row r="49360">
      <c r="A49360" s="17"/>
      <c r="H49360" s="18"/>
      <c r="K49360" s="18" t="s">
        <v>316</v>
      </c>
    </row>
    <row r="49361">
      <c r="A49361" s="17"/>
      <c r="H49361" s="18"/>
      <c r="K49361" s="18" t="s">
        <v>316</v>
      </c>
    </row>
    <row r="49362">
      <c r="A49362" s="17"/>
      <c r="H49362" s="18"/>
      <c r="K49362" s="18" t="s">
        <v>316</v>
      </c>
    </row>
    <row r="49363">
      <c r="A49363" s="17"/>
      <c r="H49363" s="18"/>
      <c r="K49363" s="18" t="s">
        <v>316</v>
      </c>
    </row>
    <row r="49364">
      <c r="A49364" s="17"/>
      <c r="H49364" s="18"/>
      <c r="K49364" s="18" t="s">
        <v>316</v>
      </c>
    </row>
    <row r="49365">
      <c r="A49365" s="17"/>
      <c r="H49365" s="18"/>
      <c r="K49365" s="18" t="s">
        <v>316</v>
      </c>
    </row>
    <row r="49366">
      <c r="A49366" s="17"/>
      <c r="H49366" s="18"/>
      <c r="K49366" s="18" t="s">
        <v>316</v>
      </c>
    </row>
    <row r="49367">
      <c r="A49367" s="17"/>
      <c r="H49367" s="18"/>
      <c r="K49367" s="18" t="s">
        <v>316</v>
      </c>
    </row>
    <row r="49368">
      <c r="A49368" s="17"/>
      <c r="H49368" s="18"/>
      <c r="K49368" s="18" t="s">
        <v>316</v>
      </c>
    </row>
    <row r="49369">
      <c r="A49369" s="17"/>
      <c r="H49369" s="18"/>
      <c r="K49369" s="18" t="s">
        <v>316</v>
      </c>
    </row>
    <row r="49370">
      <c r="A49370" s="17"/>
      <c r="H49370" s="18"/>
      <c r="K49370" s="18" t="s">
        <v>316</v>
      </c>
    </row>
    <row r="49371">
      <c r="A49371" s="17"/>
      <c r="H49371" s="18"/>
      <c r="K49371" s="18" t="s">
        <v>316</v>
      </c>
    </row>
    <row r="49372">
      <c r="A49372" s="17"/>
      <c r="H49372" s="18"/>
      <c r="K49372" s="18" t="s">
        <v>316</v>
      </c>
    </row>
    <row r="49373">
      <c r="A49373" s="17"/>
      <c r="H49373" s="18"/>
      <c r="K49373" s="18" t="s">
        <v>316</v>
      </c>
    </row>
    <row r="49374">
      <c r="A49374" s="17"/>
      <c r="H49374" s="18"/>
      <c r="K49374" s="18" t="s">
        <v>316</v>
      </c>
    </row>
    <row r="49375">
      <c r="A49375" s="17"/>
      <c r="H49375" s="18"/>
      <c r="K49375" s="18" t="s">
        <v>316</v>
      </c>
    </row>
    <row r="49376">
      <c r="A49376" s="17"/>
      <c r="H49376" s="18"/>
      <c r="K49376" s="18" t="s">
        <v>316</v>
      </c>
    </row>
    <row r="49377">
      <c r="A49377" s="17"/>
      <c r="H49377" s="18"/>
      <c r="K49377" s="18" t="s">
        <v>316</v>
      </c>
    </row>
    <row r="49378">
      <c r="A49378" s="17"/>
      <c r="H49378" s="18"/>
      <c r="K49378" s="18" t="s">
        <v>316</v>
      </c>
    </row>
    <row r="49379">
      <c r="A49379" s="17"/>
      <c r="H49379" s="18"/>
      <c r="K49379" s="18" t="s">
        <v>316</v>
      </c>
    </row>
    <row r="49380">
      <c r="A49380" s="17"/>
      <c r="H49380" s="18"/>
      <c r="K49380" s="18" t="s">
        <v>316</v>
      </c>
    </row>
    <row r="49381">
      <c r="A49381" s="17"/>
      <c r="H49381" s="18"/>
      <c r="K49381" s="18" t="s">
        <v>316</v>
      </c>
    </row>
    <row r="49382">
      <c r="A49382" s="17"/>
      <c r="H49382" s="18"/>
      <c r="K49382" s="18" t="s">
        <v>316</v>
      </c>
    </row>
    <row r="49383">
      <c r="A49383" s="17"/>
      <c r="H49383" s="18"/>
      <c r="K49383" s="18" t="s">
        <v>316</v>
      </c>
    </row>
    <row r="49384">
      <c r="A49384" s="17"/>
      <c r="H49384" s="18"/>
      <c r="K49384" s="18" t="s">
        <v>316</v>
      </c>
    </row>
    <row r="49385">
      <c r="A49385" s="17"/>
      <c r="H49385" s="18"/>
      <c r="K49385" s="18" t="s">
        <v>316</v>
      </c>
    </row>
    <row r="49386">
      <c r="A49386" s="17"/>
      <c r="H49386" s="18"/>
      <c r="K49386" s="18" t="s">
        <v>316</v>
      </c>
    </row>
    <row r="49387">
      <c r="A49387" s="17"/>
      <c r="H49387" s="18"/>
      <c r="K49387" s="18" t="s">
        <v>316</v>
      </c>
    </row>
    <row r="49388">
      <c r="A49388" s="17"/>
      <c r="H49388" s="18"/>
      <c r="K49388" s="18" t="s">
        <v>316</v>
      </c>
    </row>
    <row r="49389">
      <c r="A49389" s="17"/>
      <c r="H49389" s="18"/>
      <c r="K49389" s="18" t="s">
        <v>316</v>
      </c>
    </row>
    <row r="49390">
      <c r="A49390" s="17"/>
      <c r="H49390" s="18"/>
      <c r="K49390" s="18" t="s">
        <v>316</v>
      </c>
    </row>
    <row r="49391">
      <c r="A49391" s="17"/>
      <c r="H49391" s="18"/>
      <c r="K49391" s="18" t="s">
        <v>316</v>
      </c>
    </row>
    <row r="49392">
      <c r="A49392" s="17"/>
      <c r="H49392" s="18"/>
      <c r="K49392" s="18" t="s">
        <v>316</v>
      </c>
    </row>
    <row r="49393">
      <c r="A49393" s="17"/>
      <c r="H49393" s="18"/>
      <c r="K49393" s="18" t="s">
        <v>316</v>
      </c>
    </row>
    <row r="49394">
      <c r="A49394" s="17"/>
      <c r="H49394" s="18"/>
      <c r="K49394" s="18" t="s">
        <v>316</v>
      </c>
    </row>
    <row r="49395">
      <c r="A49395" s="17"/>
      <c r="H49395" s="18"/>
      <c r="K49395" s="18" t="s">
        <v>316</v>
      </c>
    </row>
    <row r="49396">
      <c r="A49396" s="17"/>
      <c r="H49396" s="18"/>
      <c r="K49396" s="18" t="s">
        <v>316</v>
      </c>
    </row>
    <row r="49397">
      <c r="A49397" s="17"/>
      <c r="H49397" s="18"/>
      <c r="K49397" s="18" t="s">
        <v>316</v>
      </c>
    </row>
    <row r="49398">
      <c r="A49398" s="17"/>
      <c r="H49398" s="18"/>
      <c r="K49398" s="18" t="s">
        <v>316</v>
      </c>
    </row>
    <row r="49399">
      <c r="A49399" s="17"/>
      <c r="H49399" s="18"/>
      <c r="K49399" s="18" t="s">
        <v>316</v>
      </c>
    </row>
    <row r="49400">
      <c r="A49400" s="17"/>
      <c r="H49400" s="18"/>
      <c r="K49400" s="18" t="s">
        <v>316</v>
      </c>
    </row>
    <row r="49401">
      <c r="A49401" s="17"/>
      <c r="H49401" s="18"/>
      <c r="K49401" s="18" t="s">
        <v>316</v>
      </c>
    </row>
    <row r="49402">
      <c r="A49402" s="17"/>
      <c r="H49402" s="18"/>
      <c r="K49402" s="18" t="s">
        <v>316</v>
      </c>
    </row>
    <row r="49403">
      <c r="A49403" s="17"/>
      <c r="H49403" s="18"/>
      <c r="K49403" s="18" t="s">
        <v>316</v>
      </c>
    </row>
    <row r="49404">
      <c r="A49404" s="17"/>
      <c r="H49404" s="18"/>
      <c r="K49404" s="18" t="s">
        <v>316</v>
      </c>
    </row>
    <row r="49405">
      <c r="A49405" s="17"/>
      <c r="H49405" s="18"/>
      <c r="K49405" s="18" t="s">
        <v>316</v>
      </c>
    </row>
    <row r="49406">
      <c r="A49406" s="17"/>
      <c r="H49406" s="18"/>
      <c r="K49406" s="18" t="s">
        <v>316</v>
      </c>
    </row>
    <row r="49407">
      <c r="A49407" s="17"/>
      <c r="H49407" s="18"/>
      <c r="K49407" s="18" t="s">
        <v>316</v>
      </c>
    </row>
    <row r="49408">
      <c r="A49408" s="17"/>
      <c r="H49408" s="18"/>
      <c r="K49408" s="18" t="s">
        <v>316</v>
      </c>
    </row>
    <row r="49409">
      <c r="A49409" s="17"/>
      <c r="H49409" s="18"/>
      <c r="K49409" s="18" t="s">
        <v>316</v>
      </c>
    </row>
    <row r="49410">
      <c r="A49410" s="17"/>
      <c r="H49410" s="18"/>
      <c r="K49410" s="18" t="s">
        <v>316</v>
      </c>
    </row>
    <row r="49411">
      <c r="A49411" s="17"/>
      <c r="H49411" s="18"/>
      <c r="K49411" s="18" t="s">
        <v>316</v>
      </c>
    </row>
    <row r="49412">
      <c r="A49412" s="17"/>
      <c r="H49412" s="18"/>
      <c r="K49412" s="18" t="s">
        <v>316</v>
      </c>
    </row>
    <row r="49413">
      <c r="A49413" s="17"/>
      <c r="H49413" s="18"/>
      <c r="K49413" s="18" t="s">
        <v>316</v>
      </c>
    </row>
    <row r="49414">
      <c r="A49414" s="17"/>
      <c r="H49414" s="18"/>
      <c r="K49414" s="18" t="s">
        <v>316</v>
      </c>
    </row>
    <row r="49415">
      <c r="A49415" s="17"/>
      <c r="H49415" s="18"/>
      <c r="K49415" s="18" t="s">
        <v>316</v>
      </c>
    </row>
    <row r="49416">
      <c r="A49416" s="17"/>
      <c r="H49416" s="18"/>
      <c r="K49416" s="18" t="s">
        <v>316</v>
      </c>
    </row>
    <row r="49417">
      <c r="A49417" s="17"/>
      <c r="H49417" s="18"/>
      <c r="K49417" s="18" t="s">
        <v>316</v>
      </c>
    </row>
    <row r="49418">
      <c r="A49418" s="17"/>
      <c r="H49418" s="18"/>
      <c r="K49418" s="18" t="s">
        <v>316</v>
      </c>
    </row>
    <row r="49419">
      <c r="A49419" s="17"/>
      <c r="H49419" s="18"/>
      <c r="K49419" s="18" t="s">
        <v>316</v>
      </c>
    </row>
    <row r="49420">
      <c r="A49420" s="17"/>
      <c r="H49420" s="18"/>
      <c r="K49420" s="18" t="s">
        <v>316</v>
      </c>
    </row>
    <row r="49421">
      <c r="A49421" s="17"/>
      <c r="H49421" s="18"/>
      <c r="K49421" s="18" t="s">
        <v>316</v>
      </c>
    </row>
    <row r="49422">
      <c r="A49422" s="17"/>
      <c r="H49422" s="18"/>
      <c r="K49422" s="18" t="s">
        <v>316</v>
      </c>
    </row>
    <row r="49423">
      <c r="A49423" s="17"/>
      <c r="H49423" s="18"/>
      <c r="K49423" s="18" t="s">
        <v>316</v>
      </c>
    </row>
    <row r="49424">
      <c r="A49424" s="17"/>
      <c r="H49424" s="18"/>
      <c r="K49424" s="18" t="s">
        <v>316</v>
      </c>
    </row>
    <row r="49425">
      <c r="A49425" s="17"/>
      <c r="H49425" s="18"/>
      <c r="K49425" s="18" t="s">
        <v>316</v>
      </c>
    </row>
    <row r="49426">
      <c r="A49426" s="17"/>
      <c r="H49426" s="18"/>
      <c r="K49426" s="18" t="s">
        <v>316</v>
      </c>
    </row>
    <row r="49427">
      <c r="A49427" s="17"/>
      <c r="H49427" s="18"/>
      <c r="K49427" s="18" t="s">
        <v>316</v>
      </c>
    </row>
    <row r="49428">
      <c r="A49428" s="17"/>
      <c r="H49428" s="18"/>
      <c r="K49428" s="18" t="s">
        <v>316</v>
      </c>
    </row>
    <row r="49429">
      <c r="A49429" s="17"/>
      <c r="H49429" s="18"/>
      <c r="K49429" s="18" t="s">
        <v>316</v>
      </c>
    </row>
    <row r="49430">
      <c r="A49430" s="17"/>
      <c r="H49430" s="18"/>
      <c r="K49430" s="18" t="s">
        <v>316</v>
      </c>
    </row>
    <row r="49431">
      <c r="A49431" s="17"/>
      <c r="H49431" s="18"/>
      <c r="K49431" s="18" t="s">
        <v>316</v>
      </c>
    </row>
    <row r="49432">
      <c r="A49432" s="17"/>
      <c r="H49432" s="18"/>
      <c r="K49432" s="18" t="s">
        <v>316</v>
      </c>
    </row>
    <row r="49433">
      <c r="A49433" s="17"/>
      <c r="H49433" s="18"/>
      <c r="K49433" s="18" t="s">
        <v>316</v>
      </c>
    </row>
    <row r="49434">
      <c r="A49434" s="17"/>
      <c r="H49434" s="18"/>
      <c r="K49434" s="18" t="s">
        <v>316</v>
      </c>
    </row>
    <row r="49435">
      <c r="A49435" s="17"/>
      <c r="H49435" s="18"/>
      <c r="K49435" s="18" t="s">
        <v>316</v>
      </c>
    </row>
    <row r="49436">
      <c r="A49436" s="17"/>
      <c r="H49436" s="18"/>
      <c r="K49436" s="18" t="s">
        <v>316</v>
      </c>
    </row>
    <row r="49437">
      <c r="A49437" s="17"/>
      <c r="H49437" s="18"/>
      <c r="K49437" s="18" t="s">
        <v>316</v>
      </c>
    </row>
    <row r="49438">
      <c r="A49438" s="17"/>
      <c r="H49438" s="18"/>
      <c r="K49438" s="18" t="s">
        <v>316</v>
      </c>
    </row>
    <row r="49439">
      <c r="A49439" s="17"/>
      <c r="H49439" s="18"/>
      <c r="K49439" s="18" t="s">
        <v>316</v>
      </c>
    </row>
    <row r="49440">
      <c r="A49440" s="17"/>
      <c r="H49440" s="18"/>
      <c r="K49440" s="18" t="s">
        <v>316</v>
      </c>
    </row>
    <row r="49441">
      <c r="A49441" s="17"/>
      <c r="H49441" s="18"/>
      <c r="K49441" s="18" t="s">
        <v>316</v>
      </c>
    </row>
    <row r="49442">
      <c r="A49442" s="17"/>
      <c r="H49442" s="18"/>
      <c r="K49442" s="18" t="s">
        <v>316</v>
      </c>
    </row>
    <row r="49443">
      <c r="A49443" s="17"/>
      <c r="H49443" s="18"/>
      <c r="K49443" s="18" t="s">
        <v>316</v>
      </c>
    </row>
    <row r="49444">
      <c r="A49444" s="17"/>
      <c r="H49444" s="18"/>
      <c r="K49444" s="18" t="s">
        <v>316</v>
      </c>
    </row>
    <row r="49445">
      <c r="A49445" s="17"/>
      <c r="H49445" s="18"/>
      <c r="K49445" s="18" t="s">
        <v>316</v>
      </c>
    </row>
    <row r="49446">
      <c r="A49446" s="17"/>
      <c r="H49446" s="18"/>
      <c r="K49446" s="18" t="s">
        <v>316</v>
      </c>
    </row>
    <row r="49447">
      <c r="A49447" s="17"/>
      <c r="H49447" s="18"/>
      <c r="K49447" s="18" t="s">
        <v>316</v>
      </c>
    </row>
    <row r="49448">
      <c r="A49448" s="17"/>
      <c r="H49448" s="18"/>
      <c r="K49448" s="18" t="s">
        <v>316</v>
      </c>
    </row>
    <row r="49449">
      <c r="A49449" s="17"/>
      <c r="H49449" s="18"/>
      <c r="K49449" s="18" t="s">
        <v>316</v>
      </c>
    </row>
    <row r="49450">
      <c r="A49450" s="17"/>
      <c r="H49450" s="18"/>
      <c r="K49450" s="18" t="s">
        <v>316</v>
      </c>
    </row>
    <row r="49451">
      <c r="A49451" s="17"/>
      <c r="H49451" s="18"/>
      <c r="K49451" s="18" t="s">
        <v>316</v>
      </c>
    </row>
    <row r="49452">
      <c r="A49452" s="17"/>
      <c r="H49452" s="18"/>
      <c r="K49452" s="18" t="s">
        <v>316</v>
      </c>
    </row>
    <row r="49453">
      <c r="A49453" s="17"/>
      <c r="H49453" s="18"/>
      <c r="K49453" s="18" t="s">
        <v>316</v>
      </c>
    </row>
    <row r="49454">
      <c r="A49454" s="17"/>
      <c r="H49454" s="18"/>
      <c r="K49454" s="18" t="s">
        <v>316</v>
      </c>
    </row>
    <row r="49455">
      <c r="A49455" s="17"/>
      <c r="H49455" s="18"/>
      <c r="K49455" s="18" t="s">
        <v>316</v>
      </c>
    </row>
    <row r="49456">
      <c r="A49456" s="17"/>
      <c r="H49456" s="18"/>
      <c r="K49456" s="18" t="s">
        <v>316</v>
      </c>
    </row>
    <row r="49457">
      <c r="A49457" s="17"/>
      <c r="H49457" s="18"/>
      <c r="K49457" s="18" t="s">
        <v>316</v>
      </c>
    </row>
    <row r="49458">
      <c r="A49458" s="17"/>
      <c r="H49458" s="18"/>
      <c r="K49458" s="18" t="s">
        <v>316</v>
      </c>
    </row>
    <row r="49459">
      <c r="A49459" s="17"/>
      <c r="H49459" s="18"/>
      <c r="K49459" s="18" t="s">
        <v>316</v>
      </c>
    </row>
    <row r="49460">
      <c r="A49460" s="17"/>
      <c r="H49460" s="18"/>
      <c r="K49460" s="18" t="s">
        <v>316</v>
      </c>
    </row>
    <row r="49461">
      <c r="A49461" s="17"/>
      <c r="H49461" s="18"/>
      <c r="K49461" s="18" t="s">
        <v>316</v>
      </c>
    </row>
    <row r="49462">
      <c r="A49462" s="17"/>
      <c r="H49462" s="18"/>
      <c r="K49462" s="18" t="s">
        <v>316</v>
      </c>
    </row>
    <row r="49463">
      <c r="A49463" s="17"/>
      <c r="H49463" s="18"/>
      <c r="K49463" s="18" t="s">
        <v>316</v>
      </c>
    </row>
    <row r="49464">
      <c r="A49464" s="17"/>
      <c r="H49464" s="18"/>
      <c r="K49464" s="18" t="s">
        <v>316</v>
      </c>
    </row>
    <row r="49465">
      <c r="A49465" s="17"/>
      <c r="H49465" s="18"/>
      <c r="K49465" s="18" t="s">
        <v>316</v>
      </c>
    </row>
    <row r="49466">
      <c r="A49466" s="17"/>
      <c r="H49466" s="18"/>
      <c r="K49466" s="18" t="s">
        <v>316</v>
      </c>
    </row>
    <row r="49467">
      <c r="A49467" s="17"/>
      <c r="H49467" s="18"/>
      <c r="K49467" s="18" t="s">
        <v>316</v>
      </c>
    </row>
    <row r="49468">
      <c r="A49468" s="17"/>
      <c r="H49468" s="18"/>
      <c r="K49468" s="18" t="s">
        <v>316</v>
      </c>
    </row>
    <row r="49469">
      <c r="A49469" s="17"/>
      <c r="H49469" s="18"/>
      <c r="K49469" s="18" t="s">
        <v>316</v>
      </c>
    </row>
    <row r="49470">
      <c r="A49470" s="17"/>
      <c r="H49470" s="18"/>
      <c r="K49470" s="18" t="s">
        <v>316</v>
      </c>
    </row>
    <row r="49471">
      <c r="A49471" s="17"/>
      <c r="H49471" s="18"/>
      <c r="K49471" s="18" t="s">
        <v>316</v>
      </c>
    </row>
    <row r="49472">
      <c r="A49472" s="17"/>
      <c r="H49472" s="18"/>
      <c r="K49472" s="18" t="s">
        <v>316</v>
      </c>
    </row>
    <row r="49473">
      <c r="A49473" s="17"/>
      <c r="H49473" s="18"/>
      <c r="K49473" s="18" t="s">
        <v>316</v>
      </c>
    </row>
    <row r="49474">
      <c r="A49474" s="17"/>
      <c r="H49474" s="18"/>
      <c r="K49474" s="18" t="s">
        <v>316</v>
      </c>
    </row>
    <row r="49475">
      <c r="A49475" s="17"/>
      <c r="H49475" s="18"/>
      <c r="K49475" s="18" t="s">
        <v>316</v>
      </c>
    </row>
    <row r="49476">
      <c r="A49476" s="17"/>
      <c r="H49476" s="18"/>
      <c r="K49476" s="18" t="s">
        <v>316</v>
      </c>
    </row>
    <row r="49477">
      <c r="A49477" s="17"/>
      <c r="H49477" s="18"/>
      <c r="K49477" s="18" t="s">
        <v>316</v>
      </c>
    </row>
    <row r="49478">
      <c r="A49478" s="17"/>
      <c r="H49478" s="18"/>
      <c r="K49478" s="18" t="s">
        <v>316</v>
      </c>
    </row>
    <row r="49479">
      <c r="A49479" s="17"/>
      <c r="H49479" s="18"/>
      <c r="K49479" s="18" t="s">
        <v>316</v>
      </c>
    </row>
    <row r="49480">
      <c r="A49480" s="17"/>
      <c r="H49480" s="18"/>
      <c r="K49480" s="18" t="s">
        <v>316</v>
      </c>
    </row>
    <row r="49481">
      <c r="A49481" s="17"/>
      <c r="H49481" s="18"/>
      <c r="K49481" s="18" t="s">
        <v>316</v>
      </c>
    </row>
    <row r="49482">
      <c r="A49482" s="17"/>
      <c r="H49482" s="18"/>
      <c r="K49482" s="18" t="s">
        <v>316</v>
      </c>
    </row>
    <row r="49483">
      <c r="A49483" s="17"/>
      <c r="H49483" s="18"/>
      <c r="K49483" s="18" t="s">
        <v>316</v>
      </c>
    </row>
    <row r="49484">
      <c r="A49484" s="17"/>
      <c r="H49484" s="18"/>
      <c r="K49484" s="18" t="s">
        <v>316</v>
      </c>
    </row>
    <row r="49485">
      <c r="A49485" s="17"/>
      <c r="H49485" s="18"/>
      <c r="K49485" s="18" t="s">
        <v>316</v>
      </c>
    </row>
    <row r="49486">
      <c r="A49486" s="17"/>
      <c r="H49486" s="18"/>
      <c r="K49486" s="18" t="s">
        <v>316</v>
      </c>
    </row>
    <row r="49487">
      <c r="A49487" s="17"/>
      <c r="H49487" s="18"/>
      <c r="K49487" s="18" t="s">
        <v>316</v>
      </c>
    </row>
    <row r="49488">
      <c r="A49488" s="17"/>
      <c r="H49488" s="18"/>
      <c r="K49488" s="18" t="s">
        <v>316</v>
      </c>
    </row>
    <row r="49489">
      <c r="A49489" s="17"/>
      <c r="H49489" s="18"/>
      <c r="K49489" s="18" t="s">
        <v>316</v>
      </c>
    </row>
    <row r="49490">
      <c r="A49490" s="17"/>
      <c r="H49490" s="18"/>
      <c r="K49490" s="18" t="s">
        <v>316</v>
      </c>
    </row>
    <row r="49491">
      <c r="A49491" s="17"/>
      <c r="H49491" s="18"/>
      <c r="K49491" s="18" t="s">
        <v>316</v>
      </c>
    </row>
    <row r="49492">
      <c r="A49492" s="17"/>
      <c r="H49492" s="18"/>
      <c r="K49492" s="18" t="s">
        <v>316</v>
      </c>
    </row>
    <row r="49493">
      <c r="A49493" s="17"/>
      <c r="H49493" s="18"/>
      <c r="K49493" s="18" t="s">
        <v>316</v>
      </c>
    </row>
    <row r="49494">
      <c r="A49494" s="17"/>
      <c r="H49494" s="18"/>
      <c r="K49494" s="18" t="s">
        <v>316</v>
      </c>
    </row>
    <row r="49495">
      <c r="A49495" s="17"/>
      <c r="H49495" s="18"/>
      <c r="K49495" s="18" t="s">
        <v>316</v>
      </c>
    </row>
    <row r="49496">
      <c r="A49496" s="17"/>
      <c r="H49496" s="18"/>
      <c r="K49496" s="18" t="s">
        <v>316</v>
      </c>
    </row>
    <row r="49497">
      <c r="A49497" s="17"/>
      <c r="H49497" s="18"/>
      <c r="K49497" s="18" t="s">
        <v>316</v>
      </c>
    </row>
    <row r="49498">
      <c r="A49498" s="17"/>
      <c r="H49498" s="18"/>
      <c r="K49498" s="18" t="s">
        <v>316</v>
      </c>
    </row>
    <row r="49499">
      <c r="A49499" s="17"/>
      <c r="H49499" s="18"/>
      <c r="K49499" s="18" t="s">
        <v>316</v>
      </c>
    </row>
    <row r="49500">
      <c r="A49500" s="17"/>
      <c r="H49500" s="18"/>
      <c r="K49500" s="18" t="s">
        <v>316</v>
      </c>
    </row>
    <row r="49501">
      <c r="A49501" s="17"/>
      <c r="H49501" s="18"/>
      <c r="K49501" s="18" t="s">
        <v>316</v>
      </c>
    </row>
    <row r="49502">
      <c r="A49502" s="17"/>
      <c r="H49502" s="18"/>
      <c r="K49502" s="18" t="s">
        <v>316</v>
      </c>
    </row>
    <row r="49503">
      <c r="A49503" s="17"/>
      <c r="H49503" s="18"/>
      <c r="K49503" s="18" t="s">
        <v>316</v>
      </c>
    </row>
    <row r="49504">
      <c r="A49504" s="17"/>
      <c r="H49504" s="18"/>
      <c r="K49504" s="18" t="s">
        <v>316</v>
      </c>
    </row>
    <row r="49505">
      <c r="A49505" s="17"/>
      <c r="H49505" s="18"/>
      <c r="K49505" s="18" t="s">
        <v>316</v>
      </c>
    </row>
    <row r="49506">
      <c r="A49506" s="17"/>
      <c r="H49506" s="18"/>
      <c r="K49506" s="18" t="s">
        <v>316</v>
      </c>
    </row>
    <row r="49507">
      <c r="A49507" s="17"/>
      <c r="H49507" s="18"/>
      <c r="K49507" s="18" t="s">
        <v>316</v>
      </c>
    </row>
    <row r="49508">
      <c r="A49508" s="17"/>
      <c r="H49508" s="18"/>
      <c r="K49508" s="18" t="s">
        <v>316</v>
      </c>
    </row>
    <row r="49509">
      <c r="A49509" s="17"/>
      <c r="H49509" s="18"/>
      <c r="K49509" s="18" t="s">
        <v>316</v>
      </c>
    </row>
    <row r="49510">
      <c r="A49510" s="17"/>
      <c r="H49510" s="18"/>
      <c r="K49510" s="18" t="s">
        <v>316</v>
      </c>
    </row>
    <row r="49511">
      <c r="A49511" s="17"/>
      <c r="H49511" s="18"/>
      <c r="K49511" s="18" t="s">
        <v>316</v>
      </c>
    </row>
    <row r="49512">
      <c r="A49512" s="17"/>
      <c r="H49512" s="18"/>
      <c r="K49512" s="18" t="s">
        <v>316</v>
      </c>
    </row>
    <row r="49513">
      <c r="A49513" s="17"/>
      <c r="H49513" s="18"/>
      <c r="K49513" s="18" t="s">
        <v>316</v>
      </c>
    </row>
    <row r="49514">
      <c r="A49514" s="17"/>
      <c r="H49514" s="18"/>
      <c r="K49514" s="18" t="s">
        <v>316</v>
      </c>
    </row>
    <row r="49515">
      <c r="A49515" s="17"/>
      <c r="H49515" s="18"/>
      <c r="K49515" s="18" t="s">
        <v>316</v>
      </c>
    </row>
    <row r="49516">
      <c r="A49516" s="17"/>
      <c r="H49516" s="18"/>
      <c r="K49516" s="18" t="s">
        <v>316</v>
      </c>
    </row>
    <row r="49517">
      <c r="A49517" s="17"/>
      <c r="H49517" s="18"/>
      <c r="K49517" s="18" t="s">
        <v>316</v>
      </c>
    </row>
    <row r="49518">
      <c r="A49518" s="17"/>
      <c r="H49518" s="18"/>
      <c r="K49518" s="18" t="s">
        <v>316</v>
      </c>
    </row>
    <row r="49519">
      <c r="A49519" s="17"/>
      <c r="H49519" s="18"/>
      <c r="K49519" s="18" t="s">
        <v>316</v>
      </c>
    </row>
    <row r="49520">
      <c r="A49520" s="17"/>
      <c r="H49520" s="18"/>
      <c r="K49520" s="18" t="s">
        <v>316</v>
      </c>
    </row>
    <row r="49521">
      <c r="A49521" s="17"/>
      <c r="H49521" s="18"/>
      <c r="K49521" s="18" t="s">
        <v>316</v>
      </c>
    </row>
    <row r="49522">
      <c r="A49522" s="17"/>
      <c r="H49522" s="18"/>
      <c r="K49522" s="18" t="s">
        <v>316</v>
      </c>
    </row>
    <row r="49523">
      <c r="A49523" s="17"/>
      <c r="H49523" s="18"/>
      <c r="K49523" s="18" t="s">
        <v>316</v>
      </c>
    </row>
    <row r="49524">
      <c r="A49524" s="17"/>
      <c r="H49524" s="18"/>
      <c r="K49524" s="18" t="s">
        <v>316</v>
      </c>
    </row>
    <row r="49525">
      <c r="A49525" s="17"/>
      <c r="H49525" s="18"/>
      <c r="K49525" s="18" t="s">
        <v>316</v>
      </c>
    </row>
    <row r="49526">
      <c r="A49526" s="17"/>
      <c r="H49526" s="18"/>
      <c r="K49526" s="18" t="s">
        <v>316</v>
      </c>
    </row>
    <row r="49527">
      <c r="A49527" s="17"/>
      <c r="H49527" s="18"/>
      <c r="K49527" s="18" t="s">
        <v>316</v>
      </c>
    </row>
    <row r="49528">
      <c r="A49528" s="17"/>
      <c r="H49528" s="18"/>
      <c r="K49528" s="18" t="s">
        <v>316</v>
      </c>
    </row>
    <row r="49529">
      <c r="A49529" s="17"/>
      <c r="H49529" s="18"/>
      <c r="K49529" s="18" t="s">
        <v>316</v>
      </c>
    </row>
    <row r="49530">
      <c r="A49530" s="17"/>
      <c r="H49530" s="18"/>
      <c r="K49530" s="18" t="s">
        <v>316</v>
      </c>
    </row>
    <row r="49531">
      <c r="A49531" s="17"/>
      <c r="H49531" s="18"/>
      <c r="K49531" s="18" t="s">
        <v>316</v>
      </c>
    </row>
    <row r="49532">
      <c r="A49532" s="17"/>
      <c r="H49532" s="18"/>
      <c r="K49532" s="18" t="s">
        <v>316</v>
      </c>
    </row>
    <row r="49533">
      <c r="A49533" s="17"/>
      <c r="H49533" s="18"/>
      <c r="K49533" s="18" t="s">
        <v>316</v>
      </c>
    </row>
    <row r="49534">
      <c r="A49534" s="17"/>
      <c r="H49534" s="18"/>
      <c r="K49534" s="18" t="s">
        <v>316</v>
      </c>
    </row>
    <row r="49535">
      <c r="A49535" s="17"/>
      <c r="H49535" s="18"/>
      <c r="K49535" s="18" t="s">
        <v>316</v>
      </c>
    </row>
    <row r="49536">
      <c r="A49536" s="17"/>
      <c r="H49536" s="18"/>
      <c r="K49536" s="18" t="s">
        <v>316</v>
      </c>
    </row>
    <row r="49537">
      <c r="A49537" s="17"/>
      <c r="H49537" s="18"/>
      <c r="K49537" s="18" t="s">
        <v>316</v>
      </c>
    </row>
    <row r="49538">
      <c r="A49538" s="17"/>
      <c r="H49538" s="18"/>
      <c r="K49538" s="18" t="s">
        <v>316</v>
      </c>
    </row>
    <row r="49539">
      <c r="A49539" s="17"/>
      <c r="H49539" s="18"/>
      <c r="K49539" s="18" t="s">
        <v>316</v>
      </c>
    </row>
    <row r="49540">
      <c r="A49540" s="17"/>
      <c r="H49540" s="18"/>
      <c r="K49540" s="18" t="s">
        <v>316</v>
      </c>
    </row>
    <row r="49541">
      <c r="A49541" s="17"/>
      <c r="H49541" s="18"/>
      <c r="K49541" s="18" t="s">
        <v>316</v>
      </c>
    </row>
    <row r="49542">
      <c r="A49542" s="17"/>
      <c r="H49542" s="18"/>
      <c r="K49542" s="18" t="s">
        <v>316</v>
      </c>
    </row>
    <row r="49543">
      <c r="A49543" s="17"/>
      <c r="H49543" s="18"/>
      <c r="K49543" s="18" t="s">
        <v>316</v>
      </c>
    </row>
    <row r="49544">
      <c r="A49544" s="17"/>
      <c r="H49544" s="18"/>
      <c r="K49544" s="18" t="s">
        <v>316</v>
      </c>
    </row>
    <row r="49545">
      <c r="A49545" s="17"/>
      <c r="H49545" s="18"/>
      <c r="K49545" s="18" t="s">
        <v>316</v>
      </c>
    </row>
    <row r="49546">
      <c r="A49546" s="17"/>
      <c r="H49546" s="18"/>
      <c r="K49546" s="18" t="s">
        <v>316</v>
      </c>
    </row>
    <row r="49547">
      <c r="A49547" s="17"/>
      <c r="H49547" s="18"/>
      <c r="K49547" s="18" t="s">
        <v>316</v>
      </c>
    </row>
    <row r="49548">
      <c r="A49548" s="17"/>
      <c r="H49548" s="18"/>
      <c r="K49548" s="18" t="s">
        <v>316</v>
      </c>
    </row>
    <row r="49549">
      <c r="A49549" s="17"/>
      <c r="H49549" s="18"/>
      <c r="K49549" s="18" t="s">
        <v>316</v>
      </c>
    </row>
    <row r="49550">
      <c r="A49550" s="17"/>
      <c r="H49550" s="18"/>
      <c r="K49550" s="18" t="s">
        <v>316</v>
      </c>
    </row>
    <row r="49551">
      <c r="A49551" s="17"/>
      <c r="H49551" s="18"/>
      <c r="K49551" s="18" t="s">
        <v>316</v>
      </c>
    </row>
    <row r="49552">
      <c r="A49552" s="17"/>
      <c r="H49552" s="18"/>
      <c r="K49552" s="18" t="s">
        <v>316</v>
      </c>
    </row>
    <row r="49553">
      <c r="A49553" s="17"/>
      <c r="H49553" s="18"/>
      <c r="K49553" s="18" t="s">
        <v>316</v>
      </c>
    </row>
    <row r="49554">
      <c r="A49554" s="17"/>
      <c r="H49554" s="18"/>
      <c r="K49554" s="18" t="s">
        <v>316</v>
      </c>
    </row>
    <row r="49555">
      <c r="A49555" s="17"/>
      <c r="H49555" s="18"/>
      <c r="K49555" s="18" t="s">
        <v>316</v>
      </c>
    </row>
    <row r="49556">
      <c r="A49556" s="17"/>
      <c r="H49556" s="18"/>
      <c r="K49556" s="18" t="s">
        <v>316</v>
      </c>
    </row>
    <row r="49557">
      <c r="A49557" s="17"/>
      <c r="H49557" s="18"/>
      <c r="K49557" s="18" t="s">
        <v>316</v>
      </c>
    </row>
    <row r="49558">
      <c r="A49558" s="17"/>
      <c r="H49558" s="18"/>
      <c r="K49558" s="18" t="s">
        <v>316</v>
      </c>
    </row>
    <row r="49559">
      <c r="A49559" s="17"/>
      <c r="H49559" s="18"/>
      <c r="K49559" s="18" t="s">
        <v>316</v>
      </c>
    </row>
    <row r="49560">
      <c r="A49560" s="17"/>
      <c r="H49560" s="18"/>
      <c r="K49560" s="18" t="s">
        <v>316</v>
      </c>
    </row>
    <row r="49561">
      <c r="A49561" s="17"/>
      <c r="H49561" s="18"/>
      <c r="K49561" s="18" t="s">
        <v>316</v>
      </c>
    </row>
    <row r="49562">
      <c r="A49562" s="17"/>
      <c r="H49562" s="18"/>
      <c r="K49562" s="18" t="s">
        <v>316</v>
      </c>
    </row>
    <row r="49563">
      <c r="A49563" s="17"/>
      <c r="H49563" s="18"/>
      <c r="K49563" s="18" t="s">
        <v>316</v>
      </c>
    </row>
    <row r="49564">
      <c r="A49564" s="17"/>
      <c r="H49564" s="18"/>
      <c r="K49564" s="18" t="s">
        <v>316</v>
      </c>
    </row>
    <row r="49565">
      <c r="A49565" s="17"/>
      <c r="H49565" s="18"/>
      <c r="K49565" s="18" t="s">
        <v>316</v>
      </c>
    </row>
    <row r="49566">
      <c r="A49566" s="17"/>
      <c r="H49566" s="18"/>
      <c r="K49566" s="18" t="s">
        <v>316</v>
      </c>
    </row>
    <row r="49567">
      <c r="A49567" s="17"/>
      <c r="H49567" s="18"/>
      <c r="K49567" s="18" t="s">
        <v>316</v>
      </c>
    </row>
    <row r="49568">
      <c r="A49568" s="17"/>
      <c r="H49568" s="18"/>
      <c r="K49568" s="18" t="s">
        <v>316</v>
      </c>
    </row>
    <row r="49569">
      <c r="A49569" s="17"/>
      <c r="H49569" s="18"/>
      <c r="K49569" s="18" t="s">
        <v>316</v>
      </c>
    </row>
    <row r="49570">
      <c r="A49570" s="17"/>
      <c r="H49570" s="18"/>
      <c r="K49570" s="18" t="s">
        <v>316</v>
      </c>
    </row>
    <row r="49571">
      <c r="A49571" s="17"/>
      <c r="H49571" s="18"/>
      <c r="K49571" s="18" t="s">
        <v>316</v>
      </c>
    </row>
    <row r="49572">
      <c r="A49572" s="17"/>
      <c r="H49572" s="18"/>
      <c r="K49572" s="18" t="s">
        <v>316</v>
      </c>
    </row>
    <row r="49573">
      <c r="A49573" s="17"/>
      <c r="H49573" s="18"/>
      <c r="K49573" s="18" t="s">
        <v>316</v>
      </c>
    </row>
    <row r="49574">
      <c r="A49574" s="17"/>
      <c r="H49574" s="18"/>
      <c r="K49574" s="18" t="s">
        <v>316</v>
      </c>
    </row>
    <row r="49575">
      <c r="A49575" s="17"/>
      <c r="H49575" s="18"/>
      <c r="K49575" s="18" t="s">
        <v>316</v>
      </c>
    </row>
    <row r="49576">
      <c r="A49576" s="17"/>
      <c r="H49576" s="18"/>
      <c r="K49576" s="18" t="s">
        <v>316</v>
      </c>
    </row>
    <row r="49577">
      <c r="A49577" s="17"/>
      <c r="H49577" s="18"/>
      <c r="K49577" s="18" t="s">
        <v>316</v>
      </c>
    </row>
    <row r="49578">
      <c r="A49578" s="17"/>
      <c r="H49578" s="18"/>
      <c r="K49578" s="18" t="s">
        <v>316</v>
      </c>
    </row>
    <row r="49579">
      <c r="A49579" s="17"/>
      <c r="H49579" s="18"/>
      <c r="K49579" s="18" t="s">
        <v>316</v>
      </c>
    </row>
    <row r="49580">
      <c r="A49580" s="17"/>
      <c r="H49580" s="18"/>
      <c r="K49580" s="18" t="s">
        <v>316</v>
      </c>
    </row>
    <row r="49581">
      <c r="A49581" s="17"/>
      <c r="H49581" s="18"/>
      <c r="K49581" s="18" t="s">
        <v>316</v>
      </c>
    </row>
    <row r="49582">
      <c r="A49582" s="17"/>
      <c r="H49582" s="18"/>
      <c r="K49582" s="18" t="s">
        <v>316</v>
      </c>
    </row>
    <row r="49583">
      <c r="A49583" s="17"/>
      <c r="H49583" s="18"/>
      <c r="K49583" s="18" t="s">
        <v>316</v>
      </c>
    </row>
    <row r="49584">
      <c r="A49584" s="17"/>
      <c r="H49584" s="18"/>
      <c r="K49584" s="18" t="s">
        <v>316</v>
      </c>
    </row>
    <row r="49585">
      <c r="A49585" s="17"/>
      <c r="H49585" s="18"/>
      <c r="K49585" s="18" t="s">
        <v>316</v>
      </c>
    </row>
    <row r="49586">
      <c r="A49586" s="17"/>
      <c r="H49586" s="18"/>
      <c r="K49586" s="18" t="s">
        <v>316</v>
      </c>
    </row>
    <row r="49587">
      <c r="A49587" s="17"/>
      <c r="H49587" s="18"/>
      <c r="K49587" s="18" t="s">
        <v>316</v>
      </c>
    </row>
    <row r="49588">
      <c r="A49588" s="17"/>
      <c r="H49588" s="18"/>
      <c r="K49588" s="18" t="s">
        <v>316</v>
      </c>
    </row>
    <row r="49589">
      <c r="A49589" s="17"/>
      <c r="H49589" s="18"/>
      <c r="K49589" s="18" t="s">
        <v>316</v>
      </c>
    </row>
    <row r="49590">
      <c r="A49590" s="17"/>
      <c r="H49590" s="18"/>
      <c r="K49590" s="18" t="s">
        <v>316</v>
      </c>
    </row>
    <row r="49591">
      <c r="A49591" s="17"/>
      <c r="H49591" s="18"/>
      <c r="K49591" s="18" t="s">
        <v>316</v>
      </c>
    </row>
    <row r="49592">
      <c r="A49592" s="17"/>
      <c r="H49592" s="18"/>
      <c r="K49592" s="18" t="s">
        <v>316</v>
      </c>
    </row>
    <row r="49593">
      <c r="A49593" s="17"/>
      <c r="H49593" s="18"/>
      <c r="K49593" s="18" t="s">
        <v>316</v>
      </c>
    </row>
    <row r="49594">
      <c r="A49594" s="17"/>
      <c r="H49594" s="18"/>
      <c r="K49594" s="18" t="s">
        <v>316</v>
      </c>
    </row>
    <row r="49595">
      <c r="A49595" s="17"/>
      <c r="H49595" s="18"/>
      <c r="K49595" s="18" t="s">
        <v>316</v>
      </c>
    </row>
    <row r="49596">
      <c r="A49596" s="17"/>
      <c r="H49596" s="18"/>
      <c r="K49596" s="18" t="s">
        <v>316</v>
      </c>
    </row>
    <row r="49597">
      <c r="A49597" s="17"/>
      <c r="H49597" s="18"/>
      <c r="K49597" s="18" t="s">
        <v>316</v>
      </c>
    </row>
    <row r="49598">
      <c r="A49598" s="17"/>
      <c r="H49598" s="18"/>
      <c r="K49598" s="18" t="s">
        <v>316</v>
      </c>
    </row>
    <row r="49599">
      <c r="A49599" s="17"/>
      <c r="H49599" s="18"/>
      <c r="K49599" s="18" t="s">
        <v>316</v>
      </c>
    </row>
    <row r="49600">
      <c r="A49600" s="17"/>
      <c r="H49600" s="18"/>
      <c r="K49600" s="18" t="s">
        <v>316</v>
      </c>
    </row>
    <row r="49601">
      <c r="A49601" s="17"/>
      <c r="H49601" s="18"/>
      <c r="K49601" s="18" t="s">
        <v>316</v>
      </c>
    </row>
    <row r="49602">
      <c r="A49602" s="17"/>
      <c r="H49602" s="18"/>
      <c r="K49602" s="18" t="s">
        <v>316</v>
      </c>
    </row>
    <row r="49603">
      <c r="A49603" s="17"/>
      <c r="H49603" s="18"/>
      <c r="K49603" s="18" t="s">
        <v>316</v>
      </c>
    </row>
    <row r="49604">
      <c r="A49604" s="17"/>
      <c r="H49604" s="18"/>
      <c r="K49604" s="18" t="s">
        <v>316</v>
      </c>
    </row>
    <row r="49605">
      <c r="A49605" s="17"/>
      <c r="H49605" s="18"/>
      <c r="K49605" s="18" t="s">
        <v>316</v>
      </c>
    </row>
    <row r="49606">
      <c r="A49606" s="17"/>
      <c r="H49606" s="18"/>
      <c r="K49606" s="18" t="s">
        <v>316</v>
      </c>
    </row>
    <row r="49607">
      <c r="A49607" s="17"/>
      <c r="H49607" s="18"/>
      <c r="K49607" s="18" t="s">
        <v>316</v>
      </c>
    </row>
    <row r="49608">
      <c r="A49608" s="17"/>
      <c r="H49608" s="18"/>
      <c r="K49608" s="18" t="s">
        <v>316</v>
      </c>
    </row>
    <row r="49609">
      <c r="A49609" s="17"/>
      <c r="H49609" s="18"/>
      <c r="K49609" s="18" t="s">
        <v>316</v>
      </c>
    </row>
    <row r="49610">
      <c r="A49610" s="17"/>
      <c r="H49610" s="18"/>
      <c r="K49610" s="18" t="s">
        <v>316</v>
      </c>
    </row>
    <row r="49611">
      <c r="A49611" s="17"/>
      <c r="H49611" s="18"/>
      <c r="K49611" s="18" t="s">
        <v>316</v>
      </c>
    </row>
    <row r="49612">
      <c r="A49612" s="17"/>
      <c r="H49612" s="18"/>
      <c r="K49612" s="18" t="s">
        <v>316</v>
      </c>
    </row>
    <row r="49613">
      <c r="A49613" s="17"/>
      <c r="H49613" s="18"/>
      <c r="K49613" s="18" t="s">
        <v>316</v>
      </c>
    </row>
    <row r="49614">
      <c r="A49614" s="17"/>
      <c r="H49614" s="18"/>
      <c r="K49614" s="18" t="s">
        <v>316</v>
      </c>
    </row>
    <row r="49615">
      <c r="A49615" s="17"/>
      <c r="H49615" s="18"/>
      <c r="K49615" s="18" t="s">
        <v>316</v>
      </c>
    </row>
    <row r="49616">
      <c r="A49616" s="17"/>
      <c r="H49616" s="18"/>
      <c r="K49616" s="18" t="s">
        <v>316</v>
      </c>
    </row>
    <row r="49617">
      <c r="A49617" s="17"/>
      <c r="H49617" s="18"/>
      <c r="K49617" s="18" t="s">
        <v>316</v>
      </c>
    </row>
    <row r="49618">
      <c r="A49618" s="17"/>
      <c r="H49618" s="18"/>
      <c r="K49618" s="18" t="s">
        <v>316</v>
      </c>
    </row>
    <row r="49619">
      <c r="A49619" s="17"/>
      <c r="H49619" s="18"/>
      <c r="K49619" s="18" t="s">
        <v>316</v>
      </c>
    </row>
    <row r="49620">
      <c r="A49620" s="17"/>
      <c r="H49620" s="18"/>
      <c r="K49620" s="18" t="s">
        <v>316</v>
      </c>
    </row>
    <row r="49621">
      <c r="A49621" s="17"/>
      <c r="H49621" s="18"/>
      <c r="K49621" s="18" t="s">
        <v>316</v>
      </c>
    </row>
    <row r="49622">
      <c r="A49622" s="17"/>
      <c r="H49622" s="18"/>
      <c r="K49622" s="18" t="s">
        <v>316</v>
      </c>
    </row>
    <row r="49623">
      <c r="A49623" s="17"/>
      <c r="H49623" s="18"/>
      <c r="K49623" s="18" t="s">
        <v>316</v>
      </c>
    </row>
    <row r="49624">
      <c r="A49624" s="17"/>
      <c r="H49624" s="18"/>
      <c r="K49624" s="18" t="s">
        <v>316</v>
      </c>
    </row>
    <row r="49625">
      <c r="A49625" s="17"/>
      <c r="H49625" s="18"/>
      <c r="K49625" s="18" t="s">
        <v>316</v>
      </c>
    </row>
    <row r="49626">
      <c r="A49626" s="17"/>
      <c r="H49626" s="18"/>
      <c r="K49626" s="18" t="s">
        <v>316</v>
      </c>
    </row>
    <row r="49627">
      <c r="A49627" s="17"/>
      <c r="H49627" s="18"/>
      <c r="K49627" s="18" t="s">
        <v>316</v>
      </c>
    </row>
    <row r="49628">
      <c r="A49628" s="17"/>
      <c r="H49628" s="18"/>
      <c r="K49628" s="18" t="s">
        <v>316</v>
      </c>
    </row>
    <row r="49629">
      <c r="A49629" s="17"/>
      <c r="H49629" s="18"/>
      <c r="K49629" s="18" t="s">
        <v>316</v>
      </c>
    </row>
    <row r="49630">
      <c r="A49630" s="17"/>
      <c r="H49630" s="18"/>
      <c r="K49630" s="18" t="s">
        <v>316</v>
      </c>
    </row>
    <row r="49631">
      <c r="A49631" s="17"/>
      <c r="H49631" s="18"/>
      <c r="K49631" s="18" t="s">
        <v>316</v>
      </c>
    </row>
    <row r="49632">
      <c r="A49632" s="17"/>
      <c r="H49632" s="18"/>
      <c r="K49632" s="18" t="s">
        <v>316</v>
      </c>
    </row>
    <row r="49633">
      <c r="A49633" s="17"/>
      <c r="H49633" s="18"/>
      <c r="K49633" s="18" t="s">
        <v>316</v>
      </c>
    </row>
    <row r="49634">
      <c r="A49634" s="17"/>
      <c r="H49634" s="18"/>
      <c r="K49634" s="18" t="s">
        <v>316</v>
      </c>
    </row>
    <row r="49635">
      <c r="A49635" s="17"/>
      <c r="H49635" s="18"/>
      <c r="K49635" s="18" t="s">
        <v>316</v>
      </c>
    </row>
    <row r="49636">
      <c r="A49636" s="17"/>
      <c r="H49636" s="18"/>
      <c r="K49636" s="18" t="s">
        <v>316</v>
      </c>
    </row>
    <row r="49637">
      <c r="A49637" s="17"/>
      <c r="H49637" s="18"/>
      <c r="K49637" s="18" t="s">
        <v>316</v>
      </c>
    </row>
    <row r="49638">
      <c r="A49638" s="17"/>
      <c r="H49638" s="18"/>
      <c r="K49638" s="18" t="s">
        <v>316</v>
      </c>
    </row>
    <row r="49639">
      <c r="A49639" s="17"/>
      <c r="H49639" s="18"/>
      <c r="K49639" s="18" t="s">
        <v>316</v>
      </c>
    </row>
    <row r="49640">
      <c r="A49640" s="17"/>
      <c r="H49640" s="18"/>
      <c r="K49640" s="18" t="s">
        <v>316</v>
      </c>
    </row>
    <row r="49641">
      <c r="A49641" s="17"/>
      <c r="H49641" s="18"/>
      <c r="K49641" s="18" t="s">
        <v>316</v>
      </c>
    </row>
    <row r="49642">
      <c r="A49642" s="17"/>
      <c r="H49642" s="18"/>
      <c r="K49642" s="18" t="s">
        <v>316</v>
      </c>
    </row>
    <row r="49643">
      <c r="A49643" s="17"/>
      <c r="H49643" s="18"/>
      <c r="K49643" s="18" t="s">
        <v>316</v>
      </c>
    </row>
    <row r="49644">
      <c r="A49644" s="17"/>
      <c r="H49644" s="18"/>
      <c r="K49644" s="18" t="s">
        <v>316</v>
      </c>
    </row>
    <row r="49645">
      <c r="A49645" s="17"/>
      <c r="H49645" s="18"/>
      <c r="K49645" s="18" t="s">
        <v>316</v>
      </c>
    </row>
    <row r="49646">
      <c r="A49646" s="17"/>
      <c r="H49646" s="18"/>
      <c r="K49646" s="18" t="s">
        <v>316</v>
      </c>
    </row>
    <row r="49647">
      <c r="A49647" s="17"/>
      <c r="H49647" s="18"/>
      <c r="K49647" s="18" t="s">
        <v>316</v>
      </c>
    </row>
    <row r="49648">
      <c r="A49648" s="17"/>
      <c r="H49648" s="18"/>
      <c r="K49648" s="18" t="s">
        <v>316</v>
      </c>
    </row>
    <row r="49649">
      <c r="A49649" s="17"/>
      <c r="H49649" s="18"/>
      <c r="K49649" s="18" t="s">
        <v>316</v>
      </c>
    </row>
    <row r="49650">
      <c r="A49650" s="17"/>
      <c r="H49650" s="18"/>
      <c r="K49650" s="18" t="s">
        <v>316</v>
      </c>
    </row>
    <row r="49651">
      <c r="A49651" s="17"/>
      <c r="H49651" s="18"/>
      <c r="K49651" s="18" t="s">
        <v>316</v>
      </c>
    </row>
    <row r="49652">
      <c r="A49652" s="17"/>
      <c r="H49652" s="18"/>
      <c r="K49652" s="18" t="s">
        <v>316</v>
      </c>
    </row>
    <row r="49653">
      <c r="A49653" s="17"/>
      <c r="H49653" s="18"/>
      <c r="K49653" s="18" t="s">
        <v>316</v>
      </c>
    </row>
    <row r="49654">
      <c r="A49654" s="17"/>
      <c r="H49654" s="18"/>
      <c r="K49654" s="18" t="s">
        <v>316</v>
      </c>
    </row>
    <row r="49655">
      <c r="A49655" s="17"/>
      <c r="H49655" s="18"/>
      <c r="K49655" s="18" t="s">
        <v>316</v>
      </c>
    </row>
    <row r="49656">
      <c r="A49656" s="17"/>
      <c r="H49656" s="18"/>
      <c r="K49656" s="18" t="s">
        <v>316</v>
      </c>
    </row>
    <row r="49657">
      <c r="A49657" s="17"/>
      <c r="H49657" s="18"/>
      <c r="K49657" s="18" t="s">
        <v>316</v>
      </c>
    </row>
    <row r="49658">
      <c r="A49658" s="17"/>
      <c r="H49658" s="18"/>
      <c r="K49658" s="18" t="s">
        <v>316</v>
      </c>
    </row>
    <row r="49659">
      <c r="A49659" s="17"/>
      <c r="H49659" s="18"/>
      <c r="K49659" s="18" t="s">
        <v>316</v>
      </c>
    </row>
    <row r="49660">
      <c r="A49660" s="17"/>
      <c r="H49660" s="18"/>
      <c r="K49660" s="18" t="s">
        <v>316</v>
      </c>
    </row>
    <row r="49661">
      <c r="A49661" s="17"/>
      <c r="H49661" s="18"/>
      <c r="K49661" s="18" t="s">
        <v>316</v>
      </c>
    </row>
    <row r="49662">
      <c r="A49662" s="17"/>
      <c r="H49662" s="18"/>
      <c r="K49662" s="18" t="s">
        <v>316</v>
      </c>
    </row>
    <row r="49663">
      <c r="A49663" s="17"/>
      <c r="H49663" s="18"/>
      <c r="K49663" s="18" t="s">
        <v>316</v>
      </c>
    </row>
    <row r="49664">
      <c r="A49664" s="17"/>
      <c r="H49664" s="18"/>
      <c r="K49664" s="18" t="s">
        <v>316</v>
      </c>
    </row>
    <row r="49665">
      <c r="A49665" s="17"/>
      <c r="H49665" s="18"/>
      <c r="K49665" s="18" t="s">
        <v>316</v>
      </c>
    </row>
    <row r="49666">
      <c r="A49666" s="17"/>
      <c r="H49666" s="18"/>
      <c r="K49666" s="18" t="s">
        <v>316</v>
      </c>
    </row>
    <row r="49667">
      <c r="A49667" s="17"/>
      <c r="H49667" s="18"/>
      <c r="K49667" s="18" t="s">
        <v>316</v>
      </c>
    </row>
    <row r="49668">
      <c r="A49668" s="17"/>
      <c r="H49668" s="18"/>
      <c r="K49668" s="18" t="s">
        <v>316</v>
      </c>
    </row>
    <row r="49669">
      <c r="A49669" s="17"/>
      <c r="H49669" s="18"/>
      <c r="K49669" s="18" t="s">
        <v>316</v>
      </c>
    </row>
    <row r="49670">
      <c r="A49670" s="17"/>
      <c r="H49670" s="18"/>
      <c r="K49670" s="18" t="s">
        <v>316</v>
      </c>
    </row>
    <row r="49671">
      <c r="A49671" s="17"/>
      <c r="H49671" s="18"/>
      <c r="K49671" s="18" t="s">
        <v>316</v>
      </c>
    </row>
    <row r="49672">
      <c r="A49672" s="17"/>
      <c r="H49672" s="18"/>
      <c r="K49672" s="18" t="s">
        <v>316</v>
      </c>
    </row>
    <row r="49673">
      <c r="A49673" s="17"/>
      <c r="H49673" s="18"/>
      <c r="K49673" s="18" t="s">
        <v>316</v>
      </c>
    </row>
    <row r="49674">
      <c r="A49674" s="17"/>
      <c r="H49674" s="18"/>
      <c r="K49674" s="18" t="s">
        <v>316</v>
      </c>
    </row>
    <row r="49675">
      <c r="A49675" s="17"/>
      <c r="H49675" s="18"/>
      <c r="K49675" s="18" t="s">
        <v>316</v>
      </c>
    </row>
    <row r="49676">
      <c r="A49676" s="17"/>
      <c r="H49676" s="18"/>
      <c r="K49676" s="18" t="s">
        <v>316</v>
      </c>
    </row>
    <row r="49677">
      <c r="A49677" s="17"/>
      <c r="H49677" s="18"/>
      <c r="K49677" s="18" t="s">
        <v>316</v>
      </c>
    </row>
    <row r="49678">
      <c r="A49678" s="17"/>
      <c r="H49678" s="18"/>
      <c r="K49678" s="18" t="s">
        <v>316</v>
      </c>
    </row>
    <row r="49679">
      <c r="A49679" s="17"/>
      <c r="H49679" s="18"/>
      <c r="K49679" s="18" t="s">
        <v>316</v>
      </c>
    </row>
    <row r="49680">
      <c r="A49680" s="17"/>
      <c r="H49680" s="18"/>
      <c r="K49680" s="18" t="s">
        <v>316</v>
      </c>
    </row>
    <row r="49681">
      <c r="A49681" s="17"/>
      <c r="H49681" s="18"/>
      <c r="K49681" s="18" t="s">
        <v>316</v>
      </c>
    </row>
    <row r="49682">
      <c r="A49682" s="17"/>
      <c r="H49682" s="18"/>
      <c r="K49682" s="18" t="s">
        <v>316</v>
      </c>
    </row>
    <row r="49683">
      <c r="A49683" s="17"/>
      <c r="H49683" s="18"/>
      <c r="K49683" s="18" t="s">
        <v>316</v>
      </c>
    </row>
    <row r="49684">
      <c r="A49684" s="17"/>
      <c r="H49684" s="18"/>
      <c r="K49684" s="18" t="s">
        <v>316</v>
      </c>
    </row>
    <row r="49685">
      <c r="A49685" s="17"/>
      <c r="H49685" s="18"/>
      <c r="K49685" s="18" t="s">
        <v>316</v>
      </c>
    </row>
    <row r="49686">
      <c r="A49686" s="17"/>
      <c r="H49686" s="18"/>
      <c r="K49686" s="18" t="s">
        <v>316</v>
      </c>
    </row>
    <row r="49687">
      <c r="A49687" s="17"/>
      <c r="H49687" s="18"/>
      <c r="K49687" s="18" t="s">
        <v>316</v>
      </c>
    </row>
    <row r="49688">
      <c r="A49688" s="17"/>
      <c r="H49688" s="18"/>
      <c r="K49688" s="18" t="s">
        <v>316</v>
      </c>
    </row>
    <row r="49689">
      <c r="A49689" s="17"/>
      <c r="H49689" s="18"/>
      <c r="K49689" s="18" t="s">
        <v>316</v>
      </c>
    </row>
    <row r="49690">
      <c r="A49690" s="17"/>
      <c r="H49690" s="18"/>
      <c r="K49690" s="18" t="s">
        <v>316</v>
      </c>
    </row>
    <row r="49691">
      <c r="A49691" s="17"/>
      <c r="H49691" s="18"/>
      <c r="K49691" s="18" t="s">
        <v>316</v>
      </c>
    </row>
    <row r="49692">
      <c r="A49692" s="17"/>
      <c r="H49692" s="18"/>
      <c r="K49692" s="18" t="s">
        <v>316</v>
      </c>
    </row>
    <row r="49693">
      <c r="A49693" s="17"/>
      <c r="H49693" s="18"/>
      <c r="K49693" s="18" t="s">
        <v>316</v>
      </c>
    </row>
    <row r="49694">
      <c r="A49694" s="17"/>
      <c r="H49694" s="18"/>
      <c r="K49694" s="18" t="s">
        <v>316</v>
      </c>
    </row>
    <row r="49695">
      <c r="A49695" s="17"/>
      <c r="H49695" s="18"/>
      <c r="K49695" s="18" t="s">
        <v>316</v>
      </c>
    </row>
    <row r="49696">
      <c r="A49696" s="17"/>
      <c r="H49696" s="18"/>
      <c r="K49696" s="18" t="s">
        <v>316</v>
      </c>
    </row>
    <row r="49697">
      <c r="A49697" s="17"/>
      <c r="H49697" s="18"/>
      <c r="K49697" s="18" t="s">
        <v>316</v>
      </c>
    </row>
    <row r="49698">
      <c r="A49698" s="17"/>
      <c r="H49698" s="18"/>
      <c r="K49698" s="18" t="s">
        <v>316</v>
      </c>
    </row>
    <row r="49699">
      <c r="A49699" s="17"/>
      <c r="H49699" s="18"/>
      <c r="K49699" s="18" t="s">
        <v>316</v>
      </c>
    </row>
    <row r="49700">
      <c r="A49700" s="17"/>
      <c r="H49700" s="18"/>
      <c r="K49700" s="18" t="s">
        <v>316</v>
      </c>
    </row>
    <row r="49701">
      <c r="A49701" s="17"/>
      <c r="H49701" s="18"/>
      <c r="K49701" s="18" t="s">
        <v>316</v>
      </c>
    </row>
    <row r="49702">
      <c r="A49702" s="17"/>
      <c r="H49702" s="18"/>
      <c r="K49702" s="18" t="s">
        <v>316</v>
      </c>
    </row>
    <row r="49703">
      <c r="A49703" s="17"/>
      <c r="H49703" s="18"/>
      <c r="K49703" s="18" t="s">
        <v>316</v>
      </c>
    </row>
    <row r="49704">
      <c r="A49704" s="17"/>
      <c r="H49704" s="18"/>
      <c r="K49704" s="18" t="s">
        <v>316</v>
      </c>
    </row>
    <row r="49705">
      <c r="A49705" s="17"/>
      <c r="H49705" s="18"/>
      <c r="K49705" s="18" t="s">
        <v>316</v>
      </c>
    </row>
    <row r="49706">
      <c r="A49706" s="17"/>
      <c r="H49706" s="18"/>
      <c r="K49706" s="18" t="s">
        <v>316</v>
      </c>
    </row>
    <row r="49707">
      <c r="A49707" s="17"/>
      <c r="H49707" s="18"/>
      <c r="K49707" s="18" t="s">
        <v>316</v>
      </c>
    </row>
    <row r="49708">
      <c r="A49708" s="17"/>
      <c r="H49708" s="18"/>
      <c r="K49708" s="18" t="s">
        <v>316</v>
      </c>
    </row>
    <row r="49709">
      <c r="A49709" s="17"/>
      <c r="H49709" s="18"/>
      <c r="K49709" s="18" t="s">
        <v>316</v>
      </c>
    </row>
    <row r="49710">
      <c r="A49710" s="17"/>
      <c r="H49710" s="18"/>
      <c r="K49710" s="18" t="s">
        <v>316</v>
      </c>
    </row>
    <row r="49711">
      <c r="A49711" s="17"/>
      <c r="H49711" s="18"/>
      <c r="K49711" s="18" t="s">
        <v>316</v>
      </c>
    </row>
    <row r="49712">
      <c r="A49712" s="17"/>
      <c r="H49712" s="18"/>
      <c r="K49712" s="18" t="s">
        <v>316</v>
      </c>
    </row>
    <row r="49713">
      <c r="A49713" s="17"/>
      <c r="H49713" s="18"/>
      <c r="K49713" s="18" t="s">
        <v>316</v>
      </c>
    </row>
    <row r="49714">
      <c r="A49714" s="17"/>
      <c r="H49714" s="18"/>
      <c r="K49714" s="18" t="s">
        <v>316</v>
      </c>
    </row>
    <row r="49715">
      <c r="A49715" s="17"/>
      <c r="H49715" s="18"/>
      <c r="K49715" s="18" t="s">
        <v>316</v>
      </c>
    </row>
    <row r="49716">
      <c r="A49716" s="17"/>
      <c r="H49716" s="18"/>
      <c r="K49716" s="18" t="s">
        <v>316</v>
      </c>
    </row>
    <row r="49717">
      <c r="A49717" s="17"/>
      <c r="H49717" s="18"/>
      <c r="K49717" s="18" t="s">
        <v>316</v>
      </c>
    </row>
    <row r="49718">
      <c r="A49718" s="17"/>
      <c r="H49718" s="18"/>
      <c r="K49718" s="18" t="s">
        <v>316</v>
      </c>
    </row>
    <row r="49719">
      <c r="A49719" s="17"/>
      <c r="H49719" s="18"/>
      <c r="K49719" s="18" t="s">
        <v>316</v>
      </c>
    </row>
    <row r="49720">
      <c r="A49720" s="17"/>
      <c r="H49720" s="18"/>
      <c r="K49720" s="18" t="s">
        <v>316</v>
      </c>
    </row>
    <row r="49721">
      <c r="A49721" s="17"/>
      <c r="H49721" s="18"/>
      <c r="K49721" s="18" t="s">
        <v>316</v>
      </c>
    </row>
    <row r="49722">
      <c r="A49722" s="17"/>
      <c r="H49722" s="18"/>
      <c r="K49722" s="18" t="s">
        <v>316</v>
      </c>
    </row>
    <row r="49723">
      <c r="A49723" s="17"/>
      <c r="H49723" s="18"/>
      <c r="K49723" s="18" t="s">
        <v>316</v>
      </c>
    </row>
    <row r="49724">
      <c r="A49724" s="17"/>
      <c r="H49724" s="18"/>
      <c r="K49724" s="18" t="s">
        <v>316</v>
      </c>
    </row>
    <row r="49725">
      <c r="A49725" s="17"/>
      <c r="H49725" s="18"/>
      <c r="K49725" s="18" t="s">
        <v>316</v>
      </c>
    </row>
    <row r="49726">
      <c r="A49726" s="17"/>
      <c r="H49726" s="18"/>
      <c r="K49726" s="18" t="s">
        <v>316</v>
      </c>
    </row>
    <row r="49727">
      <c r="A49727" s="17"/>
      <c r="H49727" s="18"/>
      <c r="K49727" s="18" t="s">
        <v>316</v>
      </c>
    </row>
    <row r="49728">
      <c r="A49728" s="17"/>
      <c r="H49728" s="18"/>
      <c r="K49728" s="18" t="s">
        <v>316</v>
      </c>
    </row>
    <row r="49729">
      <c r="A49729" s="17"/>
      <c r="H49729" s="18"/>
      <c r="K49729" s="18" t="s">
        <v>316</v>
      </c>
    </row>
    <row r="49730">
      <c r="A49730" s="17"/>
      <c r="H49730" s="18"/>
      <c r="K49730" s="18" t="s">
        <v>316</v>
      </c>
    </row>
    <row r="49731">
      <c r="A49731" s="17"/>
      <c r="H49731" s="18"/>
      <c r="K49731" s="18" t="s">
        <v>316</v>
      </c>
    </row>
    <row r="49732">
      <c r="A49732" s="17"/>
      <c r="H49732" s="18"/>
      <c r="K49732" s="18" t="s">
        <v>316</v>
      </c>
    </row>
    <row r="49733">
      <c r="A49733" s="17"/>
      <c r="H49733" s="18"/>
      <c r="K49733" s="18" t="s">
        <v>316</v>
      </c>
    </row>
    <row r="49734">
      <c r="A49734" s="17"/>
      <c r="H49734" s="18"/>
      <c r="K49734" s="18" t="s">
        <v>316</v>
      </c>
    </row>
    <row r="49735">
      <c r="A49735" s="17"/>
      <c r="H49735" s="18"/>
      <c r="K49735" s="18" t="s">
        <v>316</v>
      </c>
    </row>
    <row r="49736">
      <c r="A49736" s="17"/>
      <c r="H49736" s="18"/>
      <c r="K49736" s="18" t="s">
        <v>316</v>
      </c>
    </row>
    <row r="49737">
      <c r="A49737" s="17"/>
      <c r="H49737" s="18"/>
      <c r="K49737" s="18" t="s">
        <v>316</v>
      </c>
    </row>
    <row r="49738">
      <c r="A49738" s="17"/>
      <c r="H49738" s="18"/>
      <c r="K49738" s="18" t="s">
        <v>316</v>
      </c>
    </row>
    <row r="49739">
      <c r="A49739" s="17"/>
      <c r="H49739" s="18"/>
      <c r="K49739" s="18" t="s">
        <v>316</v>
      </c>
    </row>
    <row r="49740">
      <c r="A49740" s="17"/>
      <c r="H49740" s="18"/>
      <c r="K49740" s="18" t="s">
        <v>316</v>
      </c>
    </row>
    <row r="49741">
      <c r="A49741" s="17"/>
      <c r="H49741" s="18"/>
      <c r="K49741" s="18" t="s">
        <v>316</v>
      </c>
    </row>
    <row r="49742">
      <c r="A49742" s="17"/>
      <c r="H49742" s="18"/>
      <c r="K49742" s="18" t="s">
        <v>316</v>
      </c>
    </row>
    <row r="49743">
      <c r="A49743" s="17"/>
      <c r="H49743" s="18"/>
      <c r="K49743" s="18" t="s">
        <v>316</v>
      </c>
    </row>
    <row r="49744">
      <c r="A49744" s="17"/>
      <c r="H49744" s="18"/>
      <c r="K49744" s="18" t="s">
        <v>316</v>
      </c>
    </row>
    <row r="49745">
      <c r="A49745" s="17"/>
      <c r="H49745" s="18"/>
      <c r="K49745" s="18" t="s">
        <v>316</v>
      </c>
    </row>
    <row r="49746">
      <c r="A49746" s="17"/>
      <c r="H49746" s="18"/>
      <c r="K49746" s="18" t="s">
        <v>316</v>
      </c>
    </row>
    <row r="49747">
      <c r="A49747" s="17"/>
      <c r="H49747" s="18"/>
      <c r="K49747" s="18" t="s">
        <v>316</v>
      </c>
    </row>
    <row r="49748">
      <c r="A49748" s="17"/>
      <c r="H49748" s="18"/>
      <c r="K49748" s="18" t="s">
        <v>316</v>
      </c>
    </row>
    <row r="49749">
      <c r="A49749" s="17"/>
      <c r="H49749" s="18"/>
      <c r="K49749" s="18" t="s">
        <v>316</v>
      </c>
    </row>
    <row r="49750">
      <c r="A49750" s="17"/>
      <c r="H49750" s="18"/>
      <c r="K49750" s="18" t="s">
        <v>316</v>
      </c>
    </row>
    <row r="49751">
      <c r="A49751" s="17"/>
      <c r="H49751" s="18"/>
      <c r="K49751" s="18" t="s">
        <v>316</v>
      </c>
    </row>
    <row r="49752">
      <c r="A49752" s="17"/>
      <c r="H49752" s="18"/>
      <c r="K49752" s="18" t="s">
        <v>316</v>
      </c>
    </row>
    <row r="49753">
      <c r="A49753" s="17"/>
      <c r="H49753" s="18"/>
      <c r="K49753" s="18" t="s">
        <v>316</v>
      </c>
    </row>
    <row r="49754">
      <c r="A49754" s="17"/>
      <c r="H49754" s="18"/>
      <c r="K49754" s="18" t="s">
        <v>316</v>
      </c>
    </row>
    <row r="49755">
      <c r="A49755" s="17"/>
      <c r="H49755" s="18"/>
      <c r="K49755" s="18" t="s">
        <v>316</v>
      </c>
    </row>
    <row r="49756">
      <c r="A49756" s="17"/>
      <c r="H49756" s="18"/>
      <c r="K49756" s="18" t="s">
        <v>316</v>
      </c>
    </row>
    <row r="49757">
      <c r="A49757" s="17"/>
      <c r="H49757" s="18"/>
      <c r="K49757" s="18" t="s">
        <v>316</v>
      </c>
    </row>
    <row r="49758">
      <c r="A49758" s="17"/>
      <c r="H49758" s="18"/>
      <c r="K49758" s="18" t="s">
        <v>316</v>
      </c>
    </row>
    <row r="49759">
      <c r="A49759" s="17"/>
      <c r="H49759" s="18"/>
      <c r="K49759" s="18" t="s">
        <v>316</v>
      </c>
    </row>
    <row r="49760">
      <c r="A49760" s="17"/>
      <c r="H49760" s="18"/>
      <c r="K49760" s="18" t="s">
        <v>316</v>
      </c>
    </row>
    <row r="49761">
      <c r="A49761" s="17"/>
      <c r="H49761" s="18"/>
      <c r="K49761" s="18" t="s">
        <v>316</v>
      </c>
    </row>
    <row r="49762">
      <c r="A49762" s="17"/>
      <c r="H49762" s="18"/>
      <c r="K49762" s="18" t="s">
        <v>316</v>
      </c>
    </row>
    <row r="49763">
      <c r="A49763" s="17"/>
      <c r="H49763" s="18"/>
      <c r="K49763" s="18" t="s">
        <v>316</v>
      </c>
    </row>
    <row r="49764">
      <c r="A49764" s="17"/>
      <c r="H49764" s="18"/>
      <c r="K49764" s="18" t="s">
        <v>316</v>
      </c>
    </row>
    <row r="49765">
      <c r="A49765" s="17"/>
      <c r="H49765" s="18"/>
      <c r="K49765" s="18" t="s">
        <v>316</v>
      </c>
    </row>
    <row r="49766">
      <c r="A49766" s="17"/>
      <c r="H49766" s="18"/>
      <c r="K49766" s="18" t="s">
        <v>316</v>
      </c>
    </row>
    <row r="49767">
      <c r="A49767" s="17"/>
      <c r="H49767" s="18"/>
      <c r="K49767" s="18" t="s">
        <v>316</v>
      </c>
    </row>
    <row r="49768">
      <c r="A49768" s="17"/>
      <c r="H49768" s="18"/>
      <c r="K49768" s="18" t="s">
        <v>316</v>
      </c>
    </row>
    <row r="49769">
      <c r="A49769" s="17"/>
      <c r="H49769" s="18"/>
      <c r="K49769" s="18" t="s">
        <v>316</v>
      </c>
    </row>
    <row r="49770">
      <c r="A49770" s="17"/>
      <c r="H49770" s="18"/>
      <c r="K49770" s="18" t="s">
        <v>316</v>
      </c>
    </row>
    <row r="49771">
      <c r="A49771" s="17"/>
      <c r="H49771" s="18"/>
      <c r="K49771" s="18" t="s">
        <v>316</v>
      </c>
    </row>
    <row r="49772">
      <c r="A49772" s="17"/>
      <c r="H49772" s="18"/>
      <c r="K49772" s="18" t="s">
        <v>316</v>
      </c>
    </row>
    <row r="49773">
      <c r="A49773" s="17"/>
      <c r="H49773" s="18"/>
      <c r="K49773" s="18" t="s">
        <v>316</v>
      </c>
    </row>
    <row r="49774">
      <c r="A49774" s="17"/>
      <c r="H49774" s="18"/>
      <c r="K49774" s="18" t="s">
        <v>316</v>
      </c>
    </row>
    <row r="49775">
      <c r="A49775" s="17"/>
      <c r="H49775" s="18"/>
      <c r="K49775" s="18" t="s">
        <v>316</v>
      </c>
    </row>
    <row r="49776">
      <c r="A49776" s="17"/>
      <c r="H49776" s="18"/>
      <c r="K49776" s="18" t="s">
        <v>316</v>
      </c>
    </row>
    <row r="49777">
      <c r="A49777" s="17"/>
      <c r="H49777" s="18"/>
      <c r="K49777" s="18" t="s">
        <v>316</v>
      </c>
    </row>
    <row r="49778">
      <c r="A49778" s="17"/>
      <c r="H49778" s="18"/>
      <c r="K49778" s="18" t="s">
        <v>316</v>
      </c>
    </row>
    <row r="49779">
      <c r="A49779" s="17"/>
      <c r="H49779" s="18"/>
      <c r="K49779" s="18" t="s">
        <v>316</v>
      </c>
    </row>
    <row r="49780">
      <c r="A49780" s="17"/>
      <c r="H49780" s="18"/>
      <c r="K49780" s="18" t="s">
        <v>316</v>
      </c>
    </row>
    <row r="49781">
      <c r="A49781" s="17"/>
      <c r="H49781" s="18"/>
      <c r="K49781" s="18" t="s">
        <v>316</v>
      </c>
    </row>
    <row r="49782">
      <c r="A49782" s="17"/>
      <c r="H49782" s="18"/>
      <c r="K49782" s="18" t="s">
        <v>316</v>
      </c>
    </row>
    <row r="49783">
      <c r="A49783" s="17"/>
      <c r="H49783" s="18"/>
      <c r="K49783" s="18" t="s">
        <v>316</v>
      </c>
    </row>
    <row r="49784">
      <c r="A49784" s="17"/>
      <c r="H49784" s="18"/>
      <c r="K49784" s="18" t="s">
        <v>316</v>
      </c>
    </row>
    <row r="49785">
      <c r="A49785" s="17"/>
      <c r="H49785" s="18"/>
      <c r="K49785" s="18" t="s">
        <v>316</v>
      </c>
    </row>
    <row r="49786">
      <c r="A49786" s="17"/>
      <c r="H49786" s="18"/>
      <c r="K49786" s="18" t="s">
        <v>316</v>
      </c>
    </row>
    <row r="49787">
      <c r="A49787" s="17"/>
      <c r="H49787" s="18"/>
      <c r="K49787" s="18" t="s">
        <v>316</v>
      </c>
    </row>
    <row r="49788">
      <c r="A49788" s="17"/>
      <c r="H49788" s="18"/>
      <c r="K49788" s="18" t="s">
        <v>316</v>
      </c>
    </row>
    <row r="49789">
      <c r="A49789" s="17"/>
      <c r="H49789" s="18"/>
      <c r="K49789" s="18" t="s">
        <v>316</v>
      </c>
    </row>
    <row r="49790">
      <c r="A49790" s="17"/>
      <c r="H49790" s="18"/>
      <c r="K49790" s="18" t="s">
        <v>316</v>
      </c>
    </row>
    <row r="49791">
      <c r="A49791" s="17"/>
      <c r="H49791" s="18"/>
      <c r="K49791" s="18" t="s">
        <v>316</v>
      </c>
    </row>
    <row r="49792">
      <c r="A49792" s="17"/>
      <c r="H49792" s="18"/>
      <c r="K49792" s="18" t="s">
        <v>316</v>
      </c>
    </row>
    <row r="49793">
      <c r="A49793" s="17"/>
      <c r="H49793" s="18"/>
      <c r="K49793" s="18" t="s">
        <v>316</v>
      </c>
    </row>
    <row r="49794">
      <c r="A49794" s="17"/>
      <c r="H49794" s="18"/>
      <c r="K49794" s="18" t="s">
        <v>316</v>
      </c>
    </row>
    <row r="49795">
      <c r="A49795" s="17"/>
      <c r="H49795" s="18"/>
      <c r="K49795" s="18" t="s">
        <v>316</v>
      </c>
    </row>
    <row r="49796">
      <c r="A49796" s="17"/>
      <c r="H49796" s="18"/>
      <c r="K49796" s="18" t="s">
        <v>316</v>
      </c>
    </row>
    <row r="49797">
      <c r="A49797" s="17"/>
      <c r="H49797" s="18"/>
      <c r="K49797" s="18" t="s">
        <v>316</v>
      </c>
    </row>
    <row r="49798">
      <c r="A49798" s="17"/>
      <c r="H49798" s="18"/>
      <c r="K49798" s="18" t="s">
        <v>316</v>
      </c>
    </row>
    <row r="49799">
      <c r="A49799" s="17"/>
      <c r="H49799" s="18"/>
      <c r="K49799" s="18" t="s">
        <v>316</v>
      </c>
    </row>
    <row r="49800">
      <c r="A49800" s="17"/>
      <c r="H49800" s="18"/>
      <c r="K49800" s="18" t="s">
        <v>316</v>
      </c>
    </row>
    <row r="49801">
      <c r="A49801" s="17"/>
      <c r="H49801" s="18"/>
      <c r="K49801" s="18" t="s">
        <v>316</v>
      </c>
    </row>
    <row r="49802">
      <c r="A49802" s="17"/>
      <c r="H49802" s="18"/>
      <c r="K49802" s="18" t="s">
        <v>316</v>
      </c>
    </row>
    <row r="49803">
      <c r="A49803" s="17"/>
      <c r="H49803" s="18"/>
      <c r="K49803" s="18" t="s">
        <v>316</v>
      </c>
    </row>
    <row r="49804">
      <c r="A49804" s="17"/>
      <c r="H49804" s="18"/>
      <c r="K49804" s="18" t="s">
        <v>316</v>
      </c>
    </row>
    <row r="49805">
      <c r="A49805" s="17"/>
      <c r="H49805" s="18"/>
      <c r="K49805" s="18" t="s">
        <v>316</v>
      </c>
    </row>
    <row r="49806">
      <c r="A49806" s="17"/>
      <c r="H49806" s="18"/>
      <c r="K49806" s="18" t="s">
        <v>316</v>
      </c>
    </row>
    <row r="49807">
      <c r="A49807" s="17"/>
      <c r="H49807" s="18"/>
      <c r="K49807" s="18" t="s">
        <v>316</v>
      </c>
    </row>
    <row r="49808">
      <c r="A49808" s="17"/>
      <c r="H49808" s="18"/>
      <c r="K49808" s="18" t="s">
        <v>316</v>
      </c>
    </row>
    <row r="49809">
      <c r="A49809" s="17"/>
      <c r="H49809" s="18"/>
      <c r="K49809" s="18" t="s">
        <v>316</v>
      </c>
    </row>
    <row r="49810">
      <c r="A49810" s="17"/>
      <c r="H49810" s="18"/>
      <c r="K49810" s="18" t="s">
        <v>316</v>
      </c>
    </row>
    <row r="49811">
      <c r="A49811" s="17"/>
      <c r="H49811" s="18"/>
      <c r="K49811" s="18" t="s">
        <v>316</v>
      </c>
    </row>
    <row r="49812">
      <c r="A49812" s="17"/>
      <c r="H49812" s="18"/>
      <c r="K49812" s="18" t="s">
        <v>316</v>
      </c>
    </row>
    <row r="49813">
      <c r="A49813" s="17"/>
      <c r="H49813" s="18"/>
      <c r="K49813" s="18" t="s">
        <v>316</v>
      </c>
    </row>
    <row r="49814">
      <c r="A49814" s="17"/>
      <c r="H49814" s="18"/>
      <c r="K49814" s="18" t="s">
        <v>316</v>
      </c>
    </row>
    <row r="49815">
      <c r="A49815" s="17"/>
      <c r="H49815" s="18"/>
      <c r="K49815" s="18" t="s">
        <v>316</v>
      </c>
    </row>
    <row r="49816">
      <c r="A49816" s="17"/>
      <c r="H49816" s="18"/>
      <c r="K49816" s="18" t="s">
        <v>316</v>
      </c>
    </row>
    <row r="49817">
      <c r="A49817" s="17"/>
      <c r="H49817" s="18"/>
      <c r="K49817" s="18" t="s">
        <v>316</v>
      </c>
    </row>
    <row r="49818">
      <c r="A49818" s="17"/>
      <c r="H49818" s="18"/>
      <c r="K49818" s="18" t="s">
        <v>316</v>
      </c>
    </row>
    <row r="49819">
      <c r="A49819" s="17"/>
      <c r="H49819" s="18"/>
      <c r="K49819" s="18" t="s">
        <v>316</v>
      </c>
    </row>
    <row r="49820">
      <c r="A49820" s="17"/>
      <c r="H49820" s="18"/>
      <c r="K49820" s="18" t="s">
        <v>316</v>
      </c>
    </row>
    <row r="49821">
      <c r="A49821" s="17"/>
      <c r="H49821" s="18"/>
      <c r="K49821" s="18" t="s">
        <v>316</v>
      </c>
    </row>
    <row r="49822">
      <c r="A49822" s="17"/>
      <c r="H49822" s="18"/>
      <c r="K49822" s="18" t="s">
        <v>316</v>
      </c>
    </row>
    <row r="49823">
      <c r="A49823" s="17"/>
      <c r="H49823" s="18"/>
      <c r="K49823" s="18" t="s">
        <v>316</v>
      </c>
    </row>
    <row r="49824">
      <c r="A49824" s="17"/>
      <c r="H49824" s="18"/>
      <c r="K49824" s="18" t="s">
        <v>316</v>
      </c>
    </row>
    <row r="49825">
      <c r="A49825" s="17"/>
      <c r="H49825" s="18"/>
      <c r="K49825" s="18" t="s">
        <v>316</v>
      </c>
    </row>
    <row r="49826">
      <c r="A49826" s="17"/>
      <c r="H49826" s="18"/>
      <c r="K49826" s="18" t="s">
        <v>316</v>
      </c>
    </row>
    <row r="49827">
      <c r="A49827" s="17"/>
      <c r="H49827" s="18"/>
      <c r="K49827" s="18" t="s">
        <v>316</v>
      </c>
    </row>
    <row r="49828">
      <c r="A49828" s="17"/>
      <c r="H49828" s="18"/>
      <c r="K49828" s="18" t="s">
        <v>316</v>
      </c>
    </row>
    <row r="49829">
      <c r="A49829" s="17"/>
      <c r="H49829" s="18"/>
      <c r="K49829" s="18" t="s">
        <v>316</v>
      </c>
    </row>
    <row r="49830">
      <c r="A49830" s="17"/>
      <c r="H49830" s="18"/>
      <c r="K49830" s="18" t="s">
        <v>316</v>
      </c>
    </row>
    <row r="49831">
      <c r="A49831" s="17"/>
      <c r="H49831" s="18"/>
      <c r="K49831" s="18" t="s">
        <v>316</v>
      </c>
    </row>
    <row r="49832">
      <c r="A49832" s="17"/>
      <c r="H49832" s="18"/>
      <c r="K49832" s="18" t="s">
        <v>316</v>
      </c>
    </row>
    <row r="49833">
      <c r="A49833" s="17"/>
      <c r="H49833" s="18"/>
      <c r="K49833" s="18" t="s">
        <v>316</v>
      </c>
    </row>
    <row r="49834">
      <c r="A49834" s="17"/>
      <c r="H49834" s="18"/>
      <c r="K49834" s="18" t="s">
        <v>316</v>
      </c>
    </row>
    <row r="49835">
      <c r="A49835" s="17"/>
      <c r="H49835" s="18"/>
      <c r="K49835" s="18" t="s">
        <v>316</v>
      </c>
    </row>
    <row r="49836">
      <c r="A49836" s="17"/>
      <c r="H49836" s="18"/>
      <c r="K49836" s="18" t="s">
        <v>316</v>
      </c>
    </row>
    <row r="49837">
      <c r="A49837" s="17"/>
      <c r="H49837" s="18"/>
      <c r="K49837" s="18" t="s">
        <v>316</v>
      </c>
    </row>
    <row r="49838">
      <c r="A49838" s="17"/>
      <c r="H49838" s="18"/>
      <c r="K49838" s="18" t="s">
        <v>316</v>
      </c>
    </row>
    <row r="49839">
      <c r="A49839" s="17"/>
      <c r="H49839" s="18"/>
      <c r="K49839" s="18" t="s">
        <v>316</v>
      </c>
    </row>
    <row r="49840">
      <c r="A49840" s="17"/>
      <c r="H49840" s="18"/>
      <c r="K49840" s="18" t="s">
        <v>316</v>
      </c>
    </row>
    <row r="49841">
      <c r="A49841" s="17"/>
      <c r="H49841" s="18"/>
      <c r="K49841" s="18" t="s">
        <v>316</v>
      </c>
    </row>
    <row r="49842">
      <c r="A49842" s="17"/>
      <c r="H49842" s="18"/>
      <c r="K49842" s="18" t="s">
        <v>316</v>
      </c>
    </row>
    <row r="49843">
      <c r="A49843" s="17"/>
      <c r="H49843" s="18"/>
      <c r="K49843" s="18" t="s">
        <v>316</v>
      </c>
    </row>
    <row r="49844">
      <c r="A49844" s="17"/>
      <c r="H49844" s="18"/>
      <c r="K49844" s="18" t="s">
        <v>316</v>
      </c>
    </row>
    <row r="49845">
      <c r="A49845" s="17"/>
      <c r="H49845" s="18"/>
      <c r="K49845" s="18" t="s">
        <v>316</v>
      </c>
    </row>
    <row r="49846">
      <c r="A49846" s="17"/>
      <c r="H49846" s="18"/>
      <c r="K49846" s="18" t="s">
        <v>316</v>
      </c>
    </row>
    <row r="49847">
      <c r="A49847" s="17"/>
      <c r="H49847" s="18"/>
      <c r="K49847" s="18" t="s">
        <v>316</v>
      </c>
    </row>
    <row r="49848">
      <c r="A49848" s="17"/>
      <c r="H49848" s="18"/>
      <c r="K49848" s="18" t="s">
        <v>316</v>
      </c>
    </row>
    <row r="49849">
      <c r="A49849" s="17"/>
      <c r="H49849" s="18"/>
      <c r="K49849" s="18" t="s">
        <v>316</v>
      </c>
    </row>
    <row r="49850">
      <c r="A49850" s="17"/>
      <c r="H49850" s="18"/>
      <c r="K49850" s="18" t="s">
        <v>316</v>
      </c>
    </row>
    <row r="49851">
      <c r="A49851" s="17"/>
      <c r="H49851" s="18"/>
      <c r="K49851" s="18" t="s">
        <v>316</v>
      </c>
    </row>
    <row r="49852">
      <c r="A49852" s="17"/>
      <c r="H49852" s="18"/>
      <c r="K49852" s="18" t="s">
        <v>316</v>
      </c>
    </row>
    <row r="49853">
      <c r="A49853" s="17"/>
      <c r="H49853" s="18"/>
      <c r="K49853" s="18" t="s">
        <v>316</v>
      </c>
    </row>
    <row r="49854">
      <c r="A49854" s="17"/>
      <c r="H49854" s="18"/>
      <c r="K49854" s="18" t="s">
        <v>316</v>
      </c>
    </row>
    <row r="49855">
      <c r="A49855" s="17"/>
      <c r="H49855" s="18"/>
      <c r="K49855" s="18" t="s">
        <v>316</v>
      </c>
    </row>
    <row r="49856">
      <c r="A49856" s="17"/>
      <c r="H49856" s="18"/>
      <c r="K49856" s="18" t="s">
        <v>316</v>
      </c>
    </row>
    <row r="49857">
      <c r="A49857" s="17"/>
      <c r="H49857" s="18"/>
      <c r="K49857" s="18" t="s">
        <v>316</v>
      </c>
    </row>
    <row r="49858">
      <c r="A49858" s="17"/>
      <c r="H49858" s="18"/>
      <c r="K49858" s="18" t="s">
        <v>316</v>
      </c>
    </row>
    <row r="49859">
      <c r="A49859" s="17"/>
      <c r="H49859" s="18"/>
      <c r="K49859" s="18" t="s">
        <v>316</v>
      </c>
    </row>
    <row r="49860">
      <c r="A49860" s="17"/>
      <c r="H49860" s="18"/>
      <c r="K49860" s="18" t="s">
        <v>316</v>
      </c>
    </row>
    <row r="49861">
      <c r="A49861" s="17"/>
      <c r="H49861" s="18"/>
      <c r="K49861" s="18" t="s">
        <v>316</v>
      </c>
    </row>
    <row r="49862">
      <c r="A49862" s="17"/>
      <c r="H49862" s="18"/>
      <c r="K49862" s="18" t="s">
        <v>316</v>
      </c>
    </row>
    <row r="49863">
      <c r="A49863" s="17"/>
      <c r="H49863" s="18"/>
      <c r="K49863" s="18" t="s">
        <v>316</v>
      </c>
    </row>
    <row r="49864">
      <c r="A49864" s="17"/>
      <c r="H49864" s="18"/>
      <c r="K49864" s="18" t="s">
        <v>316</v>
      </c>
    </row>
    <row r="49865">
      <c r="A49865" s="17"/>
      <c r="H49865" s="18"/>
      <c r="K49865" s="18" t="s">
        <v>316</v>
      </c>
    </row>
    <row r="49866">
      <c r="A49866" s="17"/>
      <c r="H49866" s="18"/>
      <c r="K49866" s="18" t="s">
        <v>316</v>
      </c>
    </row>
    <row r="49867">
      <c r="A49867" s="17"/>
      <c r="H49867" s="18"/>
      <c r="K49867" s="18" t="s">
        <v>316</v>
      </c>
    </row>
    <row r="49868">
      <c r="A49868" s="17"/>
      <c r="H49868" s="18"/>
      <c r="K49868" s="18" t="s">
        <v>316</v>
      </c>
    </row>
    <row r="49869">
      <c r="A49869" s="17"/>
      <c r="H49869" s="18"/>
      <c r="K49869" s="18" t="s">
        <v>316</v>
      </c>
    </row>
    <row r="49870">
      <c r="A49870" s="17"/>
      <c r="H49870" s="18"/>
      <c r="K49870" s="18" t="s">
        <v>316</v>
      </c>
    </row>
    <row r="49871">
      <c r="A49871" s="17"/>
      <c r="H49871" s="18"/>
      <c r="K49871" s="18" t="s">
        <v>316</v>
      </c>
    </row>
    <row r="49872">
      <c r="A49872" s="17"/>
      <c r="H49872" s="18"/>
      <c r="K49872" s="18" t="s">
        <v>316</v>
      </c>
    </row>
    <row r="49873">
      <c r="A49873" s="17"/>
      <c r="H49873" s="18"/>
      <c r="K49873" s="18" t="s">
        <v>316</v>
      </c>
    </row>
    <row r="49874">
      <c r="A49874" s="17"/>
      <c r="H49874" s="18"/>
      <c r="K49874" s="18" t="s">
        <v>316</v>
      </c>
    </row>
    <row r="49875">
      <c r="A49875" s="17"/>
      <c r="H49875" s="18"/>
      <c r="K49875" s="18" t="s">
        <v>316</v>
      </c>
    </row>
    <row r="49876">
      <c r="A49876" s="17"/>
      <c r="H49876" s="18"/>
      <c r="K49876" s="18" t="s">
        <v>316</v>
      </c>
    </row>
    <row r="49877">
      <c r="A49877" s="17"/>
      <c r="H49877" s="18"/>
      <c r="K49877" s="18" t="s">
        <v>316</v>
      </c>
    </row>
    <row r="49878">
      <c r="A49878" s="17"/>
      <c r="H49878" s="18"/>
      <c r="K49878" s="18" t="s">
        <v>316</v>
      </c>
    </row>
    <row r="49879">
      <c r="A49879" s="17"/>
      <c r="H49879" s="18"/>
      <c r="K49879" s="18" t="s">
        <v>316</v>
      </c>
    </row>
    <row r="49880">
      <c r="A49880" s="17"/>
      <c r="H49880" s="18"/>
      <c r="K49880" s="18" t="s">
        <v>316</v>
      </c>
    </row>
    <row r="49881">
      <c r="A49881" s="17"/>
      <c r="H49881" s="18"/>
      <c r="K49881" s="18" t="s">
        <v>316</v>
      </c>
    </row>
    <row r="49882">
      <c r="A49882" s="17"/>
      <c r="H49882" s="18"/>
      <c r="K49882" s="18" t="s">
        <v>316</v>
      </c>
    </row>
    <row r="49883">
      <c r="A49883" s="17"/>
      <c r="H49883" s="18"/>
      <c r="K49883" s="18" t="s">
        <v>316</v>
      </c>
    </row>
    <row r="49884">
      <c r="A49884" s="17"/>
      <c r="H49884" s="18"/>
      <c r="K49884" s="18" t="s">
        <v>316</v>
      </c>
    </row>
    <row r="49885">
      <c r="A49885" s="17"/>
      <c r="H49885" s="18"/>
      <c r="K49885" s="18" t="s">
        <v>316</v>
      </c>
    </row>
    <row r="49886">
      <c r="A49886" s="17"/>
      <c r="H49886" s="18"/>
      <c r="K49886" s="18" t="s">
        <v>316</v>
      </c>
    </row>
    <row r="49887">
      <c r="A49887" s="17"/>
      <c r="H49887" s="18"/>
      <c r="K49887" s="18" t="s">
        <v>316</v>
      </c>
    </row>
    <row r="49888">
      <c r="A49888" s="17"/>
      <c r="H49888" s="18"/>
      <c r="K49888" s="18" t="s">
        <v>316</v>
      </c>
    </row>
    <row r="49889">
      <c r="A49889" s="17"/>
      <c r="H49889" s="18"/>
      <c r="K49889" s="18" t="s">
        <v>316</v>
      </c>
    </row>
    <row r="49890">
      <c r="A49890" s="17"/>
      <c r="H49890" s="18"/>
      <c r="K49890" s="18" t="s">
        <v>316</v>
      </c>
    </row>
    <row r="49891">
      <c r="A49891" s="17"/>
      <c r="H49891" s="18"/>
      <c r="K49891" s="18" t="s">
        <v>316</v>
      </c>
    </row>
    <row r="49892">
      <c r="A49892" s="17"/>
      <c r="H49892" s="18"/>
      <c r="K49892" s="18" t="s">
        <v>316</v>
      </c>
    </row>
    <row r="49893">
      <c r="A49893" s="17"/>
      <c r="H49893" s="18"/>
      <c r="K49893" s="18" t="s">
        <v>316</v>
      </c>
    </row>
    <row r="49894">
      <c r="A49894" s="17"/>
      <c r="H49894" s="18"/>
      <c r="K49894" s="18" t="s">
        <v>316</v>
      </c>
    </row>
    <row r="49895">
      <c r="A49895" s="17"/>
      <c r="H49895" s="18"/>
      <c r="K49895" s="18" t="s">
        <v>316</v>
      </c>
    </row>
    <row r="49896">
      <c r="A49896" s="17"/>
      <c r="H49896" s="18"/>
      <c r="K49896" s="18" t="s">
        <v>316</v>
      </c>
    </row>
    <row r="49897">
      <c r="A49897" s="17"/>
      <c r="H49897" s="18"/>
      <c r="K49897" s="18" t="s">
        <v>316</v>
      </c>
    </row>
    <row r="49898">
      <c r="A49898" s="17"/>
      <c r="H49898" s="18"/>
      <c r="K49898" s="18" t="s">
        <v>316</v>
      </c>
    </row>
    <row r="49899">
      <c r="A49899" s="17"/>
      <c r="H49899" s="18"/>
      <c r="K49899" s="18" t="s">
        <v>316</v>
      </c>
    </row>
    <row r="49900">
      <c r="A49900" s="17"/>
      <c r="H49900" s="18"/>
      <c r="K49900" s="18" t="s">
        <v>316</v>
      </c>
    </row>
    <row r="49901">
      <c r="A49901" s="17"/>
      <c r="H49901" s="18"/>
      <c r="K49901" s="18" t="s">
        <v>316</v>
      </c>
    </row>
    <row r="49902">
      <c r="A49902" s="17"/>
      <c r="H49902" s="18"/>
      <c r="K49902" s="18" t="s">
        <v>316</v>
      </c>
    </row>
    <row r="49903">
      <c r="A49903" s="17"/>
      <c r="H49903" s="18"/>
      <c r="K49903" s="18" t="s">
        <v>316</v>
      </c>
    </row>
    <row r="49904">
      <c r="A49904" s="17"/>
      <c r="H49904" s="18"/>
      <c r="K49904" s="18" t="s">
        <v>316</v>
      </c>
    </row>
    <row r="49905">
      <c r="A49905" s="17"/>
      <c r="H49905" s="18"/>
      <c r="K49905" s="18" t="s">
        <v>316</v>
      </c>
    </row>
    <row r="49906">
      <c r="A49906" s="17"/>
      <c r="H49906" s="18"/>
      <c r="K49906" s="18" t="s">
        <v>316</v>
      </c>
    </row>
    <row r="49907">
      <c r="A49907" s="17"/>
      <c r="H49907" s="18"/>
      <c r="K49907" s="18" t="s">
        <v>316</v>
      </c>
    </row>
    <row r="49908">
      <c r="A49908" s="17"/>
      <c r="H49908" s="18"/>
      <c r="K49908" s="18" t="s">
        <v>316</v>
      </c>
    </row>
    <row r="49909">
      <c r="A49909" s="17"/>
      <c r="H49909" s="18"/>
      <c r="K49909" s="18" t="s">
        <v>316</v>
      </c>
    </row>
    <row r="49910">
      <c r="A49910" s="17"/>
      <c r="H49910" s="18"/>
      <c r="K49910" s="18" t="s">
        <v>316</v>
      </c>
    </row>
    <row r="49911">
      <c r="A49911" s="17"/>
      <c r="H49911" s="18"/>
      <c r="K49911" s="18" t="s">
        <v>316</v>
      </c>
    </row>
    <row r="49912">
      <c r="A49912" s="17"/>
      <c r="H49912" s="18"/>
      <c r="K49912" s="18" t="s">
        <v>316</v>
      </c>
    </row>
    <row r="49913">
      <c r="A49913" s="17"/>
      <c r="H49913" s="18"/>
      <c r="K49913" s="18" t="s">
        <v>316</v>
      </c>
    </row>
    <row r="49914">
      <c r="A49914" s="17"/>
      <c r="H49914" s="18"/>
      <c r="K49914" s="18" t="s">
        <v>316</v>
      </c>
    </row>
    <row r="49915">
      <c r="A49915" s="17"/>
      <c r="H49915" s="18"/>
      <c r="K49915" s="18" t="s">
        <v>316</v>
      </c>
    </row>
    <row r="49916">
      <c r="A49916" s="17"/>
      <c r="H49916" s="18"/>
      <c r="K49916" s="18" t="s">
        <v>316</v>
      </c>
    </row>
    <row r="49917">
      <c r="A49917" s="17"/>
      <c r="H49917" s="18"/>
      <c r="K49917" s="18" t="s">
        <v>316</v>
      </c>
    </row>
    <row r="49918">
      <c r="A49918" s="17"/>
      <c r="H49918" s="18"/>
      <c r="K49918" s="18" t="s">
        <v>316</v>
      </c>
    </row>
    <row r="49919">
      <c r="A49919" s="17"/>
      <c r="H49919" s="18"/>
      <c r="K49919" s="18" t="s">
        <v>316</v>
      </c>
    </row>
    <row r="49920">
      <c r="A49920" s="17"/>
      <c r="H49920" s="18"/>
      <c r="K49920" s="18" t="s">
        <v>316</v>
      </c>
    </row>
    <row r="49921">
      <c r="A49921" s="17"/>
      <c r="H49921" s="18"/>
      <c r="K49921" s="18" t="s">
        <v>316</v>
      </c>
    </row>
    <row r="49922">
      <c r="A49922" s="17"/>
      <c r="H49922" s="18"/>
      <c r="K49922" s="18" t="s">
        <v>316</v>
      </c>
    </row>
    <row r="49923">
      <c r="A49923" s="17"/>
      <c r="H49923" s="18"/>
      <c r="K49923" s="18" t="s">
        <v>316</v>
      </c>
    </row>
    <row r="49924">
      <c r="A49924" s="17"/>
      <c r="H49924" s="18"/>
      <c r="K49924" s="18" t="s">
        <v>316</v>
      </c>
    </row>
    <row r="49925">
      <c r="A49925" s="17"/>
      <c r="H49925" s="18"/>
      <c r="K49925" s="18" t="s">
        <v>316</v>
      </c>
    </row>
    <row r="49926">
      <c r="A49926" s="17"/>
      <c r="H49926" s="18"/>
      <c r="K49926" s="18" t="s">
        <v>316</v>
      </c>
    </row>
    <row r="49927">
      <c r="A49927" s="17"/>
      <c r="H49927" s="18"/>
      <c r="K49927" s="18" t="s">
        <v>316</v>
      </c>
    </row>
    <row r="49928">
      <c r="A49928" s="17"/>
      <c r="H49928" s="18"/>
      <c r="K49928" s="18" t="s">
        <v>316</v>
      </c>
    </row>
    <row r="49929">
      <c r="A49929" s="17"/>
      <c r="H49929" s="18"/>
      <c r="K49929" s="18" t="s">
        <v>316</v>
      </c>
    </row>
    <row r="49930">
      <c r="A49930" s="17"/>
      <c r="H49930" s="18"/>
      <c r="K49930" s="18" t="s">
        <v>316</v>
      </c>
    </row>
    <row r="49931">
      <c r="A49931" s="17"/>
      <c r="H49931" s="18"/>
      <c r="K49931" s="18" t="s">
        <v>316</v>
      </c>
    </row>
    <row r="49932">
      <c r="A49932" s="17"/>
      <c r="H49932" s="18"/>
      <c r="K49932" s="18" t="s">
        <v>316</v>
      </c>
    </row>
    <row r="49933">
      <c r="A49933" s="17"/>
      <c r="H49933" s="18"/>
      <c r="K49933" s="18" t="s">
        <v>316</v>
      </c>
    </row>
    <row r="49934">
      <c r="A49934" s="17"/>
      <c r="H49934" s="18"/>
      <c r="K49934" s="18" t="s">
        <v>316</v>
      </c>
    </row>
    <row r="49935">
      <c r="A49935" s="17"/>
      <c r="H49935" s="18"/>
      <c r="K49935" s="18" t="s">
        <v>316</v>
      </c>
    </row>
    <row r="49936">
      <c r="A49936" s="17"/>
      <c r="H49936" s="18"/>
      <c r="K49936" s="18" t="s">
        <v>316</v>
      </c>
    </row>
    <row r="49937">
      <c r="A49937" s="17"/>
      <c r="H49937" s="18"/>
      <c r="K49937" s="18" t="s">
        <v>316</v>
      </c>
    </row>
    <row r="49938">
      <c r="A49938" s="17"/>
      <c r="H49938" s="18"/>
      <c r="K49938" s="18" t="s">
        <v>316</v>
      </c>
    </row>
    <row r="49939">
      <c r="A49939" s="17"/>
      <c r="H49939" s="18"/>
      <c r="K49939" s="18" t="s">
        <v>316</v>
      </c>
    </row>
    <row r="49940">
      <c r="A49940" s="17"/>
      <c r="H49940" s="18"/>
      <c r="K49940" s="18" t="s">
        <v>316</v>
      </c>
    </row>
    <row r="49941">
      <c r="A49941" s="17"/>
      <c r="H49941" s="18"/>
      <c r="K49941" s="18" t="s">
        <v>316</v>
      </c>
    </row>
    <row r="49942">
      <c r="A49942" s="17"/>
      <c r="H49942" s="18"/>
      <c r="K49942" s="18" t="s">
        <v>316</v>
      </c>
    </row>
    <row r="49943">
      <c r="A49943" s="17"/>
      <c r="H49943" s="18"/>
      <c r="K49943" s="18" t="s">
        <v>316</v>
      </c>
    </row>
    <row r="49944">
      <c r="A49944" s="17"/>
      <c r="H49944" s="18"/>
      <c r="K49944" s="18" t="s">
        <v>316</v>
      </c>
    </row>
    <row r="49945">
      <c r="A49945" s="17"/>
      <c r="H49945" s="18"/>
      <c r="K49945" s="18" t="s">
        <v>316</v>
      </c>
    </row>
    <row r="49946">
      <c r="A49946" s="17"/>
      <c r="H49946" s="18"/>
      <c r="K49946" s="18" t="s">
        <v>316</v>
      </c>
    </row>
    <row r="49947">
      <c r="A49947" s="17"/>
      <c r="H49947" s="18"/>
      <c r="K49947" s="18" t="s">
        <v>316</v>
      </c>
    </row>
    <row r="49948">
      <c r="A49948" s="17"/>
      <c r="H49948" s="18"/>
      <c r="K49948" s="18" t="s">
        <v>316</v>
      </c>
    </row>
    <row r="49949">
      <c r="A49949" s="17"/>
      <c r="H49949" s="18"/>
      <c r="K49949" s="18" t="s">
        <v>316</v>
      </c>
    </row>
    <row r="49950">
      <c r="A49950" s="17"/>
      <c r="H49950" s="18"/>
      <c r="K49950" s="18" t="s">
        <v>316</v>
      </c>
    </row>
    <row r="49951">
      <c r="A49951" s="17"/>
      <c r="H49951" s="18"/>
      <c r="K49951" s="18" t="s">
        <v>316</v>
      </c>
    </row>
    <row r="49952">
      <c r="A49952" s="17"/>
      <c r="H49952" s="18"/>
      <c r="K49952" s="18" t="s">
        <v>316</v>
      </c>
    </row>
    <row r="49953">
      <c r="A49953" s="17"/>
      <c r="H49953" s="18"/>
      <c r="K49953" s="18" t="s">
        <v>316</v>
      </c>
    </row>
    <row r="49954">
      <c r="A49954" s="17"/>
      <c r="H49954" s="18"/>
      <c r="K49954" s="18" t="s">
        <v>316</v>
      </c>
    </row>
    <row r="49955">
      <c r="A49955" s="17"/>
      <c r="H49955" s="18"/>
      <c r="K49955" s="18" t="s">
        <v>316</v>
      </c>
    </row>
    <row r="49956">
      <c r="A49956" s="17"/>
      <c r="H49956" s="18"/>
      <c r="K49956" s="18" t="s">
        <v>316</v>
      </c>
    </row>
    <row r="49957">
      <c r="A49957" s="17"/>
      <c r="H49957" s="18"/>
      <c r="K49957" s="18" t="s">
        <v>316</v>
      </c>
    </row>
    <row r="49958">
      <c r="A49958" s="17"/>
      <c r="H49958" s="18"/>
      <c r="K49958" s="18" t="s">
        <v>316</v>
      </c>
    </row>
    <row r="49959">
      <c r="A49959" s="17"/>
      <c r="H49959" s="18"/>
      <c r="K49959" s="18" t="s">
        <v>316</v>
      </c>
    </row>
    <row r="49960">
      <c r="A49960" s="17"/>
      <c r="H49960" s="18"/>
      <c r="K49960" s="18" t="s">
        <v>316</v>
      </c>
    </row>
    <row r="49961">
      <c r="A49961" s="17"/>
      <c r="H49961" s="18"/>
      <c r="K49961" s="18" t="s">
        <v>316</v>
      </c>
    </row>
    <row r="49962">
      <c r="A49962" s="17"/>
      <c r="H49962" s="18"/>
      <c r="K49962" s="18" t="s">
        <v>316</v>
      </c>
    </row>
    <row r="49963">
      <c r="A49963" s="17"/>
      <c r="H49963" s="18"/>
      <c r="K49963" s="18" t="s">
        <v>316</v>
      </c>
    </row>
    <row r="49964">
      <c r="A49964" s="17"/>
      <c r="H49964" s="18"/>
      <c r="K49964" s="18" t="s">
        <v>316</v>
      </c>
    </row>
    <row r="49965">
      <c r="A49965" s="17"/>
      <c r="H49965" s="18"/>
      <c r="K49965" s="18" t="s">
        <v>316</v>
      </c>
    </row>
    <row r="49966">
      <c r="A49966" s="17"/>
      <c r="H49966" s="18"/>
      <c r="K49966" s="18" t="s">
        <v>316</v>
      </c>
    </row>
    <row r="49967">
      <c r="A49967" s="17"/>
      <c r="H49967" s="18"/>
      <c r="K49967" s="18" t="s">
        <v>316</v>
      </c>
    </row>
    <row r="49968">
      <c r="A49968" s="17"/>
      <c r="H49968" s="18"/>
      <c r="K49968" s="18" t="s">
        <v>316</v>
      </c>
    </row>
    <row r="49969">
      <c r="A49969" s="17"/>
      <c r="H49969" s="18"/>
      <c r="K49969" s="18" t="s">
        <v>316</v>
      </c>
    </row>
    <row r="49970">
      <c r="A49970" s="17"/>
      <c r="H49970" s="18"/>
      <c r="K49970" s="18" t="s">
        <v>316</v>
      </c>
    </row>
    <row r="49971">
      <c r="A49971" s="17"/>
      <c r="H49971" s="18"/>
      <c r="K49971" s="18" t="s">
        <v>316</v>
      </c>
    </row>
    <row r="49972">
      <c r="A49972" s="17"/>
      <c r="H49972" s="18"/>
      <c r="K49972" s="18" t="s">
        <v>316</v>
      </c>
    </row>
    <row r="49973">
      <c r="A49973" s="17"/>
      <c r="H49973" s="18"/>
      <c r="K49973" s="18" t="s">
        <v>316</v>
      </c>
    </row>
    <row r="49974">
      <c r="A49974" s="17"/>
      <c r="H49974" s="18"/>
      <c r="K49974" s="18" t="s">
        <v>316</v>
      </c>
    </row>
    <row r="49975">
      <c r="A49975" s="17"/>
      <c r="H49975" s="18"/>
      <c r="K49975" s="18" t="s">
        <v>316</v>
      </c>
    </row>
    <row r="49976">
      <c r="A49976" s="17"/>
      <c r="H49976" s="18"/>
      <c r="K49976" s="18" t="s">
        <v>316</v>
      </c>
    </row>
    <row r="49977">
      <c r="A49977" s="17"/>
      <c r="H49977" s="18"/>
      <c r="K49977" s="18" t="s">
        <v>316</v>
      </c>
    </row>
    <row r="49978">
      <c r="A49978" s="17"/>
      <c r="H49978" s="18"/>
      <c r="K49978" s="18" t="s">
        <v>316</v>
      </c>
    </row>
    <row r="49979">
      <c r="A49979" s="17"/>
      <c r="H49979" s="18"/>
      <c r="K49979" s="18" t="s">
        <v>316</v>
      </c>
    </row>
    <row r="49980">
      <c r="A49980" s="17"/>
      <c r="H49980" s="18"/>
      <c r="K49980" s="18" t="s">
        <v>316</v>
      </c>
    </row>
    <row r="49981">
      <c r="A49981" s="17"/>
      <c r="H49981" s="18"/>
      <c r="K49981" s="18" t="s">
        <v>316</v>
      </c>
    </row>
    <row r="49982">
      <c r="A49982" s="17"/>
      <c r="H49982" s="18"/>
      <c r="K49982" s="18" t="s">
        <v>316</v>
      </c>
    </row>
    <row r="49983">
      <c r="A49983" s="17"/>
      <c r="H49983" s="18"/>
      <c r="K49983" s="18" t="s">
        <v>316</v>
      </c>
    </row>
    <row r="49984">
      <c r="A49984" s="17"/>
      <c r="H49984" s="18"/>
      <c r="K49984" s="18" t="s">
        <v>316</v>
      </c>
    </row>
    <row r="49985">
      <c r="A49985" s="17"/>
      <c r="H49985" s="18"/>
      <c r="K49985" s="18" t="s">
        <v>316</v>
      </c>
    </row>
    <row r="49986">
      <c r="A49986" s="17"/>
      <c r="H49986" s="18"/>
      <c r="K49986" s="18" t="s">
        <v>316</v>
      </c>
    </row>
    <row r="49987">
      <c r="A49987" s="17"/>
      <c r="H49987" s="18"/>
      <c r="K49987" s="18" t="s">
        <v>316</v>
      </c>
    </row>
    <row r="49988">
      <c r="A49988" s="17"/>
      <c r="H49988" s="18"/>
      <c r="K49988" s="18" t="s">
        <v>316</v>
      </c>
    </row>
    <row r="49989">
      <c r="A49989" s="17"/>
      <c r="H49989" s="18"/>
      <c r="K49989" s="18" t="s">
        <v>316</v>
      </c>
    </row>
    <row r="49990">
      <c r="A49990" s="17"/>
      <c r="H49990" s="18"/>
      <c r="K49990" s="18" t="s">
        <v>316</v>
      </c>
    </row>
    <row r="49991">
      <c r="A49991" s="17"/>
      <c r="H49991" s="18"/>
      <c r="K49991" s="18" t="s">
        <v>316</v>
      </c>
    </row>
    <row r="49992">
      <c r="A49992" s="17"/>
      <c r="H49992" s="18"/>
      <c r="K49992" s="18" t="s">
        <v>316</v>
      </c>
    </row>
    <row r="49993">
      <c r="A49993" s="17"/>
      <c r="H49993" s="18"/>
      <c r="K49993" s="18" t="s">
        <v>316</v>
      </c>
    </row>
    <row r="49994">
      <c r="A49994" s="17"/>
      <c r="H49994" s="18"/>
      <c r="K49994" s="18" t="s">
        <v>316</v>
      </c>
    </row>
    <row r="49995">
      <c r="A49995" s="17"/>
      <c r="H49995" s="18"/>
      <c r="K49995" s="18" t="s">
        <v>316</v>
      </c>
    </row>
    <row r="49996">
      <c r="A49996" s="17"/>
      <c r="H49996" s="18"/>
      <c r="K49996" s="18" t="s">
        <v>316</v>
      </c>
    </row>
    <row r="49997">
      <c r="A49997" s="17"/>
      <c r="H49997" s="18"/>
      <c r="K49997" s="18" t="s">
        <v>316</v>
      </c>
    </row>
    <row r="49998">
      <c r="A49998" s="17"/>
      <c r="H49998" s="18"/>
      <c r="K49998" s="18" t="s">
        <v>316</v>
      </c>
    </row>
    <row r="49999">
      <c r="A49999" s="17"/>
      <c r="H49999" s="18"/>
      <c r="K49999" s="18" t="s">
        <v>316</v>
      </c>
    </row>
    <row r="50000">
      <c r="A50000" s="17"/>
      <c r="H50000" s="18"/>
      <c r="K50000" s="18" t="s">
        <v>316</v>
      </c>
    </row>
    <row r="50001">
      <c r="A50001" s="17"/>
      <c r="H50001" s="18"/>
      <c r="K50001" s="18" t="s">
        <v>316</v>
      </c>
    </row>
    <row r="50002">
      <c r="A50002" s="17"/>
      <c r="H50002" s="18"/>
      <c r="K50002" s="18" t="s">
        <v>316</v>
      </c>
    </row>
    <row r="50003">
      <c r="A50003" s="17"/>
      <c r="H50003" s="18"/>
      <c r="K50003" s="18" t="s">
        <v>316</v>
      </c>
    </row>
    <row r="50004">
      <c r="A50004" s="17"/>
      <c r="H50004" s="18"/>
      <c r="K50004" s="18" t="s">
        <v>316</v>
      </c>
    </row>
    <row r="50005">
      <c r="A50005" s="17"/>
      <c r="H50005" s="18"/>
      <c r="K50005" s="18" t="s">
        <v>316</v>
      </c>
    </row>
    <row r="50006">
      <c r="A50006" s="17"/>
      <c r="H50006" s="18"/>
      <c r="K50006" s="18" t="s">
        <v>316</v>
      </c>
    </row>
    <row r="50007">
      <c r="A50007" s="17"/>
      <c r="H50007" s="18"/>
      <c r="K50007" s="18" t="s">
        <v>316</v>
      </c>
    </row>
    <row r="50008">
      <c r="A50008" s="17"/>
      <c r="H50008" s="18"/>
      <c r="K50008" s="18" t="s">
        <v>316</v>
      </c>
    </row>
    <row r="50009">
      <c r="A50009" s="17"/>
      <c r="H50009" s="18"/>
      <c r="K50009" s="18" t="s">
        <v>316</v>
      </c>
    </row>
    <row r="50010">
      <c r="A50010" s="17"/>
      <c r="H50010" s="18"/>
      <c r="K50010" s="18" t="s">
        <v>316</v>
      </c>
    </row>
    <row r="50011">
      <c r="A50011" s="17"/>
      <c r="H50011" s="18"/>
      <c r="K50011" s="18" t="s">
        <v>316</v>
      </c>
    </row>
    <row r="50012">
      <c r="A50012" s="17"/>
      <c r="H50012" s="18"/>
      <c r="K50012" s="18" t="s">
        <v>316</v>
      </c>
    </row>
    <row r="50013">
      <c r="A50013" s="17"/>
      <c r="H50013" s="18"/>
      <c r="K50013" s="18" t="s">
        <v>316</v>
      </c>
    </row>
    <row r="50014">
      <c r="A50014" s="17"/>
      <c r="H50014" s="18"/>
      <c r="K50014" s="18" t="s">
        <v>316</v>
      </c>
    </row>
    <row r="50015">
      <c r="A50015" s="17"/>
      <c r="H50015" s="18"/>
      <c r="K50015" s="18" t="s">
        <v>316</v>
      </c>
    </row>
    <row r="50016">
      <c r="A50016" s="17"/>
      <c r="H50016" s="18"/>
      <c r="K50016" s="18" t="s">
        <v>316</v>
      </c>
    </row>
    <row r="50017">
      <c r="A50017" s="17"/>
      <c r="H50017" s="18"/>
      <c r="K50017" s="18" t="s">
        <v>316</v>
      </c>
    </row>
    <row r="50018">
      <c r="A50018" s="17"/>
      <c r="H50018" s="18"/>
      <c r="K50018" s="18" t="s">
        <v>316</v>
      </c>
    </row>
    <row r="50019">
      <c r="A50019" s="17"/>
      <c r="H50019" s="18"/>
      <c r="K50019" s="18" t="s">
        <v>316</v>
      </c>
    </row>
    <row r="50020">
      <c r="A50020" s="17"/>
      <c r="H50020" s="18"/>
      <c r="K50020" s="18" t="s">
        <v>316</v>
      </c>
    </row>
    <row r="50021">
      <c r="A50021" s="17"/>
      <c r="H50021" s="18"/>
      <c r="K50021" s="18" t="s">
        <v>316</v>
      </c>
    </row>
    <row r="50022">
      <c r="A50022" s="17"/>
      <c r="H50022" s="18"/>
      <c r="K50022" s="18" t="s">
        <v>316</v>
      </c>
    </row>
    <row r="50023">
      <c r="A50023" s="17"/>
      <c r="H50023" s="18"/>
      <c r="K50023" s="18" t="s">
        <v>316</v>
      </c>
    </row>
    <row r="50024">
      <c r="A50024" s="17"/>
      <c r="H50024" s="18"/>
      <c r="K50024" s="18" t="s">
        <v>316</v>
      </c>
    </row>
    <row r="50025">
      <c r="A50025" s="17"/>
      <c r="H50025" s="18"/>
      <c r="K50025" s="18" t="s">
        <v>316</v>
      </c>
    </row>
    <row r="50026">
      <c r="A50026" s="17"/>
      <c r="H50026" s="18"/>
      <c r="K50026" s="18" t="s">
        <v>316</v>
      </c>
    </row>
    <row r="50027">
      <c r="A50027" s="17"/>
      <c r="H50027" s="18"/>
      <c r="K50027" s="18" t="s">
        <v>316</v>
      </c>
    </row>
    <row r="50028">
      <c r="A50028" s="17"/>
      <c r="H50028" s="18"/>
      <c r="K50028" s="18" t="s">
        <v>316</v>
      </c>
    </row>
    <row r="50029">
      <c r="A50029" s="17"/>
      <c r="H50029" s="18"/>
      <c r="K50029" s="18" t="s">
        <v>316</v>
      </c>
    </row>
    <row r="50030">
      <c r="A50030" s="17"/>
      <c r="H50030" s="18"/>
      <c r="K50030" s="18" t="s">
        <v>316</v>
      </c>
    </row>
    <row r="50031">
      <c r="A50031" s="17"/>
      <c r="H50031" s="18"/>
      <c r="K50031" s="18" t="s">
        <v>316</v>
      </c>
    </row>
    <row r="50032">
      <c r="A50032" s="17"/>
      <c r="H50032" s="18"/>
      <c r="K50032" s="18" t="s">
        <v>316</v>
      </c>
    </row>
    <row r="50033">
      <c r="A50033" s="17"/>
      <c r="H50033" s="18"/>
      <c r="K50033" s="18" t="s">
        <v>316</v>
      </c>
    </row>
    <row r="50034">
      <c r="A50034" s="17"/>
      <c r="H50034" s="18"/>
      <c r="K50034" s="18" t="s">
        <v>316</v>
      </c>
    </row>
    <row r="50035">
      <c r="A50035" s="17"/>
      <c r="H50035" s="18"/>
      <c r="K50035" s="18" t="s">
        <v>316</v>
      </c>
    </row>
    <row r="50036">
      <c r="A50036" s="17"/>
      <c r="H50036" s="18"/>
      <c r="K50036" s="18" t="s">
        <v>316</v>
      </c>
    </row>
    <row r="50037">
      <c r="A50037" s="17"/>
      <c r="H50037" s="18"/>
      <c r="K50037" s="18" t="s">
        <v>316</v>
      </c>
    </row>
    <row r="50038">
      <c r="A50038" s="17"/>
      <c r="H50038" s="18"/>
      <c r="K50038" s="18" t="s">
        <v>316</v>
      </c>
    </row>
    <row r="50039">
      <c r="A50039" s="17"/>
      <c r="H50039" s="18"/>
      <c r="K50039" s="18" t="s">
        <v>316</v>
      </c>
    </row>
    <row r="50040">
      <c r="A50040" s="17"/>
      <c r="H50040" s="18"/>
      <c r="K50040" s="18" t="s">
        <v>316</v>
      </c>
    </row>
    <row r="50041">
      <c r="A50041" s="17"/>
      <c r="H50041" s="18"/>
      <c r="K50041" s="18" t="s">
        <v>316</v>
      </c>
    </row>
    <row r="50042">
      <c r="A50042" s="17"/>
      <c r="H50042" s="18"/>
      <c r="K50042" s="18" t="s">
        <v>316</v>
      </c>
    </row>
    <row r="50043">
      <c r="A50043" s="17"/>
      <c r="H50043" s="18"/>
      <c r="K50043" s="18" t="s">
        <v>316</v>
      </c>
    </row>
    <row r="50044">
      <c r="A50044" s="17"/>
      <c r="H50044" s="18"/>
      <c r="K50044" s="18" t="s">
        <v>316</v>
      </c>
    </row>
    <row r="50045">
      <c r="A50045" s="17"/>
      <c r="H50045" s="18"/>
      <c r="K50045" s="18" t="s">
        <v>316</v>
      </c>
    </row>
    <row r="50046">
      <c r="A50046" s="17"/>
      <c r="H50046" s="18"/>
      <c r="K50046" s="18" t="s">
        <v>316</v>
      </c>
    </row>
    <row r="50047">
      <c r="A50047" s="17"/>
      <c r="H50047" s="18"/>
      <c r="K50047" s="18" t="s">
        <v>316</v>
      </c>
    </row>
    <row r="50048">
      <c r="A50048" s="17"/>
      <c r="H50048" s="18"/>
      <c r="K50048" s="18" t="s">
        <v>316</v>
      </c>
    </row>
    <row r="50049">
      <c r="A50049" s="17"/>
      <c r="H50049" s="18"/>
      <c r="K50049" s="18" t="s">
        <v>316</v>
      </c>
    </row>
    <row r="50050">
      <c r="A50050" s="17"/>
      <c r="H50050" s="18"/>
      <c r="K50050" s="18" t="s">
        <v>316</v>
      </c>
    </row>
    <row r="50051">
      <c r="A50051" s="17"/>
      <c r="H50051" s="18"/>
      <c r="K50051" s="18" t="s">
        <v>316</v>
      </c>
    </row>
    <row r="50052">
      <c r="A50052" s="17"/>
      <c r="H50052" s="18"/>
      <c r="K50052" s="18" t="s">
        <v>316</v>
      </c>
    </row>
    <row r="50053">
      <c r="A50053" s="17"/>
      <c r="H50053" s="18"/>
      <c r="K50053" s="18" t="s">
        <v>316</v>
      </c>
    </row>
    <row r="50054">
      <c r="A50054" s="17"/>
      <c r="H50054" s="18"/>
      <c r="K50054" s="18" t="s">
        <v>316</v>
      </c>
    </row>
    <row r="50055">
      <c r="A50055" s="17"/>
      <c r="H50055" s="18"/>
      <c r="K50055" s="18" t="s">
        <v>316</v>
      </c>
    </row>
    <row r="50056">
      <c r="A50056" s="17"/>
      <c r="H50056" s="18"/>
      <c r="K50056" s="18" t="s">
        <v>316</v>
      </c>
    </row>
    <row r="50057">
      <c r="A50057" s="17"/>
      <c r="H50057" s="18"/>
      <c r="K50057" s="18" t="s">
        <v>316</v>
      </c>
    </row>
    <row r="50058">
      <c r="A50058" s="17"/>
      <c r="H50058" s="18"/>
      <c r="K50058" s="18" t="s">
        <v>316</v>
      </c>
    </row>
    <row r="50059">
      <c r="A50059" s="17"/>
      <c r="H50059" s="18"/>
      <c r="K50059" s="18" t="s">
        <v>316</v>
      </c>
    </row>
    <row r="50060">
      <c r="A50060" s="17"/>
      <c r="H50060" s="18"/>
      <c r="K50060" s="18" t="s">
        <v>316</v>
      </c>
    </row>
    <row r="50061">
      <c r="A50061" s="17"/>
      <c r="H50061" s="18"/>
      <c r="K50061" s="18" t="s">
        <v>316</v>
      </c>
    </row>
    <row r="50062">
      <c r="A50062" s="17"/>
      <c r="H50062" s="18"/>
      <c r="K50062" s="18" t="s">
        <v>316</v>
      </c>
    </row>
    <row r="50063">
      <c r="A50063" s="17"/>
      <c r="H50063" s="18"/>
      <c r="K50063" s="18" t="s">
        <v>316</v>
      </c>
    </row>
    <row r="50064">
      <c r="A50064" s="17"/>
      <c r="H50064" s="18"/>
      <c r="K50064" s="18" t="s">
        <v>316</v>
      </c>
    </row>
    <row r="50065">
      <c r="A50065" s="17"/>
      <c r="H50065" s="18"/>
      <c r="K50065" s="18" t="s">
        <v>316</v>
      </c>
    </row>
    <row r="50066">
      <c r="A50066" s="17"/>
      <c r="H50066" s="18"/>
      <c r="K50066" s="18" t="s">
        <v>316</v>
      </c>
    </row>
    <row r="50067">
      <c r="A50067" s="17"/>
      <c r="H50067" s="18"/>
      <c r="K50067" s="18" t="s">
        <v>316</v>
      </c>
    </row>
    <row r="50068">
      <c r="A50068" s="17"/>
      <c r="H50068" s="18"/>
      <c r="K50068" s="18" t="s">
        <v>316</v>
      </c>
    </row>
    <row r="50069">
      <c r="A50069" s="17"/>
      <c r="H50069" s="18"/>
      <c r="K50069" s="18" t="s">
        <v>316</v>
      </c>
    </row>
    <row r="50070">
      <c r="A50070" s="17"/>
      <c r="H50070" s="18"/>
      <c r="K50070" s="18" t="s">
        <v>316</v>
      </c>
    </row>
    <row r="50071">
      <c r="A50071" s="17"/>
      <c r="H50071" s="18"/>
      <c r="K50071" s="18" t="s">
        <v>316</v>
      </c>
    </row>
    <row r="50072">
      <c r="A50072" s="17"/>
      <c r="H50072" s="18"/>
      <c r="K50072" s="18" t="s">
        <v>316</v>
      </c>
    </row>
    <row r="50073">
      <c r="A50073" s="17"/>
      <c r="H50073" s="18"/>
      <c r="K50073" s="18" t="s">
        <v>316</v>
      </c>
    </row>
    <row r="50074">
      <c r="A50074" s="17"/>
      <c r="H50074" s="18"/>
      <c r="K50074" s="18" t="s">
        <v>316</v>
      </c>
    </row>
    <row r="50075">
      <c r="A50075" s="17"/>
      <c r="H50075" s="18"/>
      <c r="K50075" s="18" t="s">
        <v>316</v>
      </c>
    </row>
    <row r="50076">
      <c r="A50076" s="17"/>
      <c r="H50076" s="18"/>
      <c r="K50076" s="18" t="s">
        <v>316</v>
      </c>
    </row>
    <row r="50077">
      <c r="A50077" s="17"/>
      <c r="H50077" s="18"/>
      <c r="K50077" s="18" t="s">
        <v>316</v>
      </c>
    </row>
    <row r="50078">
      <c r="A50078" s="17"/>
      <c r="H50078" s="18"/>
      <c r="K50078" s="18" t="s">
        <v>316</v>
      </c>
    </row>
    <row r="50079">
      <c r="A50079" s="17"/>
      <c r="H50079" s="18"/>
      <c r="K50079" s="18" t="s">
        <v>316</v>
      </c>
    </row>
    <row r="50080">
      <c r="A50080" s="17"/>
      <c r="H50080" s="18"/>
      <c r="K50080" s="18" t="s">
        <v>316</v>
      </c>
    </row>
    <row r="50081">
      <c r="A50081" s="17"/>
      <c r="H50081" s="18"/>
      <c r="K50081" s="18" t="s">
        <v>316</v>
      </c>
    </row>
    <row r="50082">
      <c r="A50082" s="17"/>
      <c r="H50082" s="18"/>
      <c r="K50082" s="18" t="s">
        <v>316</v>
      </c>
    </row>
    <row r="50083">
      <c r="A50083" s="17"/>
      <c r="H50083" s="18"/>
      <c r="K50083" s="18" t="s">
        <v>316</v>
      </c>
    </row>
    <row r="50084">
      <c r="A50084" s="17"/>
      <c r="H50084" s="18"/>
      <c r="K50084" s="18" t="s">
        <v>316</v>
      </c>
    </row>
    <row r="50085">
      <c r="A50085" s="17"/>
      <c r="H50085" s="18"/>
      <c r="K50085" s="18" t="s">
        <v>316</v>
      </c>
    </row>
    <row r="50086">
      <c r="A50086" s="17"/>
      <c r="H50086" s="18"/>
      <c r="K50086" s="18" t="s">
        <v>316</v>
      </c>
    </row>
    <row r="50087">
      <c r="A50087" s="17"/>
      <c r="H50087" s="18"/>
      <c r="K50087" s="18" t="s">
        <v>316</v>
      </c>
    </row>
    <row r="50088">
      <c r="A50088" s="17"/>
      <c r="H50088" s="18"/>
      <c r="K50088" s="18" t="s">
        <v>316</v>
      </c>
    </row>
    <row r="50089">
      <c r="A50089" s="17"/>
      <c r="H50089" s="18"/>
      <c r="K50089" s="18" t="s">
        <v>316</v>
      </c>
    </row>
    <row r="50090">
      <c r="A50090" s="17"/>
      <c r="H50090" s="18"/>
      <c r="K50090" s="18" t="s">
        <v>316</v>
      </c>
    </row>
    <row r="50091">
      <c r="A50091" s="17"/>
      <c r="H50091" s="18"/>
      <c r="K50091" s="18" t="s">
        <v>316</v>
      </c>
    </row>
    <row r="50092">
      <c r="A50092" s="17"/>
      <c r="H50092" s="18"/>
      <c r="K50092" s="18" t="s">
        <v>316</v>
      </c>
    </row>
    <row r="50093">
      <c r="A50093" s="17"/>
      <c r="H50093" s="18"/>
      <c r="K50093" s="18" t="s">
        <v>316</v>
      </c>
    </row>
    <row r="50094">
      <c r="A50094" s="17"/>
      <c r="H50094" s="18"/>
      <c r="K50094" s="18" t="s">
        <v>316</v>
      </c>
    </row>
    <row r="50095">
      <c r="A50095" s="17"/>
      <c r="H50095" s="18"/>
      <c r="K50095" s="18" t="s">
        <v>316</v>
      </c>
    </row>
    <row r="50096">
      <c r="A50096" s="17"/>
      <c r="H50096" s="18"/>
      <c r="K50096" s="18" t="s">
        <v>316</v>
      </c>
    </row>
    <row r="50097">
      <c r="A50097" s="17"/>
      <c r="H50097" s="18"/>
      <c r="K50097" s="18" t="s">
        <v>316</v>
      </c>
    </row>
    <row r="50098">
      <c r="A50098" s="17"/>
      <c r="H50098" s="18"/>
      <c r="K50098" s="18" t="s">
        <v>316</v>
      </c>
    </row>
    <row r="50099">
      <c r="A50099" s="17"/>
      <c r="H50099" s="18"/>
      <c r="K50099" s="18" t="s">
        <v>316</v>
      </c>
    </row>
    <row r="50100">
      <c r="A50100" s="17"/>
      <c r="H50100" s="18"/>
      <c r="K50100" s="18" t="s">
        <v>316</v>
      </c>
    </row>
    <row r="50101">
      <c r="A50101" s="17"/>
      <c r="H50101" s="18"/>
      <c r="K50101" s="18" t="s">
        <v>316</v>
      </c>
    </row>
    <row r="50102">
      <c r="A50102" s="17"/>
      <c r="H50102" s="18"/>
      <c r="K50102" s="18" t="s">
        <v>316</v>
      </c>
    </row>
    <row r="50103">
      <c r="A50103" s="17"/>
      <c r="H50103" s="18"/>
      <c r="K50103" s="18" t="s">
        <v>316</v>
      </c>
    </row>
    <row r="50104">
      <c r="A50104" s="17"/>
      <c r="H50104" s="18"/>
      <c r="K50104" s="18" t="s">
        <v>316</v>
      </c>
    </row>
    <row r="50105">
      <c r="A50105" s="17"/>
      <c r="H50105" s="18"/>
      <c r="K50105" s="18" t="s">
        <v>316</v>
      </c>
    </row>
    <row r="50106">
      <c r="A50106" s="17"/>
      <c r="H50106" s="18"/>
      <c r="K50106" s="18" t="s">
        <v>316</v>
      </c>
    </row>
    <row r="50107">
      <c r="A50107" s="17"/>
      <c r="H50107" s="18"/>
      <c r="K50107" s="18" t="s">
        <v>316</v>
      </c>
    </row>
    <row r="50108">
      <c r="A50108" s="17"/>
      <c r="H50108" s="18"/>
      <c r="K50108" s="18" t="s">
        <v>316</v>
      </c>
    </row>
    <row r="50109">
      <c r="A50109" s="17"/>
      <c r="H50109" s="18"/>
      <c r="K50109" s="18" t="s">
        <v>316</v>
      </c>
    </row>
    <row r="50110">
      <c r="A50110" s="17"/>
      <c r="H50110" s="18"/>
      <c r="K50110" s="18" t="s">
        <v>316</v>
      </c>
    </row>
    <row r="50111">
      <c r="A50111" s="17"/>
      <c r="H50111" s="18"/>
      <c r="K50111" s="18" t="s">
        <v>316</v>
      </c>
    </row>
    <row r="50112">
      <c r="A50112" s="17"/>
      <c r="H50112" s="18"/>
      <c r="K50112" s="18" t="s">
        <v>316</v>
      </c>
    </row>
    <row r="50113">
      <c r="A50113" s="17"/>
      <c r="H50113" s="18"/>
      <c r="K50113" s="18" t="s">
        <v>316</v>
      </c>
    </row>
    <row r="50114">
      <c r="A50114" s="17"/>
      <c r="H50114" s="18"/>
      <c r="K50114" s="18" t="s">
        <v>316</v>
      </c>
    </row>
    <row r="50115">
      <c r="A50115" s="17"/>
      <c r="H50115" s="18"/>
      <c r="K50115" s="18" t="s">
        <v>316</v>
      </c>
    </row>
    <row r="50116">
      <c r="A50116" s="17"/>
      <c r="H50116" s="18"/>
      <c r="K50116" s="18" t="s">
        <v>316</v>
      </c>
    </row>
    <row r="50117">
      <c r="A50117" s="17"/>
      <c r="H50117" s="18"/>
      <c r="K50117" s="18" t="s">
        <v>316</v>
      </c>
    </row>
    <row r="50118">
      <c r="A50118" s="17"/>
      <c r="H50118" s="18"/>
      <c r="K50118" s="18" t="s">
        <v>316</v>
      </c>
    </row>
    <row r="50119">
      <c r="A50119" s="17"/>
      <c r="H50119" s="18"/>
      <c r="K50119" s="18" t="s">
        <v>316</v>
      </c>
    </row>
    <row r="50120">
      <c r="A50120" s="17"/>
      <c r="H50120" s="18"/>
      <c r="K50120" s="18" t="s">
        <v>316</v>
      </c>
    </row>
    <row r="50121">
      <c r="A50121" s="17"/>
      <c r="H50121" s="18"/>
      <c r="K50121" s="18" t="s">
        <v>316</v>
      </c>
    </row>
    <row r="50122">
      <c r="A50122" s="17"/>
      <c r="H50122" s="18"/>
      <c r="K50122" s="18" t="s">
        <v>316</v>
      </c>
    </row>
    <row r="50123">
      <c r="A50123" s="17"/>
      <c r="H50123" s="18"/>
      <c r="K50123" s="18" t="s">
        <v>316</v>
      </c>
    </row>
    <row r="50124">
      <c r="A50124" s="17"/>
      <c r="H50124" s="18"/>
      <c r="K50124" s="18" t="s">
        <v>316</v>
      </c>
    </row>
    <row r="50125">
      <c r="A50125" s="17"/>
      <c r="H50125" s="18"/>
      <c r="K50125" s="18" t="s">
        <v>316</v>
      </c>
    </row>
    <row r="50126">
      <c r="A50126" s="17"/>
      <c r="H50126" s="18"/>
      <c r="K50126" s="18" t="s">
        <v>316</v>
      </c>
    </row>
    <row r="50127">
      <c r="A50127" s="17"/>
      <c r="H50127" s="18"/>
      <c r="K50127" s="18" t="s">
        <v>316</v>
      </c>
    </row>
    <row r="50128">
      <c r="A50128" s="17"/>
      <c r="H50128" s="18"/>
      <c r="K50128" s="18" t="s">
        <v>316</v>
      </c>
    </row>
    <row r="50129">
      <c r="A50129" s="17"/>
      <c r="H50129" s="18"/>
      <c r="K50129" s="18" t="s">
        <v>316</v>
      </c>
    </row>
    <row r="50130">
      <c r="A50130" s="17"/>
      <c r="H50130" s="18"/>
      <c r="K50130" s="18" t="s">
        <v>316</v>
      </c>
    </row>
    <row r="50131">
      <c r="A50131" s="17"/>
      <c r="H50131" s="18"/>
      <c r="K50131" s="18" t="s">
        <v>316</v>
      </c>
    </row>
    <row r="50132">
      <c r="A50132" s="17"/>
      <c r="H50132" s="18"/>
      <c r="K50132" s="18" t="s">
        <v>316</v>
      </c>
    </row>
    <row r="50133">
      <c r="A50133" s="17"/>
      <c r="H50133" s="18"/>
      <c r="K50133" s="18" t="s">
        <v>316</v>
      </c>
    </row>
    <row r="50134">
      <c r="A50134" s="17"/>
      <c r="H50134" s="18"/>
      <c r="K50134" s="18" t="s">
        <v>316</v>
      </c>
    </row>
    <row r="50135">
      <c r="A50135" s="17"/>
      <c r="H50135" s="18"/>
      <c r="K50135" s="18" t="s">
        <v>316</v>
      </c>
    </row>
    <row r="50136">
      <c r="A50136" s="17"/>
      <c r="H50136" s="18"/>
      <c r="K50136" s="18" t="s">
        <v>316</v>
      </c>
    </row>
    <row r="50137">
      <c r="A50137" s="17"/>
      <c r="H50137" s="18"/>
      <c r="K50137" s="18" t="s">
        <v>316</v>
      </c>
    </row>
    <row r="50138">
      <c r="A50138" s="17"/>
      <c r="H50138" s="18"/>
      <c r="K50138" s="18" t="s">
        <v>316</v>
      </c>
    </row>
    <row r="50139">
      <c r="A50139" s="17"/>
      <c r="H50139" s="18"/>
      <c r="K50139" s="18" t="s">
        <v>316</v>
      </c>
    </row>
    <row r="50140">
      <c r="A50140" s="17"/>
      <c r="H50140" s="18"/>
      <c r="K50140" s="18" t="s">
        <v>316</v>
      </c>
    </row>
    <row r="50141">
      <c r="A50141" s="17"/>
      <c r="H50141" s="18"/>
      <c r="K50141" s="18" t="s">
        <v>316</v>
      </c>
    </row>
    <row r="50142">
      <c r="A50142" s="17"/>
      <c r="H50142" s="18"/>
      <c r="K50142" s="18" t="s">
        <v>316</v>
      </c>
    </row>
    <row r="50143">
      <c r="A50143" s="17"/>
      <c r="H50143" s="18"/>
      <c r="K50143" s="18" t="s">
        <v>316</v>
      </c>
    </row>
    <row r="50144">
      <c r="A50144" s="17"/>
      <c r="H50144" s="18"/>
      <c r="K50144" s="18" t="s">
        <v>316</v>
      </c>
    </row>
    <row r="50145">
      <c r="A50145" s="17"/>
      <c r="H50145" s="18"/>
      <c r="K50145" s="18" t="s">
        <v>316</v>
      </c>
    </row>
    <row r="50146">
      <c r="A50146" s="17"/>
      <c r="H50146" s="18"/>
      <c r="K50146" s="18" t="s">
        <v>316</v>
      </c>
    </row>
    <row r="50147">
      <c r="A50147" s="17"/>
      <c r="H50147" s="18"/>
      <c r="K50147" s="18" t="s">
        <v>316</v>
      </c>
    </row>
    <row r="50148">
      <c r="A50148" s="17"/>
      <c r="H50148" s="18"/>
      <c r="K50148" s="18" t="s">
        <v>316</v>
      </c>
    </row>
    <row r="50149">
      <c r="A50149" s="17"/>
      <c r="H50149" s="18"/>
      <c r="K50149" s="18" t="s">
        <v>316</v>
      </c>
    </row>
    <row r="50150">
      <c r="A50150" s="17"/>
      <c r="H50150" s="18"/>
      <c r="K50150" s="18" t="s">
        <v>316</v>
      </c>
    </row>
    <row r="50151">
      <c r="A50151" s="17"/>
      <c r="H50151" s="18"/>
      <c r="K50151" s="18" t="s">
        <v>316</v>
      </c>
    </row>
    <row r="50152">
      <c r="A50152" s="17"/>
      <c r="H50152" s="18"/>
      <c r="K50152" s="18" t="s">
        <v>316</v>
      </c>
    </row>
    <row r="50153">
      <c r="A50153" s="17"/>
      <c r="H50153" s="18"/>
      <c r="K50153" s="18" t="s">
        <v>316</v>
      </c>
    </row>
    <row r="50154">
      <c r="A50154" s="17"/>
      <c r="H50154" s="18"/>
      <c r="K50154" s="18" t="s">
        <v>316</v>
      </c>
    </row>
    <row r="50155">
      <c r="A50155" s="17"/>
      <c r="H50155" s="18"/>
      <c r="K50155" s="18" t="s">
        <v>316</v>
      </c>
    </row>
    <row r="50156">
      <c r="A50156" s="17"/>
      <c r="H50156" s="18"/>
      <c r="K50156" s="18" t="s">
        <v>316</v>
      </c>
    </row>
    <row r="50157">
      <c r="A50157" s="17"/>
      <c r="H50157" s="18"/>
      <c r="K50157" s="18" t="s">
        <v>316</v>
      </c>
    </row>
    <row r="50158">
      <c r="A50158" s="17"/>
      <c r="H50158" s="18"/>
      <c r="K50158" s="18" t="s">
        <v>316</v>
      </c>
    </row>
    <row r="50159">
      <c r="A50159" s="17"/>
      <c r="H50159" s="18"/>
      <c r="K50159" s="18" t="s">
        <v>316</v>
      </c>
    </row>
    <row r="50160">
      <c r="A50160" s="17"/>
      <c r="H50160" s="18"/>
      <c r="K50160" s="18" t="s">
        <v>316</v>
      </c>
    </row>
    <row r="50161">
      <c r="A50161" s="17"/>
      <c r="H50161" s="18"/>
      <c r="K50161" s="18" t="s">
        <v>316</v>
      </c>
    </row>
    <row r="50162">
      <c r="A50162" s="17"/>
      <c r="H50162" s="18"/>
      <c r="K50162" s="18" t="s">
        <v>316</v>
      </c>
    </row>
    <row r="50163">
      <c r="A50163" s="17"/>
      <c r="H50163" s="18"/>
      <c r="K50163" s="18" t="s">
        <v>316</v>
      </c>
    </row>
    <row r="50164">
      <c r="A50164" s="17"/>
      <c r="H50164" s="18"/>
      <c r="K50164" s="18" t="s">
        <v>316</v>
      </c>
    </row>
    <row r="50165">
      <c r="A50165" s="17"/>
      <c r="H50165" s="18"/>
      <c r="K50165" s="18" t="s">
        <v>316</v>
      </c>
    </row>
    <row r="50166">
      <c r="A50166" s="17"/>
      <c r="H50166" s="18"/>
      <c r="K50166" s="18" t="s">
        <v>316</v>
      </c>
    </row>
    <row r="50167">
      <c r="A50167" s="17"/>
      <c r="H50167" s="18"/>
      <c r="K50167" s="18" t="s">
        <v>316</v>
      </c>
    </row>
    <row r="50168">
      <c r="A50168" s="17"/>
      <c r="H50168" s="18"/>
      <c r="K50168" s="18" t="s">
        <v>316</v>
      </c>
    </row>
    <row r="50169">
      <c r="A50169" s="17"/>
      <c r="H50169" s="18"/>
      <c r="K50169" s="18" t="s">
        <v>316</v>
      </c>
    </row>
    <row r="50170">
      <c r="A50170" s="17"/>
      <c r="H50170" s="18"/>
      <c r="K50170" s="18" t="s">
        <v>316</v>
      </c>
    </row>
    <row r="50171">
      <c r="A50171" s="17"/>
      <c r="H50171" s="18"/>
      <c r="K50171" s="18" t="s">
        <v>316</v>
      </c>
    </row>
    <row r="50172">
      <c r="A50172" s="17"/>
      <c r="H50172" s="18"/>
      <c r="K50172" s="18" t="s">
        <v>316</v>
      </c>
    </row>
    <row r="50173">
      <c r="A50173" s="17"/>
      <c r="H50173" s="18"/>
      <c r="K50173" s="18" t="s">
        <v>316</v>
      </c>
    </row>
    <row r="50174">
      <c r="A50174" s="17"/>
      <c r="H50174" s="18"/>
      <c r="K50174" s="18" t="s">
        <v>316</v>
      </c>
    </row>
    <row r="50175">
      <c r="A50175" s="17"/>
      <c r="H50175" s="18"/>
      <c r="K50175" s="18" t="s">
        <v>316</v>
      </c>
    </row>
    <row r="50176">
      <c r="A50176" s="17"/>
      <c r="H50176" s="18"/>
      <c r="K50176" s="18" t="s">
        <v>316</v>
      </c>
    </row>
    <row r="50177">
      <c r="A50177" s="17"/>
      <c r="H50177" s="18"/>
      <c r="K50177" s="18" t="s">
        <v>316</v>
      </c>
    </row>
    <row r="50178">
      <c r="A50178" s="17"/>
      <c r="H50178" s="18"/>
      <c r="K50178" s="18" t="s">
        <v>316</v>
      </c>
    </row>
    <row r="50179">
      <c r="A50179" s="17"/>
      <c r="H50179" s="18"/>
      <c r="K50179" s="18" t="s">
        <v>316</v>
      </c>
    </row>
    <row r="50180">
      <c r="A50180" s="17"/>
      <c r="H50180" s="18"/>
      <c r="K50180" s="18" t="s">
        <v>316</v>
      </c>
    </row>
    <row r="50181">
      <c r="A50181" s="17"/>
      <c r="H50181" s="18"/>
      <c r="K50181" s="18" t="s">
        <v>316</v>
      </c>
    </row>
    <row r="50182">
      <c r="A50182" s="17"/>
      <c r="H50182" s="18"/>
      <c r="K50182" s="18" t="s">
        <v>316</v>
      </c>
    </row>
    <row r="50183">
      <c r="A50183" s="17"/>
      <c r="H50183" s="18"/>
      <c r="K50183" s="18" t="s">
        <v>316</v>
      </c>
    </row>
    <row r="50184">
      <c r="A50184" s="17"/>
      <c r="H50184" s="18"/>
      <c r="K50184" s="18" t="s">
        <v>316</v>
      </c>
    </row>
    <row r="50185">
      <c r="A50185" s="17"/>
      <c r="H50185" s="18"/>
      <c r="K50185" s="18" t="s">
        <v>316</v>
      </c>
    </row>
    <row r="50186">
      <c r="A50186" s="17"/>
      <c r="H50186" s="18"/>
      <c r="K50186" s="18" t="s">
        <v>316</v>
      </c>
    </row>
    <row r="50187">
      <c r="A50187" s="17"/>
      <c r="H50187" s="18"/>
      <c r="K50187" s="18" t="s">
        <v>316</v>
      </c>
    </row>
    <row r="50188">
      <c r="A50188" s="17"/>
      <c r="H50188" s="18"/>
      <c r="K50188" s="18" t="s">
        <v>316</v>
      </c>
    </row>
    <row r="50189">
      <c r="A50189" s="17"/>
      <c r="H50189" s="18"/>
      <c r="K50189" s="18" t="s">
        <v>316</v>
      </c>
    </row>
    <row r="50190">
      <c r="A50190" s="17"/>
      <c r="H50190" s="18"/>
      <c r="K50190" s="18" t="s">
        <v>316</v>
      </c>
    </row>
    <row r="50191">
      <c r="A50191" s="17"/>
      <c r="H50191" s="18"/>
      <c r="K50191" s="18" t="s">
        <v>316</v>
      </c>
    </row>
    <row r="50192">
      <c r="A50192" s="17"/>
      <c r="H50192" s="18"/>
      <c r="K50192" s="18" t="s">
        <v>316</v>
      </c>
    </row>
    <row r="50193">
      <c r="A50193" s="17"/>
      <c r="H50193" s="18"/>
      <c r="K50193" s="18" t="s">
        <v>316</v>
      </c>
    </row>
    <row r="50194">
      <c r="A50194" s="17"/>
      <c r="H50194" s="18"/>
      <c r="K50194" s="18" t="s">
        <v>316</v>
      </c>
    </row>
    <row r="50195">
      <c r="A50195" s="17"/>
      <c r="H50195" s="18"/>
      <c r="K50195" s="18" t="s">
        <v>316</v>
      </c>
    </row>
    <row r="50196">
      <c r="A50196" s="17"/>
      <c r="H50196" s="18"/>
      <c r="K50196" s="18" t="s">
        <v>316</v>
      </c>
    </row>
    <row r="50197">
      <c r="A50197" s="17"/>
      <c r="H50197" s="18"/>
      <c r="K50197" s="18" t="s">
        <v>316</v>
      </c>
    </row>
    <row r="50198">
      <c r="A50198" s="17"/>
      <c r="H50198" s="18"/>
      <c r="K50198" s="18" t="s">
        <v>316</v>
      </c>
    </row>
    <row r="50199">
      <c r="A50199" s="17"/>
      <c r="H50199" s="18"/>
      <c r="K50199" s="18" t="s">
        <v>316</v>
      </c>
    </row>
    <row r="50200">
      <c r="A50200" s="17"/>
      <c r="H50200" s="18"/>
      <c r="K50200" s="18" t="s">
        <v>316</v>
      </c>
    </row>
    <row r="50201">
      <c r="A50201" s="17"/>
      <c r="H50201" s="18"/>
      <c r="K50201" s="18" t="s">
        <v>316</v>
      </c>
    </row>
    <row r="50202">
      <c r="A50202" s="17"/>
      <c r="H50202" s="18"/>
      <c r="K50202" s="18" t="s">
        <v>316</v>
      </c>
    </row>
    <row r="50203">
      <c r="A50203" s="17"/>
      <c r="H50203" s="18"/>
      <c r="K50203" s="18" t="s">
        <v>316</v>
      </c>
    </row>
    <row r="50204">
      <c r="A50204" s="17"/>
      <c r="H50204" s="18"/>
      <c r="K50204" s="18" t="s">
        <v>316</v>
      </c>
    </row>
    <row r="50205">
      <c r="A50205" s="17"/>
      <c r="H50205" s="18"/>
      <c r="K50205" s="18" t="s">
        <v>316</v>
      </c>
    </row>
    <row r="50206">
      <c r="A50206" s="17"/>
      <c r="H50206" s="18"/>
      <c r="K50206" s="18" t="s">
        <v>316</v>
      </c>
    </row>
    <row r="50207">
      <c r="A50207" s="17"/>
      <c r="H50207" s="18"/>
      <c r="K50207" s="18" t="s">
        <v>316</v>
      </c>
    </row>
    <row r="50208">
      <c r="A50208" s="17"/>
      <c r="H50208" s="18"/>
      <c r="K50208" s="18" t="s">
        <v>316</v>
      </c>
    </row>
    <row r="50209">
      <c r="A50209" s="17"/>
      <c r="H50209" s="18"/>
      <c r="K50209" s="18" t="s">
        <v>316</v>
      </c>
    </row>
    <row r="50210">
      <c r="A50210" s="17"/>
      <c r="H50210" s="18"/>
      <c r="K50210" s="18" t="s">
        <v>316</v>
      </c>
    </row>
    <row r="50211">
      <c r="A50211" s="17"/>
      <c r="H50211" s="18"/>
      <c r="K50211" s="18" t="s">
        <v>316</v>
      </c>
    </row>
    <row r="50212">
      <c r="A50212" s="17"/>
      <c r="H50212" s="18"/>
      <c r="K50212" s="18" t="s">
        <v>316</v>
      </c>
    </row>
    <row r="50213">
      <c r="A50213" s="17"/>
      <c r="H50213" s="18"/>
      <c r="K50213" s="18" t="s">
        <v>316</v>
      </c>
    </row>
    <row r="50214">
      <c r="A50214" s="17"/>
      <c r="H50214" s="18"/>
      <c r="K50214" s="18" t="s">
        <v>316</v>
      </c>
    </row>
    <row r="50215">
      <c r="A50215" s="17"/>
      <c r="H50215" s="18"/>
      <c r="K50215" s="18" t="s">
        <v>316</v>
      </c>
    </row>
    <row r="50216">
      <c r="A50216" s="17"/>
      <c r="H50216" s="18"/>
      <c r="K50216" s="18" t="s">
        <v>316</v>
      </c>
    </row>
    <row r="50217">
      <c r="A50217" s="17"/>
      <c r="H50217" s="18"/>
      <c r="K50217" s="18" t="s">
        <v>316</v>
      </c>
    </row>
    <row r="50218">
      <c r="A50218" s="17"/>
      <c r="H50218" s="18"/>
      <c r="K50218" s="18" t="s">
        <v>316</v>
      </c>
    </row>
    <row r="50219">
      <c r="A50219" s="17"/>
      <c r="H50219" s="18"/>
      <c r="K50219" s="18" t="s">
        <v>316</v>
      </c>
    </row>
    <row r="50220">
      <c r="A50220" s="17"/>
      <c r="H50220" s="18"/>
      <c r="K50220" s="18" t="s">
        <v>316</v>
      </c>
    </row>
    <row r="50221">
      <c r="A50221" s="17"/>
      <c r="H50221" s="18"/>
      <c r="K50221" s="18" t="s">
        <v>316</v>
      </c>
    </row>
    <row r="50222">
      <c r="A50222" s="17"/>
      <c r="H50222" s="18"/>
      <c r="K50222" s="18" t="s">
        <v>316</v>
      </c>
    </row>
    <row r="50223">
      <c r="A50223" s="17"/>
      <c r="H50223" s="18"/>
      <c r="K50223" s="18" t="s">
        <v>316</v>
      </c>
    </row>
    <row r="50224">
      <c r="A50224" s="17"/>
      <c r="H50224" s="18"/>
      <c r="K50224" s="18" t="s">
        <v>316</v>
      </c>
    </row>
    <row r="50225">
      <c r="A50225" s="17"/>
      <c r="H50225" s="18"/>
      <c r="K50225" s="18" t="s">
        <v>316</v>
      </c>
    </row>
    <row r="50226">
      <c r="A50226" s="17"/>
      <c r="H50226" s="18"/>
      <c r="K50226" s="18" t="s">
        <v>316</v>
      </c>
    </row>
    <row r="50227">
      <c r="A50227" s="17"/>
      <c r="H50227" s="18"/>
      <c r="K50227" s="18" t="s">
        <v>316</v>
      </c>
    </row>
    <row r="50228">
      <c r="A50228" s="17"/>
      <c r="H50228" s="18"/>
      <c r="K50228" s="18" t="s">
        <v>316</v>
      </c>
    </row>
    <row r="50229">
      <c r="A50229" s="17"/>
      <c r="H50229" s="18"/>
      <c r="K50229" s="18" t="s">
        <v>316</v>
      </c>
    </row>
    <row r="50230">
      <c r="A50230" s="17"/>
      <c r="H50230" s="18"/>
      <c r="K50230" s="18" t="s">
        <v>316</v>
      </c>
    </row>
    <row r="50231">
      <c r="A50231" s="17"/>
      <c r="H50231" s="18"/>
      <c r="K50231" s="18" t="s">
        <v>316</v>
      </c>
    </row>
    <row r="50232">
      <c r="A50232" s="17"/>
      <c r="H50232" s="18"/>
      <c r="K50232" s="18" t="s">
        <v>316</v>
      </c>
    </row>
    <row r="50233">
      <c r="A50233" s="17"/>
      <c r="H50233" s="18"/>
      <c r="K50233" s="18" t="s">
        <v>316</v>
      </c>
    </row>
    <row r="50234">
      <c r="A50234" s="17"/>
      <c r="H50234" s="18"/>
      <c r="K50234" s="18" t="s">
        <v>316</v>
      </c>
    </row>
    <row r="50235">
      <c r="A50235" s="17"/>
      <c r="H50235" s="18"/>
      <c r="K50235" s="18" t="s">
        <v>316</v>
      </c>
    </row>
    <row r="50236">
      <c r="A50236" s="17"/>
      <c r="H50236" s="18"/>
      <c r="K50236" s="18" t="s">
        <v>316</v>
      </c>
    </row>
    <row r="50237">
      <c r="A50237" s="17"/>
      <c r="H50237" s="18"/>
      <c r="K50237" s="18" t="s">
        <v>316</v>
      </c>
    </row>
    <row r="50238">
      <c r="A50238" s="17"/>
      <c r="H50238" s="18"/>
      <c r="K50238" s="18" t="s">
        <v>316</v>
      </c>
    </row>
    <row r="50239">
      <c r="A50239" s="17"/>
      <c r="H50239" s="18"/>
      <c r="K50239" s="18" t="s">
        <v>316</v>
      </c>
    </row>
    <row r="50240">
      <c r="A50240" s="17"/>
      <c r="H50240" s="18"/>
      <c r="K50240" s="18" t="s">
        <v>316</v>
      </c>
    </row>
    <row r="50241">
      <c r="A50241" s="17"/>
      <c r="H50241" s="18"/>
      <c r="K50241" s="18" t="s">
        <v>316</v>
      </c>
    </row>
    <row r="50242">
      <c r="A50242" s="17"/>
      <c r="H50242" s="18"/>
      <c r="K50242" s="18" t="s">
        <v>316</v>
      </c>
    </row>
    <row r="50243">
      <c r="A50243" s="17"/>
      <c r="H50243" s="18"/>
      <c r="K50243" s="18" t="s">
        <v>316</v>
      </c>
    </row>
    <row r="50244">
      <c r="A50244" s="17"/>
      <c r="H50244" s="18"/>
      <c r="K50244" s="18" t="s">
        <v>316</v>
      </c>
    </row>
    <row r="50245">
      <c r="A50245" s="17"/>
      <c r="H50245" s="18"/>
      <c r="K50245" s="18" t="s">
        <v>316</v>
      </c>
    </row>
    <row r="50246">
      <c r="A50246" s="17"/>
      <c r="H50246" s="18"/>
      <c r="K50246" s="18" t="s">
        <v>316</v>
      </c>
    </row>
    <row r="50247">
      <c r="A50247" s="17"/>
      <c r="H50247" s="18"/>
      <c r="K50247" s="18" t="s">
        <v>316</v>
      </c>
    </row>
    <row r="50248">
      <c r="A50248" s="17"/>
      <c r="H50248" s="18"/>
      <c r="K50248" s="18" t="s">
        <v>316</v>
      </c>
    </row>
    <row r="50249">
      <c r="A50249" s="17"/>
      <c r="H50249" s="18"/>
      <c r="K50249" s="18" t="s">
        <v>316</v>
      </c>
    </row>
    <row r="50250">
      <c r="A50250" s="17"/>
      <c r="H50250" s="18"/>
      <c r="K50250" s="18" t="s">
        <v>316</v>
      </c>
    </row>
    <row r="50251">
      <c r="A50251" s="17"/>
      <c r="H50251" s="18"/>
      <c r="K50251" s="18" t="s">
        <v>316</v>
      </c>
    </row>
    <row r="50252">
      <c r="A50252" s="17"/>
      <c r="H50252" s="18"/>
      <c r="K50252" s="18" t="s">
        <v>316</v>
      </c>
    </row>
    <row r="50253">
      <c r="A50253" s="17"/>
      <c r="H50253" s="18"/>
      <c r="K50253" s="18" t="s">
        <v>316</v>
      </c>
    </row>
    <row r="50254">
      <c r="A50254" s="17"/>
      <c r="H50254" s="18"/>
      <c r="K50254" s="18" t="s">
        <v>316</v>
      </c>
    </row>
    <row r="50255">
      <c r="A50255" s="17"/>
      <c r="H50255" s="18"/>
      <c r="K50255" s="18" t="s">
        <v>316</v>
      </c>
    </row>
    <row r="50256">
      <c r="A50256" s="17"/>
      <c r="H50256" s="18"/>
      <c r="K50256" s="18" t="s">
        <v>316</v>
      </c>
    </row>
    <row r="50257">
      <c r="A50257" s="17"/>
      <c r="H50257" s="18"/>
      <c r="K50257" s="18" t="s">
        <v>316</v>
      </c>
    </row>
    <row r="50258">
      <c r="A50258" s="17"/>
      <c r="H50258" s="18"/>
      <c r="K50258" s="18" t="s">
        <v>316</v>
      </c>
    </row>
    <row r="50259">
      <c r="A50259" s="17"/>
      <c r="H50259" s="18"/>
      <c r="K50259" s="18" t="s">
        <v>316</v>
      </c>
    </row>
    <row r="50260">
      <c r="A50260" s="17"/>
      <c r="H50260" s="18"/>
      <c r="K50260" s="18" t="s">
        <v>316</v>
      </c>
    </row>
    <row r="50261">
      <c r="A50261" s="17"/>
      <c r="H50261" s="18"/>
      <c r="K50261" s="18" t="s">
        <v>316</v>
      </c>
    </row>
    <row r="50262">
      <c r="A50262" s="17"/>
      <c r="H50262" s="18"/>
      <c r="K50262" s="18" t="s">
        <v>316</v>
      </c>
    </row>
    <row r="50263">
      <c r="A50263" s="17"/>
      <c r="H50263" s="18"/>
      <c r="K50263" s="18" t="s">
        <v>316</v>
      </c>
    </row>
    <row r="50264">
      <c r="A50264" s="17"/>
      <c r="H50264" s="18"/>
      <c r="K50264" s="18" t="s">
        <v>316</v>
      </c>
    </row>
    <row r="50265">
      <c r="A50265" s="17"/>
      <c r="H50265" s="18"/>
      <c r="K50265" s="18" t="s">
        <v>316</v>
      </c>
    </row>
    <row r="50266">
      <c r="A50266" s="17"/>
      <c r="H50266" s="18"/>
      <c r="K50266" s="18" t="s">
        <v>316</v>
      </c>
    </row>
    <row r="50267">
      <c r="A50267" s="17"/>
      <c r="H50267" s="18"/>
      <c r="K50267" s="18" t="s">
        <v>316</v>
      </c>
    </row>
    <row r="50268">
      <c r="A50268" s="17"/>
      <c r="H50268" s="18"/>
      <c r="K50268" s="18" t="s">
        <v>316</v>
      </c>
    </row>
    <row r="50269">
      <c r="A50269" s="17"/>
      <c r="H50269" s="18"/>
      <c r="K50269" s="18" t="s">
        <v>316</v>
      </c>
    </row>
    <row r="50270">
      <c r="A50270" s="17"/>
      <c r="H50270" s="18"/>
      <c r="K50270" s="18" t="s">
        <v>316</v>
      </c>
    </row>
    <row r="50271">
      <c r="A50271" s="17"/>
      <c r="H50271" s="18"/>
      <c r="K50271" s="18" t="s">
        <v>316</v>
      </c>
    </row>
    <row r="50272">
      <c r="A50272" s="17"/>
      <c r="H50272" s="18"/>
      <c r="K50272" s="18" t="s">
        <v>316</v>
      </c>
    </row>
    <row r="50273">
      <c r="A50273" s="17"/>
      <c r="H50273" s="18"/>
      <c r="K50273" s="18" t="s">
        <v>316</v>
      </c>
    </row>
    <row r="50274">
      <c r="A50274" s="17"/>
      <c r="H50274" s="18"/>
      <c r="K50274" s="18" t="s">
        <v>316</v>
      </c>
    </row>
    <row r="50275">
      <c r="A50275" s="17"/>
      <c r="H50275" s="18"/>
      <c r="K50275" s="18" t="s">
        <v>316</v>
      </c>
    </row>
    <row r="50276">
      <c r="A50276" s="17"/>
      <c r="H50276" s="18"/>
      <c r="K50276" s="18" t="s">
        <v>316</v>
      </c>
    </row>
    <row r="50277">
      <c r="A50277" s="17"/>
      <c r="H50277" s="18"/>
      <c r="K50277" s="18" t="s">
        <v>316</v>
      </c>
    </row>
    <row r="50278">
      <c r="A50278" s="17"/>
      <c r="H50278" s="18"/>
      <c r="K50278" s="18" t="s">
        <v>316</v>
      </c>
    </row>
    <row r="50279">
      <c r="A50279" s="17"/>
      <c r="H50279" s="18"/>
      <c r="K50279" s="18" t="s">
        <v>316</v>
      </c>
    </row>
    <row r="50280">
      <c r="A50280" s="17"/>
      <c r="H50280" s="18"/>
      <c r="K50280" s="18" t="s">
        <v>316</v>
      </c>
    </row>
    <row r="50281">
      <c r="A50281" s="17"/>
      <c r="H50281" s="18"/>
      <c r="K50281" s="18" t="s">
        <v>316</v>
      </c>
    </row>
    <row r="50282">
      <c r="A50282" s="17"/>
      <c r="H50282" s="18"/>
      <c r="K50282" s="18" t="s">
        <v>316</v>
      </c>
    </row>
    <row r="50283">
      <c r="A50283" s="17"/>
      <c r="H50283" s="18"/>
      <c r="K50283" s="18" t="s">
        <v>316</v>
      </c>
    </row>
    <row r="50284">
      <c r="A50284" s="17"/>
      <c r="H50284" s="18"/>
      <c r="K50284" s="18" t="s">
        <v>316</v>
      </c>
    </row>
    <row r="50285">
      <c r="A50285" s="17"/>
      <c r="H50285" s="18"/>
      <c r="K50285" s="18" t="s">
        <v>316</v>
      </c>
    </row>
    <row r="50286">
      <c r="A50286" s="17"/>
      <c r="H50286" s="18"/>
      <c r="K50286" s="18" t="s">
        <v>316</v>
      </c>
    </row>
    <row r="50287">
      <c r="A50287" s="17"/>
      <c r="H50287" s="18"/>
      <c r="K50287" s="18" t="s">
        <v>316</v>
      </c>
    </row>
    <row r="50288">
      <c r="A50288" s="17"/>
      <c r="H50288" s="18"/>
      <c r="K50288" s="18" t="s">
        <v>316</v>
      </c>
    </row>
    <row r="50289">
      <c r="A50289" s="17"/>
      <c r="H50289" s="18"/>
      <c r="K50289" s="18" t="s">
        <v>316</v>
      </c>
    </row>
    <row r="50290">
      <c r="A50290" s="17"/>
      <c r="H50290" s="18"/>
      <c r="K50290" s="18" t="s">
        <v>316</v>
      </c>
    </row>
    <row r="50291">
      <c r="A50291" s="17"/>
      <c r="H50291" s="18"/>
      <c r="K50291" s="18" t="s">
        <v>316</v>
      </c>
    </row>
    <row r="50292">
      <c r="A50292" s="17"/>
      <c r="H50292" s="18"/>
      <c r="K50292" s="18" t="s">
        <v>316</v>
      </c>
    </row>
    <row r="50293">
      <c r="A50293" s="17"/>
      <c r="H50293" s="18"/>
      <c r="K50293" s="18" t="s">
        <v>316</v>
      </c>
    </row>
    <row r="50294">
      <c r="A50294" s="17"/>
      <c r="H50294" s="18"/>
      <c r="K50294" s="18" t="s">
        <v>316</v>
      </c>
    </row>
    <row r="50295">
      <c r="A50295" s="17"/>
      <c r="H50295" s="18"/>
      <c r="K50295" s="18" t="s">
        <v>316</v>
      </c>
    </row>
    <row r="50296">
      <c r="A50296" s="17"/>
      <c r="H50296" s="18"/>
      <c r="K50296" s="18" t="s">
        <v>316</v>
      </c>
    </row>
    <row r="50297">
      <c r="A50297" s="17"/>
      <c r="H50297" s="18"/>
      <c r="K50297" s="18" t="s">
        <v>316</v>
      </c>
    </row>
    <row r="50298">
      <c r="A50298" s="17"/>
      <c r="H50298" s="18"/>
      <c r="K50298" s="18" t="s">
        <v>316</v>
      </c>
    </row>
    <row r="50299">
      <c r="A50299" s="17"/>
      <c r="H50299" s="18"/>
      <c r="K50299" s="18" t="s">
        <v>316</v>
      </c>
    </row>
    <row r="50300">
      <c r="A50300" s="17"/>
      <c r="H50300" s="18"/>
      <c r="K50300" s="18" t="s">
        <v>316</v>
      </c>
    </row>
    <row r="50301">
      <c r="A50301" s="17"/>
      <c r="H50301" s="18"/>
      <c r="K50301" s="18" t="s">
        <v>316</v>
      </c>
    </row>
    <row r="50302">
      <c r="A50302" s="17"/>
      <c r="H50302" s="18"/>
      <c r="K50302" s="18" t="s">
        <v>316</v>
      </c>
    </row>
    <row r="50303">
      <c r="A50303" s="17"/>
      <c r="H50303" s="18"/>
      <c r="K50303" s="18" t="s">
        <v>316</v>
      </c>
    </row>
    <row r="50304">
      <c r="A50304" s="17"/>
      <c r="H50304" s="18"/>
      <c r="K50304" s="18" t="s">
        <v>316</v>
      </c>
    </row>
    <row r="50305">
      <c r="A50305" s="17"/>
      <c r="H50305" s="18"/>
      <c r="K50305" s="18" t="s">
        <v>316</v>
      </c>
    </row>
    <row r="50306">
      <c r="A50306" s="17"/>
      <c r="H50306" s="18"/>
      <c r="K50306" s="18" t="s">
        <v>316</v>
      </c>
    </row>
    <row r="50307">
      <c r="A50307" s="17"/>
      <c r="H50307" s="18"/>
      <c r="K50307" s="18" t="s">
        <v>316</v>
      </c>
    </row>
    <row r="50308">
      <c r="A50308" s="17"/>
      <c r="H50308" s="18"/>
      <c r="K50308" s="18" t="s">
        <v>316</v>
      </c>
    </row>
    <row r="50309">
      <c r="A50309" s="17"/>
      <c r="H50309" s="18"/>
      <c r="K50309" s="18" t="s">
        <v>316</v>
      </c>
    </row>
    <row r="50310">
      <c r="A50310" s="17"/>
      <c r="H50310" s="18"/>
      <c r="K50310" s="18" t="s">
        <v>316</v>
      </c>
    </row>
    <row r="50311">
      <c r="A50311" s="17"/>
      <c r="H50311" s="18"/>
      <c r="K50311" s="18" t="s">
        <v>316</v>
      </c>
    </row>
    <row r="50312">
      <c r="A50312" s="17"/>
      <c r="H50312" s="18"/>
      <c r="K50312" s="18" t="s">
        <v>316</v>
      </c>
    </row>
    <row r="50313">
      <c r="A50313" s="17"/>
      <c r="H50313" s="18"/>
      <c r="K50313" s="18" t="s">
        <v>316</v>
      </c>
    </row>
    <row r="50314">
      <c r="A50314" s="17"/>
      <c r="H50314" s="18"/>
      <c r="K50314" s="18" t="s">
        <v>316</v>
      </c>
    </row>
    <row r="50315">
      <c r="A50315" s="17"/>
      <c r="H50315" s="18"/>
      <c r="K50315" s="18" t="s">
        <v>316</v>
      </c>
    </row>
    <row r="50316">
      <c r="A50316" s="17"/>
      <c r="H50316" s="18"/>
      <c r="K50316" s="18" t="s">
        <v>316</v>
      </c>
    </row>
    <row r="50317">
      <c r="A50317" s="17"/>
      <c r="H50317" s="18"/>
      <c r="K50317" s="18" t="s">
        <v>316</v>
      </c>
    </row>
    <row r="50318">
      <c r="A50318" s="17"/>
      <c r="H50318" s="18"/>
      <c r="K50318" s="18" t="s">
        <v>316</v>
      </c>
    </row>
    <row r="50319">
      <c r="A50319" s="17"/>
      <c r="H50319" s="18"/>
      <c r="K50319" s="18" t="s">
        <v>316</v>
      </c>
    </row>
    <row r="50320">
      <c r="A50320" s="17"/>
      <c r="H50320" s="18"/>
      <c r="K50320" s="18" t="s">
        <v>316</v>
      </c>
    </row>
    <row r="50321">
      <c r="A50321" s="17"/>
      <c r="H50321" s="18"/>
      <c r="K50321" s="18" t="s">
        <v>316</v>
      </c>
    </row>
    <row r="50322">
      <c r="A50322" s="17"/>
      <c r="H50322" s="18"/>
      <c r="K50322" s="18" t="s">
        <v>316</v>
      </c>
    </row>
    <row r="50323">
      <c r="A50323" s="17"/>
      <c r="H50323" s="18"/>
      <c r="K50323" s="18" t="s">
        <v>316</v>
      </c>
    </row>
    <row r="50324">
      <c r="A50324" s="17"/>
      <c r="H50324" s="18"/>
      <c r="K50324" s="18" t="s">
        <v>316</v>
      </c>
    </row>
    <row r="50325">
      <c r="A50325" s="17"/>
      <c r="H50325" s="18"/>
      <c r="K50325" s="18" t="s">
        <v>316</v>
      </c>
    </row>
    <row r="50326">
      <c r="A50326" s="17"/>
      <c r="H50326" s="18"/>
      <c r="K50326" s="18" t="s">
        <v>316</v>
      </c>
    </row>
    <row r="50327">
      <c r="A50327" s="17"/>
      <c r="H50327" s="18"/>
      <c r="K50327" s="18" t="s">
        <v>316</v>
      </c>
    </row>
    <row r="50328">
      <c r="A50328" s="17"/>
      <c r="H50328" s="18"/>
      <c r="K50328" s="18" t="s">
        <v>316</v>
      </c>
    </row>
    <row r="50329">
      <c r="A50329" s="17"/>
      <c r="H50329" s="18"/>
      <c r="K50329" s="18" t="s">
        <v>316</v>
      </c>
    </row>
    <row r="50330">
      <c r="A50330" s="17"/>
      <c r="H50330" s="18"/>
      <c r="K50330" s="18" t="s">
        <v>316</v>
      </c>
    </row>
    <row r="50331">
      <c r="A50331" s="17"/>
      <c r="H50331" s="18"/>
      <c r="K50331" s="18" t="s">
        <v>316</v>
      </c>
    </row>
    <row r="50332">
      <c r="A50332" s="17"/>
      <c r="H50332" s="18"/>
      <c r="K50332" s="18" t="s">
        <v>316</v>
      </c>
    </row>
    <row r="50333">
      <c r="A50333" s="17"/>
      <c r="H50333" s="18"/>
      <c r="K50333" s="18" t="s">
        <v>316</v>
      </c>
    </row>
    <row r="50334">
      <c r="A50334" s="17"/>
      <c r="H50334" s="18"/>
      <c r="K50334" s="18" t="s">
        <v>316</v>
      </c>
    </row>
    <row r="50335">
      <c r="A50335" s="17"/>
      <c r="H50335" s="18"/>
      <c r="K50335" s="18" t="s">
        <v>316</v>
      </c>
    </row>
    <row r="50336">
      <c r="A50336" s="17"/>
      <c r="H50336" s="18"/>
      <c r="K50336" s="18" t="s">
        <v>316</v>
      </c>
    </row>
    <row r="50337">
      <c r="A50337" s="17"/>
      <c r="H50337" s="18"/>
      <c r="K50337" s="18" t="s">
        <v>316</v>
      </c>
    </row>
    <row r="50338">
      <c r="A50338" s="17"/>
      <c r="H50338" s="18"/>
      <c r="K50338" s="18" t="s">
        <v>316</v>
      </c>
    </row>
    <row r="50339">
      <c r="A50339" s="17"/>
      <c r="H50339" s="18"/>
      <c r="K50339" s="18" t="s">
        <v>316</v>
      </c>
    </row>
    <row r="50340">
      <c r="A50340" s="17"/>
      <c r="H50340" s="18"/>
      <c r="K50340" s="18" t="s">
        <v>316</v>
      </c>
    </row>
    <row r="50341">
      <c r="A50341" s="17"/>
      <c r="H50341" s="18"/>
      <c r="K50341" s="18" t="s">
        <v>316</v>
      </c>
    </row>
    <row r="50342">
      <c r="A50342" s="17"/>
      <c r="H50342" s="18"/>
      <c r="K50342" s="18" t="s">
        <v>316</v>
      </c>
    </row>
    <row r="50343">
      <c r="A50343" s="17"/>
      <c r="H50343" s="18"/>
      <c r="K50343" s="18" t="s">
        <v>316</v>
      </c>
    </row>
    <row r="50344">
      <c r="A50344" s="17"/>
      <c r="H50344" s="18"/>
      <c r="K50344" s="18" t="s">
        <v>316</v>
      </c>
    </row>
    <row r="50345">
      <c r="A50345" s="17"/>
      <c r="H50345" s="18"/>
      <c r="K50345" s="18" t="s">
        <v>316</v>
      </c>
    </row>
    <row r="50346">
      <c r="A50346" s="17"/>
      <c r="H50346" s="18"/>
      <c r="K50346" s="18" t="s">
        <v>316</v>
      </c>
    </row>
    <row r="50347">
      <c r="A50347" s="17"/>
      <c r="H50347" s="18"/>
      <c r="K50347" s="18" t="s">
        <v>316</v>
      </c>
    </row>
    <row r="50348">
      <c r="A50348" s="17"/>
      <c r="H50348" s="18"/>
      <c r="K50348" s="18" t="s">
        <v>316</v>
      </c>
    </row>
    <row r="50349">
      <c r="A50349" s="17"/>
      <c r="H50349" s="18"/>
      <c r="K50349" s="18" t="s">
        <v>316</v>
      </c>
    </row>
    <row r="50350">
      <c r="A50350" s="17"/>
      <c r="H50350" s="18"/>
      <c r="K50350" s="18" t="s">
        <v>316</v>
      </c>
    </row>
    <row r="50351">
      <c r="A50351" s="17"/>
      <c r="H50351" s="18"/>
      <c r="K50351" s="18" t="s">
        <v>316</v>
      </c>
    </row>
    <row r="50352">
      <c r="A50352" s="17"/>
      <c r="H50352" s="18"/>
      <c r="K50352" s="18" t="s">
        <v>316</v>
      </c>
    </row>
    <row r="50353">
      <c r="A50353" s="17"/>
      <c r="H50353" s="18"/>
      <c r="K50353" s="18" t="s">
        <v>316</v>
      </c>
    </row>
    <row r="50354">
      <c r="A50354" s="17"/>
      <c r="H50354" s="18"/>
      <c r="K50354" s="18" t="s">
        <v>316</v>
      </c>
    </row>
    <row r="50355">
      <c r="A50355" s="17"/>
      <c r="H50355" s="18"/>
      <c r="K50355" s="18" t="s">
        <v>316</v>
      </c>
    </row>
    <row r="50356">
      <c r="A50356" s="17"/>
      <c r="H50356" s="18"/>
      <c r="K50356" s="18" t="s">
        <v>316</v>
      </c>
    </row>
    <row r="50357">
      <c r="A50357" s="17"/>
      <c r="H50357" s="18"/>
      <c r="K50357" s="18" t="s">
        <v>316</v>
      </c>
    </row>
    <row r="50358">
      <c r="A50358" s="17"/>
      <c r="H50358" s="18"/>
      <c r="K50358" s="18" t="s">
        <v>316</v>
      </c>
    </row>
    <row r="50359">
      <c r="A50359" s="17"/>
      <c r="H50359" s="18"/>
      <c r="K50359" s="18" t="s">
        <v>316</v>
      </c>
    </row>
    <row r="50360">
      <c r="A50360" s="17"/>
      <c r="H50360" s="18"/>
      <c r="K50360" s="18" t="s">
        <v>316</v>
      </c>
    </row>
    <row r="50361">
      <c r="A50361" s="17"/>
      <c r="H50361" s="18"/>
      <c r="K50361" s="18" t="s">
        <v>316</v>
      </c>
    </row>
    <row r="50362">
      <c r="A50362" s="17"/>
      <c r="H50362" s="18"/>
      <c r="K50362" s="18" t="s">
        <v>316</v>
      </c>
    </row>
    <row r="50363">
      <c r="A50363" s="17"/>
      <c r="H50363" s="18"/>
      <c r="K50363" s="18" t="s">
        <v>316</v>
      </c>
    </row>
    <row r="50364">
      <c r="A50364" s="17"/>
      <c r="H50364" s="18"/>
      <c r="K50364" s="18" t="s">
        <v>316</v>
      </c>
    </row>
    <row r="50365">
      <c r="A50365" s="17"/>
      <c r="H50365" s="18"/>
      <c r="K50365" s="18" t="s">
        <v>316</v>
      </c>
    </row>
    <row r="50366">
      <c r="A50366" s="17"/>
      <c r="H50366" s="18"/>
      <c r="K50366" s="18" t="s">
        <v>316</v>
      </c>
    </row>
    <row r="50367">
      <c r="A50367" s="17"/>
      <c r="H50367" s="18"/>
      <c r="K50367" s="18" t="s">
        <v>316</v>
      </c>
    </row>
    <row r="50368">
      <c r="A50368" s="17"/>
      <c r="H50368" s="18"/>
      <c r="K50368" s="18" t="s">
        <v>316</v>
      </c>
    </row>
    <row r="50369">
      <c r="A50369" s="17"/>
      <c r="H50369" s="18"/>
      <c r="K50369" s="18" t="s">
        <v>316</v>
      </c>
    </row>
    <row r="50370">
      <c r="A50370" s="17"/>
      <c r="H50370" s="18"/>
      <c r="K50370" s="18" t="s">
        <v>316</v>
      </c>
    </row>
    <row r="50371">
      <c r="A50371" s="17"/>
      <c r="H50371" s="18"/>
      <c r="K50371" s="18" t="s">
        <v>316</v>
      </c>
    </row>
    <row r="50372">
      <c r="A50372" s="17"/>
      <c r="H50372" s="18"/>
      <c r="K50372" s="18" t="s">
        <v>316</v>
      </c>
    </row>
    <row r="50373">
      <c r="A50373" s="17"/>
      <c r="H50373" s="18"/>
      <c r="K50373" s="18" t="s">
        <v>316</v>
      </c>
    </row>
    <row r="50374">
      <c r="A50374" s="17"/>
      <c r="H50374" s="18"/>
      <c r="K50374" s="18" t="s">
        <v>316</v>
      </c>
    </row>
    <row r="50375">
      <c r="A50375" s="17"/>
      <c r="H50375" s="18"/>
      <c r="K50375" s="18" t="s">
        <v>316</v>
      </c>
    </row>
    <row r="50376">
      <c r="A50376" s="17"/>
      <c r="H50376" s="18"/>
      <c r="K50376" s="18" t="s">
        <v>316</v>
      </c>
    </row>
    <row r="50377">
      <c r="A50377" s="17"/>
      <c r="H50377" s="18"/>
      <c r="K50377" s="18" t="s">
        <v>316</v>
      </c>
    </row>
    <row r="50378">
      <c r="A50378" s="17"/>
      <c r="H50378" s="18"/>
      <c r="K50378" s="18" t="s">
        <v>316</v>
      </c>
    </row>
    <row r="50379">
      <c r="A50379" s="17"/>
      <c r="H50379" s="18"/>
      <c r="K50379" s="18" t="s">
        <v>316</v>
      </c>
    </row>
    <row r="50380">
      <c r="A50380" s="17"/>
      <c r="H50380" s="18"/>
      <c r="K50380" s="18" t="s">
        <v>316</v>
      </c>
    </row>
    <row r="50381">
      <c r="A50381" s="17"/>
      <c r="H50381" s="18"/>
      <c r="K50381" s="18" t="s">
        <v>316</v>
      </c>
    </row>
    <row r="50382">
      <c r="A50382" s="17"/>
      <c r="H50382" s="18"/>
      <c r="K50382" s="18" t="s">
        <v>316</v>
      </c>
    </row>
    <row r="50383">
      <c r="A50383" s="17"/>
      <c r="H50383" s="18"/>
      <c r="K50383" s="18" t="s">
        <v>316</v>
      </c>
    </row>
    <row r="50384">
      <c r="A50384" s="17"/>
      <c r="H50384" s="18"/>
      <c r="K50384" s="18" t="s">
        <v>316</v>
      </c>
    </row>
    <row r="50385">
      <c r="A50385" s="17"/>
      <c r="H50385" s="18"/>
      <c r="K50385" s="18" t="s">
        <v>316</v>
      </c>
    </row>
    <row r="50386">
      <c r="A50386" s="17"/>
      <c r="H50386" s="18"/>
      <c r="K50386" s="18" t="s">
        <v>316</v>
      </c>
    </row>
    <row r="50387">
      <c r="A50387" s="17"/>
      <c r="H50387" s="18"/>
      <c r="K50387" s="18" t="s">
        <v>316</v>
      </c>
    </row>
    <row r="50388">
      <c r="A50388" s="17"/>
      <c r="H50388" s="18"/>
      <c r="K50388" s="18" t="s">
        <v>316</v>
      </c>
    </row>
    <row r="50389">
      <c r="A50389" s="17"/>
      <c r="H50389" s="18"/>
      <c r="K50389" s="18" t="s">
        <v>316</v>
      </c>
    </row>
    <row r="50390">
      <c r="A50390" s="17"/>
      <c r="H50390" s="18"/>
      <c r="K50390" s="18" t="s">
        <v>316</v>
      </c>
    </row>
    <row r="50391">
      <c r="A50391" s="17"/>
      <c r="H50391" s="18"/>
      <c r="K50391" s="18" t="s">
        <v>316</v>
      </c>
    </row>
    <row r="50392">
      <c r="A50392" s="17"/>
      <c r="H50392" s="18"/>
      <c r="K50392" s="18" t="s">
        <v>316</v>
      </c>
    </row>
    <row r="50393">
      <c r="A50393" s="17"/>
      <c r="H50393" s="18"/>
      <c r="K50393" s="18" t="s">
        <v>316</v>
      </c>
    </row>
    <row r="50394">
      <c r="A50394" s="17"/>
      <c r="H50394" s="18"/>
      <c r="K50394" s="18" t="s">
        <v>316</v>
      </c>
    </row>
    <row r="50395">
      <c r="A50395" s="17"/>
      <c r="H50395" s="18"/>
      <c r="K50395" s="18" t="s">
        <v>316</v>
      </c>
    </row>
    <row r="50396">
      <c r="A50396" s="17"/>
      <c r="H50396" s="18"/>
      <c r="K50396" s="18" t="s">
        <v>316</v>
      </c>
    </row>
    <row r="50397">
      <c r="A50397" s="17"/>
      <c r="H50397" s="18"/>
      <c r="K50397" s="18" t="s">
        <v>316</v>
      </c>
    </row>
    <row r="50398">
      <c r="A50398" s="17"/>
      <c r="H50398" s="18"/>
      <c r="K50398" s="18" t="s">
        <v>316</v>
      </c>
    </row>
    <row r="50399">
      <c r="A50399" s="17"/>
      <c r="H50399" s="18"/>
      <c r="K50399" s="18" t="s">
        <v>316</v>
      </c>
    </row>
    <row r="50400">
      <c r="A50400" s="17"/>
      <c r="H50400" s="18"/>
      <c r="K50400" s="18" t="s">
        <v>316</v>
      </c>
    </row>
    <row r="50401">
      <c r="A50401" s="17"/>
      <c r="H50401" s="18"/>
      <c r="K50401" s="18" t="s">
        <v>316</v>
      </c>
    </row>
    <row r="50402">
      <c r="A50402" s="17"/>
      <c r="H50402" s="18"/>
      <c r="K50402" s="18" t="s">
        <v>316</v>
      </c>
    </row>
    <row r="50403">
      <c r="A50403" s="17"/>
      <c r="H50403" s="18"/>
      <c r="K50403" s="18" t="s">
        <v>316</v>
      </c>
    </row>
    <row r="50404">
      <c r="A50404" s="17"/>
      <c r="H50404" s="18"/>
      <c r="K50404" s="18" t="s">
        <v>316</v>
      </c>
    </row>
    <row r="50405">
      <c r="A50405" s="17"/>
      <c r="H50405" s="18"/>
      <c r="K50405" s="18" t="s">
        <v>316</v>
      </c>
    </row>
    <row r="50406">
      <c r="A50406" s="17"/>
      <c r="H50406" s="18"/>
      <c r="K50406" s="18" t="s">
        <v>316</v>
      </c>
    </row>
    <row r="50407">
      <c r="A50407" s="17"/>
      <c r="H50407" s="18"/>
      <c r="K50407" s="18" t="s">
        <v>316</v>
      </c>
    </row>
    <row r="50408">
      <c r="A50408" s="17"/>
      <c r="H50408" s="18"/>
      <c r="K50408" s="18" t="s">
        <v>316</v>
      </c>
    </row>
    <row r="50409">
      <c r="A50409" s="17"/>
      <c r="H50409" s="18"/>
      <c r="K50409" s="18" t="s">
        <v>316</v>
      </c>
    </row>
    <row r="50410">
      <c r="A50410" s="17"/>
      <c r="H50410" s="18"/>
      <c r="K50410" s="18" t="s">
        <v>316</v>
      </c>
    </row>
    <row r="50411">
      <c r="A50411" s="17"/>
      <c r="H50411" s="18"/>
      <c r="K50411" s="18" t="s">
        <v>316</v>
      </c>
    </row>
    <row r="50412">
      <c r="A50412" s="17"/>
      <c r="H50412" s="18"/>
      <c r="K50412" s="18" t="s">
        <v>316</v>
      </c>
    </row>
    <row r="50413">
      <c r="A50413" s="17"/>
      <c r="H50413" s="18"/>
      <c r="K50413" s="18" t="s">
        <v>316</v>
      </c>
    </row>
    <row r="50414">
      <c r="A50414" s="17"/>
      <c r="H50414" s="18"/>
      <c r="K50414" s="18" t="s">
        <v>316</v>
      </c>
    </row>
    <row r="50415">
      <c r="A50415" s="17"/>
      <c r="H50415" s="18"/>
      <c r="K50415" s="18" t="s">
        <v>316</v>
      </c>
    </row>
    <row r="50416">
      <c r="A50416" s="17"/>
      <c r="H50416" s="18"/>
      <c r="K50416" s="18" t="s">
        <v>316</v>
      </c>
    </row>
    <row r="50417">
      <c r="A50417" s="17"/>
      <c r="H50417" s="18"/>
      <c r="K50417" s="18" t="s">
        <v>316</v>
      </c>
    </row>
    <row r="50418">
      <c r="A50418" s="17"/>
      <c r="H50418" s="18"/>
      <c r="K50418" s="18" t="s">
        <v>316</v>
      </c>
    </row>
    <row r="50419">
      <c r="A50419" s="17"/>
      <c r="H50419" s="18"/>
      <c r="K50419" s="18" t="s">
        <v>316</v>
      </c>
    </row>
    <row r="50420">
      <c r="A50420" s="17"/>
      <c r="H50420" s="18"/>
      <c r="K50420" s="18" t="s">
        <v>316</v>
      </c>
    </row>
    <row r="50421">
      <c r="A50421" s="17"/>
      <c r="H50421" s="18"/>
      <c r="K50421" s="18" t="s">
        <v>316</v>
      </c>
    </row>
    <row r="50422">
      <c r="A50422" s="17"/>
      <c r="H50422" s="18"/>
      <c r="K50422" s="18" t="s">
        <v>316</v>
      </c>
    </row>
    <row r="50423">
      <c r="A50423" s="17"/>
      <c r="H50423" s="18"/>
      <c r="K50423" s="18" t="s">
        <v>316</v>
      </c>
    </row>
    <row r="50424">
      <c r="A50424" s="17"/>
      <c r="H50424" s="18"/>
      <c r="K50424" s="18" t="s">
        <v>316</v>
      </c>
    </row>
    <row r="50425">
      <c r="A50425" s="17"/>
      <c r="H50425" s="18"/>
      <c r="K50425" s="18" t="s">
        <v>316</v>
      </c>
    </row>
    <row r="50426">
      <c r="A50426" s="17"/>
      <c r="H50426" s="18"/>
      <c r="K50426" s="18" t="s">
        <v>316</v>
      </c>
    </row>
    <row r="50427">
      <c r="A50427" s="17"/>
      <c r="H50427" s="18"/>
      <c r="K50427" s="18" t="s">
        <v>316</v>
      </c>
    </row>
    <row r="50428">
      <c r="A50428" s="17"/>
      <c r="H50428" s="18"/>
      <c r="K50428" s="18" t="s">
        <v>316</v>
      </c>
    </row>
    <row r="50429">
      <c r="A50429" s="17"/>
      <c r="H50429" s="18"/>
      <c r="K50429" s="18" t="s">
        <v>316</v>
      </c>
    </row>
    <row r="50430">
      <c r="A50430" s="17"/>
      <c r="H50430" s="18"/>
      <c r="K50430" s="18" t="s">
        <v>316</v>
      </c>
    </row>
    <row r="50431">
      <c r="A50431" s="17"/>
      <c r="H50431" s="18"/>
      <c r="K50431" s="18" t="s">
        <v>316</v>
      </c>
    </row>
    <row r="50432">
      <c r="A50432" s="17"/>
      <c r="H50432" s="18"/>
      <c r="K50432" s="18" t="s">
        <v>316</v>
      </c>
    </row>
    <row r="50433">
      <c r="A50433" s="17"/>
      <c r="H50433" s="18"/>
      <c r="K50433" s="18" t="s">
        <v>316</v>
      </c>
    </row>
    <row r="50434">
      <c r="A50434" s="17"/>
      <c r="H50434" s="18"/>
      <c r="K50434" s="18" t="s">
        <v>316</v>
      </c>
    </row>
    <row r="50435">
      <c r="A50435" s="17"/>
      <c r="H50435" s="18"/>
      <c r="K50435" s="18" t="s">
        <v>316</v>
      </c>
    </row>
    <row r="50436">
      <c r="A50436" s="17"/>
      <c r="H50436" s="18"/>
      <c r="K50436" s="18" t="s">
        <v>316</v>
      </c>
    </row>
    <row r="50437">
      <c r="A50437" s="17"/>
      <c r="H50437" s="18"/>
      <c r="K50437" s="18" t="s">
        <v>316</v>
      </c>
    </row>
    <row r="50438">
      <c r="A50438" s="17"/>
      <c r="H50438" s="18"/>
      <c r="K50438" s="18" t="s">
        <v>316</v>
      </c>
    </row>
    <row r="50439">
      <c r="A50439" s="17"/>
      <c r="H50439" s="18"/>
      <c r="K50439" s="18" t="s">
        <v>316</v>
      </c>
    </row>
    <row r="50440">
      <c r="A50440" s="17"/>
      <c r="H50440" s="18"/>
      <c r="K50440" s="18" t="s">
        <v>316</v>
      </c>
    </row>
    <row r="50441">
      <c r="A50441" s="17"/>
      <c r="H50441" s="18"/>
      <c r="K50441" s="18" t="s">
        <v>316</v>
      </c>
    </row>
    <row r="50442">
      <c r="A50442" s="17"/>
      <c r="H50442" s="18"/>
      <c r="K50442" s="18" t="s">
        <v>316</v>
      </c>
    </row>
    <row r="50443">
      <c r="A50443" s="17"/>
      <c r="H50443" s="18"/>
      <c r="K50443" s="18" t="s">
        <v>316</v>
      </c>
    </row>
    <row r="50444">
      <c r="A50444" s="17"/>
      <c r="H50444" s="18"/>
      <c r="K50444" s="18" t="s">
        <v>316</v>
      </c>
    </row>
    <row r="50445">
      <c r="A50445" s="17"/>
      <c r="H50445" s="18"/>
      <c r="K50445" s="18" t="s">
        <v>316</v>
      </c>
    </row>
    <row r="50446">
      <c r="A50446" s="17"/>
      <c r="H50446" s="18"/>
      <c r="K50446" s="18" t="s">
        <v>316</v>
      </c>
    </row>
    <row r="50447">
      <c r="A50447" s="17"/>
      <c r="H50447" s="18"/>
      <c r="K50447" s="18" t="s">
        <v>316</v>
      </c>
    </row>
    <row r="50448">
      <c r="A50448" s="17"/>
      <c r="H50448" s="18"/>
      <c r="K50448" s="18" t="s">
        <v>316</v>
      </c>
    </row>
    <row r="50449">
      <c r="A50449" s="17"/>
      <c r="H50449" s="18"/>
      <c r="K50449" s="18" t="s">
        <v>316</v>
      </c>
    </row>
    <row r="50450">
      <c r="A50450" s="17"/>
      <c r="H50450" s="18"/>
      <c r="K50450" s="18" t="s">
        <v>316</v>
      </c>
    </row>
    <row r="50451">
      <c r="A50451" s="17"/>
      <c r="H50451" s="18"/>
      <c r="K50451" s="18" t="s">
        <v>316</v>
      </c>
    </row>
    <row r="50452">
      <c r="A50452" s="17"/>
      <c r="H50452" s="18"/>
      <c r="K50452" s="18" t="s">
        <v>316</v>
      </c>
    </row>
    <row r="50453">
      <c r="A50453" s="17"/>
      <c r="H50453" s="18"/>
      <c r="K50453" s="18" t="s">
        <v>316</v>
      </c>
    </row>
    <row r="50454">
      <c r="A50454" s="17"/>
      <c r="H50454" s="18"/>
      <c r="K50454" s="18" t="s">
        <v>316</v>
      </c>
    </row>
    <row r="50455">
      <c r="A50455" s="17"/>
      <c r="H50455" s="18"/>
      <c r="K50455" s="18" t="s">
        <v>316</v>
      </c>
    </row>
    <row r="50456">
      <c r="A50456" s="17"/>
      <c r="H50456" s="18"/>
      <c r="K50456" s="18" t="s">
        <v>316</v>
      </c>
    </row>
    <row r="50457">
      <c r="A50457" s="17"/>
      <c r="H50457" s="18"/>
      <c r="K50457" s="18" t="s">
        <v>316</v>
      </c>
    </row>
    <row r="50458">
      <c r="A50458" s="17"/>
      <c r="H50458" s="18"/>
      <c r="K50458" s="18" t="s">
        <v>316</v>
      </c>
    </row>
    <row r="50459">
      <c r="A50459" s="17"/>
      <c r="H50459" s="18"/>
      <c r="K50459" s="18" t="s">
        <v>316</v>
      </c>
    </row>
    <row r="50460">
      <c r="A50460" s="17"/>
      <c r="H50460" s="18"/>
      <c r="K50460" s="18" t="s">
        <v>316</v>
      </c>
    </row>
    <row r="50461">
      <c r="A50461" s="17"/>
      <c r="H50461" s="18"/>
      <c r="K50461" s="18" t="s">
        <v>316</v>
      </c>
    </row>
    <row r="50462">
      <c r="A50462" s="17"/>
      <c r="H50462" s="18"/>
      <c r="K50462" s="18" t="s">
        <v>316</v>
      </c>
    </row>
    <row r="50463">
      <c r="A50463" s="17"/>
      <c r="H50463" s="18"/>
      <c r="K50463" s="18" t="s">
        <v>316</v>
      </c>
    </row>
    <row r="50464">
      <c r="A50464" s="17"/>
      <c r="H50464" s="18"/>
      <c r="K50464" s="18" t="s">
        <v>316</v>
      </c>
    </row>
    <row r="50465">
      <c r="A50465" s="17"/>
      <c r="H50465" s="18"/>
      <c r="K50465" s="18" t="s">
        <v>316</v>
      </c>
    </row>
    <row r="50466">
      <c r="A50466" s="17"/>
      <c r="H50466" s="18"/>
      <c r="K50466" s="18" t="s">
        <v>316</v>
      </c>
    </row>
    <row r="50467">
      <c r="A50467" s="17"/>
      <c r="H50467" s="18"/>
      <c r="K50467" s="18" t="s">
        <v>316</v>
      </c>
    </row>
    <row r="50468">
      <c r="A50468" s="17"/>
      <c r="H50468" s="18"/>
      <c r="K50468" s="18" t="s">
        <v>316</v>
      </c>
    </row>
    <row r="50469">
      <c r="A50469" s="17"/>
      <c r="H50469" s="18"/>
      <c r="K50469" s="18" t="s">
        <v>316</v>
      </c>
    </row>
    <row r="50470">
      <c r="A50470" s="17"/>
      <c r="H50470" s="18"/>
      <c r="K50470" s="18" t="s">
        <v>316</v>
      </c>
    </row>
    <row r="50471">
      <c r="A50471" s="17"/>
      <c r="H50471" s="18"/>
      <c r="K50471" s="18" t="s">
        <v>316</v>
      </c>
    </row>
    <row r="50472">
      <c r="A50472" s="17"/>
      <c r="H50472" s="18"/>
      <c r="K50472" s="18" t="s">
        <v>316</v>
      </c>
    </row>
    <row r="50473">
      <c r="A50473" s="17"/>
      <c r="H50473" s="18"/>
      <c r="K50473" s="18" t="s">
        <v>316</v>
      </c>
    </row>
    <row r="50474">
      <c r="A50474" s="17"/>
      <c r="H50474" s="18"/>
      <c r="K50474" s="18" t="s">
        <v>316</v>
      </c>
    </row>
    <row r="50475">
      <c r="A50475" s="17"/>
      <c r="H50475" s="18"/>
      <c r="K50475" s="18" t="s">
        <v>316</v>
      </c>
    </row>
    <row r="50476">
      <c r="A50476" s="17"/>
      <c r="H50476" s="18"/>
      <c r="K50476" s="18" t="s">
        <v>316</v>
      </c>
    </row>
    <row r="50477">
      <c r="A50477" s="17"/>
      <c r="H50477" s="18"/>
      <c r="K50477" s="18" t="s">
        <v>316</v>
      </c>
    </row>
    <row r="50478">
      <c r="A50478" s="17"/>
      <c r="H50478" s="18"/>
      <c r="K50478" s="18" t="s">
        <v>316</v>
      </c>
    </row>
    <row r="50479">
      <c r="A50479" s="17"/>
      <c r="H50479" s="18"/>
      <c r="K50479" s="18" t="s">
        <v>316</v>
      </c>
    </row>
    <row r="50480">
      <c r="A50480" s="17"/>
      <c r="H50480" s="18"/>
      <c r="K50480" s="18" t="s">
        <v>316</v>
      </c>
    </row>
    <row r="50481">
      <c r="A50481" s="17"/>
      <c r="H50481" s="18"/>
      <c r="K50481" s="18" t="s">
        <v>316</v>
      </c>
    </row>
    <row r="50482">
      <c r="A50482" s="17"/>
      <c r="H50482" s="18"/>
      <c r="K50482" s="18" t="s">
        <v>316</v>
      </c>
    </row>
    <row r="50483">
      <c r="A50483" s="17"/>
      <c r="H50483" s="18"/>
      <c r="K50483" s="18" t="s">
        <v>316</v>
      </c>
    </row>
    <row r="50484">
      <c r="A50484" s="17"/>
      <c r="H50484" s="18"/>
      <c r="K50484" s="18" t="s">
        <v>316</v>
      </c>
    </row>
    <row r="50485">
      <c r="A50485" s="17"/>
      <c r="H50485" s="18"/>
      <c r="K50485" s="18" t="s">
        <v>316</v>
      </c>
    </row>
    <row r="50486">
      <c r="A50486" s="17"/>
      <c r="H50486" s="18"/>
      <c r="K50486" s="18" t="s">
        <v>316</v>
      </c>
    </row>
    <row r="50487">
      <c r="A50487" s="17"/>
      <c r="H50487" s="18"/>
      <c r="K50487" s="18" t="s">
        <v>316</v>
      </c>
    </row>
    <row r="50488">
      <c r="A50488" s="17"/>
      <c r="H50488" s="18"/>
      <c r="K50488" s="18" t="s">
        <v>316</v>
      </c>
    </row>
    <row r="50489">
      <c r="A50489" s="17"/>
      <c r="H50489" s="18"/>
      <c r="K50489" s="18" t="s">
        <v>316</v>
      </c>
    </row>
    <row r="50490">
      <c r="A50490" s="17"/>
      <c r="H50490" s="18"/>
      <c r="K50490" s="18" t="s">
        <v>316</v>
      </c>
    </row>
    <row r="50491">
      <c r="A50491" s="17"/>
      <c r="H50491" s="18"/>
      <c r="K50491" s="18" t="s">
        <v>316</v>
      </c>
    </row>
    <row r="50492">
      <c r="A50492" s="17"/>
      <c r="H50492" s="18"/>
      <c r="K50492" s="18" t="s">
        <v>316</v>
      </c>
    </row>
    <row r="50493">
      <c r="A50493" s="17"/>
      <c r="H50493" s="18"/>
      <c r="K50493" s="18" t="s">
        <v>316</v>
      </c>
    </row>
    <row r="50494">
      <c r="A50494" s="17"/>
      <c r="H50494" s="18"/>
      <c r="K50494" s="18" t="s">
        <v>316</v>
      </c>
    </row>
    <row r="50495">
      <c r="A50495" s="17"/>
      <c r="H50495" s="18"/>
      <c r="K50495" s="18" t="s">
        <v>316</v>
      </c>
    </row>
    <row r="50496">
      <c r="A50496" s="17"/>
      <c r="H50496" s="18"/>
      <c r="K50496" s="18" t="s">
        <v>316</v>
      </c>
    </row>
    <row r="50497">
      <c r="A50497" s="17"/>
      <c r="H50497" s="18"/>
      <c r="K50497" s="18" t="s">
        <v>316</v>
      </c>
    </row>
    <row r="50498">
      <c r="A50498" s="17"/>
      <c r="H50498" s="18"/>
      <c r="K50498" s="18" t="s">
        <v>316</v>
      </c>
    </row>
    <row r="50499">
      <c r="A50499" s="17"/>
      <c r="H50499" s="18"/>
      <c r="K50499" s="18" t="s">
        <v>316</v>
      </c>
    </row>
    <row r="50500">
      <c r="A50500" s="17"/>
      <c r="H50500" s="18"/>
      <c r="K50500" s="18" t="s">
        <v>316</v>
      </c>
    </row>
    <row r="50501">
      <c r="A50501" s="17"/>
      <c r="H50501" s="18"/>
      <c r="K50501" s="18" t="s">
        <v>316</v>
      </c>
    </row>
    <row r="50502">
      <c r="A50502" s="17"/>
      <c r="H50502" s="18"/>
      <c r="K50502" s="18" t="s">
        <v>316</v>
      </c>
    </row>
    <row r="50503">
      <c r="A50503" s="17"/>
      <c r="H50503" s="18"/>
      <c r="K50503" s="18" t="s">
        <v>316</v>
      </c>
    </row>
    <row r="50504">
      <c r="A50504" s="17"/>
      <c r="H50504" s="18"/>
      <c r="K50504" s="18" t="s">
        <v>316</v>
      </c>
    </row>
    <row r="50505">
      <c r="A50505" s="17"/>
      <c r="H50505" s="18"/>
      <c r="K50505" s="18" t="s">
        <v>316</v>
      </c>
    </row>
    <row r="50506">
      <c r="A50506" s="17"/>
      <c r="H50506" s="18"/>
      <c r="K50506" s="18" t="s">
        <v>316</v>
      </c>
    </row>
    <row r="50507">
      <c r="A50507" s="17"/>
      <c r="H50507" s="18"/>
      <c r="K50507" s="18" t="s">
        <v>316</v>
      </c>
    </row>
    <row r="50508">
      <c r="A50508" s="17"/>
      <c r="H50508" s="18"/>
      <c r="K50508" s="18" t="s">
        <v>316</v>
      </c>
    </row>
    <row r="50509">
      <c r="A50509" s="17"/>
      <c r="H50509" s="18"/>
      <c r="K50509" s="18" t="s">
        <v>316</v>
      </c>
    </row>
    <row r="50510">
      <c r="A50510" s="17"/>
      <c r="H50510" s="18"/>
      <c r="K50510" s="18" t="s">
        <v>316</v>
      </c>
    </row>
    <row r="50511">
      <c r="A50511" s="17"/>
      <c r="H50511" s="18"/>
      <c r="K50511" s="18" t="s">
        <v>316</v>
      </c>
    </row>
    <row r="50512">
      <c r="A50512" s="17"/>
      <c r="H50512" s="18"/>
      <c r="K50512" s="18" t="s">
        <v>316</v>
      </c>
    </row>
    <row r="50513">
      <c r="A50513" s="17"/>
      <c r="H50513" s="18"/>
      <c r="K50513" s="18" t="s">
        <v>316</v>
      </c>
    </row>
    <row r="50514">
      <c r="A50514" s="17"/>
      <c r="H50514" s="18"/>
      <c r="K50514" s="18" t="s">
        <v>316</v>
      </c>
    </row>
    <row r="50515">
      <c r="A50515" s="17"/>
      <c r="H50515" s="18"/>
      <c r="K50515" s="18" t="s">
        <v>316</v>
      </c>
    </row>
    <row r="50516">
      <c r="A50516" s="17"/>
      <c r="H50516" s="18"/>
      <c r="K50516" s="18" t="s">
        <v>316</v>
      </c>
    </row>
    <row r="50517">
      <c r="A50517" s="17"/>
      <c r="H50517" s="18"/>
      <c r="K50517" s="18" t="s">
        <v>316</v>
      </c>
    </row>
    <row r="50518">
      <c r="A50518" s="17"/>
      <c r="H50518" s="18"/>
      <c r="K50518" s="18" t="s">
        <v>316</v>
      </c>
    </row>
    <row r="50519">
      <c r="A50519" s="17"/>
      <c r="H50519" s="18"/>
      <c r="K50519" s="18" t="s">
        <v>316</v>
      </c>
    </row>
    <row r="50520">
      <c r="A50520" s="17"/>
      <c r="H50520" s="18"/>
      <c r="K50520" s="18" t="s">
        <v>316</v>
      </c>
    </row>
    <row r="50521">
      <c r="A50521" s="17"/>
      <c r="H50521" s="18"/>
      <c r="K50521" s="18" t="s">
        <v>316</v>
      </c>
    </row>
    <row r="50522">
      <c r="A50522" s="17"/>
      <c r="H50522" s="18"/>
      <c r="K50522" s="18" t="s">
        <v>316</v>
      </c>
    </row>
    <row r="50523">
      <c r="A50523" s="17"/>
      <c r="H50523" s="18"/>
      <c r="K50523" s="18" t="s">
        <v>316</v>
      </c>
    </row>
    <row r="50524">
      <c r="A50524" s="17"/>
      <c r="H50524" s="18"/>
      <c r="K50524" s="18" t="s">
        <v>316</v>
      </c>
    </row>
    <row r="50525">
      <c r="A50525" s="17"/>
      <c r="H50525" s="18"/>
      <c r="K50525" s="18" t="s">
        <v>316</v>
      </c>
    </row>
    <row r="50526">
      <c r="A50526" s="17"/>
      <c r="H50526" s="18"/>
      <c r="K50526" s="18" t="s">
        <v>316</v>
      </c>
    </row>
    <row r="50527">
      <c r="A50527" s="17"/>
      <c r="H50527" s="18"/>
      <c r="K50527" s="18" t="s">
        <v>316</v>
      </c>
    </row>
    <row r="50528">
      <c r="A50528" s="17"/>
      <c r="H50528" s="18"/>
      <c r="K50528" s="18" t="s">
        <v>316</v>
      </c>
    </row>
    <row r="50529">
      <c r="A50529" s="17"/>
      <c r="H50529" s="18"/>
      <c r="K50529" s="18" t="s">
        <v>316</v>
      </c>
    </row>
    <row r="50530">
      <c r="A50530" s="17"/>
      <c r="H50530" s="18"/>
      <c r="K50530" s="18" t="s">
        <v>316</v>
      </c>
    </row>
    <row r="50531">
      <c r="A50531" s="17"/>
      <c r="H50531" s="18"/>
      <c r="K50531" s="18" t="s">
        <v>316</v>
      </c>
    </row>
    <row r="50532">
      <c r="A50532" s="17"/>
      <c r="H50532" s="18"/>
      <c r="K50532" s="18" t="s">
        <v>316</v>
      </c>
    </row>
    <row r="50533">
      <c r="A50533" s="17"/>
      <c r="H50533" s="18"/>
      <c r="K50533" s="18" t="s">
        <v>316</v>
      </c>
    </row>
    <row r="50534">
      <c r="A50534" s="17"/>
      <c r="H50534" s="18"/>
      <c r="K50534" s="18" t="s">
        <v>316</v>
      </c>
    </row>
    <row r="50535">
      <c r="A50535" s="17"/>
      <c r="H50535" s="18"/>
      <c r="K50535" s="18" t="s">
        <v>316</v>
      </c>
    </row>
    <row r="50536">
      <c r="A50536" s="17"/>
      <c r="H50536" s="18"/>
      <c r="K50536" s="18" t="s">
        <v>316</v>
      </c>
    </row>
    <row r="50537">
      <c r="A50537" s="17"/>
      <c r="H50537" s="18"/>
      <c r="K50537" s="18" t="s">
        <v>316</v>
      </c>
    </row>
    <row r="50538">
      <c r="A50538" s="17"/>
      <c r="H50538" s="18"/>
      <c r="K50538" s="18" t="s">
        <v>316</v>
      </c>
    </row>
    <row r="50539">
      <c r="A50539" s="17"/>
      <c r="H50539" s="18"/>
      <c r="K50539" s="18" t="s">
        <v>316</v>
      </c>
    </row>
    <row r="50540">
      <c r="A50540" s="17"/>
      <c r="H50540" s="18"/>
      <c r="K50540" s="18" t="s">
        <v>316</v>
      </c>
    </row>
    <row r="50541">
      <c r="A50541" s="17"/>
      <c r="H50541" s="18"/>
      <c r="K50541" s="18" t="s">
        <v>316</v>
      </c>
    </row>
    <row r="50542">
      <c r="A50542" s="17"/>
      <c r="H50542" s="18"/>
      <c r="K50542" s="18" t="s">
        <v>316</v>
      </c>
    </row>
    <row r="50543">
      <c r="A50543" s="17"/>
      <c r="H50543" s="18"/>
      <c r="K50543" s="18" t="s">
        <v>316</v>
      </c>
    </row>
    <row r="50544">
      <c r="A50544" s="17"/>
      <c r="H50544" s="18"/>
      <c r="K50544" s="18" t="s">
        <v>316</v>
      </c>
    </row>
    <row r="50545">
      <c r="A50545" s="17"/>
      <c r="H50545" s="18"/>
      <c r="K50545" s="18" t="s">
        <v>316</v>
      </c>
    </row>
    <row r="50546">
      <c r="A50546" s="17"/>
      <c r="H50546" s="18"/>
      <c r="K50546" s="18" t="s">
        <v>316</v>
      </c>
    </row>
    <row r="50547">
      <c r="A50547" s="17"/>
      <c r="H50547" s="18"/>
      <c r="K50547" s="18" t="s">
        <v>316</v>
      </c>
    </row>
    <row r="50548">
      <c r="A50548" s="17"/>
      <c r="H50548" s="18"/>
      <c r="K50548" s="18" t="s">
        <v>316</v>
      </c>
    </row>
    <row r="50549">
      <c r="A50549" s="17"/>
      <c r="H50549" s="18"/>
      <c r="K50549" s="18" t="s">
        <v>316</v>
      </c>
    </row>
    <row r="50550">
      <c r="A50550" s="17"/>
      <c r="H50550" s="18"/>
      <c r="K50550" s="18" t="s">
        <v>316</v>
      </c>
    </row>
    <row r="50551">
      <c r="A50551" s="17"/>
      <c r="H50551" s="18"/>
      <c r="K50551" s="18" t="s">
        <v>316</v>
      </c>
    </row>
    <row r="50552">
      <c r="A50552" s="17"/>
      <c r="H50552" s="18"/>
      <c r="K50552" s="18" t="s">
        <v>316</v>
      </c>
    </row>
    <row r="50553">
      <c r="A50553" s="17"/>
      <c r="H50553" s="18"/>
      <c r="K50553" s="18" t="s">
        <v>316</v>
      </c>
    </row>
    <row r="50554">
      <c r="A50554" s="17"/>
      <c r="H50554" s="18"/>
      <c r="K50554" s="18" t="s">
        <v>316</v>
      </c>
    </row>
    <row r="50555">
      <c r="A50555" s="17"/>
      <c r="H50555" s="18"/>
      <c r="K50555" s="18" t="s">
        <v>316</v>
      </c>
    </row>
    <row r="50556">
      <c r="A50556" s="17"/>
      <c r="H50556" s="18"/>
      <c r="K50556" s="18" t="s">
        <v>316</v>
      </c>
    </row>
    <row r="50557">
      <c r="A50557" s="17"/>
      <c r="H50557" s="18"/>
      <c r="K50557" s="18" t="s">
        <v>316</v>
      </c>
    </row>
    <row r="50558">
      <c r="A50558" s="17"/>
      <c r="H50558" s="18"/>
      <c r="K50558" s="18" t="s">
        <v>316</v>
      </c>
    </row>
    <row r="50559">
      <c r="A50559" s="17"/>
      <c r="H50559" s="18"/>
      <c r="K50559" s="18" t="s">
        <v>316</v>
      </c>
    </row>
    <row r="50560">
      <c r="A50560" s="17"/>
      <c r="H50560" s="18"/>
      <c r="K50560" s="18" t="s">
        <v>316</v>
      </c>
    </row>
    <row r="50561">
      <c r="A50561" s="17"/>
      <c r="H50561" s="18"/>
      <c r="K50561" s="18" t="s">
        <v>316</v>
      </c>
    </row>
    <row r="50562">
      <c r="A50562" s="17"/>
      <c r="H50562" s="18"/>
      <c r="K50562" s="18" t="s">
        <v>316</v>
      </c>
    </row>
    <row r="50563">
      <c r="A50563" s="17"/>
      <c r="H50563" s="18"/>
      <c r="K50563" s="18" t="s">
        <v>316</v>
      </c>
    </row>
    <row r="50564">
      <c r="A50564" s="17"/>
      <c r="H50564" s="18"/>
      <c r="K50564" s="18" t="s">
        <v>316</v>
      </c>
    </row>
    <row r="50565">
      <c r="A50565" s="17"/>
      <c r="H50565" s="18"/>
      <c r="K50565" s="18" t="s">
        <v>316</v>
      </c>
    </row>
    <row r="50566">
      <c r="A50566" s="17"/>
      <c r="H50566" s="18"/>
      <c r="K50566" s="18" t="s">
        <v>316</v>
      </c>
    </row>
    <row r="50567">
      <c r="A50567" s="17"/>
      <c r="H50567" s="18"/>
      <c r="K50567" s="18" t="s">
        <v>316</v>
      </c>
    </row>
    <row r="50568">
      <c r="A50568" s="17"/>
      <c r="H50568" s="18"/>
      <c r="K50568" s="18" t="s">
        <v>316</v>
      </c>
    </row>
    <row r="50569">
      <c r="A50569" s="17"/>
      <c r="H50569" s="18"/>
      <c r="K50569" s="18" t="s">
        <v>316</v>
      </c>
    </row>
    <row r="50570">
      <c r="A50570" s="17"/>
      <c r="H50570" s="18"/>
      <c r="K50570" s="18" t="s">
        <v>316</v>
      </c>
    </row>
    <row r="50571">
      <c r="A50571" s="17"/>
      <c r="H50571" s="18"/>
      <c r="K50571" s="18" t="s">
        <v>316</v>
      </c>
    </row>
    <row r="50572">
      <c r="A50572" s="17"/>
      <c r="H50572" s="18"/>
      <c r="K50572" s="18" t="s">
        <v>316</v>
      </c>
    </row>
    <row r="50573">
      <c r="A50573" s="17"/>
      <c r="H50573" s="18"/>
      <c r="K50573" s="18" t="s">
        <v>316</v>
      </c>
    </row>
    <row r="50574">
      <c r="A50574" s="17"/>
      <c r="H50574" s="18"/>
      <c r="K50574" s="18" t="s">
        <v>316</v>
      </c>
    </row>
    <row r="50575">
      <c r="A50575" s="17"/>
      <c r="H50575" s="18"/>
      <c r="K50575" s="18" t="s">
        <v>316</v>
      </c>
    </row>
    <row r="50576">
      <c r="A50576" s="17"/>
      <c r="H50576" s="18"/>
      <c r="K50576" s="18" t="s">
        <v>316</v>
      </c>
    </row>
    <row r="50577">
      <c r="A50577" s="17"/>
      <c r="H50577" s="18"/>
      <c r="K50577" s="18" t="s">
        <v>316</v>
      </c>
    </row>
    <row r="50578">
      <c r="A50578" s="17"/>
      <c r="H50578" s="18"/>
      <c r="K50578" s="18" t="s">
        <v>316</v>
      </c>
    </row>
    <row r="50579">
      <c r="A50579" s="17"/>
      <c r="H50579" s="18"/>
      <c r="K50579" s="18" t="s">
        <v>316</v>
      </c>
    </row>
    <row r="50580">
      <c r="A50580" s="17"/>
      <c r="H50580" s="18"/>
      <c r="K50580" s="18" t="s">
        <v>316</v>
      </c>
    </row>
    <row r="50581">
      <c r="A50581" s="17"/>
      <c r="H50581" s="18"/>
      <c r="K50581" s="18" t="s">
        <v>316</v>
      </c>
    </row>
    <row r="50582">
      <c r="A50582" s="17"/>
      <c r="H50582" s="18"/>
      <c r="K50582" s="18" t="s">
        <v>316</v>
      </c>
    </row>
    <row r="50583">
      <c r="A50583" s="17"/>
      <c r="H50583" s="18"/>
      <c r="K50583" s="18" t="s">
        <v>316</v>
      </c>
    </row>
    <row r="50584">
      <c r="A50584" s="17"/>
      <c r="H50584" s="18"/>
      <c r="K50584" s="18" t="s">
        <v>316</v>
      </c>
    </row>
    <row r="50585">
      <c r="A50585" s="17"/>
      <c r="H50585" s="18"/>
      <c r="K50585" s="18" t="s">
        <v>316</v>
      </c>
    </row>
    <row r="50586">
      <c r="A50586" s="17"/>
      <c r="H50586" s="18"/>
      <c r="K50586" s="18" t="s">
        <v>316</v>
      </c>
    </row>
    <row r="50587">
      <c r="A50587" s="17"/>
      <c r="H50587" s="18"/>
      <c r="K50587" s="18" t="s">
        <v>316</v>
      </c>
    </row>
    <row r="50588">
      <c r="A50588" s="17"/>
      <c r="H50588" s="18"/>
      <c r="K50588" s="18" t="s">
        <v>316</v>
      </c>
    </row>
    <row r="50589">
      <c r="A50589" s="17"/>
      <c r="H50589" s="18"/>
      <c r="K50589" s="18" t="s">
        <v>316</v>
      </c>
    </row>
    <row r="50590">
      <c r="A50590" s="17"/>
      <c r="H50590" s="18"/>
      <c r="K50590" s="18" t="s">
        <v>316</v>
      </c>
    </row>
    <row r="50591">
      <c r="A50591" s="17"/>
      <c r="H50591" s="18"/>
      <c r="K50591" s="18" t="s">
        <v>316</v>
      </c>
    </row>
    <row r="50592">
      <c r="A50592" s="17"/>
      <c r="H50592" s="18"/>
      <c r="K50592" s="18" t="s">
        <v>316</v>
      </c>
    </row>
    <row r="50593">
      <c r="A50593" s="17"/>
      <c r="H50593" s="18"/>
      <c r="K50593" s="18" t="s">
        <v>316</v>
      </c>
    </row>
    <row r="50594">
      <c r="A50594" s="17"/>
      <c r="H50594" s="18"/>
      <c r="K50594" s="18" t="s">
        <v>316</v>
      </c>
    </row>
    <row r="50595">
      <c r="A50595" s="17"/>
      <c r="H50595" s="18"/>
      <c r="K50595" s="18" t="s">
        <v>316</v>
      </c>
    </row>
    <row r="50596">
      <c r="A50596" s="17"/>
      <c r="H50596" s="18"/>
      <c r="K50596" s="18" t="s">
        <v>316</v>
      </c>
    </row>
    <row r="50597">
      <c r="A50597" s="17"/>
      <c r="H50597" s="18"/>
      <c r="K50597" s="18" t="s">
        <v>316</v>
      </c>
    </row>
    <row r="50598">
      <c r="A50598" s="17"/>
      <c r="H50598" s="18"/>
      <c r="K50598" s="18" t="s">
        <v>316</v>
      </c>
    </row>
    <row r="50599">
      <c r="A50599" s="17"/>
      <c r="H50599" s="18"/>
      <c r="K50599" s="18" t="s">
        <v>316</v>
      </c>
    </row>
    <row r="50600">
      <c r="A50600" s="17"/>
      <c r="H50600" s="18"/>
      <c r="K50600" s="18" t="s">
        <v>316</v>
      </c>
    </row>
    <row r="50601">
      <c r="A50601" s="17"/>
      <c r="H50601" s="18"/>
      <c r="K50601" s="18" t="s">
        <v>316</v>
      </c>
    </row>
    <row r="50602">
      <c r="A50602" s="17"/>
      <c r="H50602" s="18"/>
      <c r="K50602" s="18" t="s">
        <v>316</v>
      </c>
    </row>
    <row r="50603">
      <c r="A50603" s="17"/>
      <c r="H50603" s="18"/>
      <c r="K50603" s="18" t="s">
        <v>316</v>
      </c>
    </row>
    <row r="50604">
      <c r="A50604" s="17"/>
      <c r="H50604" s="18"/>
      <c r="K50604" s="18" t="s">
        <v>316</v>
      </c>
    </row>
    <row r="50605">
      <c r="A50605" s="17"/>
      <c r="H50605" s="18"/>
      <c r="K50605" s="18" t="s">
        <v>316</v>
      </c>
    </row>
    <row r="50606">
      <c r="A50606" s="17"/>
      <c r="H50606" s="18"/>
      <c r="K50606" s="18" t="s">
        <v>316</v>
      </c>
    </row>
    <row r="50607">
      <c r="A50607" s="17"/>
      <c r="H50607" s="18"/>
      <c r="K50607" s="18" t="s">
        <v>316</v>
      </c>
    </row>
    <row r="50608">
      <c r="A50608" s="17"/>
      <c r="H50608" s="18"/>
      <c r="K50608" s="18" t="s">
        <v>316</v>
      </c>
    </row>
    <row r="50609">
      <c r="A50609" s="17"/>
      <c r="H50609" s="18"/>
      <c r="K50609" s="18" t="s">
        <v>316</v>
      </c>
    </row>
    <row r="50610">
      <c r="A50610" s="17"/>
      <c r="H50610" s="18"/>
      <c r="K50610" s="18" t="s">
        <v>316</v>
      </c>
    </row>
    <row r="50611">
      <c r="A50611" s="17"/>
      <c r="H50611" s="18"/>
      <c r="K50611" s="18" t="s">
        <v>316</v>
      </c>
    </row>
    <row r="50612">
      <c r="A50612" s="17"/>
      <c r="H50612" s="18"/>
      <c r="K50612" s="18" t="s">
        <v>316</v>
      </c>
    </row>
    <row r="50613">
      <c r="A50613" s="17"/>
      <c r="H50613" s="18"/>
      <c r="K50613" s="18" t="s">
        <v>316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73.88"/>
    <col customWidth="1" min="3" max="3" width="27.63"/>
  </cols>
  <sheetData>
    <row r="1">
      <c r="A1" s="19" t="s">
        <v>88</v>
      </c>
      <c r="B1" s="20" t="s">
        <v>22</v>
      </c>
    </row>
    <row r="2">
      <c r="A2" s="13">
        <v>1.0</v>
      </c>
      <c r="B2" s="21" t="s">
        <v>75</v>
      </c>
    </row>
    <row r="3">
      <c r="A3" s="13">
        <f t="shared" ref="A3:A367" si="1">1+A2</f>
        <v>2</v>
      </c>
      <c r="B3" s="21" t="s">
        <v>86</v>
      </c>
    </row>
    <row r="4">
      <c r="A4" s="13">
        <f t="shared" si="1"/>
        <v>3</v>
      </c>
      <c r="B4" s="21" t="s">
        <v>93</v>
      </c>
    </row>
    <row r="5">
      <c r="A5" s="13">
        <f t="shared" si="1"/>
        <v>4</v>
      </c>
      <c r="B5" s="21" t="s">
        <v>97</v>
      </c>
    </row>
    <row r="6">
      <c r="A6" s="13">
        <f t="shared" si="1"/>
        <v>5</v>
      </c>
      <c r="B6" s="21" t="s">
        <v>102</v>
      </c>
    </row>
    <row r="7">
      <c r="A7" s="13">
        <f t="shared" si="1"/>
        <v>6</v>
      </c>
      <c r="B7" s="21" t="s">
        <v>105</v>
      </c>
    </row>
    <row r="8">
      <c r="A8" s="13">
        <f t="shared" si="1"/>
        <v>7</v>
      </c>
      <c r="B8" s="21" t="s">
        <v>111</v>
      </c>
    </row>
    <row r="9">
      <c r="A9" s="13">
        <f t="shared" si="1"/>
        <v>8</v>
      </c>
      <c r="B9" s="21" t="s">
        <v>105</v>
      </c>
    </row>
    <row r="10">
      <c r="A10" s="13">
        <f t="shared" si="1"/>
        <v>9</v>
      </c>
      <c r="B10" s="21" t="s">
        <v>105</v>
      </c>
    </row>
    <row r="11">
      <c r="A11" s="13">
        <f t="shared" si="1"/>
        <v>10</v>
      </c>
      <c r="B11" s="21" t="s">
        <v>93</v>
      </c>
    </row>
    <row r="12">
      <c r="A12" s="13">
        <f t="shared" si="1"/>
        <v>11</v>
      </c>
      <c r="B12" s="21" t="s">
        <v>105</v>
      </c>
    </row>
    <row r="13">
      <c r="A13" s="13">
        <f t="shared" si="1"/>
        <v>12</v>
      </c>
      <c r="B13" s="21" t="s">
        <v>122</v>
      </c>
    </row>
    <row r="14">
      <c r="A14" s="13">
        <f t="shared" si="1"/>
        <v>13</v>
      </c>
      <c r="B14" s="21" t="s">
        <v>105</v>
      </c>
    </row>
    <row r="15">
      <c r="A15" s="13">
        <f t="shared" si="1"/>
        <v>14</v>
      </c>
      <c r="B15" s="21" t="s">
        <v>102</v>
      </c>
    </row>
    <row r="16">
      <c r="A16" s="13">
        <f t="shared" si="1"/>
        <v>15</v>
      </c>
      <c r="B16" s="21" t="s">
        <v>122</v>
      </c>
    </row>
    <row r="17">
      <c r="A17" s="13">
        <f t="shared" si="1"/>
        <v>16</v>
      </c>
      <c r="B17" s="21" t="s">
        <v>93</v>
      </c>
    </row>
    <row r="18">
      <c r="A18" s="13">
        <f t="shared" si="1"/>
        <v>17</v>
      </c>
      <c r="B18" s="21" t="s">
        <v>105</v>
      </c>
    </row>
    <row r="19">
      <c r="A19" s="13">
        <f t="shared" si="1"/>
        <v>18</v>
      </c>
      <c r="B19" s="21" t="s">
        <v>86</v>
      </c>
    </row>
    <row r="20">
      <c r="A20" s="13">
        <f t="shared" si="1"/>
        <v>19</v>
      </c>
      <c r="B20" s="21" t="s">
        <v>122</v>
      </c>
    </row>
    <row r="21">
      <c r="A21" s="13">
        <f t="shared" si="1"/>
        <v>20</v>
      </c>
      <c r="B21" s="21" t="s">
        <v>93</v>
      </c>
    </row>
    <row r="22">
      <c r="A22" s="13">
        <f t="shared" si="1"/>
        <v>21</v>
      </c>
      <c r="B22" s="21" t="s">
        <v>86</v>
      </c>
    </row>
    <row r="23">
      <c r="A23" s="13">
        <f t="shared" si="1"/>
        <v>22</v>
      </c>
      <c r="B23" s="22"/>
    </row>
    <row r="24">
      <c r="A24" s="13">
        <f t="shared" si="1"/>
        <v>23</v>
      </c>
      <c r="B24" s="21" t="s">
        <v>102</v>
      </c>
    </row>
    <row r="25">
      <c r="A25" s="13">
        <f t="shared" si="1"/>
        <v>24</v>
      </c>
      <c r="B25" s="21" t="s">
        <v>102</v>
      </c>
    </row>
    <row r="26">
      <c r="A26" s="13">
        <f t="shared" si="1"/>
        <v>25</v>
      </c>
      <c r="B26" s="21" t="s">
        <v>75</v>
      </c>
    </row>
    <row r="27">
      <c r="A27" s="13">
        <f t="shared" si="1"/>
        <v>26</v>
      </c>
      <c r="B27" s="21" t="s">
        <v>143</v>
      </c>
    </row>
    <row r="28">
      <c r="A28" s="13">
        <f t="shared" si="1"/>
        <v>27</v>
      </c>
      <c r="B28" s="21" t="s">
        <v>143</v>
      </c>
    </row>
    <row r="29">
      <c r="A29" s="13">
        <f t="shared" si="1"/>
        <v>28</v>
      </c>
      <c r="B29" s="21" t="s">
        <v>143</v>
      </c>
    </row>
    <row r="30">
      <c r="A30" s="13">
        <f t="shared" si="1"/>
        <v>29</v>
      </c>
      <c r="B30" s="21" t="s">
        <v>143</v>
      </c>
    </row>
    <row r="31">
      <c r="A31" s="13">
        <f t="shared" si="1"/>
        <v>30</v>
      </c>
      <c r="B31" s="21" t="s">
        <v>152</v>
      </c>
    </row>
    <row r="32">
      <c r="A32" s="13">
        <f t="shared" si="1"/>
        <v>31</v>
      </c>
      <c r="B32" s="21" t="s">
        <v>154</v>
      </c>
    </row>
    <row r="33">
      <c r="A33" s="13">
        <f t="shared" si="1"/>
        <v>32</v>
      </c>
      <c r="B33" s="21" t="s">
        <v>86</v>
      </c>
    </row>
    <row r="34">
      <c r="A34" s="13">
        <f t="shared" si="1"/>
        <v>33</v>
      </c>
      <c r="B34" s="21" t="s">
        <v>86</v>
      </c>
    </row>
    <row r="35">
      <c r="A35" s="13">
        <f t="shared" si="1"/>
        <v>34</v>
      </c>
      <c r="B35" s="21" t="s">
        <v>93</v>
      </c>
    </row>
    <row r="36">
      <c r="A36" s="13">
        <f t="shared" si="1"/>
        <v>35</v>
      </c>
      <c r="B36" s="21" t="s">
        <v>122</v>
      </c>
    </row>
    <row r="37">
      <c r="A37" s="13">
        <f t="shared" si="1"/>
        <v>36</v>
      </c>
      <c r="B37" s="21" t="s">
        <v>122</v>
      </c>
    </row>
    <row r="38">
      <c r="A38" s="13">
        <f t="shared" si="1"/>
        <v>37</v>
      </c>
      <c r="B38" s="21" t="s">
        <v>93</v>
      </c>
    </row>
    <row r="39">
      <c r="A39" s="13">
        <f t="shared" si="1"/>
        <v>38</v>
      </c>
      <c r="B39" s="21" t="s">
        <v>105</v>
      </c>
    </row>
    <row r="40">
      <c r="A40" s="13">
        <f t="shared" si="1"/>
        <v>39</v>
      </c>
      <c r="B40" s="21" t="s">
        <v>105</v>
      </c>
    </row>
    <row r="41">
      <c r="A41" s="13">
        <f t="shared" si="1"/>
        <v>40</v>
      </c>
      <c r="B41" s="21" t="s">
        <v>93</v>
      </c>
    </row>
    <row r="42">
      <c r="A42" s="13">
        <f t="shared" si="1"/>
        <v>41</v>
      </c>
      <c r="B42" s="21" t="s">
        <v>105</v>
      </c>
    </row>
    <row r="43">
      <c r="A43" s="13">
        <f t="shared" si="1"/>
        <v>42</v>
      </c>
      <c r="B43" s="21" t="s">
        <v>86</v>
      </c>
    </row>
    <row r="44">
      <c r="A44" s="13">
        <f t="shared" si="1"/>
        <v>43</v>
      </c>
      <c r="B44" s="21" t="s">
        <v>143</v>
      </c>
    </row>
    <row r="45">
      <c r="A45" s="13">
        <f t="shared" si="1"/>
        <v>44</v>
      </c>
      <c r="B45" s="21" t="s">
        <v>111</v>
      </c>
    </row>
    <row r="46">
      <c r="A46" s="13">
        <f t="shared" si="1"/>
        <v>45</v>
      </c>
      <c r="B46" s="21" t="s">
        <v>93</v>
      </c>
    </row>
    <row r="47">
      <c r="A47" s="13">
        <f t="shared" si="1"/>
        <v>46</v>
      </c>
      <c r="B47" s="21" t="s">
        <v>174</v>
      </c>
    </row>
    <row r="48">
      <c r="A48" s="13">
        <f t="shared" si="1"/>
        <v>47</v>
      </c>
      <c r="B48" s="21" t="s">
        <v>111</v>
      </c>
    </row>
    <row r="49">
      <c r="A49" s="13">
        <f t="shared" si="1"/>
        <v>48</v>
      </c>
      <c r="B49" s="21" t="s">
        <v>122</v>
      </c>
    </row>
    <row r="50">
      <c r="A50" s="13">
        <f t="shared" si="1"/>
        <v>49</v>
      </c>
      <c r="B50" s="21" t="s">
        <v>105</v>
      </c>
    </row>
    <row r="51">
      <c r="A51" s="13">
        <f t="shared" si="1"/>
        <v>50</v>
      </c>
      <c r="B51" s="21" t="s">
        <v>97</v>
      </c>
    </row>
    <row r="52">
      <c r="A52" s="13">
        <f t="shared" si="1"/>
        <v>51</v>
      </c>
      <c r="B52" s="21" t="s">
        <v>180</v>
      </c>
    </row>
    <row r="53">
      <c r="A53" s="13">
        <f t="shared" si="1"/>
        <v>52</v>
      </c>
      <c r="B53" s="21" t="s">
        <v>93</v>
      </c>
    </row>
    <row r="54">
      <c r="A54" s="13">
        <f t="shared" si="1"/>
        <v>53</v>
      </c>
      <c r="B54" s="21" t="s">
        <v>93</v>
      </c>
    </row>
    <row r="55">
      <c r="A55" s="13">
        <f t="shared" si="1"/>
        <v>54</v>
      </c>
      <c r="B55" s="21" t="s">
        <v>97</v>
      </c>
    </row>
    <row r="56">
      <c r="A56" s="13">
        <f t="shared" si="1"/>
        <v>55</v>
      </c>
      <c r="B56" s="21" t="s">
        <v>183</v>
      </c>
    </row>
    <row r="57">
      <c r="A57" s="13">
        <f t="shared" si="1"/>
        <v>56</v>
      </c>
      <c r="B57" s="21" t="s">
        <v>93</v>
      </c>
    </row>
    <row r="58">
      <c r="A58" s="13">
        <f t="shared" si="1"/>
        <v>57</v>
      </c>
      <c r="B58" s="21" t="s">
        <v>143</v>
      </c>
    </row>
    <row r="59">
      <c r="A59" s="13">
        <f t="shared" si="1"/>
        <v>58</v>
      </c>
      <c r="B59" s="21" t="s">
        <v>86</v>
      </c>
    </row>
    <row r="60">
      <c r="A60" s="13">
        <f t="shared" si="1"/>
        <v>59</v>
      </c>
      <c r="B60" s="21" t="s">
        <v>143</v>
      </c>
    </row>
    <row r="61">
      <c r="A61" s="13">
        <f t="shared" si="1"/>
        <v>60</v>
      </c>
      <c r="B61" s="21" t="s">
        <v>143</v>
      </c>
    </row>
    <row r="62">
      <c r="A62" s="13">
        <f t="shared" si="1"/>
        <v>61</v>
      </c>
      <c r="B62" s="22"/>
    </row>
    <row r="63">
      <c r="A63" s="13">
        <f t="shared" si="1"/>
        <v>62</v>
      </c>
      <c r="B63" s="21" t="s">
        <v>86</v>
      </c>
    </row>
    <row r="64">
      <c r="A64" s="13">
        <f t="shared" si="1"/>
        <v>63</v>
      </c>
      <c r="B64" s="21" t="s">
        <v>122</v>
      </c>
    </row>
    <row r="65">
      <c r="A65" s="13">
        <f t="shared" si="1"/>
        <v>64</v>
      </c>
      <c r="B65" s="21" t="s">
        <v>143</v>
      </c>
    </row>
    <row r="66">
      <c r="A66" s="13">
        <f t="shared" si="1"/>
        <v>65</v>
      </c>
      <c r="B66" s="21" t="s">
        <v>93</v>
      </c>
    </row>
    <row r="67">
      <c r="A67" s="13">
        <f t="shared" si="1"/>
        <v>66</v>
      </c>
      <c r="B67" s="21" t="s">
        <v>180</v>
      </c>
    </row>
    <row r="68">
      <c r="A68" s="13">
        <f t="shared" si="1"/>
        <v>67</v>
      </c>
      <c r="B68" s="21" t="s">
        <v>86</v>
      </c>
    </row>
    <row r="69">
      <c r="A69" s="13">
        <f t="shared" si="1"/>
        <v>68</v>
      </c>
      <c r="B69" s="21" t="s">
        <v>143</v>
      </c>
    </row>
    <row r="70">
      <c r="A70" s="13">
        <f t="shared" si="1"/>
        <v>69</v>
      </c>
      <c r="B70" s="21" t="s">
        <v>93</v>
      </c>
    </row>
    <row r="71">
      <c r="A71" s="13">
        <f t="shared" si="1"/>
        <v>70</v>
      </c>
      <c r="B71" s="21" t="s">
        <v>93</v>
      </c>
    </row>
    <row r="72">
      <c r="A72" s="13">
        <f t="shared" si="1"/>
        <v>71</v>
      </c>
      <c r="B72" s="21" t="s">
        <v>86</v>
      </c>
    </row>
    <row r="73">
      <c r="A73" s="13">
        <f t="shared" si="1"/>
        <v>72</v>
      </c>
      <c r="B73" s="21" t="s">
        <v>105</v>
      </c>
    </row>
    <row r="74">
      <c r="A74" s="13">
        <f t="shared" si="1"/>
        <v>73</v>
      </c>
      <c r="B74" s="21" t="s">
        <v>93</v>
      </c>
    </row>
    <row r="75">
      <c r="A75" s="13">
        <f t="shared" si="1"/>
        <v>74</v>
      </c>
      <c r="B75" s="21" t="s">
        <v>105</v>
      </c>
    </row>
    <row r="76">
      <c r="A76" s="13">
        <f t="shared" si="1"/>
        <v>75</v>
      </c>
      <c r="B76" s="21" t="s">
        <v>93</v>
      </c>
    </row>
    <row r="77">
      <c r="A77" s="13">
        <f t="shared" si="1"/>
        <v>76</v>
      </c>
      <c r="B77" s="21" t="s">
        <v>143</v>
      </c>
    </row>
    <row r="78">
      <c r="A78" s="13">
        <f t="shared" si="1"/>
        <v>77</v>
      </c>
      <c r="B78" s="21" t="s">
        <v>93</v>
      </c>
    </row>
    <row r="79">
      <c r="A79" s="13">
        <f t="shared" si="1"/>
        <v>78</v>
      </c>
      <c r="B79" s="21" t="s">
        <v>111</v>
      </c>
    </row>
    <row r="80">
      <c r="A80" s="13">
        <f t="shared" si="1"/>
        <v>79</v>
      </c>
      <c r="B80" s="21" t="s">
        <v>143</v>
      </c>
    </row>
    <row r="81">
      <c r="A81" s="13">
        <f t="shared" si="1"/>
        <v>80</v>
      </c>
      <c r="B81" s="21" t="s">
        <v>143</v>
      </c>
    </row>
    <row r="82">
      <c r="A82" s="13">
        <f t="shared" si="1"/>
        <v>81</v>
      </c>
      <c r="B82" s="21" t="s">
        <v>93</v>
      </c>
    </row>
    <row r="83">
      <c r="A83" s="13">
        <f t="shared" si="1"/>
        <v>82</v>
      </c>
      <c r="B83" s="21" t="s">
        <v>86</v>
      </c>
    </row>
    <row r="84">
      <c r="A84" s="13">
        <f t="shared" si="1"/>
        <v>83</v>
      </c>
      <c r="B84" s="21" t="s">
        <v>180</v>
      </c>
    </row>
    <row r="85">
      <c r="A85" s="13">
        <f t="shared" si="1"/>
        <v>84</v>
      </c>
      <c r="B85" s="21" t="s">
        <v>86</v>
      </c>
    </row>
    <row r="86">
      <c r="A86" s="13">
        <f t="shared" si="1"/>
        <v>85</v>
      </c>
      <c r="B86" s="21" t="s">
        <v>102</v>
      </c>
    </row>
    <row r="87">
      <c r="A87" s="13">
        <f t="shared" si="1"/>
        <v>86</v>
      </c>
      <c r="B87" s="21" t="s">
        <v>143</v>
      </c>
    </row>
    <row r="88">
      <c r="A88" s="13">
        <f t="shared" si="1"/>
        <v>87</v>
      </c>
      <c r="B88" s="21" t="s">
        <v>122</v>
      </c>
    </row>
    <row r="89">
      <c r="A89" s="13">
        <f t="shared" si="1"/>
        <v>88</v>
      </c>
      <c r="B89" s="21" t="s">
        <v>143</v>
      </c>
    </row>
    <row r="90">
      <c r="A90" s="13">
        <f t="shared" si="1"/>
        <v>89</v>
      </c>
      <c r="B90" s="21" t="s">
        <v>93</v>
      </c>
    </row>
    <row r="91">
      <c r="A91" s="13">
        <f t="shared" si="1"/>
        <v>90</v>
      </c>
      <c r="B91" s="21" t="s">
        <v>86</v>
      </c>
    </row>
    <row r="92">
      <c r="A92" s="13">
        <f t="shared" si="1"/>
        <v>91</v>
      </c>
      <c r="B92" s="21" t="s">
        <v>105</v>
      </c>
    </row>
    <row r="93">
      <c r="A93" s="13">
        <f t="shared" si="1"/>
        <v>92</v>
      </c>
      <c r="B93" s="21" t="s">
        <v>209</v>
      </c>
    </row>
    <row r="94">
      <c r="A94" s="13">
        <f t="shared" si="1"/>
        <v>93</v>
      </c>
      <c r="B94" s="21" t="s">
        <v>86</v>
      </c>
    </row>
    <row r="95">
      <c r="A95" s="13">
        <f t="shared" si="1"/>
        <v>94</v>
      </c>
      <c r="B95" s="21" t="s">
        <v>93</v>
      </c>
    </row>
    <row r="96">
      <c r="A96" s="13">
        <f t="shared" si="1"/>
        <v>95</v>
      </c>
      <c r="B96" s="21" t="s">
        <v>86</v>
      </c>
    </row>
    <row r="97">
      <c r="A97" s="13">
        <f t="shared" si="1"/>
        <v>96</v>
      </c>
      <c r="B97" s="21" t="s">
        <v>105</v>
      </c>
    </row>
    <row r="98">
      <c r="A98" s="13">
        <f t="shared" si="1"/>
        <v>97</v>
      </c>
      <c r="B98" s="21" t="s">
        <v>105</v>
      </c>
    </row>
    <row r="99">
      <c r="A99" s="13">
        <f t="shared" si="1"/>
        <v>98</v>
      </c>
      <c r="B99" s="21" t="s">
        <v>86</v>
      </c>
    </row>
    <row r="100">
      <c r="A100" s="13">
        <f t="shared" si="1"/>
        <v>99</v>
      </c>
      <c r="B100" s="21" t="s">
        <v>143</v>
      </c>
    </row>
    <row r="101">
      <c r="A101" s="13">
        <f t="shared" si="1"/>
        <v>100</v>
      </c>
      <c r="B101" s="21" t="s">
        <v>86</v>
      </c>
    </row>
    <row r="102">
      <c r="A102" s="13">
        <f t="shared" si="1"/>
        <v>101</v>
      </c>
      <c r="B102" s="21" t="s">
        <v>86</v>
      </c>
    </row>
    <row r="103">
      <c r="A103" s="13">
        <f t="shared" si="1"/>
        <v>102</v>
      </c>
      <c r="B103" s="21" t="s">
        <v>93</v>
      </c>
    </row>
    <row r="104">
      <c r="A104" s="13">
        <f t="shared" si="1"/>
        <v>103</v>
      </c>
      <c r="B104" s="21" t="s">
        <v>105</v>
      </c>
    </row>
    <row r="105">
      <c r="A105" s="13">
        <f t="shared" si="1"/>
        <v>104</v>
      </c>
      <c r="B105" s="21" t="s">
        <v>122</v>
      </c>
    </row>
    <row r="106">
      <c r="A106" s="13">
        <f t="shared" si="1"/>
        <v>105</v>
      </c>
      <c r="B106" s="21" t="s">
        <v>143</v>
      </c>
    </row>
    <row r="107">
      <c r="A107" s="13">
        <f t="shared" si="1"/>
        <v>106</v>
      </c>
      <c r="B107" s="21" t="s">
        <v>105</v>
      </c>
    </row>
    <row r="108">
      <c r="A108" s="13">
        <f t="shared" si="1"/>
        <v>107</v>
      </c>
      <c r="B108" s="21" t="s">
        <v>86</v>
      </c>
    </row>
    <row r="109">
      <c r="A109" s="13">
        <f t="shared" si="1"/>
        <v>108</v>
      </c>
      <c r="B109" s="21" t="s">
        <v>93</v>
      </c>
    </row>
    <row r="110">
      <c r="A110" s="13">
        <f t="shared" si="1"/>
        <v>109</v>
      </c>
      <c r="B110" s="21" t="s">
        <v>105</v>
      </c>
    </row>
    <row r="111">
      <c r="A111" s="13">
        <f t="shared" si="1"/>
        <v>110</v>
      </c>
      <c r="B111" s="21" t="s">
        <v>143</v>
      </c>
    </row>
    <row r="112">
      <c r="A112" s="13">
        <f t="shared" si="1"/>
        <v>111</v>
      </c>
      <c r="B112" s="21" t="s">
        <v>180</v>
      </c>
    </row>
    <row r="113">
      <c r="A113" s="13">
        <f t="shared" si="1"/>
        <v>112</v>
      </c>
      <c r="B113" s="21" t="s">
        <v>122</v>
      </c>
    </row>
    <row r="114">
      <c r="A114" s="13">
        <f t="shared" si="1"/>
        <v>113</v>
      </c>
      <c r="B114" s="21" t="s">
        <v>93</v>
      </c>
    </row>
    <row r="115">
      <c r="A115" s="13">
        <f t="shared" si="1"/>
        <v>114</v>
      </c>
      <c r="B115" s="21" t="s">
        <v>86</v>
      </c>
    </row>
    <row r="116">
      <c r="A116" s="13">
        <f t="shared" si="1"/>
        <v>115</v>
      </c>
      <c r="B116" s="21" t="s">
        <v>93</v>
      </c>
    </row>
    <row r="117">
      <c r="A117" s="13">
        <f t="shared" si="1"/>
        <v>116</v>
      </c>
      <c r="B117" s="21" t="s">
        <v>86</v>
      </c>
    </row>
    <row r="118">
      <c r="A118" s="13">
        <f t="shared" si="1"/>
        <v>117</v>
      </c>
      <c r="B118" s="21" t="s">
        <v>86</v>
      </c>
    </row>
    <row r="119">
      <c r="A119" s="13">
        <f t="shared" si="1"/>
        <v>118</v>
      </c>
      <c r="B119" s="21" t="s">
        <v>86</v>
      </c>
    </row>
    <row r="120">
      <c r="A120" s="13">
        <f t="shared" si="1"/>
        <v>119</v>
      </c>
      <c r="B120" s="21" t="s">
        <v>93</v>
      </c>
    </row>
    <row r="121">
      <c r="A121" s="13">
        <f t="shared" si="1"/>
        <v>120</v>
      </c>
      <c r="B121" s="21" t="s">
        <v>86</v>
      </c>
    </row>
    <row r="122">
      <c r="A122" s="13">
        <f t="shared" si="1"/>
        <v>121</v>
      </c>
      <c r="B122" s="21" t="s">
        <v>93</v>
      </c>
    </row>
    <row r="123">
      <c r="A123" s="13">
        <f t="shared" si="1"/>
        <v>122</v>
      </c>
      <c r="B123" s="21" t="s">
        <v>105</v>
      </c>
    </row>
    <row r="124">
      <c r="A124" s="13">
        <f t="shared" si="1"/>
        <v>123</v>
      </c>
      <c r="B124" s="21" t="s">
        <v>143</v>
      </c>
    </row>
    <row r="125">
      <c r="A125" s="13">
        <f t="shared" si="1"/>
        <v>124</v>
      </c>
      <c r="B125" s="21" t="s">
        <v>143</v>
      </c>
    </row>
    <row r="126">
      <c r="A126" s="13">
        <f t="shared" si="1"/>
        <v>125</v>
      </c>
      <c r="B126" s="21" t="s">
        <v>122</v>
      </c>
    </row>
    <row r="127">
      <c r="A127" s="13">
        <f t="shared" si="1"/>
        <v>126</v>
      </c>
      <c r="B127" s="21" t="s">
        <v>105</v>
      </c>
    </row>
    <row r="128">
      <c r="A128" s="13">
        <f t="shared" si="1"/>
        <v>127</v>
      </c>
      <c r="B128" s="21" t="s">
        <v>102</v>
      </c>
    </row>
    <row r="129">
      <c r="A129" s="13">
        <f t="shared" si="1"/>
        <v>128</v>
      </c>
      <c r="B129" s="21" t="s">
        <v>93</v>
      </c>
    </row>
    <row r="130">
      <c r="A130" s="13">
        <f t="shared" si="1"/>
        <v>129</v>
      </c>
      <c r="B130" s="21" t="s">
        <v>93</v>
      </c>
    </row>
    <row r="131">
      <c r="A131" s="13">
        <f t="shared" si="1"/>
        <v>130</v>
      </c>
      <c r="B131" s="21" t="s">
        <v>105</v>
      </c>
    </row>
    <row r="132">
      <c r="A132" s="13">
        <f t="shared" si="1"/>
        <v>131</v>
      </c>
      <c r="B132" s="21" t="s">
        <v>102</v>
      </c>
    </row>
    <row r="133">
      <c r="A133" s="13">
        <f t="shared" si="1"/>
        <v>132</v>
      </c>
      <c r="B133" s="21" t="s">
        <v>180</v>
      </c>
    </row>
    <row r="134">
      <c r="A134" s="13">
        <f t="shared" si="1"/>
        <v>133</v>
      </c>
      <c r="B134" s="21" t="s">
        <v>93</v>
      </c>
    </row>
    <row r="135">
      <c r="A135" s="13">
        <f t="shared" si="1"/>
        <v>134</v>
      </c>
      <c r="B135" s="21" t="s">
        <v>93</v>
      </c>
    </row>
    <row r="136">
      <c r="A136" s="13">
        <f t="shared" si="1"/>
        <v>135</v>
      </c>
      <c r="B136" s="21" t="s">
        <v>93</v>
      </c>
    </row>
    <row r="137">
      <c r="A137" s="13">
        <f t="shared" si="1"/>
        <v>136</v>
      </c>
      <c r="B137" s="21" t="s">
        <v>93</v>
      </c>
    </row>
    <row r="138">
      <c r="A138" s="13">
        <f t="shared" si="1"/>
        <v>137</v>
      </c>
      <c r="B138" s="21" t="s">
        <v>143</v>
      </c>
    </row>
    <row r="139">
      <c r="A139" s="13">
        <f t="shared" si="1"/>
        <v>138</v>
      </c>
      <c r="B139" s="21" t="s">
        <v>105</v>
      </c>
    </row>
    <row r="140">
      <c r="A140" s="13">
        <f t="shared" si="1"/>
        <v>139</v>
      </c>
      <c r="B140" s="21" t="s">
        <v>93</v>
      </c>
    </row>
    <row r="141">
      <c r="A141" s="13">
        <f t="shared" si="1"/>
        <v>140</v>
      </c>
      <c r="B141" s="21" t="s">
        <v>97</v>
      </c>
    </row>
    <row r="142">
      <c r="A142" s="13">
        <f t="shared" si="1"/>
        <v>141</v>
      </c>
      <c r="B142" s="21" t="s">
        <v>86</v>
      </c>
    </row>
    <row r="143">
      <c r="A143" s="13">
        <f t="shared" si="1"/>
        <v>142</v>
      </c>
      <c r="B143" s="21" t="s">
        <v>105</v>
      </c>
    </row>
    <row r="144">
      <c r="A144" s="13">
        <f t="shared" si="1"/>
        <v>143</v>
      </c>
      <c r="B144" s="21" t="s">
        <v>105</v>
      </c>
    </row>
    <row r="145">
      <c r="A145" s="13">
        <f t="shared" si="1"/>
        <v>144</v>
      </c>
      <c r="B145" s="21" t="s">
        <v>97</v>
      </c>
    </row>
    <row r="146">
      <c r="A146" s="13">
        <f t="shared" si="1"/>
        <v>145</v>
      </c>
      <c r="B146" s="21" t="s">
        <v>143</v>
      </c>
    </row>
    <row r="147">
      <c r="A147" s="13">
        <f t="shared" si="1"/>
        <v>146</v>
      </c>
      <c r="B147" s="21" t="s">
        <v>102</v>
      </c>
    </row>
    <row r="148">
      <c r="A148" s="13">
        <f t="shared" si="1"/>
        <v>147</v>
      </c>
      <c r="B148" s="21" t="s">
        <v>93</v>
      </c>
    </row>
    <row r="149">
      <c r="A149" s="13">
        <f t="shared" si="1"/>
        <v>148</v>
      </c>
      <c r="B149" s="21" t="s">
        <v>111</v>
      </c>
    </row>
    <row r="150">
      <c r="A150" s="13">
        <f t="shared" si="1"/>
        <v>149</v>
      </c>
      <c r="B150" s="21" t="s">
        <v>86</v>
      </c>
    </row>
    <row r="151">
      <c r="A151" s="13">
        <f t="shared" si="1"/>
        <v>150</v>
      </c>
      <c r="B151" s="21" t="s">
        <v>105</v>
      </c>
    </row>
    <row r="152">
      <c r="A152" s="13">
        <f t="shared" si="1"/>
        <v>151</v>
      </c>
      <c r="B152" s="21" t="s">
        <v>102</v>
      </c>
    </row>
    <row r="153">
      <c r="A153" s="13">
        <f t="shared" si="1"/>
        <v>152</v>
      </c>
      <c r="B153" s="21" t="s">
        <v>122</v>
      </c>
    </row>
    <row r="154">
      <c r="A154" s="13">
        <f t="shared" si="1"/>
        <v>153</v>
      </c>
      <c r="B154" s="21" t="s">
        <v>86</v>
      </c>
    </row>
    <row r="155">
      <c r="A155" s="13">
        <f t="shared" si="1"/>
        <v>154</v>
      </c>
      <c r="B155" s="21" t="s">
        <v>111</v>
      </c>
    </row>
    <row r="156">
      <c r="A156" s="13">
        <f t="shared" si="1"/>
        <v>155</v>
      </c>
      <c r="B156" s="21" t="s">
        <v>86</v>
      </c>
    </row>
    <row r="157">
      <c r="A157" s="13">
        <f t="shared" si="1"/>
        <v>156</v>
      </c>
      <c r="B157" s="21" t="s">
        <v>122</v>
      </c>
    </row>
    <row r="158">
      <c r="A158" s="13">
        <f t="shared" si="1"/>
        <v>157</v>
      </c>
      <c r="B158" s="21" t="s">
        <v>93</v>
      </c>
    </row>
    <row r="159">
      <c r="A159" s="13">
        <f t="shared" si="1"/>
        <v>158</v>
      </c>
      <c r="B159" s="21" t="s">
        <v>143</v>
      </c>
    </row>
    <row r="160">
      <c r="A160" s="13">
        <f t="shared" si="1"/>
        <v>159</v>
      </c>
      <c r="B160" s="21" t="s">
        <v>105</v>
      </c>
    </row>
    <row r="161">
      <c r="A161" s="13">
        <f t="shared" si="1"/>
        <v>160</v>
      </c>
      <c r="B161" s="21" t="s">
        <v>93</v>
      </c>
    </row>
    <row r="162">
      <c r="A162" s="13">
        <f t="shared" si="1"/>
        <v>161</v>
      </c>
      <c r="B162" s="21" t="s">
        <v>143</v>
      </c>
    </row>
    <row r="163">
      <c r="A163" s="13">
        <f t="shared" si="1"/>
        <v>162</v>
      </c>
      <c r="B163" s="21" t="s">
        <v>180</v>
      </c>
    </row>
    <row r="164">
      <c r="A164" s="13">
        <f t="shared" si="1"/>
        <v>163</v>
      </c>
      <c r="B164" s="21" t="s">
        <v>180</v>
      </c>
    </row>
    <row r="165">
      <c r="A165" s="13">
        <f t="shared" si="1"/>
        <v>164</v>
      </c>
      <c r="B165" s="21" t="s">
        <v>97</v>
      </c>
    </row>
    <row r="166">
      <c r="A166" s="13">
        <f t="shared" si="1"/>
        <v>165</v>
      </c>
      <c r="B166" s="21" t="s">
        <v>93</v>
      </c>
    </row>
    <row r="167">
      <c r="A167" s="13">
        <f t="shared" si="1"/>
        <v>166</v>
      </c>
      <c r="B167" s="21" t="s">
        <v>143</v>
      </c>
    </row>
    <row r="168">
      <c r="A168" s="13">
        <f t="shared" si="1"/>
        <v>167</v>
      </c>
      <c r="B168" s="21" t="s">
        <v>93</v>
      </c>
    </row>
    <row r="169">
      <c r="A169" s="13">
        <f t="shared" si="1"/>
        <v>168</v>
      </c>
      <c r="B169" s="21" t="s">
        <v>143</v>
      </c>
    </row>
    <row r="170">
      <c r="A170" s="13">
        <f t="shared" si="1"/>
        <v>169</v>
      </c>
      <c r="B170" s="21" t="s">
        <v>105</v>
      </c>
    </row>
    <row r="171">
      <c r="A171" s="13">
        <f t="shared" si="1"/>
        <v>170</v>
      </c>
      <c r="B171" s="21" t="s">
        <v>86</v>
      </c>
    </row>
    <row r="172">
      <c r="A172" s="13">
        <f t="shared" si="1"/>
        <v>171</v>
      </c>
      <c r="B172" s="21" t="s">
        <v>102</v>
      </c>
    </row>
    <row r="173">
      <c r="A173" s="13">
        <f t="shared" si="1"/>
        <v>172</v>
      </c>
      <c r="B173" s="21" t="s">
        <v>180</v>
      </c>
    </row>
    <row r="174">
      <c r="A174" s="13">
        <f t="shared" si="1"/>
        <v>173</v>
      </c>
      <c r="B174" s="21" t="s">
        <v>93</v>
      </c>
    </row>
    <row r="175">
      <c r="A175" s="13">
        <f t="shared" si="1"/>
        <v>174</v>
      </c>
      <c r="B175" s="21" t="s">
        <v>180</v>
      </c>
    </row>
    <row r="176">
      <c r="A176" s="13">
        <f t="shared" si="1"/>
        <v>175</v>
      </c>
      <c r="B176" s="21" t="s">
        <v>86</v>
      </c>
    </row>
    <row r="177">
      <c r="A177" s="13">
        <f t="shared" si="1"/>
        <v>176</v>
      </c>
      <c r="B177" s="21" t="s">
        <v>86</v>
      </c>
    </row>
    <row r="178">
      <c r="A178" s="13">
        <f t="shared" si="1"/>
        <v>177</v>
      </c>
      <c r="B178" s="21" t="s">
        <v>122</v>
      </c>
    </row>
    <row r="179">
      <c r="A179" s="13">
        <f t="shared" si="1"/>
        <v>178</v>
      </c>
      <c r="B179" s="21" t="s">
        <v>180</v>
      </c>
    </row>
    <row r="180">
      <c r="A180" s="13">
        <f t="shared" si="1"/>
        <v>179</v>
      </c>
      <c r="B180" s="21" t="s">
        <v>143</v>
      </c>
    </row>
    <row r="181">
      <c r="A181" s="13">
        <f t="shared" si="1"/>
        <v>180</v>
      </c>
      <c r="B181" s="21" t="s">
        <v>93</v>
      </c>
    </row>
    <row r="182">
      <c r="A182" s="13">
        <f t="shared" si="1"/>
        <v>181</v>
      </c>
      <c r="B182" s="21" t="s">
        <v>122</v>
      </c>
    </row>
    <row r="183">
      <c r="A183" s="13">
        <f t="shared" si="1"/>
        <v>182</v>
      </c>
      <c r="B183" s="21" t="s">
        <v>86</v>
      </c>
    </row>
    <row r="184">
      <c r="A184" s="13">
        <f t="shared" si="1"/>
        <v>183</v>
      </c>
      <c r="B184" s="21" t="s">
        <v>93</v>
      </c>
    </row>
    <row r="185">
      <c r="A185" s="13">
        <f t="shared" si="1"/>
        <v>184</v>
      </c>
      <c r="B185" s="21" t="s">
        <v>86</v>
      </c>
    </row>
    <row r="186">
      <c r="A186" s="13">
        <f t="shared" si="1"/>
        <v>185</v>
      </c>
      <c r="B186" s="21" t="s">
        <v>102</v>
      </c>
    </row>
    <row r="187">
      <c r="A187" s="13">
        <f t="shared" si="1"/>
        <v>186</v>
      </c>
      <c r="B187" s="21" t="s">
        <v>180</v>
      </c>
    </row>
    <row r="188">
      <c r="A188" s="13">
        <f t="shared" si="1"/>
        <v>187</v>
      </c>
      <c r="B188" s="21" t="s">
        <v>86</v>
      </c>
    </row>
    <row r="189">
      <c r="A189" s="13">
        <f t="shared" si="1"/>
        <v>188</v>
      </c>
      <c r="B189" s="21" t="s">
        <v>86</v>
      </c>
    </row>
    <row r="190">
      <c r="A190" s="13">
        <f t="shared" si="1"/>
        <v>189</v>
      </c>
      <c r="B190" s="21" t="s">
        <v>86</v>
      </c>
    </row>
    <row r="191">
      <c r="A191" s="13">
        <f t="shared" si="1"/>
        <v>190</v>
      </c>
      <c r="B191" s="21" t="s">
        <v>105</v>
      </c>
    </row>
    <row r="192">
      <c r="A192" s="13">
        <f t="shared" si="1"/>
        <v>191</v>
      </c>
      <c r="B192" s="21" t="s">
        <v>174</v>
      </c>
    </row>
    <row r="193">
      <c r="A193" s="13">
        <f t="shared" si="1"/>
        <v>192</v>
      </c>
      <c r="B193" s="21" t="s">
        <v>180</v>
      </c>
    </row>
    <row r="194">
      <c r="A194" s="13">
        <f t="shared" si="1"/>
        <v>193</v>
      </c>
      <c r="B194" s="21" t="s">
        <v>93</v>
      </c>
    </row>
    <row r="195">
      <c r="A195" s="13">
        <f t="shared" si="1"/>
        <v>194</v>
      </c>
      <c r="B195" s="21" t="s">
        <v>143</v>
      </c>
    </row>
    <row r="196">
      <c r="A196" s="13">
        <f t="shared" si="1"/>
        <v>195</v>
      </c>
      <c r="B196" s="21" t="s">
        <v>143</v>
      </c>
    </row>
    <row r="197">
      <c r="A197" s="13">
        <f t="shared" si="1"/>
        <v>196</v>
      </c>
      <c r="B197" s="21" t="s">
        <v>86</v>
      </c>
    </row>
    <row r="198">
      <c r="A198" s="13">
        <f t="shared" si="1"/>
        <v>197</v>
      </c>
      <c r="B198" s="21" t="s">
        <v>105</v>
      </c>
    </row>
    <row r="199">
      <c r="A199" s="13">
        <f t="shared" si="1"/>
        <v>198</v>
      </c>
      <c r="B199" s="21" t="s">
        <v>97</v>
      </c>
    </row>
    <row r="200">
      <c r="A200" s="13">
        <f t="shared" si="1"/>
        <v>199</v>
      </c>
      <c r="B200" s="21" t="s">
        <v>122</v>
      </c>
    </row>
    <row r="201">
      <c r="A201" s="13">
        <f t="shared" si="1"/>
        <v>200</v>
      </c>
      <c r="B201" s="21" t="s">
        <v>143</v>
      </c>
    </row>
    <row r="202">
      <c r="A202" s="13">
        <f t="shared" si="1"/>
        <v>201</v>
      </c>
      <c r="B202" s="21" t="s">
        <v>86</v>
      </c>
    </row>
    <row r="203">
      <c r="A203" s="13">
        <f t="shared" si="1"/>
        <v>202</v>
      </c>
      <c r="B203" s="21" t="s">
        <v>180</v>
      </c>
    </row>
    <row r="204">
      <c r="A204" s="13">
        <f t="shared" si="1"/>
        <v>203</v>
      </c>
      <c r="B204" s="21" t="s">
        <v>111</v>
      </c>
    </row>
    <row r="205">
      <c r="A205" s="13">
        <f t="shared" si="1"/>
        <v>204</v>
      </c>
      <c r="B205" s="21" t="s">
        <v>143</v>
      </c>
    </row>
    <row r="206">
      <c r="A206" s="13">
        <f t="shared" si="1"/>
        <v>205</v>
      </c>
      <c r="B206" s="21" t="s">
        <v>86</v>
      </c>
    </row>
    <row r="207">
      <c r="A207" s="13">
        <f t="shared" si="1"/>
        <v>206</v>
      </c>
      <c r="B207" s="21" t="s">
        <v>93</v>
      </c>
    </row>
    <row r="208">
      <c r="A208" s="13">
        <f t="shared" si="1"/>
        <v>207</v>
      </c>
      <c r="B208" s="21" t="s">
        <v>143</v>
      </c>
    </row>
    <row r="209">
      <c r="A209" s="13">
        <f t="shared" si="1"/>
        <v>208</v>
      </c>
      <c r="B209" s="21" t="s">
        <v>93</v>
      </c>
    </row>
    <row r="210">
      <c r="A210" s="13">
        <f t="shared" si="1"/>
        <v>209</v>
      </c>
      <c r="B210" s="21" t="s">
        <v>143</v>
      </c>
    </row>
    <row r="211">
      <c r="A211" s="13">
        <f t="shared" si="1"/>
        <v>210</v>
      </c>
      <c r="B211" s="21" t="s">
        <v>174</v>
      </c>
    </row>
    <row r="212">
      <c r="A212" s="13">
        <f t="shared" si="1"/>
        <v>211</v>
      </c>
      <c r="B212" s="21" t="s">
        <v>93</v>
      </c>
    </row>
    <row r="213">
      <c r="A213" s="13">
        <f t="shared" si="1"/>
        <v>212</v>
      </c>
      <c r="B213" s="21" t="s">
        <v>105</v>
      </c>
    </row>
    <row r="214">
      <c r="A214" s="13">
        <f t="shared" si="1"/>
        <v>213</v>
      </c>
      <c r="B214" s="21" t="s">
        <v>93</v>
      </c>
    </row>
    <row r="215">
      <c r="A215" s="13">
        <f t="shared" si="1"/>
        <v>214</v>
      </c>
      <c r="B215" s="21" t="s">
        <v>105</v>
      </c>
    </row>
    <row r="216">
      <c r="A216" s="13">
        <f t="shared" si="1"/>
        <v>215</v>
      </c>
      <c r="B216" s="21" t="s">
        <v>86</v>
      </c>
    </row>
    <row r="217">
      <c r="A217" s="13">
        <f t="shared" si="1"/>
        <v>216</v>
      </c>
      <c r="B217" s="21" t="s">
        <v>105</v>
      </c>
    </row>
    <row r="218">
      <c r="A218" s="13">
        <f t="shared" si="1"/>
        <v>217</v>
      </c>
      <c r="B218" s="21" t="s">
        <v>93</v>
      </c>
    </row>
    <row r="219">
      <c r="A219" s="13">
        <f t="shared" si="1"/>
        <v>218</v>
      </c>
      <c r="B219" s="21" t="s">
        <v>86</v>
      </c>
    </row>
    <row r="220">
      <c r="A220" s="13">
        <f t="shared" si="1"/>
        <v>219</v>
      </c>
      <c r="B220" s="21" t="s">
        <v>143</v>
      </c>
    </row>
    <row r="221">
      <c r="A221" s="13">
        <f t="shared" si="1"/>
        <v>220</v>
      </c>
      <c r="B221" s="21" t="s">
        <v>86</v>
      </c>
    </row>
    <row r="222">
      <c r="A222" s="13">
        <f t="shared" si="1"/>
        <v>221</v>
      </c>
      <c r="B222" s="21" t="s">
        <v>143</v>
      </c>
    </row>
    <row r="223">
      <c r="A223" s="13">
        <f t="shared" si="1"/>
        <v>222</v>
      </c>
      <c r="B223" s="21" t="s">
        <v>86</v>
      </c>
    </row>
    <row r="224">
      <c r="A224" s="13">
        <f t="shared" si="1"/>
        <v>223</v>
      </c>
      <c r="B224" s="21" t="s">
        <v>105</v>
      </c>
    </row>
    <row r="225">
      <c r="A225" s="13">
        <f t="shared" si="1"/>
        <v>224</v>
      </c>
      <c r="B225" s="21" t="s">
        <v>93</v>
      </c>
    </row>
    <row r="226">
      <c r="A226" s="13">
        <f t="shared" si="1"/>
        <v>225</v>
      </c>
      <c r="B226" s="21" t="s">
        <v>93</v>
      </c>
    </row>
    <row r="227">
      <c r="A227" s="13">
        <f t="shared" si="1"/>
        <v>226</v>
      </c>
      <c r="B227" s="21" t="s">
        <v>180</v>
      </c>
    </row>
    <row r="228">
      <c r="A228" s="13">
        <f t="shared" si="1"/>
        <v>227</v>
      </c>
      <c r="B228" s="21" t="s">
        <v>143</v>
      </c>
    </row>
    <row r="229">
      <c r="A229" s="13">
        <f t="shared" si="1"/>
        <v>228</v>
      </c>
      <c r="B229" s="21" t="s">
        <v>111</v>
      </c>
    </row>
    <row r="230">
      <c r="A230" s="13">
        <f t="shared" si="1"/>
        <v>229</v>
      </c>
      <c r="B230" s="21" t="s">
        <v>122</v>
      </c>
    </row>
    <row r="231">
      <c r="A231" s="13">
        <f t="shared" si="1"/>
        <v>230</v>
      </c>
      <c r="B231" s="21" t="s">
        <v>93</v>
      </c>
    </row>
    <row r="232">
      <c r="A232" s="13">
        <f t="shared" si="1"/>
        <v>231</v>
      </c>
      <c r="B232" s="21" t="s">
        <v>180</v>
      </c>
    </row>
    <row r="233">
      <c r="A233" s="13">
        <f t="shared" si="1"/>
        <v>232</v>
      </c>
      <c r="B233" s="21" t="s">
        <v>143</v>
      </c>
    </row>
    <row r="234">
      <c r="A234" s="13">
        <f t="shared" si="1"/>
        <v>233</v>
      </c>
      <c r="B234" s="21" t="s">
        <v>143</v>
      </c>
    </row>
    <row r="235">
      <c r="A235" s="13">
        <f t="shared" si="1"/>
        <v>234</v>
      </c>
      <c r="B235" s="21" t="s">
        <v>122</v>
      </c>
    </row>
    <row r="236">
      <c r="A236" s="13">
        <f t="shared" si="1"/>
        <v>235</v>
      </c>
      <c r="B236" s="21" t="s">
        <v>174</v>
      </c>
    </row>
    <row r="237">
      <c r="A237" s="13">
        <f t="shared" si="1"/>
        <v>236</v>
      </c>
      <c r="B237" s="21" t="s">
        <v>105</v>
      </c>
    </row>
    <row r="238">
      <c r="A238" s="13">
        <f t="shared" si="1"/>
        <v>237</v>
      </c>
      <c r="B238" s="21" t="s">
        <v>122</v>
      </c>
    </row>
    <row r="239">
      <c r="A239" s="13">
        <f t="shared" si="1"/>
        <v>238</v>
      </c>
      <c r="B239" s="21" t="s">
        <v>105</v>
      </c>
    </row>
    <row r="240">
      <c r="A240" s="13">
        <f t="shared" si="1"/>
        <v>239</v>
      </c>
      <c r="B240" s="21" t="s">
        <v>180</v>
      </c>
    </row>
    <row r="241">
      <c r="A241" s="13">
        <f t="shared" si="1"/>
        <v>240</v>
      </c>
      <c r="B241" s="21" t="s">
        <v>307</v>
      </c>
    </row>
    <row r="242">
      <c r="A242" s="13">
        <f t="shared" si="1"/>
        <v>241</v>
      </c>
      <c r="B242" s="21" t="s">
        <v>309</v>
      </c>
    </row>
    <row r="243">
      <c r="A243" s="13">
        <f t="shared" si="1"/>
        <v>242</v>
      </c>
      <c r="B243" s="21" t="s">
        <v>93</v>
      </c>
    </row>
    <row r="244">
      <c r="A244" s="13">
        <f t="shared" si="1"/>
        <v>243</v>
      </c>
      <c r="B244" s="21" t="s">
        <v>311</v>
      </c>
    </row>
    <row r="245">
      <c r="A245" s="13">
        <f t="shared" si="1"/>
        <v>244</v>
      </c>
      <c r="B245" s="21" t="s">
        <v>93</v>
      </c>
    </row>
    <row r="246">
      <c r="A246" s="13">
        <f t="shared" si="1"/>
        <v>245</v>
      </c>
      <c r="B246" s="21" t="s">
        <v>97</v>
      </c>
    </row>
    <row r="247">
      <c r="A247" s="13">
        <f t="shared" si="1"/>
        <v>246</v>
      </c>
      <c r="B247" s="21" t="s">
        <v>143</v>
      </c>
    </row>
    <row r="248">
      <c r="A248" s="13">
        <f t="shared" si="1"/>
        <v>247</v>
      </c>
      <c r="B248" s="21" t="s">
        <v>97</v>
      </c>
    </row>
    <row r="249">
      <c r="A249" s="13">
        <f t="shared" si="1"/>
        <v>248</v>
      </c>
      <c r="B249" s="21" t="s">
        <v>122</v>
      </c>
    </row>
    <row r="250">
      <c r="A250" s="13">
        <f t="shared" si="1"/>
        <v>249</v>
      </c>
      <c r="B250" s="21" t="s">
        <v>143</v>
      </c>
    </row>
    <row r="251">
      <c r="A251" s="13">
        <f t="shared" si="1"/>
        <v>250</v>
      </c>
      <c r="B251" s="21" t="s">
        <v>105</v>
      </c>
    </row>
    <row r="252">
      <c r="A252" s="13">
        <f t="shared" si="1"/>
        <v>251</v>
      </c>
      <c r="B252" s="22"/>
    </row>
    <row r="253">
      <c r="A253" s="13">
        <f t="shared" si="1"/>
        <v>252</v>
      </c>
      <c r="B253" s="22"/>
    </row>
    <row r="254">
      <c r="A254" s="13">
        <f t="shared" si="1"/>
        <v>253</v>
      </c>
      <c r="B254" s="22"/>
    </row>
    <row r="255">
      <c r="A255" s="13">
        <f t="shared" si="1"/>
        <v>254</v>
      </c>
      <c r="B255" s="22"/>
    </row>
    <row r="256">
      <c r="A256" s="13">
        <f t="shared" si="1"/>
        <v>255</v>
      </c>
      <c r="B256" s="21" t="s">
        <v>143</v>
      </c>
    </row>
    <row r="257">
      <c r="A257" s="13">
        <f t="shared" si="1"/>
        <v>256</v>
      </c>
      <c r="B257" s="21" t="s">
        <v>86</v>
      </c>
    </row>
    <row r="258">
      <c r="A258" s="13">
        <f t="shared" si="1"/>
        <v>257</v>
      </c>
      <c r="B258" s="21" t="s">
        <v>174</v>
      </c>
    </row>
    <row r="259">
      <c r="A259" s="13">
        <f t="shared" si="1"/>
        <v>258</v>
      </c>
      <c r="B259" s="21" t="s">
        <v>93</v>
      </c>
    </row>
    <row r="260">
      <c r="A260" s="13">
        <f t="shared" si="1"/>
        <v>259</v>
      </c>
      <c r="B260" s="21" t="s">
        <v>143</v>
      </c>
    </row>
    <row r="261">
      <c r="A261" s="13">
        <f t="shared" si="1"/>
        <v>260</v>
      </c>
      <c r="B261" s="21" t="s">
        <v>122</v>
      </c>
    </row>
    <row r="262">
      <c r="A262" s="13">
        <f t="shared" si="1"/>
        <v>261</v>
      </c>
      <c r="B262" s="21" t="s">
        <v>111</v>
      </c>
    </row>
    <row r="263">
      <c r="A263" s="13">
        <f t="shared" si="1"/>
        <v>262</v>
      </c>
      <c r="B263" s="21" t="s">
        <v>105</v>
      </c>
    </row>
    <row r="264">
      <c r="A264" s="13">
        <f t="shared" si="1"/>
        <v>263</v>
      </c>
      <c r="B264" s="21" t="s">
        <v>75</v>
      </c>
    </row>
    <row r="265">
      <c r="A265" s="13">
        <f t="shared" si="1"/>
        <v>264</v>
      </c>
      <c r="B265" s="21" t="s">
        <v>180</v>
      </c>
    </row>
    <row r="266">
      <c r="A266" s="13">
        <f t="shared" si="1"/>
        <v>265</v>
      </c>
      <c r="B266" s="21" t="s">
        <v>93</v>
      </c>
    </row>
    <row r="267">
      <c r="A267" s="13">
        <f t="shared" si="1"/>
        <v>266</v>
      </c>
      <c r="B267" s="21" t="s">
        <v>75</v>
      </c>
    </row>
    <row r="268">
      <c r="A268" s="13">
        <f t="shared" si="1"/>
        <v>267</v>
      </c>
      <c r="B268" s="21" t="s">
        <v>93</v>
      </c>
    </row>
    <row r="269">
      <c r="A269" s="13">
        <f t="shared" si="1"/>
        <v>268</v>
      </c>
      <c r="B269" s="21" t="s">
        <v>319</v>
      </c>
    </row>
    <row r="270">
      <c r="A270" s="13">
        <f t="shared" si="1"/>
        <v>269</v>
      </c>
      <c r="B270" s="21" t="s">
        <v>311</v>
      </c>
    </row>
    <row r="271">
      <c r="A271" s="13">
        <f t="shared" si="1"/>
        <v>270</v>
      </c>
      <c r="B271" s="21" t="s">
        <v>180</v>
      </c>
    </row>
    <row r="272">
      <c r="A272" s="13">
        <f t="shared" si="1"/>
        <v>271</v>
      </c>
      <c r="B272" s="21" t="s">
        <v>93</v>
      </c>
    </row>
    <row r="273">
      <c r="A273" s="13">
        <f t="shared" si="1"/>
        <v>272</v>
      </c>
      <c r="B273" s="21" t="s">
        <v>311</v>
      </c>
    </row>
    <row r="274">
      <c r="A274" s="13">
        <f t="shared" si="1"/>
        <v>273</v>
      </c>
      <c r="B274" s="21" t="s">
        <v>93</v>
      </c>
    </row>
    <row r="275">
      <c r="A275" s="13">
        <f t="shared" si="1"/>
        <v>274</v>
      </c>
      <c r="B275" s="21" t="s">
        <v>86</v>
      </c>
    </row>
    <row r="276">
      <c r="A276" s="13">
        <f t="shared" si="1"/>
        <v>275</v>
      </c>
      <c r="B276" s="21" t="s">
        <v>105</v>
      </c>
    </row>
    <row r="277">
      <c r="A277" s="13">
        <f t="shared" si="1"/>
        <v>276</v>
      </c>
      <c r="B277" s="21" t="s">
        <v>105</v>
      </c>
    </row>
    <row r="278">
      <c r="A278" s="13">
        <f t="shared" si="1"/>
        <v>277</v>
      </c>
      <c r="B278" s="22"/>
    </row>
    <row r="279">
      <c r="A279" s="13">
        <f t="shared" si="1"/>
        <v>278</v>
      </c>
      <c r="B279" s="21" t="s">
        <v>329</v>
      </c>
    </row>
    <row r="280">
      <c r="A280" s="13">
        <f t="shared" si="1"/>
        <v>279</v>
      </c>
      <c r="B280" s="21" t="s">
        <v>330</v>
      </c>
    </row>
    <row r="281">
      <c r="A281" s="13">
        <f t="shared" si="1"/>
        <v>280</v>
      </c>
      <c r="B281" s="21" t="s">
        <v>122</v>
      </c>
    </row>
    <row r="282">
      <c r="A282" s="13">
        <f t="shared" si="1"/>
        <v>281</v>
      </c>
      <c r="B282" s="21" t="s">
        <v>93</v>
      </c>
    </row>
    <row r="283">
      <c r="A283" s="13">
        <f t="shared" si="1"/>
        <v>282</v>
      </c>
      <c r="B283" s="21" t="s">
        <v>105</v>
      </c>
    </row>
    <row r="284">
      <c r="A284" s="13">
        <f t="shared" si="1"/>
        <v>283</v>
      </c>
      <c r="B284" s="21" t="s">
        <v>122</v>
      </c>
    </row>
    <row r="285">
      <c r="A285" s="13">
        <f t="shared" si="1"/>
        <v>284</v>
      </c>
      <c r="B285" s="21" t="s">
        <v>105</v>
      </c>
    </row>
    <row r="286">
      <c r="A286" s="13">
        <f t="shared" si="1"/>
        <v>285</v>
      </c>
      <c r="B286" s="21" t="s">
        <v>122</v>
      </c>
    </row>
    <row r="287">
      <c r="A287" s="13">
        <f t="shared" si="1"/>
        <v>286</v>
      </c>
      <c r="B287" s="21" t="s">
        <v>174</v>
      </c>
    </row>
    <row r="288">
      <c r="A288" s="13">
        <f t="shared" si="1"/>
        <v>287</v>
      </c>
      <c r="B288" s="21" t="s">
        <v>334</v>
      </c>
    </row>
    <row r="289">
      <c r="A289" s="13">
        <f t="shared" si="1"/>
        <v>288</v>
      </c>
      <c r="B289" s="21" t="s">
        <v>93</v>
      </c>
    </row>
    <row r="290">
      <c r="A290" s="13">
        <f t="shared" si="1"/>
        <v>289</v>
      </c>
      <c r="B290" s="21" t="s">
        <v>335</v>
      </c>
    </row>
    <row r="291">
      <c r="A291" s="13">
        <f t="shared" si="1"/>
        <v>290</v>
      </c>
      <c r="B291" s="21" t="s">
        <v>102</v>
      </c>
    </row>
    <row r="292">
      <c r="A292" s="13">
        <f t="shared" si="1"/>
        <v>291</v>
      </c>
      <c r="B292" s="21" t="s">
        <v>336</v>
      </c>
    </row>
    <row r="293">
      <c r="A293" s="13">
        <f t="shared" si="1"/>
        <v>292</v>
      </c>
      <c r="B293" s="22"/>
    </row>
    <row r="294">
      <c r="A294" s="13">
        <f t="shared" si="1"/>
        <v>293</v>
      </c>
      <c r="B294" s="21" t="s">
        <v>102</v>
      </c>
    </row>
    <row r="295">
      <c r="A295" s="13">
        <f t="shared" si="1"/>
        <v>294</v>
      </c>
      <c r="B295" s="21" t="s">
        <v>180</v>
      </c>
    </row>
    <row r="296">
      <c r="A296" s="13">
        <f t="shared" si="1"/>
        <v>295</v>
      </c>
      <c r="B296" s="21" t="s">
        <v>143</v>
      </c>
    </row>
    <row r="297">
      <c r="A297" s="13">
        <f t="shared" si="1"/>
        <v>296</v>
      </c>
      <c r="B297" s="21" t="s">
        <v>93</v>
      </c>
    </row>
    <row r="298">
      <c r="A298" s="13">
        <f t="shared" si="1"/>
        <v>297</v>
      </c>
      <c r="B298" s="21" t="s">
        <v>111</v>
      </c>
    </row>
    <row r="299">
      <c r="A299" s="13">
        <f t="shared" si="1"/>
        <v>298</v>
      </c>
      <c r="B299" s="21" t="s">
        <v>105</v>
      </c>
    </row>
    <row r="300">
      <c r="A300" s="13">
        <f t="shared" si="1"/>
        <v>299</v>
      </c>
      <c r="B300" s="21">
        <v>7.0</v>
      </c>
    </row>
    <row r="301">
      <c r="A301" s="13">
        <f t="shared" si="1"/>
        <v>300</v>
      </c>
      <c r="B301" s="21" t="s">
        <v>86</v>
      </c>
    </row>
    <row r="302">
      <c r="A302" s="13">
        <f t="shared" si="1"/>
        <v>301</v>
      </c>
      <c r="B302" s="21" t="s">
        <v>111</v>
      </c>
    </row>
    <row r="303">
      <c r="A303" s="13">
        <f t="shared" si="1"/>
        <v>302</v>
      </c>
      <c r="B303" s="21" t="s">
        <v>143</v>
      </c>
    </row>
    <row r="304">
      <c r="A304" s="13">
        <f t="shared" si="1"/>
        <v>303</v>
      </c>
      <c r="B304" s="21" t="s">
        <v>97</v>
      </c>
    </row>
    <row r="305">
      <c r="A305" s="13">
        <f t="shared" si="1"/>
        <v>304</v>
      </c>
      <c r="B305" s="21" t="s">
        <v>86</v>
      </c>
    </row>
    <row r="306">
      <c r="A306" s="13">
        <f t="shared" si="1"/>
        <v>305</v>
      </c>
      <c r="B306" s="21" t="s">
        <v>111</v>
      </c>
    </row>
    <row r="307">
      <c r="A307" s="13">
        <f t="shared" si="1"/>
        <v>306</v>
      </c>
      <c r="B307" s="21" t="s">
        <v>86</v>
      </c>
    </row>
    <row r="308">
      <c r="A308" s="13">
        <f t="shared" si="1"/>
        <v>307</v>
      </c>
      <c r="B308" s="21" t="s">
        <v>86</v>
      </c>
    </row>
    <row r="309">
      <c r="A309" s="13">
        <f t="shared" si="1"/>
        <v>308</v>
      </c>
      <c r="B309" s="21" t="s">
        <v>111</v>
      </c>
    </row>
    <row r="310">
      <c r="A310" s="13">
        <f t="shared" si="1"/>
        <v>309</v>
      </c>
      <c r="B310" s="21" t="s">
        <v>143</v>
      </c>
    </row>
    <row r="311">
      <c r="A311" s="13">
        <f t="shared" si="1"/>
        <v>310</v>
      </c>
      <c r="B311" s="21" t="s">
        <v>102</v>
      </c>
    </row>
    <row r="312">
      <c r="A312" s="13">
        <f t="shared" si="1"/>
        <v>311</v>
      </c>
      <c r="B312" s="21" t="s">
        <v>86</v>
      </c>
    </row>
    <row r="313">
      <c r="A313" s="13">
        <f t="shared" si="1"/>
        <v>312</v>
      </c>
      <c r="B313" s="21" t="s">
        <v>143</v>
      </c>
    </row>
    <row r="314">
      <c r="A314" s="13">
        <f t="shared" si="1"/>
        <v>313</v>
      </c>
      <c r="B314" s="21" t="s">
        <v>93</v>
      </c>
    </row>
    <row r="315">
      <c r="A315" s="13">
        <f t="shared" si="1"/>
        <v>314</v>
      </c>
      <c r="B315" s="21" t="s">
        <v>174</v>
      </c>
    </row>
    <row r="316">
      <c r="A316" s="13">
        <f t="shared" si="1"/>
        <v>315</v>
      </c>
      <c r="B316" s="21" t="s">
        <v>105</v>
      </c>
    </row>
    <row r="317">
      <c r="A317" s="13">
        <f t="shared" si="1"/>
        <v>316</v>
      </c>
      <c r="B317" s="21" t="s">
        <v>97</v>
      </c>
    </row>
    <row r="318">
      <c r="A318" s="13">
        <f t="shared" si="1"/>
        <v>317</v>
      </c>
      <c r="B318" s="21" t="s">
        <v>353</v>
      </c>
    </row>
    <row r="319">
      <c r="A319" s="13">
        <f t="shared" si="1"/>
        <v>318</v>
      </c>
      <c r="B319" s="21" t="s">
        <v>102</v>
      </c>
    </row>
    <row r="320">
      <c r="A320" s="13">
        <f t="shared" si="1"/>
        <v>319</v>
      </c>
      <c r="B320" s="21" t="s">
        <v>329</v>
      </c>
    </row>
    <row r="321">
      <c r="A321" s="13">
        <f t="shared" si="1"/>
        <v>320</v>
      </c>
      <c r="B321" s="22"/>
    </row>
    <row r="322">
      <c r="A322" s="13">
        <f t="shared" si="1"/>
        <v>321</v>
      </c>
      <c r="B322" s="21" t="s">
        <v>105</v>
      </c>
    </row>
    <row r="323">
      <c r="A323" s="13">
        <f t="shared" si="1"/>
        <v>322</v>
      </c>
      <c r="B323" s="21" t="s">
        <v>102</v>
      </c>
    </row>
    <row r="324">
      <c r="A324" s="13">
        <f t="shared" si="1"/>
        <v>323</v>
      </c>
      <c r="B324" s="21" t="s">
        <v>105</v>
      </c>
    </row>
    <row r="325">
      <c r="A325" s="13">
        <f t="shared" si="1"/>
        <v>324</v>
      </c>
      <c r="B325" s="22"/>
    </row>
    <row r="326">
      <c r="A326" s="13">
        <f t="shared" si="1"/>
        <v>325</v>
      </c>
      <c r="B326" s="22"/>
    </row>
    <row r="327">
      <c r="A327" s="13">
        <f t="shared" si="1"/>
        <v>326</v>
      </c>
      <c r="B327" s="21" t="s">
        <v>102</v>
      </c>
    </row>
    <row r="328">
      <c r="A328" s="13">
        <f t="shared" si="1"/>
        <v>327</v>
      </c>
      <c r="B328" s="21" t="s">
        <v>143</v>
      </c>
    </row>
    <row r="329">
      <c r="A329" s="13">
        <f t="shared" si="1"/>
        <v>328</v>
      </c>
      <c r="B329" s="21" t="s">
        <v>143</v>
      </c>
    </row>
    <row r="330">
      <c r="A330" s="13">
        <f t="shared" si="1"/>
        <v>329</v>
      </c>
      <c r="B330" s="21" t="s">
        <v>105</v>
      </c>
    </row>
    <row r="331">
      <c r="A331" s="13">
        <f t="shared" si="1"/>
        <v>330</v>
      </c>
      <c r="B331" s="21" t="s">
        <v>93</v>
      </c>
    </row>
    <row r="332">
      <c r="A332" s="13">
        <f t="shared" si="1"/>
        <v>331</v>
      </c>
      <c r="B332" s="21" t="s">
        <v>93</v>
      </c>
    </row>
    <row r="333">
      <c r="A333" s="13">
        <f t="shared" si="1"/>
        <v>332</v>
      </c>
      <c r="B333" s="21" t="s">
        <v>111</v>
      </c>
    </row>
    <row r="334">
      <c r="A334" s="13">
        <f t="shared" si="1"/>
        <v>333</v>
      </c>
      <c r="B334" s="21" t="s">
        <v>102</v>
      </c>
    </row>
    <row r="335">
      <c r="A335" s="13">
        <f t="shared" si="1"/>
        <v>334</v>
      </c>
      <c r="B335" s="21" t="s">
        <v>143</v>
      </c>
    </row>
    <row r="336">
      <c r="A336" s="13">
        <f t="shared" si="1"/>
        <v>335</v>
      </c>
      <c r="B336" s="21" t="s">
        <v>334</v>
      </c>
    </row>
    <row r="337">
      <c r="A337" s="13">
        <f t="shared" si="1"/>
        <v>336</v>
      </c>
      <c r="B337" s="21" t="s">
        <v>105</v>
      </c>
    </row>
    <row r="338">
      <c r="A338" s="13">
        <f t="shared" si="1"/>
        <v>337</v>
      </c>
      <c r="B338" s="21" t="s">
        <v>366</v>
      </c>
    </row>
    <row r="339">
      <c r="A339" s="13">
        <f t="shared" si="1"/>
        <v>338</v>
      </c>
      <c r="B339" s="21" t="s">
        <v>122</v>
      </c>
    </row>
    <row r="340">
      <c r="A340" s="13">
        <f t="shared" si="1"/>
        <v>339</v>
      </c>
      <c r="B340" s="21" t="s">
        <v>122</v>
      </c>
    </row>
    <row r="341">
      <c r="A341" s="13">
        <f t="shared" si="1"/>
        <v>340</v>
      </c>
      <c r="B341" s="21" t="s">
        <v>93</v>
      </c>
    </row>
    <row r="342">
      <c r="A342" s="13">
        <f t="shared" si="1"/>
        <v>341</v>
      </c>
      <c r="B342" s="21" t="s">
        <v>180</v>
      </c>
    </row>
    <row r="343">
      <c r="A343" s="13">
        <f t="shared" si="1"/>
        <v>342</v>
      </c>
      <c r="B343" s="22"/>
    </row>
    <row r="344">
      <c r="A344" s="13">
        <f t="shared" si="1"/>
        <v>343</v>
      </c>
      <c r="B344" s="21" t="s">
        <v>122</v>
      </c>
    </row>
    <row r="345">
      <c r="A345" s="13">
        <f t="shared" si="1"/>
        <v>344</v>
      </c>
      <c r="B345" s="21" t="s">
        <v>102</v>
      </c>
    </row>
    <row r="346">
      <c r="A346" s="13">
        <f t="shared" si="1"/>
        <v>345</v>
      </c>
      <c r="B346" s="21" t="s">
        <v>93</v>
      </c>
    </row>
    <row r="347">
      <c r="A347" s="13">
        <f t="shared" si="1"/>
        <v>346</v>
      </c>
      <c r="B347" s="21" t="s">
        <v>105</v>
      </c>
    </row>
    <row r="348">
      <c r="A348" s="13">
        <f t="shared" si="1"/>
        <v>347</v>
      </c>
      <c r="B348" s="21" t="s">
        <v>180</v>
      </c>
    </row>
    <row r="349">
      <c r="A349" s="13">
        <f t="shared" si="1"/>
        <v>348</v>
      </c>
      <c r="B349" s="21" t="s">
        <v>93</v>
      </c>
    </row>
    <row r="350">
      <c r="A350" s="13">
        <f t="shared" si="1"/>
        <v>349</v>
      </c>
      <c r="B350" s="21" t="s">
        <v>105</v>
      </c>
    </row>
    <row r="351">
      <c r="A351" s="13">
        <f t="shared" si="1"/>
        <v>350</v>
      </c>
      <c r="B351" s="21" t="s">
        <v>93</v>
      </c>
    </row>
    <row r="352">
      <c r="A352" s="13">
        <f t="shared" si="1"/>
        <v>351</v>
      </c>
      <c r="B352" s="21" t="s">
        <v>93</v>
      </c>
    </row>
    <row r="353">
      <c r="A353" s="13">
        <f t="shared" si="1"/>
        <v>352</v>
      </c>
      <c r="B353" s="21" t="s">
        <v>86</v>
      </c>
    </row>
    <row r="354">
      <c r="A354" s="13">
        <f t="shared" si="1"/>
        <v>353</v>
      </c>
      <c r="B354" s="21" t="s">
        <v>93</v>
      </c>
    </row>
    <row r="355">
      <c r="A355" s="13">
        <f t="shared" si="1"/>
        <v>354</v>
      </c>
      <c r="B355" s="21" t="s">
        <v>102</v>
      </c>
    </row>
    <row r="356">
      <c r="A356" s="13">
        <f t="shared" si="1"/>
        <v>355</v>
      </c>
      <c r="B356" s="21" t="s">
        <v>105</v>
      </c>
    </row>
    <row r="357">
      <c r="A357" s="13">
        <f t="shared" si="1"/>
        <v>356</v>
      </c>
      <c r="B357" s="21" t="s">
        <v>93</v>
      </c>
    </row>
    <row r="358">
      <c r="A358" s="13">
        <f t="shared" si="1"/>
        <v>357</v>
      </c>
      <c r="B358" s="21" t="s">
        <v>93</v>
      </c>
    </row>
    <row r="359">
      <c r="A359" s="13">
        <f t="shared" si="1"/>
        <v>358</v>
      </c>
      <c r="B359" s="21" t="s">
        <v>93</v>
      </c>
    </row>
    <row r="360">
      <c r="A360" s="13">
        <f t="shared" si="1"/>
        <v>359</v>
      </c>
      <c r="B360" s="21" t="s">
        <v>102</v>
      </c>
    </row>
    <row r="361">
      <c r="A361" s="13">
        <f t="shared" si="1"/>
        <v>360</v>
      </c>
      <c r="B361" s="22"/>
    </row>
    <row r="362">
      <c r="A362" s="13">
        <f t="shared" si="1"/>
        <v>361</v>
      </c>
      <c r="B362" s="21" t="s">
        <v>105</v>
      </c>
    </row>
    <row r="363">
      <c r="A363" s="13">
        <f t="shared" si="1"/>
        <v>362</v>
      </c>
      <c r="B363" s="21" t="s">
        <v>180</v>
      </c>
    </row>
    <row r="364">
      <c r="A364" s="13">
        <f t="shared" si="1"/>
        <v>363</v>
      </c>
      <c r="B364" s="21" t="s">
        <v>86</v>
      </c>
    </row>
    <row r="365">
      <c r="A365" s="13">
        <f t="shared" si="1"/>
        <v>364</v>
      </c>
      <c r="B365" s="21" t="s">
        <v>111</v>
      </c>
    </row>
    <row r="366">
      <c r="A366" s="13">
        <f t="shared" si="1"/>
        <v>365</v>
      </c>
      <c r="B366" s="21" t="s">
        <v>111</v>
      </c>
    </row>
    <row r="367">
      <c r="A367" s="13">
        <f t="shared" si="1"/>
        <v>366</v>
      </c>
      <c r="B367" s="21" t="s">
        <v>105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372</v>
      </c>
    </row>
    <row r="2">
      <c r="A2" s="19" t="s">
        <v>79</v>
      </c>
    </row>
    <row r="3">
      <c r="A3" s="19" t="s">
        <v>87</v>
      </c>
    </row>
    <row r="4">
      <c r="A4" s="19" t="s">
        <v>94</v>
      </c>
    </row>
    <row r="5">
      <c r="A5" s="19" t="s">
        <v>98</v>
      </c>
    </row>
    <row r="6">
      <c r="A6" s="19" t="s">
        <v>104</v>
      </c>
    </row>
    <row r="7">
      <c r="A7" s="19" t="s">
        <v>106</v>
      </c>
    </row>
    <row r="8">
      <c r="A8" s="19" t="s">
        <v>112</v>
      </c>
    </row>
    <row r="9">
      <c r="A9" s="19" t="s">
        <v>114</v>
      </c>
    </row>
    <row r="10">
      <c r="A10" s="19" t="s">
        <v>116</v>
      </c>
    </row>
    <row r="11">
      <c r="A11" s="19" t="s">
        <v>118</v>
      </c>
    </row>
    <row r="12">
      <c r="A12" s="19" t="s">
        <v>118</v>
      </c>
    </row>
    <row r="13">
      <c r="A13" s="19" t="s">
        <v>123</v>
      </c>
    </row>
    <row r="14">
      <c r="A14" s="19" t="s">
        <v>125</v>
      </c>
    </row>
    <row r="15">
      <c r="A15" s="19" t="s">
        <v>127</v>
      </c>
    </row>
    <row r="16">
      <c r="A16" s="19" t="s">
        <v>125</v>
      </c>
    </row>
    <row r="17">
      <c r="A17" s="19" t="s">
        <v>79</v>
      </c>
    </row>
    <row r="18">
      <c r="A18" s="19" t="s">
        <v>94</v>
      </c>
    </row>
    <row r="19">
      <c r="A19" s="19" t="s">
        <v>131</v>
      </c>
    </row>
    <row r="20">
      <c r="A20" s="19" t="s">
        <v>132</v>
      </c>
    </row>
    <row r="21">
      <c r="A21" s="19" t="s">
        <v>133</v>
      </c>
    </row>
    <row r="22">
      <c r="A22" s="19" t="s">
        <v>134</v>
      </c>
    </row>
    <row r="23">
      <c r="A23" s="19" t="s">
        <v>137</v>
      </c>
    </row>
    <row r="24">
      <c r="A24" s="19" t="s">
        <v>114</v>
      </c>
    </row>
    <row r="25">
      <c r="A25" s="19" t="s">
        <v>139</v>
      </c>
    </row>
    <row r="26">
      <c r="A26" s="19" t="s">
        <v>140</v>
      </c>
    </row>
    <row r="27">
      <c r="A27" s="19" t="s">
        <v>112</v>
      </c>
    </row>
    <row r="28">
      <c r="A28" s="19" t="s">
        <v>147</v>
      </c>
    </row>
    <row r="29">
      <c r="A29" s="19" t="s">
        <v>147</v>
      </c>
    </row>
    <row r="30">
      <c r="A30" s="19" t="s">
        <v>147</v>
      </c>
    </row>
    <row r="31">
      <c r="A31" s="19" t="s">
        <v>153</v>
      </c>
    </row>
    <row r="32">
      <c r="A32" s="19" t="s">
        <v>155</v>
      </c>
    </row>
    <row r="33">
      <c r="A33" s="19" t="s">
        <v>156</v>
      </c>
    </row>
    <row r="34">
      <c r="A34" s="19" t="s">
        <v>158</v>
      </c>
    </row>
    <row r="35">
      <c r="A35" s="19" t="s">
        <v>160</v>
      </c>
    </row>
    <row r="36">
      <c r="A36" s="19" t="s">
        <v>162</v>
      </c>
    </row>
    <row r="37">
      <c r="A37" s="19" t="s">
        <v>162</v>
      </c>
    </row>
    <row r="38">
      <c r="A38" s="19" t="s">
        <v>162</v>
      </c>
    </row>
    <row r="39">
      <c r="A39" s="19" t="s">
        <v>118</v>
      </c>
    </row>
    <row r="40">
      <c r="A40" s="19" t="s">
        <v>165</v>
      </c>
    </row>
    <row r="41">
      <c r="A41" s="19" t="s">
        <v>147</v>
      </c>
    </row>
    <row r="42">
      <c r="A42" s="19" t="s">
        <v>167</v>
      </c>
    </row>
    <row r="43">
      <c r="A43" s="19" t="s">
        <v>169</v>
      </c>
    </row>
    <row r="44">
      <c r="A44" s="19" t="s">
        <v>170</v>
      </c>
    </row>
    <row r="45">
      <c r="A45" s="19" t="s">
        <v>125</v>
      </c>
    </row>
    <row r="46">
      <c r="A46" s="19" t="s">
        <v>118</v>
      </c>
    </row>
    <row r="47">
      <c r="A47" s="19" t="s">
        <v>104</v>
      </c>
    </row>
    <row r="48">
      <c r="A48" s="19" t="s">
        <v>175</v>
      </c>
    </row>
    <row r="49">
      <c r="A49" s="19" t="s">
        <v>147</v>
      </c>
    </row>
    <row r="50">
      <c r="A50" s="19" t="s">
        <v>112</v>
      </c>
    </row>
    <row r="51">
      <c r="A51" s="19" t="s">
        <v>178</v>
      </c>
    </row>
    <row r="52">
      <c r="A52" s="19" t="s">
        <v>181</v>
      </c>
    </row>
    <row r="53">
      <c r="A53" s="19" t="s">
        <v>182</v>
      </c>
    </row>
    <row r="54">
      <c r="A54" s="19" t="s">
        <v>182</v>
      </c>
    </row>
    <row r="56">
      <c r="A56" s="19" t="s">
        <v>104</v>
      </c>
    </row>
    <row r="57">
      <c r="A57" s="19" t="s">
        <v>182</v>
      </c>
    </row>
    <row r="58">
      <c r="A58" s="19" t="s">
        <v>182</v>
      </c>
    </row>
    <row r="59">
      <c r="A59" s="19" t="s">
        <v>104</v>
      </c>
    </row>
    <row r="60">
      <c r="A60" s="19" t="s">
        <v>170</v>
      </c>
    </row>
    <row r="61">
      <c r="A61" s="19" t="s">
        <v>147</v>
      </c>
    </row>
    <row r="62">
      <c r="A62" s="19" t="s">
        <v>182</v>
      </c>
    </row>
    <row r="63">
      <c r="A63" s="19" t="s">
        <v>186</v>
      </c>
    </row>
    <row r="64">
      <c r="A64" s="19" t="s">
        <v>147</v>
      </c>
    </row>
    <row r="65">
      <c r="A65" s="19" t="s">
        <v>125</v>
      </c>
    </row>
    <row r="66">
      <c r="A66" s="19" t="s">
        <v>147</v>
      </c>
    </row>
    <row r="67">
      <c r="A67" s="19" t="s">
        <v>188</v>
      </c>
    </row>
    <row r="68">
      <c r="A68" s="19" t="s">
        <v>153</v>
      </c>
    </row>
    <row r="69">
      <c r="A69" s="19" t="s">
        <v>147</v>
      </c>
    </row>
    <row r="70">
      <c r="A70" s="19" t="s">
        <v>189</v>
      </c>
    </row>
    <row r="71">
      <c r="A71" s="19" t="s">
        <v>190</v>
      </c>
    </row>
    <row r="72">
      <c r="A72" s="19" t="s">
        <v>192</v>
      </c>
    </row>
    <row r="73">
      <c r="A73" s="19" t="s">
        <v>125</v>
      </c>
    </row>
    <row r="74">
      <c r="A74" s="19" t="s">
        <v>194</v>
      </c>
    </row>
    <row r="75">
      <c r="A75" s="19" t="s">
        <v>98</v>
      </c>
    </row>
    <row r="76">
      <c r="A76" s="19" t="s">
        <v>147</v>
      </c>
    </row>
    <row r="77">
      <c r="A77" s="19" t="s">
        <v>197</v>
      </c>
    </row>
    <row r="78">
      <c r="A78" s="19" t="s">
        <v>118</v>
      </c>
    </row>
    <row r="79">
      <c r="A79" s="19" t="s">
        <v>199</v>
      </c>
    </row>
    <row r="80">
      <c r="A80" s="19" t="s">
        <v>147</v>
      </c>
    </row>
    <row r="81">
      <c r="A81" s="19" t="s">
        <v>125</v>
      </c>
    </row>
    <row r="82">
      <c r="A82" s="19" t="s">
        <v>201</v>
      </c>
    </row>
    <row r="83">
      <c r="A83" s="19" t="s">
        <v>131</v>
      </c>
    </row>
    <row r="84">
      <c r="A84" s="19" t="s">
        <v>160</v>
      </c>
    </row>
    <row r="85">
      <c r="A85" s="19" t="s">
        <v>203</v>
      </c>
    </row>
    <row r="86">
      <c r="A86" s="19" t="s">
        <v>194</v>
      </c>
    </row>
    <row r="87">
      <c r="A87" s="19" t="s">
        <v>133</v>
      </c>
    </row>
    <row r="88">
      <c r="A88" s="19" t="s">
        <v>104</v>
      </c>
    </row>
    <row r="89">
      <c r="A89" s="19" t="s">
        <v>133</v>
      </c>
    </row>
    <row r="90">
      <c r="A90" s="19" t="s">
        <v>147</v>
      </c>
    </row>
    <row r="91">
      <c r="A91" s="19" t="s">
        <v>207</v>
      </c>
    </row>
    <row r="92">
      <c r="A92" s="19" t="s">
        <v>208</v>
      </c>
    </row>
    <row r="93">
      <c r="A93" s="19" t="s">
        <v>98</v>
      </c>
    </row>
    <row r="94">
      <c r="A94" s="19" t="s">
        <v>210</v>
      </c>
    </row>
    <row r="95">
      <c r="A95" s="19" t="s">
        <v>132</v>
      </c>
    </row>
    <row r="96">
      <c r="A96" s="19" t="s">
        <v>104</v>
      </c>
    </row>
    <row r="97">
      <c r="A97" s="19" t="s">
        <v>213</v>
      </c>
    </row>
    <row r="98">
      <c r="A98" s="19" t="s">
        <v>188</v>
      </c>
    </row>
    <row r="99">
      <c r="A99" s="19" t="s">
        <v>188</v>
      </c>
    </row>
    <row r="100">
      <c r="A100" s="19" t="s">
        <v>147</v>
      </c>
    </row>
    <row r="101">
      <c r="A101" s="19" t="s">
        <v>133</v>
      </c>
    </row>
    <row r="102">
      <c r="A102" s="19" t="s">
        <v>153</v>
      </c>
    </row>
    <row r="103">
      <c r="A103" s="19" t="s">
        <v>147</v>
      </c>
    </row>
    <row r="104">
      <c r="A104" s="19" t="s">
        <v>219</v>
      </c>
    </row>
    <row r="105">
      <c r="A105" s="19" t="s">
        <v>162</v>
      </c>
    </row>
    <row r="106">
      <c r="A106" s="19" t="s">
        <v>125</v>
      </c>
    </row>
    <row r="107">
      <c r="A107" s="19" t="s">
        <v>221</v>
      </c>
    </row>
    <row r="108">
      <c r="A108" s="19" t="s">
        <v>131</v>
      </c>
    </row>
    <row r="109">
      <c r="A109" s="19" t="s">
        <v>131</v>
      </c>
    </row>
    <row r="110">
      <c r="A110" s="19" t="s">
        <v>223</v>
      </c>
    </row>
    <row r="111">
      <c r="A111" s="19" t="s">
        <v>162</v>
      </c>
    </row>
    <row r="112">
      <c r="A112" s="19" t="s">
        <v>165</v>
      </c>
    </row>
    <row r="113">
      <c r="A113" s="19" t="s">
        <v>98</v>
      </c>
    </row>
    <row r="114">
      <c r="A114" s="19" t="s">
        <v>162</v>
      </c>
    </row>
    <row r="115">
      <c r="A115" s="19" t="s">
        <v>98</v>
      </c>
    </row>
    <row r="116">
      <c r="A116" s="19" t="s">
        <v>133</v>
      </c>
    </row>
    <row r="117">
      <c r="A117" s="19" t="s">
        <v>98</v>
      </c>
    </row>
    <row r="118">
      <c r="A118" s="19" t="s">
        <v>227</v>
      </c>
    </row>
    <row r="119">
      <c r="A119" s="19" t="s">
        <v>228</v>
      </c>
    </row>
    <row r="120">
      <c r="A120" s="19" t="s">
        <v>229</v>
      </c>
    </row>
    <row r="121">
      <c r="A121" s="19" t="s">
        <v>230</v>
      </c>
    </row>
    <row r="122">
      <c r="A122" s="19" t="s">
        <v>162</v>
      </c>
    </row>
    <row r="123">
      <c r="A123" s="19" t="s">
        <v>178</v>
      </c>
    </row>
    <row r="124">
      <c r="A124" s="19" t="s">
        <v>199</v>
      </c>
    </row>
    <row r="125">
      <c r="A125" s="19" t="s">
        <v>125</v>
      </c>
    </row>
    <row r="126">
      <c r="A126" s="19" t="s">
        <v>232</v>
      </c>
    </row>
    <row r="127">
      <c r="A127" s="19" t="s">
        <v>234</v>
      </c>
    </row>
    <row r="128">
      <c r="A128" s="19" t="s">
        <v>236</v>
      </c>
    </row>
    <row r="129">
      <c r="A129" s="19" t="s">
        <v>147</v>
      </c>
    </row>
    <row r="130">
      <c r="A130" s="19" t="s">
        <v>162</v>
      </c>
    </row>
    <row r="131">
      <c r="A131" s="19" t="s">
        <v>238</v>
      </c>
    </row>
    <row r="132">
      <c r="A132" s="19" t="s">
        <v>239</v>
      </c>
    </row>
    <row r="133">
      <c r="A133" s="19" t="s">
        <v>131</v>
      </c>
    </row>
    <row r="134">
      <c r="A134" s="19" t="s">
        <v>137</v>
      </c>
    </row>
    <row r="135">
      <c r="A135" s="19" t="s">
        <v>133</v>
      </c>
    </row>
    <row r="136">
      <c r="A136" s="19" t="s">
        <v>153</v>
      </c>
    </row>
    <row r="137">
      <c r="A137" s="19" t="s">
        <v>242</v>
      </c>
    </row>
    <row r="138">
      <c r="A138" s="19" t="s">
        <v>104</v>
      </c>
    </row>
    <row r="139">
      <c r="A139" s="19" t="s">
        <v>243</v>
      </c>
    </row>
    <row r="140">
      <c r="A140" s="19" t="s">
        <v>127</v>
      </c>
    </row>
    <row r="141">
      <c r="A141" s="19" t="s">
        <v>234</v>
      </c>
    </row>
    <row r="142">
      <c r="A142" s="19" t="s">
        <v>246</v>
      </c>
    </row>
    <row r="143">
      <c r="A143" s="19" t="s">
        <v>247</v>
      </c>
    </row>
    <row r="144">
      <c r="A144" s="19" t="s">
        <v>147</v>
      </c>
    </row>
    <row r="145">
      <c r="A145" s="19" t="s">
        <v>162</v>
      </c>
    </row>
    <row r="146">
      <c r="A146" s="19" t="s">
        <v>238</v>
      </c>
    </row>
    <row r="147">
      <c r="A147" s="19" t="s">
        <v>188</v>
      </c>
    </row>
    <row r="148">
      <c r="A148" s="19" t="s">
        <v>238</v>
      </c>
    </row>
    <row r="149">
      <c r="A149" s="19" t="s">
        <v>251</v>
      </c>
    </row>
    <row r="150">
      <c r="A150" s="19" t="s">
        <v>155</v>
      </c>
    </row>
    <row r="151">
      <c r="A151" s="19" t="s">
        <v>253</v>
      </c>
    </row>
    <row r="152">
      <c r="A152" s="19" t="s">
        <v>190</v>
      </c>
    </row>
    <row r="153">
      <c r="A153" s="19" t="s">
        <v>219</v>
      </c>
    </row>
    <row r="154">
      <c r="A154" s="19" t="s">
        <v>255</v>
      </c>
    </row>
    <row r="155">
      <c r="A155" s="19" t="s">
        <v>256</v>
      </c>
    </row>
    <row r="156">
      <c r="A156" s="19" t="s">
        <v>104</v>
      </c>
    </row>
    <row r="157">
      <c r="A157" s="19" t="s">
        <v>258</v>
      </c>
    </row>
    <row r="158">
      <c r="A158" s="19" t="s">
        <v>261</v>
      </c>
    </row>
    <row r="159">
      <c r="A159" s="19" t="s">
        <v>162</v>
      </c>
    </row>
    <row r="160">
      <c r="A160" s="19" t="s">
        <v>201</v>
      </c>
    </row>
    <row r="161">
      <c r="A161" s="19" t="s">
        <v>264</v>
      </c>
    </row>
    <row r="162">
      <c r="A162" s="19" t="s">
        <v>265</v>
      </c>
    </row>
    <row r="163">
      <c r="A163" s="19" t="s">
        <v>238</v>
      </c>
    </row>
    <row r="164">
      <c r="A164" s="19" t="s">
        <v>116</v>
      </c>
    </row>
    <row r="165">
      <c r="A165" s="19" t="s">
        <v>266</v>
      </c>
    </row>
    <row r="166">
      <c r="A166" s="19" t="s">
        <v>162</v>
      </c>
    </row>
    <row r="167">
      <c r="A167" s="19" t="s">
        <v>267</v>
      </c>
    </row>
    <row r="168">
      <c r="A168" s="19" t="s">
        <v>269</v>
      </c>
    </row>
    <row r="169">
      <c r="A169" s="19" t="s">
        <v>147</v>
      </c>
    </row>
    <row r="170">
      <c r="A170" s="19" t="s">
        <v>271</v>
      </c>
    </row>
    <row r="171">
      <c r="A171" s="19" t="s">
        <v>104</v>
      </c>
    </row>
    <row r="172">
      <c r="A172" s="19" t="s">
        <v>273</v>
      </c>
    </row>
    <row r="173">
      <c r="A173" s="19" t="s">
        <v>188</v>
      </c>
    </row>
    <row r="174">
      <c r="A174" s="19" t="s">
        <v>125</v>
      </c>
    </row>
    <row r="175">
      <c r="A175" s="19" t="s">
        <v>274</v>
      </c>
    </row>
    <row r="176">
      <c r="A176" s="19" t="s">
        <v>104</v>
      </c>
    </row>
    <row r="177">
      <c r="A177" s="19" t="s">
        <v>147</v>
      </c>
    </row>
    <row r="178">
      <c r="A178" s="19" t="s">
        <v>104</v>
      </c>
    </row>
    <row r="179">
      <c r="A179" s="19" t="s">
        <v>188</v>
      </c>
    </row>
    <row r="180">
      <c r="A180" s="19" t="s">
        <v>182</v>
      </c>
    </row>
    <row r="181">
      <c r="A181" s="19" t="s">
        <v>182</v>
      </c>
    </row>
    <row r="182">
      <c r="A182" s="19" t="s">
        <v>278</v>
      </c>
    </row>
    <row r="183">
      <c r="A183" s="19" t="s">
        <v>186</v>
      </c>
    </row>
    <row r="184">
      <c r="A184" s="19" t="s">
        <v>118</v>
      </c>
    </row>
    <row r="185">
      <c r="A185" s="19" t="s">
        <v>239</v>
      </c>
    </row>
    <row r="186">
      <c r="A186" s="19" t="s">
        <v>281</v>
      </c>
    </row>
    <row r="187">
      <c r="A187" s="19" t="s">
        <v>282</v>
      </c>
    </row>
    <row r="188">
      <c r="A188" s="19" t="s">
        <v>165</v>
      </c>
    </row>
    <row r="189">
      <c r="A189" s="19" t="s">
        <v>132</v>
      </c>
    </row>
    <row r="190">
      <c r="A190" s="19" t="s">
        <v>283</v>
      </c>
    </row>
    <row r="191">
      <c r="A191" s="19" t="s">
        <v>284</v>
      </c>
    </row>
    <row r="192">
      <c r="A192" s="19" t="s">
        <v>286</v>
      </c>
    </row>
    <row r="193">
      <c r="A193" s="19" t="s">
        <v>247</v>
      </c>
    </row>
    <row r="194">
      <c r="A194" s="19" t="s">
        <v>208</v>
      </c>
    </row>
    <row r="195">
      <c r="A195" s="19" t="s">
        <v>287</v>
      </c>
    </row>
    <row r="196">
      <c r="A196" s="19" t="s">
        <v>106</v>
      </c>
    </row>
    <row r="198">
      <c r="A198" s="19" t="s">
        <v>289</v>
      </c>
    </row>
    <row r="199">
      <c r="A199" s="19" t="s">
        <v>147</v>
      </c>
    </row>
    <row r="200">
      <c r="A200" s="19" t="s">
        <v>147</v>
      </c>
    </row>
    <row r="201">
      <c r="A201" s="19" t="s">
        <v>123</v>
      </c>
    </row>
    <row r="202">
      <c r="A202" s="19" t="s">
        <v>165</v>
      </c>
    </row>
    <row r="203">
      <c r="A203" s="19" t="s">
        <v>147</v>
      </c>
    </row>
    <row r="204">
      <c r="A204" s="19" t="s">
        <v>293</v>
      </c>
    </row>
    <row r="205">
      <c r="A205" s="19" t="s">
        <v>294</v>
      </c>
    </row>
    <row r="206">
      <c r="A206" s="19" t="s">
        <v>147</v>
      </c>
    </row>
    <row r="207">
      <c r="A207" s="19" t="s">
        <v>94</v>
      </c>
    </row>
    <row r="208">
      <c r="A208" s="19" t="s">
        <v>147</v>
      </c>
    </row>
    <row r="209">
      <c r="A209" s="19" t="s">
        <v>294</v>
      </c>
    </row>
    <row r="210">
      <c r="A210" s="19" t="s">
        <v>147</v>
      </c>
    </row>
    <row r="211">
      <c r="A211" s="19" t="s">
        <v>295</v>
      </c>
    </row>
    <row r="212">
      <c r="A212" s="19" t="s">
        <v>147</v>
      </c>
    </row>
    <row r="213">
      <c r="A213" s="19" t="s">
        <v>186</v>
      </c>
    </row>
    <row r="214">
      <c r="A214" s="19" t="s">
        <v>294</v>
      </c>
    </row>
    <row r="215">
      <c r="A215" s="19" t="s">
        <v>104</v>
      </c>
    </row>
    <row r="216">
      <c r="A216" s="19" t="s">
        <v>266</v>
      </c>
    </row>
    <row r="217">
      <c r="A217" s="19" t="s">
        <v>153</v>
      </c>
    </row>
    <row r="218">
      <c r="A218" s="19" t="s">
        <v>190</v>
      </c>
    </row>
    <row r="219">
      <c r="A219" s="19" t="s">
        <v>297</v>
      </c>
    </row>
    <row r="220">
      <c r="A220" s="19" t="s">
        <v>125</v>
      </c>
    </row>
    <row r="221">
      <c r="A221" s="19" t="s">
        <v>294</v>
      </c>
    </row>
    <row r="222">
      <c r="A222" s="19" t="s">
        <v>125</v>
      </c>
    </row>
    <row r="223">
      <c r="A223" s="19" t="s">
        <v>125</v>
      </c>
    </row>
    <row r="224">
      <c r="A224" s="19" t="s">
        <v>299</v>
      </c>
    </row>
    <row r="225">
      <c r="A225" s="19" t="s">
        <v>300</v>
      </c>
    </row>
    <row r="226">
      <c r="A226" s="19" t="s">
        <v>133</v>
      </c>
    </row>
    <row r="227">
      <c r="A227" s="19" t="s">
        <v>162</v>
      </c>
    </row>
    <row r="229">
      <c r="A229" s="19" t="s">
        <v>302</v>
      </c>
    </row>
    <row r="231">
      <c r="A231" s="19" t="s">
        <v>304</v>
      </c>
    </row>
    <row r="232">
      <c r="A232" s="19" t="s">
        <v>305</v>
      </c>
    </row>
    <row r="233">
      <c r="A233" s="19" t="s">
        <v>294</v>
      </c>
    </row>
    <row r="234">
      <c r="A234" s="19" t="s">
        <v>147</v>
      </c>
    </row>
    <row r="235">
      <c r="A235" s="19" t="s">
        <v>283</v>
      </c>
    </row>
    <row r="236">
      <c r="A236" s="19" t="s">
        <v>261</v>
      </c>
    </row>
    <row r="237">
      <c r="A237" s="19" t="s">
        <v>190</v>
      </c>
    </row>
    <row r="238">
      <c r="A238" s="19" t="s">
        <v>133</v>
      </c>
    </row>
    <row r="239">
      <c r="A239" s="19" t="s">
        <v>123</v>
      </c>
    </row>
    <row r="240">
      <c r="A240" s="19" t="s">
        <v>304</v>
      </c>
    </row>
    <row r="241">
      <c r="A241" s="19" t="s">
        <v>178</v>
      </c>
    </row>
    <row r="242">
      <c r="A242" s="19" t="s">
        <v>310</v>
      </c>
    </row>
    <row r="243">
      <c r="A243" s="19" t="s">
        <v>147</v>
      </c>
    </row>
    <row r="244">
      <c r="A244" s="19" t="s">
        <v>104</v>
      </c>
    </row>
    <row r="245">
      <c r="A245" s="19" t="s">
        <v>133</v>
      </c>
    </row>
    <row r="246">
      <c r="A246" s="19" t="s">
        <v>239</v>
      </c>
    </row>
    <row r="247">
      <c r="A247" s="19" t="s">
        <v>132</v>
      </c>
    </row>
    <row r="248">
      <c r="A248" s="19" t="s">
        <v>312</v>
      </c>
    </row>
    <row r="249">
      <c r="A249" s="19" t="s">
        <v>265</v>
      </c>
    </row>
    <row r="250">
      <c r="A250" s="19" t="s">
        <v>314</v>
      </c>
    </row>
    <row r="251">
      <c r="A251" s="19" t="s">
        <v>133</v>
      </c>
    </row>
    <row r="252">
      <c r="A252" s="19" t="s">
        <v>133</v>
      </c>
    </row>
    <row r="256">
      <c r="A256" s="19" t="s">
        <v>104</v>
      </c>
    </row>
    <row r="257">
      <c r="A257" s="19" t="s">
        <v>104</v>
      </c>
    </row>
    <row r="258">
      <c r="A258" s="19" t="s">
        <v>125</v>
      </c>
    </row>
    <row r="259">
      <c r="A259" s="19" t="s">
        <v>125</v>
      </c>
    </row>
    <row r="260">
      <c r="A260" s="19" t="s">
        <v>147</v>
      </c>
    </row>
    <row r="261">
      <c r="A261" s="19" t="s">
        <v>188</v>
      </c>
    </row>
    <row r="262">
      <c r="A262" s="19" t="s">
        <v>266</v>
      </c>
    </row>
    <row r="263">
      <c r="A263" s="19" t="s">
        <v>242</v>
      </c>
    </row>
    <row r="264">
      <c r="A264" s="19" t="s">
        <v>133</v>
      </c>
    </row>
    <row r="265">
      <c r="A265" s="19" t="s">
        <v>317</v>
      </c>
    </row>
    <row r="266">
      <c r="A266" s="19" t="s">
        <v>147</v>
      </c>
    </row>
    <row r="267">
      <c r="A267" s="19" t="s">
        <v>162</v>
      </c>
    </row>
    <row r="268">
      <c r="A268" s="19" t="s">
        <v>318</v>
      </c>
    </row>
    <row r="269">
      <c r="A269" s="19" t="s">
        <v>165</v>
      </c>
    </row>
    <row r="270">
      <c r="A270" s="19" t="s">
        <v>321</v>
      </c>
    </row>
    <row r="271">
      <c r="A271" s="19" t="s">
        <v>322</v>
      </c>
    </row>
    <row r="272">
      <c r="A272" s="19" t="s">
        <v>323</v>
      </c>
    </row>
    <row r="273">
      <c r="A273" s="19" t="s">
        <v>324</v>
      </c>
    </row>
    <row r="274">
      <c r="A274" s="19" t="s">
        <v>182</v>
      </c>
    </row>
    <row r="275">
      <c r="A275" s="19" t="s">
        <v>133</v>
      </c>
    </row>
    <row r="276">
      <c r="A276" s="19" t="s">
        <v>328</v>
      </c>
    </row>
    <row r="277">
      <c r="A277" s="19" t="s">
        <v>155</v>
      </c>
    </row>
    <row r="278">
      <c r="A278" s="19" t="s">
        <v>182</v>
      </c>
    </row>
    <row r="279">
      <c r="A279" s="19" t="s">
        <v>227</v>
      </c>
    </row>
    <row r="280">
      <c r="A280" s="19" t="s">
        <v>162</v>
      </c>
    </row>
    <row r="281">
      <c r="A281" s="19" t="s">
        <v>331</v>
      </c>
    </row>
    <row r="282">
      <c r="A282" s="19" t="s">
        <v>133</v>
      </c>
    </row>
    <row r="283">
      <c r="A283" s="19" t="s">
        <v>332</v>
      </c>
    </row>
    <row r="284">
      <c r="A284" s="19" t="s">
        <v>104</v>
      </c>
    </row>
    <row r="285">
      <c r="A285" s="19" t="s">
        <v>274</v>
      </c>
    </row>
    <row r="286">
      <c r="A286" s="19" t="s">
        <v>147</v>
      </c>
    </row>
    <row r="287">
      <c r="A287" s="19" t="s">
        <v>162</v>
      </c>
    </row>
    <row r="288">
      <c r="A288" s="19" t="s">
        <v>133</v>
      </c>
    </row>
    <row r="289">
      <c r="A289" s="19" t="s">
        <v>133</v>
      </c>
    </row>
    <row r="290">
      <c r="A290" s="19" t="s">
        <v>162</v>
      </c>
    </row>
    <row r="291">
      <c r="A291" s="19" t="s">
        <v>165</v>
      </c>
    </row>
    <row r="292">
      <c r="A292" s="19" t="s">
        <v>337</v>
      </c>
    </row>
    <row r="293">
      <c r="A293" s="19" t="s">
        <v>123</v>
      </c>
    </row>
    <row r="294">
      <c r="A294" s="19" t="s">
        <v>339</v>
      </c>
    </row>
    <row r="295">
      <c r="A295" s="19" t="s">
        <v>273</v>
      </c>
    </row>
    <row r="296">
      <c r="A296" s="19" t="s">
        <v>134</v>
      </c>
    </row>
    <row r="297">
      <c r="A297" s="19" t="s">
        <v>266</v>
      </c>
    </row>
    <row r="298">
      <c r="A298" s="19" t="s">
        <v>190</v>
      </c>
    </row>
    <row r="299">
      <c r="A299" s="19" t="s">
        <v>104</v>
      </c>
    </row>
    <row r="301">
      <c r="A301" s="19" t="s">
        <v>340</v>
      </c>
    </row>
    <row r="302">
      <c r="A302" s="19" t="s">
        <v>118</v>
      </c>
    </row>
    <row r="303">
      <c r="A303" s="19" t="s">
        <v>342</v>
      </c>
    </row>
    <row r="304">
      <c r="A304" s="19" t="s">
        <v>147</v>
      </c>
    </row>
    <row r="305">
      <c r="A305" s="19" t="s">
        <v>343</v>
      </c>
    </row>
    <row r="306">
      <c r="A306" s="19" t="s">
        <v>213</v>
      </c>
    </row>
    <row r="307">
      <c r="A307" s="19" t="s">
        <v>346</v>
      </c>
    </row>
    <row r="308">
      <c r="A308" s="19" t="s">
        <v>131</v>
      </c>
    </row>
    <row r="309">
      <c r="A309" s="19" t="s">
        <v>348</v>
      </c>
    </row>
    <row r="310">
      <c r="A310" s="19" t="s">
        <v>104</v>
      </c>
    </row>
    <row r="311">
      <c r="A311" s="19" t="s">
        <v>104</v>
      </c>
    </row>
    <row r="312">
      <c r="A312" s="19" t="s">
        <v>147</v>
      </c>
    </row>
    <row r="313">
      <c r="A313" s="19" t="s">
        <v>349</v>
      </c>
    </row>
    <row r="314">
      <c r="A314" s="19" t="s">
        <v>351</v>
      </c>
    </row>
    <row r="315">
      <c r="A315" s="19" t="s">
        <v>331</v>
      </c>
    </row>
    <row r="316">
      <c r="A316" s="19" t="s">
        <v>203</v>
      </c>
    </row>
    <row r="317">
      <c r="A317" s="19" t="s">
        <v>269</v>
      </c>
    </row>
    <row r="318">
      <c r="A318" s="19" t="s">
        <v>354</v>
      </c>
    </row>
    <row r="319">
      <c r="A319" s="19" t="s">
        <v>283</v>
      </c>
    </row>
    <row r="320">
      <c r="A320" s="19" t="s">
        <v>355</v>
      </c>
    </row>
    <row r="321">
      <c r="A321" s="19" t="s">
        <v>261</v>
      </c>
    </row>
    <row r="322">
      <c r="A322" s="19" t="s">
        <v>321</v>
      </c>
    </row>
    <row r="323">
      <c r="A323" s="19" t="s">
        <v>356</v>
      </c>
    </row>
    <row r="324">
      <c r="A324" s="19" t="s">
        <v>228</v>
      </c>
    </row>
    <row r="325">
      <c r="A325" s="19" t="s">
        <v>357</v>
      </c>
    </row>
    <row r="326">
      <c r="A326" s="19" t="s">
        <v>358</v>
      </c>
    </row>
    <row r="327">
      <c r="A327" s="19" t="s">
        <v>104</v>
      </c>
    </row>
    <row r="328">
      <c r="A328" s="19" t="s">
        <v>297</v>
      </c>
    </row>
    <row r="329">
      <c r="A329" s="19" t="s">
        <v>133</v>
      </c>
    </row>
    <row r="330">
      <c r="A330" s="19" t="s">
        <v>79</v>
      </c>
    </row>
    <row r="331">
      <c r="A331" s="19" t="s">
        <v>359</v>
      </c>
    </row>
    <row r="332">
      <c r="A332" s="19" t="s">
        <v>361</v>
      </c>
    </row>
    <row r="333">
      <c r="A333" s="19" t="s">
        <v>343</v>
      </c>
    </row>
    <row r="334">
      <c r="A334" s="19" t="s">
        <v>79</v>
      </c>
    </row>
    <row r="335">
      <c r="A335" s="19" t="s">
        <v>133</v>
      </c>
    </row>
    <row r="336">
      <c r="A336" s="19" t="s">
        <v>147</v>
      </c>
    </row>
    <row r="337">
      <c r="A337" s="19" t="s">
        <v>365</v>
      </c>
    </row>
    <row r="338">
      <c r="A338" s="19" t="s">
        <v>365</v>
      </c>
    </row>
    <row r="339">
      <c r="A339" s="19" t="s">
        <v>147</v>
      </c>
    </row>
    <row r="340">
      <c r="A340" s="19" t="s">
        <v>182</v>
      </c>
    </row>
    <row r="341">
      <c r="A341" s="19" t="s">
        <v>147</v>
      </c>
    </row>
    <row r="342">
      <c r="A342" s="19" t="s">
        <v>368</v>
      </c>
    </row>
    <row r="344">
      <c r="A344" s="19" t="s">
        <v>133</v>
      </c>
    </row>
    <row r="345">
      <c r="A345" s="19" t="s">
        <v>165</v>
      </c>
    </row>
    <row r="346">
      <c r="A346" s="19" t="s">
        <v>294</v>
      </c>
    </row>
    <row r="347">
      <c r="A347" s="19" t="s">
        <v>104</v>
      </c>
    </row>
    <row r="348">
      <c r="A348" s="19" t="s">
        <v>160</v>
      </c>
    </row>
    <row r="349">
      <c r="A349" s="19" t="s">
        <v>147</v>
      </c>
    </row>
    <row r="350">
      <c r="A350" s="19" t="s">
        <v>321</v>
      </c>
    </row>
    <row r="351">
      <c r="A351" s="19" t="s">
        <v>162</v>
      </c>
    </row>
    <row r="352">
      <c r="A352" s="19" t="s">
        <v>162</v>
      </c>
    </row>
    <row r="353">
      <c r="A353" s="19" t="s">
        <v>104</v>
      </c>
    </row>
    <row r="354">
      <c r="A354" s="19" t="s">
        <v>236</v>
      </c>
    </row>
    <row r="355">
      <c r="A355" s="19" t="s">
        <v>251</v>
      </c>
    </row>
    <row r="356">
      <c r="A356" s="19" t="s">
        <v>79</v>
      </c>
    </row>
    <row r="357">
      <c r="A357" s="19" t="s">
        <v>343</v>
      </c>
    </row>
    <row r="358">
      <c r="A358" s="19" t="s">
        <v>79</v>
      </c>
    </row>
    <row r="359">
      <c r="A359" s="19" t="s">
        <v>132</v>
      </c>
    </row>
    <row r="360">
      <c r="A360" s="19" t="s">
        <v>251</v>
      </c>
    </row>
    <row r="361">
      <c r="A361" s="19" t="s">
        <v>79</v>
      </c>
    </row>
    <row r="362">
      <c r="A362" s="19" t="s">
        <v>247</v>
      </c>
    </row>
    <row r="363">
      <c r="A363" s="19" t="s">
        <v>221</v>
      </c>
    </row>
    <row r="364">
      <c r="A364" s="19" t="s">
        <v>189</v>
      </c>
    </row>
    <row r="365">
      <c r="A365" s="19" t="s">
        <v>125</v>
      </c>
    </row>
    <row r="366">
      <c r="A366" s="19" t="s">
        <v>125</v>
      </c>
    </row>
    <row r="367">
      <c r="A367" s="19" t="s">
        <v>186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373</v>
      </c>
    </row>
    <row r="2">
      <c r="A2" s="19" t="s">
        <v>81</v>
      </c>
    </row>
    <row r="3">
      <c r="A3" s="19" t="s">
        <v>89</v>
      </c>
    </row>
    <row r="4">
      <c r="A4" s="19" t="s">
        <v>95</v>
      </c>
    </row>
    <row r="5">
      <c r="A5" s="19" t="s">
        <v>95</v>
      </c>
    </row>
    <row r="6">
      <c r="A6" s="19" t="s">
        <v>89</v>
      </c>
    </row>
    <row r="7">
      <c r="A7" s="19" t="s">
        <v>107</v>
      </c>
    </row>
    <row r="8">
      <c r="A8" s="19" t="s">
        <v>113</v>
      </c>
    </row>
    <row r="9">
      <c r="A9" s="19" t="s">
        <v>115</v>
      </c>
    </row>
    <row r="10">
      <c r="A10" s="19" t="s">
        <v>117</v>
      </c>
    </row>
    <row r="11">
      <c r="A11" s="19" t="s">
        <v>119</v>
      </c>
    </row>
    <row r="12">
      <c r="A12" s="19" t="s">
        <v>121</v>
      </c>
    </row>
    <row r="13">
      <c r="A13" s="19" t="s">
        <v>124</v>
      </c>
    </row>
    <row r="14">
      <c r="A14" s="19" t="s">
        <v>126</v>
      </c>
    </row>
    <row r="15">
      <c r="A15" s="19" t="s">
        <v>128</v>
      </c>
    </row>
    <row r="16">
      <c r="A16" s="19" t="s">
        <v>129</v>
      </c>
    </row>
    <row r="17">
      <c r="A17" s="19" t="s">
        <v>130</v>
      </c>
    </row>
    <row r="19">
      <c r="A19" s="19" t="s">
        <v>129</v>
      </c>
    </row>
    <row r="20">
      <c r="A20" s="19" t="s">
        <v>129</v>
      </c>
    </row>
    <row r="21">
      <c r="A21" s="19" t="s">
        <v>107</v>
      </c>
    </row>
    <row r="22">
      <c r="A22" s="19" t="s">
        <v>135</v>
      </c>
    </row>
    <row r="24">
      <c r="A24" s="19" t="s">
        <v>89</v>
      </c>
    </row>
    <row r="25">
      <c r="A25" s="19" t="s">
        <v>95</v>
      </c>
    </row>
    <row r="26">
      <c r="A26" s="19" t="s">
        <v>142</v>
      </c>
    </row>
    <row r="27">
      <c r="A27" s="19" t="s">
        <v>144</v>
      </c>
    </row>
    <row r="28">
      <c r="A28" s="19" t="s">
        <v>148</v>
      </c>
    </row>
    <row r="29">
      <c r="A29" s="19" t="s">
        <v>150</v>
      </c>
    </row>
    <row r="30">
      <c r="A30" s="19" t="s">
        <v>107</v>
      </c>
    </row>
    <row r="31">
      <c r="A31" s="19" t="s">
        <v>130</v>
      </c>
    </row>
    <row r="32">
      <c r="A32" s="19" t="s">
        <v>121</v>
      </c>
    </row>
    <row r="33">
      <c r="A33" s="19" t="s">
        <v>157</v>
      </c>
    </row>
    <row r="34">
      <c r="A34" s="19" t="s">
        <v>135</v>
      </c>
    </row>
    <row r="35">
      <c r="A35" s="19" t="s">
        <v>161</v>
      </c>
    </row>
    <row r="36">
      <c r="A36" s="19" t="s">
        <v>164</v>
      </c>
    </row>
    <row r="37">
      <c r="A37" s="19" t="s">
        <v>164</v>
      </c>
    </row>
    <row r="38">
      <c r="A38" s="19" t="s">
        <v>113</v>
      </c>
    </row>
    <row r="39">
      <c r="A39" s="19" t="s">
        <v>117</v>
      </c>
    </row>
    <row r="40">
      <c r="A40" s="19" t="s">
        <v>166</v>
      </c>
    </row>
    <row r="41">
      <c r="A41" s="19" t="s">
        <v>107</v>
      </c>
    </row>
    <row r="42">
      <c r="A42" s="19" t="s">
        <v>161</v>
      </c>
    </row>
    <row r="43">
      <c r="A43" s="19" t="s">
        <v>166</v>
      </c>
    </row>
    <row r="44">
      <c r="A44" s="19" t="s">
        <v>171</v>
      </c>
    </row>
    <row r="45">
      <c r="A45" s="19" t="s">
        <v>172</v>
      </c>
    </row>
    <row r="46">
      <c r="A46" s="19" t="s">
        <v>173</v>
      </c>
    </row>
    <row r="47">
      <c r="A47" s="19" t="s">
        <v>107</v>
      </c>
    </row>
    <row r="48">
      <c r="A48" s="19" t="s">
        <v>176</v>
      </c>
    </row>
    <row r="49">
      <c r="A49" s="19" t="s">
        <v>107</v>
      </c>
    </row>
    <row r="50">
      <c r="A50" s="19" t="s">
        <v>164</v>
      </c>
    </row>
    <row r="51">
      <c r="A51" s="19" t="s">
        <v>179</v>
      </c>
    </row>
    <row r="52">
      <c r="A52" s="19" t="s">
        <v>166</v>
      </c>
    </row>
    <row r="53">
      <c r="A53" s="19" t="s">
        <v>107</v>
      </c>
    </row>
    <row r="54">
      <c r="A54" s="19" t="s">
        <v>107</v>
      </c>
    </row>
    <row r="56">
      <c r="A56" s="19" t="s">
        <v>89</v>
      </c>
    </row>
    <row r="57">
      <c r="A57" s="19" t="s">
        <v>184</v>
      </c>
    </row>
    <row r="58">
      <c r="A58" s="19" t="s">
        <v>113</v>
      </c>
    </row>
    <row r="59">
      <c r="A59" s="19" t="s">
        <v>89</v>
      </c>
    </row>
    <row r="60">
      <c r="A60" s="19" t="s">
        <v>185</v>
      </c>
    </row>
    <row r="61">
      <c r="A61" s="19" t="s">
        <v>107</v>
      </c>
    </row>
    <row r="62">
      <c r="A62" s="19" t="s">
        <v>161</v>
      </c>
    </row>
    <row r="63">
      <c r="A63" s="19" t="s">
        <v>187</v>
      </c>
    </row>
    <row r="64">
      <c r="A64" s="19" t="s">
        <v>107</v>
      </c>
    </row>
    <row r="65">
      <c r="A65" s="19" t="s">
        <v>129</v>
      </c>
    </row>
    <row r="66">
      <c r="A66" s="19" t="s">
        <v>107</v>
      </c>
    </row>
    <row r="67">
      <c r="A67" s="19" t="s">
        <v>130</v>
      </c>
    </row>
    <row r="68">
      <c r="A68" s="19" t="s">
        <v>107</v>
      </c>
    </row>
    <row r="69">
      <c r="A69" s="19" t="s">
        <v>107</v>
      </c>
    </row>
    <row r="70">
      <c r="A70" s="19" t="s">
        <v>121</v>
      </c>
    </row>
    <row r="71">
      <c r="A71" s="19" t="s">
        <v>191</v>
      </c>
    </row>
    <row r="72">
      <c r="A72" s="19" t="s">
        <v>193</v>
      </c>
    </row>
    <row r="73">
      <c r="A73" s="19" t="s">
        <v>129</v>
      </c>
    </row>
    <row r="74">
      <c r="A74" s="19" t="s">
        <v>195</v>
      </c>
    </row>
    <row r="75">
      <c r="A75" s="19" t="s">
        <v>196</v>
      </c>
    </row>
    <row r="76">
      <c r="A76" s="19" t="s">
        <v>107</v>
      </c>
    </row>
    <row r="77">
      <c r="A77" s="19" t="s">
        <v>187</v>
      </c>
    </row>
    <row r="78">
      <c r="A78" s="19" t="s">
        <v>198</v>
      </c>
    </row>
    <row r="79">
      <c r="A79" s="19" t="s">
        <v>117</v>
      </c>
    </row>
    <row r="80">
      <c r="A80" s="19" t="s">
        <v>107</v>
      </c>
    </row>
    <row r="81">
      <c r="A81" s="19" t="s">
        <v>129</v>
      </c>
    </row>
    <row r="82">
      <c r="A82" s="19" t="s">
        <v>89</v>
      </c>
    </row>
    <row r="83">
      <c r="A83" s="19" t="s">
        <v>202</v>
      </c>
    </row>
    <row r="84">
      <c r="A84" s="19" t="s">
        <v>166</v>
      </c>
    </row>
    <row r="85">
      <c r="A85" s="19" t="s">
        <v>126</v>
      </c>
    </row>
    <row r="86">
      <c r="A86" s="19" t="s">
        <v>204</v>
      </c>
    </row>
    <row r="87">
      <c r="A87" s="19" t="s">
        <v>205</v>
      </c>
    </row>
    <row r="88">
      <c r="A88" s="19" t="s">
        <v>89</v>
      </c>
    </row>
    <row r="89">
      <c r="A89" s="19" t="s">
        <v>113</v>
      </c>
    </row>
    <row r="90">
      <c r="A90" s="19" t="s">
        <v>206</v>
      </c>
    </row>
    <row r="92">
      <c r="A92" s="19" t="s">
        <v>107</v>
      </c>
    </row>
    <row r="93">
      <c r="A93" s="19" t="s">
        <v>119</v>
      </c>
    </row>
    <row r="94">
      <c r="A94" s="19" t="s">
        <v>211</v>
      </c>
    </row>
    <row r="95">
      <c r="A95" s="19" t="s">
        <v>166</v>
      </c>
    </row>
    <row r="96">
      <c r="A96" s="19" t="s">
        <v>212</v>
      </c>
    </row>
    <row r="97">
      <c r="A97" s="19" t="s">
        <v>214</v>
      </c>
    </row>
    <row r="98">
      <c r="A98" s="19" t="s">
        <v>179</v>
      </c>
    </row>
    <row r="99">
      <c r="A99" s="19" t="s">
        <v>216</v>
      </c>
    </row>
    <row r="100">
      <c r="A100" s="19" t="s">
        <v>107</v>
      </c>
    </row>
    <row r="101">
      <c r="A101" s="19" t="s">
        <v>150</v>
      </c>
    </row>
    <row r="102">
      <c r="A102" s="19" t="s">
        <v>218</v>
      </c>
    </row>
    <row r="103">
      <c r="A103" s="19" t="s">
        <v>113</v>
      </c>
    </row>
    <row r="104">
      <c r="A104" s="19" t="s">
        <v>220</v>
      </c>
    </row>
    <row r="105">
      <c r="A105" s="19" t="s">
        <v>107</v>
      </c>
    </row>
    <row r="106">
      <c r="A106" s="19" t="s">
        <v>161</v>
      </c>
    </row>
    <row r="107">
      <c r="A107" s="19" t="s">
        <v>222</v>
      </c>
    </row>
    <row r="108">
      <c r="A108" s="19" t="s">
        <v>124</v>
      </c>
    </row>
    <row r="109">
      <c r="A109" s="19" t="s">
        <v>142</v>
      </c>
    </row>
    <row r="110">
      <c r="A110" s="19" t="s">
        <v>130</v>
      </c>
    </row>
    <row r="111">
      <c r="A111" s="19" t="s">
        <v>113</v>
      </c>
    </row>
    <row r="112">
      <c r="A112" s="19" t="s">
        <v>166</v>
      </c>
    </row>
    <row r="113">
      <c r="A113" s="19" t="s">
        <v>161</v>
      </c>
    </row>
    <row r="114">
      <c r="A114" s="19" t="s">
        <v>224</v>
      </c>
    </row>
    <row r="115">
      <c r="A115" s="19" t="s">
        <v>148</v>
      </c>
    </row>
    <row r="116">
      <c r="A116" s="19" t="s">
        <v>129</v>
      </c>
    </row>
    <row r="117">
      <c r="A117" s="19" t="s">
        <v>148</v>
      </c>
    </row>
    <row r="118">
      <c r="A118" s="19" t="s">
        <v>195</v>
      </c>
    </row>
    <row r="119">
      <c r="A119" s="19" t="s">
        <v>222</v>
      </c>
    </row>
    <row r="120">
      <c r="A120" s="19" t="s">
        <v>150</v>
      </c>
    </row>
    <row r="121">
      <c r="A121" s="19" t="s">
        <v>187</v>
      </c>
    </row>
    <row r="122">
      <c r="A122" s="19" t="s">
        <v>224</v>
      </c>
    </row>
    <row r="123">
      <c r="A123" s="19" t="s">
        <v>231</v>
      </c>
    </row>
    <row r="124">
      <c r="A124" s="19" t="s">
        <v>113</v>
      </c>
    </row>
    <row r="125">
      <c r="A125" s="19" t="s">
        <v>129</v>
      </c>
    </row>
    <row r="126">
      <c r="A126" s="19" t="s">
        <v>233</v>
      </c>
    </row>
    <row r="127">
      <c r="A127" s="19" t="s">
        <v>235</v>
      </c>
    </row>
    <row r="128">
      <c r="A128" s="19" t="s">
        <v>237</v>
      </c>
    </row>
    <row r="129">
      <c r="A129" s="19" t="s">
        <v>107</v>
      </c>
    </row>
    <row r="130">
      <c r="A130" s="19" t="s">
        <v>107</v>
      </c>
    </row>
    <row r="131">
      <c r="A131" s="19" t="s">
        <v>206</v>
      </c>
    </row>
    <row r="132">
      <c r="A132" s="19" t="s">
        <v>124</v>
      </c>
    </row>
    <row r="133">
      <c r="A133" s="19" t="s">
        <v>240</v>
      </c>
    </row>
    <row r="134">
      <c r="A134" s="19" t="s">
        <v>95</v>
      </c>
    </row>
    <row r="135">
      <c r="A135" s="19" t="s">
        <v>224</v>
      </c>
    </row>
    <row r="136">
      <c r="A136" s="19" t="s">
        <v>211</v>
      </c>
    </row>
    <row r="137">
      <c r="A137" s="19" t="s">
        <v>214</v>
      </c>
    </row>
    <row r="138">
      <c r="A138" s="19" t="s">
        <v>222</v>
      </c>
    </row>
    <row r="139">
      <c r="A139" s="19" t="s">
        <v>172</v>
      </c>
    </row>
    <row r="140">
      <c r="A140" s="19" t="s">
        <v>142</v>
      </c>
    </row>
    <row r="141">
      <c r="A141" s="19" t="s">
        <v>245</v>
      </c>
    </row>
    <row r="142">
      <c r="A142" s="19" t="s">
        <v>204</v>
      </c>
    </row>
    <row r="143">
      <c r="A143" s="19" t="s">
        <v>157</v>
      </c>
    </row>
    <row r="144">
      <c r="A144" s="19" t="s">
        <v>107</v>
      </c>
    </row>
    <row r="145">
      <c r="A145" s="19" t="s">
        <v>248</v>
      </c>
    </row>
    <row r="146">
      <c r="A146" s="19" t="s">
        <v>249</v>
      </c>
    </row>
    <row r="147">
      <c r="A147" s="19" t="s">
        <v>250</v>
      </c>
    </row>
    <row r="148">
      <c r="A148" s="19" t="s">
        <v>130</v>
      </c>
    </row>
    <row r="149">
      <c r="A149" s="19" t="s">
        <v>89</v>
      </c>
    </row>
    <row r="150">
      <c r="A150" s="19" t="s">
        <v>252</v>
      </c>
    </row>
    <row r="151">
      <c r="A151" s="19" t="s">
        <v>211</v>
      </c>
    </row>
    <row r="152">
      <c r="A152" s="19" t="s">
        <v>254</v>
      </c>
    </row>
    <row r="153">
      <c r="A153" s="19" t="s">
        <v>129</v>
      </c>
    </row>
    <row r="154">
      <c r="A154" s="19" t="s">
        <v>216</v>
      </c>
    </row>
    <row r="155">
      <c r="A155" s="19" t="s">
        <v>257</v>
      </c>
    </row>
    <row r="156">
      <c r="A156" s="19" t="s">
        <v>89</v>
      </c>
    </row>
    <row r="157">
      <c r="A157" s="19" t="s">
        <v>260</v>
      </c>
    </row>
    <row r="158">
      <c r="A158" s="19" t="s">
        <v>89</v>
      </c>
    </row>
    <row r="159">
      <c r="A159" s="19" t="s">
        <v>172</v>
      </c>
    </row>
    <row r="160">
      <c r="A160" s="19" t="s">
        <v>263</v>
      </c>
    </row>
    <row r="161">
      <c r="A161" s="19" t="s">
        <v>95</v>
      </c>
    </row>
    <row r="162">
      <c r="A162" s="19" t="s">
        <v>107</v>
      </c>
    </row>
    <row r="163">
      <c r="A163" s="19" t="s">
        <v>211</v>
      </c>
    </row>
    <row r="164">
      <c r="A164" s="19" t="s">
        <v>107</v>
      </c>
    </row>
    <row r="165">
      <c r="A165" s="19" t="s">
        <v>135</v>
      </c>
    </row>
    <row r="166">
      <c r="A166" s="19" t="s">
        <v>150</v>
      </c>
    </row>
    <row r="167">
      <c r="A167" s="19" t="s">
        <v>268</v>
      </c>
    </row>
    <row r="168">
      <c r="A168" s="19" t="s">
        <v>89</v>
      </c>
    </row>
    <row r="169">
      <c r="A169" s="19" t="s">
        <v>129</v>
      </c>
    </row>
    <row r="170">
      <c r="A170" s="19" t="s">
        <v>272</v>
      </c>
    </row>
    <row r="171">
      <c r="A171" s="19" t="s">
        <v>89</v>
      </c>
    </row>
    <row r="172">
      <c r="A172" s="19" t="s">
        <v>173</v>
      </c>
    </row>
    <row r="173">
      <c r="A173" s="19" t="s">
        <v>187</v>
      </c>
    </row>
    <row r="174">
      <c r="A174" s="19" t="s">
        <v>107</v>
      </c>
    </row>
    <row r="175">
      <c r="A175" s="19" t="s">
        <v>275</v>
      </c>
    </row>
    <row r="176">
      <c r="A176" s="19" t="s">
        <v>276</v>
      </c>
    </row>
    <row r="177">
      <c r="A177" s="19" t="s">
        <v>107</v>
      </c>
    </row>
    <row r="178">
      <c r="A178" s="19" t="s">
        <v>89</v>
      </c>
    </row>
    <row r="179">
      <c r="A179" s="19" t="s">
        <v>252</v>
      </c>
    </row>
    <row r="180">
      <c r="A180" s="19" t="s">
        <v>150</v>
      </c>
    </row>
    <row r="181">
      <c r="A181" s="19" t="s">
        <v>129</v>
      </c>
    </row>
    <row r="182">
      <c r="A182" s="19" t="s">
        <v>206</v>
      </c>
    </row>
    <row r="183">
      <c r="A183" s="19" t="s">
        <v>211</v>
      </c>
    </row>
    <row r="184">
      <c r="A184" s="19" t="s">
        <v>161</v>
      </c>
    </row>
    <row r="185">
      <c r="A185" s="19" t="s">
        <v>280</v>
      </c>
    </row>
    <row r="186">
      <c r="A186" s="19" t="s">
        <v>119</v>
      </c>
    </row>
    <row r="187">
      <c r="A187" s="19" t="s">
        <v>89</v>
      </c>
    </row>
    <row r="188">
      <c r="A188" s="19" t="s">
        <v>166</v>
      </c>
    </row>
    <row r="189">
      <c r="A189" s="19" t="s">
        <v>150</v>
      </c>
    </row>
    <row r="190">
      <c r="A190" s="19" t="s">
        <v>249</v>
      </c>
    </row>
    <row r="191">
      <c r="A191" s="19" t="s">
        <v>285</v>
      </c>
    </row>
    <row r="192">
      <c r="A192" s="19" t="s">
        <v>113</v>
      </c>
    </row>
    <row r="193">
      <c r="A193" s="19" t="s">
        <v>185</v>
      </c>
    </row>
    <row r="194">
      <c r="A194" s="19" t="s">
        <v>179</v>
      </c>
    </row>
    <row r="196">
      <c r="A196" s="19" t="s">
        <v>191</v>
      </c>
    </row>
    <row r="197">
      <c r="A197" s="19" t="s">
        <v>288</v>
      </c>
    </row>
    <row r="198">
      <c r="A198" s="19" t="s">
        <v>166</v>
      </c>
    </row>
    <row r="201">
      <c r="A201" s="19" t="s">
        <v>291</v>
      </c>
    </row>
    <row r="202">
      <c r="A202" s="19" t="s">
        <v>166</v>
      </c>
    </row>
    <row r="203">
      <c r="A203" s="19" t="s">
        <v>129</v>
      </c>
    </row>
    <row r="204">
      <c r="A204" s="19" t="s">
        <v>185</v>
      </c>
    </row>
    <row r="205">
      <c r="A205" s="19" t="s">
        <v>107</v>
      </c>
    </row>
    <row r="206">
      <c r="A206" s="19" t="s">
        <v>107</v>
      </c>
    </row>
    <row r="207">
      <c r="A207" s="19" t="s">
        <v>206</v>
      </c>
    </row>
    <row r="208">
      <c r="A208" s="19" t="s">
        <v>252</v>
      </c>
    </row>
    <row r="209">
      <c r="A209" s="19" t="s">
        <v>113</v>
      </c>
    </row>
    <row r="210">
      <c r="A210" s="19" t="s">
        <v>224</v>
      </c>
    </row>
    <row r="211">
      <c r="A211" s="19" t="s">
        <v>211</v>
      </c>
    </row>
    <row r="212">
      <c r="A212" s="19" t="s">
        <v>107</v>
      </c>
    </row>
    <row r="213">
      <c r="A213" s="19" t="s">
        <v>250</v>
      </c>
    </row>
    <row r="214">
      <c r="A214" s="19" t="s">
        <v>107</v>
      </c>
    </row>
    <row r="215">
      <c r="A215" s="19" t="s">
        <v>260</v>
      </c>
    </row>
    <row r="216">
      <c r="A216" s="19" t="s">
        <v>166</v>
      </c>
    </row>
    <row r="217">
      <c r="A217" s="19" t="s">
        <v>235</v>
      </c>
    </row>
    <row r="218">
      <c r="A218" s="19" t="s">
        <v>206</v>
      </c>
    </row>
    <row r="219">
      <c r="A219" s="19" t="s">
        <v>298</v>
      </c>
    </row>
    <row r="220">
      <c r="A220" s="19" t="s">
        <v>150</v>
      </c>
    </row>
    <row r="221">
      <c r="A221" s="19" t="s">
        <v>107</v>
      </c>
    </row>
    <row r="222">
      <c r="A222" s="19" t="s">
        <v>129</v>
      </c>
    </row>
    <row r="223">
      <c r="A223" s="19" t="s">
        <v>107</v>
      </c>
    </row>
    <row r="225">
      <c r="A225" s="19" t="s">
        <v>301</v>
      </c>
    </row>
    <row r="226">
      <c r="A226" s="19" t="s">
        <v>107</v>
      </c>
    </row>
    <row r="227">
      <c r="A227" s="19" t="s">
        <v>191</v>
      </c>
    </row>
    <row r="229">
      <c r="A229" s="19" t="s">
        <v>303</v>
      </c>
    </row>
    <row r="230">
      <c r="A230" s="19" t="s">
        <v>107</v>
      </c>
    </row>
    <row r="231">
      <c r="A231" s="19" t="s">
        <v>89</v>
      </c>
    </row>
    <row r="232">
      <c r="A232" s="19" t="s">
        <v>248</v>
      </c>
    </row>
    <row r="233">
      <c r="A233" s="19" t="s">
        <v>113</v>
      </c>
    </row>
    <row r="234">
      <c r="A234" s="19" t="s">
        <v>107</v>
      </c>
    </row>
    <row r="235">
      <c r="A235" s="19" t="s">
        <v>306</v>
      </c>
    </row>
    <row r="236">
      <c r="A236" s="19" t="s">
        <v>260</v>
      </c>
    </row>
    <row r="237">
      <c r="A237" s="19" t="s">
        <v>95</v>
      </c>
    </row>
    <row r="238">
      <c r="A238" s="19" t="s">
        <v>124</v>
      </c>
    </row>
    <row r="239">
      <c r="A239" s="19" t="s">
        <v>117</v>
      </c>
    </row>
    <row r="240">
      <c r="A240" s="19" t="s">
        <v>206</v>
      </c>
    </row>
    <row r="241">
      <c r="A241" s="19" t="s">
        <v>308</v>
      </c>
    </row>
    <row r="242">
      <c r="A242" s="19" t="s">
        <v>249</v>
      </c>
    </row>
    <row r="243">
      <c r="A243" s="19" t="s">
        <v>119</v>
      </c>
    </row>
    <row r="244">
      <c r="A244" s="19" t="s">
        <v>89</v>
      </c>
    </row>
    <row r="245">
      <c r="A245" s="19" t="s">
        <v>113</v>
      </c>
    </row>
    <row r="246">
      <c r="A246" s="19" t="s">
        <v>135</v>
      </c>
    </row>
    <row r="247">
      <c r="A247" s="19" t="s">
        <v>107</v>
      </c>
    </row>
    <row r="248">
      <c r="A248" s="19" t="s">
        <v>313</v>
      </c>
    </row>
    <row r="249">
      <c r="A249" s="19" t="s">
        <v>142</v>
      </c>
    </row>
    <row r="250">
      <c r="A250" s="19" t="s">
        <v>315</v>
      </c>
    </row>
    <row r="251">
      <c r="A251" s="19" t="s">
        <v>113</v>
      </c>
    </row>
    <row r="252">
      <c r="A252" s="19" t="s">
        <v>107</v>
      </c>
    </row>
    <row r="256">
      <c r="A256" s="19" t="s">
        <v>124</v>
      </c>
    </row>
    <row r="257">
      <c r="A257" s="19" t="s">
        <v>95</v>
      </c>
    </row>
    <row r="258">
      <c r="A258" s="19" t="s">
        <v>260</v>
      </c>
    </row>
    <row r="259">
      <c r="A259" s="19" t="s">
        <v>161</v>
      </c>
    </row>
    <row r="260">
      <c r="A260" s="19" t="s">
        <v>107</v>
      </c>
    </row>
    <row r="261">
      <c r="A261" s="19" t="s">
        <v>252</v>
      </c>
    </row>
    <row r="262">
      <c r="A262" s="19" t="s">
        <v>211</v>
      </c>
    </row>
    <row r="263">
      <c r="A263" s="19" t="s">
        <v>233</v>
      </c>
    </row>
    <row r="264">
      <c r="A264" s="19" t="s">
        <v>129</v>
      </c>
    </row>
    <row r="265">
      <c r="A265" s="19" t="s">
        <v>89</v>
      </c>
    </row>
    <row r="266">
      <c r="A266" s="19" t="s">
        <v>117</v>
      </c>
    </row>
    <row r="267">
      <c r="A267" s="19" t="s">
        <v>107</v>
      </c>
    </row>
    <row r="268">
      <c r="A268" s="19" t="s">
        <v>95</v>
      </c>
    </row>
    <row r="269">
      <c r="A269" s="19" t="s">
        <v>320</v>
      </c>
    </row>
    <row r="270">
      <c r="A270" s="19" t="s">
        <v>250</v>
      </c>
    </row>
    <row r="271">
      <c r="A271" s="19" t="s">
        <v>249</v>
      </c>
    </row>
    <row r="272">
      <c r="A272" s="19" t="s">
        <v>233</v>
      </c>
    </row>
    <row r="273">
      <c r="A273" s="19" t="s">
        <v>327</v>
      </c>
    </row>
    <row r="274">
      <c r="A274" s="19" t="s">
        <v>224</v>
      </c>
    </row>
    <row r="275">
      <c r="A275" s="19" t="s">
        <v>129</v>
      </c>
    </row>
    <row r="276">
      <c r="A276" s="19" t="s">
        <v>115</v>
      </c>
    </row>
    <row r="277">
      <c r="A277" s="19" t="s">
        <v>115</v>
      </c>
    </row>
    <row r="278">
      <c r="A278" s="19" t="s">
        <v>107</v>
      </c>
    </row>
    <row r="279">
      <c r="A279" s="19" t="s">
        <v>216</v>
      </c>
    </row>
    <row r="280">
      <c r="A280" s="19" t="s">
        <v>113</v>
      </c>
    </row>
    <row r="281">
      <c r="A281" s="19" t="s">
        <v>195</v>
      </c>
    </row>
    <row r="282">
      <c r="A282" s="19" t="s">
        <v>161</v>
      </c>
    </row>
    <row r="283">
      <c r="A283" s="19" t="s">
        <v>172</v>
      </c>
    </row>
    <row r="284">
      <c r="A284" s="19" t="s">
        <v>89</v>
      </c>
    </row>
    <row r="285">
      <c r="A285" s="19" t="s">
        <v>212</v>
      </c>
    </row>
    <row r="286">
      <c r="A286" s="19" t="s">
        <v>107</v>
      </c>
    </row>
    <row r="287">
      <c r="A287" s="19" t="s">
        <v>129</v>
      </c>
    </row>
    <row r="288">
      <c r="A288" s="19" t="s">
        <v>113</v>
      </c>
    </row>
    <row r="289">
      <c r="A289" s="19" t="s">
        <v>113</v>
      </c>
    </row>
    <row r="290">
      <c r="A290" s="19" t="s">
        <v>107</v>
      </c>
    </row>
    <row r="291">
      <c r="A291" s="19" t="s">
        <v>193</v>
      </c>
    </row>
    <row r="292">
      <c r="A292" s="19" t="s">
        <v>298</v>
      </c>
    </row>
    <row r="293">
      <c r="A293" s="19" t="s">
        <v>254</v>
      </c>
    </row>
    <row r="294">
      <c r="A294" s="19" t="s">
        <v>202</v>
      </c>
    </row>
    <row r="295">
      <c r="A295" s="19" t="s">
        <v>124</v>
      </c>
    </row>
    <row r="296">
      <c r="A296" s="19" t="s">
        <v>172</v>
      </c>
    </row>
    <row r="297">
      <c r="A297" s="19" t="s">
        <v>211</v>
      </c>
    </row>
    <row r="298">
      <c r="A298" s="19" t="s">
        <v>235</v>
      </c>
    </row>
    <row r="299">
      <c r="A299" s="19" t="s">
        <v>250</v>
      </c>
    </row>
    <row r="300">
      <c r="A300" s="19" t="s">
        <v>150</v>
      </c>
    </row>
    <row r="301">
      <c r="A301" s="19" t="s">
        <v>224</v>
      </c>
    </row>
    <row r="302">
      <c r="A302" s="19" t="s">
        <v>341</v>
      </c>
    </row>
    <row r="303">
      <c r="A303" s="19" t="s">
        <v>107</v>
      </c>
    </row>
    <row r="304">
      <c r="A304" s="19" t="s">
        <v>107</v>
      </c>
    </row>
    <row r="305">
      <c r="A305" s="19" t="s">
        <v>275</v>
      </c>
    </row>
    <row r="306">
      <c r="A306" s="19" t="s">
        <v>344</v>
      </c>
    </row>
    <row r="307">
      <c r="A307" s="19" t="s">
        <v>142</v>
      </c>
    </row>
    <row r="308">
      <c r="A308" s="19" t="s">
        <v>347</v>
      </c>
    </row>
    <row r="309">
      <c r="A309" s="19" t="s">
        <v>161</v>
      </c>
    </row>
    <row r="310">
      <c r="A310" s="19" t="s">
        <v>235</v>
      </c>
    </row>
    <row r="311">
      <c r="A311" s="19" t="s">
        <v>89</v>
      </c>
    </row>
    <row r="312">
      <c r="A312" s="19" t="s">
        <v>176</v>
      </c>
    </row>
    <row r="313">
      <c r="A313" s="19" t="s">
        <v>107</v>
      </c>
    </row>
    <row r="314">
      <c r="A314" s="19" t="s">
        <v>113</v>
      </c>
    </row>
    <row r="315">
      <c r="A315" s="19" t="s">
        <v>260</v>
      </c>
    </row>
    <row r="316">
      <c r="A316" s="19" t="s">
        <v>184</v>
      </c>
    </row>
    <row r="317">
      <c r="A317" s="19" t="s">
        <v>352</v>
      </c>
    </row>
    <row r="319">
      <c r="A319" s="19" t="s">
        <v>257</v>
      </c>
    </row>
    <row r="320">
      <c r="A320" s="19" t="s">
        <v>220</v>
      </c>
    </row>
    <row r="321">
      <c r="A321" s="19" t="s">
        <v>89</v>
      </c>
    </row>
    <row r="322">
      <c r="A322" s="19" t="s">
        <v>206</v>
      </c>
    </row>
    <row r="323">
      <c r="A323" s="19" t="s">
        <v>306</v>
      </c>
    </row>
    <row r="324">
      <c r="A324" s="19" t="s">
        <v>196</v>
      </c>
    </row>
    <row r="325">
      <c r="A325" s="19" t="s">
        <v>107</v>
      </c>
    </row>
    <row r="326">
      <c r="A326" s="19" t="s">
        <v>113</v>
      </c>
    </row>
    <row r="327">
      <c r="A327" s="19" t="s">
        <v>218</v>
      </c>
    </row>
    <row r="328">
      <c r="A328" s="19" t="s">
        <v>220</v>
      </c>
    </row>
    <row r="329">
      <c r="A329" s="19" t="s">
        <v>107</v>
      </c>
    </row>
    <row r="330">
      <c r="A330" s="19" t="s">
        <v>129</v>
      </c>
    </row>
    <row r="331">
      <c r="A331" s="19" t="s">
        <v>360</v>
      </c>
    </row>
    <row r="332">
      <c r="A332" s="19" t="s">
        <v>113</v>
      </c>
    </row>
    <row r="333">
      <c r="A333" s="19" t="s">
        <v>117</v>
      </c>
    </row>
    <row r="334">
      <c r="A334" s="19" t="s">
        <v>364</v>
      </c>
    </row>
    <row r="335">
      <c r="A335" s="19" t="s">
        <v>224</v>
      </c>
    </row>
    <row r="337">
      <c r="A337" s="19" t="s">
        <v>166</v>
      </c>
    </row>
    <row r="338">
      <c r="A338" s="19" t="s">
        <v>211</v>
      </c>
    </row>
    <row r="339">
      <c r="A339" s="19" t="s">
        <v>224</v>
      </c>
    </row>
    <row r="340">
      <c r="A340" s="19" t="s">
        <v>129</v>
      </c>
    </row>
    <row r="341">
      <c r="A341" s="19" t="s">
        <v>107</v>
      </c>
    </row>
    <row r="342">
      <c r="A342" s="19" t="s">
        <v>128</v>
      </c>
    </row>
    <row r="344">
      <c r="A344" s="19" t="s">
        <v>150</v>
      </c>
    </row>
    <row r="345">
      <c r="A345" s="19" t="s">
        <v>166</v>
      </c>
    </row>
    <row r="346">
      <c r="A346" s="19" t="s">
        <v>369</v>
      </c>
    </row>
    <row r="347">
      <c r="A347" s="19" t="s">
        <v>89</v>
      </c>
    </row>
    <row r="348">
      <c r="A348" s="19" t="s">
        <v>164</v>
      </c>
    </row>
    <row r="349">
      <c r="A349" s="19" t="s">
        <v>161</v>
      </c>
    </row>
    <row r="350">
      <c r="A350" s="19" t="s">
        <v>157</v>
      </c>
    </row>
    <row r="351">
      <c r="A351" s="19" t="s">
        <v>129</v>
      </c>
    </row>
    <row r="352">
      <c r="A352" s="19" t="s">
        <v>224</v>
      </c>
    </row>
    <row r="353">
      <c r="A353" s="19" t="s">
        <v>89</v>
      </c>
    </row>
    <row r="354">
      <c r="A354" s="19" t="s">
        <v>113</v>
      </c>
    </row>
    <row r="355">
      <c r="A355" s="19" t="s">
        <v>370</v>
      </c>
    </row>
    <row r="356">
      <c r="A356" s="19" t="s">
        <v>248</v>
      </c>
    </row>
    <row r="357">
      <c r="A357" s="19" t="s">
        <v>240</v>
      </c>
    </row>
    <row r="358">
      <c r="A358" s="19" t="s">
        <v>113</v>
      </c>
    </row>
    <row r="359">
      <c r="A359" s="19" t="s">
        <v>275</v>
      </c>
    </row>
    <row r="360">
      <c r="A360" s="19" t="s">
        <v>89</v>
      </c>
    </row>
    <row r="361">
      <c r="A361" s="19" t="s">
        <v>107</v>
      </c>
    </row>
    <row r="362">
      <c r="A362" s="19" t="s">
        <v>252</v>
      </c>
    </row>
    <row r="363">
      <c r="A363" s="19" t="s">
        <v>235</v>
      </c>
    </row>
    <row r="364">
      <c r="A364" s="19" t="s">
        <v>206</v>
      </c>
    </row>
    <row r="365">
      <c r="A365" s="19" t="s">
        <v>224</v>
      </c>
    </row>
    <row r="366">
      <c r="A366" s="19" t="s">
        <v>224</v>
      </c>
    </row>
    <row r="367">
      <c r="A367" s="19" t="s">
        <v>222</v>
      </c>
    </row>
  </sheetData>
  <drawing r:id="rId1"/>
</worksheet>
</file>